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over MAPD\October\"/>
    </mc:Choice>
  </mc:AlternateContent>
  <xr:revisionPtr revIDLastSave="0" documentId="13_ncr:1_{DBD7B338-767A-49A1-BA1C-27CB96ABC55A}" xr6:coauthVersionLast="47" xr6:coauthVersionMax="47" xr10:uidLastSave="{00000000-0000-0000-0000-000000000000}"/>
  <bookViews>
    <workbookView xWindow="-57720" yWindow="-120" windowWidth="29040" windowHeight="15720" firstSheet="1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3" l="1"/>
  <c r="H3" i="3"/>
  <c r="H4" i="3"/>
  <c r="H2" i="3"/>
</calcChain>
</file>

<file path=xl/sharedStrings.xml><?xml version="1.0" encoding="utf-8"?>
<sst xmlns="http://schemas.openxmlformats.org/spreadsheetml/2006/main" count="142" uniqueCount="48">
  <si>
    <t/>
  </si>
  <si>
    <t>Description</t>
  </si>
  <si>
    <t>Member Count</t>
  </si>
  <si>
    <t>Total</t>
  </si>
  <si>
    <t>Initial Enrollments</t>
  </si>
  <si>
    <t>$176.50</t>
  </si>
  <si>
    <t>Renewal Enrollments</t>
  </si>
  <si>
    <t>$0.00</t>
  </si>
  <si>
    <t>Disenrollments</t>
  </si>
  <si>
    <t>Miscellaneous</t>
  </si>
  <si>
    <t>Balance</t>
  </si>
  <si>
    <t>TOTAL</t>
  </si>
  <si>
    <t>Payee Name</t>
  </si>
  <si>
    <t>Payee NPN</t>
  </si>
  <si>
    <t>Rep Name</t>
  </si>
  <si>
    <t>Rep NPN</t>
  </si>
  <si>
    <t>Member ID</t>
  </si>
  <si>
    <t>Member First Name</t>
  </si>
  <si>
    <t>Member Last Name</t>
  </si>
  <si>
    <t>Member MBI</t>
  </si>
  <si>
    <t>Effective Date</t>
  </si>
  <si>
    <t>Term Date</t>
  </si>
  <si>
    <t>Plan Group</t>
  </si>
  <si>
    <t>Plan Group Name</t>
  </si>
  <si>
    <t>Plan</t>
  </si>
  <si>
    <t>Member State</t>
  </si>
  <si>
    <t>Member Year</t>
  </si>
  <si>
    <t>Prior Plan</t>
  </si>
  <si>
    <t>Payment</t>
  </si>
  <si>
    <t>Payment Type</t>
  </si>
  <si>
    <t>Calc Type</t>
  </si>
  <si>
    <t>Withhold Reason</t>
  </si>
  <si>
    <t>Main Line Benefits</t>
  </si>
  <si>
    <t>20411454</t>
  </si>
  <si>
    <t>Carol Foley</t>
  </si>
  <si>
    <t>17425766</t>
  </si>
  <si>
    <t>CP2140165</t>
  </si>
  <si>
    <t>VALETA</t>
  </si>
  <si>
    <t>TRASK</t>
  </si>
  <si>
    <t>9EU4WT2KQ06</t>
  </si>
  <si>
    <t>Valor PPO (-057)</t>
  </si>
  <si>
    <t>SC</t>
  </si>
  <si>
    <t>No</t>
  </si>
  <si>
    <t>New</t>
  </si>
  <si>
    <t>Agency</t>
  </si>
  <si>
    <t>Agent</t>
  </si>
  <si>
    <t>$534.50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</si>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</sst>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sqref="A1:XFD1048576"/>
    </sheetView>
  </sheetViews>
  <sheetFormatPr defaultRowHeight="15" x14ac:dyDescent="0.25"/>
  <cols>
    <col min="1" max="1" width="25" customWidth="1"/>
    <col min="2" max="2" width="20" customWidth="1"/>
    <col min="3" max="3" width="15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>
        <v>1</v>
      </c>
      <c r="C2" t="s">
        <v>5</v>
      </c>
    </row>
    <row r="3" spans="1:3" x14ac:dyDescent="0.25">
      <c r="A3" t="s">
        <v>6</v>
      </c>
      <c r="B3">
        <v>0</v>
      </c>
      <c r="C3" t="s">
        <v>7</v>
      </c>
    </row>
    <row r="4" spans="1:3" x14ac:dyDescent="0.25">
      <c r="A4" t="s">
        <v>4</v>
      </c>
      <c r="B4">
        <v>1</v>
      </c>
      <c r="C4" t="s">
        <v>46</v>
      </c>
    </row>
    <row r="5" spans="1:3" x14ac:dyDescent="0.25">
      <c r="A5" t="s">
        <v>8</v>
      </c>
      <c r="B5">
        <v>0</v>
      </c>
      <c r="C5" t="s">
        <v>7</v>
      </c>
    </row>
    <row r="6" spans="1:3" x14ac:dyDescent="0.25">
      <c r="A6" t="s">
        <v>9</v>
      </c>
      <c r="B6">
        <v>0</v>
      </c>
      <c r="C6" t="s">
        <v>7</v>
      </c>
    </row>
    <row r="7" spans="1:3" x14ac:dyDescent="0.25">
      <c r="A7" t="s">
        <v>10</v>
      </c>
      <c r="C7" t="s">
        <v>7</v>
      </c>
    </row>
    <row r="8" spans="1:3" x14ac:dyDescent="0.25">
      <c r="A8" t="s">
        <v>11</v>
      </c>
      <c r="B8">
        <v>1</v>
      </c>
      <c r="C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"/>
  <sheetViews>
    <sheetView workbookViewId="0">
      <selection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140625" bestFit="1" customWidth="1"/>
    <col min="6" max="6" width="19" bestFit="1" customWidth="1"/>
    <col min="7" max="7" width="18.7109375" bestFit="1" customWidth="1"/>
    <col min="8" max="8" width="14.7109375" bestFit="1" customWidth="1"/>
    <col min="9" max="9" width="13.5703125" bestFit="1" customWidth="1"/>
    <col min="10" max="10" width="10.42578125" bestFit="1" customWidth="1"/>
    <col min="11" max="11" width="11" bestFit="1" customWidth="1"/>
    <col min="12" max="12" width="16.85546875" bestFit="1" customWidth="1"/>
    <col min="13" max="13" width="15.85546875" bestFit="1" customWidth="1"/>
    <col min="14" max="14" width="13.85546875" bestFit="1" customWidth="1"/>
    <col min="15" max="15" width="13.28515625" bestFit="1" customWidth="1"/>
    <col min="16" max="17" width="9.7109375" bestFit="1" customWidth="1"/>
    <col min="18" max="18" width="13.7109375" bestFit="1" customWidth="1"/>
    <col min="19" max="19" width="9.5703125" bestFit="1" customWidth="1"/>
    <col min="20" max="20" width="16.42578125" bestFit="1" customWidth="1"/>
  </cols>
  <sheetData>
    <row r="1" spans="1:20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s="2" t="s">
        <v>28</v>
      </c>
      <c r="R1" t="s">
        <v>29</v>
      </c>
      <c r="S1" t="s">
        <v>30</v>
      </c>
      <c r="T1" t="s">
        <v>31</v>
      </c>
    </row>
    <row r="2" spans="1:20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s="1">
        <v>45566</v>
      </c>
      <c r="J2" t="s">
        <v>0</v>
      </c>
      <c r="K2" t="s">
        <v>0</v>
      </c>
      <c r="L2" t="s">
        <v>0</v>
      </c>
      <c r="M2" t="s">
        <v>40</v>
      </c>
      <c r="N2" t="s">
        <v>41</v>
      </c>
      <c r="O2">
        <v>1</v>
      </c>
      <c r="P2" t="s">
        <v>42</v>
      </c>
      <c r="Q2" s="2">
        <v>100</v>
      </c>
      <c r="R2" t="s">
        <v>43</v>
      </c>
      <c r="S2" t="s">
        <v>44</v>
      </c>
      <c r="T2" t="s">
        <v>0</v>
      </c>
    </row>
    <row r="3" spans="1:20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s="1">
        <v>45566</v>
      </c>
      <c r="J3" t="s">
        <v>0</v>
      </c>
      <c r="K3" t="s">
        <v>0</v>
      </c>
      <c r="L3" t="s">
        <v>0</v>
      </c>
      <c r="M3" t="s">
        <v>40</v>
      </c>
      <c r="N3" t="s">
        <v>41</v>
      </c>
      <c r="O3">
        <v>1</v>
      </c>
      <c r="P3" t="s">
        <v>42</v>
      </c>
      <c r="Q3" s="2">
        <v>76.5</v>
      </c>
      <c r="R3" t="s">
        <v>43</v>
      </c>
      <c r="S3" t="s">
        <v>45</v>
      </c>
      <c r="T3" t="s">
        <v>0</v>
      </c>
    </row>
    <row r="4" spans="1:20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s="1">
        <v>45566</v>
      </c>
      <c r="J4" t="s">
        <v>0</v>
      </c>
      <c r="K4" t="s">
        <v>0</v>
      </c>
      <c r="L4" t="s">
        <v>0</v>
      </c>
      <c r="M4" t="s">
        <v>40</v>
      </c>
      <c r="N4" t="s">
        <v>41</v>
      </c>
      <c r="O4">
        <v>1</v>
      </c>
      <c r="P4" t="s">
        <v>42</v>
      </c>
      <c r="Q4" s="2">
        <v>534.5</v>
      </c>
      <c r="R4" t="s">
        <v>43</v>
      </c>
      <c r="S4" t="s">
        <v>45</v>
      </c>
      <c r="T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D5F4-F18D-41D0-815B-8F83CD5B7F9F}">
  <dimension ref="A1:R5"/>
  <sheetViews>
    <sheetView tabSelected="1" workbookViewId="0">
      <selection activeCell="O6" sqref="O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140625" bestFit="1" customWidth="1"/>
    <col min="6" max="6" width="19" bestFit="1" customWidth="1"/>
    <col min="7" max="7" width="18.7109375" bestFit="1" customWidth="1"/>
    <col min="8" max="8" width="18.7109375" customWidth="1"/>
    <col min="9" max="9" width="14.7109375" bestFit="1" customWidth="1"/>
    <col min="10" max="10" width="13.5703125" bestFit="1" customWidth="1"/>
    <col min="11" max="11" width="15.85546875" bestFit="1" customWidth="1"/>
    <col min="12" max="12" width="13.85546875" bestFit="1" customWidth="1"/>
    <col min="13" max="13" width="13.28515625" bestFit="1" customWidth="1"/>
    <col min="14" max="15" width="9.7109375" bestFit="1" customWidth="1"/>
    <col min="16" max="16" width="13.7109375" bestFit="1" customWidth="1"/>
    <col min="17" max="17" width="9.5703125" bestFit="1" customWidth="1"/>
    <col min="18" max="18" width="16.42578125" bestFit="1" customWidth="1"/>
  </cols>
  <sheetData>
    <row r="1" spans="1:1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47</v>
      </c>
      <c r="I1" t="s">
        <v>19</v>
      </c>
      <c r="J1" t="s">
        <v>20</v>
      </c>
      <c r="K1" t="s">
        <v>24</v>
      </c>
      <c r="L1" t="s">
        <v>25</v>
      </c>
      <c r="M1" t="s">
        <v>26</v>
      </c>
      <c r="N1" t="s">
        <v>27</v>
      </c>
      <c r="O1" s="2" t="s">
        <v>28</v>
      </c>
      <c r="P1" t="s">
        <v>29</v>
      </c>
      <c r="Q1" t="s">
        <v>30</v>
      </c>
      <c r="R1" t="s">
        <v>31</v>
      </c>
    </row>
    <row r="2" spans="1:18" x14ac:dyDescent="0.25">
      <c r="A2" t="s">
        <v>32</v>
      </c>
      <c r="B2">
        <v>20411454</v>
      </c>
      <c r="C2" t="s">
        <v>34</v>
      </c>
      <c r="D2">
        <v>17425766</v>
      </c>
      <c r="E2" t="s">
        <v>36</v>
      </c>
      <c r="F2" t="s">
        <v>37</v>
      </c>
      <c r="G2" t="s">
        <v>38</v>
      </c>
      <c r="H2" t="str">
        <f>CONCATENATE(F2, " ",G2)</f>
        <v>VALETA TRASK</v>
      </c>
      <c r="I2" t="s">
        <v>39</v>
      </c>
      <c r="J2" s="1">
        <v>45566</v>
      </c>
      <c r="K2" t="s">
        <v>40</v>
      </c>
      <c r="L2" t="s">
        <v>41</v>
      </c>
      <c r="M2">
        <v>1</v>
      </c>
      <c r="N2" t="s">
        <v>42</v>
      </c>
      <c r="O2" s="2">
        <v>100</v>
      </c>
      <c r="P2" t="s">
        <v>43</v>
      </c>
      <c r="Q2" t="s">
        <v>44</v>
      </c>
      <c r="R2" t="s">
        <v>0</v>
      </c>
    </row>
    <row r="3" spans="1:18" x14ac:dyDescent="0.25">
      <c r="A3" t="s">
        <v>32</v>
      </c>
      <c r="B3">
        <v>20411454</v>
      </c>
      <c r="C3" t="s">
        <v>34</v>
      </c>
      <c r="D3">
        <v>17425766</v>
      </c>
      <c r="E3" t="s">
        <v>36</v>
      </c>
      <c r="F3" t="s">
        <v>37</v>
      </c>
      <c r="G3" t="s">
        <v>38</v>
      </c>
      <c r="H3" t="str">
        <f t="shared" ref="H3:H4" si="0">CONCATENATE(F3, " ",G3)</f>
        <v>VALETA TRASK</v>
      </c>
      <c r="I3" t="s">
        <v>39</v>
      </c>
      <c r="J3" s="1">
        <v>45566</v>
      </c>
      <c r="K3" t="s">
        <v>40</v>
      </c>
      <c r="L3" t="s">
        <v>41</v>
      </c>
      <c r="M3">
        <v>1</v>
      </c>
      <c r="N3" t="s">
        <v>42</v>
      </c>
      <c r="O3" s="2">
        <v>76.5</v>
      </c>
      <c r="P3" t="s">
        <v>43</v>
      </c>
      <c r="Q3" t="s">
        <v>45</v>
      </c>
      <c r="R3" t="s">
        <v>0</v>
      </c>
    </row>
    <row r="4" spans="1:18" x14ac:dyDescent="0.25">
      <c r="A4" t="s">
        <v>32</v>
      </c>
      <c r="B4">
        <v>20411454</v>
      </c>
      <c r="C4" t="s">
        <v>34</v>
      </c>
      <c r="D4">
        <v>17425766</v>
      </c>
      <c r="E4" t="s">
        <v>36</v>
      </c>
      <c r="F4" t="s">
        <v>37</v>
      </c>
      <c r="G4" t="s">
        <v>38</v>
      </c>
      <c r="H4" t="str">
        <f t="shared" si="0"/>
        <v>VALETA TRASK</v>
      </c>
      <c r="I4" t="s">
        <v>39</v>
      </c>
      <c r="J4" s="1">
        <v>45566</v>
      </c>
      <c r="K4" t="s">
        <v>40</v>
      </c>
      <c r="L4" t="s">
        <v>41</v>
      </c>
      <c r="M4">
        <v>1</v>
      </c>
      <c r="N4" t="s">
        <v>42</v>
      </c>
      <c r="O4" s="2">
        <v>534.5</v>
      </c>
      <c r="P4" t="s">
        <v>43</v>
      </c>
      <c r="Q4" t="s">
        <v>45</v>
      </c>
      <c r="R4" t="s">
        <v>0</v>
      </c>
    </row>
    <row r="5" spans="1:18" x14ac:dyDescent="0.25">
      <c r="O5" s="2">
        <f>SUM(O2:O4)</f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2024-11-18T14:38:01Z</dcterms:created>
  <dcterms:modified xsi:type="dcterms:W3CDTF">2024-11-27T20:18:28Z</dcterms:modified>
</cp:coreProperties>
</file>