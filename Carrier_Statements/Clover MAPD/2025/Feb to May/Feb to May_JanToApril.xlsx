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Feb to May\"/>
    </mc:Choice>
  </mc:AlternateContent>
  <xr:revisionPtr revIDLastSave="0" documentId="13_ncr:1_{18A149C2-DC49-4FAE-B339-0A5882CEFE90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9" i="3" l="1"/>
  <c r="F7" i="3"/>
  <c r="F5" i="3"/>
  <c r="F3" i="3"/>
  <c r="F8" i="3"/>
  <c r="F6" i="3"/>
  <c r="F4" i="3"/>
  <c r="F2" i="3"/>
  <c r="I3" i="3"/>
  <c r="I4" i="3"/>
  <c r="I5" i="3"/>
  <c r="I6" i="3"/>
  <c r="I7" i="3"/>
  <c r="I8" i="3"/>
  <c r="I9" i="3"/>
  <c r="I2" i="3"/>
</calcChain>
</file>

<file path=xl/sharedStrings.xml><?xml version="1.0" encoding="utf-8"?>
<sst xmlns="http://schemas.openxmlformats.org/spreadsheetml/2006/main" count="248" uniqueCount="45">
  <si>
    <t/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</si>
  <si>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</si>
  <si>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</si>
  <si>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</si>
  <si>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</si>
  <si>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</si>
  <si>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</si>
  <si>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</si>
  <si>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</si>
  <si>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</si>
  <si>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</si>
  <si>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</si>
  <si>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</si>
  <si>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</si>
  <si>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</si>
  <si>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</si>
  <si>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</si>
  <si>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</si>
  <si>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</si>
  <si>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</si>
  <si>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</si>
  <si>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</si>
  <si>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</si>
  <si>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</si>
  <si>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</si>
  <si>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</si>
  <si>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</si>
  <si>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</si>
  <si>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</si>
  <si>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</si>
  <si>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</si>
  <si>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</si>
  <si>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</si>
  <si>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</si>
  <si>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</si>
  <si>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</si>
  <si>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</si>
  <si>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</si>
  <si>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</si>
  <si>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</si>
  <si>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</si>
  <si>
    <t>paid to  Date</t>
  </si>
  <si>
    <t>Clover OVR</t>
  </si>
  <si>
    <t>Clover Health National MAPD 2025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</si>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</sst>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J14" sqref="J14"/>
    </sheetView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10" x14ac:dyDescent="0.25">
      <c r="A1" t="s">
        <v>1</v>
      </c>
      <c r="B1" t="s">
        <v>2</v>
      </c>
      <c r="C1" t="s">
        <v>3</v>
      </c>
      <c r="J1" t="s">
        <v>41</v>
      </c>
    </row>
    <row r="2" spans="1:10" x14ac:dyDescent="0.25">
      <c r="A2" t="s">
        <v>4</v>
      </c>
      <c r="B2">
        <v>0</v>
      </c>
      <c r="C2" t="s">
        <v>5</v>
      </c>
      <c r="J2" s="3">
        <v>45689</v>
      </c>
    </row>
    <row r="3" spans="1:10" x14ac:dyDescent="0.25">
      <c r="A3" t="s">
        <v>6</v>
      </c>
      <c r="B3">
        <v>1</v>
      </c>
      <c r="C3" t="s">
        <v>7</v>
      </c>
      <c r="J3" s="3">
        <v>45689</v>
      </c>
    </row>
    <row r="4" spans="1:10" x14ac:dyDescent="0.25">
      <c r="A4" t="s">
        <v>4</v>
      </c>
      <c r="B4">
        <v>0</v>
      </c>
      <c r="C4" t="s">
        <v>5</v>
      </c>
      <c r="J4" s="3">
        <v>45717</v>
      </c>
    </row>
    <row r="5" spans="1:10" x14ac:dyDescent="0.25">
      <c r="A5" t="s">
        <v>6</v>
      </c>
      <c r="B5">
        <v>1</v>
      </c>
      <c r="C5" t="s">
        <v>7</v>
      </c>
      <c r="J5" s="3">
        <v>45717</v>
      </c>
    </row>
    <row r="6" spans="1:10" x14ac:dyDescent="0.25">
      <c r="A6" t="s">
        <v>4</v>
      </c>
      <c r="B6">
        <v>0</v>
      </c>
      <c r="C6" t="s">
        <v>5</v>
      </c>
      <c r="J6" s="3">
        <v>45748</v>
      </c>
    </row>
    <row r="7" spans="1:10" x14ac:dyDescent="0.25">
      <c r="A7" t="s">
        <v>6</v>
      </c>
      <c r="B7">
        <v>1</v>
      </c>
      <c r="C7" t="s">
        <v>7</v>
      </c>
      <c r="J7" s="3">
        <v>45748</v>
      </c>
    </row>
    <row r="8" spans="1:10" x14ac:dyDescent="0.25">
      <c r="A8" t="s">
        <v>4</v>
      </c>
      <c r="B8">
        <v>0</v>
      </c>
      <c r="C8" t="s">
        <v>5</v>
      </c>
      <c r="J8" s="3">
        <v>45778</v>
      </c>
    </row>
    <row r="9" spans="1:10" x14ac:dyDescent="0.25">
      <c r="A9" t="s">
        <v>6</v>
      </c>
      <c r="B9">
        <v>1</v>
      </c>
      <c r="C9" t="s">
        <v>7</v>
      </c>
      <c r="J9" s="3">
        <v>45778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41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s="2" t="s">
        <v>23</v>
      </c>
      <c r="R1" t="s">
        <v>24</v>
      </c>
      <c r="S1" t="s">
        <v>25</v>
      </c>
      <c r="T1" t="s">
        <v>26</v>
      </c>
    </row>
    <row r="2" spans="1:20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45566</v>
      </c>
      <c r="J2" s="3">
        <v>45689</v>
      </c>
      <c r="K2" t="s">
        <v>0</v>
      </c>
      <c r="L2" t="s">
        <v>0</v>
      </c>
      <c r="M2" t="s">
        <v>35</v>
      </c>
      <c r="N2" t="s">
        <v>36</v>
      </c>
      <c r="O2">
        <v>2</v>
      </c>
      <c r="P2" t="s">
        <v>37</v>
      </c>
      <c r="Q2" s="2">
        <v>4.17</v>
      </c>
      <c r="R2" t="s">
        <v>38</v>
      </c>
      <c r="S2" t="s">
        <v>39</v>
      </c>
      <c r="T2" t="s">
        <v>0</v>
      </c>
    </row>
    <row r="3" spans="1:20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s="1">
        <v>45566</v>
      </c>
      <c r="J3" s="3">
        <v>45689</v>
      </c>
      <c r="K3" t="s">
        <v>0</v>
      </c>
      <c r="L3" t="s">
        <v>0</v>
      </c>
      <c r="M3" t="s">
        <v>35</v>
      </c>
      <c r="N3" t="s">
        <v>36</v>
      </c>
      <c r="O3">
        <v>2</v>
      </c>
      <c r="P3" t="s">
        <v>37</v>
      </c>
      <c r="Q3" s="2">
        <v>26.08</v>
      </c>
      <c r="R3" t="s">
        <v>38</v>
      </c>
      <c r="S3" t="s">
        <v>40</v>
      </c>
      <c r="T3" t="s">
        <v>0</v>
      </c>
    </row>
    <row r="4" spans="1:2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s="1">
        <v>45566</v>
      </c>
      <c r="J4" s="3">
        <v>45717</v>
      </c>
      <c r="K4" t="s">
        <v>0</v>
      </c>
      <c r="L4" t="s">
        <v>0</v>
      </c>
      <c r="M4" t="s">
        <v>35</v>
      </c>
      <c r="N4" t="s">
        <v>36</v>
      </c>
      <c r="O4">
        <v>2</v>
      </c>
      <c r="P4" t="s">
        <v>37</v>
      </c>
      <c r="Q4" s="2">
        <v>4.17</v>
      </c>
      <c r="R4" t="s">
        <v>38</v>
      </c>
      <c r="S4" t="s">
        <v>39</v>
      </c>
      <c r="T4" t="s">
        <v>0</v>
      </c>
    </row>
    <row r="5" spans="1:20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1">
        <v>45566</v>
      </c>
      <c r="J5" s="3">
        <v>45717</v>
      </c>
      <c r="K5" t="s">
        <v>0</v>
      </c>
      <c r="L5" t="s">
        <v>0</v>
      </c>
      <c r="M5" t="s">
        <v>35</v>
      </c>
      <c r="N5" t="s">
        <v>36</v>
      </c>
      <c r="O5">
        <v>2</v>
      </c>
      <c r="P5" t="s">
        <v>37</v>
      </c>
      <c r="Q5" s="2">
        <v>26.08</v>
      </c>
      <c r="R5" t="s">
        <v>38</v>
      </c>
      <c r="S5" t="s">
        <v>40</v>
      </c>
      <c r="T5" t="s">
        <v>0</v>
      </c>
    </row>
    <row r="6" spans="1:20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s="1">
        <v>45566</v>
      </c>
      <c r="J6" s="3">
        <v>45748</v>
      </c>
      <c r="K6" t="s">
        <v>0</v>
      </c>
      <c r="L6" t="s">
        <v>0</v>
      </c>
      <c r="M6" t="s">
        <v>35</v>
      </c>
      <c r="N6" t="s">
        <v>36</v>
      </c>
      <c r="O6">
        <v>2</v>
      </c>
      <c r="P6" t="s">
        <v>37</v>
      </c>
      <c r="Q6" s="2">
        <v>4.17</v>
      </c>
      <c r="R6" t="s">
        <v>38</v>
      </c>
      <c r="S6" t="s">
        <v>39</v>
      </c>
      <c r="T6" t="s">
        <v>0</v>
      </c>
    </row>
    <row r="7" spans="1:20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s="1">
        <v>45566</v>
      </c>
      <c r="J7" s="3">
        <v>45748</v>
      </c>
      <c r="K7" t="s">
        <v>0</v>
      </c>
      <c r="L7" t="s">
        <v>0</v>
      </c>
      <c r="M7" t="s">
        <v>35</v>
      </c>
      <c r="N7" t="s">
        <v>36</v>
      </c>
      <c r="O7">
        <v>2</v>
      </c>
      <c r="P7" t="s">
        <v>37</v>
      </c>
      <c r="Q7" s="2">
        <v>26.08</v>
      </c>
      <c r="R7" t="s">
        <v>38</v>
      </c>
      <c r="S7" t="s">
        <v>40</v>
      </c>
      <c r="T7" t="s">
        <v>0</v>
      </c>
    </row>
    <row r="8" spans="1:20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s="1">
        <v>45566</v>
      </c>
      <c r="J8" s="3">
        <v>45778</v>
      </c>
      <c r="K8" t="s">
        <v>0</v>
      </c>
      <c r="L8" t="s">
        <v>0</v>
      </c>
      <c r="M8" t="s">
        <v>35</v>
      </c>
      <c r="N8" t="s">
        <v>36</v>
      </c>
      <c r="O8">
        <v>2</v>
      </c>
      <c r="P8" t="s">
        <v>37</v>
      </c>
      <c r="Q8" s="2">
        <v>4.17</v>
      </c>
      <c r="R8" t="s">
        <v>38</v>
      </c>
      <c r="S8" t="s">
        <v>39</v>
      </c>
      <c r="T8" t="s">
        <v>0</v>
      </c>
    </row>
    <row r="9" spans="1:20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s="1">
        <v>45566</v>
      </c>
      <c r="J9" s="3">
        <v>45778</v>
      </c>
      <c r="K9" t="s">
        <v>0</v>
      </c>
      <c r="L9" t="s">
        <v>0</v>
      </c>
      <c r="M9" t="s">
        <v>35</v>
      </c>
      <c r="N9" t="s">
        <v>36</v>
      </c>
      <c r="O9">
        <v>2</v>
      </c>
      <c r="P9" t="s">
        <v>37</v>
      </c>
      <c r="Q9" s="2">
        <v>26.08</v>
      </c>
      <c r="R9" t="s">
        <v>38</v>
      </c>
      <c r="S9" t="s">
        <v>40</v>
      </c>
      <c r="T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32C1-BA4A-42A7-8421-4A05DA8A4246}">
  <dimension ref="A1:P9"/>
  <sheetViews>
    <sheetView tabSelected="1" topLeftCell="B1" workbookViewId="0">
      <selection activeCell="P2" sqref="P2:P9"/>
    </sheetView>
  </sheetViews>
  <sheetFormatPr defaultRowHeight="15" x14ac:dyDescent="0.25"/>
  <cols>
    <col min="1" max="1" width="25" customWidth="1"/>
    <col min="2" max="2" width="20" customWidth="1"/>
    <col min="3" max="3" width="17" bestFit="1" customWidth="1"/>
    <col min="4" max="4" width="15" customWidth="1"/>
    <col min="5" max="5" width="11.140625" bestFit="1" customWidth="1"/>
    <col min="6" max="6" width="13.42578125" customWidth="1"/>
    <col min="7" max="7" width="19" bestFit="1" customWidth="1"/>
    <col min="8" max="8" width="18.7109375" bestFit="1" customWidth="1"/>
    <col min="9" max="9" width="18.7109375" customWidth="1"/>
    <col min="10" max="10" width="14.7109375" bestFit="1" customWidth="1"/>
    <col min="11" max="11" width="13.5703125" bestFit="1" customWidth="1"/>
    <col min="12" max="12" width="10.42578125" bestFit="1" customWidth="1"/>
    <col min="13" max="13" width="15.85546875" bestFit="1" customWidth="1"/>
    <col min="14" max="14" width="9" bestFit="1" customWidth="1"/>
    <col min="15" max="15" width="31.42578125" bestFit="1" customWidth="1"/>
  </cols>
  <sheetData>
    <row r="1" spans="1:1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G1" t="s">
        <v>13</v>
      </c>
      <c r="H1" t="s">
        <v>14</v>
      </c>
      <c r="J1" t="s">
        <v>15</v>
      </c>
      <c r="K1" t="s">
        <v>16</v>
      </c>
      <c r="L1" t="s">
        <v>41</v>
      </c>
      <c r="M1" t="s">
        <v>19</v>
      </c>
      <c r="N1" s="2" t="s">
        <v>23</v>
      </c>
    </row>
    <row r="2" spans="1:16" x14ac:dyDescent="0.25">
      <c r="A2" t="s">
        <v>27</v>
      </c>
      <c r="B2" s="4">
        <v>20411454</v>
      </c>
      <c r="C2" t="s">
        <v>27</v>
      </c>
      <c r="D2" s="4">
        <v>20411454</v>
      </c>
      <c r="E2" t="s">
        <v>31</v>
      </c>
      <c r="F2" t="str">
        <f>CONCATENATE(E2,1)</f>
        <v>CP21401651</v>
      </c>
      <c r="G2" t="s">
        <v>32</v>
      </c>
      <c r="H2" t="s">
        <v>33</v>
      </c>
      <c r="I2" t="str">
        <f>CONCATENATE(G2, " ",H2)</f>
        <v>VALETA TRASK</v>
      </c>
      <c r="J2" t="s">
        <v>34</v>
      </c>
      <c r="K2" s="1">
        <v>45566</v>
      </c>
      <c r="L2" s="3">
        <v>45689</v>
      </c>
      <c r="M2" t="s">
        <v>35</v>
      </c>
      <c r="N2" s="2">
        <v>4.17</v>
      </c>
      <c r="O2" t="s">
        <v>42</v>
      </c>
    </row>
    <row r="3" spans="1:16" x14ac:dyDescent="0.25">
      <c r="A3" t="s">
        <v>27</v>
      </c>
      <c r="B3" s="4">
        <v>20411454</v>
      </c>
      <c r="C3" t="s">
        <v>29</v>
      </c>
      <c r="D3" s="4">
        <v>17425766</v>
      </c>
      <c r="E3" t="s">
        <v>31</v>
      </c>
      <c r="F3" t="str">
        <f>CONCATENATE(E3,2)</f>
        <v>CP21401652</v>
      </c>
      <c r="G3" t="s">
        <v>32</v>
      </c>
      <c r="H3" t="s">
        <v>33</v>
      </c>
      <c r="I3" t="str">
        <f t="shared" ref="I3:I9" si="0">CONCATENATE(G3, " ",H3)</f>
        <v>VALETA TRASK</v>
      </c>
      <c r="J3" t="s">
        <v>34</v>
      </c>
      <c r="K3" s="1">
        <v>45566</v>
      </c>
      <c r="L3" s="3">
        <v>45689</v>
      </c>
      <c r="M3" t="s">
        <v>35</v>
      </c>
      <c r="N3" s="2">
        <v>26.08</v>
      </c>
      <c r="O3" t="s">
        <v>43</v>
      </c>
      <c r="P3" t="s">
        <v>44</v>
      </c>
    </row>
    <row r="4" spans="1:16" x14ac:dyDescent="0.25">
      <c r="A4" t="s">
        <v>27</v>
      </c>
      <c r="B4" s="4">
        <v>20411454</v>
      </c>
      <c r="C4" t="s">
        <v>27</v>
      </c>
      <c r="D4" s="4">
        <v>20411454</v>
      </c>
      <c r="E4" t="s">
        <v>31</v>
      </c>
      <c r="F4" t="str">
        <f>CONCATENATE(E4,1)</f>
        <v>CP21401651</v>
      </c>
      <c r="G4" t="s">
        <v>32</v>
      </c>
      <c r="H4" t="s">
        <v>33</v>
      </c>
      <c r="I4" t="str">
        <f t="shared" si="0"/>
        <v>VALETA TRASK</v>
      </c>
      <c r="J4" t="s">
        <v>34</v>
      </c>
      <c r="K4" s="1">
        <v>45566</v>
      </c>
      <c r="L4" s="3">
        <v>45717</v>
      </c>
      <c r="M4" t="s">
        <v>35</v>
      </c>
      <c r="N4" s="2">
        <v>4.17</v>
      </c>
      <c r="O4" t="s">
        <v>42</v>
      </c>
    </row>
    <row r="5" spans="1:16" x14ac:dyDescent="0.25">
      <c r="A5" t="s">
        <v>27</v>
      </c>
      <c r="B5" s="4">
        <v>20411454</v>
      </c>
      <c r="C5" t="s">
        <v>29</v>
      </c>
      <c r="D5" s="4">
        <v>17425766</v>
      </c>
      <c r="E5" t="s">
        <v>31</v>
      </c>
      <c r="F5" t="str">
        <f>CONCATENATE(E5,2)</f>
        <v>CP21401652</v>
      </c>
      <c r="G5" t="s">
        <v>32</v>
      </c>
      <c r="H5" t="s">
        <v>33</v>
      </c>
      <c r="I5" t="str">
        <f t="shared" si="0"/>
        <v>VALETA TRASK</v>
      </c>
      <c r="J5" t="s">
        <v>34</v>
      </c>
      <c r="K5" s="1">
        <v>45566</v>
      </c>
      <c r="L5" s="3">
        <v>45717</v>
      </c>
      <c r="M5" t="s">
        <v>35</v>
      </c>
      <c r="N5" s="2">
        <v>26.08</v>
      </c>
      <c r="O5" t="s">
        <v>43</v>
      </c>
      <c r="P5" t="s">
        <v>44</v>
      </c>
    </row>
    <row r="6" spans="1:16" x14ac:dyDescent="0.25">
      <c r="A6" t="s">
        <v>27</v>
      </c>
      <c r="B6" s="4">
        <v>20411454</v>
      </c>
      <c r="C6" t="s">
        <v>27</v>
      </c>
      <c r="D6" s="4">
        <v>20411454</v>
      </c>
      <c r="E6" t="s">
        <v>31</v>
      </c>
      <c r="F6" t="str">
        <f>CONCATENATE(E6,1)</f>
        <v>CP21401651</v>
      </c>
      <c r="G6" t="s">
        <v>32</v>
      </c>
      <c r="H6" t="s">
        <v>33</v>
      </c>
      <c r="I6" t="str">
        <f t="shared" si="0"/>
        <v>VALETA TRASK</v>
      </c>
      <c r="J6" t="s">
        <v>34</v>
      </c>
      <c r="K6" s="1">
        <v>45566</v>
      </c>
      <c r="L6" s="3">
        <v>45748</v>
      </c>
      <c r="M6" t="s">
        <v>35</v>
      </c>
      <c r="N6" s="2">
        <v>4.17</v>
      </c>
      <c r="O6" t="s">
        <v>42</v>
      </c>
    </row>
    <row r="7" spans="1:16" x14ac:dyDescent="0.25">
      <c r="A7" t="s">
        <v>27</v>
      </c>
      <c r="B7" s="4">
        <v>20411454</v>
      </c>
      <c r="C7" t="s">
        <v>29</v>
      </c>
      <c r="D7" s="4">
        <v>17425766</v>
      </c>
      <c r="E7" t="s">
        <v>31</v>
      </c>
      <c r="F7" t="str">
        <f>CONCATENATE(E7,2)</f>
        <v>CP21401652</v>
      </c>
      <c r="G7" t="s">
        <v>32</v>
      </c>
      <c r="H7" t="s">
        <v>33</v>
      </c>
      <c r="I7" t="str">
        <f t="shared" si="0"/>
        <v>VALETA TRASK</v>
      </c>
      <c r="J7" t="s">
        <v>34</v>
      </c>
      <c r="K7" s="1">
        <v>45566</v>
      </c>
      <c r="L7" s="3">
        <v>45748</v>
      </c>
      <c r="M7" t="s">
        <v>35</v>
      </c>
      <c r="N7" s="2">
        <v>26.08</v>
      </c>
      <c r="O7" t="s">
        <v>43</v>
      </c>
      <c r="P7" t="s">
        <v>44</v>
      </c>
    </row>
    <row r="8" spans="1:16" x14ac:dyDescent="0.25">
      <c r="A8" t="s">
        <v>27</v>
      </c>
      <c r="B8" s="4">
        <v>20411454</v>
      </c>
      <c r="C8" t="s">
        <v>27</v>
      </c>
      <c r="D8" s="4">
        <v>20411454</v>
      </c>
      <c r="E8" t="s">
        <v>31</v>
      </c>
      <c r="F8" t="str">
        <f>CONCATENATE(E8,1)</f>
        <v>CP21401651</v>
      </c>
      <c r="G8" t="s">
        <v>32</v>
      </c>
      <c r="H8" t="s">
        <v>33</v>
      </c>
      <c r="I8" t="str">
        <f t="shared" si="0"/>
        <v>VALETA TRASK</v>
      </c>
      <c r="J8" t="s">
        <v>34</v>
      </c>
      <c r="K8" s="1">
        <v>45566</v>
      </c>
      <c r="L8" s="3">
        <v>45778</v>
      </c>
      <c r="M8" t="s">
        <v>35</v>
      </c>
      <c r="N8" s="2">
        <v>4.17</v>
      </c>
      <c r="O8" t="s">
        <v>42</v>
      </c>
    </row>
    <row r="9" spans="1:16" x14ac:dyDescent="0.25">
      <c r="A9" t="s">
        <v>27</v>
      </c>
      <c r="B9" s="4">
        <v>20411454</v>
      </c>
      <c r="C9" t="s">
        <v>29</v>
      </c>
      <c r="D9" s="4">
        <v>17425766</v>
      </c>
      <c r="E9" t="s">
        <v>31</v>
      </c>
      <c r="F9" t="str">
        <f>CONCATENATE(E9,2)</f>
        <v>CP21401652</v>
      </c>
      <c r="G9" t="s">
        <v>32</v>
      </c>
      <c r="H9" t="s">
        <v>33</v>
      </c>
      <c r="I9" t="str">
        <f t="shared" si="0"/>
        <v>VALETA TRASK</v>
      </c>
      <c r="J9" t="s">
        <v>34</v>
      </c>
      <c r="K9" s="1">
        <v>45566</v>
      </c>
      <c r="L9" s="3">
        <v>45778</v>
      </c>
      <c r="M9" t="s">
        <v>35</v>
      </c>
      <c r="N9" s="2">
        <v>26.08</v>
      </c>
      <c r="O9" t="s">
        <v>43</v>
      </c>
      <c r="P9" t="s">
        <v>44</v>
      </c>
    </row>
  </sheetData>
  <pageMargins left="0.7" right="0.7" top="0.75" bottom="0.75" header="0.3" footer="0.3"/>
  <ignoredErrors>
    <ignoredError sqref="F3:F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2025-05-13T13:00:19Z</dcterms:created>
  <dcterms:modified xsi:type="dcterms:W3CDTF">2025-05-15T13:09:27Z</dcterms:modified>
</cp:coreProperties>
</file>