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terwood\2025\10-31-25\"/>
    </mc:Choice>
  </mc:AlternateContent>
  <xr:revisionPtr revIDLastSave="0" documentId="13_ncr:1_{F25D65E2-CCC1-4AFB-AD8B-4A2952492414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heet1" sheetId="1" r:id="rId1"/>
    <sheet name="Sheet2" sheetId="2" r:id="rId2"/>
    <sheet name="HRA" sheetId="3" r:id="rId3"/>
  </sheets>
  <calcPr calcId="181029"/>
  <extLst>
    <ext uri="GoogleSheetsCustomDataVersion2">
      <go:sheetsCustomData xmlns:go="http://customooxmlschemas.google.com/" r:id="rId5" roundtripDataChecksum="/qh/4Jm29RYcIZI01txedOC5JGLsPJn+DptcESU1/QA="/>
    </ext>
  </extLst>
</workbook>
</file>

<file path=xl/calcChain.xml><?xml version="1.0" encoding="utf-8"?>
<calcChain xmlns="http://schemas.openxmlformats.org/spreadsheetml/2006/main">
  <c r="G27" i="2" l="1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M26" i="3"/>
  <c r="E26" i="3"/>
  <c r="E25" i="3"/>
  <c r="M25" i="3" s="1"/>
  <c r="M24" i="3"/>
  <c r="E24" i="3"/>
  <c r="E23" i="3"/>
  <c r="M23" i="3" s="1"/>
  <c r="M22" i="3"/>
  <c r="E22" i="3"/>
  <c r="E21" i="3"/>
  <c r="M21" i="3" s="1"/>
  <c r="M20" i="3"/>
  <c r="E20" i="3"/>
  <c r="E19" i="3"/>
  <c r="M19" i="3" s="1"/>
  <c r="M18" i="3"/>
  <c r="E18" i="3"/>
  <c r="E17" i="3"/>
  <c r="M17" i="3" s="1"/>
  <c r="M16" i="3"/>
  <c r="E16" i="3"/>
  <c r="E15" i="3"/>
  <c r="M15" i="3" s="1"/>
  <c r="M14" i="3"/>
  <c r="E14" i="3"/>
  <c r="E13" i="3"/>
  <c r="M13" i="3" s="1"/>
  <c r="M12" i="3"/>
  <c r="E12" i="3"/>
  <c r="E11" i="3"/>
  <c r="M11" i="3" s="1"/>
  <c r="M10" i="3"/>
  <c r="E10" i="3"/>
  <c r="E9" i="3"/>
  <c r="M9" i="3" s="1"/>
  <c r="M8" i="3"/>
  <c r="E8" i="3"/>
  <c r="E7" i="3"/>
  <c r="M7" i="3" s="1"/>
  <c r="M6" i="3"/>
  <c r="E6" i="3"/>
  <c r="E5" i="3"/>
  <c r="M5" i="3" s="1"/>
  <c r="M4" i="3"/>
  <c r="E4" i="3"/>
  <c r="E3" i="3"/>
  <c r="M3" i="3" s="1"/>
  <c r="M2" i="3"/>
  <c r="E2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</calcChain>
</file>

<file path=xl/sharedStrings.xml><?xml version="1.0" encoding="utf-8"?>
<sst xmlns="http://schemas.openxmlformats.org/spreadsheetml/2006/main" count="767" uniqueCount="103">
  <si>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</si>
  <si>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</si>
  <si>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</si>
  <si>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</si>
  <si>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</si>
  <si>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</si>
  <si>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</si>
  <si>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</si>
  <si>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</si>
  <si>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</si>
  <si>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</si>
  <si>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</si>
  <si>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RIM9079571</t>
  </si>
  <si>
    <t>Shelley</t>
  </si>
  <si>
    <t>Stockett</t>
  </si>
  <si>
    <t>7Y92Q40PG13</t>
  </si>
  <si>
    <t>Alterwood Advantage Inc</t>
  </si>
  <si>
    <t>Alterwood HRA Bonus (ProRata: 1) Premium Period: 10/1/2025</t>
  </si>
  <si>
    <t>Daniel</t>
  </si>
  <si>
    <t>Deacon</t>
  </si>
  <si>
    <t>1A73R48VE99</t>
  </si>
  <si>
    <t>Amsale</t>
  </si>
  <si>
    <t>Cunningham</t>
  </si>
  <si>
    <t>5WW8G75QU21</t>
  </si>
  <si>
    <t>Ana</t>
  </si>
  <si>
    <t>Limo</t>
  </si>
  <si>
    <t>5E31PJ5GP93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</si>
  <si>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</si>
  <si>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</si>
  <si>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</si>
  <si>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</si>
  <si>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</si>
  <si>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</si>
  <si>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</si>
  <si>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</si>
  <si>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</si>
  <si>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</si>
  <si>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</si>
  <si>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</si>
  <si>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</si>
  <si>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</si>
  <si>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</si>
  <si>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</si>
  <si>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</si>
  <si>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</si>
  <si>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</si>
  <si>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Hronowski</t>
  </si>
  <si>
    <t>1K33JR4QG97</t>
  </si>
  <si>
    <t>Carolyn Wilson Smith</t>
  </si>
  <si>
    <t>RIM7387433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</si>
  <si>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</si>
  <si>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</si>
  <si>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</si>
  <si>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</si>
  <si>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</si>
  <si>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</si>
  <si>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</si>
  <si>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</si>
  <si>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</si>
  <si>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Michael Lutz</t>
  </si>
  <si>
    <t>Roger</t>
  </si>
  <si>
    <t>Scuder</t>
  </si>
  <si>
    <t>7UD3JA1KE14</t>
  </si>
  <si>
    <t>Thomas Kucan</t>
  </si>
  <si>
    <t>RIM16202925</t>
  </si>
  <si>
    <t>Annette</t>
  </si>
  <si>
    <t>Decosta</t>
  </si>
  <si>
    <t>7D20KQ9GA01</t>
  </si>
  <si>
    <t>Cecelia</t>
  </si>
  <si>
    <t>Downes</t>
  </si>
  <si>
    <t>8X23TM3DC72</t>
  </si>
  <si>
    <t>Eley</t>
  </si>
  <si>
    <t>Downes Jr</t>
  </si>
  <si>
    <t>5NM8HU9JK46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</si>
  <si>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</si>
  <si>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</si>
  <si>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</si>
  <si>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</si>
  <si>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</si>
  <si>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</si>
  <si>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</si>
  <si>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</si>
  <si>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</si>
  <si>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</si>
  <si>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</si>
  <si>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</si>
  <si>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</si>
  <si>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Ronald Max</t>
  </si>
  <si>
    <t>RIM5442438</t>
  </si>
  <si>
    <t>Jeanne</t>
  </si>
  <si>
    <t>Maurhoff</t>
  </si>
  <si>
    <t>2TA6P71XY70</t>
  </si>
  <si>
    <t>Alterwood 2022-2026 Initial Override Premium Period: 10/1/2025</t>
  </si>
  <si>
    <t>Alterwood 2025 External Replacement ST (ProRata: 1) Premium Period: 10/1/2025</t>
  </si>
  <si>
    <t>Alterwood 2025 Initial Street Premium Period: 10/1/2025</t>
  </si>
  <si>
    <t>Notes: Alterwood HRA Bonus Payment October 2025. DH</t>
  </si>
  <si>
    <t>Alterwood HRA Bonus</t>
  </si>
  <si>
    <t>Alterwood MAPD 2025*</t>
  </si>
  <si>
    <t>Alterwood MAPD 2025</t>
  </si>
  <si>
    <t>Alterwood RN Ovr</t>
  </si>
  <si>
    <t>[%/$=313][prorate=1/12]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</si>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</sst>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2" fillId="2" borderId="0" xfId="0" applyFont="1" applyFill="1"/>
    <xf numFmtId="14" fontId="3" fillId="2" borderId="0" xfId="0" applyNumberFormat="1" applyFont="1" applyFill="1"/>
    <xf numFmtId="8" fontId="3" fillId="2" borderId="0" xfId="0" applyNumberFormat="1" applyFont="1" applyFill="1"/>
    <xf numFmtId="0" fontId="0" fillId="2" borderId="0" xfId="0" applyFill="1"/>
    <xf numFmtId="0" fontId="1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14" fontId="4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0" fontId="2" fillId="0" borderId="0" xfId="0" applyFont="1" applyFill="1"/>
    <xf numFmtId="0" fontId="0" fillId="0" borderId="0" xfId="0" applyFill="1"/>
    <xf numFmtId="14" fontId="3" fillId="0" borderId="0" xfId="0" applyNumberFormat="1" applyFont="1" applyFill="1"/>
    <xf numFmtId="8" fontId="3" fillId="0" borderId="0" xfId="0" applyNumberFormat="1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J11" sqref="J11"/>
    </sheetView>
  </sheetViews>
  <sheetFormatPr defaultColWidth="14.42578125" defaultRowHeight="15" customHeight="1" x14ac:dyDescent="0.25"/>
  <cols>
    <col min="1" max="1" width="20.140625" customWidth="1"/>
    <col min="2" max="2" width="15.42578125" customWidth="1"/>
    <col min="3" max="3" width="10.7109375" customWidth="1"/>
    <col min="4" max="4" width="10.5703125" customWidth="1"/>
    <col min="5" max="5" width="12.140625" customWidth="1"/>
    <col min="6" max="6" width="14.85546875" customWidth="1"/>
    <col min="7" max="7" width="11.85546875" customWidth="1"/>
    <col min="8" max="8" width="14.7109375" customWidth="1"/>
    <col min="9" max="9" width="23.7109375" customWidth="1"/>
    <col min="10" max="10" width="74.5703125" customWidth="1"/>
    <col min="11" max="11" width="15.7109375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>
        <v>9079571</v>
      </c>
      <c r="D2" s="1" t="s">
        <v>13</v>
      </c>
      <c r="E2" s="1" t="s">
        <v>14</v>
      </c>
      <c r="F2" s="1" t="s">
        <v>15</v>
      </c>
      <c r="G2" s="2">
        <v>44986</v>
      </c>
      <c r="H2" s="2">
        <v>45961</v>
      </c>
      <c r="I2" s="1" t="s">
        <v>16</v>
      </c>
      <c r="J2" s="1" t="s">
        <v>17</v>
      </c>
      <c r="K2" s="3">
        <v>8.33</v>
      </c>
    </row>
    <row r="3" spans="1:11" x14ac:dyDescent="0.25">
      <c r="A3" s="1" t="s">
        <v>11</v>
      </c>
      <c r="B3" s="1" t="s">
        <v>12</v>
      </c>
      <c r="C3" s="1">
        <v>9079571</v>
      </c>
      <c r="D3" s="1" t="s">
        <v>18</v>
      </c>
      <c r="E3" s="1" t="s">
        <v>19</v>
      </c>
      <c r="F3" s="1" t="s">
        <v>20</v>
      </c>
      <c r="G3" s="2">
        <v>45017</v>
      </c>
      <c r="H3" s="2">
        <v>45961</v>
      </c>
      <c r="I3" s="1" t="s">
        <v>16</v>
      </c>
      <c r="J3" s="1" t="s">
        <v>17</v>
      </c>
      <c r="K3" s="3">
        <v>8.33</v>
      </c>
    </row>
    <row r="4" spans="1:11" x14ac:dyDescent="0.25">
      <c r="A4" s="1" t="s">
        <v>11</v>
      </c>
      <c r="B4" s="1" t="s">
        <v>12</v>
      </c>
      <c r="C4" s="1">
        <v>9079571</v>
      </c>
      <c r="D4" s="1" t="s">
        <v>21</v>
      </c>
      <c r="E4" s="1" t="s">
        <v>22</v>
      </c>
      <c r="F4" s="1" t="s">
        <v>23</v>
      </c>
      <c r="G4" s="2">
        <v>45047</v>
      </c>
      <c r="H4" s="2">
        <v>45961</v>
      </c>
      <c r="I4" s="1" t="s">
        <v>16</v>
      </c>
      <c r="J4" s="1" t="s">
        <v>17</v>
      </c>
      <c r="K4" s="3">
        <v>8.33</v>
      </c>
    </row>
    <row r="5" spans="1:11" x14ac:dyDescent="0.25">
      <c r="A5" s="1" t="s">
        <v>11</v>
      </c>
      <c r="B5" s="1" t="s">
        <v>12</v>
      </c>
      <c r="C5" s="1">
        <v>9079571</v>
      </c>
      <c r="D5" s="1" t="s">
        <v>24</v>
      </c>
      <c r="E5" s="1" t="s">
        <v>25</v>
      </c>
      <c r="F5" s="1" t="s">
        <v>26</v>
      </c>
      <c r="G5" s="2">
        <v>45047</v>
      </c>
      <c r="H5" s="2">
        <v>45961</v>
      </c>
      <c r="I5" s="1" t="s">
        <v>16</v>
      </c>
      <c r="J5" s="1" t="s">
        <v>17</v>
      </c>
      <c r="K5" s="3">
        <v>8.33</v>
      </c>
    </row>
    <row r="6" spans="1:11" x14ac:dyDescent="0.25">
      <c r="A6" s="1" t="s">
        <v>11</v>
      </c>
      <c r="B6" s="1" t="s">
        <v>12</v>
      </c>
      <c r="C6" s="1">
        <v>9079571</v>
      </c>
      <c r="D6" s="1" t="s">
        <v>27</v>
      </c>
      <c r="E6" s="1" t="s">
        <v>28</v>
      </c>
      <c r="F6" s="1" t="s">
        <v>29</v>
      </c>
      <c r="G6" s="2">
        <v>45108</v>
      </c>
      <c r="H6" s="2">
        <v>45961</v>
      </c>
      <c r="I6" s="1" t="s">
        <v>16</v>
      </c>
      <c r="J6" s="1" t="s">
        <v>17</v>
      </c>
      <c r="K6" s="3">
        <v>8.33</v>
      </c>
    </row>
    <row r="7" spans="1:11" x14ac:dyDescent="0.25">
      <c r="A7" s="1" t="s">
        <v>11</v>
      </c>
      <c r="B7" s="1" t="s">
        <v>12</v>
      </c>
      <c r="C7" s="1">
        <v>9079571</v>
      </c>
      <c r="D7" s="1" t="s">
        <v>30</v>
      </c>
      <c r="E7" s="1" t="s">
        <v>28</v>
      </c>
      <c r="F7" s="1" t="s">
        <v>31</v>
      </c>
      <c r="G7" s="2">
        <v>45108</v>
      </c>
      <c r="H7" s="2">
        <v>45961</v>
      </c>
      <c r="I7" s="1" t="s">
        <v>16</v>
      </c>
      <c r="J7" s="1" t="s">
        <v>17</v>
      </c>
      <c r="K7" s="3">
        <v>8.33</v>
      </c>
    </row>
    <row r="8" spans="1:11" x14ac:dyDescent="0.25">
      <c r="A8" s="1" t="s">
        <v>11</v>
      </c>
      <c r="B8" s="1" t="s">
        <v>12</v>
      </c>
      <c r="C8" s="1">
        <v>9079571</v>
      </c>
      <c r="D8" s="1" t="s">
        <v>32</v>
      </c>
      <c r="E8" s="1" t="s">
        <v>33</v>
      </c>
      <c r="F8" s="1" t="s">
        <v>34</v>
      </c>
      <c r="G8" s="2">
        <v>45139</v>
      </c>
      <c r="H8" s="2">
        <v>45961</v>
      </c>
      <c r="I8" s="1" t="s">
        <v>16</v>
      </c>
      <c r="J8" s="1" t="s">
        <v>17</v>
      </c>
      <c r="K8" s="3">
        <v>8.33</v>
      </c>
    </row>
    <row r="9" spans="1:11" x14ac:dyDescent="0.25">
      <c r="A9" s="1" t="s">
        <v>11</v>
      </c>
      <c r="B9" s="1" t="s">
        <v>12</v>
      </c>
      <c r="C9" s="1">
        <v>9079571</v>
      </c>
      <c r="D9" s="1" t="s">
        <v>35</v>
      </c>
      <c r="E9" s="1" t="s">
        <v>36</v>
      </c>
      <c r="F9" s="1" t="s">
        <v>37</v>
      </c>
      <c r="G9" s="2">
        <v>45139</v>
      </c>
      <c r="H9" s="2">
        <v>45961</v>
      </c>
      <c r="I9" s="1" t="s">
        <v>16</v>
      </c>
      <c r="J9" s="1" t="s">
        <v>17</v>
      </c>
      <c r="K9" s="3">
        <v>8.33</v>
      </c>
    </row>
    <row r="10" spans="1:11" x14ac:dyDescent="0.25">
      <c r="A10" s="1" t="s">
        <v>11</v>
      </c>
      <c r="B10" s="1" t="s">
        <v>12</v>
      </c>
      <c r="C10" s="1">
        <v>9079571</v>
      </c>
      <c r="D10" s="1" t="s">
        <v>38</v>
      </c>
      <c r="E10" s="1" t="s">
        <v>39</v>
      </c>
      <c r="F10" s="1" t="s">
        <v>40</v>
      </c>
      <c r="G10" s="2">
        <v>45231</v>
      </c>
      <c r="H10" s="2">
        <v>45961</v>
      </c>
      <c r="I10" s="1" t="s">
        <v>16</v>
      </c>
      <c r="J10" s="1" t="s">
        <v>17</v>
      </c>
      <c r="K10" s="3">
        <v>8.33</v>
      </c>
    </row>
    <row r="11" spans="1:11" x14ac:dyDescent="0.25">
      <c r="A11" s="1" t="s">
        <v>11</v>
      </c>
      <c r="B11" s="1" t="s">
        <v>12</v>
      </c>
      <c r="C11" s="1">
        <v>9079571</v>
      </c>
      <c r="D11" s="1" t="s">
        <v>38</v>
      </c>
      <c r="E11" s="1" t="s">
        <v>41</v>
      </c>
      <c r="F11" s="1" t="s">
        <v>42</v>
      </c>
      <c r="G11" s="2">
        <v>45261</v>
      </c>
      <c r="H11" s="2">
        <v>45961</v>
      </c>
      <c r="I11" s="1" t="s">
        <v>16</v>
      </c>
      <c r="J11" s="1" t="s">
        <v>17</v>
      </c>
      <c r="K11" s="3">
        <v>8.33</v>
      </c>
    </row>
    <row r="12" spans="1:11" x14ac:dyDescent="0.25">
      <c r="A12" s="1" t="s">
        <v>11</v>
      </c>
      <c r="B12" s="1" t="s">
        <v>12</v>
      </c>
      <c r="C12" s="1">
        <v>9079571</v>
      </c>
      <c r="D12" s="1" t="s">
        <v>43</v>
      </c>
      <c r="E12" s="1" t="s">
        <v>44</v>
      </c>
      <c r="F12" s="1" t="s">
        <v>45</v>
      </c>
      <c r="G12" s="2">
        <v>45323</v>
      </c>
      <c r="H12" s="2">
        <v>45961</v>
      </c>
      <c r="I12" s="1" t="s">
        <v>16</v>
      </c>
      <c r="J12" s="1" t="s">
        <v>17</v>
      </c>
      <c r="K12" s="3">
        <v>8.33</v>
      </c>
    </row>
    <row r="13" spans="1:11" x14ac:dyDescent="0.25">
      <c r="A13" s="1" t="s">
        <v>11</v>
      </c>
      <c r="B13" s="1" t="s">
        <v>12</v>
      </c>
      <c r="C13" s="1">
        <v>9079571</v>
      </c>
      <c r="D13" s="1" t="s">
        <v>38</v>
      </c>
      <c r="E13" s="1" t="s">
        <v>46</v>
      </c>
      <c r="F13" s="1" t="s">
        <v>47</v>
      </c>
      <c r="G13" s="2">
        <v>45536</v>
      </c>
      <c r="H13" s="2">
        <v>45961</v>
      </c>
      <c r="I13" s="1" t="s">
        <v>16</v>
      </c>
      <c r="J13" s="1" t="s">
        <v>17</v>
      </c>
      <c r="K13" s="3">
        <v>8.33</v>
      </c>
    </row>
    <row r="14" spans="1:11" x14ac:dyDescent="0.25">
      <c r="A14" s="1" t="s">
        <v>48</v>
      </c>
      <c r="B14" s="1" t="s">
        <v>49</v>
      </c>
      <c r="C14" s="1">
        <v>7387433</v>
      </c>
      <c r="D14" s="1" t="s">
        <v>50</v>
      </c>
      <c r="E14" s="1" t="s">
        <v>51</v>
      </c>
      <c r="F14" s="1" t="s">
        <v>52</v>
      </c>
      <c r="G14" s="2">
        <v>45292</v>
      </c>
      <c r="H14" s="2">
        <v>45961</v>
      </c>
      <c r="I14" s="1" t="s">
        <v>16</v>
      </c>
      <c r="J14" s="1" t="s">
        <v>17</v>
      </c>
      <c r="K14" s="3">
        <v>8.33</v>
      </c>
    </row>
    <row r="15" spans="1:11" x14ac:dyDescent="0.25">
      <c r="A15" s="1" t="s">
        <v>48</v>
      </c>
      <c r="B15" s="1" t="s">
        <v>49</v>
      </c>
      <c r="C15" s="1">
        <v>7387433</v>
      </c>
      <c r="D15" s="1" t="s">
        <v>53</v>
      </c>
      <c r="E15" s="1" t="s">
        <v>54</v>
      </c>
      <c r="F15" s="1" t="s">
        <v>55</v>
      </c>
      <c r="G15" s="2">
        <v>45292</v>
      </c>
      <c r="H15" s="2">
        <v>45961</v>
      </c>
      <c r="I15" s="1" t="s">
        <v>16</v>
      </c>
      <c r="J15" s="1" t="s">
        <v>17</v>
      </c>
      <c r="K15" s="3">
        <v>8.33</v>
      </c>
    </row>
    <row r="16" spans="1:11" x14ac:dyDescent="0.25">
      <c r="A16" s="1" t="s">
        <v>48</v>
      </c>
      <c r="B16" s="1" t="s">
        <v>49</v>
      </c>
      <c r="C16" s="1">
        <v>7387433</v>
      </c>
      <c r="D16" s="1" t="s">
        <v>56</v>
      </c>
      <c r="E16" s="1" t="s">
        <v>57</v>
      </c>
      <c r="F16" s="1" t="s">
        <v>58</v>
      </c>
      <c r="G16" s="2">
        <v>45566</v>
      </c>
      <c r="H16" s="2">
        <v>45961</v>
      </c>
      <c r="I16" s="1" t="s">
        <v>16</v>
      </c>
      <c r="J16" s="1" t="s">
        <v>17</v>
      </c>
      <c r="K16" s="3">
        <v>8.33</v>
      </c>
    </row>
    <row r="17" spans="1:11" x14ac:dyDescent="0.25">
      <c r="A17" s="1" t="s">
        <v>59</v>
      </c>
      <c r="C17" s="1">
        <v>16751785</v>
      </c>
      <c r="D17" s="1" t="s">
        <v>60</v>
      </c>
      <c r="E17" s="1" t="s">
        <v>61</v>
      </c>
      <c r="F17" s="1" t="s">
        <v>62</v>
      </c>
      <c r="G17" s="2">
        <v>45292</v>
      </c>
      <c r="H17" s="2">
        <v>45961</v>
      </c>
      <c r="I17" s="1" t="s">
        <v>16</v>
      </c>
      <c r="J17" s="1" t="s">
        <v>17</v>
      </c>
      <c r="K17" s="3">
        <v>8.33</v>
      </c>
    </row>
    <row r="18" spans="1:11" x14ac:dyDescent="0.25">
      <c r="A18" s="1" t="s">
        <v>63</v>
      </c>
      <c r="B18" s="1" t="s">
        <v>64</v>
      </c>
      <c r="C18" s="1">
        <v>16202925</v>
      </c>
      <c r="D18" s="1" t="s">
        <v>65</v>
      </c>
      <c r="E18" s="1" t="s">
        <v>66</v>
      </c>
      <c r="F18" s="1" t="s">
        <v>67</v>
      </c>
      <c r="G18" s="2">
        <v>45108</v>
      </c>
      <c r="H18" s="2">
        <v>45961</v>
      </c>
      <c r="I18" s="1" t="s">
        <v>16</v>
      </c>
      <c r="J18" s="1" t="s">
        <v>17</v>
      </c>
      <c r="K18" s="3">
        <v>8.33</v>
      </c>
    </row>
    <row r="19" spans="1:11" x14ac:dyDescent="0.25">
      <c r="A19" s="1" t="s">
        <v>63</v>
      </c>
      <c r="B19" s="1" t="s">
        <v>64</v>
      </c>
      <c r="C19" s="1">
        <v>16202925</v>
      </c>
      <c r="D19" s="1" t="s">
        <v>68</v>
      </c>
      <c r="E19" s="1" t="s">
        <v>69</v>
      </c>
      <c r="F19" s="1" t="s">
        <v>70</v>
      </c>
      <c r="G19" s="2">
        <v>45292</v>
      </c>
      <c r="H19" s="2">
        <v>45961</v>
      </c>
      <c r="I19" s="1" t="s">
        <v>16</v>
      </c>
      <c r="J19" s="1" t="s">
        <v>17</v>
      </c>
      <c r="K19" s="3">
        <v>8.33</v>
      </c>
    </row>
    <row r="20" spans="1:11" x14ac:dyDescent="0.25">
      <c r="A20" s="1" t="s">
        <v>63</v>
      </c>
      <c r="B20" s="1" t="s">
        <v>64</v>
      </c>
      <c r="C20" s="1">
        <v>16202925</v>
      </c>
      <c r="D20" s="1" t="s">
        <v>71</v>
      </c>
      <c r="E20" s="1" t="s">
        <v>72</v>
      </c>
      <c r="F20" s="1" t="s">
        <v>73</v>
      </c>
      <c r="G20" s="2">
        <v>45292</v>
      </c>
      <c r="H20" s="2">
        <v>45961</v>
      </c>
      <c r="I20" s="1" t="s">
        <v>16</v>
      </c>
      <c r="J20" s="1" t="s">
        <v>17</v>
      </c>
      <c r="K20" s="3">
        <v>8.33</v>
      </c>
    </row>
    <row r="21" spans="1:11" ht="15.75" customHeight="1" x14ac:dyDescent="0.25">
      <c r="A21" s="1" t="s">
        <v>63</v>
      </c>
      <c r="B21" s="1" t="s">
        <v>64</v>
      </c>
      <c r="C21" s="1">
        <v>16202925</v>
      </c>
      <c r="D21" s="1" t="s">
        <v>74</v>
      </c>
      <c r="E21" s="1" t="s">
        <v>75</v>
      </c>
      <c r="F21" s="1" t="s">
        <v>76</v>
      </c>
      <c r="G21" s="2">
        <v>45292</v>
      </c>
      <c r="H21" s="2">
        <v>45961</v>
      </c>
      <c r="I21" s="1" t="s">
        <v>16</v>
      </c>
      <c r="J21" s="1" t="s">
        <v>17</v>
      </c>
      <c r="K21" s="3">
        <v>8.33</v>
      </c>
    </row>
    <row r="22" spans="1:11" ht="15.75" customHeight="1" x14ac:dyDescent="0.25">
      <c r="A22" s="1" t="s">
        <v>63</v>
      </c>
      <c r="B22" s="1" t="s">
        <v>64</v>
      </c>
      <c r="C22" s="1">
        <v>16202925</v>
      </c>
      <c r="D22" s="1" t="s">
        <v>77</v>
      </c>
      <c r="E22" s="1" t="s">
        <v>78</v>
      </c>
      <c r="F22" s="1" t="s">
        <v>79</v>
      </c>
      <c r="G22" s="2">
        <v>45323</v>
      </c>
      <c r="H22" s="2">
        <v>45961</v>
      </c>
      <c r="I22" s="1" t="s">
        <v>16</v>
      </c>
      <c r="J22" s="1" t="s">
        <v>17</v>
      </c>
      <c r="K22" s="3">
        <v>8.33</v>
      </c>
    </row>
    <row r="23" spans="1:11" ht="15.75" customHeight="1" x14ac:dyDescent="0.25">
      <c r="A23" s="1" t="s">
        <v>63</v>
      </c>
      <c r="B23" s="1" t="s">
        <v>64</v>
      </c>
      <c r="C23" s="1">
        <v>16202925</v>
      </c>
      <c r="D23" s="1" t="s">
        <v>80</v>
      </c>
      <c r="E23" s="1" t="s">
        <v>81</v>
      </c>
      <c r="F23" s="1" t="s">
        <v>82</v>
      </c>
      <c r="G23" s="2">
        <v>45566</v>
      </c>
      <c r="H23" s="2">
        <v>45961</v>
      </c>
      <c r="I23" s="1" t="s">
        <v>16</v>
      </c>
      <c r="J23" s="1" t="s">
        <v>17</v>
      </c>
      <c r="K23" s="3">
        <v>8.33</v>
      </c>
    </row>
    <row r="24" spans="1:11" ht="15.75" customHeight="1" x14ac:dyDescent="0.25">
      <c r="A24" s="1" t="s">
        <v>63</v>
      </c>
      <c r="B24" s="1" t="s">
        <v>64</v>
      </c>
      <c r="C24" s="1">
        <v>16202925</v>
      </c>
      <c r="D24" s="1" t="s">
        <v>38</v>
      </c>
      <c r="E24" s="1" t="s">
        <v>81</v>
      </c>
      <c r="F24" s="1" t="s">
        <v>83</v>
      </c>
      <c r="G24" s="2">
        <v>45566</v>
      </c>
      <c r="H24" s="2">
        <v>45961</v>
      </c>
      <c r="I24" s="1" t="s">
        <v>16</v>
      </c>
      <c r="J24" s="1" t="s">
        <v>17</v>
      </c>
      <c r="K24" s="3">
        <v>8.33</v>
      </c>
    </row>
    <row r="25" spans="1:11" ht="15.75" customHeight="1" x14ac:dyDescent="0.25">
      <c r="A25" s="1" t="s">
        <v>63</v>
      </c>
      <c r="B25" s="1" t="s">
        <v>64</v>
      </c>
      <c r="C25" s="1">
        <v>16202925</v>
      </c>
      <c r="D25" s="1" t="s">
        <v>84</v>
      </c>
      <c r="E25" s="1" t="s">
        <v>85</v>
      </c>
      <c r="F25" s="1" t="s">
        <v>86</v>
      </c>
      <c r="G25" s="2">
        <v>45597</v>
      </c>
      <c r="H25" s="2">
        <v>45961</v>
      </c>
      <c r="I25" s="1" t="s">
        <v>16</v>
      </c>
      <c r="J25" s="1" t="s">
        <v>17</v>
      </c>
      <c r="K25" s="3">
        <v>8.33</v>
      </c>
    </row>
    <row r="26" spans="1:11" ht="15.75" customHeight="1" x14ac:dyDescent="0.25">
      <c r="A26" s="1" t="s">
        <v>87</v>
      </c>
      <c r="B26" s="1" t="s">
        <v>88</v>
      </c>
      <c r="C26" s="1">
        <v>5442438</v>
      </c>
      <c r="D26" s="1" t="s">
        <v>89</v>
      </c>
      <c r="E26" s="1" t="s">
        <v>90</v>
      </c>
      <c r="F26" s="1" t="s">
        <v>91</v>
      </c>
      <c r="G26" s="2">
        <v>45931</v>
      </c>
      <c r="H26" s="2">
        <v>45961</v>
      </c>
      <c r="I26" s="1" t="s">
        <v>16</v>
      </c>
      <c r="J26" s="1" t="s">
        <v>92</v>
      </c>
      <c r="K26" s="3">
        <v>125</v>
      </c>
    </row>
    <row r="27" spans="1:11" ht="15.75" customHeight="1" x14ac:dyDescent="0.25">
      <c r="A27" s="1" t="s">
        <v>11</v>
      </c>
      <c r="B27" s="1" t="s">
        <v>12</v>
      </c>
      <c r="C27" s="1">
        <v>9079571</v>
      </c>
      <c r="D27" s="1" t="s">
        <v>13</v>
      </c>
      <c r="E27" s="1" t="s">
        <v>14</v>
      </c>
      <c r="F27" s="1" t="s">
        <v>15</v>
      </c>
      <c r="G27" s="2">
        <v>44986</v>
      </c>
      <c r="H27" s="2">
        <v>45961</v>
      </c>
      <c r="I27" s="1" t="s">
        <v>16</v>
      </c>
      <c r="J27" s="1" t="s">
        <v>93</v>
      </c>
      <c r="K27" s="3">
        <v>26.08</v>
      </c>
    </row>
    <row r="28" spans="1:11" ht="15.75" customHeight="1" x14ac:dyDescent="0.25">
      <c r="A28" s="1" t="s">
        <v>11</v>
      </c>
      <c r="B28" s="1" t="s">
        <v>12</v>
      </c>
      <c r="C28" s="1">
        <v>9079571</v>
      </c>
      <c r="D28" s="1" t="s">
        <v>18</v>
      </c>
      <c r="E28" s="1" t="s">
        <v>19</v>
      </c>
      <c r="F28" s="1" t="s">
        <v>20</v>
      </c>
      <c r="G28" s="2">
        <v>45017</v>
      </c>
      <c r="H28" s="2">
        <v>45961</v>
      </c>
      <c r="I28" s="1" t="s">
        <v>16</v>
      </c>
      <c r="J28" s="1" t="s">
        <v>93</v>
      </c>
      <c r="K28" s="3">
        <v>26.08</v>
      </c>
    </row>
    <row r="29" spans="1:11" ht="15.75" customHeight="1" x14ac:dyDescent="0.25">
      <c r="A29" s="1" t="s">
        <v>11</v>
      </c>
      <c r="B29" s="1" t="s">
        <v>12</v>
      </c>
      <c r="C29" s="1">
        <v>9079571</v>
      </c>
      <c r="D29" s="1" t="s">
        <v>21</v>
      </c>
      <c r="E29" s="1" t="s">
        <v>22</v>
      </c>
      <c r="F29" s="1" t="s">
        <v>23</v>
      </c>
      <c r="G29" s="2">
        <v>45047</v>
      </c>
      <c r="H29" s="2">
        <v>45961</v>
      </c>
      <c r="I29" s="1" t="s">
        <v>16</v>
      </c>
      <c r="J29" s="1" t="s">
        <v>93</v>
      </c>
      <c r="K29" s="3">
        <v>26.08</v>
      </c>
    </row>
    <row r="30" spans="1:11" ht="15.75" customHeight="1" x14ac:dyDescent="0.25">
      <c r="A30" s="1" t="s">
        <v>11</v>
      </c>
      <c r="B30" s="1" t="s">
        <v>12</v>
      </c>
      <c r="C30" s="1">
        <v>9079571</v>
      </c>
      <c r="D30" s="1" t="s">
        <v>24</v>
      </c>
      <c r="E30" s="1" t="s">
        <v>25</v>
      </c>
      <c r="F30" s="1" t="s">
        <v>26</v>
      </c>
      <c r="G30" s="2">
        <v>45047</v>
      </c>
      <c r="H30" s="2">
        <v>45961</v>
      </c>
      <c r="I30" s="1" t="s">
        <v>16</v>
      </c>
      <c r="J30" s="1" t="s">
        <v>93</v>
      </c>
      <c r="K30" s="3">
        <v>26.08</v>
      </c>
    </row>
    <row r="31" spans="1:11" ht="15.75" customHeight="1" x14ac:dyDescent="0.25">
      <c r="A31" s="1" t="s">
        <v>11</v>
      </c>
      <c r="B31" s="1" t="s">
        <v>12</v>
      </c>
      <c r="C31" s="1">
        <v>9079571</v>
      </c>
      <c r="D31" s="1" t="s">
        <v>27</v>
      </c>
      <c r="E31" s="1" t="s">
        <v>28</v>
      </c>
      <c r="F31" s="1" t="s">
        <v>29</v>
      </c>
      <c r="G31" s="2">
        <v>45108</v>
      </c>
      <c r="H31" s="2">
        <v>45961</v>
      </c>
      <c r="I31" s="1" t="s">
        <v>16</v>
      </c>
      <c r="J31" s="1" t="s">
        <v>93</v>
      </c>
      <c r="K31" s="3">
        <v>26.08</v>
      </c>
    </row>
    <row r="32" spans="1:11" ht="15.75" customHeight="1" x14ac:dyDescent="0.25">
      <c r="A32" s="1" t="s">
        <v>11</v>
      </c>
      <c r="B32" s="1" t="s">
        <v>12</v>
      </c>
      <c r="C32" s="1">
        <v>9079571</v>
      </c>
      <c r="D32" s="1" t="s">
        <v>30</v>
      </c>
      <c r="E32" s="1" t="s">
        <v>28</v>
      </c>
      <c r="F32" s="1" t="s">
        <v>31</v>
      </c>
      <c r="G32" s="2">
        <v>45108</v>
      </c>
      <c r="H32" s="2">
        <v>45961</v>
      </c>
      <c r="I32" s="1" t="s">
        <v>16</v>
      </c>
      <c r="J32" s="1" t="s">
        <v>93</v>
      </c>
      <c r="K32" s="3">
        <v>26.08</v>
      </c>
    </row>
    <row r="33" spans="1:11" ht="15.75" customHeight="1" x14ac:dyDescent="0.25">
      <c r="A33" s="1" t="s">
        <v>11</v>
      </c>
      <c r="B33" s="1" t="s">
        <v>12</v>
      </c>
      <c r="C33" s="1">
        <v>9079571</v>
      </c>
      <c r="D33" s="1" t="s">
        <v>32</v>
      </c>
      <c r="E33" s="1" t="s">
        <v>33</v>
      </c>
      <c r="F33" s="1" t="s">
        <v>34</v>
      </c>
      <c r="G33" s="2">
        <v>45139</v>
      </c>
      <c r="H33" s="2">
        <v>45961</v>
      </c>
      <c r="I33" s="1" t="s">
        <v>16</v>
      </c>
      <c r="J33" s="1" t="s">
        <v>93</v>
      </c>
      <c r="K33" s="3">
        <v>26.08</v>
      </c>
    </row>
    <row r="34" spans="1:11" ht="15.75" customHeight="1" x14ac:dyDescent="0.25">
      <c r="A34" s="1" t="s">
        <v>11</v>
      </c>
      <c r="B34" s="1" t="s">
        <v>12</v>
      </c>
      <c r="C34" s="1">
        <v>9079571</v>
      </c>
      <c r="D34" s="1" t="s">
        <v>35</v>
      </c>
      <c r="E34" s="1" t="s">
        <v>36</v>
      </c>
      <c r="F34" s="1" t="s">
        <v>37</v>
      </c>
      <c r="G34" s="2">
        <v>45139</v>
      </c>
      <c r="H34" s="2">
        <v>45961</v>
      </c>
      <c r="I34" s="1" t="s">
        <v>16</v>
      </c>
      <c r="J34" s="1" t="s">
        <v>93</v>
      </c>
      <c r="K34" s="3">
        <v>26.08</v>
      </c>
    </row>
    <row r="35" spans="1:11" ht="15.75" customHeight="1" x14ac:dyDescent="0.25">
      <c r="A35" s="1" t="s">
        <v>11</v>
      </c>
      <c r="B35" s="1" t="s">
        <v>12</v>
      </c>
      <c r="C35" s="1">
        <v>9079571</v>
      </c>
      <c r="D35" s="1" t="s">
        <v>38</v>
      </c>
      <c r="E35" s="1" t="s">
        <v>39</v>
      </c>
      <c r="F35" s="1" t="s">
        <v>40</v>
      </c>
      <c r="G35" s="2">
        <v>45231</v>
      </c>
      <c r="H35" s="2">
        <v>45961</v>
      </c>
      <c r="I35" s="1" t="s">
        <v>16</v>
      </c>
      <c r="J35" s="1" t="s">
        <v>93</v>
      </c>
      <c r="K35" s="3">
        <v>26.08</v>
      </c>
    </row>
    <row r="36" spans="1:11" ht="15.75" customHeight="1" x14ac:dyDescent="0.25">
      <c r="A36" s="1" t="s">
        <v>11</v>
      </c>
      <c r="B36" s="1" t="s">
        <v>12</v>
      </c>
      <c r="C36" s="1">
        <v>9079571</v>
      </c>
      <c r="D36" s="1" t="s">
        <v>38</v>
      </c>
      <c r="E36" s="1" t="s">
        <v>41</v>
      </c>
      <c r="F36" s="1" t="s">
        <v>42</v>
      </c>
      <c r="G36" s="2">
        <v>45261</v>
      </c>
      <c r="H36" s="2">
        <v>45961</v>
      </c>
      <c r="I36" s="1" t="s">
        <v>16</v>
      </c>
      <c r="J36" s="1" t="s">
        <v>93</v>
      </c>
      <c r="K36" s="3">
        <v>26.08</v>
      </c>
    </row>
    <row r="37" spans="1:11" ht="15.75" customHeight="1" x14ac:dyDescent="0.25">
      <c r="A37" s="1" t="s">
        <v>11</v>
      </c>
      <c r="B37" s="1" t="s">
        <v>12</v>
      </c>
      <c r="C37" s="1">
        <v>9079571</v>
      </c>
      <c r="D37" s="1" t="s">
        <v>43</v>
      </c>
      <c r="E37" s="1" t="s">
        <v>44</v>
      </c>
      <c r="F37" s="1" t="s">
        <v>45</v>
      </c>
      <c r="G37" s="2">
        <v>45323</v>
      </c>
      <c r="H37" s="2">
        <v>45961</v>
      </c>
      <c r="I37" s="1" t="s">
        <v>16</v>
      </c>
      <c r="J37" s="1" t="s">
        <v>93</v>
      </c>
      <c r="K37" s="3">
        <v>26.08</v>
      </c>
    </row>
    <row r="38" spans="1:11" ht="15.75" customHeight="1" x14ac:dyDescent="0.25">
      <c r="A38" s="1" t="s">
        <v>11</v>
      </c>
      <c r="B38" s="1" t="s">
        <v>12</v>
      </c>
      <c r="C38" s="1">
        <v>9079571</v>
      </c>
      <c r="D38" s="1" t="s">
        <v>38</v>
      </c>
      <c r="E38" s="1" t="s">
        <v>46</v>
      </c>
      <c r="F38" s="1" t="s">
        <v>47</v>
      </c>
      <c r="G38" s="2">
        <v>45536</v>
      </c>
      <c r="H38" s="2">
        <v>45961</v>
      </c>
      <c r="I38" s="1" t="s">
        <v>16</v>
      </c>
      <c r="J38" s="1" t="s">
        <v>93</v>
      </c>
      <c r="K38" s="3">
        <v>26.08</v>
      </c>
    </row>
    <row r="39" spans="1:11" ht="15.75" customHeight="1" x14ac:dyDescent="0.25">
      <c r="A39" s="1" t="s">
        <v>48</v>
      </c>
      <c r="B39" s="1" t="s">
        <v>49</v>
      </c>
      <c r="C39" s="1">
        <v>7387433</v>
      </c>
      <c r="D39" s="1" t="s">
        <v>50</v>
      </c>
      <c r="E39" s="1" t="s">
        <v>51</v>
      </c>
      <c r="F39" s="1" t="s">
        <v>52</v>
      </c>
      <c r="G39" s="2">
        <v>45292</v>
      </c>
      <c r="H39" s="2">
        <v>45961</v>
      </c>
      <c r="I39" s="1" t="s">
        <v>16</v>
      </c>
      <c r="J39" s="1" t="s">
        <v>93</v>
      </c>
      <c r="K39" s="3">
        <v>26.08</v>
      </c>
    </row>
    <row r="40" spans="1:11" ht="15.75" customHeight="1" x14ac:dyDescent="0.25">
      <c r="A40" s="1" t="s">
        <v>48</v>
      </c>
      <c r="B40" s="1" t="s">
        <v>49</v>
      </c>
      <c r="C40" s="1">
        <v>7387433</v>
      </c>
      <c r="D40" s="1" t="s">
        <v>53</v>
      </c>
      <c r="E40" s="1" t="s">
        <v>54</v>
      </c>
      <c r="F40" s="1" t="s">
        <v>55</v>
      </c>
      <c r="G40" s="2">
        <v>45292</v>
      </c>
      <c r="H40" s="2">
        <v>45961</v>
      </c>
      <c r="I40" s="1" t="s">
        <v>16</v>
      </c>
      <c r="J40" s="1" t="s">
        <v>93</v>
      </c>
      <c r="K40" s="3">
        <v>26.08</v>
      </c>
    </row>
    <row r="41" spans="1:11" ht="15.75" customHeight="1" x14ac:dyDescent="0.25">
      <c r="A41" s="1" t="s">
        <v>48</v>
      </c>
      <c r="B41" s="1" t="s">
        <v>49</v>
      </c>
      <c r="C41" s="1">
        <v>7387433</v>
      </c>
      <c r="D41" s="1" t="s">
        <v>56</v>
      </c>
      <c r="E41" s="1" t="s">
        <v>57</v>
      </c>
      <c r="F41" s="1" t="s">
        <v>58</v>
      </c>
      <c r="G41" s="2">
        <v>45566</v>
      </c>
      <c r="H41" s="2">
        <v>45961</v>
      </c>
      <c r="I41" s="1" t="s">
        <v>16</v>
      </c>
      <c r="J41" s="1" t="s">
        <v>93</v>
      </c>
      <c r="K41" s="3">
        <v>26.08</v>
      </c>
    </row>
    <row r="42" spans="1:11" ht="15.75" customHeight="1" x14ac:dyDescent="0.25">
      <c r="A42" s="1" t="s">
        <v>59</v>
      </c>
      <c r="C42" s="1">
        <v>16751785</v>
      </c>
      <c r="D42" s="1" t="s">
        <v>60</v>
      </c>
      <c r="E42" s="1" t="s">
        <v>61</v>
      </c>
      <c r="F42" s="1" t="s">
        <v>62</v>
      </c>
      <c r="G42" s="2">
        <v>45292</v>
      </c>
      <c r="H42" s="2">
        <v>45961</v>
      </c>
      <c r="I42" s="1" t="s">
        <v>16</v>
      </c>
      <c r="J42" s="1" t="s">
        <v>93</v>
      </c>
      <c r="K42" s="3">
        <v>26.08</v>
      </c>
    </row>
    <row r="43" spans="1:11" ht="15.75" customHeight="1" x14ac:dyDescent="0.25">
      <c r="A43" s="1" t="s">
        <v>63</v>
      </c>
      <c r="B43" s="1" t="s">
        <v>64</v>
      </c>
      <c r="C43" s="1">
        <v>16202925</v>
      </c>
      <c r="D43" s="1" t="s">
        <v>65</v>
      </c>
      <c r="E43" s="1" t="s">
        <v>66</v>
      </c>
      <c r="F43" s="1" t="s">
        <v>67</v>
      </c>
      <c r="G43" s="2">
        <v>45108</v>
      </c>
      <c r="H43" s="2">
        <v>45961</v>
      </c>
      <c r="I43" s="1" t="s">
        <v>16</v>
      </c>
      <c r="J43" s="1" t="s">
        <v>93</v>
      </c>
      <c r="K43" s="3">
        <v>26.08</v>
      </c>
    </row>
    <row r="44" spans="1:11" ht="15.75" customHeight="1" x14ac:dyDescent="0.25">
      <c r="A44" s="1" t="s">
        <v>63</v>
      </c>
      <c r="B44" s="1" t="s">
        <v>64</v>
      </c>
      <c r="C44" s="1">
        <v>16202925</v>
      </c>
      <c r="D44" s="1" t="s">
        <v>68</v>
      </c>
      <c r="E44" s="1" t="s">
        <v>69</v>
      </c>
      <c r="F44" s="1" t="s">
        <v>70</v>
      </c>
      <c r="G44" s="2">
        <v>45292</v>
      </c>
      <c r="H44" s="2">
        <v>45961</v>
      </c>
      <c r="I44" s="1" t="s">
        <v>16</v>
      </c>
      <c r="J44" s="1" t="s">
        <v>93</v>
      </c>
      <c r="K44" s="3">
        <v>26.08</v>
      </c>
    </row>
    <row r="45" spans="1:11" ht="15.75" customHeight="1" x14ac:dyDescent="0.25">
      <c r="A45" s="1" t="s">
        <v>63</v>
      </c>
      <c r="B45" s="1" t="s">
        <v>64</v>
      </c>
      <c r="C45" s="1">
        <v>16202925</v>
      </c>
      <c r="D45" s="1" t="s">
        <v>71</v>
      </c>
      <c r="E45" s="1" t="s">
        <v>72</v>
      </c>
      <c r="F45" s="1" t="s">
        <v>73</v>
      </c>
      <c r="G45" s="2">
        <v>45292</v>
      </c>
      <c r="H45" s="2">
        <v>45961</v>
      </c>
      <c r="I45" s="1" t="s">
        <v>16</v>
      </c>
      <c r="J45" s="1" t="s">
        <v>93</v>
      </c>
      <c r="K45" s="3">
        <v>26.08</v>
      </c>
    </row>
    <row r="46" spans="1:11" ht="15.75" customHeight="1" x14ac:dyDescent="0.25">
      <c r="A46" s="1" t="s">
        <v>63</v>
      </c>
      <c r="B46" s="1" t="s">
        <v>64</v>
      </c>
      <c r="C46" s="1">
        <v>16202925</v>
      </c>
      <c r="D46" s="1" t="s">
        <v>74</v>
      </c>
      <c r="E46" s="1" t="s">
        <v>75</v>
      </c>
      <c r="F46" s="1" t="s">
        <v>76</v>
      </c>
      <c r="G46" s="2">
        <v>45292</v>
      </c>
      <c r="H46" s="2">
        <v>45961</v>
      </c>
      <c r="I46" s="1" t="s">
        <v>16</v>
      </c>
      <c r="J46" s="1" t="s">
        <v>93</v>
      </c>
      <c r="K46" s="3">
        <v>26.08</v>
      </c>
    </row>
    <row r="47" spans="1:11" ht="15.75" customHeight="1" x14ac:dyDescent="0.25">
      <c r="A47" s="1" t="s">
        <v>63</v>
      </c>
      <c r="B47" s="1" t="s">
        <v>64</v>
      </c>
      <c r="C47" s="1">
        <v>16202925</v>
      </c>
      <c r="D47" s="1" t="s">
        <v>77</v>
      </c>
      <c r="E47" s="1" t="s">
        <v>78</v>
      </c>
      <c r="F47" s="1" t="s">
        <v>79</v>
      </c>
      <c r="G47" s="2">
        <v>45323</v>
      </c>
      <c r="H47" s="2">
        <v>45961</v>
      </c>
      <c r="I47" s="1" t="s">
        <v>16</v>
      </c>
      <c r="J47" s="1" t="s">
        <v>93</v>
      </c>
      <c r="K47" s="3">
        <v>26.08</v>
      </c>
    </row>
    <row r="48" spans="1:11" ht="15.75" customHeight="1" x14ac:dyDescent="0.25">
      <c r="A48" s="1" t="s">
        <v>63</v>
      </c>
      <c r="B48" s="1" t="s">
        <v>64</v>
      </c>
      <c r="C48" s="1">
        <v>16202925</v>
      </c>
      <c r="D48" s="1" t="s">
        <v>80</v>
      </c>
      <c r="E48" s="1" t="s">
        <v>81</v>
      </c>
      <c r="F48" s="1" t="s">
        <v>82</v>
      </c>
      <c r="G48" s="2">
        <v>45566</v>
      </c>
      <c r="H48" s="2">
        <v>45961</v>
      </c>
      <c r="I48" s="1" t="s">
        <v>16</v>
      </c>
      <c r="J48" s="1" t="s">
        <v>93</v>
      </c>
      <c r="K48" s="3">
        <v>26.08</v>
      </c>
    </row>
    <row r="49" spans="1:11" ht="15.75" customHeight="1" x14ac:dyDescent="0.25">
      <c r="A49" s="1" t="s">
        <v>63</v>
      </c>
      <c r="B49" s="1" t="s">
        <v>64</v>
      </c>
      <c r="C49" s="1">
        <v>16202925</v>
      </c>
      <c r="D49" s="1" t="s">
        <v>38</v>
      </c>
      <c r="E49" s="1" t="s">
        <v>81</v>
      </c>
      <c r="F49" s="1" t="s">
        <v>83</v>
      </c>
      <c r="G49" s="2">
        <v>45566</v>
      </c>
      <c r="H49" s="2">
        <v>45961</v>
      </c>
      <c r="I49" s="1" t="s">
        <v>16</v>
      </c>
      <c r="J49" s="1" t="s">
        <v>93</v>
      </c>
      <c r="K49" s="3">
        <v>26.08</v>
      </c>
    </row>
    <row r="50" spans="1:11" ht="15.75" customHeight="1" x14ac:dyDescent="0.25">
      <c r="A50" s="1" t="s">
        <v>63</v>
      </c>
      <c r="B50" s="1" t="s">
        <v>64</v>
      </c>
      <c r="C50" s="1">
        <v>16202925</v>
      </c>
      <c r="D50" s="1" t="s">
        <v>84</v>
      </c>
      <c r="E50" s="1" t="s">
        <v>85</v>
      </c>
      <c r="F50" s="1" t="s">
        <v>86</v>
      </c>
      <c r="G50" s="2">
        <v>45597</v>
      </c>
      <c r="H50" s="2">
        <v>45961</v>
      </c>
      <c r="I50" s="1" t="s">
        <v>16</v>
      </c>
      <c r="J50" s="1" t="s">
        <v>93</v>
      </c>
      <c r="K50" s="3">
        <v>26.08</v>
      </c>
    </row>
    <row r="51" spans="1:11" ht="15.75" customHeight="1" x14ac:dyDescent="0.25">
      <c r="A51" s="1" t="s">
        <v>87</v>
      </c>
      <c r="B51" s="1" t="s">
        <v>88</v>
      </c>
      <c r="C51" s="1">
        <v>5442438</v>
      </c>
      <c r="D51" s="1" t="s">
        <v>89</v>
      </c>
      <c r="E51" s="1" t="s">
        <v>90</v>
      </c>
      <c r="F51" s="1" t="s">
        <v>91</v>
      </c>
      <c r="G51" s="2">
        <v>45931</v>
      </c>
      <c r="H51" s="2">
        <v>45961</v>
      </c>
      <c r="I51" s="1" t="s">
        <v>16</v>
      </c>
      <c r="J51" s="1" t="s">
        <v>94</v>
      </c>
      <c r="K51" s="3">
        <v>626</v>
      </c>
    </row>
    <row r="52" spans="1:11" ht="15.75" customHeight="1" x14ac:dyDescent="0.25">
      <c r="A52" s="4" t="s">
        <v>87</v>
      </c>
      <c r="B52" s="4"/>
      <c r="C52" s="5">
        <v>5442438</v>
      </c>
      <c r="D52" s="4" t="s">
        <v>89</v>
      </c>
      <c r="E52" s="4" t="s">
        <v>90</v>
      </c>
      <c r="F52" s="4" t="s">
        <v>91</v>
      </c>
      <c r="G52" s="6">
        <v>45931</v>
      </c>
      <c r="H52" s="6">
        <v>45961</v>
      </c>
      <c r="I52" s="4" t="s">
        <v>16</v>
      </c>
      <c r="J52" s="4" t="s">
        <v>95</v>
      </c>
      <c r="K52" s="7">
        <v>100</v>
      </c>
    </row>
    <row r="53" spans="1:11" ht="15.75" customHeight="1" x14ac:dyDescent="0.25"/>
    <row r="54" spans="1:11" ht="15.75" customHeight="1" x14ac:dyDescent="0.25"/>
    <row r="55" spans="1:11" ht="15.75" customHeight="1" x14ac:dyDescent="0.25"/>
    <row r="56" spans="1:11" ht="15.75" customHeight="1" x14ac:dyDescent="0.25"/>
    <row r="57" spans="1:11" ht="15.75" customHeight="1" x14ac:dyDescent="0.25"/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7CCF-4CF2-4BBB-82E7-AB83D97FD273}">
  <dimension ref="A1:N976"/>
  <sheetViews>
    <sheetView topLeftCell="M1" workbookViewId="0">
      <selection activeCell="N2" sqref="N2:N27"/>
    </sheetView>
  </sheetViews>
  <sheetFormatPr defaultColWidth="14.42578125" defaultRowHeight="15" x14ac:dyDescent="0.25"/>
  <cols>
    <col min="1" max="1" width="20.140625" style="18" customWidth="1"/>
    <col min="2" max="2" width="10.7109375" style="18" customWidth="1"/>
    <col min="3" max="3" width="10.5703125" style="18" customWidth="1"/>
    <col min="4" max="4" width="12.140625" style="18" customWidth="1"/>
    <col min="5" max="5" width="20.140625" style="18" customWidth="1"/>
    <col min="6" max="6" width="14.85546875" style="18" customWidth="1"/>
    <col min="7" max="7" width="16.5703125" style="18" bestFit="1" customWidth="1"/>
    <col min="8" max="8" width="11.85546875" style="18" customWidth="1"/>
    <col min="9" max="9" width="14.7109375" style="18" customWidth="1"/>
    <col min="10" max="10" width="23.7109375" style="18" customWidth="1"/>
    <col min="11" max="11" width="34.7109375" style="18" customWidth="1"/>
    <col min="12" max="12" width="15.7109375" style="18" customWidth="1"/>
    <col min="13" max="13" width="22.140625" style="18" bestFit="1" customWidth="1"/>
    <col min="14" max="14" width="24.85546875" style="18" customWidth="1"/>
    <col min="15" max="27" width="8.7109375" style="18" customWidth="1"/>
    <col min="28" max="16384" width="14.42578125" style="18"/>
  </cols>
  <sheetData>
    <row r="1" spans="1:14" x14ac:dyDescent="0.25">
      <c r="A1" s="17" t="s">
        <v>0</v>
      </c>
      <c r="B1" s="17" t="s">
        <v>2</v>
      </c>
      <c r="C1" s="17" t="s">
        <v>3</v>
      </c>
      <c r="D1" s="17" t="s">
        <v>4</v>
      </c>
      <c r="E1" s="17"/>
      <c r="F1" s="17" t="s">
        <v>5</v>
      </c>
      <c r="G1" s="17"/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</row>
    <row r="2" spans="1:14" s="11" customFormat="1" ht="15.75" customHeight="1" x14ac:dyDescent="0.25">
      <c r="A2" s="12" t="s">
        <v>102</v>
      </c>
      <c r="B2" s="8">
        <v>20411454</v>
      </c>
      <c r="C2" s="8" t="s">
        <v>89</v>
      </c>
      <c r="D2" s="8" t="s">
        <v>90</v>
      </c>
      <c r="E2" s="8" t="str">
        <f>CONCATENATE(C2, " ",D2)</f>
        <v>Jeanne Maurhoff</v>
      </c>
      <c r="F2" s="8" t="s">
        <v>91</v>
      </c>
      <c r="G2" s="8" t="str">
        <f>CONCATENATE(F2, "OVR")</f>
        <v>2TA6P71XY70OVR</v>
      </c>
      <c r="H2" s="9">
        <v>45931</v>
      </c>
      <c r="I2" s="9">
        <v>45961</v>
      </c>
      <c r="J2" s="8" t="s">
        <v>16</v>
      </c>
      <c r="K2" s="8" t="s">
        <v>92</v>
      </c>
      <c r="L2" s="10">
        <v>125</v>
      </c>
      <c r="M2" s="11" t="s">
        <v>99</v>
      </c>
    </row>
    <row r="3" spans="1:14" ht="15.75" customHeight="1" x14ac:dyDescent="0.25">
      <c r="A3" s="17" t="s">
        <v>11</v>
      </c>
      <c r="B3" s="17">
        <v>9079571</v>
      </c>
      <c r="C3" s="17" t="s">
        <v>13</v>
      </c>
      <c r="D3" s="17" t="s">
        <v>14</v>
      </c>
      <c r="E3" s="17" t="str">
        <f>CONCATENATE(C3, " ",D3)</f>
        <v>Shelley Stockett</v>
      </c>
      <c r="F3" s="17" t="s">
        <v>15</v>
      </c>
      <c r="G3" s="17" t="str">
        <f>CONCATENATE(F3,6)</f>
        <v>7Y92Q40PG136</v>
      </c>
      <c r="H3" s="19">
        <v>44986</v>
      </c>
      <c r="I3" s="19">
        <v>45961</v>
      </c>
      <c r="J3" s="17" t="s">
        <v>16</v>
      </c>
      <c r="K3" s="17" t="s">
        <v>93</v>
      </c>
      <c r="L3" s="20">
        <v>26.08</v>
      </c>
      <c r="M3" s="18" t="s">
        <v>97</v>
      </c>
      <c r="N3" s="21" t="s">
        <v>100</v>
      </c>
    </row>
    <row r="4" spans="1:14" ht="15.75" customHeight="1" x14ac:dyDescent="0.25">
      <c r="A4" s="17" t="s">
        <v>11</v>
      </c>
      <c r="B4" s="17">
        <v>9079571</v>
      </c>
      <c r="C4" s="17" t="s">
        <v>18</v>
      </c>
      <c r="D4" s="17" t="s">
        <v>19</v>
      </c>
      <c r="E4" s="17" t="str">
        <f>CONCATENATE(C4, " ",D4)</f>
        <v>Daniel Deacon</v>
      </c>
      <c r="F4" s="17" t="s">
        <v>20</v>
      </c>
      <c r="G4" s="17" t="str">
        <f t="shared" ref="G4:G26" si="0">CONCATENATE(F4,6)</f>
        <v>1A73R48VE996</v>
      </c>
      <c r="H4" s="19">
        <v>45017</v>
      </c>
      <c r="I4" s="19">
        <v>45961</v>
      </c>
      <c r="J4" s="17" t="s">
        <v>16</v>
      </c>
      <c r="K4" s="17" t="s">
        <v>93</v>
      </c>
      <c r="L4" s="20">
        <v>26.08</v>
      </c>
      <c r="M4" s="18" t="s">
        <v>97</v>
      </c>
      <c r="N4" s="21" t="s">
        <v>100</v>
      </c>
    </row>
    <row r="5" spans="1:14" ht="15.75" customHeight="1" x14ac:dyDescent="0.25">
      <c r="A5" s="17" t="s">
        <v>11</v>
      </c>
      <c r="B5" s="17">
        <v>9079571</v>
      </c>
      <c r="C5" s="17" t="s">
        <v>21</v>
      </c>
      <c r="D5" s="17" t="s">
        <v>22</v>
      </c>
      <c r="E5" s="17" t="str">
        <f>CONCATENATE(C5, " ",D5)</f>
        <v>Amsale Cunningham</v>
      </c>
      <c r="F5" s="17" t="s">
        <v>23</v>
      </c>
      <c r="G5" s="17" t="str">
        <f t="shared" si="0"/>
        <v>5WW8G75QU216</v>
      </c>
      <c r="H5" s="19">
        <v>45047</v>
      </c>
      <c r="I5" s="19">
        <v>45961</v>
      </c>
      <c r="J5" s="17" t="s">
        <v>16</v>
      </c>
      <c r="K5" s="17" t="s">
        <v>93</v>
      </c>
      <c r="L5" s="20">
        <v>26.08</v>
      </c>
      <c r="M5" s="18" t="s">
        <v>97</v>
      </c>
      <c r="N5" s="21" t="s">
        <v>100</v>
      </c>
    </row>
    <row r="6" spans="1:14" ht="15.75" customHeight="1" x14ac:dyDescent="0.25">
      <c r="A6" s="17" t="s">
        <v>11</v>
      </c>
      <c r="B6" s="17">
        <v>9079571</v>
      </c>
      <c r="C6" s="17" t="s">
        <v>24</v>
      </c>
      <c r="D6" s="17" t="s">
        <v>25</v>
      </c>
      <c r="E6" s="17" t="str">
        <f>CONCATENATE(C6, " ",D6)</f>
        <v>Ana Limo</v>
      </c>
      <c r="F6" s="17" t="s">
        <v>26</v>
      </c>
      <c r="G6" s="17" t="str">
        <f t="shared" si="0"/>
        <v>5E31PJ5GP936</v>
      </c>
      <c r="H6" s="19">
        <v>45047</v>
      </c>
      <c r="I6" s="19">
        <v>45961</v>
      </c>
      <c r="J6" s="17" t="s">
        <v>16</v>
      </c>
      <c r="K6" s="17" t="s">
        <v>93</v>
      </c>
      <c r="L6" s="20">
        <v>26.08</v>
      </c>
      <c r="M6" s="18" t="s">
        <v>97</v>
      </c>
      <c r="N6" s="21" t="s">
        <v>100</v>
      </c>
    </row>
    <row r="7" spans="1:14" ht="15.75" customHeight="1" x14ac:dyDescent="0.25">
      <c r="A7" s="17" t="s">
        <v>11</v>
      </c>
      <c r="B7" s="17">
        <v>9079571</v>
      </c>
      <c r="C7" s="17" t="s">
        <v>27</v>
      </c>
      <c r="D7" s="17" t="s">
        <v>28</v>
      </c>
      <c r="E7" s="17" t="str">
        <f>CONCATENATE(C7, " ",D7)</f>
        <v>Nicholas Protopapas</v>
      </c>
      <c r="F7" s="17" t="s">
        <v>29</v>
      </c>
      <c r="G7" s="17" t="str">
        <f t="shared" si="0"/>
        <v>2M80WV5DQ386</v>
      </c>
      <c r="H7" s="19">
        <v>45108</v>
      </c>
      <c r="I7" s="19">
        <v>45961</v>
      </c>
      <c r="J7" s="17" t="s">
        <v>16</v>
      </c>
      <c r="K7" s="17" t="s">
        <v>93</v>
      </c>
      <c r="L7" s="20">
        <v>26.08</v>
      </c>
      <c r="M7" s="18" t="s">
        <v>97</v>
      </c>
      <c r="N7" s="21" t="s">
        <v>100</v>
      </c>
    </row>
    <row r="8" spans="1:14" ht="15.75" customHeight="1" x14ac:dyDescent="0.25">
      <c r="A8" s="17" t="s">
        <v>11</v>
      </c>
      <c r="B8" s="17">
        <v>9079571</v>
      </c>
      <c r="C8" s="17" t="s">
        <v>30</v>
      </c>
      <c r="D8" s="17" t="s">
        <v>28</v>
      </c>
      <c r="E8" s="17" t="str">
        <f>CONCATENATE(C8, " ",D8)</f>
        <v>Marina Protopapas</v>
      </c>
      <c r="F8" s="17" t="s">
        <v>31</v>
      </c>
      <c r="G8" s="17" t="str">
        <f t="shared" si="0"/>
        <v>4NP2DJ0TR226</v>
      </c>
      <c r="H8" s="19">
        <v>45108</v>
      </c>
      <c r="I8" s="19">
        <v>45961</v>
      </c>
      <c r="J8" s="17" t="s">
        <v>16</v>
      </c>
      <c r="K8" s="17" t="s">
        <v>93</v>
      </c>
      <c r="L8" s="20">
        <v>26.08</v>
      </c>
      <c r="M8" s="18" t="s">
        <v>97</v>
      </c>
      <c r="N8" s="21" t="s">
        <v>100</v>
      </c>
    </row>
    <row r="9" spans="1:14" ht="15.75" customHeight="1" x14ac:dyDescent="0.25">
      <c r="A9" s="17" t="s">
        <v>11</v>
      </c>
      <c r="B9" s="17">
        <v>9079571</v>
      </c>
      <c r="C9" s="17" t="s">
        <v>32</v>
      </c>
      <c r="D9" s="17" t="s">
        <v>33</v>
      </c>
      <c r="E9" s="17" t="str">
        <f>CONCATENATE(C9, " ",D9)</f>
        <v>James Bell</v>
      </c>
      <c r="F9" s="17" t="s">
        <v>34</v>
      </c>
      <c r="G9" s="17" t="str">
        <f t="shared" si="0"/>
        <v>6F32XC7RC126</v>
      </c>
      <c r="H9" s="19">
        <v>45139</v>
      </c>
      <c r="I9" s="19">
        <v>45961</v>
      </c>
      <c r="J9" s="17" t="s">
        <v>16</v>
      </c>
      <c r="K9" s="17" t="s">
        <v>93</v>
      </c>
      <c r="L9" s="20">
        <v>26.08</v>
      </c>
      <c r="M9" s="18" t="s">
        <v>97</v>
      </c>
      <c r="N9" s="21" t="s">
        <v>100</v>
      </c>
    </row>
    <row r="10" spans="1:14" ht="15.75" customHeight="1" x14ac:dyDescent="0.25">
      <c r="A10" s="17" t="s">
        <v>11</v>
      </c>
      <c r="B10" s="17">
        <v>9079571</v>
      </c>
      <c r="C10" s="17" t="s">
        <v>35</v>
      </c>
      <c r="D10" s="17" t="s">
        <v>36</v>
      </c>
      <c r="E10" s="17" t="str">
        <f>CONCATENATE(C10, " ",D10)</f>
        <v>Theresa Shiflett</v>
      </c>
      <c r="F10" s="17" t="s">
        <v>37</v>
      </c>
      <c r="G10" s="17" t="str">
        <f t="shared" si="0"/>
        <v>9JX1UH0JU316</v>
      </c>
      <c r="H10" s="19">
        <v>45139</v>
      </c>
      <c r="I10" s="19">
        <v>45961</v>
      </c>
      <c r="J10" s="17" t="s">
        <v>16</v>
      </c>
      <c r="K10" s="17" t="s">
        <v>93</v>
      </c>
      <c r="L10" s="20">
        <v>26.08</v>
      </c>
      <c r="M10" s="18" t="s">
        <v>97</v>
      </c>
      <c r="N10" s="21" t="s">
        <v>100</v>
      </c>
    </row>
    <row r="11" spans="1:14" ht="15.75" customHeight="1" x14ac:dyDescent="0.25">
      <c r="A11" s="17" t="s">
        <v>11</v>
      </c>
      <c r="B11" s="17">
        <v>9079571</v>
      </c>
      <c r="C11" s="17" t="s">
        <v>38</v>
      </c>
      <c r="D11" s="17" t="s">
        <v>39</v>
      </c>
      <c r="E11" s="17" t="str">
        <f>CONCATENATE(C11, " ",D11)</f>
        <v>David Naumann</v>
      </c>
      <c r="F11" s="17" t="s">
        <v>40</v>
      </c>
      <c r="G11" s="17" t="str">
        <f t="shared" si="0"/>
        <v>1TU1ER7RF986</v>
      </c>
      <c r="H11" s="19">
        <v>45231</v>
      </c>
      <c r="I11" s="19">
        <v>45961</v>
      </c>
      <c r="J11" s="17" t="s">
        <v>16</v>
      </c>
      <c r="K11" s="17" t="s">
        <v>93</v>
      </c>
      <c r="L11" s="20">
        <v>26.08</v>
      </c>
      <c r="M11" s="18" t="s">
        <v>97</v>
      </c>
      <c r="N11" s="21" t="s">
        <v>100</v>
      </c>
    </row>
    <row r="12" spans="1:14" ht="15.75" customHeight="1" x14ac:dyDescent="0.25">
      <c r="A12" s="17" t="s">
        <v>11</v>
      </c>
      <c r="B12" s="17">
        <v>9079571</v>
      </c>
      <c r="C12" s="17" t="s">
        <v>38</v>
      </c>
      <c r="D12" s="17" t="s">
        <v>41</v>
      </c>
      <c r="E12" s="17" t="str">
        <f>CONCATENATE(C12, " ",D12)</f>
        <v>David Mackin</v>
      </c>
      <c r="F12" s="17" t="s">
        <v>42</v>
      </c>
      <c r="G12" s="17" t="str">
        <f t="shared" si="0"/>
        <v>1PM6NM4YC796</v>
      </c>
      <c r="H12" s="19">
        <v>45261</v>
      </c>
      <c r="I12" s="19">
        <v>45961</v>
      </c>
      <c r="J12" s="17" t="s">
        <v>16</v>
      </c>
      <c r="K12" s="17" t="s">
        <v>93</v>
      </c>
      <c r="L12" s="20">
        <v>26.08</v>
      </c>
      <c r="M12" s="18" t="s">
        <v>97</v>
      </c>
      <c r="N12" s="21" t="s">
        <v>100</v>
      </c>
    </row>
    <row r="13" spans="1:14" ht="15.75" customHeight="1" x14ac:dyDescent="0.25">
      <c r="A13" s="17" t="s">
        <v>11</v>
      </c>
      <c r="B13" s="17">
        <v>9079571</v>
      </c>
      <c r="C13" s="17" t="s">
        <v>43</v>
      </c>
      <c r="D13" s="17" t="s">
        <v>44</v>
      </c>
      <c r="E13" s="17" t="str">
        <f>CONCATENATE(C13, " ",D13)</f>
        <v>Joseph Prahme</v>
      </c>
      <c r="F13" s="17" t="s">
        <v>45</v>
      </c>
      <c r="G13" s="17" t="str">
        <f t="shared" si="0"/>
        <v>2XA3W32PT926</v>
      </c>
      <c r="H13" s="19">
        <v>45323</v>
      </c>
      <c r="I13" s="19">
        <v>45961</v>
      </c>
      <c r="J13" s="17" t="s">
        <v>16</v>
      </c>
      <c r="K13" s="17" t="s">
        <v>93</v>
      </c>
      <c r="L13" s="20">
        <v>26.08</v>
      </c>
      <c r="M13" s="18" t="s">
        <v>97</v>
      </c>
      <c r="N13" s="21" t="s">
        <v>100</v>
      </c>
    </row>
    <row r="14" spans="1:14" ht="15.75" customHeight="1" x14ac:dyDescent="0.25">
      <c r="A14" s="17" t="s">
        <v>11</v>
      </c>
      <c r="B14" s="17">
        <v>9079571</v>
      </c>
      <c r="C14" s="17" t="s">
        <v>38</v>
      </c>
      <c r="D14" s="17" t="s">
        <v>46</v>
      </c>
      <c r="E14" s="17" t="str">
        <f>CONCATENATE(C14, " ",D14)</f>
        <v>David Hronowski</v>
      </c>
      <c r="F14" s="17" t="s">
        <v>47</v>
      </c>
      <c r="G14" s="17" t="str">
        <f t="shared" si="0"/>
        <v>1K33JR4QG976</v>
      </c>
      <c r="H14" s="19">
        <v>45536</v>
      </c>
      <c r="I14" s="19">
        <v>45961</v>
      </c>
      <c r="J14" s="17" t="s">
        <v>16</v>
      </c>
      <c r="K14" s="17" t="s">
        <v>93</v>
      </c>
      <c r="L14" s="20">
        <v>26.08</v>
      </c>
      <c r="M14" s="18" t="s">
        <v>97</v>
      </c>
      <c r="N14" s="21" t="s">
        <v>100</v>
      </c>
    </row>
    <row r="15" spans="1:14" ht="15.75" customHeight="1" x14ac:dyDescent="0.25">
      <c r="A15" s="17" t="s">
        <v>48</v>
      </c>
      <c r="B15" s="17">
        <v>7387433</v>
      </c>
      <c r="C15" s="17" t="s">
        <v>50</v>
      </c>
      <c r="D15" s="17" t="s">
        <v>51</v>
      </c>
      <c r="E15" s="17" t="str">
        <f>CONCATENATE(C15, " ",D15)</f>
        <v>Celia Fitzgerald</v>
      </c>
      <c r="F15" s="17" t="s">
        <v>52</v>
      </c>
      <c r="G15" s="17" t="str">
        <f t="shared" si="0"/>
        <v>6KF3D48FV996</v>
      </c>
      <c r="H15" s="19">
        <v>45292</v>
      </c>
      <c r="I15" s="19">
        <v>45961</v>
      </c>
      <c r="J15" s="17" t="s">
        <v>16</v>
      </c>
      <c r="K15" s="17" t="s">
        <v>93</v>
      </c>
      <c r="L15" s="20">
        <v>26.08</v>
      </c>
      <c r="M15" s="18" t="s">
        <v>97</v>
      </c>
      <c r="N15" s="21" t="s">
        <v>100</v>
      </c>
    </row>
    <row r="16" spans="1:14" ht="15.75" customHeight="1" x14ac:dyDescent="0.25">
      <c r="A16" s="17" t="s">
        <v>48</v>
      </c>
      <c r="B16" s="17">
        <v>7387433</v>
      </c>
      <c r="C16" s="17" t="s">
        <v>53</v>
      </c>
      <c r="D16" s="17" t="s">
        <v>54</v>
      </c>
      <c r="E16" s="17" t="str">
        <f>CONCATENATE(C16, " ",D16)</f>
        <v>Helena Poindexter</v>
      </c>
      <c r="F16" s="17" t="s">
        <v>55</v>
      </c>
      <c r="G16" s="17" t="str">
        <f t="shared" si="0"/>
        <v>7PQ9K04RC326</v>
      </c>
      <c r="H16" s="19">
        <v>45292</v>
      </c>
      <c r="I16" s="19">
        <v>45961</v>
      </c>
      <c r="J16" s="17" t="s">
        <v>16</v>
      </c>
      <c r="K16" s="17" t="s">
        <v>93</v>
      </c>
      <c r="L16" s="20">
        <v>26.08</v>
      </c>
      <c r="M16" s="18" t="s">
        <v>97</v>
      </c>
      <c r="N16" s="21" t="s">
        <v>100</v>
      </c>
    </row>
    <row r="17" spans="1:14" ht="15.75" customHeight="1" x14ac:dyDescent="0.25">
      <c r="A17" s="17" t="s">
        <v>48</v>
      </c>
      <c r="B17" s="17">
        <v>7387433</v>
      </c>
      <c r="C17" s="17" t="s">
        <v>56</v>
      </c>
      <c r="D17" s="17" t="s">
        <v>57</v>
      </c>
      <c r="E17" s="17" t="str">
        <f>CONCATENATE(C17, " ",D17)</f>
        <v>Stephen Stubbs</v>
      </c>
      <c r="F17" s="17" t="s">
        <v>58</v>
      </c>
      <c r="G17" s="17" t="str">
        <f t="shared" si="0"/>
        <v>8ar8d50cq646</v>
      </c>
      <c r="H17" s="19">
        <v>45566</v>
      </c>
      <c r="I17" s="19">
        <v>45961</v>
      </c>
      <c r="J17" s="17" t="s">
        <v>16</v>
      </c>
      <c r="K17" s="17" t="s">
        <v>93</v>
      </c>
      <c r="L17" s="20">
        <v>26.08</v>
      </c>
      <c r="M17" s="18" t="s">
        <v>97</v>
      </c>
      <c r="N17" s="21" t="s">
        <v>100</v>
      </c>
    </row>
    <row r="18" spans="1:14" ht="15.75" customHeight="1" x14ac:dyDescent="0.25">
      <c r="A18" s="17" t="s">
        <v>59</v>
      </c>
      <c r="B18" s="17">
        <v>16751785</v>
      </c>
      <c r="C18" s="17" t="s">
        <v>60</v>
      </c>
      <c r="D18" s="17" t="s">
        <v>61</v>
      </c>
      <c r="E18" s="17" t="str">
        <f>CONCATENATE(C18, " ",D18)</f>
        <v>Roger Scuder</v>
      </c>
      <c r="F18" s="17" t="s">
        <v>62</v>
      </c>
      <c r="G18" s="17" t="str">
        <f t="shared" si="0"/>
        <v>7UD3JA1KE146</v>
      </c>
      <c r="H18" s="19">
        <v>45292</v>
      </c>
      <c r="I18" s="19">
        <v>45961</v>
      </c>
      <c r="J18" s="17" t="s">
        <v>16</v>
      </c>
      <c r="K18" s="17" t="s">
        <v>93</v>
      </c>
      <c r="L18" s="20">
        <v>26.08</v>
      </c>
      <c r="M18" s="18" t="s">
        <v>97</v>
      </c>
      <c r="N18" s="21" t="s">
        <v>100</v>
      </c>
    </row>
    <row r="19" spans="1:14" ht="15.75" customHeight="1" x14ac:dyDescent="0.25">
      <c r="A19" s="17" t="s">
        <v>63</v>
      </c>
      <c r="B19" s="17">
        <v>16202925</v>
      </c>
      <c r="C19" s="17" t="s">
        <v>65</v>
      </c>
      <c r="D19" s="17" t="s">
        <v>66</v>
      </c>
      <c r="E19" s="17" t="str">
        <f>CONCATENATE(C19, " ",D19)</f>
        <v>Annette Decosta</v>
      </c>
      <c r="F19" s="17" t="s">
        <v>67</v>
      </c>
      <c r="G19" s="17" t="str">
        <f t="shared" si="0"/>
        <v>7D20KQ9GA016</v>
      </c>
      <c r="H19" s="19">
        <v>45108</v>
      </c>
      <c r="I19" s="19">
        <v>45961</v>
      </c>
      <c r="J19" s="17" t="s">
        <v>16</v>
      </c>
      <c r="K19" s="17" t="s">
        <v>93</v>
      </c>
      <c r="L19" s="20">
        <v>26.08</v>
      </c>
      <c r="M19" s="18" t="s">
        <v>97</v>
      </c>
      <c r="N19" s="21" t="s">
        <v>100</v>
      </c>
    </row>
    <row r="20" spans="1:14" ht="15.75" customHeight="1" x14ac:dyDescent="0.25">
      <c r="A20" s="17" t="s">
        <v>63</v>
      </c>
      <c r="B20" s="17">
        <v>16202925</v>
      </c>
      <c r="C20" s="17" t="s">
        <v>68</v>
      </c>
      <c r="D20" s="17" t="s">
        <v>69</v>
      </c>
      <c r="E20" s="17" t="str">
        <f>CONCATENATE(C20, " ",D20)</f>
        <v>Cecelia Downes</v>
      </c>
      <c r="F20" s="17" t="s">
        <v>70</v>
      </c>
      <c r="G20" s="17" t="str">
        <f t="shared" si="0"/>
        <v>8X23TM3DC726</v>
      </c>
      <c r="H20" s="19">
        <v>45292</v>
      </c>
      <c r="I20" s="19">
        <v>45961</v>
      </c>
      <c r="J20" s="17" t="s">
        <v>16</v>
      </c>
      <c r="K20" s="17" t="s">
        <v>93</v>
      </c>
      <c r="L20" s="20">
        <v>26.08</v>
      </c>
      <c r="M20" s="18" t="s">
        <v>97</v>
      </c>
      <c r="N20" s="21" t="s">
        <v>100</v>
      </c>
    </row>
    <row r="21" spans="1:14" ht="15.75" customHeight="1" x14ac:dyDescent="0.25">
      <c r="A21" s="17" t="s">
        <v>63</v>
      </c>
      <c r="B21" s="17">
        <v>16202925</v>
      </c>
      <c r="C21" s="17" t="s">
        <v>71</v>
      </c>
      <c r="D21" s="17" t="s">
        <v>72</v>
      </c>
      <c r="E21" s="17" t="str">
        <f>CONCATENATE(C21, " ",D21)</f>
        <v>Eley Downes Jr</v>
      </c>
      <c r="F21" s="17" t="s">
        <v>73</v>
      </c>
      <c r="G21" s="17" t="str">
        <f t="shared" si="0"/>
        <v>5NM8HU9JK466</v>
      </c>
      <c r="H21" s="19">
        <v>45292</v>
      </c>
      <c r="I21" s="19">
        <v>45961</v>
      </c>
      <c r="J21" s="17" t="s">
        <v>16</v>
      </c>
      <c r="K21" s="17" t="s">
        <v>93</v>
      </c>
      <c r="L21" s="20">
        <v>26.08</v>
      </c>
      <c r="M21" s="18" t="s">
        <v>97</v>
      </c>
      <c r="N21" s="21" t="s">
        <v>100</v>
      </c>
    </row>
    <row r="22" spans="1:14" ht="15.75" customHeight="1" x14ac:dyDescent="0.25">
      <c r="A22" s="17" t="s">
        <v>63</v>
      </c>
      <c r="B22" s="17">
        <v>16202925</v>
      </c>
      <c r="C22" s="17" t="s">
        <v>74</v>
      </c>
      <c r="D22" s="17" t="s">
        <v>75</v>
      </c>
      <c r="E22" s="17" t="str">
        <f>CONCATENATE(C22, " ",D22)</f>
        <v>Ruth Wilcox</v>
      </c>
      <c r="F22" s="17" t="s">
        <v>76</v>
      </c>
      <c r="G22" s="17" t="str">
        <f t="shared" si="0"/>
        <v>8JM2J52YC106</v>
      </c>
      <c r="H22" s="19">
        <v>45292</v>
      </c>
      <c r="I22" s="19">
        <v>45961</v>
      </c>
      <c r="J22" s="17" t="s">
        <v>16</v>
      </c>
      <c r="K22" s="17" t="s">
        <v>93</v>
      </c>
      <c r="L22" s="20">
        <v>26.08</v>
      </c>
      <c r="M22" s="18" t="s">
        <v>97</v>
      </c>
      <c r="N22" s="21" t="s">
        <v>100</v>
      </c>
    </row>
    <row r="23" spans="1:14" ht="15.75" customHeight="1" x14ac:dyDescent="0.25">
      <c r="A23" s="17" t="s">
        <v>63</v>
      </c>
      <c r="B23" s="17">
        <v>16202925</v>
      </c>
      <c r="C23" s="17" t="s">
        <v>77</v>
      </c>
      <c r="D23" s="17" t="s">
        <v>78</v>
      </c>
      <c r="E23" s="17" t="str">
        <f>CONCATENATE(C23, " ",D23)</f>
        <v>Terri Hoskins</v>
      </c>
      <c r="F23" s="17" t="s">
        <v>79</v>
      </c>
      <c r="G23" s="17" t="str">
        <f t="shared" si="0"/>
        <v>3g06u81pr726</v>
      </c>
      <c r="H23" s="19">
        <v>45323</v>
      </c>
      <c r="I23" s="19">
        <v>45961</v>
      </c>
      <c r="J23" s="17" t="s">
        <v>16</v>
      </c>
      <c r="K23" s="17" t="s">
        <v>93</v>
      </c>
      <c r="L23" s="20">
        <v>26.08</v>
      </c>
      <c r="M23" s="18" t="s">
        <v>97</v>
      </c>
      <c r="N23" s="21" t="s">
        <v>100</v>
      </c>
    </row>
    <row r="24" spans="1:14" ht="15.75" customHeight="1" x14ac:dyDescent="0.25">
      <c r="A24" s="17" t="s">
        <v>63</v>
      </c>
      <c r="B24" s="17">
        <v>16202925</v>
      </c>
      <c r="C24" s="17" t="s">
        <v>80</v>
      </c>
      <c r="D24" s="17" t="s">
        <v>81</v>
      </c>
      <c r="E24" s="17" t="str">
        <f>CONCATENATE(C24, " ",D24)</f>
        <v>Mina Izgiyaev</v>
      </c>
      <c r="F24" s="17" t="s">
        <v>82</v>
      </c>
      <c r="G24" s="17" t="str">
        <f t="shared" si="0"/>
        <v>3VJ8KN6UQ306</v>
      </c>
      <c r="H24" s="19">
        <v>45566</v>
      </c>
      <c r="I24" s="19">
        <v>45961</v>
      </c>
      <c r="J24" s="17" t="s">
        <v>16</v>
      </c>
      <c r="K24" s="17" t="s">
        <v>93</v>
      </c>
      <c r="L24" s="20">
        <v>26.08</v>
      </c>
      <c r="M24" s="18" t="s">
        <v>97</v>
      </c>
      <c r="N24" s="21" t="s">
        <v>100</v>
      </c>
    </row>
    <row r="25" spans="1:14" ht="15.75" customHeight="1" x14ac:dyDescent="0.25">
      <c r="A25" s="17" t="s">
        <v>63</v>
      </c>
      <c r="B25" s="17">
        <v>16202925</v>
      </c>
      <c r="C25" s="17" t="s">
        <v>38</v>
      </c>
      <c r="D25" s="17" t="s">
        <v>81</v>
      </c>
      <c r="E25" s="17" t="str">
        <f>CONCATENATE(C25, " ",D25)</f>
        <v>David Izgiyaev</v>
      </c>
      <c r="F25" s="17" t="s">
        <v>83</v>
      </c>
      <c r="G25" s="17" t="str">
        <f t="shared" si="0"/>
        <v>5GD5RH8QJ406</v>
      </c>
      <c r="H25" s="19">
        <v>45566</v>
      </c>
      <c r="I25" s="19">
        <v>45961</v>
      </c>
      <c r="J25" s="17" t="s">
        <v>16</v>
      </c>
      <c r="K25" s="17" t="s">
        <v>93</v>
      </c>
      <c r="L25" s="20">
        <v>26.08</v>
      </c>
      <c r="M25" s="18" t="s">
        <v>97</v>
      </c>
      <c r="N25" s="21" t="s">
        <v>100</v>
      </c>
    </row>
    <row r="26" spans="1:14" ht="15.75" customHeight="1" x14ac:dyDescent="0.25">
      <c r="A26" s="17" t="s">
        <v>63</v>
      </c>
      <c r="B26" s="17">
        <v>16202925</v>
      </c>
      <c r="C26" s="17" t="s">
        <v>84</v>
      </c>
      <c r="D26" s="17" t="s">
        <v>85</v>
      </c>
      <c r="E26" s="17" t="str">
        <f>CONCATENATE(C26, " ",D26)</f>
        <v>Zinaida Rahmilov</v>
      </c>
      <c r="F26" s="17" t="s">
        <v>86</v>
      </c>
      <c r="G26" s="17" t="str">
        <f t="shared" si="0"/>
        <v>6jg8yj5vg396</v>
      </c>
      <c r="H26" s="19">
        <v>45597</v>
      </c>
      <c r="I26" s="19">
        <v>45961</v>
      </c>
      <c r="J26" s="17" t="s">
        <v>16</v>
      </c>
      <c r="K26" s="17" t="s">
        <v>93</v>
      </c>
      <c r="L26" s="20">
        <v>26.08</v>
      </c>
      <c r="M26" s="18" t="s">
        <v>97</v>
      </c>
      <c r="N26" s="21" t="s">
        <v>100</v>
      </c>
    </row>
    <row r="27" spans="1:14" ht="15.75" customHeight="1" x14ac:dyDescent="0.25">
      <c r="A27" s="17" t="s">
        <v>87</v>
      </c>
      <c r="B27" s="17">
        <v>5442438</v>
      </c>
      <c r="C27" s="17" t="s">
        <v>89</v>
      </c>
      <c r="D27" s="17" t="s">
        <v>90</v>
      </c>
      <c r="E27" s="17" t="str">
        <f>CONCATENATE(C27, " ",D27)</f>
        <v>Jeanne Maurhoff</v>
      </c>
      <c r="F27" s="17" t="s">
        <v>91</v>
      </c>
      <c r="G27" s="17" t="str">
        <f>CONCATENATE(F27,7)</f>
        <v>2TA6P71XY707</v>
      </c>
      <c r="H27" s="19">
        <v>45931</v>
      </c>
      <c r="I27" s="19">
        <v>45961</v>
      </c>
      <c r="J27" s="17" t="s">
        <v>16</v>
      </c>
      <c r="K27" s="17" t="s">
        <v>94</v>
      </c>
      <c r="L27" s="20">
        <v>626</v>
      </c>
      <c r="M27" s="18" t="s">
        <v>98</v>
      </c>
      <c r="N27" s="21" t="s">
        <v>101</v>
      </c>
    </row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19F0-9AD4-46DC-8A1B-21AC0300DD72}">
  <dimension ref="A1:M26"/>
  <sheetViews>
    <sheetView tabSelected="1" workbookViewId="0">
      <selection activeCell="K1" sqref="K1:K1048576"/>
    </sheetView>
  </sheetViews>
  <sheetFormatPr defaultRowHeight="15" x14ac:dyDescent="0.25"/>
  <cols>
    <col min="9" max="9" width="23.7109375" bestFit="1" customWidth="1"/>
    <col min="10" max="10" width="57.28515625" bestFit="1" customWidth="1"/>
    <col min="12" max="12" width="20.7109375" bestFit="1" customWidth="1"/>
  </cols>
  <sheetData>
    <row r="1" spans="1:13" x14ac:dyDescent="0.25">
      <c r="A1" s="1" t="s">
        <v>0</v>
      </c>
      <c r="B1" s="1" t="s">
        <v>2</v>
      </c>
      <c r="C1" s="1" t="s">
        <v>3</v>
      </c>
      <c r="D1" s="1" t="s">
        <v>4</v>
      </c>
      <c r="E1" s="1"/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s="11" customFormat="1" x14ac:dyDescent="0.25">
      <c r="A2" s="8" t="s">
        <v>11</v>
      </c>
      <c r="B2" s="8">
        <v>9079571</v>
      </c>
      <c r="C2" s="8" t="s">
        <v>13</v>
      </c>
      <c r="D2" s="8" t="s">
        <v>14</v>
      </c>
      <c r="E2" s="8" t="str">
        <f>CONCATENATE(C2, " ",D2)</f>
        <v>Shelley Stockett</v>
      </c>
      <c r="F2" s="8" t="s">
        <v>15</v>
      </c>
      <c r="G2" s="9">
        <v>44986</v>
      </c>
      <c r="H2" s="9">
        <v>45961</v>
      </c>
      <c r="I2" s="8" t="s">
        <v>16</v>
      </c>
      <c r="J2" s="8" t="s">
        <v>17</v>
      </c>
      <c r="K2" s="10">
        <v>8.33</v>
      </c>
      <c r="L2" s="12" t="s">
        <v>96</v>
      </c>
      <c r="M2" s="11" t="str">
        <f>CONCATENATE(L2, " ","-",E2,"-",F2)</f>
        <v>Alterwood HRA Bonus -Shelley Stockett-7Y92Q40PG13</v>
      </c>
    </row>
    <row r="3" spans="1:13" s="11" customFormat="1" x14ac:dyDescent="0.25">
      <c r="A3" s="8" t="s">
        <v>11</v>
      </c>
      <c r="B3" s="8">
        <v>9079571</v>
      </c>
      <c r="C3" s="8" t="s">
        <v>18</v>
      </c>
      <c r="D3" s="8" t="s">
        <v>19</v>
      </c>
      <c r="E3" s="8" t="str">
        <f t="shared" ref="E3:E25" si="0">CONCATENATE(C3, " ",D3)</f>
        <v>Daniel Deacon</v>
      </c>
      <c r="F3" s="8" t="s">
        <v>20</v>
      </c>
      <c r="G3" s="9">
        <v>45017</v>
      </c>
      <c r="H3" s="9">
        <v>45961</v>
      </c>
      <c r="I3" s="8" t="s">
        <v>16</v>
      </c>
      <c r="J3" s="8" t="s">
        <v>17</v>
      </c>
      <c r="K3" s="10">
        <v>8.33</v>
      </c>
      <c r="L3" s="12" t="s">
        <v>96</v>
      </c>
      <c r="M3" s="11" t="str">
        <f t="shared" ref="M3:M26" si="1">CONCATENATE(L3, " ","-",E3,"-",F3)</f>
        <v>Alterwood HRA Bonus -Daniel Deacon-1A73R48VE99</v>
      </c>
    </row>
    <row r="4" spans="1:13" s="11" customFormat="1" x14ac:dyDescent="0.25">
      <c r="A4" s="8" t="s">
        <v>11</v>
      </c>
      <c r="B4" s="8">
        <v>9079571</v>
      </c>
      <c r="C4" s="8" t="s">
        <v>21</v>
      </c>
      <c r="D4" s="8" t="s">
        <v>22</v>
      </c>
      <c r="E4" s="8" t="str">
        <f t="shared" si="0"/>
        <v>Amsale Cunningham</v>
      </c>
      <c r="F4" s="8" t="s">
        <v>23</v>
      </c>
      <c r="G4" s="9">
        <v>45047</v>
      </c>
      <c r="H4" s="9">
        <v>45961</v>
      </c>
      <c r="I4" s="8" t="s">
        <v>16</v>
      </c>
      <c r="J4" s="8" t="s">
        <v>17</v>
      </c>
      <c r="K4" s="10">
        <v>8.33</v>
      </c>
      <c r="L4" s="12" t="s">
        <v>96</v>
      </c>
      <c r="M4" s="11" t="str">
        <f t="shared" si="1"/>
        <v>Alterwood HRA Bonus -Amsale Cunningham-5WW8G75QU21</v>
      </c>
    </row>
    <row r="5" spans="1:13" s="11" customFormat="1" x14ac:dyDescent="0.25">
      <c r="A5" s="8" t="s">
        <v>11</v>
      </c>
      <c r="B5" s="8">
        <v>9079571</v>
      </c>
      <c r="C5" s="8" t="s">
        <v>24</v>
      </c>
      <c r="D5" s="8" t="s">
        <v>25</v>
      </c>
      <c r="E5" s="8" t="str">
        <f t="shared" si="0"/>
        <v>Ana Limo</v>
      </c>
      <c r="F5" s="8" t="s">
        <v>26</v>
      </c>
      <c r="G5" s="9">
        <v>45047</v>
      </c>
      <c r="H5" s="9">
        <v>45961</v>
      </c>
      <c r="I5" s="8" t="s">
        <v>16</v>
      </c>
      <c r="J5" s="8" t="s">
        <v>17</v>
      </c>
      <c r="K5" s="10">
        <v>8.33</v>
      </c>
      <c r="L5" s="12" t="s">
        <v>96</v>
      </c>
      <c r="M5" s="11" t="str">
        <f t="shared" si="1"/>
        <v>Alterwood HRA Bonus -Ana Limo-5E31PJ5GP93</v>
      </c>
    </row>
    <row r="6" spans="1:13" s="11" customFormat="1" x14ac:dyDescent="0.25">
      <c r="A6" s="8" t="s">
        <v>11</v>
      </c>
      <c r="B6" s="8">
        <v>9079571</v>
      </c>
      <c r="C6" s="8" t="s">
        <v>27</v>
      </c>
      <c r="D6" s="8" t="s">
        <v>28</v>
      </c>
      <c r="E6" s="8" t="str">
        <f t="shared" si="0"/>
        <v>Nicholas Protopapas</v>
      </c>
      <c r="F6" s="8" t="s">
        <v>29</v>
      </c>
      <c r="G6" s="9">
        <v>45108</v>
      </c>
      <c r="H6" s="9">
        <v>45961</v>
      </c>
      <c r="I6" s="8" t="s">
        <v>16</v>
      </c>
      <c r="J6" s="8" t="s">
        <v>17</v>
      </c>
      <c r="K6" s="10">
        <v>8.33</v>
      </c>
      <c r="L6" s="12" t="s">
        <v>96</v>
      </c>
      <c r="M6" s="11" t="str">
        <f t="shared" si="1"/>
        <v>Alterwood HRA Bonus -Nicholas Protopapas-2M80WV5DQ38</v>
      </c>
    </row>
    <row r="7" spans="1:13" s="11" customFormat="1" x14ac:dyDescent="0.25">
      <c r="A7" s="8" t="s">
        <v>11</v>
      </c>
      <c r="B7" s="8">
        <v>9079571</v>
      </c>
      <c r="C7" s="8" t="s">
        <v>30</v>
      </c>
      <c r="D7" s="8" t="s">
        <v>28</v>
      </c>
      <c r="E7" s="8" t="str">
        <f t="shared" si="0"/>
        <v>Marina Protopapas</v>
      </c>
      <c r="F7" s="8" t="s">
        <v>31</v>
      </c>
      <c r="G7" s="9">
        <v>45108</v>
      </c>
      <c r="H7" s="9">
        <v>45961</v>
      </c>
      <c r="I7" s="8" t="s">
        <v>16</v>
      </c>
      <c r="J7" s="8" t="s">
        <v>17</v>
      </c>
      <c r="K7" s="10">
        <v>8.33</v>
      </c>
      <c r="L7" s="12" t="s">
        <v>96</v>
      </c>
      <c r="M7" s="11" t="str">
        <f t="shared" si="1"/>
        <v>Alterwood HRA Bonus -Marina Protopapas-4NP2DJ0TR22</v>
      </c>
    </row>
    <row r="8" spans="1:13" s="11" customFormat="1" x14ac:dyDescent="0.25">
      <c r="A8" s="8" t="s">
        <v>11</v>
      </c>
      <c r="B8" s="8">
        <v>9079571</v>
      </c>
      <c r="C8" s="8" t="s">
        <v>32</v>
      </c>
      <c r="D8" s="8" t="s">
        <v>33</v>
      </c>
      <c r="E8" s="8" t="str">
        <f t="shared" si="0"/>
        <v>James Bell</v>
      </c>
      <c r="F8" s="8" t="s">
        <v>34</v>
      </c>
      <c r="G8" s="9">
        <v>45139</v>
      </c>
      <c r="H8" s="9">
        <v>45961</v>
      </c>
      <c r="I8" s="8" t="s">
        <v>16</v>
      </c>
      <c r="J8" s="8" t="s">
        <v>17</v>
      </c>
      <c r="K8" s="10">
        <v>8.33</v>
      </c>
      <c r="L8" s="12" t="s">
        <v>96</v>
      </c>
      <c r="M8" s="11" t="str">
        <f t="shared" si="1"/>
        <v>Alterwood HRA Bonus -James Bell-6F32XC7RC12</v>
      </c>
    </row>
    <row r="9" spans="1:13" s="11" customFormat="1" x14ac:dyDescent="0.25">
      <c r="A9" s="8" t="s">
        <v>11</v>
      </c>
      <c r="B9" s="8">
        <v>9079571</v>
      </c>
      <c r="C9" s="8" t="s">
        <v>35</v>
      </c>
      <c r="D9" s="8" t="s">
        <v>36</v>
      </c>
      <c r="E9" s="8" t="str">
        <f t="shared" si="0"/>
        <v>Theresa Shiflett</v>
      </c>
      <c r="F9" s="8" t="s">
        <v>37</v>
      </c>
      <c r="G9" s="9">
        <v>45139</v>
      </c>
      <c r="H9" s="9">
        <v>45961</v>
      </c>
      <c r="I9" s="8" t="s">
        <v>16</v>
      </c>
      <c r="J9" s="8" t="s">
        <v>17</v>
      </c>
      <c r="K9" s="10">
        <v>8.33</v>
      </c>
      <c r="L9" s="12" t="s">
        <v>96</v>
      </c>
      <c r="M9" s="11" t="str">
        <f t="shared" si="1"/>
        <v>Alterwood HRA Bonus -Theresa Shiflett-9JX1UH0JU31</v>
      </c>
    </row>
    <row r="10" spans="1:13" s="11" customFormat="1" x14ac:dyDescent="0.25">
      <c r="A10" s="8" t="s">
        <v>11</v>
      </c>
      <c r="B10" s="8">
        <v>9079571</v>
      </c>
      <c r="C10" s="8" t="s">
        <v>38</v>
      </c>
      <c r="D10" s="8" t="s">
        <v>39</v>
      </c>
      <c r="E10" s="8" t="str">
        <f t="shared" si="0"/>
        <v>David Naumann</v>
      </c>
      <c r="F10" s="8" t="s">
        <v>40</v>
      </c>
      <c r="G10" s="9">
        <v>45231</v>
      </c>
      <c r="H10" s="9">
        <v>45961</v>
      </c>
      <c r="I10" s="8" t="s">
        <v>16</v>
      </c>
      <c r="J10" s="8" t="s">
        <v>17</v>
      </c>
      <c r="K10" s="10">
        <v>8.33</v>
      </c>
      <c r="L10" s="12" t="s">
        <v>96</v>
      </c>
      <c r="M10" s="11" t="str">
        <f t="shared" si="1"/>
        <v>Alterwood HRA Bonus -David Naumann-1TU1ER7RF98</v>
      </c>
    </row>
    <row r="11" spans="1:13" s="11" customFormat="1" x14ac:dyDescent="0.25">
      <c r="A11" s="8" t="s">
        <v>11</v>
      </c>
      <c r="B11" s="8">
        <v>9079571</v>
      </c>
      <c r="C11" s="8" t="s">
        <v>38</v>
      </c>
      <c r="D11" s="8" t="s">
        <v>41</v>
      </c>
      <c r="E11" s="8" t="str">
        <f t="shared" si="0"/>
        <v>David Mackin</v>
      </c>
      <c r="F11" s="8" t="s">
        <v>42</v>
      </c>
      <c r="G11" s="9">
        <v>45261</v>
      </c>
      <c r="H11" s="9">
        <v>45961</v>
      </c>
      <c r="I11" s="8" t="s">
        <v>16</v>
      </c>
      <c r="J11" s="8" t="s">
        <v>17</v>
      </c>
      <c r="K11" s="10">
        <v>8.33</v>
      </c>
      <c r="L11" s="12" t="s">
        <v>96</v>
      </c>
      <c r="M11" s="11" t="str">
        <f t="shared" si="1"/>
        <v>Alterwood HRA Bonus -David Mackin-1PM6NM4YC79</v>
      </c>
    </row>
    <row r="12" spans="1:13" s="11" customFormat="1" x14ac:dyDescent="0.25">
      <c r="A12" s="8" t="s">
        <v>11</v>
      </c>
      <c r="B12" s="8">
        <v>9079571</v>
      </c>
      <c r="C12" s="8" t="s">
        <v>43</v>
      </c>
      <c r="D12" s="8" t="s">
        <v>44</v>
      </c>
      <c r="E12" s="8" t="str">
        <f t="shared" si="0"/>
        <v>Joseph Prahme</v>
      </c>
      <c r="F12" s="8" t="s">
        <v>45</v>
      </c>
      <c r="G12" s="9">
        <v>45323</v>
      </c>
      <c r="H12" s="9">
        <v>45961</v>
      </c>
      <c r="I12" s="8" t="s">
        <v>16</v>
      </c>
      <c r="J12" s="8" t="s">
        <v>17</v>
      </c>
      <c r="K12" s="10">
        <v>8.33</v>
      </c>
      <c r="L12" s="12" t="s">
        <v>96</v>
      </c>
      <c r="M12" s="11" t="str">
        <f t="shared" si="1"/>
        <v>Alterwood HRA Bonus -Joseph Prahme-2XA3W32PT92</v>
      </c>
    </row>
    <row r="13" spans="1:13" s="11" customFormat="1" x14ac:dyDescent="0.25">
      <c r="A13" s="8" t="s">
        <v>11</v>
      </c>
      <c r="B13" s="8">
        <v>9079571</v>
      </c>
      <c r="C13" s="8" t="s">
        <v>38</v>
      </c>
      <c r="D13" s="8" t="s">
        <v>46</v>
      </c>
      <c r="E13" s="8" t="str">
        <f t="shared" si="0"/>
        <v>David Hronowski</v>
      </c>
      <c r="F13" s="8" t="s">
        <v>47</v>
      </c>
      <c r="G13" s="9">
        <v>45536</v>
      </c>
      <c r="H13" s="9">
        <v>45961</v>
      </c>
      <c r="I13" s="8" t="s">
        <v>16</v>
      </c>
      <c r="J13" s="8" t="s">
        <v>17</v>
      </c>
      <c r="K13" s="10">
        <v>8.33</v>
      </c>
      <c r="L13" s="12" t="s">
        <v>96</v>
      </c>
      <c r="M13" s="11" t="str">
        <f t="shared" si="1"/>
        <v>Alterwood HRA Bonus -David Hronowski-1K33JR4QG97</v>
      </c>
    </row>
    <row r="14" spans="1:13" s="11" customFormat="1" x14ac:dyDescent="0.25">
      <c r="A14" s="8" t="s">
        <v>48</v>
      </c>
      <c r="B14" s="8">
        <v>7387433</v>
      </c>
      <c r="C14" s="8" t="s">
        <v>50</v>
      </c>
      <c r="D14" s="8" t="s">
        <v>51</v>
      </c>
      <c r="E14" s="8" t="str">
        <f t="shared" si="0"/>
        <v>Celia Fitzgerald</v>
      </c>
      <c r="F14" s="8" t="s">
        <v>52</v>
      </c>
      <c r="G14" s="9">
        <v>45292</v>
      </c>
      <c r="H14" s="9">
        <v>45961</v>
      </c>
      <c r="I14" s="8" t="s">
        <v>16</v>
      </c>
      <c r="J14" s="8" t="s">
        <v>17</v>
      </c>
      <c r="K14" s="10">
        <v>8.33</v>
      </c>
      <c r="L14" s="12" t="s">
        <v>96</v>
      </c>
      <c r="M14" s="11" t="str">
        <f t="shared" si="1"/>
        <v>Alterwood HRA Bonus -Celia Fitzgerald-6KF3D48FV99</v>
      </c>
    </row>
    <row r="15" spans="1:13" s="11" customFormat="1" x14ac:dyDescent="0.25">
      <c r="A15" s="8" t="s">
        <v>48</v>
      </c>
      <c r="B15" s="8">
        <v>7387433</v>
      </c>
      <c r="C15" s="8" t="s">
        <v>53</v>
      </c>
      <c r="D15" s="8" t="s">
        <v>54</v>
      </c>
      <c r="E15" s="8" t="str">
        <f t="shared" si="0"/>
        <v>Helena Poindexter</v>
      </c>
      <c r="F15" s="8" t="s">
        <v>55</v>
      </c>
      <c r="G15" s="9">
        <v>45292</v>
      </c>
      <c r="H15" s="9">
        <v>45961</v>
      </c>
      <c r="I15" s="8" t="s">
        <v>16</v>
      </c>
      <c r="J15" s="8" t="s">
        <v>17</v>
      </c>
      <c r="K15" s="10">
        <v>8.33</v>
      </c>
      <c r="L15" s="12" t="s">
        <v>96</v>
      </c>
      <c r="M15" s="11" t="str">
        <f t="shared" si="1"/>
        <v>Alterwood HRA Bonus -Helena Poindexter-7PQ9K04RC32</v>
      </c>
    </row>
    <row r="16" spans="1:13" s="11" customFormat="1" x14ac:dyDescent="0.25">
      <c r="A16" s="8" t="s">
        <v>48</v>
      </c>
      <c r="B16" s="8">
        <v>7387433</v>
      </c>
      <c r="C16" s="8" t="s">
        <v>56</v>
      </c>
      <c r="D16" s="8" t="s">
        <v>57</v>
      </c>
      <c r="E16" s="8" t="str">
        <f t="shared" si="0"/>
        <v>Stephen Stubbs</v>
      </c>
      <c r="F16" s="8" t="s">
        <v>58</v>
      </c>
      <c r="G16" s="9">
        <v>45566</v>
      </c>
      <c r="H16" s="9">
        <v>45961</v>
      </c>
      <c r="I16" s="8" t="s">
        <v>16</v>
      </c>
      <c r="J16" s="8" t="s">
        <v>17</v>
      </c>
      <c r="K16" s="10">
        <v>8.33</v>
      </c>
      <c r="L16" s="12" t="s">
        <v>96</v>
      </c>
      <c r="M16" s="11" t="str">
        <f t="shared" si="1"/>
        <v>Alterwood HRA Bonus -Stephen Stubbs-8ar8d50cq64</v>
      </c>
    </row>
    <row r="17" spans="1:13" s="11" customFormat="1" x14ac:dyDescent="0.25">
      <c r="A17" s="8" t="s">
        <v>59</v>
      </c>
      <c r="B17" s="8">
        <v>16751785</v>
      </c>
      <c r="C17" s="8" t="s">
        <v>60</v>
      </c>
      <c r="D17" s="8" t="s">
        <v>61</v>
      </c>
      <c r="E17" s="8" t="str">
        <f t="shared" si="0"/>
        <v>Roger Scuder</v>
      </c>
      <c r="F17" s="8" t="s">
        <v>62</v>
      </c>
      <c r="G17" s="9">
        <v>45292</v>
      </c>
      <c r="H17" s="9">
        <v>45961</v>
      </c>
      <c r="I17" s="8" t="s">
        <v>16</v>
      </c>
      <c r="J17" s="8" t="s">
        <v>17</v>
      </c>
      <c r="K17" s="10">
        <v>8.33</v>
      </c>
      <c r="L17" s="12" t="s">
        <v>96</v>
      </c>
      <c r="M17" s="11" t="str">
        <f t="shared" si="1"/>
        <v>Alterwood HRA Bonus -Roger Scuder-7UD3JA1KE14</v>
      </c>
    </row>
    <row r="18" spans="1:13" s="11" customFormat="1" x14ac:dyDescent="0.25">
      <c r="A18" s="8" t="s">
        <v>63</v>
      </c>
      <c r="B18" s="8">
        <v>16202925</v>
      </c>
      <c r="C18" s="8" t="s">
        <v>65</v>
      </c>
      <c r="D18" s="8" t="s">
        <v>66</v>
      </c>
      <c r="E18" s="8" t="str">
        <f t="shared" si="0"/>
        <v>Annette Decosta</v>
      </c>
      <c r="F18" s="8" t="s">
        <v>67</v>
      </c>
      <c r="G18" s="9">
        <v>45108</v>
      </c>
      <c r="H18" s="9">
        <v>45961</v>
      </c>
      <c r="I18" s="8" t="s">
        <v>16</v>
      </c>
      <c r="J18" s="8" t="s">
        <v>17</v>
      </c>
      <c r="K18" s="10">
        <v>8.33</v>
      </c>
      <c r="L18" s="12" t="s">
        <v>96</v>
      </c>
      <c r="M18" s="11" t="str">
        <f t="shared" si="1"/>
        <v>Alterwood HRA Bonus -Annette Decosta-7D20KQ9GA01</v>
      </c>
    </row>
    <row r="19" spans="1:13" s="11" customFormat="1" x14ac:dyDescent="0.25">
      <c r="A19" s="8" t="s">
        <v>63</v>
      </c>
      <c r="B19" s="8">
        <v>16202925</v>
      </c>
      <c r="C19" s="8" t="s">
        <v>68</v>
      </c>
      <c r="D19" s="8" t="s">
        <v>69</v>
      </c>
      <c r="E19" s="8" t="str">
        <f t="shared" si="0"/>
        <v>Cecelia Downes</v>
      </c>
      <c r="F19" s="8" t="s">
        <v>70</v>
      </c>
      <c r="G19" s="9">
        <v>45292</v>
      </c>
      <c r="H19" s="9">
        <v>45961</v>
      </c>
      <c r="I19" s="8" t="s">
        <v>16</v>
      </c>
      <c r="J19" s="8" t="s">
        <v>17</v>
      </c>
      <c r="K19" s="10">
        <v>8.33</v>
      </c>
      <c r="L19" s="12" t="s">
        <v>96</v>
      </c>
      <c r="M19" s="11" t="str">
        <f t="shared" si="1"/>
        <v>Alterwood HRA Bonus -Cecelia Downes-8X23TM3DC72</v>
      </c>
    </row>
    <row r="20" spans="1:13" s="11" customFormat="1" x14ac:dyDescent="0.25">
      <c r="A20" s="8" t="s">
        <v>63</v>
      </c>
      <c r="B20" s="8">
        <v>16202925</v>
      </c>
      <c r="C20" s="8" t="s">
        <v>71</v>
      </c>
      <c r="D20" s="8" t="s">
        <v>72</v>
      </c>
      <c r="E20" s="8" t="str">
        <f t="shared" si="0"/>
        <v>Eley Downes Jr</v>
      </c>
      <c r="F20" s="8" t="s">
        <v>73</v>
      </c>
      <c r="G20" s="9">
        <v>45292</v>
      </c>
      <c r="H20" s="9">
        <v>45961</v>
      </c>
      <c r="I20" s="8" t="s">
        <v>16</v>
      </c>
      <c r="J20" s="8" t="s">
        <v>17</v>
      </c>
      <c r="K20" s="10">
        <v>8.33</v>
      </c>
      <c r="L20" s="12" t="s">
        <v>96</v>
      </c>
      <c r="M20" s="11" t="str">
        <f t="shared" si="1"/>
        <v>Alterwood HRA Bonus -Eley Downes Jr-5NM8HU9JK46</v>
      </c>
    </row>
    <row r="21" spans="1:13" s="11" customFormat="1" ht="15.75" customHeight="1" x14ac:dyDescent="0.25">
      <c r="A21" s="8" t="s">
        <v>63</v>
      </c>
      <c r="B21" s="8">
        <v>16202925</v>
      </c>
      <c r="C21" s="8" t="s">
        <v>74</v>
      </c>
      <c r="D21" s="8" t="s">
        <v>75</v>
      </c>
      <c r="E21" s="8" t="str">
        <f t="shared" si="0"/>
        <v>Ruth Wilcox</v>
      </c>
      <c r="F21" s="8" t="s">
        <v>76</v>
      </c>
      <c r="G21" s="9">
        <v>45292</v>
      </c>
      <c r="H21" s="9">
        <v>45961</v>
      </c>
      <c r="I21" s="8" t="s">
        <v>16</v>
      </c>
      <c r="J21" s="8" t="s">
        <v>17</v>
      </c>
      <c r="K21" s="10">
        <v>8.33</v>
      </c>
      <c r="L21" s="12" t="s">
        <v>96</v>
      </c>
      <c r="M21" s="11" t="str">
        <f t="shared" si="1"/>
        <v>Alterwood HRA Bonus -Ruth Wilcox-8JM2J52YC10</v>
      </c>
    </row>
    <row r="22" spans="1:13" s="11" customFormat="1" ht="15.75" customHeight="1" x14ac:dyDescent="0.25">
      <c r="A22" s="8" t="s">
        <v>63</v>
      </c>
      <c r="B22" s="8">
        <v>16202925</v>
      </c>
      <c r="C22" s="8" t="s">
        <v>77</v>
      </c>
      <c r="D22" s="8" t="s">
        <v>78</v>
      </c>
      <c r="E22" s="8" t="str">
        <f t="shared" si="0"/>
        <v>Terri Hoskins</v>
      </c>
      <c r="F22" s="8" t="s">
        <v>79</v>
      </c>
      <c r="G22" s="9">
        <v>45323</v>
      </c>
      <c r="H22" s="9">
        <v>45961</v>
      </c>
      <c r="I22" s="8" t="s">
        <v>16</v>
      </c>
      <c r="J22" s="8" t="s">
        <v>17</v>
      </c>
      <c r="K22" s="10">
        <v>8.33</v>
      </c>
      <c r="L22" s="12" t="s">
        <v>96</v>
      </c>
      <c r="M22" s="11" t="str">
        <f t="shared" si="1"/>
        <v>Alterwood HRA Bonus -Terri Hoskins-3g06u81pr72</v>
      </c>
    </row>
    <row r="23" spans="1:13" s="11" customFormat="1" ht="15.75" customHeight="1" x14ac:dyDescent="0.25">
      <c r="A23" s="8" t="s">
        <v>63</v>
      </c>
      <c r="B23" s="8">
        <v>16202925</v>
      </c>
      <c r="C23" s="8" t="s">
        <v>80</v>
      </c>
      <c r="D23" s="8" t="s">
        <v>81</v>
      </c>
      <c r="E23" s="8" t="str">
        <f t="shared" si="0"/>
        <v>Mina Izgiyaev</v>
      </c>
      <c r="F23" s="8" t="s">
        <v>82</v>
      </c>
      <c r="G23" s="9">
        <v>45566</v>
      </c>
      <c r="H23" s="9">
        <v>45961</v>
      </c>
      <c r="I23" s="8" t="s">
        <v>16</v>
      </c>
      <c r="J23" s="8" t="s">
        <v>17</v>
      </c>
      <c r="K23" s="10">
        <v>8.33</v>
      </c>
      <c r="L23" s="12" t="s">
        <v>96</v>
      </c>
      <c r="M23" s="11" t="str">
        <f t="shared" si="1"/>
        <v>Alterwood HRA Bonus -Mina Izgiyaev-3VJ8KN6UQ30</v>
      </c>
    </row>
    <row r="24" spans="1:13" s="11" customFormat="1" ht="15.75" customHeight="1" x14ac:dyDescent="0.25">
      <c r="A24" s="8" t="s">
        <v>63</v>
      </c>
      <c r="B24" s="8">
        <v>16202925</v>
      </c>
      <c r="C24" s="8" t="s">
        <v>38</v>
      </c>
      <c r="D24" s="8" t="s">
        <v>81</v>
      </c>
      <c r="E24" s="8" t="str">
        <f t="shared" si="0"/>
        <v>David Izgiyaev</v>
      </c>
      <c r="F24" s="8" t="s">
        <v>83</v>
      </c>
      <c r="G24" s="9">
        <v>45566</v>
      </c>
      <c r="H24" s="9">
        <v>45961</v>
      </c>
      <c r="I24" s="8" t="s">
        <v>16</v>
      </c>
      <c r="J24" s="8" t="s">
        <v>17</v>
      </c>
      <c r="K24" s="10">
        <v>8.33</v>
      </c>
      <c r="L24" s="12" t="s">
        <v>96</v>
      </c>
      <c r="M24" s="11" t="str">
        <f t="shared" si="1"/>
        <v>Alterwood HRA Bonus -David Izgiyaev-5GD5RH8QJ40</v>
      </c>
    </row>
    <row r="25" spans="1:13" s="11" customFormat="1" ht="15.75" customHeight="1" x14ac:dyDescent="0.25">
      <c r="A25" s="8" t="s">
        <v>63</v>
      </c>
      <c r="B25" s="8">
        <v>16202925</v>
      </c>
      <c r="C25" s="8" t="s">
        <v>84</v>
      </c>
      <c r="D25" s="8" t="s">
        <v>85</v>
      </c>
      <c r="E25" s="8" t="str">
        <f t="shared" si="0"/>
        <v>Zinaida Rahmilov</v>
      </c>
      <c r="F25" s="8" t="s">
        <v>86</v>
      </c>
      <c r="G25" s="9">
        <v>45597</v>
      </c>
      <c r="H25" s="9">
        <v>45961</v>
      </c>
      <c r="I25" s="8" t="s">
        <v>16</v>
      </c>
      <c r="J25" s="8" t="s">
        <v>17</v>
      </c>
      <c r="K25" s="10">
        <v>8.33</v>
      </c>
      <c r="L25" s="12" t="s">
        <v>96</v>
      </c>
      <c r="M25" s="11" t="str">
        <f t="shared" si="1"/>
        <v>Alterwood HRA Bonus -Zinaida Rahmilov-6jg8yj5vg39</v>
      </c>
    </row>
    <row r="26" spans="1:13" s="11" customFormat="1" ht="15.75" customHeight="1" x14ac:dyDescent="0.25">
      <c r="A26" s="13" t="s">
        <v>87</v>
      </c>
      <c r="B26" s="14">
        <v>5442438</v>
      </c>
      <c r="C26" s="13" t="s">
        <v>89</v>
      </c>
      <c r="D26" s="13" t="s">
        <v>90</v>
      </c>
      <c r="E26" s="8" t="str">
        <f>CONCATENATE(C26, " ",D26)</f>
        <v>Jeanne Maurhoff</v>
      </c>
      <c r="F26" s="13" t="s">
        <v>91</v>
      </c>
      <c r="G26" s="15">
        <v>45931</v>
      </c>
      <c r="H26" s="15">
        <v>45961</v>
      </c>
      <c r="I26" s="13" t="s">
        <v>16</v>
      </c>
      <c r="J26" s="13" t="s">
        <v>95</v>
      </c>
      <c r="K26" s="16">
        <v>100</v>
      </c>
      <c r="L26" s="12" t="s">
        <v>96</v>
      </c>
      <c r="M26" s="11" t="str">
        <f t="shared" si="1"/>
        <v>Alterwood HRA Bonus -Jeanne Maurhoff-2TA6P71XY70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2025-10-31T15:28:01Z</dcterms:created>
  <dcterms:modified xsi:type="dcterms:W3CDTF">2025-11-03T19:29:42Z</dcterms:modified>
</cp:coreProperties>
</file>