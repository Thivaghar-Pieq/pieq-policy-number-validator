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Alterwood/11-27-24/"/>
    </mc:Choice>
  </mc:AlternateContent>
  <xr:revisionPtr revIDLastSave="0" documentId="13_ncr:1_{59151147-6926-344B-9EDA-712346069323}" xr6:coauthVersionLast="47" xr6:coauthVersionMax="47" xr10:uidLastSave="{00000000-0000-0000-0000-000000000000}"/>
  <bookViews>
    <workbookView xWindow="0" yWindow="500" windowWidth="19200" windowHeight="19360" activeTab="1" xr2:uid="{C605BC08-A453-FE44-803E-D6B5CCA713A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" l="1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3" i="2"/>
  <c r="H4" i="2"/>
  <c r="H5" i="2"/>
  <c r="H6" i="2"/>
  <c r="H7" i="2"/>
  <c r="H8" i="2"/>
  <c r="H9" i="2"/>
  <c r="H10" i="2"/>
  <c r="H11" i="2"/>
  <c r="H12" i="2"/>
  <c r="H13" i="2"/>
  <c r="H14" i="2"/>
  <c r="H2" i="2"/>
  <c r="F2" i="2"/>
  <c r="F3" i="2"/>
  <c r="F4" i="2"/>
  <c r="F5" i="2"/>
  <c r="F6" i="2"/>
  <c r="F7" i="2"/>
  <c r="F8" i="2"/>
  <c r="F9" i="2"/>
  <c r="F10" i="2"/>
  <c r="F11" i="2"/>
  <c r="F12" i="2"/>
  <c r="F28" i="2"/>
  <c r="F29" i="2"/>
  <c r="F30" i="2"/>
  <c r="F31" i="2"/>
  <c r="F32" i="2"/>
  <c r="F33" i="2"/>
  <c r="F34" i="2"/>
  <c r="F35" i="2"/>
  <c r="F36" i="2"/>
  <c r="F37" i="2"/>
  <c r="F14" i="2"/>
  <c r="F15" i="2"/>
  <c r="F16" i="2"/>
  <c r="F17" i="2"/>
  <c r="F18" i="2"/>
  <c r="F19" i="2"/>
  <c r="F20" i="2"/>
  <c r="F21" i="2"/>
  <c r="F22" i="2"/>
  <c r="F23" i="2"/>
  <c r="F24" i="2"/>
  <c r="F38" i="2"/>
  <c r="F39" i="2"/>
  <c r="F13" i="2"/>
  <c r="F40" i="2"/>
  <c r="F41" i="2"/>
  <c r="F42" i="2"/>
  <c r="F25" i="2"/>
  <c r="F26" i="2"/>
  <c r="F27" i="2"/>
</calcChain>
</file>

<file path=xl/sharedStrings.xml><?xml version="1.0" encoding="utf-8"?>
<sst xmlns="http://schemas.openxmlformats.org/spreadsheetml/2006/main" count="681" uniqueCount="104">
  <si>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</si>
  <si>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</si>
  <si>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</si>
  <si>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</si>
  <si>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</si>
  <si>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</si>
  <si>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</si>
  <si>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</si>
  <si>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</si>
  <si>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</si>
  <si>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</si>
  <si>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Thomas Kucan</t>
  </si>
  <si>
    <t>RIM16202925</t>
  </si>
  <si>
    <t>Zinaida</t>
  </si>
  <si>
    <t>Rahmilov</t>
  </si>
  <si>
    <t>6jg8yj5vg39</t>
  </si>
  <si>
    <t>Alterwood Advantage Inc</t>
  </si>
  <si>
    <t>Alterwood 2022-2024 Initial Override Premium Period: 11/1/2024</t>
  </si>
  <si>
    <t>$125.00</t>
  </si>
  <si>
    <t>Adam Richter</t>
  </si>
  <si>
    <t>RIM9079571</t>
  </si>
  <si>
    <t>Michael</t>
  </si>
  <si>
    <t>Schakola</t>
  </si>
  <si>
    <t>4U60PC0GH01</t>
  </si>
  <si>
    <t>Alterwood 2022-2024 Renewal OR (ProRata: 1) Premium Period: 11/1/2024</t>
  </si>
  <si>
    <t>$5.41</t>
  </si>
  <si>
    <t>Thomas</t>
  </si>
  <si>
    <t>Oates</t>
  </si>
  <si>
    <t>3R21U83KN91</t>
  </si>
  <si>
    <t>$1.25</t>
  </si>
  <si>
    <t>Richard</t>
  </si>
  <si>
    <t>Brostrom</t>
  </si>
  <si>
    <t>7FX9MR7WC47</t>
  </si>
  <si>
    <t>Darrell</t>
  </si>
  <si>
    <t>Johnson</t>
  </si>
  <si>
    <t>3XC9VH7WW37</t>
  </si>
  <si>
    <t>Jan</t>
  </si>
  <si>
    <t>Oulsey</t>
  </si>
  <si>
    <t>1D85NR9GP70</t>
  </si>
  <si>
    <t>William</t>
  </si>
  <si>
    <t>Ratcliffe</t>
  </si>
  <si>
    <t>4EF1A53AG08</t>
  </si>
  <si>
    <t>Sharon</t>
  </si>
  <si>
    <t>4E87PH8VJ54</t>
  </si>
  <si>
    <t>Robert</t>
  </si>
  <si>
    <t>Reese</t>
  </si>
  <si>
    <t>3WE4UW1XG87</t>
  </si>
  <si>
    <t>Emmanuel</t>
  </si>
  <si>
    <t>Reyes Brache</t>
  </si>
  <si>
    <t>7W99K86HJ25</t>
  </si>
  <si>
    <t>Iris</t>
  </si>
  <si>
    <t>Savoy</t>
  </si>
  <si>
    <t>3KX9G75ED19</t>
  </si>
  <si>
    <t>Schestag</t>
  </si>
  <si>
    <t>5F04NN9XY68</t>
  </si>
  <si>
    <t>Kahasay</t>
  </si>
  <si>
    <t>Sequar</t>
  </si>
  <si>
    <t>8XD4NU5KW98</t>
  </si>
  <si>
    <t>Shelley</t>
  </si>
  <si>
    <t>Stockett</t>
  </si>
  <si>
    <t>7Y92Q40PG13</t>
  </si>
  <si>
    <t>Daniel</t>
  </si>
  <si>
    <t>Deacon</t>
  </si>
  <si>
    <t>1A73R48VE99</t>
  </si>
  <si>
    <t>Amsale</t>
  </si>
  <si>
    <t>Cunningham</t>
  </si>
  <si>
    <t>5WW8G75QU21</t>
  </si>
  <si>
    <t>Ana</t>
  </si>
  <si>
    <t>Limo</t>
  </si>
  <si>
    <t>5E31PJ5GP93</t>
  </si>
  <si>
    <t>Nicholas</t>
  </si>
  <si>
    <t>Protopapas</t>
  </si>
  <si>
    <t>2M80WV5DQ38</t>
  </si>
  <si>
    <t>Marina</t>
  </si>
  <si>
    <t>4NP2DJ0TR22</t>
  </si>
  <si>
    <t>James</t>
  </si>
  <si>
    <t>Bell</t>
  </si>
  <si>
    <t>6F32XC7RC12</t>
  </si>
  <si>
    <t>Theresa</t>
  </si>
  <si>
    <t>Shiflett</t>
  </si>
  <si>
    <t>9JX1UH0JU31</t>
  </si>
  <si>
    <t>David</t>
  </si>
  <si>
    <t>Naumann</t>
  </si>
  <si>
    <t>1TU1ER7RF98</t>
  </si>
  <si>
    <t>Mackin</t>
  </si>
  <si>
    <t>1PM6NM4YC79</t>
  </si>
  <si>
    <t>Ronald Max</t>
  </si>
  <si>
    <t>Philip</t>
  </si>
  <si>
    <t>Johnston</t>
  </si>
  <si>
    <t>1H14QM7fH76</t>
  </si>
  <si>
    <t>Kevin</t>
  </si>
  <si>
    <t>3NF3KR2XR86</t>
  </si>
  <si>
    <t>Annette</t>
  </si>
  <si>
    <t>Decosta</t>
  </si>
  <si>
    <t>7D20KQ9GA01</t>
  </si>
  <si>
    <t>Liza</t>
  </si>
  <si>
    <t>Lacosta</t>
  </si>
  <si>
    <t>2AV1H32MJ02</t>
  </si>
  <si>
    <t>Alterwood 2024 Initial Street Premium Period: 11/1/2024</t>
  </si>
  <si>
    <t>$611.00</t>
  </si>
  <si>
    <t>Alterwood 2024 External Replacement ST (ProRata: 1) Premium Period: 11/1/2024</t>
  </si>
  <si>
    <t>$25.50</t>
  </si>
  <si>
    <t>Notes: Alterwood HRA Bonus Payment November 2024. DH</t>
  </si>
  <si>
    <t>$100.00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</si>
</sst>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9EFB6-06B8-EE4A-9DFB-48BEC6E1E10A}">
  <dimension ref="A1:K43"/>
  <sheetViews>
    <sheetView workbookViewId="0">
      <selection sqref="A1:XFD1048576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16202925</v>
      </c>
      <c r="D2" t="s">
        <v>13</v>
      </c>
      <c r="E2" t="s">
        <v>14</v>
      </c>
      <c r="F2" t="s">
        <v>15</v>
      </c>
      <c r="G2" s="1">
        <v>45597</v>
      </c>
      <c r="H2" s="1">
        <v>45623</v>
      </c>
      <c r="I2" t="s">
        <v>16</v>
      </c>
      <c r="J2" t="s">
        <v>17</v>
      </c>
      <c r="K2" t="s">
        <v>18</v>
      </c>
    </row>
    <row r="3" spans="1:11" x14ac:dyDescent="0.2">
      <c r="A3" t="s">
        <v>19</v>
      </c>
      <c r="B3" t="s">
        <v>20</v>
      </c>
      <c r="C3">
        <v>9079571</v>
      </c>
      <c r="D3" t="s">
        <v>21</v>
      </c>
      <c r="E3" t="s">
        <v>22</v>
      </c>
      <c r="F3" t="s">
        <v>23</v>
      </c>
      <c r="G3" s="1">
        <v>45261</v>
      </c>
      <c r="H3" s="1">
        <v>45623</v>
      </c>
      <c r="I3" t="s">
        <v>16</v>
      </c>
      <c r="J3" t="s">
        <v>24</v>
      </c>
      <c r="K3" t="s">
        <v>25</v>
      </c>
    </row>
    <row r="4" spans="1:11" x14ac:dyDescent="0.2">
      <c r="A4" t="s">
        <v>19</v>
      </c>
      <c r="B4" t="s">
        <v>20</v>
      </c>
      <c r="C4">
        <v>9079571</v>
      </c>
      <c r="D4" t="s">
        <v>26</v>
      </c>
      <c r="E4" t="s">
        <v>27</v>
      </c>
      <c r="F4" t="s">
        <v>28</v>
      </c>
      <c r="G4" s="1">
        <v>44866</v>
      </c>
      <c r="H4" s="1">
        <v>45623</v>
      </c>
      <c r="I4" t="s">
        <v>16</v>
      </c>
      <c r="J4" t="s">
        <v>24</v>
      </c>
      <c r="K4" t="s">
        <v>29</v>
      </c>
    </row>
    <row r="5" spans="1:11" x14ac:dyDescent="0.2">
      <c r="A5" t="s">
        <v>19</v>
      </c>
      <c r="B5" t="s">
        <v>20</v>
      </c>
      <c r="C5">
        <v>9079571</v>
      </c>
      <c r="D5" t="s">
        <v>30</v>
      </c>
      <c r="E5" t="s">
        <v>31</v>
      </c>
      <c r="F5" t="s">
        <v>32</v>
      </c>
      <c r="G5" s="1">
        <v>44927</v>
      </c>
      <c r="H5" s="1">
        <v>45623</v>
      </c>
      <c r="I5" t="s">
        <v>16</v>
      </c>
      <c r="J5" t="s">
        <v>24</v>
      </c>
      <c r="K5" t="s">
        <v>29</v>
      </c>
    </row>
    <row r="6" spans="1:11" x14ac:dyDescent="0.2">
      <c r="A6" t="s">
        <v>19</v>
      </c>
      <c r="B6" t="s">
        <v>20</v>
      </c>
      <c r="C6">
        <v>9079571</v>
      </c>
      <c r="D6" t="s">
        <v>33</v>
      </c>
      <c r="E6" t="s">
        <v>34</v>
      </c>
      <c r="F6" t="s">
        <v>35</v>
      </c>
      <c r="G6" s="1">
        <v>44927</v>
      </c>
      <c r="H6" s="1">
        <v>45623</v>
      </c>
      <c r="I6" t="s">
        <v>16</v>
      </c>
      <c r="J6" t="s">
        <v>24</v>
      </c>
      <c r="K6" t="s">
        <v>29</v>
      </c>
    </row>
    <row r="7" spans="1:11" x14ac:dyDescent="0.2">
      <c r="A7" t="s">
        <v>19</v>
      </c>
      <c r="B7" t="s">
        <v>20</v>
      </c>
      <c r="C7">
        <v>9079571</v>
      </c>
      <c r="D7" t="s">
        <v>36</v>
      </c>
      <c r="E7" t="s">
        <v>37</v>
      </c>
      <c r="F7" t="s">
        <v>38</v>
      </c>
      <c r="G7" s="1">
        <v>44927</v>
      </c>
      <c r="H7" s="1">
        <v>45623</v>
      </c>
      <c r="I7" t="s">
        <v>16</v>
      </c>
      <c r="J7" t="s">
        <v>24</v>
      </c>
      <c r="K7" t="s">
        <v>29</v>
      </c>
    </row>
    <row r="8" spans="1:11" x14ac:dyDescent="0.2">
      <c r="A8" t="s">
        <v>19</v>
      </c>
      <c r="B8" t="s">
        <v>20</v>
      </c>
      <c r="C8">
        <v>9079571</v>
      </c>
      <c r="D8" t="s">
        <v>39</v>
      </c>
      <c r="E8" t="s">
        <v>40</v>
      </c>
      <c r="F8" t="s">
        <v>41</v>
      </c>
      <c r="G8" s="1">
        <v>44927</v>
      </c>
      <c r="H8" s="1">
        <v>45623</v>
      </c>
      <c r="I8" t="s">
        <v>16</v>
      </c>
      <c r="J8" t="s">
        <v>24</v>
      </c>
      <c r="K8" t="s">
        <v>29</v>
      </c>
    </row>
    <row r="9" spans="1:11" x14ac:dyDescent="0.2">
      <c r="A9" t="s">
        <v>19</v>
      </c>
      <c r="B9" t="s">
        <v>20</v>
      </c>
      <c r="C9">
        <v>9079571</v>
      </c>
      <c r="D9" t="s">
        <v>42</v>
      </c>
      <c r="E9" t="s">
        <v>40</v>
      </c>
      <c r="F9" t="s">
        <v>43</v>
      </c>
      <c r="G9" s="1">
        <v>44927</v>
      </c>
      <c r="H9" s="1">
        <v>45623</v>
      </c>
      <c r="I9" t="s">
        <v>16</v>
      </c>
      <c r="J9" t="s">
        <v>24</v>
      </c>
      <c r="K9" t="s">
        <v>29</v>
      </c>
    </row>
    <row r="10" spans="1:11" x14ac:dyDescent="0.2">
      <c r="A10" t="s">
        <v>19</v>
      </c>
      <c r="B10" t="s">
        <v>20</v>
      </c>
      <c r="C10">
        <v>9079571</v>
      </c>
      <c r="D10" t="s">
        <v>44</v>
      </c>
      <c r="E10" t="s">
        <v>45</v>
      </c>
      <c r="F10" t="s">
        <v>46</v>
      </c>
      <c r="G10" s="1">
        <v>44927</v>
      </c>
      <c r="H10" s="1">
        <v>45623</v>
      </c>
      <c r="I10" t="s">
        <v>16</v>
      </c>
      <c r="J10" t="s">
        <v>24</v>
      </c>
      <c r="K10" t="s">
        <v>29</v>
      </c>
    </row>
    <row r="11" spans="1:11" x14ac:dyDescent="0.2">
      <c r="A11" t="s">
        <v>19</v>
      </c>
      <c r="B11" t="s">
        <v>20</v>
      </c>
      <c r="C11">
        <v>9079571</v>
      </c>
      <c r="D11" t="s">
        <v>47</v>
      </c>
      <c r="E11" t="s">
        <v>48</v>
      </c>
      <c r="F11" t="s">
        <v>49</v>
      </c>
      <c r="G11" s="1">
        <v>44927</v>
      </c>
      <c r="H11" s="1">
        <v>45623</v>
      </c>
      <c r="I11" t="s">
        <v>16</v>
      </c>
      <c r="J11" t="s">
        <v>24</v>
      </c>
      <c r="K11" t="s">
        <v>29</v>
      </c>
    </row>
    <row r="12" spans="1:11" x14ac:dyDescent="0.2">
      <c r="A12" t="s">
        <v>19</v>
      </c>
      <c r="B12" t="s">
        <v>20</v>
      </c>
      <c r="C12">
        <v>9079571</v>
      </c>
      <c r="D12" t="s">
        <v>50</v>
      </c>
      <c r="E12" t="s">
        <v>51</v>
      </c>
      <c r="F12" t="s">
        <v>52</v>
      </c>
      <c r="G12" s="1">
        <v>44927</v>
      </c>
      <c r="H12" s="1">
        <v>45623</v>
      </c>
      <c r="I12" t="s">
        <v>16</v>
      </c>
      <c r="J12" t="s">
        <v>24</v>
      </c>
      <c r="K12" t="s">
        <v>29</v>
      </c>
    </row>
    <row r="13" spans="1:11" x14ac:dyDescent="0.2">
      <c r="A13" t="s">
        <v>19</v>
      </c>
      <c r="B13" t="s">
        <v>20</v>
      </c>
      <c r="C13">
        <v>9079571</v>
      </c>
      <c r="D13" t="s">
        <v>44</v>
      </c>
      <c r="E13" t="s">
        <v>53</v>
      </c>
      <c r="F13" t="s">
        <v>54</v>
      </c>
      <c r="G13" s="1">
        <v>44927</v>
      </c>
      <c r="H13" s="1">
        <v>45623</v>
      </c>
      <c r="I13" t="s">
        <v>16</v>
      </c>
      <c r="J13" t="s">
        <v>24</v>
      </c>
      <c r="K13" t="s">
        <v>29</v>
      </c>
    </row>
    <row r="14" spans="1:11" x14ac:dyDescent="0.2">
      <c r="A14" t="s">
        <v>19</v>
      </c>
      <c r="B14" t="s">
        <v>20</v>
      </c>
      <c r="C14">
        <v>9079571</v>
      </c>
      <c r="D14" t="s">
        <v>55</v>
      </c>
      <c r="E14" t="s">
        <v>56</v>
      </c>
      <c r="F14" t="s">
        <v>57</v>
      </c>
      <c r="G14" s="1">
        <v>44927</v>
      </c>
      <c r="H14" s="1">
        <v>45623</v>
      </c>
      <c r="I14" t="s">
        <v>16</v>
      </c>
      <c r="J14" t="s">
        <v>24</v>
      </c>
      <c r="K14" t="s">
        <v>29</v>
      </c>
    </row>
    <row r="15" spans="1:11" x14ac:dyDescent="0.2">
      <c r="A15" t="s">
        <v>19</v>
      </c>
      <c r="B15" t="s">
        <v>20</v>
      </c>
      <c r="C15">
        <v>9079571</v>
      </c>
      <c r="D15" t="s">
        <v>58</v>
      </c>
      <c r="E15" t="s">
        <v>59</v>
      </c>
      <c r="F15" t="s">
        <v>60</v>
      </c>
      <c r="G15" s="1">
        <v>44986</v>
      </c>
      <c r="H15" s="1">
        <v>45623</v>
      </c>
      <c r="I15" t="s">
        <v>16</v>
      </c>
      <c r="J15" t="s">
        <v>24</v>
      </c>
      <c r="K15" t="s">
        <v>25</v>
      </c>
    </row>
    <row r="16" spans="1:11" x14ac:dyDescent="0.2">
      <c r="A16" t="s">
        <v>19</v>
      </c>
      <c r="B16" t="s">
        <v>20</v>
      </c>
      <c r="C16">
        <v>9079571</v>
      </c>
      <c r="D16" t="s">
        <v>61</v>
      </c>
      <c r="E16" t="s">
        <v>62</v>
      </c>
      <c r="F16" t="s">
        <v>63</v>
      </c>
      <c r="G16" s="1">
        <v>45017</v>
      </c>
      <c r="H16" s="1">
        <v>45623</v>
      </c>
      <c r="I16" t="s">
        <v>16</v>
      </c>
      <c r="J16" t="s">
        <v>24</v>
      </c>
      <c r="K16" t="s">
        <v>25</v>
      </c>
    </row>
    <row r="17" spans="1:11" x14ac:dyDescent="0.2">
      <c r="A17" t="s">
        <v>19</v>
      </c>
      <c r="B17" t="s">
        <v>20</v>
      </c>
      <c r="C17">
        <v>9079571</v>
      </c>
      <c r="D17" t="s">
        <v>64</v>
      </c>
      <c r="E17" t="s">
        <v>65</v>
      </c>
      <c r="F17" t="s">
        <v>66</v>
      </c>
      <c r="G17" s="1">
        <v>45047</v>
      </c>
      <c r="H17" s="1">
        <v>45623</v>
      </c>
      <c r="I17" t="s">
        <v>16</v>
      </c>
      <c r="J17" t="s">
        <v>24</v>
      </c>
      <c r="K17" t="s">
        <v>25</v>
      </c>
    </row>
    <row r="18" spans="1:11" x14ac:dyDescent="0.2">
      <c r="A18" t="s">
        <v>19</v>
      </c>
      <c r="B18" t="s">
        <v>20</v>
      </c>
      <c r="C18">
        <v>9079571</v>
      </c>
      <c r="D18" t="s">
        <v>67</v>
      </c>
      <c r="E18" t="s">
        <v>68</v>
      </c>
      <c r="F18" t="s">
        <v>69</v>
      </c>
      <c r="G18" s="1">
        <v>45047</v>
      </c>
      <c r="H18" s="1">
        <v>45623</v>
      </c>
      <c r="I18" t="s">
        <v>16</v>
      </c>
      <c r="J18" t="s">
        <v>24</v>
      </c>
      <c r="K18" t="s">
        <v>25</v>
      </c>
    </row>
    <row r="19" spans="1:11" x14ac:dyDescent="0.2">
      <c r="A19" t="s">
        <v>19</v>
      </c>
      <c r="B19" t="s">
        <v>20</v>
      </c>
      <c r="C19">
        <v>9079571</v>
      </c>
      <c r="D19" t="s">
        <v>70</v>
      </c>
      <c r="E19" t="s">
        <v>71</v>
      </c>
      <c r="F19" t="s">
        <v>72</v>
      </c>
      <c r="G19" s="1">
        <v>45108</v>
      </c>
      <c r="H19" s="1">
        <v>45623</v>
      </c>
      <c r="I19" t="s">
        <v>16</v>
      </c>
      <c r="J19" t="s">
        <v>24</v>
      </c>
      <c r="K19" t="s">
        <v>25</v>
      </c>
    </row>
    <row r="20" spans="1:11" x14ac:dyDescent="0.2">
      <c r="A20" t="s">
        <v>19</v>
      </c>
      <c r="B20" t="s">
        <v>20</v>
      </c>
      <c r="C20">
        <v>9079571</v>
      </c>
      <c r="D20" t="s">
        <v>73</v>
      </c>
      <c r="E20" t="s">
        <v>71</v>
      </c>
      <c r="F20" t="s">
        <v>74</v>
      </c>
      <c r="G20" s="1">
        <v>45108</v>
      </c>
      <c r="H20" s="1">
        <v>45623</v>
      </c>
      <c r="I20" t="s">
        <v>16</v>
      </c>
      <c r="J20" t="s">
        <v>24</v>
      </c>
      <c r="K20" t="s">
        <v>25</v>
      </c>
    </row>
    <row r="21" spans="1:11" x14ac:dyDescent="0.2">
      <c r="A21" t="s">
        <v>19</v>
      </c>
      <c r="B21" t="s">
        <v>20</v>
      </c>
      <c r="C21">
        <v>9079571</v>
      </c>
      <c r="D21" t="s">
        <v>75</v>
      </c>
      <c r="E21" t="s">
        <v>76</v>
      </c>
      <c r="F21" t="s">
        <v>77</v>
      </c>
      <c r="G21" s="1">
        <v>45139</v>
      </c>
      <c r="H21" s="1">
        <v>45623</v>
      </c>
      <c r="I21" t="s">
        <v>16</v>
      </c>
      <c r="J21" t="s">
        <v>24</v>
      </c>
      <c r="K21" t="s">
        <v>25</v>
      </c>
    </row>
    <row r="22" spans="1:11" x14ac:dyDescent="0.2">
      <c r="A22" t="s">
        <v>19</v>
      </c>
      <c r="B22" t="s">
        <v>20</v>
      </c>
      <c r="C22">
        <v>9079571</v>
      </c>
      <c r="D22" t="s">
        <v>78</v>
      </c>
      <c r="E22" t="s">
        <v>79</v>
      </c>
      <c r="F22" t="s">
        <v>80</v>
      </c>
      <c r="G22" s="1">
        <v>45139</v>
      </c>
      <c r="H22" s="1">
        <v>45623</v>
      </c>
      <c r="I22" t="s">
        <v>16</v>
      </c>
      <c r="J22" t="s">
        <v>24</v>
      </c>
      <c r="K22" t="s">
        <v>25</v>
      </c>
    </row>
    <row r="23" spans="1:11" x14ac:dyDescent="0.2">
      <c r="A23" t="s">
        <v>19</v>
      </c>
      <c r="B23" t="s">
        <v>20</v>
      </c>
      <c r="C23">
        <v>9079571</v>
      </c>
      <c r="D23" t="s">
        <v>81</v>
      </c>
      <c r="E23" t="s">
        <v>82</v>
      </c>
      <c r="F23" t="s">
        <v>83</v>
      </c>
      <c r="G23" s="1">
        <v>45231</v>
      </c>
      <c r="H23" s="1">
        <v>45623</v>
      </c>
      <c r="I23" t="s">
        <v>16</v>
      </c>
      <c r="J23" t="s">
        <v>24</v>
      </c>
      <c r="K23" t="s">
        <v>25</v>
      </c>
    </row>
    <row r="24" spans="1:11" x14ac:dyDescent="0.2">
      <c r="A24" t="s">
        <v>19</v>
      </c>
      <c r="B24" t="s">
        <v>20</v>
      </c>
      <c r="C24">
        <v>9079571</v>
      </c>
      <c r="D24" t="s">
        <v>81</v>
      </c>
      <c r="E24" t="s">
        <v>84</v>
      </c>
      <c r="F24" t="s">
        <v>85</v>
      </c>
      <c r="G24" s="1">
        <v>45261</v>
      </c>
      <c r="H24" s="1">
        <v>45623</v>
      </c>
      <c r="I24" t="s">
        <v>16</v>
      </c>
      <c r="J24" t="s">
        <v>24</v>
      </c>
      <c r="K24" t="s">
        <v>25</v>
      </c>
    </row>
    <row r="25" spans="1:11" x14ac:dyDescent="0.2">
      <c r="A25" t="s">
        <v>86</v>
      </c>
      <c r="B25">
        <v>5442438</v>
      </c>
      <c r="C25">
        <v>5442438</v>
      </c>
      <c r="D25" t="s">
        <v>87</v>
      </c>
      <c r="E25" t="s">
        <v>88</v>
      </c>
      <c r="F25" t="s">
        <v>89</v>
      </c>
      <c r="G25" s="1">
        <v>45108</v>
      </c>
      <c r="H25" s="1">
        <v>45623</v>
      </c>
      <c r="I25" t="s">
        <v>16</v>
      </c>
      <c r="J25" t="s">
        <v>24</v>
      </c>
      <c r="K25" t="s">
        <v>25</v>
      </c>
    </row>
    <row r="26" spans="1:11" x14ac:dyDescent="0.2">
      <c r="A26" t="s">
        <v>86</v>
      </c>
      <c r="B26">
        <v>5442438</v>
      </c>
      <c r="C26">
        <v>5442438</v>
      </c>
      <c r="D26" t="s">
        <v>90</v>
      </c>
      <c r="E26" t="s">
        <v>21</v>
      </c>
      <c r="F26" t="s">
        <v>91</v>
      </c>
      <c r="G26" s="1">
        <v>45139</v>
      </c>
      <c r="H26" s="1">
        <v>45623</v>
      </c>
      <c r="I26" t="s">
        <v>16</v>
      </c>
      <c r="J26" t="s">
        <v>24</v>
      </c>
      <c r="K26" t="s">
        <v>25</v>
      </c>
    </row>
    <row r="27" spans="1:11" x14ac:dyDescent="0.2">
      <c r="A27" t="s">
        <v>11</v>
      </c>
      <c r="B27" t="s">
        <v>12</v>
      </c>
      <c r="C27">
        <v>16202925</v>
      </c>
      <c r="D27" t="s">
        <v>92</v>
      </c>
      <c r="E27" t="s">
        <v>93</v>
      </c>
      <c r="F27" t="s">
        <v>94</v>
      </c>
      <c r="G27" s="1">
        <v>45108</v>
      </c>
      <c r="H27" s="1">
        <v>45623</v>
      </c>
      <c r="I27" t="s">
        <v>16</v>
      </c>
      <c r="J27" t="s">
        <v>24</v>
      </c>
      <c r="K27" t="s">
        <v>25</v>
      </c>
    </row>
    <row r="28" spans="1:11" x14ac:dyDescent="0.2">
      <c r="A28" t="s">
        <v>11</v>
      </c>
      <c r="B28" t="s">
        <v>12</v>
      </c>
      <c r="C28">
        <v>16202925</v>
      </c>
      <c r="D28" t="s">
        <v>95</v>
      </c>
      <c r="E28" t="s">
        <v>96</v>
      </c>
      <c r="F28" t="s">
        <v>97</v>
      </c>
      <c r="G28" s="1">
        <v>45200</v>
      </c>
      <c r="H28" s="1">
        <v>45623</v>
      </c>
      <c r="I28" t="s">
        <v>16</v>
      </c>
      <c r="J28" t="s">
        <v>24</v>
      </c>
      <c r="K28" t="s">
        <v>25</v>
      </c>
    </row>
    <row r="29" spans="1:11" x14ac:dyDescent="0.2">
      <c r="A29" t="s">
        <v>11</v>
      </c>
      <c r="B29" t="s">
        <v>12</v>
      </c>
      <c r="C29">
        <v>16202925</v>
      </c>
      <c r="D29" t="s">
        <v>13</v>
      </c>
      <c r="E29" t="s">
        <v>14</v>
      </c>
      <c r="F29" t="s">
        <v>15</v>
      </c>
      <c r="G29" s="1">
        <v>45597</v>
      </c>
      <c r="H29" s="1">
        <v>45623</v>
      </c>
      <c r="I29" t="s">
        <v>16</v>
      </c>
      <c r="J29" t="s">
        <v>98</v>
      </c>
      <c r="K29" t="s">
        <v>99</v>
      </c>
    </row>
    <row r="30" spans="1:11" x14ac:dyDescent="0.2">
      <c r="A30" t="s">
        <v>19</v>
      </c>
      <c r="B30" t="s">
        <v>20</v>
      </c>
      <c r="C30">
        <v>9079571</v>
      </c>
      <c r="D30" t="s">
        <v>21</v>
      </c>
      <c r="E30" t="s">
        <v>22</v>
      </c>
      <c r="F30" t="s">
        <v>23</v>
      </c>
      <c r="G30" s="1">
        <v>45261</v>
      </c>
      <c r="H30" s="1">
        <v>45623</v>
      </c>
      <c r="I30" t="s">
        <v>16</v>
      </c>
      <c r="J30" t="s">
        <v>100</v>
      </c>
      <c r="K30" t="s">
        <v>101</v>
      </c>
    </row>
    <row r="31" spans="1:11" x14ac:dyDescent="0.2">
      <c r="A31" t="s">
        <v>19</v>
      </c>
      <c r="B31" t="s">
        <v>20</v>
      </c>
      <c r="C31">
        <v>9079571</v>
      </c>
      <c r="D31" t="s">
        <v>58</v>
      </c>
      <c r="E31" t="s">
        <v>59</v>
      </c>
      <c r="F31" t="s">
        <v>60</v>
      </c>
      <c r="G31" s="1">
        <v>44986</v>
      </c>
      <c r="H31" s="1">
        <v>45623</v>
      </c>
      <c r="I31" t="s">
        <v>16</v>
      </c>
      <c r="J31" t="s">
        <v>100</v>
      </c>
      <c r="K31" t="s">
        <v>101</v>
      </c>
    </row>
    <row r="32" spans="1:11" x14ac:dyDescent="0.2">
      <c r="A32" t="s">
        <v>19</v>
      </c>
      <c r="B32" t="s">
        <v>20</v>
      </c>
      <c r="C32">
        <v>9079571</v>
      </c>
      <c r="D32" t="s">
        <v>61</v>
      </c>
      <c r="E32" t="s">
        <v>62</v>
      </c>
      <c r="F32" t="s">
        <v>63</v>
      </c>
      <c r="G32" s="1">
        <v>45017</v>
      </c>
      <c r="H32" s="1">
        <v>45623</v>
      </c>
      <c r="I32" t="s">
        <v>16</v>
      </c>
      <c r="J32" t="s">
        <v>100</v>
      </c>
      <c r="K32" t="s">
        <v>101</v>
      </c>
    </row>
    <row r="33" spans="1:11" x14ac:dyDescent="0.2">
      <c r="A33" t="s">
        <v>19</v>
      </c>
      <c r="B33" t="s">
        <v>20</v>
      </c>
      <c r="C33">
        <v>9079571</v>
      </c>
      <c r="D33" t="s">
        <v>64</v>
      </c>
      <c r="E33" t="s">
        <v>65</v>
      </c>
      <c r="F33" t="s">
        <v>66</v>
      </c>
      <c r="G33" s="1">
        <v>45047</v>
      </c>
      <c r="H33" s="1">
        <v>45623</v>
      </c>
      <c r="I33" t="s">
        <v>16</v>
      </c>
      <c r="J33" t="s">
        <v>100</v>
      </c>
      <c r="K33" t="s">
        <v>101</v>
      </c>
    </row>
    <row r="34" spans="1:11" x14ac:dyDescent="0.2">
      <c r="A34" t="s">
        <v>19</v>
      </c>
      <c r="B34" t="s">
        <v>20</v>
      </c>
      <c r="C34">
        <v>9079571</v>
      </c>
      <c r="D34" t="s">
        <v>67</v>
      </c>
      <c r="E34" t="s">
        <v>68</v>
      </c>
      <c r="F34" t="s">
        <v>69</v>
      </c>
      <c r="G34" s="1">
        <v>45047</v>
      </c>
      <c r="H34" s="1">
        <v>45623</v>
      </c>
      <c r="I34" t="s">
        <v>16</v>
      </c>
      <c r="J34" t="s">
        <v>100</v>
      </c>
      <c r="K34" t="s">
        <v>101</v>
      </c>
    </row>
    <row r="35" spans="1:11" x14ac:dyDescent="0.2">
      <c r="A35" t="s">
        <v>19</v>
      </c>
      <c r="B35" t="s">
        <v>20</v>
      </c>
      <c r="C35">
        <v>9079571</v>
      </c>
      <c r="D35" t="s">
        <v>70</v>
      </c>
      <c r="E35" t="s">
        <v>71</v>
      </c>
      <c r="F35" t="s">
        <v>72</v>
      </c>
      <c r="G35" s="1">
        <v>45108</v>
      </c>
      <c r="H35" s="1">
        <v>45623</v>
      </c>
      <c r="I35" t="s">
        <v>16</v>
      </c>
      <c r="J35" t="s">
        <v>100</v>
      </c>
      <c r="K35" t="s">
        <v>101</v>
      </c>
    </row>
    <row r="36" spans="1:11" x14ac:dyDescent="0.2">
      <c r="A36" t="s">
        <v>19</v>
      </c>
      <c r="B36" t="s">
        <v>20</v>
      </c>
      <c r="C36">
        <v>9079571</v>
      </c>
      <c r="D36" t="s">
        <v>73</v>
      </c>
      <c r="E36" t="s">
        <v>71</v>
      </c>
      <c r="F36" t="s">
        <v>74</v>
      </c>
      <c r="G36" s="1">
        <v>45108</v>
      </c>
      <c r="H36" s="1">
        <v>45623</v>
      </c>
      <c r="I36" t="s">
        <v>16</v>
      </c>
      <c r="J36" t="s">
        <v>100</v>
      </c>
      <c r="K36" t="s">
        <v>101</v>
      </c>
    </row>
    <row r="37" spans="1:11" x14ac:dyDescent="0.2">
      <c r="A37" t="s">
        <v>19</v>
      </c>
      <c r="B37" t="s">
        <v>20</v>
      </c>
      <c r="C37">
        <v>9079571</v>
      </c>
      <c r="D37" t="s">
        <v>75</v>
      </c>
      <c r="E37" t="s">
        <v>76</v>
      </c>
      <c r="F37" t="s">
        <v>77</v>
      </c>
      <c r="G37" s="1">
        <v>45139</v>
      </c>
      <c r="H37" s="1">
        <v>45623</v>
      </c>
      <c r="I37" t="s">
        <v>16</v>
      </c>
      <c r="J37" t="s">
        <v>100</v>
      </c>
      <c r="K37" t="s">
        <v>101</v>
      </c>
    </row>
    <row r="38" spans="1:11" x14ac:dyDescent="0.2">
      <c r="A38" t="s">
        <v>19</v>
      </c>
      <c r="B38" t="s">
        <v>20</v>
      </c>
      <c r="C38">
        <v>9079571</v>
      </c>
      <c r="D38" t="s">
        <v>78</v>
      </c>
      <c r="E38" t="s">
        <v>79</v>
      </c>
      <c r="F38" t="s">
        <v>80</v>
      </c>
      <c r="G38" s="1">
        <v>45139</v>
      </c>
      <c r="H38" s="1">
        <v>45623</v>
      </c>
      <c r="I38" t="s">
        <v>16</v>
      </c>
      <c r="J38" t="s">
        <v>100</v>
      </c>
      <c r="K38" t="s">
        <v>101</v>
      </c>
    </row>
    <row r="39" spans="1:11" x14ac:dyDescent="0.2">
      <c r="A39" t="s">
        <v>19</v>
      </c>
      <c r="B39" t="s">
        <v>20</v>
      </c>
      <c r="C39">
        <v>9079571</v>
      </c>
      <c r="D39" t="s">
        <v>81</v>
      </c>
      <c r="E39" t="s">
        <v>82</v>
      </c>
      <c r="F39" t="s">
        <v>83</v>
      </c>
      <c r="G39" s="1">
        <v>45231</v>
      </c>
      <c r="H39" s="1">
        <v>45623</v>
      </c>
      <c r="I39" t="s">
        <v>16</v>
      </c>
      <c r="J39" t="s">
        <v>100</v>
      </c>
      <c r="K39" t="s">
        <v>101</v>
      </c>
    </row>
    <row r="40" spans="1:11" x14ac:dyDescent="0.2">
      <c r="A40" t="s">
        <v>19</v>
      </c>
      <c r="B40" t="s">
        <v>20</v>
      </c>
      <c r="C40">
        <v>9079571</v>
      </c>
      <c r="D40" t="s">
        <v>81</v>
      </c>
      <c r="E40" t="s">
        <v>84</v>
      </c>
      <c r="F40" t="s">
        <v>85</v>
      </c>
      <c r="G40" s="1">
        <v>45261</v>
      </c>
      <c r="H40" s="1">
        <v>45623</v>
      </c>
      <c r="I40" t="s">
        <v>16</v>
      </c>
      <c r="J40" t="s">
        <v>100</v>
      </c>
      <c r="K40" t="s">
        <v>101</v>
      </c>
    </row>
    <row r="41" spans="1:11" x14ac:dyDescent="0.2">
      <c r="A41" t="s">
        <v>11</v>
      </c>
      <c r="B41" t="s">
        <v>12</v>
      </c>
      <c r="C41">
        <v>16202925</v>
      </c>
      <c r="D41" t="s">
        <v>92</v>
      </c>
      <c r="E41" t="s">
        <v>93</v>
      </c>
      <c r="F41" t="s">
        <v>94</v>
      </c>
      <c r="G41" s="1">
        <v>45108</v>
      </c>
      <c r="H41" s="1">
        <v>45623</v>
      </c>
      <c r="I41" t="s">
        <v>16</v>
      </c>
      <c r="J41" t="s">
        <v>100</v>
      </c>
      <c r="K41" t="s">
        <v>101</v>
      </c>
    </row>
    <row r="42" spans="1:11" x14ac:dyDescent="0.2">
      <c r="A42" t="s">
        <v>11</v>
      </c>
      <c r="B42" t="s">
        <v>12</v>
      </c>
      <c r="C42">
        <v>16202925</v>
      </c>
      <c r="D42" t="s">
        <v>95</v>
      </c>
      <c r="E42" t="s">
        <v>96</v>
      </c>
      <c r="F42" t="s">
        <v>97</v>
      </c>
      <c r="G42" s="1">
        <v>45200</v>
      </c>
      <c r="H42" s="1">
        <v>45623</v>
      </c>
      <c r="I42" t="s">
        <v>16</v>
      </c>
      <c r="J42" t="s">
        <v>100</v>
      </c>
      <c r="K42" t="s">
        <v>101</v>
      </c>
    </row>
    <row r="43" spans="1:11" x14ac:dyDescent="0.2">
      <c r="A43" t="s">
        <v>11</v>
      </c>
      <c r="C43">
        <v>16202925</v>
      </c>
      <c r="D43" t="s">
        <v>13</v>
      </c>
      <c r="E43" t="s">
        <v>14</v>
      </c>
      <c r="F43" t="s">
        <v>15</v>
      </c>
      <c r="G43" s="1">
        <v>45597</v>
      </c>
      <c r="H43" s="1">
        <v>45623</v>
      </c>
      <c r="I43" t="s">
        <v>16</v>
      </c>
      <c r="J43" t="s">
        <v>102</v>
      </c>
      <c r="K43" t="s">
        <v>103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06582-D367-9442-A7C6-CCF73A1BE8E2}">
  <dimension ref="A1:M43"/>
  <sheetViews>
    <sheetView tabSelected="1" topLeftCell="F1" workbookViewId="0">
      <selection activeCell="H18" sqref="H18"/>
    </sheetView>
  </sheetViews>
  <sheetFormatPr baseColWidth="10" defaultRowHeight="16" x14ac:dyDescent="0.2"/>
  <cols>
    <col min="1" max="1" width="12.6640625" bestFit="1" customWidth="1"/>
    <col min="2" max="2" width="13.83203125" bestFit="1" customWidth="1"/>
    <col min="6" max="6" width="15" bestFit="1" customWidth="1"/>
    <col min="7" max="7" width="14.33203125" bestFit="1" customWidth="1"/>
    <col min="8" max="8" width="14.33203125" customWidth="1"/>
    <col min="10" max="10" width="13.83203125" bestFit="1" customWidth="1"/>
    <col min="11" max="11" width="21" bestFit="1" customWidth="1"/>
    <col min="12" max="12" width="68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">
      <c r="A2" t="s">
        <v>19</v>
      </c>
      <c r="B2" t="s">
        <v>20</v>
      </c>
      <c r="C2">
        <v>9079571</v>
      </c>
      <c r="D2" t="s">
        <v>26</v>
      </c>
      <c r="E2" t="s">
        <v>27</v>
      </c>
      <c r="F2" t="str">
        <f>CONCATENATE(D2, " ", E2)</f>
        <v>Thomas Oates</v>
      </c>
      <c r="G2" t="s">
        <v>28</v>
      </c>
      <c r="H2" t="str">
        <f>CONCATENATE(G2,1)</f>
        <v>3R21U83KN911</v>
      </c>
      <c r="I2" s="1">
        <v>44866</v>
      </c>
      <c r="J2" s="1">
        <v>45623</v>
      </c>
      <c r="K2" t="s">
        <v>16</v>
      </c>
      <c r="L2" t="s">
        <v>24</v>
      </c>
      <c r="M2" t="s">
        <v>29</v>
      </c>
    </row>
    <row r="3" spans="1:13" x14ac:dyDescent="0.2">
      <c r="A3" t="s">
        <v>19</v>
      </c>
      <c r="B3" t="s">
        <v>20</v>
      </c>
      <c r="C3">
        <v>9079571</v>
      </c>
      <c r="D3" t="s">
        <v>30</v>
      </c>
      <c r="E3" t="s">
        <v>31</v>
      </c>
      <c r="F3" t="str">
        <f>CONCATENATE(D3, " ", E3)</f>
        <v>Richard Brostrom</v>
      </c>
      <c r="G3" t="s">
        <v>32</v>
      </c>
      <c r="H3" t="str">
        <f t="shared" ref="H3:H13" si="0">CONCATENATE(G3,1)</f>
        <v>7FX9MR7WC471</v>
      </c>
      <c r="I3" s="1">
        <v>44927</v>
      </c>
      <c r="J3" s="1">
        <v>45623</v>
      </c>
      <c r="K3" t="s">
        <v>16</v>
      </c>
      <c r="L3" t="s">
        <v>24</v>
      </c>
      <c r="M3" t="s">
        <v>29</v>
      </c>
    </row>
    <row r="4" spans="1:13" x14ac:dyDescent="0.2">
      <c r="A4" t="s">
        <v>19</v>
      </c>
      <c r="B4" t="s">
        <v>20</v>
      </c>
      <c r="C4">
        <v>9079571</v>
      </c>
      <c r="D4" t="s">
        <v>33</v>
      </c>
      <c r="E4" t="s">
        <v>34</v>
      </c>
      <c r="F4" t="str">
        <f>CONCATENATE(D4, " ", E4)</f>
        <v>Darrell Johnson</v>
      </c>
      <c r="G4" t="s">
        <v>35</v>
      </c>
      <c r="H4" t="str">
        <f t="shared" si="0"/>
        <v>3XC9VH7WW371</v>
      </c>
      <c r="I4" s="1">
        <v>44927</v>
      </c>
      <c r="J4" s="1">
        <v>45623</v>
      </c>
      <c r="K4" t="s">
        <v>16</v>
      </c>
      <c r="L4" t="s">
        <v>24</v>
      </c>
      <c r="M4" t="s">
        <v>29</v>
      </c>
    </row>
    <row r="5" spans="1:13" x14ac:dyDescent="0.2">
      <c r="A5" t="s">
        <v>19</v>
      </c>
      <c r="B5" t="s">
        <v>20</v>
      </c>
      <c r="C5">
        <v>9079571</v>
      </c>
      <c r="D5" t="s">
        <v>36</v>
      </c>
      <c r="E5" t="s">
        <v>37</v>
      </c>
      <c r="F5" t="str">
        <f>CONCATENATE(D5, " ", E5)</f>
        <v>Jan Oulsey</v>
      </c>
      <c r="G5" t="s">
        <v>38</v>
      </c>
      <c r="H5" t="str">
        <f t="shared" si="0"/>
        <v>1D85NR9GP701</v>
      </c>
      <c r="I5" s="1">
        <v>44927</v>
      </c>
      <c r="J5" s="1">
        <v>45623</v>
      </c>
      <c r="K5" t="s">
        <v>16</v>
      </c>
      <c r="L5" t="s">
        <v>24</v>
      </c>
      <c r="M5" t="s">
        <v>29</v>
      </c>
    </row>
    <row r="6" spans="1:13" x14ac:dyDescent="0.2">
      <c r="A6" t="s">
        <v>19</v>
      </c>
      <c r="B6" t="s">
        <v>20</v>
      </c>
      <c r="C6">
        <v>9079571</v>
      </c>
      <c r="D6" t="s">
        <v>39</v>
      </c>
      <c r="E6" t="s">
        <v>40</v>
      </c>
      <c r="F6" t="str">
        <f>CONCATENATE(D6, " ", E6)</f>
        <v>William Ratcliffe</v>
      </c>
      <c r="G6" t="s">
        <v>41</v>
      </c>
      <c r="H6" t="str">
        <f t="shared" si="0"/>
        <v>4EF1A53AG081</v>
      </c>
      <c r="I6" s="1">
        <v>44927</v>
      </c>
      <c r="J6" s="1">
        <v>45623</v>
      </c>
      <c r="K6" t="s">
        <v>16</v>
      </c>
      <c r="L6" t="s">
        <v>24</v>
      </c>
      <c r="M6" t="s">
        <v>29</v>
      </c>
    </row>
    <row r="7" spans="1:13" x14ac:dyDescent="0.2">
      <c r="A7" t="s">
        <v>19</v>
      </c>
      <c r="B7" t="s">
        <v>20</v>
      </c>
      <c r="C7">
        <v>9079571</v>
      </c>
      <c r="D7" t="s">
        <v>42</v>
      </c>
      <c r="E7" t="s">
        <v>40</v>
      </c>
      <c r="F7" t="str">
        <f>CONCATENATE(D7, " ", E7)</f>
        <v>Sharon Ratcliffe</v>
      </c>
      <c r="G7" t="s">
        <v>43</v>
      </c>
      <c r="H7" t="str">
        <f t="shared" si="0"/>
        <v>4E87PH8VJ541</v>
      </c>
      <c r="I7" s="1">
        <v>44927</v>
      </c>
      <c r="J7" s="1">
        <v>45623</v>
      </c>
      <c r="K7" t="s">
        <v>16</v>
      </c>
      <c r="L7" t="s">
        <v>24</v>
      </c>
      <c r="M7" t="s">
        <v>29</v>
      </c>
    </row>
    <row r="8" spans="1:13" x14ac:dyDescent="0.2">
      <c r="A8" t="s">
        <v>19</v>
      </c>
      <c r="B8" t="s">
        <v>20</v>
      </c>
      <c r="C8">
        <v>9079571</v>
      </c>
      <c r="D8" t="s">
        <v>44</v>
      </c>
      <c r="E8" t="s">
        <v>45</v>
      </c>
      <c r="F8" t="str">
        <f>CONCATENATE(D8, " ", E8)</f>
        <v>Robert Reese</v>
      </c>
      <c r="G8" t="s">
        <v>46</v>
      </c>
      <c r="H8" t="str">
        <f t="shared" si="0"/>
        <v>3WE4UW1XG871</v>
      </c>
      <c r="I8" s="1">
        <v>44927</v>
      </c>
      <c r="J8" s="1">
        <v>45623</v>
      </c>
      <c r="K8" t="s">
        <v>16</v>
      </c>
      <c r="L8" t="s">
        <v>24</v>
      </c>
      <c r="M8" t="s">
        <v>29</v>
      </c>
    </row>
    <row r="9" spans="1:13" x14ac:dyDescent="0.2">
      <c r="A9" t="s">
        <v>19</v>
      </c>
      <c r="B9" t="s">
        <v>20</v>
      </c>
      <c r="C9">
        <v>9079571</v>
      </c>
      <c r="D9" t="s">
        <v>47</v>
      </c>
      <c r="E9" t="s">
        <v>48</v>
      </c>
      <c r="F9" t="str">
        <f>CONCATENATE(D9, " ", E9)</f>
        <v>Emmanuel Reyes Brache</v>
      </c>
      <c r="G9" t="s">
        <v>49</v>
      </c>
      <c r="H9" t="str">
        <f t="shared" si="0"/>
        <v>7W99K86HJ251</v>
      </c>
      <c r="I9" s="1">
        <v>44927</v>
      </c>
      <c r="J9" s="1">
        <v>45623</v>
      </c>
      <c r="K9" t="s">
        <v>16</v>
      </c>
      <c r="L9" t="s">
        <v>24</v>
      </c>
      <c r="M9" t="s">
        <v>29</v>
      </c>
    </row>
    <row r="10" spans="1:13" x14ac:dyDescent="0.2">
      <c r="A10" t="s">
        <v>19</v>
      </c>
      <c r="B10" t="s">
        <v>20</v>
      </c>
      <c r="C10">
        <v>9079571</v>
      </c>
      <c r="D10" t="s">
        <v>50</v>
      </c>
      <c r="E10" t="s">
        <v>51</v>
      </c>
      <c r="F10" t="str">
        <f>CONCATENATE(D10, " ", E10)</f>
        <v>Iris Savoy</v>
      </c>
      <c r="G10" t="s">
        <v>52</v>
      </c>
      <c r="H10" t="str">
        <f t="shared" si="0"/>
        <v>3KX9G75ED191</v>
      </c>
      <c r="I10" s="1">
        <v>44927</v>
      </c>
      <c r="J10" s="1">
        <v>45623</v>
      </c>
      <c r="K10" t="s">
        <v>16</v>
      </c>
      <c r="L10" t="s">
        <v>24</v>
      </c>
      <c r="M10" t="s">
        <v>29</v>
      </c>
    </row>
    <row r="11" spans="1:13" x14ac:dyDescent="0.2">
      <c r="A11" t="s">
        <v>19</v>
      </c>
      <c r="B11" t="s">
        <v>20</v>
      </c>
      <c r="C11">
        <v>9079571</v>
      </c>
      <c r="D11" t="s">
        <v>44</v>
      </c>
      <c r="E11" t="s">
        <v>53</v>
      </c>
      <c r="F11" t="str">
        <f>CONCATENATE(D11, " ", E11)</f>
        <v>Robert Schestag</v>
      </c>
      <c r="G11" t="s">
        <v>54</v>
      </c>
      <c r="H11" t="str">
        <f t="shared" si="0"/>
        <v>5F04NN9XY681</v>
      </c>
      <c r="I11" s="1">
        <v>44927</v>
      </c>
      <c r="J11" s="1">
        <v>45623</v>
      </c>
      <c r="K11" t="s">
        <v>16</v>
      </c>
      <c r="L11" t="s">
        <v>24</v>
      </c>
      <c r="M11" t="s">
        <v>29</v>
      </c>
    </row>
    <row r="12" spans="1:13" x14ac:dyDescent="0.2">
      <c r="A12" t="s">
        <v>19</v>
      </c>
      <c r="B12" t="s">
        <v>20</v>
      </c>
      <c r="C12">
        <v>9079571</v>
      </c>
      <c r="D12" t="s">
        <v>55</v>
      </c>
      <c r="E12" t="s">
        <v>56</v>
      </c>
      <c r="F12" t="str">
        <f>CONCATENATE(D12, " ", E12)</f>
        <v>Kahasay Sequar</v>
      </c>
      <c r="G12" t="s">
        <v>57</v>
      </c>
      <c r="H12" t="str">
        <f t="shared" si="0"/>
        <v>8XD4NU5KW981</v>
      </c>
      <c r="I12" s="1">
        <v>44927</v>
      </c>
      <c r="J12" s="1">
        <v>45623</v>
      </c>
      <c r="K12" t="s">
        <v>16</v>
      </c>
      <c r="L12" t="s">
        <v>24</v>
      </c>
      <c r="M12" t="s">
        <v>29</v>
      </c>
    </row>
    <row r="13" spans="1:13" x14ac:dyDescent="0.2">
      <c r="A13" t="s">
        <v>11</v>
      </c>
      <c r="B13" t="s">
        <v>12</v>
      </c>
      <c r="C13">
        <v>16202925</v>
      </c>
      <c r="D13" t="s">
        <v>13</v>
      </c>
      <c r="E13" t="s">
        <v>14</v>
      </c>
      <c r="F13" t="str">
        <f>CONCATENATE(D13, " ", E13)</f>
        <v>Zinaida Rahmilov</v>
      </c>
      <c r="G13" t="s">
        <v>15</v>
      </c>
      <c r="H13" t="str">
        <f t="shared" si="0"/>
        <v>6jg8yj5vg391</v>
      </c>
      <c r="I13" s="1">
        <v>45597</v>
      </c>
      <c r="J13" s="1">
        <v>45623</v>
      </c>
      <c r="K13" t="s">
        <v>16</v>
      </c>
      <c r="L13" t="s">
        <v>17</v>
      </c>
      <c r="M13" t="s">
        <v>18</v>
      </c>
    </row>
    <row r="14" spans="1:13" x14ac:dyDescent="0.2">
      <c r="A14" t="s">
        <v>19</v>
      </c>
      <c r="B14" t="s">
        <v>20</v>
      </c>
      <c r="C14">
        <v>9079571</v>
      </c>
      <c r="D14" t="s">
        <v>21</v>
      </c>
      <c r="E14" t="s">
        <v>22</v>
      </c>
      <c r="F14" t="str">
        <f>CONCATENATE(D14, " ", E14)</f>
        <v>Michael Schakola</v>
      </c>
      <c r="G14" t="s">
        <v>23</v>
      </c>
      <c r="H14" t="str">
        <f>CONCATENATE(G14,5)</f>
        <v>4U60PC0GH015</v>
      </c>
      <c r="I14" s="1">
        <v>45261</v>
      </c>
      <c r="J14" s="1">
        <v>45623</v>
      </c>
      <c r="K14" t="s">
        <v>16</v>
      </c>
      <c r="L14" t="s">
        <v>100</v>
      </c>
      <c r="M14" t="s">
        <v>101</v>
      </c>
    </row>
    <row r="15" spans="1:13" x14ac:dyDescent="0.2">
      <c r="A15" t="s">
        <v>19</v>
      </c>
      <c r="B15" t="s">
        <v>20</v>
      </c>
      <c r="C15">
        <v>9079571</v>
      </c>
      <c r="D15" t="s">
        <v>58</v>
      </c>
      <c r="E15" t="s">
        <v>59</v>
      </c>
      <c r="F15" t="str">
        <f>CONCATENATE(D15, " ", E15)</f>
        <v>Shelley Stockett</v>
      </c>
      <c r="G15" t="s">
        <v>60</v>
      </c>
      <c r="H15" t="str">
        <f t="shared" ref="H15:H42" si="1">CONCATENATE(G15,5)</f>
        <v>7Y92Q40PG135</v>
      </c>
      <c r="I15" s="1">
        <v>44986</v>
      </c>
      <c r="J15" s="1">
        <v>45623</v>
      </c>
      <c r="K15" t="s">
        <v>16</v>
      </c>
      <c r="L15" t="s">
        <v>100</v>
      </c>
      <c r="M15" t="s">
        <v>101</v>
      </c>
    </row>
    <row r="16" spans="1:13" x14ac:dyDescent="0.2">
      <c r="A16" t="s">
        <v>19</v>
      </c>
      <c r="B16" t="s">
        <v>20</v>
      </c>
      <c r="C16">
        <v>9079571</v>
      </c>
      <c r="D16" t="s">
        <v>61</v>
      </c>
      <c r="E16" t="s">
        <v>62</v>
      </c>
      <c r="F16" t="str">
        <f>CONCATENATE(D16, " ", E16)</f>
        <v>Daniel Deacon</v>
      </c>
      <c r="G16" t="s">
        <v>63</v>
      </c>
      <c r="H16" t="str">
        <f t="shared" si="1"/>
        <v>1A73R48VE995</v>
      </c>
      <c r="I16" s="1">
        <v>45017</v>
      </c>
      <c r="J16" s="1">
        <v>45623</v>
      </c>
      <c r="K16" t="s">
        <v>16</v>
      </c>
      <c r="L16" t="s">
        <v>100</v>
      </c>
      <c r="M16" t="s">
        <v>101</v>
      </c>
    </row>
    <row r="17" spans="1:13" x14ac:dyDescent="0.2">
      <c r="A17" t="s">
        <v>19</v>
      </c>
      <c r="B17" t="s">
        <v>20</v>
      </c>
      <c r="C17">
        <v>9079571</v>
      </c>
      <c r="D17" t="s">
        <v>64</v>
      </c>
      <c r="E17" t="s">
        <v>65</v>
      </c>
      <c r="F17" t="str">
        <f>CONCATENATE(D17, " ", E17)</f>
        <v>Amsale Cunningham</v>
      </c>
      <c r="G17" t="s">
        <v>66</v>
      </c>
      <c r="H17" t="str">
        <f t="shared" si="1"/>
        <v>5WW8G75QU215</v>
      </c>
      <c r="I17" s="1">
        <v>45047</v>
      </c>
      <c r="J17" s="1">
        <v>45623</v>
      </c>
      <c r="K17" t="s">
        <v>16</v>
      </c>
      <c r="L17" t="s">
        <v>100</v>
      </c>
      <c r="M17" t="s">
        <v>101</v>
      </c>
    </row>
    <row r="18" spans="1:13" x14ac:dyDescent="0.2">
      <c r="A18" t="s">
        <v>19</v>
      </c>
      <c r="B18" t="s">
        <v>20</v>
      </c>
      <c r="C18">
        <v>9079571</v>
      </c>
      <c r="D18" t="s">
        <v>67</v>
      </c>
      <c r="E18" t="s">
        <v>68</v>
      </c>
      <c r="F18" t="str">
        <f>CONCATENATE(D18, " ", E18)</f>
        <v>Ana Limo</v>
      </c>
      <c r="G18" t="s">
        <v>69</v>
      </c>
      <c r="H18" t="str">
        <f t="shared" si="1"/>
        <v>5E31PJ5GP935</v>
      </c>
      <c r="I18" s="1">
        <v>45047</v>
      </c>
      <c r="J18" s="1">
        <v>45623</v>
      </c>
      <c r="K18" t="s">
        <v>16</v>
      </c>
      <c r="L18" t="s">
        <v>100</v>
      </c>
      <c r="M18" t="s">
        <v>101</v>
      </c>
    </row>
    <row r="19" spans="1:13" x14ac:dyDescent="0.2">
      <c r="A19" t="s">
        <v>19</v>
      </c>
      <c r="B19" t="s">
        <v>20</v>
      </c>
      <c r="C19">
        <v>9079571</v>
      </c>
      <c r="D19" t="s">
        <v>70</v>
      </c>
      <c r="E19" t="s">
        <v>71</v>
      </c>
      <c r="F19" t="str">
        <f>CONCATENATE(D19, " ", E19)</f>
        <v>Nicholas Protopapas</v>
      </c>
      <c r="G19" t="s">
        <v>72</v>
      </c>
      <c r="H19" t="str">
        <f t="shared" si="1"/>
        <v>2M80WV5DQ385</v>
      </c>
      <c r="I19" s="1">
        <v>45108</v>
      </c>
      <c r="J19" s="1">
        <v>45623</v>
      </c>
      <c r="K19" t="s">
        <v>16</v>
      </c>
      <c r="L19" t="s">
        <v>100</v>
      </c>
      <c r="M19" t="s">
        <v>101</v>
      </c>
    </row>
    <row r="20" spans="1:13" x14ac:dyDescent="0.2">
      <c r="A20" t="s">
        <v>19</v>
      </c>
      <c r="B20" t="s">
        <v>20</v>
      </c>
      <c r="C20">
        <v>9079571</v>
      </c>
      <c r="D20" t="s">
        <v>73</v>
      </c>
      <c r="E20" t="s">
        <v>71</v>
      </c>
      <c r="F20" t="str">
        <f>CONCATENATE(D20, " ", E20)</f>
        <v>Marina Protopapas</v>
      </c>
      <c r="G20" t="s">
        <v>74</v>
      </c>
      <c r="H20" t="str">
        <f t="shared" si="1"/>
        <v>4NP2DJ0TR225</v>
      </c>
      <c r="I20" s="1">
        <v>45108</v>
      </c>
      <c r="J20" s="1">
        <v>45623</v>
      </c>
      <c r="K20" t="s">
        <v>16</v>
      </c>
      <c r="L20" t="s">
        <v>100</v>
      </c>
      <c r="M20" t="s">
        <v>101</v>
      </c>
    </row>
    <row r="21" spans="1:13" x14ac:dyDescent="0.2">
      <c r="A21" t="s">
        <v>19</v>
      </c>
      <c r="B21" t="s">
        <v>20</v>
      </c>
      <c r="C21">
        <v>9079571</v>
      </c>
      <c r="D21" t="s">
        <v>75</v>
      </c>
      <c r="E21" t="s">
        <v>76</v>
      </c>
      <c r="F21" t="str">
        <f>CONCATENATE(D21, " ", E21)</f>
        <v>James Bell</v>
      </c>
      <c r="G21" t="s">
        <v>77</v>
      </c>
      <c r="H21" t="str">
        <f t="shared" si="1"/>
        <v>6F32XC7RC125</v>
      </c>
      <c r="I21" s="1">
        <v>45139</v>
      </c>
      <c r="J21" s="1">
        <v>45623</v>
      </c>
      <c r="K21" t="s">
        <v>16</v>
      </c>
      <c r="L21" t="s">
        <v>100</v>
      </c>
      <c r="M21" t="s">
        <v>101</v>
      </c>
    </row>
    <row r="22" spans="1:13" x14ac:dyDescent="0.2">
      <c r="A22" t="s">
        <v>19</v>
      </c>
      <c r="B22" t="s">
        <v>20</v>
      </c>
      <c r="C22">
        <v>9079571</v>
      </c>
      <c r="D22" t="s">
        <v>78</v>
      </c>
      <c r="E22" t="s">
        <v>79</v>
      </c>
      <c r="F22" t="str">
        <f>CONCATENATE(D22, " ", E22)</f>
        <v>Theresa Shiflett</v>
      </c>
      <c r="G22" t="s">
        <v>80</v>
      </c>
      <c r="H22" t="str">
        <f t="shared" si="1"/>
        <v>9JX1UH0JU315</v>
      </c>
      <c r="I22" s="1">
        <v>45139</v>
      </c>
      <c r="J22" s="1">
        <v>45623</v>
      </c>
      <c r="K22" t="s">
        <v>16</v>
      </c>
      <c r="L22" t="s">
        <v>100</v>
      </c>
      <c r="M22" t="s">
        <v>101</v>
      </c>
    </row>
    <row r="23" spans="1:13" x14ac:dyDescent="0.2">
      <c r="A23" t="s">
        <v>19</v>
      </c>
      <c r="B23" t="s">
        <v>20</v>
      </c>
      <c r="C23">
        <v>9079571</v>
      </c>
      <c r="D23" t="s">
        <v>81</v>
      </c>
      <c r="E23" t="s">
        <v>82</v>
      </c>
      <c r="F23" t="str">
        <f>CONCATENATE(D23, " ", E23)</f>
        <v>David Naumann</v>
      </c>
      <c r="G23" t="s">
        <v>83</v>
      </c>
      <c r="H23" t="str">
        <f t="shared" si="1"/>
        <v>1TU1ER7RF985</v>
      </c>
      <c r="I23" s="1">
        <v>45231</v>
      </c>
      <c r="J23" s="1">
        <v>45623</v>
      </c>
      <c r="K23" t="s">
        <v>16</v>
      </c>
      <c r="L23" t="s">
        <v>100</v>
      </c>
      <c r="M23" t="s">
        <v>101</v>
      </c>
    </row>
    <row r="24" spans="1:13" x14ac:dyDescent="0.2">
      <c r="A24" t="s">
        <v>19</v>
      </c>
      <c r="B24" t="s">
        <v>20</v>
      </c>
      <c r="C24">
        <v>9079571</v>
      </c>
      <c r="D24" t="s">
        <v>81</v>
      </c>
      <c r="E24" t="s">
        <v>84</v>
      </c>
      <c r="F24" t="str">
        <f>CONCATENATE(D24, " ", E24)</f>
        <v>David Mackin</v>
      </c>
      <c r="G24" t="s">
        <v>85</v>
      </c>
      <c r="H24" t="str">
        <f t="shared" si="1"/>
        <v>1PM6NM4YC795</v>
      </c>
      <c r="I24" s="1">
        <v>45261</v>
      </c>
      <c r="J24" s="1">
        <v>45623</v>
      </c>
      <c r="K24" t="s">
        <v>16</v>
      </c>
      <c r="L24" t="s">
        <v>100</v>
      </c>
      <c r="M24" t="s">
        <v>101</v>
      </c>
    </row>
    <row r="25" spans="1:13" x14ac:dyDescent="0.2">
      <c r="A25" t="s">
        <v>11</v>
      </c>
      <c r="B25" t="s">
        <v>12</v>
      </c>
      <c r="C25">
        <v>16202925</v>
      </c>
      <c r="D25" t="s">
        <v>92</v>
      </c>
      <c r="E25" t="s">
        <v>93</v>
      </c>
      <c r="F25" t="str">
        <f>CONCATENATE(D25, " ", E25)</f>
        <v>Annette Decosta</v>
      </c>
      <c r="G25" t="s">
        <v>94</v>
      </c>
      <c r="H25" t="str">
        <f t="shared" si="1"/>
        <v>7D20KQ9GA015</v>
      </c>
      <c r="I25" s="1">
        <v>45108</v>
      </c>
      <c r="J25" s="1">
        <v>45623</v>
      </c>
      <c r="K25" t="s">
        <v>16</v>
      </c>
      <c r="L25" t="s">
        <v>100</v>
      </c>
      <c r="M25" t="s">
        <v>101</v>
      </c>
    </row>
    <row r="26" spans="1:13" x14ac:dyDescent="0.2">
      <c r="A26" t="s">
        <v>11</v>
      </c>
      <c r="B26" t="s">
        <v>12</v>
      </c>
      <c r="C26">
        <v>16202925</v>
      </c>
      <c r="D26" t="s">
        <v>95</v>
      </c>
      <c r="E26" t="s">
        <v>96</v>
      </c>
      <c r="F26" t="str">
        <f>CONCATENATE(D26, " ", E26)</f>
        <v>Liza Lacosta</v>
      </c>
      <c r="G26" t="s">
        <v>97</v>
      </c>
      <c r="H26" t="str">
        <f t="shared" si="1"/>
        <v>2AV1H32MJ025</v>
      </c>
      <c r="I26" s="1">
        <v>45200</v>
      </c>
      <c r="J26" s="1">
        <v>45623</v>
      </c>
      <c r="K26" t="s">
        <v>16</v>
      </c>
      <c r="L26" t="s">
        <v>100</v>
      </c>
      <c r="M26" t="s">
        <v>101</v>
      </c>
    </row>
    <row r="27" spans="1:13" x14ac:dyDescent="0.2">
      <c r="A27" t="s">
        <v>19</v>
      </c>
      <c r="B27" t="s">
        <v>20</v>
      </c>
      <c r="C27">
        <v>9079571</v>
      </c>
      <c r="D27" t="s">
        <v>21</v>
      </c>
      <c r="E27" t="s">
        <v>22</v>
      </c>
      <c r="F27" t="str">
        <f>CONCATENATE(D27, " ", E27)</f>
        <v>Michael Schakola</v>
      </c>
      <c r="G27" t="s">
        <v>23</v>
      </c>
      <c r="H27" t="str">
        <f t="shared" si="1"/>
        <v>4U60PC0GH015</v>
      </c>
      <c r="I27" s="1">
        <v>45261</v>
      </c>
      <c r="J27" s="1">
        <v>45623</v>
      </c>
      <c r="K27" t="s">
        <v>16</v>
      </c>
      <c r="L27" t="s">
        <v>24</v>
      </c>
      <c r="M27" t="s">
        <v>25</v>
      </c>
    </row>
    <row r="28" spans="1:13" x14ac:dyDescent="0.2">
      <c r="A28" t="s">
        <v>19</v>
      </c>
      <c r="B28" t="s">
        <v>20</v>
      </c>
      <c r="C28">
        <v>9079571</v>
      </c>
      <c r="D28" t="s">
        <v>58</v>
      </c>
      <c r="E28" t="s">
        <v>59</v>
      </c>
      <c r="F28" t="str">
        <f>CONCATENATE(D28, " ", E28)</f>
        <v>Shelley Stockett</v>
      </c>
      <c r="G28" t="s">
        <v>60</v>
      </c>
      <c r="H28" t="str">
        <f t="shared" si="1"/>
        <v>7Y92Q40PG135</v>
      </c>
      <c r="I28" s="1">
        <v>44986</v>
      </c>
      <c r="J28" s="1">
        <v>45623</v>
      </c>
      <c r="K28" t="s">
        <v>16</v>
      </c>
      <c r="L28" t="s">
        <v>24</v>
      </c>
      <c r="M28" t="s">
        <v>25</v>
      </c>
    </row>
    <row r="29" spans="1:13" x14ac:dyDescent="0.2">
      <c r="A29" t="s">
        <v>19</v>
      </c>
      <c r="B29" t="s">
        <v>20</v>
      </c>
      <c r="C29">
        <v>9079571</v>
      </c>
      <c r="D29" t="s">
        <v>61</v>
      </c>
      <c r="E29" t="s">
        <v>62</v>
      </c>
      <c r="F29" t="str">
        <f>CONCATENATE(D29, " ", E29)</f>
        <v>Daniel Deacon</v>
      </c>
      <c r="G29" t="s">
        <v>63</v>
      </c>
      <c r="H29" t="str">
        <f t="shared" si="1"/>
        <v>1A73R48VE995</v>
      </c>
      <c r="I29" s="1">
        <v>45017</v>
      </c>
      <c r="J29" s="1">
        <v>45623</v>
      </c>
      <c r="K29" t="s">
        <v>16</v>
      </c>
      <c r="L29" t="s">
        <v>24</v>
      </c>
      <c r="M29" t="s">
        <v>25</v>
      </c>
    </row>
    <row r="30" spans="1:13" x14ac:dyDescent="0.2">
      <c r="A30" t="s">
        <v>19</v>
      </c>
      <c r="B30" t="s">
        <v>20</v>
      </c>
      <c r="C30">
        <v>9079571</v>
      </c>
      <c r="D30" t="s">
        <v>64</v>
      </c>
      <c r="E30" t="s">
        <v>65</v>
      </c>
      <c r="F30" t="str">
        <f>CONCATENATE(D30, " ", E30)</f>
        <v>Amsale Cunningham</v>
      </c>
      <c r="G30" t="s">
        <v>66</v>
      </c>
      <c r="H30" t="str">
        <f t="shared" si="1"/>
        <v>5WW8G75QU215</v>
      </c>
      <c r="I30" s="1">
        <v>45047</v>
      </c>
      <c r="J30" s="1">
        <v>45623</v>
      </c>
      <c r="K30" t="s">
        <v>16</v>
      </c>
      <c r="L30" t="s">
        <v>24</v>
      </c>
      <c r="M30" t="s">
        <v>25</v>
      </c>
    </row>
    <row r="31" spans="1:13" x14ac:dyDescent="0.2">
      <c r="A31" t="s">
        <v>19</v>
      </c>
      <c r="B31" t="s">
        <v>20</v>
      </c>
      <c r="C31">
        <v>9079571</v>
      </c>
      <c r="D31" t="s">
        <v>67</v>
      </c>
      <c r="E31" t="s">
        <v>68</v>
      </c>
      <c r="F31" t="str">
        <f>CONCATENATE(D31, " ", E31)</f>
        <v>Ana Limo</v>
      </c>
      <c r="G31" t="s">
        <v>69</v>
      </c>
      <c r="H31" t="str">
        <f t="shared" si="1"/>
        <v>5E31PJ5GP935</v>
      </c>
      <c r="I31" s="1">
        <v>45047</v>
      </c>
      <c r="J31" s="1">
        <v>45623</v>
      </c>
      <c r="K31" t="s">
        <v>16</v>
      </c>
      <c r="L31" t="s">
        <v>24</v>
      </c>
      <c r="M31" t="s">
        <v>25</v>
      </c>
    </row>
    <row r="32" spans="1:13" x14ac:dyDescent="0.2">
      <c r="A32" t="s">
        <v>19</v>
      </c>
      <c r="B32" t="s">
        <v>20</v>
      </c>
      <c r="C32">
        <v>9079571</v>
      </c>
      <c r="D32" t="s">
        <v>70</v>
      </c>
      <c r="E32" t="s">
        <v>71</v>
      </c>
      <c r="F32" t="str">
        <f>CONCATENATE(D32, " ", E32)</f>
        <v>Nicholas Protopapas</v>
      </c>
      <c r="G32" t="s">
        <v>72</v>
      </c>
      <c r="H32" t="str">
        <f t="shared" si="1"/>
        <v>2M80WV5DQ385</v>
      </c>
      <c r="I32" s="1">
        <v>45108</v>
      </c>
      <c r="J32" s="1">
        <v>45623</v>
      </c>
      <c r="K32" t="s">
        <v>16</v>
      </c>
      <c r="L32" t="s">
        <v>24</v>
      </c>
      <c r="M32" t="s">
        <v>25</v>
      </c>
    </row>
    <row r="33" spans="1:13" x14ac:dyDescent="0.2">
      <c r="A33" t="s">
        <v>19</v>
      </c>
      <c r="B33" t="s">
        <v>20</v>
      </c>
      <c r="C33">
        <v>9079571</v>
      </c>
      <c r="D33" t="s">
        <v>73</v>
      </c>
      <c r="E33" t="s">
        <v>71</v>
      </c>
      <c r="F33" t="str">
        <f>CONCATENATE(D33, " ", E33)</f>
        <v>Marina Protopapas</v>
      </c>
      <c r="G33" t="s">
        <v>74</v>
      </c>
      <c r="H33" t="str">
        <f t="shared" si="1"/>
        <v>4NP2DJ0TR225</v>
      </c>
      <c r="I33" s="1">
        <v>45108</v>
      </c>
      <c r="J33" s="1">
        <v>45623</v>
      </c>
      <c r="K33" t="s">
        <v>16</v>
      </c>
      <c r="L33" t="s">
        <v>24</v>
      </c>
      <c r="M33" t="s">
        <v>25</v>
      </c>
    </row>
    <row r="34" spans="1:13" x14ac:dyDescent="0.2">
      <c r="A34" t="s">
        <v>19</v>
      </c>
      <c r="B34" t="s">
        <v>20</v>
      </c>
      <c r="C34">
        <v>9079571</v>
      </c>
      <c r="D34" t="s">
        <v>75</v>
      </c>
      <c r="E34" t="s">
        <v>76</v>
      </c>
      <c r="F34" t="str">
        <f>CONCATENATE(D34, " ", E34)</f>
        <v>James Bell</v>
      </c>
      <c r="G34" t="s">
        <v>77</v>
      </c>
      <c r="H34" t="str">
        <f t="shared" si="1"/>
        <v>6F32XC7RC125</v>
      </c>
      <c r="I34" s="1">
        <v>45139</v>
      </c>
      <c r="J34" s="1">
        <v>45623</v>
      </c>
      <c r="K34" t="s">
        <v>16</v>
      </c>
      <c r="L34" t="s">
        <v>24</v>
      </c>
      <c r="M34" t="s">
        <v>25</v>
      </c>
    </row>
    <row r="35" spans="1:13" x14ac:dyDescent="0.2">
      <c r="A35" t="s">
        <v>19</v>
      </c>
      <c r="B35" t="s">
        <v>20</v>
      </c>
      <c r="C35">
        <v>9079571</v>
      </c>
      <c r="D35" t="s">
        <v>78</v>
      </c>
      <c r="E35" t="s">
        <v>79</v>
      </c>
      <c r="F35" t="str">
        <f>CONCATENATE(D35, " ", E35)</f>
        <v>Theresa Shiflett</v>
      </c>
      <c r="G35" t="s">
        <v>80</v>
      </c>
      <c r="H35" t="str">
        <f t="shared" si="1"/>
        <v>9JX1UH0JU315</v>
      </c>
      <c r="I35" s="1">
        <v>45139</v>
      </c>
      <c r="J35" s="1">
        <v>45623</v>
      </c>
      <c r="K35" t="s">
        <v>16</v>
      </c>
      <c r="L35" t="s">
        <v>24</v>
      </c>
      <c r="M35" t="s">
        <v>25</v>
      </c>
    </row>
    <row r="36" spans="1:13" x14ac:dyDescent="0.2">
      <c r="A36" t="s">
        <v>19</v>
      </c>
      <c r="B36" t="s">
        <v>20</v>
      </c>
      <c r="C36">
        <v>9079571</v>
      </c>
      <c r="D36" t="s">
        <v>81</v>
      </c>
      <c r="E36" t="s">
        <v>82</v>
      </c>
      <c r="F36" t="str">
        <f>CONCATENATE(D36, " ", E36)</f>
        <v>David Naumann</v>
      </c>
      <c r="G36" t="s">
        <v>83</v>
      </c>
      <c r="H36" t="str">
        <f t="shared" si="1"/>
        <v>1TU1ER7RF985</v>
      </c>
      <c r="I36" s="1">
        <v>45231</v>
      </c>
      <c r="J36" s="1">
        <v>45623</v>
      </c>
      <c r="K36" t="s">
        <v>16</v>
      </c>
      <c r="L36" t="s">
        <v>24</v>
      </c>
      <c r="M36" t="s">
        <v>25</v>
      </c>
    </row>
    <row r="37" spans="1:13" x14ac:dyDescent="0.2">
      <c r="A37" t="s">
        <v>19</v>
      </c>
      <c r="B37" t="s">
        <v>20</v>
      </c>
      <c r="C37">
        <v>9079571</v>
      </c>
      <c r="D37" t="s">
        <v>81</v>
      </c>
      <c r="E37" t="s">
        <v>84</v>
      </c>
      <c r="F37" t="str">
        <f>CONCATENATE(D37, " ", E37)</f>
        <v>David Mackin</v>
      </c>
      <c r="G37" t="s">
        <v>85</v>
      </c>
      <c r="H37" t="str">
        <f t="shared" si="1"/>
        <v>1PM6NM4YC795</v>
      </c>
      <c r="I37" s="1">
        <v>45261</v>
      </c>
      <c r="J37" s="1">
        <v>45623</v>
      </c>
      <c r="K37" t="s">
        <v>16</v>
      </c>
      <c r="L37" t="s">
        <v>24</v>
      </c>
      <c r="M37" t="s">
        <v>25</v>
      </c>
    </row>
    <row r="38" spans="1:13" x14ac:dyDescent="0.2">
      <c r="A38" t="s">
        <v>86</v>
      </c>
      <c r="B38">
        <v>5442438</v>
      </c>
      <c r="C38">
        <v>5442438</v>
      </c>
      <c r="D38" t="s">
        <v>87</v>
      </c>
      <c r="E38" t="s">
        <v>88</v>
      </c>
      <c r="F38" t="str">
        <f>CONCATENATE(D38, " ", E38)</f>
        <v>Philip Johnston</v>
      </c>
      <c r="G38" t="s">
        <v>89</v>
      </c>
      <c r="H38" t="str">
        <f t="shared" si="1"/>
        <v>1H14QM7fH765</v>
      </c>
      <c r="I38" s="1">
        <v>45108</v>
      </c>
      <c r="J38" s="1">
        <v>45623</v>
      </c>
      <c r="K38" t="s">
        <v>16</v>
      </c>
      <c r="L38" t="s">
        <v>24</v>
      </c>
      <c r="M38" t="s">
        <v>25</v>
      </c>
    </row>
    <row r="39" spans="1:13" x14ac:dyDescent="0.2">
      <c r="A39" t="s">
        <v>86</v>
      </c>
      <c r="B39">
        <v>5442438</v>
      </c>
      <c r="C39">
        <v>5442438</v>
      </c>
      <c r="D39" t="s">
        <v>90</v>
      </c>
      <c r="E39" t="s">
        <v>21</v>
      </c>
      <c r="F39" t="str">
        <f>CONCATENATE(D39, " ", E39)</f>
        <v>Kevin Michael</v>
      </c>
      <c r="G39" t="s">
        <v>91</v>
      </c>
      <c r="H39" t="str">
        <f t="shared" si="1"/>
        <v>3NF3KR2XR865</v>
      </c>
      <c r="I39" s="1">
        <v>45139</v>
      </c>
      <c r="J39" s="1">
        <v>45623</v>
      </c>
      <c r="K39" t="s">
        <v>16</v>
      </c>
      <c r="L39" t="s">
        <v>24</v>
      </c>
      <c r="M39" t="s">
        <v>25</v>
      </c>
    </row>
    <row r="40" spans="1:13" x14ac:dyDescent="0.2">
      <c r="A40" t="s">
        <v>11</v>
      </c>
      <c r="B40" t="s">
        <v>12</v>
      </c>
      <c r="C40">
        <v>16202925</v>
      </c>
      <c r="D40" t="s">
        <v>92</v>
      </c>
      <c r="E40" t="s">
        <v>93</v>
      </c>
      <c r="F40" t="str">
        <f>CONCATENATE(D40, " ", E40)</f>
        <v>Annette Decosta</v>
      </c>
      <c r="G40" t="s">
        <v>94</v>
      </c>
      <c r="H40" t="str">
        <f t="shared" si="1"/>
        <v>7D20KQ9GA015</v>
      </c>
      <c r="I40" s="1">
        <v>45108</v>
      </c>
      <c r="J40" s="1">
        <v>45623</v>
      </c>
      <c r="K40" t="s">
        <v>16</v>
      </c>
      <c r="L40" t="s">
        <v>24</v>
      </c>
      <c r="M40" t="s">
        <v>25</v>
      </c>
    </row>
    <row r="41" spans="1:13" x14ac:dyDescent="0.2">
      <c r="A41" t="s">
        <v>11</v>
      </c>
      <c r="B41" t="s">
        <v>12</v>
      </c>
      <c r="C41">
        <v>16202925</v>
      </c>
      <c r="D41" t="s">
        <v>95</v>
      </c>
      <c r="E41" t="s">
        <v>96</v>
      </c>
      <c r="F41" t="str">
        <f>CONCATENATE(D41, " ", E41)</f>
        <v>Liza Lacosta</v>
      </c>
      <c r="G41" t="s">
        <v>97</v>
      </c>
      <c r="H41" t="str">
        <f t="shared" si="1"/>
        <v>2AV1H32MJ025</v>
      </c>
      <c r="I41" s="1">
        <v>45200</v>
      </c>
      <c r="J41" s="1">
        <v>45623</v>
      </c>
      <c r="K41" t="s">
        <v>16</v>
      </c>
      <c r="L41" t="s">
        <v>24</v>
      </c>
      <c r="M41" t="s">
        <v>25</v>
      </c>
    </row>
    <row r="42" spans="1:13" x14ac:dyDescent="0.2">
      <c r="A42" t="s">
        <v>11</v>
      </c>
      <c r="B42" t="s">
        <v>12</v>
      </c>
      <c r="C42">
        <v>16202925</v>
      </c>
      <c r="D42" t="s">
        <v>13</v>
      </c>
      <c r="E42" t="s">
        <v>14</v>
      </c>
      <c r="F42" t="str">
        <f>CONCATENATE(D42, " ", E42)</f>
        <v>Zinaida Rahmilov</v>
      </c>
      <c r="G42" t="s">
        <v>15</v>
      </c>
      <c r="H42" t="str">
        <f t="shared" si="1"/>
        <v>6jg8yj5vg395</v>
      </c>
      <c r="I42" s="1">
        <v>45597</v>
      </c>
      <c r="J42" s="1">
        <v>45623</v>
      </c>
      <c r="K42" t="s">
        <v>16</v>
      </c>
      <c r="L42" t="s">
        <v>98</v>
      </c>
      <c r="M42" t="s">
        <v>99</v>
      </c>
    </row>
    <row r="43" spans="1:13" x14ac:dyDescent="0.2">
      <c r="I43" s="1"/>
      <c r="J43" s="1"/>
    </row>
  </sheetData>
  <sortState xmlns:xlrd2="http://schemas.microsoft.com/office/spreadsheetml/2017/richdata2" ref="A2:M43">
    <sortCondition ref="M2:M43"/>
  </sortState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2024-11-29T13:59:47Z</dcterms:created>
  <dcterms:modified xsi:type="dcterms:W3CDTF">2024-12-02T21:35:54Z</dcterms:modified>
</cp:coreProperties>
</file>