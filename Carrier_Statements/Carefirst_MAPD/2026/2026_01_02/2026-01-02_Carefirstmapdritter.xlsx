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6\Ritter\Carefirst MAPD 1-2-26 Ritter\"/>
    </mc:Choice>
  </mc:AlternateContent>
  <xr:revisionPtr revIDLastSave="0" documentId="13_ncr:1_{82750254-3782-4E1B-BF0F-759AE4A97C48}" xr6:coauthVersionLast="47" xr6:coauthVersionMax="47" xr10:uidLastSave="{00000000-0000-0000-0000-000000000000}"/>
  <bookViews>
    <workbookView xWindow="30705" yWindow="2385" windowWidth="21585" windowHeight="13230" activeTab="1" xr2:uid="{6B1EA364-FE7B-43F5-9BEE-9CB2DBDBE41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G18" i="2"/>
  <c r="G17" i="2"/>
  <c r="G16" i="2"/>
  <c r="G15" i="2"/>
  <c r="G14" i="2"/>
  <c r="G13" i="2"/>
  <c r="G12" i="2"/>
  <c r="G11" i="2"/>
  <c r="G10" i="2"/>
</calcChain>
</file>

<file path=xl/sharedStrings.xml><?xml version="1.0" encoding="utf-8"?>
<sst xmlns="http://schemas.openxmlformats.org/spreadsheetml/2006/main" count="251" uniqueCount="53">
  <si>
    <t>CareFirst 2021-2026 Override Year 1</t>
  </si>
  <si>
    <t>Carefirst</t>
  </si>
  <si>
    <t>CareFirst12312025052</t>
  </si>
  <si>
    <t>Demar</t>
  </si>
  <si>
    <t>Rae</t>
  </si>
  <si>
    <t>Adam Richter</t>
  </si>
  <si>
    <t>CareFirst12312025051</t>
  </si>
  <si>
    <t>Walker</t>
  </si>
  <si>
    <t>John</t>
  </si>
  <si>
    <t>CareFirst12312025050</t>
  </si>
  <si>
    <t>Schade</t>
  </si>
  <si>
    <t>Thomas</t>
  </si>
  <si>
    <t>CareFirst12312025049</t>
  </si>
  <si>
    <t>Gallagher</t>
  </si>
  <si>
    <t>Molly</t>
  </si>
  <si>
    <t>CareFirst12312025048</t>
  </si>
  <si>
    <t>Pennington</t>
  </si>
  <si>
    <t>Dora</t>
  </si>
  <si>
    <t>Cilyk</t>
  </si>
  <si>
    <t>Mark</t>
  </si>
  <si>
    <t>Cathy Lemon</t>
  </si>
  <si>
    <t>Conyers</t>
  </si>
  <si>
    <t>Loretta</t>
  </si>
  <si>
    <t>Thomas Kucan</t>
  </si>
  <si>
    <t>Gaskins</t>
  </si>
  <si>
    <t>Cara</t>
  </si>
  <si>
    <t>Ronald Max</t>
  </si>
  <si>
    <t>CareFirst 2025 Full Replacement (ProRata: -1)</t>
  </si>
  <si>
    <t>Dunn</t>
  </si>
  <si>
    <t>Cynthia</t>
  </si>
  <si>
    <t>CareFirst 2025 Replace Street (ProRata: 1)</t>
  </si>
  <si>
    <t>CareFirst12312025057</t>
  </si>
  <si>
    <t>CareFirst12312025056</t>
  </si>
  <si>
    <t>CareFirst12312025055</t>
  </si>
  <si>
    <t>CareFirst12312025054</t>
  </si>
  <si>
    <t>CareFirst12312025053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</si>
  <si>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</si>
  <si>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</si>
  <si>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</si>
  <si>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</si>
  <si>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</si>
  <si>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</si>
  <si>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</si>
  <si>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</si>
  <si>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</si>
  <si>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</si>
  <si>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</si>
  <si>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 xml:space="preserve">CareFirst HRA Bonus Premium Period: </t>
  </si>
  <si>
    <t>CareFirst</t>
  </si>
  <si>
    <t>Carefirst MAPD 2025*</t>
  </si>
  <si>
    <t>CareFirst 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</si>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</sst>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7D9B-5595-42BD-BA65-DC08252890BB}">
  <dimension ref="A1:K19"/>
  <sheetViews>
    <sheetView workbookViewId="0">
      <selection sqref="A1:XFD1048576"/>
    </sheetView>
  </sheetViews>
  <sheetFormatPr defaultRowHeight="15" x14ac:dyDescent="0.25"/>
  <cols>
    <col min="1" max="1" width="13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2851562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1.5703125" bestFit="1" customWidth="1"/>
    <col min="11" max="11" width="15.7109375" bestFit="1" customWidth="1"/>
  </cols>
  <sheetData>
    <row r="1" spans="1:11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 t="s">
        <v>26</v>
      </c>
      <c r="C2">
        <v>5442438</v>
      </c>
      <c r="D2" t="s">
        <v>25</v>
      </c>
      <c r="E2" t="s">
        <v>24</v>
      </c>
      <c r="F2">
        <v>932241242</v>
      </c>
      <c r="G2" s="2">
        <v>45992</v>
      </c>
      <c r="H2" s="2">
        <v>46024</v>
      </c>
      <c r="I2" t="s">
        <v>1</v>
      </c>
      <c r="J2" t="s">
        <v>30</v>
      </c>
      <c r="K2" s="1">
        <v>26.08</v>
      </c>
    </row>
    <row r="3" spans="1:11" x14ac:dyDescent="0.25">
      <c r="A3" t="s">
        <v>23</v>
      </c>
      <c r="C3">
        <v>16202925</v>
      </c>
      <c r="D3" t="s">
        <v>22</v>
      </c>
      <c r="E3" t="s">
        <v>21</v>
      </c>
      <c r="F3">
        <v>932272862</v>
      </c>
      <c r="G3" s="2">
        <v>45992</v>
      </c>
      <c r="H3" s="2">
        <v>46024</v>
      </c>
      <c r="I3" t="s">
        <v>1</v>
      </c>
      <c r="J3" t="s">
        <v>30</v>
      </c>
      <c r="K3" s="1">
        <v>26.08</v>
      </c>
    </row>
    <row r="4" spans="1:11" x14ac:dyDescent="0.25">
      <c r="A4" t="s">
        <v>20</v>
      </c>
      <c r="C4">
        <v>17195620</v>
      </c>
      <c r="D4" t="s">
        <v>19</v>
      </c>
      <c r="E4" t="s">
        <v>18</v>
      </c>
      <c r="F4">
        <v>932332902</v>
      </c>
      <c r="G4" s="2">
        <v>45992</v>
      </c>
      <c r="H4" s="2">
        <v>46024</v>
      </c>
      <c r="I4" t="s">
        <v>1</v>
      </c>
      <c r="J4" t="s">
        <v>30</v>
      </c>
      <c r="K4" s="1">
        <v>26.08</v>
      </c>
    </row>
    <row r="5" spans="1:11" x14ac:dyDescent="0.25">
      <c r="A5" t="s">
        <v>5</v>
      </c>
      <c r="C5">
        <v>9079571</v>
      </c>
      <c r="D5" t="s">
        <v>17</v>
      </c>
      <c r="E5" t="s">
        <v>16</v>
      </c>
      <c r="F5" t="s">
        <v>35</v>
      </c>
      <c r="G5" s="2">
        <v>45992</v>
      </c>
      <c r="H5" s="2">
        <v>46024</v>
      </c>
      <c r="I5" t="s">
        <v>1</v>
      </c>
      <c r="J5" t="s">
        <v>30</v>
      </c>
      <c r="K5" s="1">
        <v>26.08</v>
      </c>
    </row>
    <row r="6" spans="1:11" x14ac:dyDescent="0.25">
      <c r="A6" t="s">
        <v>5</v>
      </c>
      <c r="C6">
        <v>9079571</v>
      </c>
      <c r="D6" t="s">
        <v>14</v>
      </c>
      <c r="E6" t="s">
        <v>13</v>
      </c>
      <c r="F6" t="s">
        <v>34</v>
      </c>
      <c r="G6" s="2">
        <v>45992</v>
      </c>
      <c r="H6" s="2">
        <v>46024</v>
      </c>
      <c r="I6" t="s">
        <v>1</v>
      </c>
      <c r="J6" t="s">
        <v>30</v>
      </c>
      <c r="K6" s="1">
        <v>26.08</v>
      </c>
    </row>
    <row r="7" spans="1:11" x14ac:dyDescent="0.25">
      <c r="A7" t="s">
        <v>5</v>
      </c>
      <c r="C7">
        <v>9079571</v>
      </c>
      <c r="D7" t="s">
        <v>11</v>
      </c>
      <c r="E7" t="s">
        <v>10</v>
      </c>
      <c r="F7" t="s">
        <v>33</v>
      </c>
      <c r="G7" s="2">
        <v>45992</v>
      </c>
      <c r="H7" s="2">
        <v>46024</v>
      </c>
      <c r="I7" t="s">
        <v>1</v>
      </c>
      <c r="J7" t="s">
        <v>30</v>
      </c>
      <c r="K7" s="1">
        <v>26.08</v>
      </c>
    </row>
    <row r="8" spans="1:11" x14ac:dyDescent="0.25">
      <c r="A8" t="s">
        <v>5</v>
      </c>
      <c r="C8">
        <v>9079571</v>
      </c>
      <c r="D8" t="s">
        <v>8</v>
      </c>
      <c r="E8" t="s">
        <v>7</v>
      </c>
      <c r="F8" t="s">
        <v>32</v>
      </c>
      <c r="G8" s="2">
        <v>45992</v>
      </c>
      <c r="H8" s="2">
        <v>46024</v>
      </c>
      <c r="I8" t="s">
        <v>1</v>
      </c>
      <c r="J8" t="s">
        <v>30</v>
      </c>
      <c r="K8" s="1">
        <v>26.08</v>
      </c>
    </row>
    <row r="9" spans="1:11" x14ac:dyDescent="0.25">
      <c r="A9" t="s">
        <v>5</v>
      </c>
      <c r="C9">
        <v>9079571</v>
      </c>
      <c r="D9" t="s">
        <v>4</v>
      </c>
      <c r="E9" t="s">
        <v>3</v>
      </c>
      <c r="F9" t="s">
        <v>31</v>
      </c>
      <c r="G9" s="2">
        <v>45992</v>
      </c>
      <c r="H9" s="2">
        <v>46024</v>
      </c>
      <c r="I9" t="s">
        <v>1</v>
      </c>
      <c r="J9" t="s">
        <v>30</v>
      </c>
      <c r="K9" s="1">
        <v>26.08</v>
      </c>
    </row>
    <row r="10" spans="1:11" x14ac:dyDescent="0.25">
      <c r="A10" t="s">
        <v>23</v>
      </c>
      <c r="C10">
        <v>16202925</v>
      </c>
      <c r="D10" t="s">
        <v>29</v>
      </c>
      <c r="E10" t="s">
        <v>28</v>
      </c>
      <c r="F10">
        <v>928150042</v>
      </c>
      <c r="G10" s="2">
        <v>45658</v>
      </c>
      <c r="H10" s="2">
        <v>46024</v>
      </c>
      <c r="I10" t="s">
        <v>1</v>
      </c>
      <c r="J10" t="s">
        <v>27</v>
      </c>
      <c r="K10" s="1">
        <v>-34.409999999999997</v>
      </c>
    </row>
    <row r="11" spans="1:11" x14ac:dyDescent="0.25">
      <c r="A11" t="s">
        <v>26</v>
      </c>
      <c r="C11">
        <v>5442438</v>
      </c>
      <c r="D11" t="s">
        <v>25</v>
      </c>
      <c r="E11" t="s">
        <v>24</v>
      </c>
      <c r="F11">
        <v>932241242</v>
      </c>
      <c r="G11" s="2">
        <v>45992</v>
      </c>
      <c r="H11" s="2">
        <v>46024</v>
      </c>
      <c r="I11" t="s">
        <v>1</v>
      </c>
      <c r="J11" t="s">
        <v>0</v>
      </c>
      <c r="K11" s="1">
        <v>150</v>
      </c>
    </row>
    <row r="12" spans="1:11" x14ac:dyDescent="0.25">
      <c r="A12" t="s">
        <v>23</v>
      </c>
      <c r="C12">
        <v>16202925</v>
      </c>
      <c r="D12" t="s">
        <v>22</v>
      </c>
      <c r="E12" t="s">
        <v>21</v>
      </c>
      <c r="F12">
        <v>932272862</v>
      </c>
      <c r="G12" s="2">
        <v>45992</v>
      </c>
      <c r="H12" s="2">
        <v>46024</v>
      </c>
      <c r="I12" t="s">
        <v>1</v>
      </c>
      <c r="J12" t="s">
        <v>0</v>
      </c>
      <c r="K12" s="1">
        <v>150</v>
      </c>
    </row>
    <row r="13" spans="1:11" x14ac:dyDescent="0.25">
      <c r="A13" t="s">
        <v>20</v>
      </c>
      <c r="C13">
        <v>17195620</v>
      </c>
      <c r="D13" t="s">
        <v>19</v>
      </c>
      <c r="E13" t="s">
        <v>18</v>
      </c>
      <c r="F13">
        <v>932332902</v>
      </c>
      <c r="G13" s="2">
        <v>45992</v>
      </c>
      <c r="H13" s="2">
        <v>46024</v>
      </c>
      <c r="I13" t="s">
        <v>1</v>
      </c>
      <c r="J13" t="s">
        <v>0</v>
      </c>
      <c r="K13" s="1">
        <v>150</v>
      </c>
    </row>
    <row r="14" spans="1:11" x14ac:dyDescent="0.25">
      <c r="A14" t="s">
        <v>5</v>
      </c>
      <c r="C14">
        <v>9079571</v>
      </c>
      <c r="D14" t="s">
        <v>17</v>
      </c>
      <c r="E14" t="s">
        <v>16</v>
      </c>
      <c r="F14" t="s">
        <v>15</v>
      </c>
      <c r="G14" s="2">
        <v>45992</v>
      </c>
      <c r="H14" s="2">
        <v>46024</v>
      </c>
      <c r="I14" t="s">
        <v>1</v>
      </c>
      <c r="J14" t="s">
        <v>0</v>
      </c>
      <c r="K14" s="1">
        <v>150</v>
      </c>
    </row>
    <row r="15" spans="1:11" x14ac:dyDescent="0.25">
      <c r="A15" t="s">
        <v>5</v>
      </c>
      <c r="C15">
        <v>9079571</v>
      </c>
      <c r="D15" t="s">
        <v>14</v>
      </c>
      <c r="E15" t="s">
        <v>13</v>
      </c>
      <c r="F15" t="s">
        <v>12</v>
      </c>
      <c r="G15" s="2">
        <v>45992</v>
      </c>
      <c r="H15" s="2">
        <v>46024</v>
      </c>
      <c r="I15" t="s">
        <v>1</v>
      </c>
      <c r="J15" t="s">
        <v>0</v>
      </c>
      <c r="K15" s="1">
        <v>150</v>
      </c>
    </row>
    <row r="16" spans="1:11" x14ac:dyDescent="0.25">
      <c r="A16" t="s">
        <v>5</v>
      </c>
      <c r="C16">
        <v>9079571</v>
      </c>
      <c r="D16" t="s">
        <v>11</v>
      </c>
      <c r="E16" t="s">
        <v>10</v>
      </c>
      <c r="F16" t="s">
        <v>9</v>
      </c>
      <c r="G16" s="2">
        <v>45992</v>
      </c>
      <c r="H16" s="2">
        <v>46024</v>
      </c>
      <c r="I16" t="s">
        <v>1</v>
      </c>
      <c r="J16" t="s">
        <v>0</v>
      </c>
      <c r="K16" s="1">
        <v>150</v>
      </c>
    </row>
    <row r="17" spans="1:11" x14ac:dyDescent="0.25">
      <c r="A17" t="s">
        <v>5</v>
      </c>
      <c r="C17">
        <v>9079571</v>
      </c>
      <c r="D17" t="s">
        <v>8</v>
      </c>
      <c r="E17" t="s">
        <v>7</v>
      </c>
      <c r="F17" t="s">
        <v>6</v>
      </c>
      <c r="G17" s="2">
        <v>45992</v>
      </c>
      <c r="H17" s="2">
        <v>46024</v>
      </c>
      <c r="I17" t="s">
        <v>1</v>
      </c>
      <c r="J17" t="s">
        <v>0</v>
      </c>
      <c r="K17" s="1">
        <v>150</v>
      </c>
    </row>
    <row r="18" spans="1:11" x14ac:dyDescent="0.25">
      <c r="A18" t="s">
        <v>5</v>
      </c>
      <c r="C18">
        <v>9079571</v>
      </c>
      <c r="D18" t="s">
        <v>4</v>
      </c>
      <c r="E18" t="s">
        <v>3</v>
      </c>
      <c r="F18" t="s">
        <v>2</v>
      </c>
      <c r="G18" s="2">
        <v>45992</v>
      </c>
      <c r="H18" s="2">
        <v>46024</v>
      </c>
      <c r="I18" t="s">
        <v>1</v>
      </c>
      <c r="J18" t="s">
        <v>0</v>
      </c>
      <c r="K18" s="1">
        <v>150</v>
      </c>
    </row>
    <row r="19" spans="1:11" x14ac:dyDescent="0.25">
      <c r="A19" t="s">
        <v>26</v>
      </c>
      <c r="C19">
        <v>5442438</v>
      </c>
      <c r="D19" t="s">
        <v>25</v>
      </c>
      <c r="E19" t="s">
        <v>24</v>
      </c>
      <c r="F19">
        <v>932241242</v>
      </c>
      <c r="G19" s="2">
        <v>45992</v>
      </c>
      <c r="H19" s="2">
        <v>46024</v>
      </c>
      <c r="I19" t="s">
        <v>48</v>
      </c>
      <c r="J19" t="s">
        <v>47</v>
      </c>
      <c r="K19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1532-A424-4FD9-B543-6199AA0C405E}">
  <dimension ref="A1:N20"/>
  <sheetViews>
    <sheetView tabSelected="1" topLeftCell="D1" workbookViewId="0">
      <selection activeCell="F10" sqref="F10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1.28515625" bestFit="1" customWidth="1"/>
    <col min="5" max="5" width="11.28515625" customWidth="1"/>
    <col min="6" max="6" width="20.140625" bestFit="1" customWidth="1"/>
    <col min="7" max="7" width="24.140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1.5703125" bestFit="1" customWidth="1"/>
    <col min="12" max="12" width="15.7109375" bestFit="1" customWidth="1"/>
    <col min="13" max="13" width="20.140625" bestFit="1" customWidth="1"/>
  </cols>
  <sheetData>
    <row r="1" spans="1:14" x14ac:dyDescent="0.25">
      <c r="A1" t="s">
        <v>36</v>
      </c>
      <c r="B1" t="s">
        <v>38</v>
      </c>
      <c r="C1" t="s">
        <v>39</v>
      </c>
      <c r="D1" t="s">
        <v>40</v>
      </c>
      <c r="F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4" x14ac:dyDescent="0.25">
      <c r="A2" t="s">
        <v>26</v>
      </c>
      <c r="B2">
        <v>5442438</v>
      </c>
      <c r="C2" t="s">
        <v>25</v>
      </c>
      <c r="D2" t="s">
        <v>24</v>
      </c>
      <c r="E2" t="str">
        <f>CONCATENATE(C2," ",D2)</f>
        <v>Cara Gaskins</v>
      </c>
      <c r="F2">
        <v>932241242</v>
      </c>
      <c r="G2">
        <v>932241242</v>
      </c>
      <c r="H2" s="2">
        <v>45992</v>
      </c>
      <c r="I2" s="2">
        <v>46024</v>
      </c>
      <c r="J2" t="s">
        <v>1</v>
      </c>
      <c r="K2" t="s">
        <v>30</v>
      </c>
      <c r="L2" s="1">
        <v>26.08</v>
      </c>
      <c r="M2" t="s">
        <v>49</v>
      </c>
      <c r="N2" t="s">
        <v>51</v>
      </c>
    </row>
    <row r="3" spans="1:14" x14ac:dyDescent="0.25">
      <c r="A3" t="s">
        <v>23</v>
      </c>
      <c r="B3">
        <v>16202925</v>
      </c>
      <c r="C3" t="s">
        <v>22</v>
      </c>
      <c r="D3" t="s">
        <v>21</v>
      </c>
      <c r="E3" t="str">
        <f t="shared" ref="E3:E18" si="0">CONCATENATE(C3," ",D3)</f>
        <v>Loretta Conyers</v>
      </c>
      <c r="F3">
        <v>932272862</v>
      </c>
      <c r="G3">
        <v>932272862</v>
      </c>
      <c r="H3" s="2">
        <v>45992</v>
      </c>
      <c r="I3" s="2">
        <v>46024</v>
      </c>
      <c r="J3" t="s">
        <v>1</v>
      </c>
      <c r="K3" t="s">
        <v>30</v>
      </c>
      <c r="L3" s="1">
        <v>26.08</v>
      </c>
      <c r="M3" t="s">
        <v>49</v>
      </c>
      <c r="N3" t="s">
        <v>51</v>
      </c>
    </row>
    <row r="4" spans="1:14" x14ac:dyDescent="0.25">
      <c r="A4" t="s">
        <v>20</v>
      </c>
      <c r="B4">
        <v>17195620</v>
      </c>
      <c r="C4" t="s">
        <v>19</v>
      </c>
      <c r="D4" t="s">
        <v>18</v>
      </c>
      <c r="E4" t="str">
        <f t="shared" si="0"/>
        <v>Mark Cilyk</v>
      </c>
      <c r="F4">
        <v>932332902</v>
      </c>
      <c r="G4">
        <v>932332902</v>
      </c>
      <c r="H4" s="2">
        <v>45992</v>
      </c>
      <c r="I4" s="2">
        <v>46024</v>
      </c>
      <c r="J4" t="s">
        <v>1</v>
      </c>
      <c r="K4" t="s">
        <v>30</v>
      </c>
      <c r="L4" s="1">
        <v>26.08</v>
      </c>
      <c r="M4" t="s">
        <v>49</v>
      </c>
      <c r="N4" t="s">
        <v>51</v>
      </c>
    </row>
    <row r="5" spans="1:14" x14ac:dyDescent="0.25">
      <c r="A5" t="s">
        <v>5</v>
      </c>
      <c r="B5">
        <v>9079571</v>
      </c>
      <c r="C5" t="s">
        <v>17</v>
      </c>
      <c r="D5" t="s">
        <v>16</v>
      </c>
      <c r="E5" t="str">
        <f t="shared" si="0"/>
        <v>Dora Pennington</v>
      </c>
      <c r="F5" t="s">
        <v>35</v>
      </c>
      <c r="G5" t="s">
        <v>35</v>
      </c>
      <c r="H5" s="2">
        <v>45992</v>
      </c>
      <c r="I5" s="2">
        <v>46024</v>
      </c>
      <c r="J5" t="s">
        <v>1</v>
      </c>
      <c r="K5" t="s">
        <v>30</v>
      </c>
      <c r="L5" s="1">
        <v>26.08</v>
      </c>
      <c r="M5" t="s">
        <v>49</v>
      </c>
      <c r="N5" t="s">
        <v>51</v>
      </c>
    </row>
    <row r="6" spans="1:14" x14ac:dyDescent="0.25">
      <c r="A6" t="s">
        <v>5</v>
      </c>
      <c r="B6">
        <v>9079571</v>
      </c>
      <c r="C6" t="s">
        <v>14</v>
      </c>
      <c r="D6" t="s">
        <v>13</v>
      </c>
      <c r="E6" t="str">
        <f t="shared" si="0"/>
        <v>Molly Gallagher</v>
      </c>
      <c r="F6" t="s">
        <v>34</v>
      </c>
      <c r="G6" t="s">
        <v>34</v>
      </c>
      <c r="H6" s="2">
        <v>45992</v>
      </c>
      <c r="I6" s="2">
        <v>46024</v>
      </c>
      <c r="J6" t="s">
        <v>1</v>
      </c>
      <c r="K6" t="s">
        <v>30</v>
      </c>
      <c r="L6" s="1">
        <v>26.08</v>
      </c>
      <c r="M6" t="s">
        <v>49</v>
      </c>
      <c r="N6" t="s">
        <v>51</v>
      </c>
    </row>
    <row r="7" spans="1:14" x14ac:dyDescent="0.25">
      <c r="A7" t="s">
        <v>5</v>
      </c>
      <c r="B7">
        <v>9079571</v>
      </c>
      <c r="C7" t="s">
        <v>11</v>
      </c>
      <c r="D7" t="s">
        <v>10</v>
      </c>
      <c r="E7" t="str">
        <f t="shared" si="0"/>
        <v>Thomas Schade</v>
      </c>
      <c r="F7" t="s">
        <v>33</v>
      </c>
      <c r="G7" t="s">
        <v>33</v>
      </c>
      <c r="H7" s="2">
        <v>45992</v>
      </c>
      <c r="I7" s="2">
        <v>46024</v>
      </c>
      <c r="J7" t="s">
        <v>1</v>
      </c>
      <c r="K7" t="s">
        <v>30</v>
      </c>
      <c r="L7" s="1">
        <v>26.08</v>
      </c>
      <c r="M7" t="s">
        <v>49</v>
      </c>
      <c r="N7" t="s">
        <v>51</v>
      </c>
    </row>
    <row r="8" spans="1:14" x14ac:dyDescent="0.25">
      <c r="A8" t="s">
        <v>5</v>
      </c>
      <c r="B8">
        <v>9079571</v>
      </c>
      <c r="C8" t="s">
        <v>8</v>
      </c>
      <c r="D8" t="s">
        <v>7</v>
      </c>
      <c r="E8" t="str">
        <f t="shared" si="0"/>
        <v>John Walker</v>
      </c>
      <c r="F8" t="s">
        <v>32</v>
      </c>
      <c r="G8" t="s">
        <v>32</v>
      </c>
      <c r="H8" s="2">
        <v>45992</v>
      </c>
      <c r="I8" s="2">
        <v>46024</v>
      </c>
      <c r="J8" t="s">
        <v>1</v>
      </c>
      <c r="K8" t="s">
        <v>30</v>
      </c>
      <c r="L8" s="1">
        <v>26.08</v>
      </c>
      <c r="M8" t="s">
        <v>49</v>
      </c>
      <c r="N8" t="s">
        <v>51</v>
      </c>
    </row>
    <row r="9" spans="1:14" x14ac:dyDescent="0.25">
      <c r="A9" t="s">
        <v>5</v>
      </c>
      <c r="B9">
        <v>9079571</v>
      </c>
      <c r="C9" t="s">
        <v>4</v>
      </c>
      <c r="D9" t="s">
        <v>3</v>
      </c>
      <c r="E9" t="str">
        <f t="shared" si="0"/>
        <v>Rae Demar</v>
      </c>
      <c r="F9" t="s">
        <v>31</v>
      </c>
      <c r="G9" t="s">
        <v>31</v>
      </c>
      <c r="H9" s="2">
        <v>45992</v>
      </c>
      <c r="I9" s="2">
        <v>46024</v>
      </c>
      <c r="J9" t="s">
        <v>1</v>
      </c>
      <c r="K9" t="s">
        <v>30</v>
      </c>
      <c r="L9" s="1">
        <v>26.08</v>
      </c>
      <c r="M9" t="s">
        <v>49</v>
      </c>
      <c r="N9" t="s">
        <v>51</v>
      </c>
    </row>
    <row r="10" spans="1:14" s="3" customFormat="1" x14ac:dyDescent="0.25">
      <c r="A10" s="3" t="s">
        <v>52</v>
      </c>
      <c r="B10" s="3">
        <v>20411454</v>
      </c>
      <c r="C10" s="3" t="s">
        <v>29</v>
      </c>
      <c r="D10" s="3" t="s">
        <v>28</v>
      </c>
      <c r="E10" t="str">
        <f t="shared" si="0"/>
        <v>Cynthia Dunn</v>
      </c>
      <c r="F10" s="3">
        <v>928150042</v>
      </c>
      <c r="G10" s="3" t="str">
        <f>CONCATENATE(F10,"OVR")</f>
        <v>928150042OVR</v>
      </c>
      <c r="H10" s="4">
        <v>45658</v>
      </c>
      <c r="I10" s="4">
        <v>46024</v>
      </c>
      <c r="J10" s="3" t="s">
        <v>1</v>
      </c>
      <c r="K10" s="3" t="s">
        <v>27</v>
      </c>
      <c r="L10" s="5">
        <v>-34.409999999999997</v>
      </c>
      <c r="M10" s="3" t="s">
        <v>50</v>
      </c>
    </row>
    <row r="11" spans="1:14" s="3" customFormat="1" x14ac:dyDescent="0.25">
      <c r="A11" s="3" t="s">
        <v>52</v>
      </c>
      <c r="B11" s="3">
        <v>20411454</v>
      </c>
      <c r="C11" s="3" t="s">
        <v>25</v>
      </c>
      <c r="D11" s="3" t="s">
        <v>24</v>
      </c>
      <c r="E11" t="str">
        <f t="shared" si="0"/>
        <v>Cara Gaskins</v>
      </c>
      <c r="F11" s="3">
        <v>932241242</v>
      </c>
      <c r="G11" s="3" t="str">
        <f t="shared" ref="G11:G18" si="1">CONCATENATE(F11,"OVR")</f>
        <v>932241242OVR</v>
      </c>
      <c r="H11" s="4">
        <v>45992</v>
      </c>
      <c r="I11" s="4">
        <v>46024</v>
      </c>
      <c r="J11" s="3" t="s">
        <v>1</v>
      </c>
      <c r="K11" s="3" t="s">
        <v>0</v>
      </c>
      <c r="L11" s="5">
        <v>150</v>
      </c>
      <c r="M11" s="3" t="s">
        <v>50</v>
      </c>
    </row>
    <row r="12" spans="1:14" s="3" customFormat="1" x14ac:dyDescent="0.25">
      <c r="A12" s="3" t="s">
        <v>52</v>
      </c>
      <c r="B12" s="3">
        <v>20411454</v>
      </c>
      <c r="C12" s="3" t="s">
        <v>22</v>
      </c>
      <c r="D12" s="3" t="s">
        <v>21</v>
      </c>
      <c r="E12" t="str">
        <f t="shared" si="0"/>
        <v>Loretta Conyers</v>
      </c>
      <c r="F12" s="3">
        <v>932272862</v>
      </c>
      <c r="G12" s="3" t="str">
        <f t="shared" si="1"/>
        <v>932272862OVR</v>
      </c>
      <c r="H12" s="4">
        <v>45992</v>
      </c>
      <c r="I12" s="4">
        <v>46024</v>
      </c>
      <c r="J12" s="3" t="s">
        <v>1</v>
      </c>
      <c r="K12" s="3" t="s">
        <v>0</v>
      </c>
      <c r="L12" s="5">
        <v>150</v>
      </c>
      <c r="M12" s="3" t="s">
        <v>50</v>
      </c>
    </row>
    <row r="13" spans="1:14" s="3" customFormat="1" x14ac:dyDescent="0.25">
      <c r="A13" s="3" t="s">
        <v>52</v>
      </c>
      <c r="B13" s="3">
        <v>20411454</v>
      </c>
      <c r="C13" s="3" t="s">
        <v>19</v>
      </c>
      <c r="D13" s="3" t="s">
        <v>18</v>
      </c>
      <c r="E13" t="str">
        <f t="shared" si="0"/>
        <v>Mark Cilyk</v>
      </c>
      <c r="F13" s="3">
        <v>932332902</v>
      </c>
      <c r="G13" s="3" t="str">
        <f t="shared" si="1"/>
        <v>932332902OVR</v>
      </c>
      <c r="H13" s="4">
        <v>45992</v>
      </c>
      <c r="I13" s="4">
        <v>46024</v>
      </c>
      <c r="J13" s="3" t="s">
        <v>1</v>
      </c>
      <c r="K13" s="3" t="s">
        <v>0</v>
      </c>
      <c r="L13" s="5">
        <v>150</v>
      </c>
      <c r="M13" s="3" t="s">
        <v>50</v>
      </c>
    </row>
    <row r="14" spans="1:14" s="3" customFormat="1" x14ac:dyDescent="0.25">
      <c r="A14" s="3" t="s">
        <v>52</v>
      </c>
      <c r="B14" s="3">
        <v>20411454</v>
      </c>
      <c r="C14" s="3" t="s">
        <v>17</v>
      </c>
      <c r="D14" s="3" t="s">
        <v>16</v>
      </c>
      <c r="E14" t="str">
        <f t="shared" si="0"/>
        <v>Dora Pennington</v>
      </c>
      <c r="F14" s="3" t="s">
        <v>15</v>
      </c>
      <c r="G14" s="3" t="str">
        <f t="shared" si="1"/>
        <v>CareFirst12312025048OVR</v>
      </c>
      <c r="H14" s="4">
        <v>45992</v>
      </c>
      <c r="I14" s="4">
        <v>46024</v>
      </c>
      <c r="J14" s="3" t="s">
        <v>1</v>
      </c>
      <c r="K14" s="3" t="s">
        <v>0</v>
      </c>
      <c r="L14" s="5">
        <v>150</v>
      </c>
      <c r="M14" s="3" t="s">
        <v>50</v>
      </c>
    </row>
    <row r="15" spans="1:14" s="3" customFormat="1" x14ac:dyDescent="0.25">
      <c r="A15" s="3" t="s">
        <v>52</v>
      </c>
      <c r="B15" s="3">
        <v>20411454</v>
      </c>
      <c r="C15" s="3" t="s">
        <v>14</v>
      </c>
      <c r="D15" s="3" t="s">
        <v>13</v>
      </c>
      <c r="E15" t="str">
        <f t="shared" si="0"/>
        <v>Molly Gallagher</v>
      </c>
      <c r="F15" s="3" t="s">
        <v>12</v>
      </c>
      <c r="G15" s="3" t="str">
        <f t="shared" si="1"/>
        <v>CareFirst12312025049OVR</v>
      </c>
      <c r="H15" s="4">
        <v>45992</v>
      </c>
      <c r="I15" s="4">
        <v>46024</v>
      </c>
      <c r="J15" s="3" t="s">
        <v>1</v>
      </c>
      <c r="K15" s="3" t="s">
        <v>0</v>
      </c>
      <c r="L15" s="5">
        <v>150</v>
      </c>
      <c r="M15" s="3" t="s">
        <v>50</v>
      </c>
    </row>
    <row r="16" spans="1:14" s="3" customFormat="1" x14ac:dyDescent="0.25">
      <c r="A16" s="3" t="s">
        <v>52</v>
      </c>
      <c r="B16" s="3">
        <v>20411454</v>
      </c>
      <c r="C16" s="3" t="s">
        <v>11</v>
      </c>
      <c r="D16" s="3" t="s">
        <v>10</v>
      </c>
      <c r="E16" t="str">
        <f t="shared" si="0"/>
        <v>Thomas Schade</v>
      </c>
      <c r="F16" s="3" t="s">
        <v>9</v>
      </c>
      <c r="G16" s="3" t="str">
        <f t="shared" si="1"/>
        <v>CareFirst12312025050OVR</v>
      </c>
      <c r="H16" s="4">
        <v>45992</v>
      </c>
      <c r="I16" s="4">
        <v>46024</v>
      </c>
      <c r="J16" s="3" t="s">
        <v>1</v>
      </c>
      <c r="K16" s="3" t="s">
        <v>0</v>
      </c>
      <c r="L16" s="5">
        <v>150</v>
      </c>
      <c r="M16" s="3" t="s">
        <v>50</v>
      </c>
    </row>
    <row r="17" spans="1:13" s="3" customFormat="1" x14ac:dyDescent="0.25">
      <c r="A17" s="3" t="s">
        <v>52</v>
      </c>
      <c r="B17" s="3">
        <v>20411454</v>
      </c>
      <c r="C17" s="3" t="s">
        <v>8</v>
      </c>
      <c r="D17" s="3" t="s">
        <v>7</v>
      </c>
      <c r="E17" t="str">
        <f t="shared" si="0"/>
        <v>John Walker</v>
      </c>
      <c r="F17" s="3" t="s">
        <v>6</v>
      </c>
      <c r="G17" s="3" t="str">
        <f t="shared" si="1"/>
        <v>CareFirst12312025051OVR</v>
      </c>
      <c r="H17" s="4">
        <v>45992</v>
      </c>
      <c r="I17" s="4">
        <v>46024</v>
      </c>
      <c r="J17" s="3" t="s">
        <v>1</v>
      </c>
      <c r="K17" s="3" t="s">
        <v>0</v>
      </c>
      <c r="L17" s="5">
        <v>150</v>
      </c>
      <c r="M17" s="3" t="s">
        <v>50</v>
      </c>
    </row>
    <row r="18" spans="1:13" s="3" customFormat="1" x14ac:dyDescent="0.25">
      <c r="A18" s="3" t="s">
        <v>52</v>
      </c>
      <c r="B18" s="3">
        <v>20411454</v>
      </c>
      <c r="C18" s="3" t="s">
        <v>4</v>
      </c>
      <c r="D18" s="3" t="s">
        <v>3</v>
      </c>
      <c r="E18" t="str">
        <f t="shared" si="0"/>
        <v>Rae Demar</v>
      </c>
      <c r="F18" s="3" t="s">
        <v>2</v>
      </c>
      <c r="G18" s="3" t="str">
        <f t="shared" si="1"/>
        <v>CareFirst12312025052OVR</v>
      </c>
      <c r="H18" s="4">
        <v>45992</v>
      </c>
      <c r="I18" s="4">
        <v>46024</v>
      </c>
      <c r="J18" s="3" t="s">
        <v>1</v>
      </c>
      <c r="K18" s="3" t="s">
        <v>0</v>
      </c>
      <c r="L18" s="5">
        <v>150</v>
      </c>
      <c r="M18" s="3" t="s">
        <v>50</v>
      </c>
    </row>
    <row r="19" spans="1:13" x14ac:dyDescent="0.25">
      <c r="H19" s="2"/>
      <c r="I19" s="2"/>
      <c r="L19" s="1"/>
    </row>
    <row r="20" spans="1:13" s="3" customFormat="1" x14ac:dyDescent="0.25">
      <c r="A20" s="3" t="s">
        <v>26</v>
      </c>
      <c r="B20" s="3">
        <v>5442438</v>
      </c>
      <c r="C20" s="3" t="s">
        <v>25</v>
      </c>
      <c r="D20" s="3" t="s">
        <v>24</v>
      </c>
      <c r="F20" s="3">
        <v>932241242</v>
      </c>
      <c r="H20" s="4">
        <v>45992</v>
      </c>
      <c r="I20" s="4">
        <v>46024</v>
      </c>
      <c r="J20" s="3" t="s">
        <v>48</v>
      </c>
      <c r="K20" s="3" t="s">
        <v>47</v>
      </c>
      <c r="L20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2026-01-02T15:02:47Z</dcterms:created>
  <dcterms:modified xsi:type="dcterms:W3CDTF">2026-01-05T16:14:38Z</dcterms:modified>
</cp:coreProperties>
</file>