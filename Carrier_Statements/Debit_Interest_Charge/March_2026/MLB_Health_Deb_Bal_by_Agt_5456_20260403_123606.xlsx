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LB-HEALTH_DEB_BAL_BY_AGT_5456_" sheetId="1" r:id="rId4"/>
  </sheets>
  <definedNames/>
  <calcPr/>
  <extLst>
    <ext uri="GoogleSheetsCustomDataVersion2">
      <go:sheetsCustomData xmlns:go="http://customooxmlschemas.google.com/" r:id="rId5" roundtripDataChecksum="hreZEWWrJQLOnASrJdjtR2SJMbjSZpGIRDWhuNDzOLI="/>
    </ext>
  </extLst>
</workbook>
</file>

<file path=xl/sharedStrings.xml><?xml version="1.0" encoding="utf-8"?>
<sst xmlns="http://schemas.openxmlformats.org/spreadsheetml/2006/main" count="273" uniqueCount="183">
  <si>
    <t>DBName</t>
  </si>
  <si>
    <t>Agent ID</t>
  </si>
  <si>
    <t>EACID</t>
  </si>
  <si>
    <t>Name</t>
  </si>
  <si>
    <t>Debit Balance</t>
  </si>
  <si>
    <t>As OF</t>
  </si>
  <si>
    <t>Notes</t>
  </si>
  <si>
    <t>0.05% debit balance charge</t>
  </si>
  <si>
    <t>note</t>
  </si>
  <si>
    <t>MLB-HEALTH</t>
  </si>
  <si>
    <t>ABBIE  LYNN HALL</t>
  </si>
  <si>
    <t>March 2026 interest charge on total debit balance of $42.82 = $0.21</t>
  </si>
  <si>
    <t>AHMAD  HASSAN</t>
  </si>
  <si>
    <t>March 2026 interest charge on total debit balance of $103.86 = $0.52</t>
  </si>
  <si>
    <t>ALESSANDRO  ZANGARI</t>
  </si>
  <si>
    <t>March 2026 interest charge on total debit balance of $21.00 = $0.10</t>
  </si>
  <si>
    <t>ALISON  LUSE</t>
  </si>
  <si>
    <t>March 2026 interest charge on total debit balance of $12.26 = $0.06</t>
  </si>
  <si>
    <t>AMANDA  RODRIGUEZ</t>
  </si>
  <si>
    <t>March 2026 interest charge on total debit balance of $100.00 = $0.50</t>
  </si>
  <si>
    <t>ANDREA  PETRUNGARO</t>
  </si>
  <si>
    <t>March 2026 interest charge on total debit balance of $9,952.97 = $49.76</t>
  </si>
  <si>
    <t>ANDREW  CHOI</t>
  </si>
  <si>
    <t>March 2026 interest charge on total debit balance of $108,310.77 = $541.55</t>
  </si>
  <si>
    <t>ANTHONY  HUNSBERGER</t>
  </si>
  <si>
    <t>March 2026 interest charge on total debit balance of $262.17 = $1.31</t>
  </si>
  <si>
    <t>ANTONIA  NEVAREZ</t>
  </si>
  <si>
    <t>March 2026 interest charge on total debit balance of $47.77 = $0.24</t>
  </si>
  <si>
    <t>ARNOLD  ALOFF</t>
  </si>
  <si>
    <t>March 2026 interest charge on total debit balance of $1,404.73 = $7.02</t>
  </si>
  <si>
    <t>BARRY  SCHUMANN</t>
  </si>
  <si>
    <t>March 2026 interest charge on total debit balance of $6,064.13 = $30.32</t>
  </si>
  <si>
    <t>BRIAN  STROHMAN</t>
  </si>
  <si>
    <t>March 2026 interest charge on total debit balance of $587.17 = $2.94</t>
  </si>
  <si>
    <t>BRITTANY  OLIVER</t>
  </si>
  <si>
    <t>March 2026 interest charge on total debit balance of $27,412.15 = $137.06</t>
  </si>
  <si>
    <t>CAROL  FOLEY</t>
  </si>
  <si>
    <t>March 2026 interest charge on total debit balance of $2.94 = $0.01</t>
  </si>
  <si>
    <t>CAROLYN WILSON SMITH</t>
  </si>
  <si>
    <t>March 2026 interest charge on total debit balance of $216.34 = $1.08</t>
  </si>
  <si>
    <t>CATHY LEMON</t>
  </si>
  <si>
    <t>March 2026 interest charge on total debit balance of $707.62 = $3.54</t>
  </si>
  <si>
    <t>CHERYL  FRAZIER</t>
  </si>
  <si>
    <t>March 2026 interest charge on total debit balance of $60.00 = $0.30</t>
  </si>
  <si>
    <t>CHRISTIAN  TAUGNER</t>
  </si>
  <si>
    <t>March 2026 interest charge on total debit balance of $19,009.28 = $95.05</t>
  </si>
  <si>
    <t>CHRISTOPHER  BROUSSEAU</t>
  </si>
  <si>
    <t>March 2026 interest charge on total debit balance of $1,115.47 = $5.58</t>
  </si>
  <si>
    <t>COLLEEN  JERGER</t>
  </si>
  <si>
    <t>March 2026 interest charge on total debit balance of $4,019.98 = $20.10</t>
  </si>
  <si>
    <t>CURTIS  DODD</t>
  </si>
  <si>
    <t>March 2026 interest charge on total debit balance of $24.00 = $0.12</t>
  </si>
  <si>
    <t>DALE  WALENGA</t>
  </si>
  <si>
    <t>March 2026 interest charge on total debit balance of $10,836.55 = $54.18</t>
  </si>
  <si>
    <t>DANNA  GREEN</t>
  </si>
  <si>
    <t>March 2026 interest charge on total debit balance of $14,268.91 = $71.34</t>
  </si>
  <si>
    <t>DENNIS  HOLYN</t>
  </si>
  <si>
    <t>March 2026 interest charge on total debit balance of $1,427.31 = $7.14</t>
  </si>
  <si>
    <t>DOMINIC  LYTLE</t>
  </si>
  <si>
    <t>March 2026 interest charge on total debit balance of $362.31 = $1.81</t>
  </si>
  <si>
    <t>ESTHER  HERRERA-LARSEN</t>
  </si>
  <si>
    <t>March 2026 interest charge on total debit balance of $2,017.70 = $10.09</t>
  </si>
  <si>
    <t>EUGENE  ZANGARI</t>
  </si>
  <si>
    <t>March 2026 interest charge on total debit balance of $136.00 = $0.68</t>
  </si>
  <si>
    <t>FRANK  LISKOVEC</t>
  </si>
  <si>
    <t>March 2026 interest charge on total debit balance of $16,719.46 = $83.60</t>
  </si>
  <si>
    <t>FREDERICK  GBASSANA</t>
  </si>
  <si>
    <t>March 2026 interest charge on total debit balance of $58.83 = $0.29</t>
  </si>
  <si>
    <t>GIOVANNI  FLAMMINIO</t>
  </si>
  <si>
    <t>March 2026 interest charge on total debit balance of $85.96 = $0.43</t>
  </si>
  <si>
    <t>GREGORY  HANSFORD</t>
  </si>
  <si>
    <t>March 2026 interest charge on total debit balance of $3,885.08 = $19.43</t>
  </si>
  <si>
    <t>H  ALLAN</t>
  </si>
  <si>
    <t>March 2026 interest charge on total debit balance of $1,539.21 = $7.70</t>
  </si>
  <si>
    <t>HEATHER  GESKE</t>
  </si>
  <si>
    <t>March 2026 interest charge on total debit balance of $15,667.73 = $78.34</t>
  </si>
  <si>
    <t>HEIDI  BERTHELSEN</t>
  </si>
  <si>
    <t>March 2026 interest charge on total debit balance of $25,672.29 = $128.36</t>
  </si>
  <si>
    <t>INES  BERG</t>
  </si>
  <si>
    <t>March 2026 interest charge on total debit balance of $3,466.80 = $17.33</t>
  </si>
  <si>
    <t>JAKE  SHULMAN</t>
  </si>
  <si>
    <t>March 2026 interest charge on total debit balance of $8,206.79 = $41.03</t>
  </si>
  <si>
    <t>JAMES  ALLEN</t>
  </si>
  <si>
    <t>March 2026 interest charge on total debit balance of $3,209.61 = $16.05</t>
  </si>
  <si>
    <t>JAMES  GIANATASIO</t>
  </si>
  <si>
    <t>March 2026 interest charge on total debit balance of $695.53 = $3.48</t>
  </si>
  <si>
    <t>JAMES  WHITMAN</t>
  </si>
  <si>
    <t>March 2026 interest charge on total debit balance of $25.39 = $0.13</t>
  </si>
  <si>
    <t>JARED  KINYUA</t>
  </si>
  <si>
    <t>March 2026 interest charge on total debit balance of $7,984.40 = $39.92</t>
  </si>
  <si>
    <t>JEFFREY  HORN</t>
  </si>
  <si>
    <t>March 2026 interest charge on total debit balance of $2,288.60 = $11.44</t>
  </si>
  <si>
    <t>JENNIFER  HESS</t>
  </si>
  <si>
    <t>March 2026 interest charge on total debit balance of $676.09 = $3.38</t>
  </si>
  <si>
    <t>JERALD SKARNULIS</t>
  </si>
  <si>
    <t>March 2026 interest charge on total debit balance of $84.30 = $0.42</t>
  </si>
  <si>
    <t>JOEL  LEE</t>
  </si>
  <si>
    <t>March 2026 interest charge on total debit balance of $639.45 = $3.20</t>
  </si>
  <si>
    <t>JOHN  RISLEY</t>
  </si>
  <si>
    <t>March 2026 interest charge on total debit balance of $185.20 = $0.93</t>
  </si>
  <si>
    <t>JONATHAN  ALOFF</t>
  </si>
  <si>
    <t>March 2026 interest charge on total debit balance of $2,982.20 = $14.91</t>
  </si>
  <si>
    <t>JOSE  TORRES</t>
  </si>
  <si>
    <t>March 2026 interest charge on total debit balance of $432.55 = $2.16</t>
  </si>
  <si>
    <t>JOSEPH  FERTENBAUGH</t>
  </si>
  <si>
    <t>KELLY  CARRYER</t>
  </si>
  <si>
    <t>KENNETH  WEITZMAN</t>
  </si>
  <si>
    <t>March 2026 interest charge on total debit balance of $626.36 = $3.13</t>
  </si>
  <si>
    <t>KIRK  TIGUE</t>
  </si>
  <si>
    <t>March 2026 interest charge on total debit balance of $695.03 = $3.48</t>
  </si>
  <si>
    <t>KRISTEN  FACCHINI</t>
  </si>
  <si>
    <t>March 2026 interest charge on total debit balance of $768.89 = $3.84</t>
  </si>
  <si>
    <t>LENSIE  GONZALEZ</t>
  </si>
  <si>
    <t>March 2026 interest charge on total debit balance of $638.48 = $3.19</t>
  </si>
  <si>
    <t>MAKENA  BOOKER</t>
  </si>
  <si>
    <t>March 2026 interest charge on total debit balance of $278.90 = $1.39</t>
  </si>
  <si>
    <t>MATTHEW  DAUGHERTY</t>
  </si>
  <si>
    <t>March 2026 interest charge on total debit balance of $1,591.28 = $7.96</t>
  </si>
  <si>
    <t>MATTHEW  POWERS</t>
  </si>
  <si>
    <t>March 2026 interest charge on total debit balance of $64.00 = $0.32</t>
  </si>
  <si>
    <t>MATTHEW  SHERMAN</t>
  </si>
  <si>
    <t>March 2026 interest charge on total debit balance of $14,510.58 = $72.55</t>
  </si>
  <si>
    <t>MICHAEL  DUNAVANT</t>
  </si>
  <si>
    <t>March 2026 interest charge on total debit balance of $3,410.31 = $17.05</t>
  </si>
  <si>
    <t>MICHELLE  BEAVER</t>
  </si>
  <si>
    <t>MICHELLE  MCCORKLE</t>
  </si>
  <si>
    <t>March 2026 interest charge on total debit balance of $10,725.95 = $53.63</t>
  </si>
  <si>
    <t>NASANDELGER  ZANA</t>
  </si>
  <si>
    <t>March 2026 interest charge on total debit balance of $9,999.68 = $50.00</t>
  </si>
  <si>
    <t>NATHAN  WELLER</t>
  </si>
  <si>
    <t>March 2026 interest charge on total debit balance of $1,885.92 = $9.43</t>
  </si>
  <si>
    <t>ODMAA  ENKHTUR</t>
  </si>
  <si>
    <t>March 2026 interest charge on total debit balance of $192.53 = $0.96</t>
  </si>
  <si>
    <t>PAMELA  DEATON</t>
  </si>
  <si>
    <t>March 2026 interest charge on total debit balance of $9,935.42 = $49.68</t>
  </si>
  <si>
    <t>PATRICIA  LONG</t>
  </si>
  <si>
    <t>March 2026 interest charge on total debit balance of $84.87 = $0.42</t>
  </si>
  <si>
    <t>PATRICK  GESKE</t>
  </si>
  <si>
    <t>March 2026 interest charge on total debit balance of $16.39 = $0.08</t>
  </si>
  <si>
    <t>PATSAMON  THANADABOUTH</t>
  </si>
  <si>
    <t>March 2026 interest charge on total debit balance of $1,613.94 = $8.07</t>
  </si>
  <si>
    <t>PETER  RICHTER</t>
  </si>
  <si>
    <t>March 2026 interest charge on total debit balance of $9,747.51 = $48.74</t>
  </si>
  <si>
    <t>RALUCA  CHEREGI</t>
  </si>
  <si>
    <t>March 2026 interest charge on total debit balance of $5,635.18 = $28.18</t>
  </si>
  <si>
    <t>RICARDO  SANTOS</t>
  </si>
  <si>
    <t>March 2026 interest charge on total debit balance of $9,283.85 = $46.42</t>
  </si>
  <si>
    <t>RICHARD  YALE</t>
  </si>
  <si>
    <t>March 2026 interest charge on total debit balance of $11,840.65 = $59.20</t>
  </si>
  <si>
    <t>ROBERT  SHAPIRO</t>
  </si>
  <si>
    <t>March 2026 interest charge on total debit balance of $1,515.43 = $7.58</t>
  </si>
  <si>
    <t>ROBERT  SIEVERWRIGHT</t>
  </si>
  <si>
    <t>March 2026 interest charge on total debit balance of $600.11 = $3.00</t>
  </si>
  <si>
    <t>RYAN  STOCKER</t>
  </si>
  <si>
    <t>March 2026 interest charge on total debit balance of $1,837.62 = $9.19</t>
  </si>
  <si>
    <t>SCOTT  AGUGLIA</t>
  </si>
  <si>
    <t>March 2026 interest charge on total debit balance of $1,483.38 = $7.42</t>
  </si>
  <si>
    <t>STACEY  PORTUGAL</t>
  </si>
  <si>
    <t>March 2026 interest charge on total debit balance of $7,544.56 = $37.72</t>
  </si>
  <si>
    <t>STEPHANIE  DRAPAC</t>
  </si>
  <si>
    <t>March 2026 interest charge on total debit balance of $5,165.44 = $25.83</t>
  </si>
  <si>
    <t>STEVEN  WERNER</t>
  </si>
  <si>
    <t>March 2026 interest charge on total debit balance of $666.79 = $3.33</t>
  </si>
  <si>
    <t>TALIAH  FERGUSON</t>
  </si>
  <si>
    <t>March 2026 interest charge on total debit balance of $3,165.51 = $15.83</t>
  </si>
  <si>
    <t>THOMAS  BENTLEY</t>
  </si>
  <si>
    <t>March 2026 interest charge on total debit balance of $214.00 = $1.07</t>
  </si>
  <si>
    <t>THOMAS  KUCAN</t>
  </si>
  <si>
    <t>March 2026 interest charge on total debit balance of $3,603.55 = $18.02</t>
  </si>
  <si>
    <t>THOMAS  PARDUE</t>
  </si>
  <si>
    <t>March 2026 interest charge on total debit balance of $33,532.96 = $167.66</t>
  </si>
  <si>
    <t>THOMAS ERVOLINA</t>
  </si>
  <si>
    <t>March 2026 interest charge on total debit balance of $267.50 = $1.34</t>
  </si>
  <si>
    <t>TIMOTHY MERCED</t>
  </si>
  <si>
    <t>March 2026 interest charge on total debit balance of $187.25 = $0.94</t>
  </si>
  <si>
    <t>VICTOR  FUENTES</t>
  </si>
  <si>
    <t>March 2026 interest charge on total debit balance of $7,122.89 = $35.61</t>
  </si>
  <si>
    <t>WENDY  SORRENTINO</t>
  </si>
  <si>
    <t>March 2026 interest charge on total debit balance of $160.55 = $0.80</t>
  </si>
  <si>
    <t>WILLIAM  SCHAEFFER</t>
  </si>
  <si>
    <t>March 2026 interest charge on total debit balance of $157.35 = $0.79</t>
  </si>
  <si>
    <t>ZAMEER  KOTADIA</t>
  </si>
  <si>
    <t>March 2026 interest charge on total debit balance of $1,099.35 = $5.50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</si>
</sst>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164" xfId="0" applyFont="1" applyNumberFormat="1"/>
    <xf borderId="0" fillId="0" fontId="3" numFmtId="22" xfId="0" applyFont="1" applyNumberFormat="1"/>
    <xf borderId="0" fillId="0" fontId="1" numFmtId="0" xfId="0" applyAlignment="1" applyFont="1">
      <alignment readingOrder="0"/>
    </xf>
    <xf borderId="1" fillId="2" fontId="3" numFmtId="0" xfId="0" applyBorder="1" applyFill="1" applyFont="1"/>
    <xf borderId="1" fillId="2" fontId="3" numFmtId="164" xfId="0" applyBorder="1" applyFont="1" applyNumberFormat="1"/>
    <xf borderId="1" fillId="2" fontId="3" numFmtId="22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3" width="9.38"/>
    <col customWidth="1" min="4" max="4" width="26.88"/>
    <col customWidth="1" min="5" max="5" width="13.25"/>
    <col customWidth="1" min="6" max="6" width="13.63"/>
    <col customWidth="1" min="7" max="7" width="6.13"/>
    <col customWidth="1" min="8" max="8" width="23.75"/>
    <col customWidth="1" min="9" max="9" width="8.63"/>
    <col customWidth="1" min="10" max="10" width="62.75"/>
    <col customWidth="1" min="11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8</v>
      </c>
    </row>
    <row r="2">
      <c r="A2" s="1" t="s">
        <v>9</v>
      </c>
      <c r="B2" s="1">
        <v>1.5079805E7</v>
      </c>
      <c r="C2" s="1">
        <v>1.5079805E7</v>
      </c>
      <c r="D2" s="1" t="s">
        <v>10</v>
      </c>
      <c r="E2" s="3">
        <v>42.82</v>
      </c>
      <c r="F2" s="4">
        <v>46115.483402777776</v>
      </c>
      <c r="H2" s="3">
        <f t="shared" ref="H2:H89" si="1">sum(E2*0.5%)</f>
        <v>0.2141</v>
      </c>
      <c r="I2" s="1">
        <f t="shared" ref="I2:I89" si="2">Round(E2*0.005,2)</f>
        <v>0.21</v>
      </c>
      <c r="J2" s="5" t="s">
        <v>11</v>
      </c>
    </row>
    <row r="3">
      <c r="A3" s="1" t="s">
        <v>9</v>
      </c>
      <c r="B3" s="1">
        <v>2173482.0</v>
      </c>
      <c r="C3" s="1">
        <v>2173482.0</v>
      </c>
      <c r="D3" s="1" t="s">
        <v>12</v>
      </c>
      <c r="E3" s="3">
        <v>103.86</v>
      </c>
      <c r="F3" s="4">
        <v>46115.483402777776</v>
      </c>
      <c r="H3" s="3">
        <f t="shared" si="1"/>
        <v>0.5193</v>
      </c>
      <c r="I3" s="1">
        <f t="shared" si="2"/>
        <v>0.52</v>
      </c>
      <c r="J3" s="5" t="s">
        <v>13</v>
      </c>
    </row>
    <row r="4">
      <c r="A4" s="1" t="s">
        <v>9</v>
      </c>
      <c r="B4" s="1">
        <v>7750822.0</v>
      </c>
      <c r="C4" s="1">
        <v>7750822.0</v>
      </c>
      <c r="D4" s="1" t="s">
        <v>14</v>
      </c>
      <c r="E4" s="3">
        <v>21.0</v>
      </c>
      <c r="F4" s="4">
        <v>46115.483402777776</v>
      </c>
      <c r="H4" s="3">
        <f t="shared" si="1"/>
        <v>0.105</v>
      </c>
      <c r="I4" s="1">
        <f t="shared" si="2"/>
        <v>0.11</v>
      </c>
      <c r="J4" s="5" t="s">
        <v>15</v>
      </c>
    </row>
    <row r="5">
      <c r="A5" s="1" t="s">
        <v>9</v>
      </c>
      <c r="B5" s="1">
        <v>9254978.0</v>
      </c>
      <c r="C5" s="1">
        <v>9254978.0</v>
      </c>
      <c r="D5" s="1" t="s">
        <v>16</v>
      </c>
      <c r="E5" s="3">
        <v>12.26</v>
      </c>
      <c r="F5" s="4">
        <v>46115.483402777776</v>
      </c>
      <c r="H5" s="3">
        <f t="shared" si="1"/>
        <v>0.0613</v>
      </c>
      <c r="I5" s="1">
        <f t="shared" si="2"/>
        <v>0.06</v>
      </c>
      <c r="J5" s="5" t="s">
        <v>17</v>
      </c>
    </row>
    <row r="6">
      <c r="A6" s="1" t="s">
        <v>9</v>
      </c>
      <c r="B6" s="1">
        <v>1.8775576E7</v>
      </c>
      <c r="C6" s="1">
        <v>1.8775576E7</v>
      </c>
      <c r="D6" s="1" t="s">
        <v>18</v>
      </c>
      <c r="E6" s="3">
        <v>100.0</v>
      </c>
      <c r="F6" s="4">
        <v>46115.483402777776</v>
      </c>
      <c r="H6" s="3">
        <f t="shared" si="1"/>
        <v>0.5</v>
      </c>
      <c r="I6" s="1">
        <f t="shared" si="2"/>
        <v>0.5</v>
      </c>
      <c r="J6" s="5" t="s">
        <v>19</v>
      </c>
    </row>
    <row r="7">
      <c r="A7" s="1" t="s">
        <v>9</v>
      </c>
      <c r="B7" s="1">
        <v>1.6912722E7</v>
      </c>
      <c r="C7" s="1">
        <v>1.6912722E7</v>
      </c>
      <c r="D7" s="1" t="s">
        <v>20</v>
      </c>
      <c r="E7" s="3">
        <v>9952.97</v>
      </c>
      <c r="F7" s="4">
        <v>46115.483402777776</v>
      </c>
      <c r="H7" s="3">
        <f t="shared" si="1"/>
        <v>49.76485</v>
      </c>
      <c r="I7" s="1">
        <f t="shared" si="2"/>
        <v>49.76</v>
      </c>
      <c r="J7" s="5" t="s">
        <v>21</v>
      </c>
    </row>
    <row r="8">
      <c r="A8" s="1" t="s">
        <v>9</v>
      </c>
      <c r="B8" s="1">
        <v>7470776.0</v>
      </c>
      <c r="C8" s="1">
        <v>7470776.0</v>
      </c>
      <c r="D8" s="1" t="s">
        <v>22</v>
      </c>
      <c r="E8" s="3">
        <v>108310.77</v>
      </c>
      <c r="F8" s="4">
        <v>46115.483402777776</v>
      </c>
      <c r="H8" s="3">
        <f t="shared" si="1"/>
        <v>541.55385</v>
      </c>
      <c r="I8" s="1">
        <f t="shared" si="2"/>
        <v>541.55</v>
      </c>
      <c r="J8" s="5" t="s">
        <v>23</v>
      </c>
    </row>
    <row r="9">
      <c r="A9" s="1" t="s">
        <v>9</v>
      </c>
      <c r="B9" s="1">
        <v>7146581.0</v>
      </c>
      <c r="C9" s="1">
        <v>7146581.0</v>
      </c>
      <c r="D9" s="1" t="s">
        <v>24</v>
      </c>
      <c r="E9" s="3">
        <v>262.17</v>
      </c>
      <c r="F9" s="4">
        <v>46115.483402777776</v>
      </c>
      <c r="H9" s="3">
        <f t="shared" si="1"/>
        <v>1.31085</v>
      </c>
      <c r="I9" s="1">
        <f t="shared" si="2"/>
        <v>1.31</v>
      </c>
      <c r="J9" s="5" t="s">
        <v>25</v>
      </c>
    </row>
    <row r="10">
      <c r="A10" s="1" t="s">
        <v>9</v>
      </c>
      <c r="B10" s="1">
        <v>2.1646325E7</v>
      </c>
      <c r="C10" s="1">
        <v>2.1646325E7</v>
      </c>
      <c r="D10" s="1" t="s">
        <v>26</v>
      </c>
      <c r="E10" s="3">
        <v>47.77</v>
      </c>
      <c r="F10" s="4">
        <v>46115.483402777776</v>
      </c>
      <c r="H10" s="3">
        <f t="shared" si="1"/>
        <v>0.23885</v>
      </c>
      <c r="I10" s="1">
        <f t="shared" si="2"/>
        <v>0.24</v>
      </c>
      <c r="J10" s="5" t="s">
        <v>27</v>
      </c>
    </row>
    <row r="11">
      <c r="A11" s="1" t="s">
        <v>9</v>
      </c>
      <c r="B11" s="1">
        <v>3475518.0</v>
      </c>
      <c r="C11" s="1">
        <v>3475518.0</v>
      </c>
      <c r="D11" s="1" t="s">
        <v>28</v>
      </c>
      <c r="E11" s="3">
        <v>1404.73</v>
      </c>
      <c r="F11" s="4">
        <v>46115.483402777776</v>
      </c>
      <c r="H11" s="3">
        <f t="shared" si="1"/>
        <v>7.02365</v>
      </c>
      <c r="I11" s="1">
        <f t="shared" si="2"/>
        <v>7.02</v>
      </c>
      <c r="J11" s="5" t="s">
        <v>29</v>
      </c>
    </row>
    <row r="12">
      <c r="A12" s="1" t="s">
        <v>9</v>
      </c>
      <c r="B12" s="1">
        <v>1.9586992E7</v>
      </c>
      <c r="C12" s="1">
        <v>1.9586992E7</v>
      </c>
      <c r="D12" s="1" t="s">
        <v>30</v>
      </c>
      <c r="E12" s="3">
        <v>6064.13</v>
      </c>
      <c r="F12" s="4">
        <v>46115.483402777776</v>
      </c>
      <c r="H12" s="3">
        <f t="shared" si="1"/>
        <v>30.32065</v>
      </c>
      <c r="I12" s="1">
        <f t="shared" si="2"/>
        <v>30.32</v>
      </c>
      <c r="J12" s="5" t="s">
        <v>31</v>
      </c>
    </row>
    <row r="13">
      <c r="A13" s="1" t="s">
        <v>9</v>
      </c>
      <c r="B13" s="1">
        <v>2.1104854E7</v>
      </c>
      <c r="C13" s="1">
        <v>2.1104854E7</v>
      </c>
      <c r="D13" s="1" t="s">
        <v>32</v>
      </c>
      <c r="E13" s="3">
        <v>587.17</v>
      </c>
      <c r="F13" s="4">
        <v>46115.483402777776</v>
      </c>
      <c r="H13" s="3">
        <f t="shared" si="1"/>
        <v>2.93585</v>
      </c>
      <c r="I13" s="1">
        <f t="shared" si="2"/>
        <v>2.94</v>
      </c>
      <c r="J13" s="5" t="s">
        <v>33</v>
      </c>
    </row>
    <row r="14">
      <c r="A14" s="1" t="s">
        <v>9</v>
      </c>
      <c r="B14" s="1">
        <v>1.7554531E7</v>
      </c>
      <c r="C14" s="1">
        <v>1.7554531E7</v>
      </c>
      <c r="D14" s="1" t="s">
        <v>34</v>
      </c>
      <c r="E14" s="3">
        <v>27412.15</v>
      </c>
      <c r="F14" s="4">
        <v>46115.483402777776</v>
      </c>
      <c r="H14" s="3">
        <f t="shared" si="1"/>
        <v>137.06075</v>
      </c>
      <c r="I14" s="1">
        <f t="shared" si="2"/>
        <v>137.06</v>
      </c>
      <c r="J14" s="5" t="s">
        <v>35</v>
      </c>
    </row>
    <row r="15">
      <c r="A15" s="1" t="s">
        <v>9</v>
      </c>
      <c r="B15" s="1">
        <v>1.7425766E7</v>
      </c>
      <c r="C15" s="1">
        <v>1.7425766E7</v>
      </c>
      <c r="D15" s="1" t="s">
        <v>36</v>
      </c>
      <c r="E15" s="3">
        <v>2.94</v>
      </c>
      <c r="F15" s="4">
        <v>46115.483402777776</v>
      </c>
      <c r="H15" s="3">
        <f t="shared" si="1"/>
        <v>0.0147</v>
      </c>
      <c r="I15" s="1">
        <f t="shared" si="2"/>
        <v>0.01</v>
      </c>
      <c r="J15" s="5" t="s">
        <v>37</v>
      </c>
    </row>
    <row r="16">
      <c r="A16" s="6" t="s">
        <v>9</v>
      </c>
      <c r="B16" s="6">
        <v>7387433.0</v>
      </c>
      <c r="C16" s="6">
        <v>7387433.0</v>
      </c>
      <c r="D16" s="6" t="s">
        <v>38</v>
      </c>
      <c r="E16" s="7">
        <v>216.34</v>
      </c>
      <c r="F16" s="8">
        <v>46115.483402777776</v>
      </c>
      <c r="H16" s="3">
        <f t="shared" si="1"/>
        <v>1.0817</v>
      </c>
      <c r="I16" s="1">
        <f t="shared" si="2"/>
        <v>1.08</v>
      </c>
      <c r="J16" s="5" t="s">
        <v>39</v>
      </c>
    </row>
    <row r="17">
      <c r="A17" s="6" t="s">
        <v>9</v>
      </c>
      <c r="B17" s="6">
        <v>1.719562E7</v>
      </c>
      <c r="C17" s="6">
        <v>1.719562E7</v>
      </c>
      <c r="D17" s="6" t="s">
        <v>40</v>
      </c>
      <c r="E17" s="7">
        <v>707.62</v>
      </c>
      <c r="F17" s="8">
        <v>46115.483402777776</v>
      </c>
      <c r="H17" s="3">
        <f t="shared" si="1"/>
        <v>3.5381</v>
      </c>
      <c r="I17" s="1">
        <f t="shared" si="2"/>
        <v>3.54</v>
      </c>
      <c r="J17" s="5" t="s">
        <v>41</v>
      </c>
    </row>
    <row r="18">
      <c r="A18" s="1" t="s">
        <v>9</v>
      </c>
      <c r="B18" s="1">
        <v>8499606.0</v>
      </c>
      <c r="C18" s="1">
        <v>8499606.0</v>
      </c>
      <c r="D18" s="1" t="s">
        <v>42</v>
      </c>
      <c r="E18" s="3">
        <v>60.0</v>
      </c>
      <c r="F18" s="4">
        <v>46115.483402777776</v>
      </c>
      <c r="H18" s="3">
        <f t="shared" si="1"/>
        <v>0.3</v>
      </c>
      <c r="I18" s="1">
        <f t="shared" si="2"/>
        <v>0.3</v>
      </c>
      <c r="J18" s="5" t="s">
        <v>43</v>
      </c>
    </row>
    <row r="19">
      <c r="A19" s="1" t="s">
        <v>9</v>
      </c>
      <c r="B19" s="1">
        <v>1.9681796E7</v>
      </c>
      <c r="C19" s="1">
        <v>1.9681796E7</v>
      </c>
      <c r="D19" s="1" t="s">
        <v>44</v>
      </c>
      <c r="E19" s="3">
        <v>19009.28</v>
      </c>
      <c r="F19" s="4">
        <v>46115.483402777776</v>
      </c>
      <c r="H19" s="3">
        <f t="shared" si="1"/>
        <v>95.0464</v>
      </c>
      <c r="I19" s="1">
        <f t="shared" si="2"/>
        <v>95.05</v>
      </c>
      <c r="J19" s="5" t="s">
        <v>45</v>
      </c>
    </row>
    <row r="20">
      <c r="A20" s="1" t="s">
        <v>9</v>
      </c>
      <c r="B20" s="1">
        <v>2.1435997E7</v>
      </c>
      <c r="C20" s="1">
        <v>2.1435997E7</v>
      </c>
      <c r="D20" s="1" t="s">
        <v>46</v>
      </c>
      <c r="E20" s="3">
        <v>1115.47</v>
      </c>
      <c r="F20" s="4">
        <v>46115.483402777776</v>
      </c>
      <c r="H20" s="3">
        <f t="shared" si="1"/>
        <v>5.57735</v>
      </c>
      <c r="I20" s="1">
        <f t="shared" si="2"/>
        <v>5.58</v>
      </c>
      <c r="J20" s="5" t="s">
        <v>47</v>
      </c>
    </row>
    <row r="21" ht="15.75" customHeight="1">
      <c r="A21" s="1" t="s">
        <v>9</v>
      </c>
      <c r="B21" s="1">
        <v>3333476.0</v>
      </c>
      <c r="C21" s="1">
        <v>3333476.0</v>
      </c>
      <c r="D21" s="1" t="s">
        <v>48</v>
      </c>
      <c r="E21" s="3">
        <v>4019.98</v>
      </c>
      <c r="F21" s="4">
        <v>46115.483402777776</v>
      </c>
      <c r="H21" s="3">
        <f t="shared" si="1"/>
        <v>20.0999</v>
      </c>
      <c r="I21" s="1">
        <f t="shared" si="2"/>
        <v>20.1</v>
      </c>
      <c r="J21" s="5" t="s">
        <v>49</v>
      </c>
    </row>
    <row r="22" ht="15.75" customHeight="1">
      <c r="A22" s="1" t="s">
        <v>9</v>
      </c>
      <c r="B22" s="1">
        <v>1.05993E7</v>
      </c>
      <c r="C22" s="1">
        <v>1.05993E7</v>
      </c>
      <c r="D22" s="1" t="s">
        <v>50</v>
      </c>
      <c r="E22" s="3">
        <v>24.0</v>
      </c>
      <c r="F22" s="4">
        <v>46115.483402777776</v>
      </c>
      <c r="H22" s="3">
        <f t="shared" si="1"/>
        <v>0.12</v>
      </c>
      <c r="I22" s="1">
        <f t="shared" si="2"/>
        <v>0.12</v>
      </c>
      <c r="J22" s="5" t="s">
        <v>51</v>
      </c>
    </row>
    <row r="23" ht="15.75" customHeight="1">
      <c r="A23" s="1" t="s">
        <v>9</v>
      </c>
      <c r="B23" s="1">
        <v>8325282.0</v>
      </c>
      <c r="C23" s="1">
        <v>8325282.0</v>
      </c>
      <c r="D23" s="1" t="s">
        <v>52</v>
      </c>
      <c r="E23" s="3">
        <v>10836.55</v>
      </c>
      <c r="F23" s="4">
        <v>46115.483402777776</v>
      </c>
      <c r="H23" s="3">
        <f t="shared" si="1"/>
        <v>54.18275</v>
      </c>
      <c r="I23" s="1">
        <f t="shared" si="2"/>
        <v>54.18</v>
      </c>
      <c r="J23" s="5" t="s">
        <v>53</v>
      </c>
    </row>
    <row r="24" ht="15.75" customHeight="1">
      <c r="A24" s="1" t="s">
        <v>9</v>
      </c>
      <c r="B24" s="1">
        <v>1.6849453E7</v>
      </c>
      <c r="C24" s="1">
        <v>1.6849453E7</v>
      </c>
      <c r="D24" s="1" t="s">
        <v>54</v>
      </c>
      <c r="E24" s="3">
        <v>14268.91</v>
      </c>
      <c r="F24" s="4">
        <v>46115.483402777776</v>
      </c>
      <c r="H24" s="3">
        <f t="shared" si="1"/>
        <v>71.34455</v>
      </c>
      <c r="I24" s="1">
        <f t="shared" si="2"/>
        <v>71.34</v>
      </c>
      <c r="J24" s="5" t="s">
        <v>55</v>
      </c>
    </row>
    <row r="25" ht="15.75" customHeight="1">
      <c r="A25" s="1" t="s">
        <v>9</v>
      </c>
      <c r="B25" s="1">
        <v>7152559.0</v>
      </c>
      <c r="C25" s="1">
        <v>7152559.0</v>
      </c>
      <c r="D25" s="1" t="s">
        <v>56</v>
      </c>
      <c r="E25" s="3">
        <v>1427.31</v>
      </c>
      <c r="F25" s="4">
        <v>46115.483402777776</v>
      </c>
      <c r="H25" s="3">
        <f t="shared" si="1"/>
        <v>7.13655</v>
      </c>
      <c r="I25" s="1">
        <f t="shared" si="2"/>
        <v>7.14</v>
      </c>
      <c r="J25" s="5" t="s">
        <v>57</v>
      </c>
    </row>
    <row r="26" ht="15.75" customHeight="1">
      <c r="A26" s="1" t="s">
        <v>9</v>
      </c>
      <c r="B26" s="1">
        <v>2.1621622E7</v>
      </c>
      <c r="C26" s="1">
        <v>2.1621622E7</v>
      </c>
      <c r="D26" s="1" t="s">
        <v>58</v>
      </c>
      <c r="E26" s="3">
        <v>362.31</v>
      </c>
      <c r="F26" s="4">
        <v>46115.483402777776</v>
      </c>
      <c r="H26" s="3">
        <f t="shared" si="1"/>
        <v>1.81155</v>
      </c>
      <c r="I26" s="1">
        <f t="shared" si="2"/>
        <v>1.81</v>
      </c>
      <c r="J26" s="5" t="s">
        <v>59</v>
      </c>
    </row>
    <row r="27" ht="15.75" customHeight="1">
      <c r="A27" s="1" t="s">
        <v>9</v>
      </c>
      <c r="B27" s="1">
        <v>1.7301495E7</v>
      </c>
      <c r="C27" s="1">
        <v>1.7301495E7</v>
      </c>
      <c r="D27" s="1" t="s">
        <v>60</v>
      </c>
      <c r="E27" s="3">
        <v>2017.7</v>
      </c>
      <c r="F27" s="4">
        <v>46115.483402777776</v>
      </c>
      <c r="H27" s="3">
        <f t="shared" si="1"/>
        <v>10.0885</v>
      </c>
      <c r="I27" s="1">
        <f t="shared" si="2"/>
        <v>10.09</v>
      </c>
      <c r="J27" s="5" t="s">
        <v>61</v>
      </c>
    </row>
    <row r="28" ht="15.75" customHeight="1">
      <c r="A28" s="1" t="s">
        <v>9</v>
      </c>
      <c r="B28" s="1">
        <v>1.2047257E7</v>
      </c>
      <c r="C28" s="1">
        <v>1.2047257E7</v>
      </c>
      <c r="D28" s="1" t="s">
        <v>62</v>
      </c>
      <c r="E28" s="3">
        <v>136.0</v>
      </c>
      <c r="F28" s="4">
        <v>46115.483402777776</v>
      </c>
      <c r="H28" s="3">
        <f t="shared" si="1"/>
        <v>0.68</v>
      </c>
      <c r="I28" s="1">
        <f t="shared" si="2"/>
        <v>0.68</v>
      </c>
      <c r="J28" s="5" t="s">
        <v>63</v>
      </c>
    </row>
    <row r="29" ht="15.75" customHeight="1">
      <c r="A29" s="1" t="s">
        <v>9</v>
      </c>
      <c r="B29" s="1">
        <v>8814784.0</v>
      </c>
      <c r="C29" s="1">
        <v>8814784.0</v>
      </c>
      <c r="D29" s="1" t="s">
        <v>64</v>
      </c>
      <c r="E29" s="3">
        <v>16719.46</v>
      </c>
      <c r="F29" s="4">
        <v>46115.483402777776</v>
      </c>
      <c r="H29" s="3">
        <f t="shared" si="1"/>
        <v>83.5973</v>
      </c>
      <c r="I29" s="1">
        <f t="shared" si="2"/>
        <v>83.6</v>
      </c>
      <c r="J29" s="5" t="s">
        <v>65</v>
      </c>
    </row>
    <row r="30" ht="15.75" customHeight="1">
      <c r="A30" s="1" t="s">
        <v>9</v>
      </c>
      <c r="B30" s="1">
        <v>1.8657307E7</v>
      </c>
      <c r="C30" s="1">
        <v>1.8657307E7</v>
      </c>
      <c r="D30" s="1" t="s">
        <v>66</v>
      </c>
      <c r="E30" s="3">
        <v>58.83</v>
      </c>
      <c r="F30" s="4">
        <v>46115.483402777776</v>
      </c>
      <c r="H30" s="3">
        <f t="shared" si="1"/>
        <v>0.29415</v>
      </c>
      <c r="I30" s="1">
        <f t="shared" si="2"/>
        <v>0.29</v>
      </c>
      <c r="J30" s="5" t="s">
        <v>67</v>
      </c>
    </row>
    <row r="31" ht="15.75" customHeight="1">
      <c r="A31" s="1" t="s">
        <v>9</v>
      </c>
      <c r="B31" s="1">
        <v>1.8532417E7</v>
      </c>
      <c r="C31" s="1">
        <v>1.8532417E7</v>
      </c>
      <c r="D31" s="1" t="s">
        <v>68</v>
      </c>
      <c r="E31" s="3">
        <v>85.96</v>
      </c>
      <c r="F31" s="4">
        <v>46115.483402777776</v>
      </c>
      <c r="H31" s="3">
        <f t="shared" si="1"/>
        <v>0.4298</v>
      </c>
      <c r="I31" s="1">
        <f t="shared" si="2"/>
        <v>0.43</v>
      </c>
      <c r="J31" s="5" t="s">
        <v>69</v>
      </c>
    </row>
    <row r="32" ht="15.75" customHeight="1">
      <c r="A32" s="1" t="s">
        <v>9</v>
      </c>
      <c r="B32" s="1">
        <v>1.7094718E7</v>
      </c>
      <c r="C32" s="1">
        <v>1.7094718E7</v>
      </c>
      <c r="D32" s="1" t="s">
        <v>70</v>
      </c>
      <c r="E32" s="3">
        <v>3885.08</v>
      </c>
      <c r="F32" s="4">
        <v>46115.483402777776</v>
      </c>
      <c r="H32" s="3">
        <f t="shared" si="1"/>
        <v>19.4254</v>
      </c>
      <c r="I32" s="1">
        <f t="shared" si="2"/>
        <v>19.43</v>
      </c>
      <c r="J32" s="5" t="s">
        <v>71</v>
      </c>
    </row>
    <row r="33" ht="15.75" customHeight="1">
      <c r="A33" s="1" t="s">
        <v>9</v>
      </c>
      <c r="B33" s="1">
        <v>8046194.0</v>
      </c>
      <c r="C33" s="1">
        <v>8046194.0</v>
      </c>
      <c r="D33" s="1" t="s">
        <v>72</v>
      </c>
      <c r="E33" s="3">
        <v>1539.21</v>
      </c>
      <c r="F33" s="4">
        <v>46115.483402777776</v>
      </c>
      <c r="H33" s="3">
        <f t="shared" si="1"/>
        <v>7.69605</v>
      </c>
      <c r="I33" s="1">
        <f t="shared" si="2"/>
        <v>7.7</v>
      </c>
      <c r="J33" s="5" t="s">
        <v>73</v>
      </c>
    </row>
    <row r="34" ht="15.75" customHeight="1">
      <c r="A34" s="1" t="s">
        <v>9</v>
      </c>
      <c r="B34" s="1">
        <v>1.6865615E7</v>
      </c>
      <c r="C34" s="1">
        <v>1.6865615E7</v>
      </c>
      <c r="D34" s="1" t="s">
        <v>74</v>
      </c>
      <c r="E34" s="3">
        <v>15667.73</v>
      </c>
      <c r="F34" s="4">
        <v>46115.483402777776</v>
      </c>
      <c r="H34" s="3">
        <f t="shared" si="1"/>
        <v>78.33865</v>
      </c>
      <c r="I34" s="1">
        <f t="shared" si="2"/>
        <v>78.34</v>
      </c>
      <c r="J34" s="5" t="s">
        <v>75</v>
      </c>
    </row>
    <row r="35" ht="15.75" customHeight="1">
      <c r="A35" s="1" t="s">
        <v>9</v>
      </c>
      <c r="B35" s="1">
        <v>1.9617796E7</v>
      </c>
      <c r="C35" s="1">
        <v>1.9617796E7</v>
      </c>
      <c r="D35" s="1" t="s">
        <v>76</v>
      </c>
      <c r="E35" s="3">
        <v>25672.29</v>
      </c>
      <c r="F35" s="4">
        <v>46115.483402777776</v>
      </c>
      <c r="H35" s="3">
        <f t="shared" si="1"/>
        <v>128.36145</v>
      </c>
      <c r="I35" s="1">
        <f t="shared" si="2"/>
        <v>128.36</v>
      </c>
      <c r="J35" s="5" t="s">
        <v>77</v>
      </c>
    </row>
    <row r="36" ht="15.75" customHeight="1">
      <c r="A36" s="1" t="s">
        <v>9</v>
      </c>
      <c r="B36" s="1">
        <v>1.7117649E7</v>
      </c>
      <c r="C36" s="1">
        <v>1.7117649E7</v>
      </c>
      <c r="D36" s="1" t="s">
        <v>78</v>
      </c>
      <c r="E36" s="3">
        <v>3466.8</v>
      </c>
      <c r="F36" s="4">
        <v>46115.483402777776</v>
      </c>
      <c r="H36" s="3">
        <f t="shared" si="1"/>
        <v>17.334</v>
      </c>
      <c r="I36" s="1">
        <f t="shared" si="2"/>
        <v>17.33</v>
      </c>
      <c r="J36" s="5" t="s">
        <v>79</v>
      </c>
    </row>
    <row r="37" ht="15.75" customHeight="1">
      <c r="A37" s="1" t="s">
        <v>9</v>
      </c>
      <c r="B37" s="1">
        <v>1.8201929E7</v>
      </c>
      <c r="C37" s="1">
        <v>1.8201929E7</v>
      </c>
      <c r="D37" s="1" t="s">
        <v>80</v>
      </c>
      <c r="E37" s="3">
        <v>8206.79</v>
      </c>
      <c r="F37" s="4">
        <v>46115.483402777776</v>
      </c>
      <c r="H37" s="3">
        <f t="shared" si="1"/>
        <v>41.03395</v>
      </c>
      <c r="I37" s="1">
        <f t="shared" si="2"/>
        <v>41.03</v>
      </c>
      <c r="J37" s="5" t="s">
        <v>81</v>
      </c>
    </row>
    <row r="38" ht="15.75" customHeight="1">
      <c r="A38" s="1" t="s">
        <v>9</v>
      </c>
      <c r="B38" s="1">
        <v>1.7143996E7</v>
      </c>
      <c r="C38" s="1">
        <v>1.7143996E7</v>
      </c>
      <c r="D38" s="1" t="s">
        <v>82</v>
      </c>
      <c r="E38" s="3">
        <v>3209.61</v>
      </c>
      <c r="F38" s="4">
        <v>46115.483402777776</v>
      </c>
      <c r="H38" s="3">
        <f t="shared" si="1"/>
        <v>16.04805</v>
      </c>
      <c r="I38" s="1">
        <f t="shared" si="2"/>
        <v>16.05</v>
      </c>
      <c r="J38" s="5" t="s">
        <v>83</v>
      </c>
    </row>
    <row r="39" ht="15.75" customHeight="1">
      <c r="A39" s="1" t="s">
        <v>9</v>
      </c>
      <c r="B39" s="1">
        <v>2.1762524E7</v>
      </c>
      <c r="C39" s="1">
        <v>2.1762524E7</v>
      </c>
      <c r="D39" s="1" t="s">
        <v>84</v>
      </c>
      <c r="E39" s="3">
        <v>695.53</v>
      </c>
      <c r="F39" s="4">
        <v>46115.483402777776</v>
      </c>
      <c r="H39" s="3">
        <f t="shared" si="1"/>
        <v>3.47765</v>
      </c>
      <c r="I39" s="1">
        <f t="shared" si="2"/>
        <v>3.48</v>
      </c>
      <c r="J39" s="5" t="s">
        <v>85</v>
      </c>
    </row>
    <row r="40" ht="15.75" customHeight="1">
      <c r="A40" s="1" t="s">
        <v>9</v>
      </c>
      <c r="B40" s="1">
        <v>2.1733361E7</v>
      </c>
      <c r="C40" s="1">
        <v>2.1733361E7</v>
      </c>
      <c r="D40" s="1" t="s">
        <v>86</v>
      </c>
      <c r="E40" s="3">
        <v>25.39</v>
      </c>
      <c r="F40" s="4">
        <v>46115.483402777776</v>
      </c>
      <c r="H40" s="3">
        <f t="shared" si="1"/>
        <v>0.12695</v>
      </c>
      <c r="I40" s="1">
        <f t="shared" si="2"/>
        <v>0.13</v>
      </c>
      <c r="J40" s="5" t="s">
        <v>87</v>
      </c>
    </row>
    <row r="41" ht="15.75" customHeight="1">
      <c r="A41" s="1" t="s">
        <v>9</v>
      </c>
      <c r="B41" s="1">
        <v>1.9279958E7</v>
      </c>
      <c r="C41" s="1">
        <v>1.9279958E7</v>
      </c>
      <c r="D41" s="1" t="s">
        <v>88</v>
      </c>
      <c r="E41" s="3">
        <v>7984.4</v>
      </c>
      <c r="F41" s="4">
        <v>46115.483402777776</v>
      </c>
      <c r="H41" s="3">
        <f t="shared" si="1"/>
        <v>39.922</v>
      </c>
      <c r="I41" s="1">
        <f t="shared" si="2"/>
        <v>39.92</v>
      </c>
      <c r="J41" s="5" t="s">
        <v>89</v>
      </c>
    </row>
    <row r="42" ht="15.75" customHeight="1">
      <c r="A42" s="1" t="s">
        <v>9</v>
      </c>
      <c r="B42" s="1">
        <v>2158366.0</v>
      </c>
      <c r="C42" s="1">
        <v>2158366.0</v>
      </c>
      <c r="D42" s="1" t="s">
        <v>90</v>
      </c>
      <c r="E42" s="3">
        <v>2288.6</v>
      </c>
      <c r="F42" s="4">
        <v>46115.483402777776</v>
      </c>
      <c r="H42" s="3">
        <f t="shared" si="1"/>
        <v>11.443</v>
      </c>
      <c r="I42" s="1">
        <f t="shared" si="2"/>
        <v>11.44</v>
      </c>
      <c r="J42" s="5" t="s">
        <v>91</v>
      </c>
    </row>
    <row r="43" ht="15.75" customHeight="1">
      <c r="A43" s="1" t="s">
        <v>9</v>
      </c>
      <c r="B43" s="1">
        <v>1.774052E7</v>
      </c>
      <c r="C43" s="1">
        <v>1.774052E7</v>
      </c>
      <c r="D43" s="1" t="s">
        <v>92</v>
      </c>
      <c r="E43" s="3">
        <v>676.09</v>
      </c>
      <c r="F43" s="4">
        <v>46115.483402777776</v>
      </c>
      <c r="H43" s="3">
        <f t="shared" si="1"/>
        <v>3.38045</v>
      </c>
      <c r="I43" s="1">
        <f t="shared" si="2"/>
        <v>3.38</v>
      </c>
      <c r="J43" s="5" t="s">
        <v>93</v>
      </c>
    </row>
    <row r="44" ht="15.75" customHeight="1">
      <c r="A44" s="6" t="s">
        <v>9</v>
      </c>
      <c r="B44" s="6">
        <v>1.3374569E7</v>
      </c>
      <c r="C44" s="6">
        <v>1.3374569E7</v>
      </c>
      <c r="D44" s="6" t="s">
        <v>94</v>
      </c>
      <c r="E44" s="7">
        <v>84.3</v>
      </c>
      <c r="F44" s="8">
        <v>46115.483402777776</v>
      </c>
      <c r="H44" s="3">
        <f t="shared" si="1"/>
        <v>0.4215</v>
      </c>
      <c r="I44" s="1">
        <f t="shared" si="2"/>
        <v>0.42</v>
      </c>
      <c r="J44" s="5" t="s">
        <v>95</v>
      </c>
    </row>
    <row r="45" ht="15.75" customHeight="1">
      <c r="A45" s="1" t="s">
        <v>9</v>
      </c>
      <c r="B45" s="1">
        <v>6634327.0</v>
      </c>
      <c r="C45" s="1">
        <v>6634327.0</v>
      </c>
      <c r="D45" s="1" t="s">
        <v>96</v>
      </c>
      <c r="E45" s="3">
        <v>639.45</v>
      </c>
      <c r="F45" s="4">
        <v>46115.483402777776</v>
      </c>
      <c r="H45" s="3">
        <f t="shared" si="1"/>
        <v>3.19725</v>
      </c>
      <c r="I45" s="1">
        <f t="shared" si="2"/>
        <v>3.2</v>
      </c>
      <c r="J45" s="5" t="s">
        <v>97</v>
      </c>
    </row>
    <row r="46" ht="15.75" customHeight="1">
      <c r="A46" s="1" t="s">
        <v>9</v>
      </c>
      <c r="B46" s="1">
        <v>2.0551344E7</v>
      </c>
      <c r="C46" s="1">
        <v>2.0551344E7</v>
      </c>
      <c r="D46" s="1" t="s">
        <v>98</v>
      </c>
      <c r="E46" s="3">
        <v>185.2</v>
      </c>
      <c r="F46" s="4">
        <v>46115.483402777776</v>
      </c>
      <c r="H46" s="3">
        <f t="shared" si="1"/>
        <v>0.926</v>
      </c>
      <c r="I46" s="1">
        <f t="shared" si="2"/>
        <v>0.93</v>
      </c>
      <c r="J46" s="5" t="s">
        <v>99</v>
      </c>
    </row>
    <row r="47" ht="15.75" customHeight="1">
      <c r="A47" s="1" t="s">
        <v>9</v>
      </c>
      <c r="B47" s="1">
        <v>1.6683808E7</v>
      </c>
      <c r="C47" s="1">
        <v>1.6683808E7</v>
      </c>
      <c r="D47" s="1" t="s">
        <v>100</v>
      </c>
      <c r="E47" s="3">
        <v>2982.2</v>
      </c>
      <c r="F47" s="4">
        <v>46115.483402777776</v>
      </c>
      <c r="H47" s="3">
        <f t="shared" si="1"/>
        <v>14.911</v>
      </c>
      <c r="I47" s="1">
        <f t="shared" si="2"/>
        <v>14.91</v>
      </c>
      <c r="J47" s="5" t="s">
        <v>101</v>
      </c>
    </row>
    <row r="48" ht="15.75" customHeight="1">
      <c r="A48" s="1" t="s">
        <v>9</v>
      </c>
      <c r="B48" s="1">
        <v>2.0212926E7</v>
      </c>
      <c r="C48" s="1">
        <v>2.0212926E7</v>
      </c>
      <c r="D48" s="1" t="s">
        <v>102</v>
      </c>
      <c r="E48" s="3">
        <v>432.55</v>
      </c>
      <c r="F48" s="4">
        <v>46115.483402777776</v>
      </c>
      <c r="H48" s="3">
        <f t="shared" si="1"/>
        <v>2.16275</v>
      </c>
      <c r="I48" s="1">
        <f t="shared" si="2"/>
        <v>2.16</v>
      </c>
      <c r="J48" s="5" t="s">
        <v>103</v>
      </c>
    </row>
    <row r="49" ht="15.75" customHeight="1">
      <c r="A49" s="1" t="s">
        <v>9</v>
      </c>
      <c r="B49" s="1">
        <v>1691804.0</v>
      </c>
      <c r="C49" s="1">
        <v>1.6961804E7</v>
      </c>
      <c r="D49" s="1" t="s">
        <v>104</v>
      </c>
      <c r="E49" s="3">
        <v>100.0</v>
      </c>
      <c r="F49" s="4">
        <v>46115.483402777776</v>
      </c>
      <c r="H49" s="3">
        <f t="shared" si="1"/>
        <v>0.5</v>
      </c>
      <c r="I49" s="1">
        <f t="shared" si="2"/>
        <v>0.5</v>
      </c>
      <c r="J49" s="5" t="s">
        <v>19</v>
      </c>
    </row>
    <row r="50" ht="15.75" customHeight="1">
      <c r="A50" s="1" t="s">
        <v>9</v>
      </c>
      <c r="B50" s="1">
        <v>1.9562245E7</v>
      </c>
      <c r="C50" s="1">
        <v>1.9562245E7</v>
      </c>
      <c r="D50" s="1" t="s">
        <v>105</v>
      </c>
      <c r="E50" s="3">
        <v>60.0</v>
      </c>
      <c r="F50" s="4">
        <v>46115.483402777776</v>
      </c>
      <c r="H50" s="3">
        <f t="shared" si="1"/>
        <v>0.3</v>
      </c>
      <c r="I50" s="1">
        <f t="shared" si="2"/>
        <v>0.3</v>
      </c>
      <c r="J50" s="5" t="s">
        <v>43</v>
      </c>
    </row>
    <row r="51" ht="15.75" customHeight="1">
      <c r="A51" s="1" t="s">
        <v>9</v>
      </c>
      <c r="B51" s="1">
        <v>1.7516272E7</v>
      </c>
      <c r="C51" s="1">
        <v>1.7516272E7</v>
      </c>
      <c r="D51" s="1" t="s">
        <v>106</v>
      </c>
      <c r="E51" s="3">
        <v>626.36</v>
      </c>
      <c r="F51" s="4">
        <v>46115.483402777776</v>
      </c>
      <c r="H51" s="3">
        <f t="shared" si="1"/>
        <v>3.1318</v>
      </c>
      <c r="I51" s="1">
        <f t="shared" si="2"/>
        <v>3.13</v>
      </c>
      <c r="J51" s="5" t="s">
        <v>107</v>
      </c>
    </row>
    <row r="52" ht="15.75" customHeight="1">
      <c r="A52" s="1" t="s">
        <v>9</v>
      </c>
      <c r="B52" s="1">
        <v>2.1421111E7</v>
      </c>
      <c r="C52" s="1">
        <v>2.1421111E7</v>
      </c>
      <c r="D52" s="1" t="s">
        <v>108</v>
      </c>
      <c r="E52" s="3">
        <v>695.03</v>
      </c>
      <c r="F52" s="4">
        <v>46115.483402777776</v>
      </c>
      <c r="H52" s="3">
        <f t="shared" si="1"/>
        <v>3.47515</v>
      </c>
      <c r="I52" s="1">
        <f t="shared" si="2"/>
        <v>3.48</v>
      </c>
      <c r="J52" s="5" t="s">
        <v>109</v>
      </c>
    </row>
    <row r="53" ht="15.75" customHeight="1">
      <c r="A53" s="1" t="s">
        <v>9</v>
      </c>
      <c r="B53" s="1">
        <v>2.1718544E7</v>
      </c>
      <c r="C53" s="1">
        <v>2.1718544E7</v>
      </c>
      <c r="D53" s="1" t="s">
        <v>110</v>
      </c>
      <c r="E53" s="3">
        <v>768.89</v>
      </c>
      <c r="F53" s="4">
        <v>46115.483402777776</v>
      </c>
      <c r="H53" s="3">
        <f t="shared" si="1"/>
        <v>3.84445</v>
      </c>
      <c r="I53" s="1">
        <f t="shared" si="2"/>
        <v>3.84</v>
      </c>
      <c r="J53" s="5" t="s">
        <v>111</v>
      </c>
    </row>
    <row r="54" ht="15.75" customHeight="1">
      <c r="A54" s="1" t="s">
        <v>9</v>
      </c>
      <c r="B54" s="1">
        <v>1.7859093E7</v>
      </c>
      <c r="C54" s="1">
        <v>1.7859093E7</v>
      </c>
      <c r="D54" s="1" t="s">
        <v>112</v>
      </c>
      <c r="E54" s="3">
        <v>638.48</v>
      </c>
      <c r="F54" s="4">
        <v>46115.483402777776</v>
      </c>
      <c r="H54" s="3">
        <f t="shared" si="1"/>
        <v>3.1924</v>
      </c>
      <c r="I54" s="1">
        <f t="shared" si="2"/>
        <v>3.19</v>
      </c>
      <c r="J54" s="5" t="s">
        <v>113</v>
      </c>
    </row>
    <row r="55" ht="15.75" customHeight="1">
      <c r="A55" s="1" t="s">
        <v>9</v>
      </c>
      <c r="B55" s="1">
        <v>2.1777079E7</v>
      </c>
      <c r="C55" s="1">
        <v>2.1777079E7</v>
      </c>
      <c r="D55" s="1" t="s">
        <v>114</v>
      </c>
      <c r="E55" s="3">
        <v>278.9</v>
      </c>
      <c r="F55" s="4">
        <v>46115.483402777776</v>
      </c>
      <c r="H55" s="3">
        <f t="shared" si="1"/>
        <v>1.3945</v>
      </c>
      <c r="I55" s="1">
        <f t="shared" si="2"/>
        <v>1.39</v>
      </c>
      <c r="J55" s="5" t="s">
        <v>115</v>
      </c>
    </row>
    <row r="56" ht="15.75" customHeight="1">
      <c r="A56" s="1" t="s">
        <v>9</v>
      </c>
      <c r="B56" s="1">
        <v>1706194.0</v>
      </c>
      <c r="C56" s="1">
        <v>1706194.0</v>
      </c>
      <c r="D56" s="1" t="s">
        <v>116</v>
      </c>
      <c r="E56" s="3">
        <v>1591.28</v>
      </c>
      <c r="F56" s="4">
        <v>46115.483402777776</v>
      </c>
      <c r="H56" s="3">
        <f t="shared" si="1"/>
        <v>7.9564</v>
      </c>
      <c r="I56" s="1">
        <f t="shared" si="2"/>
        <v>7.96</v>
      </c>
      <c r="J56" s="5" t="s">
        <v>117</v>
      </c>
    </row>
    <row r="57" ht="15.75" customHeight="1">
      <c r="A57" s="1" t="s">
        <v>9</v>
      </c>
      <c r="B57" s="1">
        <v>2.1345012E7</v>
      </c>
      <c r="C57" s="1">
        <v>2.1345012E7</v>
      </c>
      <c r="D57" s="1" t="s">
        <v>118</v>
      </c>
      <c r="E57" s="3">
        <v>64.0</v>
      </c>
      <c r="F57" s="4">
        <v>46115.483402777776</v>
      </c>
      <c r="H57" s="3">
        <f t="shared" si="1"/>
        <v>0.32</v>
      </c>
      <c r="I57" s="1">
        <f t="shared" si="2"/>
        <v>0.32</v>
      </c>
      <c r="J57" s="5" t="s">
        <v>119</v>
      </c>
    </row>
    <row r="58" ht="15.75" customHeight="1">
      <c r="A58" s="1" t="s">
        <v>9</v>
      </c>
      <c r="B58" s="1">
        <v>8812322.0</v>
      </c>
      <c r="C58" s="1">
        <v>8812322.0</v>
      </c>
      <c r="D58" s="1" t="s">
        <v>120</v>
      </c>
      <c r="E58" s="3">
        <v>14510.58</v>
      </c>
      <c r="F58" s="4">
        <v>46115.483402777776</v>
      </c>
      <c r="H58" s="3">
        <f t="shared" si="1"/>
        <v>72.5529</v>
      </c>
      <c r="I58" s="1">
        <f t="shared" si="2"/>
        <v>72.55</v>
      </c>
      <c r="J58" s="5" t="s">
        <v>121</v>
      </c>
    </row>
    <row r="59" ht="15.75" customHeight="1">
      <c r="A59" s="1" t="s">
        <v>9</v>
      </c>
      <c r="B59" s="1">
        <v>1.8828278E7</v>
      </c>
      <c r="C59" s="1">
        <v>1.8828278E7</v>
      </c>
      <c r="D59" s="1" t="s">
        <v>122</v>
      </c>
      <c r="E59" s="3">
        <v>3410.31</v>
      </c>
      <c r="F59" s="4">
        <v>46115.483402777776</v>
      </c>
      <c r="H59" s="3">
        <f t="shared" si="1"/>
        <v>17.05155</v>
      </c>
      <c r="I59" s="1">
        <f t="shared" si="2"/>
        <v>17.05</v>
      </c>
      <c r="J59" s="5" t="s">
        <v>123</v>
      </c>
    </row>
    <row r="60" ht="15.75" customHeight="1">
      <c r="A60" s="1" t="s">
        <v>9</v>
      </c>
      <c r="B60" s="1">
        <v>1.9604656E7</v>
      </c>
      <c r="C60" s="1">
        <v>1.9604656E7</v>
      </c>
      <c r="D60" s="1" t="s">
        <v>124</v>
      </c>
      <c r="E60" s="3">
        <v>100.0</v>
      </c>
      <c r="F60" s="4">
        <v>46115.483402777776</v>
      </c>
      <c r="H60" s="3">
        <f t="shared" si="1"/>
        <v>0.5</v>
      </c>
      <c r="I60" s="1">
        <f t="shared" si="2"/>
        <v>0.5</v>
      </c>
      <c r="J60" s="5" t="s">
        <v>19</v>
      </c>
    </row>
    <row r="61" ht="15.75" customHeight="1">
      <c r="A61" s="1" t="s">
        <v>9</v>
      </c>
      <c r="B61" s="1">
        <v>1.871007E7</v>
      </c>
      <c r="C61" s="1">
        <v>1.871007E7</v>
      </c>
      <c r="D61" s="1" t="s">
        <v>125</v>
      </c>
      <c r="E61" s="3">
        <v>10725.95</v>
      </c>
      <c r="F61" s="4">
        <v>46115.483402777776</v>
      </c>
      <c r="H61" s="3">
        <f t="shared" si="1"/>
        <v>53.62975</v>
      </c>
      <c r="I61" s="1">
        <f t="shared" si="2"/>
        <v>53.63</v>
      </c>
      <c r="J61" s="5" t="s">
        <v>126</v>
      </c>
    </row>
    <row r="62" ht="15.75" customHeight="1">
      <c r="A62" s="1" t="s">
        <v>9</v>
      </c>
      <c r="B62" s="1">
        <v>2.0220688E7</v>
      </c>
      <c r="C62" s="1">
        <v>2.0220688E7</v>
      </c>
      <c r="D62" s="1" t="s">
        <v>127</v>
      </c>
      <c r="E62" s="3">
        <v>9999.68</v>
      </c>
      <c r="F62" s="4">
        <v>46115.483402777776</v>
      </c>
      <c r="H62" s="3">
        <f t="shared" si="1"/>
        <v>49.9984</v>
      </c>
      <c r="I62" s="1">
        <f t="shared" si="2"/>
        <v>50</v>
      </c>
      <c r="J62" s="5" t="s">
        <v>128</v>
      </c>
    </row>
    <row r="63" ht="15.75" customHeight="1">
      <c r="A63" s="1" t="s">
        <v>9</v>
      </c>
      <c r="B63" s="1">
        <v>1.9219478E7</v>
      </c>
      <c r="C63" s="1">
        <v>1.9219478E7</v>
      </c>
      <c r="D63" s="1" t="s">
        <v>129</v>
      </c>
      <c r="E63" s="3">
        <v>1885.92</v>
      </c>
      <c r="F63" s="4">
        <v>46115.483402777776</v>
      </c>
      <c r="H63" s="3">
        <f t="shared" si="1"/>
        <v>9.4296</v>
      </c>
      <c r="I63" s="1">
        <f t="shared" si="2"/>
        <v>9.43</v>
      </c>
      <c r="J63" s="5" t="s">
        <v>130</v>
      </c>
    </row>
    <row r="64" ht="15.75" customHeight="1">
      <c r="A64" s="1" t="s">
        <v>9</v>
      </c>
      <c r="B64" s="1">
        <v>2.0999157E7</v>
      </c>
      <c r="C64" s="1">
        <v>2.0999157E7</v>
      </c>
      <c r="D64" s="1" t="s">
        <v>131</v>
      </c>
      <c r="E64" s="3">
        <v>192.53</v>
      </c>
      <c r="F64" s="4">
        <v>46115.483402777776</v>
      </c>
      <c r="H64" s="3">
        <f t="shared" si="1"/>
        <v>0.96265</v>
      </c>
      <c r="I64" s="1">
        <f t="shared" si="2"/>
        <v>0.96</v>
      </c>
      <c r="J64" s="5" t="s">
        <v>132</v>
      </c>
    </row>
    <row r="65" ht="15.75" customHeight="1">
      <c r="A65" s="1" t="s">
        <v>9</v>
      </c>
      <c r="B65" s="1">
        <v>8244481.0</v>
      </c>
      <c r="C65" s="1">
        <v>8244481.0</v>
      </c>
      <c r="D65" s="1" t="s">
        <v>133</v>
      </c>
      <c r="E65" s="3">
        <v>9935.42</v>
      </c>
      <c r="F65" s="4">
        <v>46115.483402777776</v>
      </c>
      <c r="H65" s="3">
        <f t="shared" si="1"/>
        <v>49.6771</v>
      </c>
      <c r="I65" s="1">
        <f t="shared" si="2"/>
        <v>49.68</v>
      </c>
      <c r="J65" s="5" t="s">
        <v>134</v>
      </c>
    </row>
    <row r="66" ht="15.75" customHeight="1">
      <c r="A66" s="1" t="s">
        <v>9</v>
      </c>
      <c r="B66" s="1">
        <v>1.879474E7</v>
      </c>
      <c r="C66" s="1">
        <v>1.879474E7</v>
      </c>
      <c r="D66" s="1" t="s">
        <v>135</v>
      </c>
      <c r="E66" s="3">
        <v>84.87</v>
      </c>
      <c r="F66" s="4">
        <v>46115.483402777776</v>
      </c>
      <c r="H66" s="3">
        <f t="shared" si="1"/>
        <v>0.42435</v>
      </c>
      <c r="I66" s="1">
        <f t="shared" si="2"/>
        <v>0.42</v>
      </c>
      <c r="J66" s="5" t="s">
        <v>136</v>
      </c>
    </row>
    <row r="67" ht="15.75" customHeight="1">
      <c r="A67" s="1" t="s">
        <v>9</v>
      </c>
      <c r="B67" s="1">
        <v>2.1726248E7</v>
      </c>
      <c r="C67" s="1">
        <v>2.1726248E7</v>
      </c>
      <c r="D67" s="1" t="s">
        <v>137</v>
      </c>
      <c r="E67" s="3">
        <v>16.39</v>
      </c>
      <c r="F67" s="4">
        <v>46115.483402777776</v>
      </c>
      <c r="H67" s="3">
        <f t="shared" si="1"/>
        <v>0.08195</v>
      </c>
      <c r="I67" s="1">
        <f t="shared" si="2"/>
        <v>0.08</v>
      </c>
      <c r="J67" s="5" t="s">
        <v>138</v>
      </c>
    </row>
    <row r="68" ht="15.75" customHeight="1">
      <c r="A68" s="1" t="s">
        <v>9</v>
      </c>
      <c r="B68" s="1">
        <v>8405446.0</v>
      </c>
      <c r="C68" s="1">
        <v>8405446.0</v>
      </c>
      <c r="D68" s="1" t="s">
        <v>139</v>
      </c>
      <c r="E68" s="3">
        <v>1613.94</v>
      </c>
      <c r="F68" s="4">
        <v>46115.483402777776</v>
      </c>
      <c r="H68" s="3">
        <f t="shared" si="1"/>
        <v>8.0697</v>
      </c>
      <c r="I68" s="1">
        <f t="shared" si="2"/>
        <v>8.07</v>
      </c>
      <c r="J68" s="5" t="s">
        <v>140</v>
      </c>
    </row>
    <row r="69" ht="15.75" customHeight="1">
      <c r="A69" s="1" t="s">
        <v>9</v>
      </c>
      <c r="B69" s="1">
        <v>1.6509456E7</v>
      </c>
      <c r="C69" s="1">
        <v>1.6509456E7</v>
      </c>
      <c r="D69" s="1" t="s">
        <v>141</v>
      </c>
      <c r="E69" s="3">
        <v>9747.51</v>
      </c>
      <c r="F69" s="4">
        <v>46115.483402777776</v>
      </c>
      <c r="H69" s="3">
        <f t="shared" si="1"/>
        <v>48.73755</v>
      </c>
      <c r="I69" s="1">
        <f t="shared" si="2"/>
        <v>48.74</v>
      </c>
      <c r="J69" s="5" t="s">
        <v>142</v>
      </c>
    </row>
    <row r="70" ht="15.75" customHeight="1">
      <c r="A70" s="1" t="s">
        <v>9</v>
      </c>
      <c r="B70" s="1">
        <v>2.1648482E7</v>
      </c>
      <c r="C70" s="1">
        <v>2.1648482E7</v>
      </c>
      <c r="D70" s="1" t="s">
        <v>143</v>
      </c>
      <c r="E70" s="3">
        <v>5635.18</v>
      </c>
      <c r="F70" s="4">
        <v>46115.483402777776</v>
      </c>
      <c r="H70" s="3">
        <f t="shared" si="1"/>
        <v>28.1759</v>
      </c>
      <c r="I70" s="1">
        <f t="shared" si="2"/>
        <v>28.18</v>
      </c>
      <c r="J70" s="5" t="s">
        <v>144</v>
      </c>
    </row>
    <row r="71" ht="15.75" customHeight="1">
      <c r="A71" s="1" t="s">
        <v>9</v>
      </c>
      <c r="B71" s="1">
        <v>1.9200754E7</v>
      </c>
      <c r="C71" s="1">
        <v>1.9200754E7</v>
      </c>
      <c r="D71" s="1" t="s">
        <v>145</v>
      </c>
      <c r="E71" s="3">
        <v>9283.85</v>
      </c>
      <c r="F71" s="4">
        <v>46115.483402777776</v>
      </c>
      <c r="H71" s="3">
        <f t="shared" si="1"/>
        <v>46.41925</v>
      </c>
      <c r="I71" s="1">
        <f t="shared" si="2"/>
        <v>46.42</v>
      </c>
      <c r="J71" s="5" t="s">
        <v>146</v>
      </c>
    </row>
    <row r="72" ht="15.75" customHeight="1">
      <c r="A72" s="1" t="s">
        <v>9</v>
      </c>
      <c r="B72" s="1">
        <v>1.6633294E7</v>
      </c>
      <c r="C72" s="1">
        <v>1.6633294E7</v>
      </c>
      <c r="D72" s="1" t="s">
        <v>147</v>
      </c>
      <c r="E72" s="3">
        <v>11840.65</v>
      </c>
      <c r="F72" s="4">
        <v>46115.483402777776</v>
      </c>
      <c r="H72" s="3">
        <f t="shared" si="1"/>
        <v>59.20325</v>
      </c>
      <c r="I72" s="1">
        <f t="shared" si="2"/>
        <v>59.2</v>
      </c>
      <c r="J72" s="5" t="s">
        <v>148</v>
      </c>
    </row>
    <row r="73" ht="15.75" customHeight="1">
      <c r="A73" s="1" t="s">
        <v>9</v>
      </c>
      <c r="B73" s="1">
        <v>7565575.0</v>
      </c>
      <c r="C73" s="1">
        <v>7565575.0</v>
      </c>
      <c r="D73" s="1" t="s">
        <v>149</v>
      </c>
      <c r="E73" s="3">
        <v>1515.43</v>
      </c>
      <c r="F73" s="4">
        <v>46115.483402777776</v>
      </c>
      <c r="H73" s="3">
        <f t="shared" si="1"/>
        <v>7.57715</v>
      </c>
      <c r="I73" s="1">
        <f t="shared" si="2"/>
        <v>7.58</v>
      </c>
      <c r="J73" s="5" t="s">
        <v>150</v>
      </c>
    </row>
    <row r="74" ht="15.75" customHeight="1">
      <c r="A74" s="1" t="s">
        <v>9</v>
      </c>
      <c r="B74" s="1">
        <v>7307857.0</v>
      </c>
      <c r="C74" s="1">
        <v>7307857.0</v>
      </c>
      <c r="D74" s="1" t="s">
        <v>151</v>
      </c>
      <c r="E74" s="3">
        <v>600.11</v>
      </c>
      <c r="F74" s="4">
        <v>46115.483402777776</v>
      </c>
      <c r="H74" s="3">
        <f t="shared" si="1"/>
        <v>3.00055</v>
      </c>
      <c r="I74" s="1">
        <f t="shared" si="2"/>
        <v>3</v>
      </c>
      <c r="J74" s="5" t="s">
        <v>152</v>
      </c>
    </row>
    <row r="75" ht="15.75" customHeight="1">
      <c r="A75" s="1" t="s">
        <v>9</v>
      </c>
      <c r="B75" s="1">
        <v>1.5950276E7</v>
      </c>
      <c r="C75" s="1">
        <v>1.5950276E7</v>
      </c>
      <c r="D75" s="1" t="s">
        <v>153</v>
      </c>
      <c r="E75" s="3">
        <v>1837.62</v>
      </c>
      <c r="F75" s="4">
        <v>46115.483402777776</v>
      </c>
      <c r="H75" s="3">
        <f t="shared" si="1"/>
        <v>9.1881</v>
      </c>
      <c r="I75" s="1">
        <f t="shared" si="2"/>
        <v>9.19</v>
      </c>
      <c r="J75" s="5" t="s">
        <v>154</v>
      </c>
    </row>
    <row r="76" ht="15.75" customHeight="1">
      <c r="A76" s="1" t="s">
        <v>9</v>
      </c>
      <c r="B76" s="1">
        <v>8971826.0</v>
      </c>
      <c r="C76" s="1">
        <v>8971826.0</v>
      </c>
      <c r="D76" s="1" t="s">
        <v>155</v>
      </c>
      <c r="E76" s="3">
        <v>1483.38</v>
      </c>
      <c r="F76" s="4">
        <v>46115.483402777776</v>
      </c>
      <c r="H76" s="3">
        <f t="shared" si="1"/>
        <v>7.4169</v>
      </c>
      <c r="I76" s="1">
        <f t="shared" si="2"/>
        <v>7.42</v>
      </c>
      <c r="J76" s="5" t="s">
        <v>156</v>
      </c>
    </row>
    <row r="77" ht="15.75" customHeight="1">
      <c r="A77" s="1" t="s">
        <v>9</v>
      </c>
      <c r="B77" s="1">
        <v>1.9645587E7</v>
      </c>
      <c r="C77" s="1">
        <v>1.9645587E7</v>
      </c>
      <c r="D77" s="1" t="s">
        <v>157</v>
      </c>
      <c r="E77" s="3">
        <v>7544.56</v>
      </c>
      <c r="F77" s="4">
        <v>46115.483402777776</v>
      </c>
      <c r="H77" s="3">
        <f t="shared" si="1"/>
        <v>37.7228</v>
      </c>
      <c r="I77" s="1">
        <f t="shared" si="2"/>
        <v>37.72</v>
      </c>
      <c r="J77" s="5" t="s">
        <v>158</v>
      </c>
    </row>
    <row r="78" ht="15.75" customHeight="1">
      <c r="A78" s="1" t="s">
        <v>9</v>
      </c>
      <c r="B78" s="1">
        <v>1.7126004E7</v>
      </c>
      <c r="C78" s="1">
        <v>1.7126004E7</v>
      </c>
      <c r="D78" s="1" t="s">
        <v>159</v>
      </c>
      <c r="E78" s="3">
        <v>5165.44</v>
      </c>
      <c r="F78" s="4">
        <v>46115.483402777776</v>
      </c>
      <c r="H78" s="3">
        <f t="shared" si="1"/>
        <v>25.8272</v>
      </c>
      <c r="I78" s="1">
        <f t="shared" si="2"/>
        <v>25.83</v>
      </c>
      <c r="J78" s="5" t="s">
        <v>160</v>
      </c>
    </row>
    <row r="79" ht="15.75" customHeight="1">
      <c r="A79" s="1" t="s">
        <v>9</v>
      </c>
      <c r="B79" s="1">
        <v>1.9481808E7</v>
      </c>
      <c r="C79" s="1">
        <v>1.9481808E7</v>
      </c>
      <c r="D79" s="1" t="s">
        <v>161</v>
      </c>
      <c r="E79" s="3">
        <v>666.79</v>
      </c>
      <c r="F79" s="4">
        <v>46115.483402777776</v>
      </c>
      <c r="H79" s="3">
        <f t="shared" si="1"/>
        <v>3.33395</v>
      </c>
      <c r="I79" s="1">
        <f t="shared" si="2"/>
        <v>3.33</v>
      </c>
      <c r="J79" s="5" t="s">
        <v>162</v>
      </c>
    </row>
    <row r="80" ht="15.75" customHeight="1">
      <c r="A80" s="1" t="s">
        <v>9</v>
      </c>
      <c r="B80" s="1">
        <v>2.1561165E7</v>
      </c>
      <c r="C80" s="1">
        <v>2.1561165E7</v>
      </c>
      <c r="D80" s="1" t="s">
        <v>163</v>
      </c>
      <c r="E80" s="3">
        <v>3165.51</v>
      </c>
      <c r="F80" s="4">
        <v>46115.483402777776</v>
      </c>
      <c r="H80" s="3">
        <f t="shared" si="1"/>
        <v>15.82755</v>
      </c>
      <c r="I80" s="1">
        <f t="shared" si="2"/>
        <v>15.83</v>
      </c>
      <c r="J80" s="5" t="s">
        <v>164</v>
      </c>
    </row>
    <row r="81" ht="15.75" customHeight="1">
      <c r="A81" s="1" t="s">
        <v>9</v>
      </c>
      <c r="B81" s="1">
        <v>2118374.0</v>
      </c>
      <c r="C81" s="1">
        <v>2118374.0</v>
      </c>
      <c r="D81" s="1" t="s">
        <v>165</v>
      </c>
      <c r="E81" s="3">
        <v>214.0</v>
      </c>
      <c r="F81" s="4">
        <v>46115.483402777776</v>
      </c>
      <c r="H81" s="3">
        <f t="shared" si="1"/>
        <v>1.07</v>
      </c>
      <c r="I81" s="1">
        <f t="shared" si="2"/>
        <v>1.07</v>
      </c>
      <c r="J81" s="5" t="s">
        <v>166</v>
      </c>
    </row>
    <row r="82" ht="15.75" customHeight="1">
      <c r="A82" s="1" t="s">
        <v>9</v>
      </c>
      <c r="B82" s="1">
        <v>1.6202925E7</v>
      </c>
      <c r="C82" s="1">
        <v>1.6202925E7</v>
      </c>
      <c r="D82" s="1" t="s">
        <v>167</v>
      </c>
      <c r="E82" s="3">
        <v>3603.55</v>
      </c>
      <c r="F82" s="4">
        <v>46115.483402777776</v>
      </c>
      <c r="H82" s="3">
        <f t="shared" si="1"/>
        <v>18.01775</v>
      </c>
      <c r="I82" s="1">
        <f t="shared" si="2"/>
        <v>18.02</v>
      </c>
      <c r="J82" s="5" t="s">
        <v>168</v>
      </c>
    </row>
    <row r="83" ht="15.75" customHeight="1">
      <c r="A83" s="1" t="s">
        <v>9</v>
      </c>
      <c r="B83" s="1">
        <v>371819.0</v>
      </c>
      <c r="C83" s="1">
        <v>371819.0</v>
      </c>
      <c r="D83" s="1" t="s">
        <v>169</v>
      </c>
      <c r="E83" s="3">
        <v>33532.96</v>
      </c>
      <c r="F83" s="4">
        <v>46115.483402777776</v>
      </c>
      <c r="H83" s="3">
        <f t="shared" si="1"/>
        <v>167.6648</v>
      </c>
      <c r="I83" s="1">
        <f t="shared" si="2"/>
        <v>167.66</v>
      </c>
      <c r="J83" s="5" t="s">
        <v>170</v>
      </c>
    </row>
    <row r="84" ht="15.75" customHeight="1">
      <c r="A84" s="6" t="s">
        <v>9</v>
      </c>
      <c r="B84" s="6">
        <v>8477730.0</v>
      </c>
      <c r="C84" s="6">
        <v>8477730.0</v>
      </c>
      <c r="D84" s="6" t="s">
        <v>171</v>
      </c>
      <c r="E84" s="7">
        <v>267.5</v>
      </c>
      <c r="F84" s="8">
        <v>46115.483402777776</v>
      </c>
      <c r="H84" s="3">
        <f t="shared" si="1"/>
        <v>1.3375</v>
      </c>
      <c r="I84" s="1">
        <f t="shared" si="2"/>
        <v>1.34</v>
      </c>
      <c r="J84" s="5" t="s">
        <v>172</v>
      </c>
    </row>
    <row r="85" ht="15.75" customHeight="1">
      <c r="A85" s="6" t="s">
        <v>9</v>
      </c>
      <c r="B85" s="6">
        <v>1.7418075E7</v>
      </c>
      <c r="C85" s="6">
        <v>1.7418075E7</v>
      </c>
      <c r="D85" s="6" t="s">
        <v>173</v>
      </c>
      <c r="E85" s="7">
        <v>187.25</v>
      </c>
      <c r="F85" s="8">
        <v>46115.483402777776</v>
      </c>
      <c r="H85" s="3">
        <f t="shared" si="1"/>
        <v>0.93625</v>
      </c>
      <c r="I85" s="1">
        <f t="shared" si="2"/>
        <v>0.94</v>
      </c>
      <c r="J85" s="5" t="s">
        <v>174</v>
      </c>
    </row>
    <row r="86" ht="15.75" customHeight="1">
      <c r="A86" s="1" t="s">
        <v>9</v>
      </c>
      <c r="B86" s="1">
        <v>2.1283956E7</v>
      </c>
      <c r="C86" s="1">
        <v>2.1283956E7</v>
      </c>
      <c r="D86" s="1" t="s">
        <v>175</v>
      </c>
      <c r="E86" s="3">
        <v>7122.89</v>
      </c>
      <c r="F86" s="4">
        <v>46115.483402777776</v>
      </c>
      <c r="H86" s="3">
        <f t="shared" si="1"/>
        <v>35.61445</v>
      </c>
      <c r="I86" s="1">
        <f t="shared" si="2"/>
        <v>35.61</v>
      </c>
      <c r="J86" s="5" t="s">
        <v>176</v>
      </c>
    </row>
    <row r="87" ht="15.75" customHeight="1">
      <c r="A87" s="1" t="s">
        <v>9</v>
      </c>
      <c r="B87" s="1">
        <v>2.1744152E7</v>
      </c>
      <c r="C87" s="1">
        <v>2.1744152E7</v>
      </c>
      <c r="D87" s="1" t="s">
        <v>177</v>
      </c>
      <c r="E87" s="3">
        <v>160.55</v>
      </c>
      <c r="F87" s="4">
        <v>46115.483402777776</v>
      </c>
      <c r="H87" s="3">
        <f t="shared" si="1"/>
        <v>0.80275</v>
      </c>
      <c r="I87" s="1">
        <f t="shared" si="2"/>
        <v>0.8</v>
      </c>
      <c r="J87" s="5" t="s">
        <v>178</v>
      </c>
    </row>
    <row r="88" ht="15.75" customHeight="1">
      <c r="A88" s="1" t="s">
        <v>9</v>
      </c>
      <c r="B88" s="1">
        <v>1.8010408E7</v>
      </c>
      <c r="C88" s="1">
        <v>1.8010408E7</v>
      </c>
      <c r="D88" s="1" t="s">
        <v>179</v>
      </c>
      <c r="E88" s="3">
        <v>157.35</v>
      </c>
      <c r="F88" s="4">
        <v>46115.483402777776</v>
      </c>
      <c r="H88" s="3">
        <f t="shared" si="1"/>
        <v>0.78675</v>
      </c>
      <c r="I88" s="1">
        <f t="shared" si="2"/>
        <v>0.79</v>
      </c>
      <c r="J88" s="5" t="s">
        <v>180</v>
      </c>
    </row>
    <row r="89" ht="15.75" customHeight="1">
      <c r="A89" s="1" t="s">
        <v>9</v>
      </c>
      <c r="B89" s="1">
        <v>2.1101146E7</v>
      </c>
      <c r="C89" s="1">
        <v>2.1101146E7</v>
      </c>
      <c r="D89" s="1" t="s">
        <v>181</v>
      </c>
      <c r="E89" s="3">
        <v>1099.35</v>
      </c>
      <c r="F89" s="4">
        <v>46115.483402777776</v>
      </c>
      <c r="H89" s="3">
        <f t="shared" si="1"/>
        <v>5.49675</v>
      </c>
      <c r="I89" s="1">
        <f t="shared" si="2"/>
        <v>5.5</v>
      </c>
      <c r="J89" s="5" t="s">
        <v>182</v>
      </c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2026-04-03T17:00:20Z</dcterms:created>
  <dc:creator>Janki Patel</dc:creator>
</cp:coreProperties>
</file>