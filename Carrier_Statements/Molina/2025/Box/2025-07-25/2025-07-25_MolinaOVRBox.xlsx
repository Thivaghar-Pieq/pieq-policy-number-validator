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Box\07-25-25\"/>
    </mc:Choice>
  </mc:AlternateContent>
  <xr:revisionPtr revIDLastSave="0" documentId="13_ncr:1_{95FBB891-B215-4DDA-9F67-B89875319DDA}" xr6:coauthVersionLast="47" xr6:coauthVersionMax="47" xr10:uidLastSave="{00000000-0000-0000-0000-000000000000}"/>
  <bookViews>
    <workbookView xWindow="28680" yWindow="-120" windowWidth="29040" windowHeight="16440" activeTab="1" xr2:uid="{EA9CF8F0-2D9D-496F-AB81-F372A87144DC}"/>
  </bookViews>
  <sheets>
    <sheet name="Main Line Benefits LLC - Molina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2" i="2"/>
  <c r="I3" i="2"/>
  <c r="I4" i="2"/>
  <c r="I5" i="2"/>
  <c r="I6" i="2"/>
  <c r="I7" i="2"/>
  <c r="I8" i="2"/>
  <c r="I9" i="2"/>
  <c r="I10" i="2"/>
  <c r="I11" i="2"/>
  <c r="I12" i="2"/>
  <c r="I13" i="2"/>
  <c r="I14" i="2"/>
  <c r="I2" i="2"/>
</calcChain>
</file>

<file path=xl/sharedStrings.xml><?xml version="1.0" encoding="utf-8"?>
<sst xmlns="http://schemas.openxmlformats.org/spreadsheetml/2006/main" count="180" uniqueCount="73">
  <si>
    <t>Payee</t>
  </si>
  <si>
    <t>Agent Name</t>
  </si>
  <si>
    <t xml:space="preserve">Agent NPN </t>
  </si>
  <si>
    <t>Comm Month</t>
  </si>
  <si>
    <t>Subcriber First Name</t>
  </si>
  <si>
    <t>Subcriber Last Name</t>
  </si>
  <si>
    <t>Subscriber ID</t>
  </si>
  <si>
    <t>Member Count</t>
  </si>
  <si>
    <t>Original Effective Date</t>
  </si>
  <si>
    <t>Plan</t>
  </si>
  <si>
    <t>Override</t>
  </si>
  <si>
    <t>Bronze 8 v1</t>
  </si>
  <si>
    <t>Main Line Benefits LLC</t>
  </si>
  <si>
    <t>Jason Hoffmann</t>
  </si>
  <si>
    <t>PAUL</t>
  </si>
  <si>
    <t>CIECHELSKI</t>
  </si>
  <si>
    <t>IL-0004926949</t>
  </si>
  <si>
    <t>Silver 8 150</t>
  </si>
  <si>
    <t>Barry Brenner</t>
  </si>
  <si>
    <t>JENNIFER</t>
  </si>
  <si>
    <t>PATTEN</t>
  </si>
  <si>
    <t>FL-0025910922</t>
  </si>
  <si>
    <t>RAUN</t>
  </si>
  <si>
    <t>SUTTON</t>
  </si>
  <si>
    <t>TX-0020687737</t>
  </si>
  <si>
    <t>Silver 12 100 with First 4 Primary Care Visits Free</t>
  </si>
  <si>
    <t>Brittany Oliver</t>
  </si>
  <si>
    <t>LOUIS</t>
  </si>
  <si>
    <t>BUTLER</t>
  </si>
  <si>
    <t>SC-0004234218</t>
  </si>
  <si>
    <t>Silver 12 150</t>
  </si>
  <si>
    <t>Chad Yale</t>
  </si>
  <si>
    <t>ADRIANA</t>
  </si>
  <si>
    <t>WEST</t>
  </si>
  <si>
    <t>SC-0004540919</t>
  </si>
  <si>
    <t>Silver 8 100</t>
  </si>
  <si>
    <t>NICOLE</t>
  </si>
  <si>
    <t>KORECKY</t>
  </si>
  <si>
    <t>Gary Portugal</t>
  </si>
  <si>
    <t>OCTAVIO</t>
  </si>
  <si>
    <t>GOMEZ-SALGADO</t>
  </si>
  <si>
    <t>IL-0004701331</t>
  </si>
  <si>
    <t>Silver 12 100 with First 4 PCP or MH Visits Free</t>
  </si>
  <si>
    <t>Jake Shulman</t>
  </si>
  <si>
    <t>LISA</t>
  </si>
  <si>
    <t>BOWSER</t>
  </si>
  <si>
    <t>WA-470048</t>
  </si>
  <si>
    <t>Constant Care Silver 1 150</t>
  </si>
  <si>
    <t>MICHAEL</t>
  </si>
  <si>
    <t>BELL</t>
  </si>
  <si>
    <t>WA-997377</t>
  </si>
  <si>
    <t>Cascade Bronze</t>
  </si>
  <si>
    <t>James Allen</t>
  </si>
  <si>
    <t>KAREN</t>
  </si>
  <si>
    <t>KASINGER</t>
  </si>
  <si>
    <t>IL-0005115073</t>
  </si>
  <si>
    <t>Silver 8</t>
  </si>
  <si>
    <t>Jared Kinyua</t>
  </si>
  <si>
    <t>MIGUEL</t>
  </si>
  <si>
    <t>BORRES</t>
  </si>
  <si>
    <t>WA-6596098</t>
  </si>
  <si>
    <t>Constant Care Silver 1 100</t>
  </si>
  <si>
    <t>Kirk Tigue</t>
  </si>
  <si>
    <t>ANGIE</t>
  </si>
  <si>
    <t>MAY</t>
  </si>
  <si>
    <t>SC-0003615979</t>
  </si>
  <si>
    <t>Silver 12 100</t>
  </si>
  <si>
    <t>BRIDGET</t>
  </si>
  <si>
    <t>BRACEY</t>
  </si>
  <si>
    <t>SC-0004078870</t>
  </si>
  <si>
    <t>Silver 1 100</t>
  </si>
  <si>
    <t>Total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</si>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</sst>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44" fontId="3" fillId="0" borderId="1" xfId="1" applyFont="1" applyBorder="1"/>
    <xf numFmtId="17" fontId="3" fillId="0" borderId="1" xfId="0" applyNumberFormat="1" applyFont="1" applyBorder="1"/>
    <xf numFmtId="14" fontId="3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FAB7-B7C4-4DA4-9457-D9718444293D}">
  <dimension ref="A1:K15"/>
  <sheetViews>
    <sheetView workbookViewId="0">
      <selection sqref="A1:XFD1048576"/>
    </sheetView>
  </sheetViews>
  <sheetFormatPr defaultRowHeight="15" x14ac:dyDescent="0.25"/>
  <cols>
    <col min="1" max="1" width="30.85546875" customWidth="1"/>
    <col min="2" max="2" width="22.140625" customWidth="1"/>
    <col min="3" max="3" width="10.140625" customWidth="1"/>
    <col min="4" max="4" width="8.5703125" customWidth="1"/>
    <col min="5" max="5" width="21.85546875" customWidth="1"/>
    <col min="6" max="6" width="26.5703125" customWidth="1"/>
    <col min="7" max="7" width="19.42578125" customWidth="1"/>
    <col min="8" max="8" width="8.7109375" customWidth="1"/>
    <col min="9" max="9" width="14.28515625" customWidth="1"/>
    <col min="10" max="10" width="39" customWidth="1"/>
    <col min="11" max="11" width="13.2851562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x14ac:dyDescent="0.25">
      <c r="A2" s="3" t="s">
        <v>12</v>
      </c>
      <c r="B2" s="3" t="s">
        <v>13</v>
      </c>
      <c r="C2" s="3">
        <v>15278437</v>
      </c>
      <c r="D2" s="5">
        <v>45839</v>
      </c>
      <c r="E2" s="3" t="s">
        <v>14</v>
      </c>
      <c r="F2" s="3" t="s">
        <v>15</v>
      </c>
      <c r="G2" s="3" t="s">
        <v>16</v>
      </c>
      <c r="H2" s="3">
        <v>1</v>
      </c>
      <c r="I2" s="6">
        <v>45658</v>
      </c>
      <c r="J2" s="3" t="s">
        <v>17</v>
      </c>
      <c r="K2" s="4">
        <v>3</v>
      </c>
    </row>
    <row r="3" spans="1:11" ht="15.75" x14ac:dyDescent="0.25">
      <c r="A3" s="3" t="s">
        <v>12</v>
      </c>
      <c r="B3" s="3" t="s">
        <v>18</v>
      </c>
      <c r="C3" s="3">
        <v>21348299</v>
      </c>
      <c r="D3" s="5">
        <v>45839</v>
      </c>
      <c r="E3" s="3" t="s">
        <v>19</v>
      </c>
      <c r="F3" s="3" t="s">
        <v>20</v>
      </c>
      <c r="G3" s="3" t="s">
        <v>21</v>
      </c>
      <c r="H3" s="3">
        <v>1</v>
      </c>
      <c r="I3" s="6">
        <v>45809</v>
      </c>
      <c r="J3" s="3" t="s">
        <v>11</v>
      </c>
      <c r="K3" s="4">
        <v>3</v>
      </c>
    </row>
    <row r="4" spans="1:11" ht="15.75" x14ac:dyDescent="0.25">
      <c r="A4" s="3" t="s">
        <v>12</v>
      </c>
      <c r="B4" s="3" t="s">
        <v>18</v>
      </c>
      <c r="C4" s="3">
        <v>21348299</v>
      </c>
      <c r="D4" s="5">
        <v>45839</v>
      </c>
      <c r="E4" s="3" t="s">
        <v>22</v>
      </c>
      <c r="F4" s="3" t="s">
        <v>23</v>
      </c>
      <c r="G4" s="3" t="s">
        <v>24</v>
      </c>
      <c r="H4" s="3">
        <v>1</v>
      </c>
      <c r="I4" s="6">
        <v>45809</v>
      </c>
      <c r="J4" s="3" t="s">
        <v>25</v>
      </c>
      <c r="K4" s="4">
        <v>3</v>
      </c>
    </row>
    <row r="5" spans="1:11" ht="15.75" x14ac:dyDescent="0.25">
      <c r="A5" s="3" t="s">
        <v>12</v>
      </c>
      <c r="B5" s="3" t="s">
        <v>26</v>
      </c>
      <c r="C5" s="3">
        <v>17554531</v>
      </c>
      <c r="D5" s="5">
        <v>45839</v>
      </c>
      <c r="E5" s="3" t="s">
        <v>27</v>
      </c>
      <c r="F5" s="3" t="s">
        <v>28</v>
      </c>
      <c r="G5" s="3" t="s">
        <v>29</v>
      </c>
      <c r="H5" s="3">
        <v>1</v>
      </c>
      <c r="I5" s="6">
        <v>45748</v>
      </c>
      <c r="J5" s="3" t="s">
        <v>30</v>
      </c>
      <c r="K5" s="4">
        <v>3</v>
      </c>
    </row>
    <row r="6" spans="1:11" ht="15.75" x14ac:dyDescent="0.25">
      <c r="A6" s="3" t="s">
        <v>12</v>
      </c>
      <c r="B6" s="3" t="s">
        <v>31</v>
      </c>
      <c r="C6" s="3">
        <v>20003537</v>
      </c>
      <c r="D6" s="5">
        <v>45839</v>
      </c>
      <c r="E6" s="3" t="s">
        <v>32</v>
      </c>
      <c r="F6" s="3" t="s">
        <v>33</v>
      </c>
      <c r="G6" s="3" t="s">
        <v>34</v>
      </c>
      <c r="H6" s="3">
        <v>1</v>
      </c>
      <c r="I6" s="6">
        <v>45809</v>
      </c>
      <c r="J6" s="3" t="s">
        <v>35</v>
      </c>
      <c r="K6" s="4">
        <v>3</v>
      </c>
    </row>
    <row r="7" spans="1:11" ht="15.75" x14ac:dyDescent="0.25">
      <c r="A7" s="3" t="s">
        <v>12</v>
      </c>
      <c r="B7" s="3" t="s">
        <v>31</v>
      </c>
      <c r="C7" s="3">
        <v>20003537</v>
      </c>
      <c r="D7" s="5">
        <v>45839</v>
      </c>
      <c r="E7" s="3" t="s">
        <v>36</v>
      </c>
      <c r="F7" s="3" t="s">
        <v>37</v>
      </c>
      <c r="G7" s="3" t="s">
        <v>34</v>
      </c>
      <c r="H7" s="3">
        <v>1</v>
      </c>
      <c r="I7" s="6">
        <v>45809</v>
      </c>
      <c r="J7" s="3" t="s">
        <v>35</v>
      </c>
      <c r="K7" s="4">
        <v>3</v>
      </c>
    </row>
    <row r="8" spans="1:11" ht="15.75" x14ac:dyDescent="0.25">
      <c r="A8" s="3" t="s">
        <v>12</v>
      </c>
      <c r="B8" s="3" t="s">
        <v>38</v>
      </c>
      <c r="C8" s="3">
        <v>9213293</v>
      </c>
      <c r="D8" s="5">
        <v>45839</v>
      </c>
      <c r="E8" s="3" t="s">
        <v>39</v>
      </c>
      <c r="F8" s="3" t="s">
        <v>40</v>
      </c>
      <c r="G8" s="3" t="s">
        <v>41</v>
      </c>
      <c r="H8" s="3">
        <v>1</v>
      </c>
      <c r="I8" s="6">
        <v>45839</v>
      </c>
      <c r="J8" s="3" t="s">
        <v>42</v>
      </c>
      <c r="K8" s="4">
        <v>3</v>
      </c>
    </row>
    <row r="9" spans="1:11" ht="15.75" x14ac:dyDescent="0.25">
      <c r="A9" s="3" t="s">
        <v>12</v>
      </c>
      <c r="B9" s="3" t="s">
        <v>43</v>
      </c>
      <c r="C9" s="3">
        <v>18201929</v>
      </c>
      <c r="D9" s="5">
        <v>45839</v>
      </c>
      <c r="E9" s="3" t="s">
        <v>44</v>
      </c>
      <c r="F9" s="3" t="s">
        <v>45</v>
      </c>
      <c r="G9" s="3" t="s">
        <v>46</v>
      </c>
      <c r="H9" s="3">
        <v>1</v>
      </c>
      <c r="I9" s="6">
        <v>45809</v>
      </c>
      <c r="J9" s="3" t="s">
        <v>47</v>
      </c>
      <c r="K9" s="4">
        <v>1.75</v>
      </c>
    </row>
    <row r="10" spans="1:11" ht="15.75" x14ac:dyDescent="0.25">
      <c r="A10" s="3" t="s">
        <v>12</v>
      </c>
      <c r="B10" s="3" t="s">
        <v>43</v>
      </c>
      <c r="C10" s="3">
        <v>18201929</v>
      </c>
      <c r="D10" s="5">
        <v>45839</v>
      </c>
      <c r="E10" s="3" t="s">
        <v>48</v>
      </c>
      <c r="F10" s="3" t="s">
        <v>49</v>
      </c>
      <c r="G10" s="3" t="s">
        <v>50</v>
      </c>
      <c r="H10" s="3">
        <v>1</v>
      </c>
      <c r="I10" s="6">
        <v>45839</v>
      </c>
      <c r="J10" s="3" t="s">
        <v>51</v>
      </c>
      <c r="K10" s="4">
        <v>1.75</v>
      </c>
    </row>
    <row r="11" spans="1:11" ht="15.75" x14ac:dyDescent="0.25">
      <c r="A11" s="3" t="s">
        <v>12</v>
      </c>
      <c r="B11" s="3" t="s">
        <v>52</v>
      </c>
      <c r="C11" s="3">
        <v>17143996</v>
      </c>
      <c r="D11" s="5">
        <v>45839</v>
      </c>
      <c r="E11" s="3" t="s">
        <v>53</v>
      </c>
      <c r="F11" s="3" t="s">
        <v>54</v>
      </c>
      <c r="G11" s="3" t="s">
        <v>55</v>
      </c>
      <c r="H11" s="3">
        <v>1</v>
      </c>
      <c r="I11" s="6">
        <v>45839</v>
      </c>
      <c r="J11" s="3" t="s">
        <v>56</v>
      </c>
      <c r="K11" s="4">
        <v>3</v>
      </c>
    </row>
    <row r="12" spans="1:11" ht="15.75" x14ac:dyDescent="0.25">
      <c r="A12" s="3" t="s">
        <v>12</v>
      </c>
      <c r="B12" s="3" t="s">
        <v>57</v>
      </c>
      <c r="C12" s="3">
        <v>19279958</v>
      </c>
      <c r="D12" s="5">
        <v>45839</v>
      </c>
      <c r="E12" s="3" t="s">
        <v>58</v>
      </c>
      <c r="F12" s="3" t="s">
        <v>59</v>
      </c>
      <c r="G12" s="3" t="s">
        <v>60</v>
      </c>
      <c r="H12" s="3">
        <v>1</v>
      </c>
      <c r="I12" s="6">
        <v>45839</v>
      </c>
      <c r="J12" s="3" t="s">
        <v>61</v>
      </c>
      <c r="K12" s="4">
        <v>1.75</v>
      </c>
    </row>
    <row r="13" spans="1:11" ht="15.75" x14ac:dyDescent="0.25">
      <c r="A13" s="3" t="s">
        <v>12</v>
      </c>
      <c r="B13" s="3" t="s">
        <v>62</v>
      </c>
      <c r="C13" s="3">
        <v>21421111</v>
      </c>
      <c r="D13" s="5">
        <v>45839</v>
      </c>
      <c r="E13" s="3" t="s">
        <v>63</v>
      </c>
      <c r="F13" s="3" t="s">
        <v>64</v>
      </c>
      <c r="G13" s="3" t="s">
        <v>65</v>
      </c>
      <c r="H13" s="3">
        <v>1</v>
      </c>
      <c r="I13" s="6">
        <v>45809</v>
      </c>
      <c r="J13" s="3" t="s">
        <v>66</v>
      </c>
      <c r="K13" s="4">
        <v>3</v>
      </c>
    </row>
    <row r="14" spans="1:11" ht="15.75" x14ac:dyDescent="0.25">
      <c r="A14" s="3" t="s">
        <v>12</v>
      </c>
      <c r="B14" s="3" t="s">
        <v>62</v>
      </c>
      <c r="C14" s="3">
        <v>21421111</v>
      </c>
      <c r="D14" s="5">
        <v>45839</v>
      </c>
      <c r="E14" s="3" t="s">
        <v>67</v>
      </c>
      <c r="F14" s="3" t="s">
        <v>68</v>
      </c>
      <c r="G14" s="3" t="s">
        <v>69</v>
      </c>
      <c r="H14" s="3">
        <v>1</v>
      </c>
      <c r="I14" s="6">
        <v>45352</v>
      </c>
      <c r="J14" s="3" t="s">
        <v>70</v>
      </c>
      <c r="K14" s="4">
        <v>3</v>
      </c>
    </row>
    <row r="15" spans="1:11" ht="15.75" x14ac:dyDescent="0.25">
      <c r="A15" s="3" t="s">
        <v>12</v>
      </c>
      <c r="B15" s="3"/>
      <c r="C15" s="3"/>
      <c r="D15" s="3"/>
      <c r="E15" s="3"/>
      <c r="F15" s="3"/>
      <c r="G15" s="3"/>
      <c r="H15" s="3"/>
      <c r="I15" s="3"/>
      <c r="J15" s="3" t="s">
        <v>71</v>
      </c>
      <c r="K15" s="4">
        <v>35.25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004C-B133-4E0B-B252-7D3217DC2EDD}">
  <dimension ref="A1:M14"/>
  <sheetViews>
    <sheetView tabSelected="1" workbookViewId="0">
      <selection activeCell="M2" sqref="M2:M14"/>
    </sheetView>
  </sheetViews>
  <sheetFormatPr defaultRowHeight="15" x14ac:dyDescent="0.25"/>
  <cols>
    <col min="1" max="1" width="30.85546875" customWidth="1"/>
    <col min="2" max="2" width="22.140625" customWidth="1"/>
    <col min="3" max="3" width="10.140625" customWidth="1"/>
    <col min="4" max="4" width="8.5703125" customWidth="1"/>
    <col min="5" max="5" width="21.85546875" customWidth="1"/>
    <col min="6" max="7" width="26.5703125" customWidth="1"/>
    <col min="8" max="9" width="19.42578125" customWidth="1"/>
    <col min="10" max="10" width="8.7109375" customWidth="1"/>
    <col min="11" max="11" width="14.28515625" customWidth="1"/>
    <col min="12" max="12" width="39" customWidth="1"/>
    <col min="13" max="13" width="13.28515625" customWidth="1"/>
  </cols>
  <sheetData>
    <row r="1" spans="1:13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/>
      <c r="J1" s="1" t="s">
        <v>7</v>
      </c>
      <c r="K1" s="1" t="s">
        <v>8</v>
      </c>
      <c r="L1" s="1" t="s">
        <v>9</v>
      </c>
      <c r="M1" s="2" t="s">
        <v>10</v>
      </c>
    </row>
    <row r="2" spans="1:13" ht="15.75" x14ac:dyDescent="0.25">
      <c r="A2" s="3" t="s">
        <v>12</v>
      </c>
      <c r="B2" s="3" t="s">
        <v>72</v>
      </c>
      <c r="C2" s="3">
        <v>20411454</v>
      </c>
      <c r="D2" s="5">
        <v>45839</v>
      </c>
      <c r="E2" s="3" t="s">
        <v>14</v>
      </c>
      <c r="F2" s="3" t="s">
        <v>15</v>
      </c>
      <c r="G2" s="3" t="str">
        <f>CONCATENATE(E2, " ", F2)</f>
        <v>PAUL CIECHELSKI</v>
      </c>
      <c r="H2" s="3" t="s">
        <v>16</v>
      </c>
      <c r="I2" s="3" t="str">
        <f>CONCATENATE(H2,1)</f>
        <v>IL-00049269491</v>
      </c>
      <c r="J2" s="3">
        <v>1</v>
      </c>
      <c r="K2" s="6">
        <v>45658</v>
      </c>
      <c r="L2" s="3" t="s">
        <v>17</v>
      </c>
      <c r="M2" s="4">
        <v>3</v>
      </c>
    </row>
    <row r="3" spans="1:13" ht="15.75" x14ac:dyDescent="0.25">
      <c r="A3" s="3" t="s">
        <v>12</v>
      </c>
      <c r="B3" s="3" t="s">
        <v>72</v>
      </c>
      <c r="C3" s="3">
        <v>20411454</v>
      </c>
      <c r="D3" s="5">
        <v>45839</v>
      </c>
      <c r="E3" s="3" t="s">
        <v>19</v>
      </c>
      <c r="F3" s="3" t="s">
        <v>20</v>
      </c>
      <c r="G3" s="3" t="str">
        <f t="shared" ref="G3:G14" si="0">CONCATENATE(E3, " ", F3)</f>
        <v>JENNIFER PATTEN</v>
      </c>
      <c r="H3" s="3" t="s">
        <v>21</v>
      </c>
      <c r="I3" s="3" t="str">
        <f t="shared" ref="I3:I14" si="1">CONCATENATE(H3,1)</f>
        <v>FL-00259109221</v>
      </c>
      <c r="J3" s="3">
        <v>1</v>
      </c>
      <c r="K3" s="6">
        <v>45809</v>
      </c>
      <c r="L3" s="3" t="s">
        <v>11</v>
      </c>
      <c r="M3" s="4">
        <v>3</v>
      </c>
    </row>
    <row r="4" spans="1:13" ht="15.75" x14ac:dyDescent="0.25">
      <c r="A4" s="3" t="s">
        <v>12</v>
      </c>
      <c r="B4" s="3" t="s">
        <v>72</v>
      </c>
      <c r="C4" s="3">
        <v>20411454</v>
      </c>
      <c r="D4" s="5">
        <v>45839</v>
      </c>
      <c r="E4" s="3" t="s">
        <v>22</v>
      </c>
      <c r="F4" s="3" t="s">
        <v>23</v>
      </c>
      <c r="G4" s="3" t="str">
        <f t="shared" si="0"/>
        <v>RAUN SUTTON</v>
      </c>
      <c r="H4" s="3" t="s">
        <v>24</v>
      </c>
      <c r="I4" s="3" t="str">
        <f t="shared" si="1"/>
        <v>TX-00206877371</v>
      </c>
      <c r="J4" s="3">
        <v>1</v>
      </c>
      <c r="K4" s="6">
        <v>45809</v>
      </c>
      <c r="L4" s="3" t="s">
        <v>25</v>
      </c>
      <c r="M4" s="4">
        <v>3</v>
      </c>
    </row>
    <row r="5" spans="1:13" ht="15.75" x14ac:dyDescent="0.25">
      <c r="A5" s="3" t="s">
        <v>12</v>
      </c>
      <c r="B5" s="3" t="s">
        <v>72</v>
      </c>
      <c r="C5" s="3">
        <v>20411454</v>
      </c>
      <c r="D5" s="5">
        <v>45839</v>
      </c>
      <c r="E5" s="3" t="s">
        <v>27</v>
      </c>
      <c r="F5" s="3" t="s">
        <v>28</v>
      </c>
      <c r="G5" s="3" t="str">
        <f t="shared" si="0"/>
        <v>LOUIS BUTLER</v>
      </c>
      <c r="H5" s="3" t="s">
        <v>29</v>
      </c>
      <c r="I5" s="3" t="str">
        <f t="shared" si="1"/>
        <v>SC-00042342181</v>
      </c>
      <c r="J5" s="3">
        <v>1</v>
      </c>
      <c r="K5" s="6">
        <v>45748</v>
      </c>
      <c r="L5" s="3" t="s">
        <v>30</v>
      </c>
      <c r="M5" s="4">
        <v>3</v>
      </c>
    </row>
    <row r="6" spans="1:13" ht="15.75" x14ac:dyDescent="0.25">
      <c r="A6" s="3" t="s">
        <v>12</v>
      </c>
      <c r="B6" s="3" t="s">
        <v>72</v>
      </c>
      <c r="C6" s="3">
        <v>20411454</v>
      </c>
      <c r="D6" s="5">
        <v>45839</v>
      </c>
      <c r="E6" s="3" t="s">
        <v>32</v>
      </c>
      <c r="F6" s="3" t="s">
        <v>33</v>
      </c>
      <c r="G6" s="3" t="str">
        <f t="shared" si="0"/>
        <v>ADRIANA WEST</v>
      </c>
      <c r="H6" s="3" t="s">
        <v>34</v>
      </c>
      <c r="I6" s="3" t="str">
        <f t="shared" si="1"/>
        <v>SC-00045409191</v>
      </c>
      <c r="J6" s="3">
        <v>1</v>
      </c>
      <c r="K6" s="6">
        <v>45809</v>
      </c>
      <c r="L6" s="3" t="s">
        <v>35</v>
      </c>
      <c r="M6" s="4">
        <v>3</v>
      </c>
    </row>
    <row r="7" spans="1:13" ht="15.75" x14ac:dyDescent="0.25">
      <c r="A7" s="3" t="s">
        <v>12</v>
      </c>
      <c r="B7" s="3" t="s">
        <v>72</v>
      </c>
      <c r="C7" s="3">
        <v>20411454</v>
      </c>
      <c r="D7" s="5">
        <v>45839</v>
      </c>
      <c r="E7" s="3" t="s">
        <v>36</v>
      </c>
      <c r="F7" s="3" t="s">
        <v>37</v>
      </c>
      <c r="G7" s="3" t="str">
        <f t="shared" si="0"/>
        <v>NICOLE KORECKY</v>
      </c>
      <c r="H7" s="3" t="s">
        <v>34</v>
      </c>
      <c r="I7" s="3" t="str">
        <f t="shared" si="1"/>
        <v>SC-00045409191</v>
      </c>
      <c r="J7" s="3">
        <v>1</v>
      </c>
      <c r="K7" s="6">
        <v>45809</v>
      </c>
      <c r="L7" s="3" t="s">
        <v>35</v>
      </c>
      <c r="M7" s="4">
        <v>3</v>
      </c>
    </row>
    <row r="8" spans="1:13" ht="15.75" x14ac:dyDescent="0.25">
      <c r="A8" s="3" t="s">
        <v>12</v>
      </c>
      <c r="B8" s="3" t="s">
        <v>72</v>
      </c>
      <c r="C8" s="3">
        <v>20411454</v>
      </c>
      <c r="D8" s="5">
        <v>45839</v>
      </c>
      <c r="E8" s="3" t="s">
        <v>39</v>
      </c>
      <c r="F8" s="3" t="s">
        <v>40</v>
      </c>
      <c r="G8" s="3" t="str">
        <f t="shared" si="0"/>
        <v>OCTAVIO GOMEZ-SALGADO</v>
      </c>
      <c r="H8" s="3" t="s">
        <v>41</v>
      </c>
      <c r="I8" s="3" t="str">
        <f t="shared" si="1"/>
        <v>IL-00047013311</v>
      </c>
      <c r="J8" s="3">
        <v>1</v>
      </c>
      <c r="K8" s="6">
        <v>45839</v>
      </c>
      <c r="L8" s="3" t="s">
        <v>42</v>
      </c>
      <c r="M8" s="4">
        <v>3</v>
      </c>
    </row>
    <row r="9" spans="1:13" ht="15.75" x14ac:dyDescent="0.25">
      <c r="A9" s="3" t="s">
        <v>12</v>
      </c>
      <c r="B9" s="3" t="s">
        <v>72</v>
      </c>
      <c r="C9" s="3">
        <v>20411454</v>
      </c>
      <c r="D9" s="5">
        <v>45839</v>
      </c>
      <c r="E9" s="3" t="s">
        <v>44</v>
      </c>
      <c r="F9" s="3" t="s">
        <v>45</v>
      </c>
      <c r="G9" s="3" t="str">
        <f t="shared" si="0"/>
        <v>LISA BOWSER</v>
      </c>
      <c r="H9" s="3" t="s">
        <v>46</v>
      </c>
      <c r="I9" s="3" t="str">
        <f t="shared" si="1"/>
        <v>WA-4700481</v>
      </c>
      <c r="J9" s="3">
        <v>1</v>
      </c>
      <c r="K9" s="6">
        <v>45809</v>
      </c>
      <c r="L9" s="3" t="s">
        <v>47</v>
      </c>
      <c r="M9" s="4">
        <v>1.75</v>
      </c>
    </row>
    <row r="10" spans="1:13" ht="15.75" x14ac:dyDescent="0.25">
      <c r="A10" s="3" t="s">
        <v>12</v>
      </c>
      <c r="B10" s="3" t="s">
        <v>72</v>
      </c>
      <c r="C10" s="3">
        <v>20411454</v>
      </c>
      <c r="D10" s="5">
        <v>45839</v>
      </c>
      <c r="E10" s="3" t="s">
        <v>48</v>
      </c>
      <c r="F10" s="3" t="s">
        <v>49</v>
      </c>
      <c r="G10" s="3" t="str">
        <f t="shared" si="0"/>
        <v>MICHAEL BELL</v>
      </c>
      <c r="H10" s="3" t="s">
        <v>50</v>
      </c>
      <c r="I10" s="3" t="str">
        <f t="shared" si="1"/>
        <v>WA-9973771</v>
      </c>
      <c r="J10" s="3">
        <v>1</v>
      </c>
      <c r="K10" s="6">
        <v>45839</v>
      </c>
      <c r="L10" s="3" t="s">
        <v>51</v>
      </c>
      <c r="M10" s="4">
        <v>1.75</v>
      </c>
    </row>
    <row r="11" spans="1:13" ht="15.75" x14ac:dyDescent="0.25">
      <c r="A11" s="3" t="s">
        <v>12</v>
      </c>
      <c r="B11" s="3" t="s">
        <v>72</v>
      </c>
      <c r="C11" s="3">
        <v>20411454</v>
      </c>
      <c r="D11" s="5">
        <v>45839</v>
      </c>
      <c r="E11" s="3" t="s">
        <v>53</v>
      </c>
      <c r="F11" s="3" t="s">
        <v>54</v>
      </c>
      <c r="G11" s="3" t="str">
        <f t="shared" si="0"/>
        <v>KAREN KASINGER</v>
      </c>
      <c r="H11" s="3" t="s">
        <v>55</v>
      </c>
      <c r="I11" s="3" t="str">
        <f t="shared" si="1"/>
        <v>IL-00051150731</v>
      </c>
      <c r="J11" s="3">
        <v>1</v>
      </c>
      <c r="K11" s="6">
        <v>45839</v>
      </c>
      <c r="L11" s="3" t="s">
        <v>56</v>
      </c>
      <c r="M11" s="4">
        <v>3</v>
      </c>
    </row>
    <row r="12" spans="1:13" ht="15.75" x14ac:dyDescent="0.25">
      <c r="A12" s="3" t="s">
        <v>12</v>
      </c>
      <c r="B12" s="3" t="s">
        <v>72</v>
      </c>
      <c r="C12" s="3">
        <v>20411454</v>
      </c>
      <c r="D12" s="5">
        <v>45839</v>
      </c>
      <c r="E12" s="3" t="s">
        <v>58</v>
      </c>
      <c r="F12" s="3" t="s">
        <v>59</v>
      </c>
      <c r="G12" s="3" t="str">
        <f t="shared" si="0"/>
        <v>MIGUEL BORRES</v>
      </c>
      <c r="H12" s="3" t="s">
        <v>60</v>
      </c>
      <c r="I12" s="3" t="str">
        <f t="shared" si="1"/>
        <v>WA-65960981</v>
      </c>
      <c r="J12" s="3">
        <v>1</v>
      </c>
      <c r="K12" s="6">
        <v>45839</v>
      </c>
      <c r="L12" s="3" t="s">
        <v>61</v>
      </c>
      <c r="M12" s="4">
        <v>1.75</v>
      </c>
    </row>
    <row r="13" spans="1:13" ht="15.75" x14ac:dyDescent="0.25">
      <c r="A13" s="3" t="s">
        <v>12</v>
      </c>
      <c r="B13" s="3" t="s">
        <v>72</v>
      </c>
      <c r="C13" s="3">
        <v>20411454</v>
      </c>
      <c r="D13" s="5">
        <v>45839</v>
      </c>
      <c r="E13" s="3" t="s">
        <v>63</v>
      </c>
      <c r="F13" s="3" t="s">
        <v>64</v>
      </c>
      <c r="G13" s="3" t="str">
        <f t="shared" si="0"/>
        <v>ANGIE MAY</v>
      </c>
      <c r="H13" s="3" t="s">
        <v>65</v>
      </c>
      <c r="I13" s="3" t="str">
        <f t="shared" si="1"/>
        <v>SC-00036159791</v>
      </c>
      <c r="J13" s="3">
        <v>1</v>
      </c>
      <c r="K13" s="6">
        <v>45809</v>
      </c>
      <c r="L13" s="3" t="s">
        <v>66</v>
      </c>
      <c r="M13" s="4">
        <v>3</v>
      </c>
    </row>
    <row r="14" spans="1:13" ht="15.75" x14ac:dyDescent="0.25">
      <c r="A14" s="3" t="s">
        <v>12</v>
      </c>
      <c r="B14" s="3" t="s">
        <v>72</v>
      </c>
      <c r="C14" s="3">
        <v>20411454</v>
      </c>
      <c r="D14" s="5">
        <v>45839</v>
      </c>
      <c r="E14" s="3" t="s">
        <v>67</v>
      </c>
      <c r="F14" s="3" t="s">
        <v>68</v>
      </c>
      <c r="G14" s="3" t="str">
        <f t="shared" si="0"/>
        <v>BRIDGET BRACEY</v>
      </c>
      <c r="H14" s="3" t="s">
        <v>69</v>
      </c>
      <c r="I14" s="3" t="str">
        <f t="shared" si="1"/>
        <v>SC-00040788701</v>
      </c>
      <c r="J14" s="3">
        <v>1</v>
      </c>
      <c r="K14" s="6">
        <v>45352</v>
      </c>
      <c r="L14" s="3" t="s">
        <v>70</v>
      </c>
      <c r="M14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Molina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Loula Irene Cabel</cp:lastModifiedBy>
  <dcterms:created xsi:type="dcterms:W3CDTF">2025-08-04T14:04:49Z</dcterms:created>
  <dcterms:modified xsi:type="dcterms:W3CDTF">2025-08-12T19:46:55Z</dcterms:modified>
</cp:coreProperties>
</file>