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7-25-25\"/>
    </mc:Choice>
  </mc:AlternateContent>
  <xr:revisionPtr revIDLastSave="0" documentId="13_ncr:1_{9846EAF9-185F-4521-A359-DB6CFD8BCED5}" xr6:coauthVersionLast="47" xr6:coauthVersionMax="47" xr10:uidLastSave="{00000000-0000-0000-0000-000000000000}"/>
  <bookViews>
    <workbookView xWindow="28680" yWindow="-120" windowWidth="29040" windowHeight="16440" activeTab="1" xr2:uid="{6FA3B6E2-18EC-4677-99C2-5C3A54C35F3B}"/>
  </bookViews>
  <sheets>
    <sheet name="Main Line Benefits LLC - Molina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F5" i="2"/>
  <c r="F6" i="2"/>
  <c r="F10" i="2"/>
  <c r="F11" i="2"/>
  <c r="F12" i="2"/>
  <c r="F14" i="2"/>
  <c r="F8" i="2"/>
  <c r="F9" i="2"/>
  <c r="F13" i="2"/>
  <c r="F7" i="2"/>
  <c r="F2" i="2"/>
  <c r="F3" i="2"/>
  <c r="H4" i="2"/>
  <c r="H5" i="2"/>
  <c r="H6" i="2"/>
  <c r="H10" i="2"/>
  <c r="H11" i="2"/>
  <c r="H12" i="2"/>
  <c r="H14" i="2"/>
  <c r="H8" i="2"/>
  <c r="H9" i="2"/>
  <c r="H13" i="2"/>
  <c r="H7" i="2"/>
  <c r="H2" i="2"/>
  <c r="H3" i="2"/>
</calcChain>
</file>

<file path=xl/sharedStrings.xml><?xml version="1.0" encoding="utf-8"?>
<sst xmlns="http://schemas.openxmlformats.org/spreadsheetml/2006/main" count="179" uniqueCount="76">
  <si>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</si>
  <si>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</si>
  <si>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</si>
  <si>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</si>
  <si>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</si>
  <si>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</si>
  <si>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</si>
  <si>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</si>
  <si>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</si>
  <si>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</si>
  <si>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Commission Payment</t>
  </si>
  <si>
    <t>Silver 1 100</t>
  </si>
  <si>
    <t>Main Line Benefits LLC</t>
  </si>
  <si>
    <t>Barry Brenner</t>
  </si>
  <si>
    <t>RAUN</t>
  </si>
  <si>
    <t>SUTTON</t>
  </si>
  <si>
    <t>TX-0020687737</t>
  </si>
  <si>
    <t>Silver 12 100 with First 4 Primary Care Visits Free</t>
  </si>
  <si>
    <t>JENNIFER</t>
  </si>
  <si>
    <t>PATTEN</t>
  </si>
  <si>
    <t>FL-0025910922</t>
  </si>
  <si>
    <t>Bronze 8 v1</t>
  </si>
  <si>
    <t>Brittany Oliver</t>
  </si>
  <si>
    <t>LOUIS</t>
  </si>
  <si>
    <t>BUTLER</t>
  </si>
  <si>
    <t>SC-0004234218</t>
  </si>
  <si>
    <t>Silver 12 150</t>
  </si>
  <si>
    <t>Chad Yale</t>
  </si>
  <si>
    <t>ADRIANA</t>
  </si>
  <si>
    <t>WEST</t>
  </si>
  <si>
    <t>SC-0004540919</t>
  </si>
  <si>
    <t>Silver 8 100</t>
  </si>
  <si>
    <t>NICOLE</t>
  </si>
  <si>
    <t>KORECKY</t>
  </si>
  <si>
    <t>Jason Hoffmann</t>
  </si>
  <si>
    <t>PAUL</t>
  </si>
  <si>
    <t>CIECHELSKI</t>
  </si>
  <si>
    <t>IL-0004926949</t>
  </si>
  <si>
    <t>Silver 8 150</t>
  </si>
  <si>
    <t>Kirk Tigue</t>
  </si>
  <si>
    <t>ANGIE</t>
  </si>
  <si>
    <t>MAY</t>
  </si>
  <si>
    <t>SC-0003615979</t>
  </si>
  <si>
    <t>Silver 12 100</t>
  </si>
  <si>
    <t>BRIDGET</t>
  </si>
  <si>
    <t>BRACEY</t>
  </si>
  <si>
    <t>SC-0004078870</t>
  </si>
  <si>
    <t>Gary Portugal</t>
  </si>
  <si>
    <t>OCTAVIO</t>
  </si>
  <si>
    <t>GOMEZ-SALGADO</t>
  </si>
  <si>
    <t>IL-0004701331</t>
  </si>
  <si>
    <t>Silver 12 100 with First 4 PCP or MH Visits Free</t>
  </si>
  <si>
    <t>Jake Shulman</t>
  </si>
  <si>
    <t>LISA</t>
  </si>
  <si>
    <t>BOWSER</t>
  </si>
  <si>
    <t>WA-470048</t>
  </si>
  <si>
    <t>Constant Care Silver 1 150</t>
  </si>
  <si>
    <t>MICHAEL</t>
  </si>
  <si>
    <t>BELL</t>
  </si>
  <si>
    <t>WA-997377</t>
  </si>
  <si>
    <t>Cascade Bronze</t>
  </si>
  <si>
    <t>James Allen</t>
  </si>
  <si>
    <t>KAREN</t>
  </si>
  <si>
    <t>KASINGER</t>
  </si>
  <si>
    <t>IL-0005115073</t>
  </si>
  <si>
    <t>Silver 8</t>
  </si>
  <si>
    <t>Jared Kinyua</t>
  </si>
  <si>
    <t>MIGUEL</t>
  </si>
  <si>
    <t>BORRES</t>
  </si>
  <si>
    <t>WA-6596098</t>
  </si>
  <si>
    <t>Constant Care Silver 1 100</t>
  </si>
  <si>
    <t>Total</t>
  </si>
  <si>
    <t>Molina - WA</t>
  </si>
  <si>
    <t>Molina 2025 IL, SC, TX</t>
  </si>
  <si>
    <t>Molina - FL 2025</t>
  </si>
  <si>
    <t>SC-0004540919A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</si>
</sst>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44" fontId="3" fillId="0" borderId="1" xfId="1" applyFont="1" applyBorder="1"/>
    <xf numFmtId="17" fontId="3" fillId="0" borderId="1" xfId="0" applyNumberFormat="1" applyFont="1" applyBorder="1"/>
    <xf numFmtId="14" fontId="3" fillId="0" borderId="1" xfId="0" applyNumberFormat="1" applyFont="1" applyBorder="1"/>
    <xf numFmtId="0" fontId="3" fillId="3" borderId="1" xfId="0" applyFont="1" applyFill="1" applyBorder="1"/>
    <xf numFmtId="17" fontId="3" fillId="3" borderId="1" xfId="0" applyNumberFormat="1" applyFont="1" applyFill="1" applyBorder="1"/>
    <xf numFmtId="14" fontId="3" fillId="3" borderId="1" xfId="0" applyNumberFormat="1" applyFont="1" applyFill="1" applyBorder="1"/>
    <xf numFmtId="44" fontId="3" fillId="3" borderId="1" xfId="1" applyFont="1" applyFill="1" applyBorder="1"/>
    <xf numFmtId="0" fontId="0" fillId="3" borderId="0" xfId="0" applyFill="1"/>
    <xf numFmtId="0" fontId="3" fillId="0" borderId="0" xfId="0" applyFont="1" applyFill="1" applyBorder="1"/>
  </cellXfs>
  <cellStyles count="2">
    <cellStyle name="Currency" xfId="1" builtinId="4"/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2748-DFA7-43E2-8DF3-B12AB9BBCB48}">
  <dimension ref="A1:K15"/>
  <sheetViews>
    <sheetView workbookViewId="0">
      <selection sqref="A1:XFD1048576"/>
    </sheetView>
  </sheetViews>
  <sheetFormatPr defaultRowHeight="15" x14ac:dyDescent="0.25"/>
  <cols>
    <col min="1" max="1" width="30.28515625" customWidth="1"/>
    <col min="2" max="2" width="32.7109375" customWidth="1"/>
    <col min="3" max="3" width="10.140625" customWidth="1"/>
    <col min="4" max="4" width="19.28515625" customWidth="1"/>
    <col min="5" max="5" width="21.85546875" customWidth="1"/>
    <col min="6" max="6" width="26.5703125" customWidth="1"/>
    <col min="7" max="7" width="19.42578125" customWidth="1"/>
    <col min="8" max="8" width="14.85546875" customWidth="1"/>
    <col min="9" max="9" width="22" customWidth="1"/>
    <col min="10" max="10" width="27.42578125" customWidth="1"/>
    <col min="11" max="11" width="13.855468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12</v>
      </c>
      <c r="B2" s="3" t="s">
        <v>13</v>
      </c>
      <c r="C2" s="3">
        <v>21348299</v>
      </c>
      <c r="D2" s="5">
        <v>45839</v>
      </c>
      <c r="E2" s="3" t="s">
        <v>14</v>
      </c>
      <c r="F2" s="3" t="s">
        <v>15</v>
      </c>
      <c r="G2" s="3" t="s">
        <v>16</v>
      </c>
      <c r="H2" s="3">
        <v>1</v>
      </c>
      <c r="I2" s="6">
        <v>45809</v>
      </c>
      <c r="J2" s="3" t="s">
        <v>17</v>
      </c>
      <c r="K2" s="4">
        <v>25</v>
      </c>
    </row>
    <row r="3" spans="1:11" ht="15.75" x14ac:dyDescent="0.25">
      <c r="A3" s="3" t="s">
        <v>12</v>
      </c>
      <c r="B3" s="3" t="s">
        <v>13</v>
      </c>
      <c r="C3" s="3">
        <v>21348299</v>
      </c>
      <c r="D3" s="5">
        <v>45839</v>
      </c>
      <c r="E3" s="3" t="s">
        <v>18</v>
      </c>
      <c r="F3" s="3" t="s">
        <v>19</v>
      </c>
      <c r="G3" s="3" t="s">
        <v>20</v>
      </c>
      <c r="H3" s="3">
        <v>1</v>
      </c>
      <c r="I3" s="6">
        <v>45809</v>
      </c>
      <c r="J3" s="3" t="s">
        <v>21</v>
      </c>
      <c r="K3" s="4">
        <v>27</v>
      </c>
    </row>
    <row r="4" spans="1:11" ht="15.75" x14ac:dyDescent="0.25">
      <c r="A4" s="3" t="s">
        <v>12</v>
      </c>
      <c r="B4" s="3" t="s">
        <v>22</v>
      </c>
      <c r="C4" s="3">
        <v>17554531</v>
      </c>
      <c r="D4" s="5">
        <v>45839</v>
      </c>
      <c r="E4" s="3" t="s">
        <v>23</v>
      </c>
      <c r="F4" s="3" t="s">
        <v>24</v>
      </c>
      <c r="G4" s="3" t="s">
        <v>25</v>
      </c>
      <c r="H4" s="3">
        <v>1</v>
      </c>
      <c r="I4" s="6">
        <v>45748</v>
      </c>
      <c r="J4" s="3" t="s">
        <v>26</v>
      </c>
      <c r="K4" s="4">
        <v>25</v>
      </c>
    </row>
    <row r="5" spans="1:11" ht="15.75" x14ac:dyDescent="0.25">
      <c r="A5" s="3" t="s">
        <v>12</v>
      </c>
      <c r="B5" s="3" t="s">
        <v>27</v>
      </c>
      <c r="C5" s="3">
        <v>20003537</v>
      </c>
      <c r="D5" s="5">
        <v>45839</v>
      </c>
      <c r="E5" s="3" t="s">
        <v>28</v>
      </c>
      <c r="F5" s="3" t="s">
        <v>29</v>
      </c>
      <c r="G5" s="3" t="s">
        <v>30</v>
      </c>
      <c r="H5" s="3">
        <v>1</v>
      </c>
      <c r="I5" s="6">
        <v>45809</v>
      </c>
      <c r="J5" s="3" t="s">
        <v>31</v>
      </c>
      <c r="K5" s="4">
        <v>25</v>
      </c>
    </row>
    <row r="6" spans="1:11" ht="15.75" x14ac:dyDescent="0.25">
      <c r="A6" s="3" t="s">
        <v>12</v>
      </c>
      <c r="B6" s="3" t="s">
        <v>27</v>
      </c>
      <c r="C6" s="3">
        <v>20003537</v>
      </c>
      <c r="D6" s="5">
        <v>45839</v>
      </c>
      <c r="E6" s="3" t="s">
        <v>32</v>
      </c>
      <c r="F6" s="3" t="s">
        <v>33</v>
      </c>
      <c r="G6" s="3" t="s">
        <v>30</v>
      </c>
      <c r="H6" s="3">
        <v>1</v>
      </c>
      <c r="I6" s="6">
        <v>45809</v>
      </c>
      <c r="J6" s="3" t="s">
        <v>31</v>
      </c>
      <c r="K6" s="4">
        <v>25</v>
      </c>
    </row>
    <row r="7" spans="1:11" ht="15.75" x14ac:dyDescent="0.25">
      <c r="A7" s="3" t="s">
        <v>12</v>
      </c>
      <c r="B7" s="3" t="s">
        <v>34</v>
      </c>
      <c r="C7" s="3">
        <v>15278437</v>
      </c>
      <c r="D7" s="5">
        <v>45839</v>
      </c>
      <c r="E7" s="3" t="s">
        <v>35</v>
      </c>
      <c r="F7" s="3" t="s">
        <v>36</v>
      </c>
      <c r="G7" s="3" t="s">
        <v>37</v>
      </c>
      <c r="H7" s="3">
        <v>1</v>
      </c>
      <c r="I7" s="6">
        <v>45658</v>
      </c>
      <c r="J7" s="3" t="s">
        <v>38</v>
      </c>
      <c r="K7" s="4">
        <v>25</v>
      </c>
    </row>
    <row r="8" spans="1:11" ht="15.75" x14ac:dyDescent="0.25">
      <c r="A8" s="3" t="s">
        <v>12</v>
      </c>
      <c r="B8" s="3" t="s">
        <v>39</v>
      </c>
      <c r="C8" s="3">
        <v>21421111</v>
      </c>
      <c r="D8" s="5">
        <v>45839</v>
      </c>
      <c r="E8" s="3" t="s">
        <v>40</v>
      </c>
      <c r="F8" s="3" t="s">
        <v>41</v>
      </c>
      <c r="G8" s="3" t="s">
        <v>42</v>
      </c>
      <c r="H8" s="3">
        <v>1</v>
      </c>
      <c r="I8" s="6">
        <v>45809</v>
      </c>
      <c r="J8" s="3" t="s">
        <v>43</v>
      </c>
      <c r="K8" s="4">
        <v>25</v>
      </c>
    </row>
    <row r="9" spans="1:11" ht="15.75" x14ac:dyDescent="0.25">
      <c r="A9" s="3" t="s">
        <v>12</v>
      </c>
      <c r="B9" s="3" t="s">
        <v>39</v>
      </c>
      <c r="C9" s="3">
        <v>21421111</v>
      </c>
      <c r="D9" s="5">
        <v>45839</v>
      </c>
      <c r="E9" s="3" t="s">
        <v>44</v>
      </c>
      <c r="F9" s="3" t="s">
        <v>45</v>
      </c>
      <c r="G9" s="3" t="s">
        <v>46</v>
      </c>
      <c r="H9" s="3">
        <v>1</v>
      </c>
      <c r="I9" s="6">
        <v>45352</v>
      </c>
      <c r="J9" s="3" t="s">
        <v>11</v>
      </c>
      <c r="K9" s="4">
        <v>25</v>
      </c>
    </row>
    <row r="10" spans="1:11" ht="15.75" x14ac:dyDescent="0.25">
      <c r="A10" s="3" t="s">
        <v>12</v>
      </c>
      <c r="B10" s="3" t="s">
        <v>47</v>
      </c>
      <c r="C10" s="3">
        <v>9213293</v>
      </c>
      <c r="D10" s="5">
        <v>45839</v>
      </c>
      <c r="E10" s="3" t="s">
        <v>48</v>
      </c>
      <c r="F10" s="3" t="s">
        <v>49</v>
      </c>
      <c r="G10" s="3" t="s">
        <v>50</v>
      </c>
      <c r="H10" s="3">
        <v>1</v>
      </c>
      <c r="I10" s="6">
        <v>45839</v>
      </c>
      <c r="J10" s="3" t="s">
        <v>51</v>
      </c>
      <c r="K10" s="4">
        <v>25</v>
      </c>
    </row>
    <row r="11" spans="1:11" ht="15.75" x14ac:dyDescent="0.25">
      <c r="A11" s="3" t="s">
        <v>12</v>
      </c>
      <c r="B11" s="3" t="s">
        <v>52</v>
      </c>
      <c r="C11" s="3">
        <v>18201929</v>
      </c>
      <c r="D11" s="5">
        <v>45839</v>
      </c>
      <c r="E11" s="3" t="s">
        <v>53</v>
      </c>
      <c r="F11" s="3" t="s">
        <v>54</v>
      </c>
      <c r="G11" s="3" t="s">
        <v>55</v>
      </c>
      <c r="H11" s="3">
        <v>1</v>
      </c>
      <c r="I11" s="6">
        <v>45809</v>
      </c>
      <c r="J11" s="3" t="s">
        <v>56</v>
      </c>
      <c r="K11" s="4">
        <v>15</v>
      </c>
    </row>
    <row r="12" spans="1:11" ht="15.75" x14ac:dyDescent="0.25">
      <c r="A12" s="3" t="s">
        <v>12</v>
      </c>
      <c r="B12" s="3" t="s">
        <v>52</v>
      </c>
      <c r="C12" s="3">
        <v>18201929</v>
      </c>
      <c r="D12" s="5">
        <v>45839</v>
      </c>
      <c r="E12" s="3" t="s">
        <v>57</v>
      </c>
      <c r="F12" s="3" t="s">
        <v>58</v>
      </c>
      <c r="G12" s="3" t="s">
        <v>59</v>
      </c>
      <c r="H12" s="3">
        <v>1</v>
      </c>
      <c r="I12" s="6">
        <v>45839</v>
      </c>
      <c r="J12" s="3" t="s">
        <v>60</v>
      </c>
      <c r="K12" s="4">
        <v>15</v>
      </c>
    </row>
    <row r="13" spans="1:11" ht="15.75" x14ac:dyDescent="0.25">
      <c r="A13" s="3" t="s">
        <v>12</v>
      </c>
      <c r="B13" s="3" t="s">
        <v>61</v>
      </c>
      <c r="C13" s="3">
        <v>17143996</v>
      </c>
      <c r="D13" s="5">
        <v>45839</v>
      </c>
      <c r="E13" s="3" t="s">
        <v>62</v>
      </c>
      <c r="F13" s="3" t="s">
        <v>63</v>
      </c>
      <c r="G13" s="3" t="s">
        <v>64</v>
      </c>
      <c r="H13" s="3">
        <v>1</v>
      </c>
      <c r="I13" s="6">
        <v>45839</v>
      </c>
      <c r="J13" s="3" t="s">
        <v>65</v>
      </c>
      <c r="K13" s="4">
        <v>25</v>
      </c>
    </row>
    <row r="14" spans="1:11" ht="15.75" x14ac:dyDescent="0.25">
      <c r="A14" s="3" t="s">
        <v>12</v>
      </c>
      <c r="B14" s="3" t="s">
        <v>66</v>
      </c>
      <c r="C14" s="3">
        <v>19279958</v>
      </c>
      <c r="D14" s="5">
        <v>45839</v>
      </c>
      <c r="E14" s="3" t="s">
        <v>67</v>
      </c>
      <c r="F14" s="3" t="s">
        <v>68</v>
      </c>
      <c r="G14" s="3" t="s">
        <v>69</v>
      </c>
      <c r="H14" s="3">
        <v>1</v>
      </c>
      <c r="I14" s="6">
        <v>45839</v>
      </c>
      <c r="J14" s="3" t="s">
        <v>70</v>
      </c>
      <c r="K14" s="4">
        <v>15</v>
      </c>
    </row>
    <row r="15" spans="1:11" ht="15.75" x14ac:dyDescent="0.25">
      <c r="A15" s="3" t="s">
        <v>12</v>
      </c>
      <c r="B15" s="3"/>
      <c r="C15" s="3"/>
      <c r="D15" s="3"/>
      <c r="E15" s="3"/>
      <c r="F15" s="3"/>
      <c r="G15" s="3"/>
      <c r="H15" s="3"/>
      <c r="I15" s="3"/>
      <c r="J15" s="3" t="s">
        <v>71</v>
      </c>
      <c r="K15" s="4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8520-9ECB-4E1F-8E03-250D6A4BB996}">
  <dimension ref="A1:M16"/>
  <sheetViews>
    <sheetView tabSelected="1" topLeftCell="B1" workbookViewId="0">
      <selection activeCell="H16" sqref="H16"/>
    </sheetView>
  </sheetViews>
  <sheetFormatPr defaultRowHeight="15" x14ac:dyDescent="0.25"/>
  <cols>
    <col min="1" max="1" width="32.7109375" customWidth="1"/>
    <col min="2" max="2" width="10.140625" customWidth="1"/>
    <col min="3" max="3" width="19.28515625" customWidth="1"/>
    <col min="4" max="4" width="21.85546875" customWidth="1"/>
    <col min="5" max="6" width="26.5703125" customWidth="1"/>
    <col min="7" max="8" width="19.42578125" customWidth="1"/>
    <col min="9" max="9" width="14.85546875" customWidth="1"/>
    <col min="10" max="10" width="22" customWidth="1"/>
    <col min="11" max="11" width="27.42578125" customWidth="1"/>
    <col min="12" max="12" width="13.85546875" customWidth="1"/>
  </cols>
  <sheetData>
    <row r="1" spans="1:13" ht="31.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 t="s">
        <v>6</v>
      </c>
      <c r="H1" s="1"/>
      <c r="I1" s="1" t="s">
        <v>7</v>
      </c>
      <c r="J1" s="1" t="s">
        <v>8</v>
      </c>
      <c r="K1" s="1" t="s">
        <v>9</v>
      </c>
      <c r="L1" s="2" t="s">
        <v>10</v>
      </c>
    </row>
    <row r="2" spans="1:13" s="11" customFormat="1" ht="15.75" x14ac:dyDescent="0.25">
      <c r="A2" s="7" t="s">
        <v>13</v>
      </c>
      <c r="B2" s="7">
        <v>21348299</v>
      </c>
      <c r="C2" s="8">
        <v>45839</v>
      </c>
      <c r="D2" s="7" t="s">
        <v>18</v>
      </c>
      <c r="E2" s="7" t="s">
        <v>19</v>
      </c>
      <c r="F2" s="7" t="str">
        <f>CONCATENATE(D2, " ",E2)</f>
        <v>JENNIFER PATTEN</v>
      </c>
      <c r="G2" s="7" t="s">
        <v>20</v>
      </c>
      <c r="H2" s="7" t="str">
        <f>CONCATENATE(G2,77)</f>
        <v>FL-002591092277</v>
      </c>
      <c r="I2" s="7">
        <v>1</v>
      </c>
      <c r="J2" s="9">
        <v>45809</v>
      </c>
      <c r="K2" s="7" t="s">
        <v>21</v>
      </c>
      <c r="L2" s="10">
        <v>27</v>
      </c>
      <c r="M2" s="11" t="s">
        <v>74</v>
      </c>
    </row>
    <row r="3" spans="1:13" s="11" customFormat="1" ht="15.75" x14ac:dyDescent="0.25">
      <c r="A3" s="7" t="s">
        <v>52</v>
      </c>
      <c r="B3" s="7">
        <v>18201929</v>
      </c>
      <c r="C3" s="8">
        <v>45839</v>
      </c>
      <c r="D3" s="7" t="s">
        <v>53</v>
      </c>
      <c r="E3" s="7" t="s">
        <v>54</v>
      </c>
      <c r="F3" s="7" t="str">
        <f>CONCATENATE(D3, " ",E3)</f>
        <v>LISA BOWSER</v>
      </c>
      <c r="G3" s="7" t="s">
        <v>55</v>
      </c>
      <c r="H3" s="7" t="str">
        <f>CONCATENATE(G3,77)</f>
        <v>WA-47004877</v>
      </c>
      <c r="I3" s="7">
        <v>1</v>
      </c>
      <c r="J3" s="9">
        <v>45809</v>
      </c>
      <c r="K3" s="7" t="s">
        <v>56</v>
      </c>
      <c r="L3" s="10">
        <v>15</v>
      </c>
      <c r="M3" s="11" t="s">
        <v>72</v>
      </c>
    </row>
    <row r="4" spans="1:13" ht="15.75" x14ac:dyDescent="0.25">
      <c r="A4" s="7" t="s">
        <v>52</v>
      </c>
      <c r="B4" s="7">
        <v>18201929</v>
      </c>
      <c r="C4" s="8">
        <v>45839</v>
      </c>
      <c r="D4" s="7" t="s">
        <v>57</v>
      </c>
      <c r="E4" s="7" t="s">
        <v>58</v>
      </c>
      <c r="F4" s="7" t="str">
        <f>CONCATENATE(D4, " ",E4)</f>
        <v>MICHAEL BELL</v>
      </c>
      <c r="G4" s="7" t="s">
        <v>59</v>
      </c>
      <c r="H4" s="7" t="str">
        <f>CONCATENATE(G4,77)</f>
        <v>WA-99737777</v>
      </c>
      <c r="I4" s="7">
        <v>1</v>
      </c>
      <c r="J4" s="9">
        <v>45839</v>
      </c>
      <c r="K4" s="7" t="s">
        <v>60</v>
      </c>
      <c r="L4" s="10">
        <v>15</v>
      </c>
      <c r="M4" s="11" t="s">
        <v>72</v>
      </c>
    </row>
    <row r="5" spans="1:13" ht="15.75" x14ac:dyDescent="0.25">
      <c r="A5" s="7" t="s">
        <v>66</v>
      </c>
      <c r="B5" s="7">
        <v>19279958</v>
      </c>
      <c r="C5" s="8">
        <v>45839</v>
      </c>
      <c r="D5" s="7" t="s">
        <v>67</v>
      </c>
      <c r="E5" s="7" t="s">
        <v>68</v>
      </c>
      <c r="F5" s="7" t="str">
        <f>CONCATENATE(D5, " ",E5)</f>
        <v>MIGUEL BORRES</v>
      </c>
      <c r="G5" s="7" t="s">
        <v>69</v>
      </c>
      <c r="H5" s="7" t="str">
        <f>CONCATENATE(G5,77)</f>
        <v>WA-659609877</v>
      </c>
      <c r="I5" s="7">
        <v>1</v>
      </c>
      <c r="J5" s="9">
        <v>45839</v>
      </c>
      <c r="K5" s="7" t="s">
        <v>70</v>
      </c>
      <c r="L5" s="10">
        <v>15</v>
      </c>
      <c r="M5" s="11" t="s">
        <v>72</v>
      </c>
    </row>
    <row r="6" spans="1:13" ht="15.75" x14ac:dyDescent="0.25">
      <c r="A6" s="7" t="s">
        <v>13</v>
      </c>
      <c r="B6" s="7">
        <v>21348299</v>
      </c>
      <c r="C6" s="8">
        <v>45839</v>
      </c>
      <c r="D6" s="7" t="s">
        <v>14</v>
      </c>
      <c r="E6" s="7" t="s">
        <v>15</v>
      </c>
      <c r="F6" s="7" t="str">
        <f>CONCATENATE(D6, " ",E6)</f>
        <v>RAUN SUTTON</v>
      </c>
      <c r="G6" s="7" t="s">
        <v>16</v>
      </c>
      <c r="H6" s="7" t="str">
        <f>CONCATENATE(G6,77)</f>
        <v>TX-002068773777</v>
      </c>
      <c r="I6" s="7">
        <v>1</v>
      </c>
      <c r="J6" s="9">
        <v>45809</v>
      </c>
      <c r="K6" s="7" t="s">
        <v>17</v>
      </c>
      <c r="L6" s="10">
        <v>25</v>
      </c>
      <c r="M6" s="11" t="s">
        <v>73</v>
      </c>
    </row>
    <row r="7" spans="1:13" ht="15.75" x14ac:dyDescent="0.25">
      <c r="A7" s="7" t="s">
        <v>61</v>
      </c>
      <c r="B7" s="7">
        <v>17143996</v>
      </c>
      <c r="C7" s="8">
        <v>45839</v>
      </c>
      <c r="D7" s="7" t="s">
        <v>62</v>
      </c>
      <c r="E7" s="7" t="s">
        <v>63</v>
      </c>
      <c r="F7" s="7" t="str">
        <f>CONCATENATE(D7, " ",E7)</f>
        <v>KAREN KASINGER</v>
      </c>
      <c r="G7" s="7" t="s">
        <v>64</v>
      </c>
      <c r="H7" s="7" t="str">
        <f>CONCATENATE(G7,77)</f>
        <v>IL-000511507377</v>
      </c>
      <c r="I7" s="7">
        <v>1</v>
      </c>
      <c r="J7" s="9">
        <v>45839</v>
      </c>
      <c r="K7" s="7" t="s">
        <v>65</v>
      </c>
      <c r="L7" s="10">
        <v>25</v>
      </c>
      <c r="M7" s="11" t="s">
        <v>73</v>
      </c>
    </row>
    <row r="8" spans="1:13" s="11" customFormat="1" ht="15.75" x14ac:dyDescent="0.25">
      <c r="A8" s="7" t="s">
        <v>39</v>
      </c>
      <c r="B8" s="7">
        <v>21421111</v>
      </c>
      <c r="C8" s="8">
        <v>45839</v>
      </c>
      <c r="D8" s="7" t="s">
        <v>40</v>
      </c>
      <c r="E8" s="7" t="s">
        <v>41</v>
      </c>
      <c r="F8" s="7" t="str">
        <f>CONCATENATE(D8, " ",E8)</f>
        <v>ANGIE MAY</v>
      </c>
      <c r="G8" s="7" t="s">
        <v>42</v>
      </c>
      <c r="H8" s="7" t="str">
        <f>CONCATENATE(G8,77)</f>
        <v>SC-000361597977</v>
      </c>
      <c r="I8" s="7">
        <v>1</v>
      </c>
      <c r="J8" s="9">
        <v>45809</v>
      </c>
      <c r="K8" s="7" t="s">
        <v>43</v>
      </c>
      <c r="L8" s="10">
        <v>25</v>
      </c>
      <c r="M8" s="11" t="s">
        <v>73</v>
      </c>
    </row>
    <row r="9" spans="1:13" s="11" customFormat="1" ht="15.75" x14ac:dyDescent="0.25">
      <c r="A9" s="7" t="s">
        <v>39</v>
      </c>
      <c r="B9" s="7">
        <v>21421111</v>
      </c>
      <c r="C9" s="8">
        <v>45839</v>
      </c>
      <c r="D9" s="7" t="s">
        <v>44</v>
      </c>
      <c r="E9" s="7" t="s">
        <v>45</v>
      </c>
      <c r="F9" s="7" t="str">
        <f>CONCATENATE(D9, " ",E9)</f>
        <v>BRIDGET BRACEY</v>
      </c>
      <c r="G9" s="7" t="s">
        <v>46</v>
      </c>
      <c r="H9" s="7" t="str">
        <f>CONCATENATE(G9,77)</f>
        <v>SC-000407887077</v>
      </c>
      <c r="I9" s="7">
        <v>1</v>
      </c>
      <c r="J9" s="9">
        <v>45352</v>
      </c>
      <c r="K9" s="7" t="s">
        <v>11</v>
      </c>
      <c r="L9" s="10">
        <v>25</v>
      </c>
      <c r="M9" s="11" t="s">
        <v>73</v>
      </c>
    </row>
    <row r="10" spans="1:13" s="11" customFormat="1" ht="15.75" x14ac:dyDescent="0.25">
      <c r="A10" s="3" t="s">
        <v>22</v>
      </c>
      <c r="B10" s="3">
        <v>17554531</v>
      </c>
      <c r="C10" s="5">
        <v>45839</v>
      </c>
      <c r="D10" s="3" t="s">
        <v>23</v>
      </c>
      <c r="E10" s="3" t="s">
        <v>24</v>
      </c>
      <c r="F10" s="3" t="str">
        <f>CONCATENATE(D10, " ",E10)</f>
        <v>LOUIS BUTLER</v>
      </c>
      <c r="G10" s="3" t="s">
        <v>25</v>
      </c>
      <c r="H10" s="3" t="str">
        <f>CONCATENATE(G10,77)</f>
        <v>SC-000423421877</v>
      </c>
      <c r="I10" s="3">
        <v>1</v>
      </c>
      <c r="J10" s="6">
        <v>45748</v>
      </c>
      <c r="K10" s="3" t="s">
        <v>26</v>
      </c>
      <c r="L10" s="4">
        <v>25</v>
      </c>
      <c r="M10" t="s">
        <v>73</v>
      </c>
    </row>
    <row r="11" spans="1:13" s="11" customFormat="1" ht="15.75" x14ac:dyDescent="0.25">
      <c r="A11" s="3" t="s">
        <v>27</v>
      </c>
      <c r="B11" s="3">
        <v>20003537</v>
      </c>
      <c r="C11" s="5">
        <v>45839</v>
      </c>
      <c r="D11" s="3" t="s">
        <v>28</v>
      </c>
      <c r="E11" s="3" t="s">
        <v>29</v>
      </c>
      <c r="F11" s="3" t="str">
        <f>CONCATENATE(D11, " ",E11)</f>
        <v>ADRIANA WEST</v>
      </c>
      <c r="G11" s="3" t="s">
        <v>30</v>
      </c>
      <c r="H11" s="3" t="str">
        <f>CONCATENATE(G11,77)</f>
        <v>SC-000454091977</v>
      </c>
      <c r="I11" s="3">
        <v>1</v>
      </c>
      <c r="J11" s="6">
        <v>45809</v>
      </c>
      <c r="K11" s="3" t="s">
        <v>31</v>
      </c>
      <c r="L11" s="4">
        <v>25</v>
      </c>
      <c r="M11" t="s">
        <v>73</v>
      </c>
    </row>
    <row r="12" spans="1:13" ht="15.75" x14ac:dyDescent="0.25">
      <c r="A12" s="3" t="s">
        <v>27</v>
      </c>
      <c r="B12" s="3">
        <v>20003537</v>
      </c>
      <c r="C12" s="5">
        <v>45839</v>
      </c>
      <c r="D12" s="3" t="s">
        <v>32</v>
      </c>
      <c r="E12" s="3" t="s">
        <v>33</v>
      </c>
      <c r="F12" s="3" t="str">
        <f>CONCATENATE(D12, " ",E12)</f>
        <v>NICOLE KORECKY</v>
      </c>
      <c r="G12" s="3" t="s">
        <v>75</v>
      </c>
      <c r="H12" s="3" t="str">
        <f>CONCATENATE(G12,77)</f>
        <v>SC-0004540919A77</v>
      </c>
      <c r="I12" s="3">
        <v>1</v>
      </c>
      <c r="J12" s="6">
        <v>45809</v>
      </c>
      <c r="K12" s="3" t="s">
        <v>31</v>
      </c>
      <c r="L12" s="4">
        <v>25</v>
      </c>
      <c r="M12" t="s">
        <v>73</v>
      </c>
    </row>
    <row r="13" spans="1:13" s="11" customFormat="1" ht="15.75" x14ac:dyDescent="0.25">
      <c r="A13" s="3" t="s">
        <v>47</v>
      </c>
      <c r="B13" s="3">
        <v>9213293</v>
      </c>
      <c r="C13" s="5">
        <v>45839</v>
      </c>
      <c r="D13" s="3" t="s">
        <v>48</v>
      </c>
      <c r="E13" s="3" t="s">
        <v>49</v>
      </c>
      <c r="F13" s="3" t="str">
        <f>CONCATENATE(D13, " ",E13)</f>
        <v>OCTAVIO GOMEZ-SALGADO</v>
      </c>
      <c r="G13" s="3" t="s">
        <v>50</v>
      </c>
      <c r="H13" s="3" t="str">
        <f>CONCATENATE(G13,77)</f>
        <v>IL-000470133177</v>
      </c>
      <c r="I13" s="3">
        <v>1</v>
      </c>
      <c r="J13" s="6">
        <v>45839</v>
      </c>
      <c r="K13" s="3" t="s">
        <v>51</v>
      </c>
      <c r="L13" s="4">
        <v>25</v>
      </c>
      <c r="M13" t="s">
        <v>73</v>
      </c>
    </row>
    <row r="14" spans="1:13" s="11" customFormat="1" ht="15.75" x14ac:dyDescent="0.25">
      <c r="A14" s="3" t="s">
        <v>34</v>
      </c>
      <c r="B14" s="3">
        <v>15278437</v>
      </c>
      <c r="C14" s="5">
        <v>45839</v>
      </c>
      <c r="D14" s="3" t="s">
        <v>35</v>
      </c>
      <c r="E14" s="3" t="s">
        <v>36</v>
      </c>
      <c r="F14" s="3" t="str">
        <f>CONCATENATE(D14, " ",E14)</f>
        <v>PAUL CIECHELSKI</v>
      </c>
      <c r="G14" s="3" t="s">
        <v>37</v>
      </c>
      <c r="H14" s="3" t="str">
        <f>CONCATENATE(G14,77)</f>
        <v>IL-000492694977</v>
      </c>
      <c r="I14" s="3">
        <v>1</v>
      </c>
      <c r="J14" s="6">
        <v>45658</v>
      </c>
      <c r="K14" s="3" t="s">
        <v>38</v>
      </c>
      <c r="L14" s="4">
        <v>25</v>
      </c>
      <c r="M14" t="s">
        <v>73</v>
      </c>
    </row>
    <row r="16" spans="1:13" ht="15.75" x14ac:dyDescent="0.25">
      <c r="H16" s="12"/>
    </row>
  </sheetData>
  <sortState xmlns:xlrd2="http://schemas.microsoft.com/office/spreadsheetml/2017/richdata2" ref="A2:M9">
    <sortCondition sortBy="cellColor" ref="A2:A9" dxfId="1"/>
    <sortCondition ref="M2:M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Molina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2025-07-31T19:04:58Z</dcterms:created>
  <dcterms:modified xsi:type="dcterms:W3CDTF">2025-08-01T20:19:13Z</dcterms:modified>
</cp:coreProperties>
</file>