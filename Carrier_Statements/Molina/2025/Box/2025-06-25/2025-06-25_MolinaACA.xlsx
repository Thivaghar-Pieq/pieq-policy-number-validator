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6-25-25\"/>
    </mc:Choice>
  </mc:AlternateContent>
  <xr:revisionPtr revIDLastSave="0" documentId="13_ncr:1_{26FB8D16-97EA-42B6-8B51-A7051C5765C0}" xr6:coauthVersionLast="47" xr6:coauthVersionMax="47" xr10:uidLastSave="{00000000-0000-0000-0000-000000000000}"/>
  <bookViews>
    <workbookView xWindow="-120" yWindow="-120" windowWidth="29040" windowHeight="16440" activeTab="1" xr2:uid="{4502B292-BAE1-4196-9934-8E32CD78DD36}"/>
  </bookViews>
  <sheets>
    <sheet name="Main Line Benefits LLC- Moli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2" i="2"/>
  <c r="I3" i="2"/>
  <c r="I4" i="2"/>
  <c r="I5" i="2"/>
  <c r="I6" i="2"/>
  <c r="I7" i="2"/>
  <c r="I8" i="2"/>
  <c r="I9" i="2"/>
  <c r="I2" i="2"/>
</calcChain>
</file>

<file path=xl/sharedStrings.xml><?xml version="1.0" encoding="utf-8"?>
<sst xmlns="http://schemas.openxmlformats.org/spreadsheetml/2006/main" count="128" uniqueCount="52">
  <si>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</si>
  <si>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</si>
  <si>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</si>
  <si>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</si>
  <si>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</si>
  <si>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</si>
  <si>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</si>
  <si>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</si>
  <si>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</si>
  <si>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</si>
  <si>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Commission Payment</t>
  </si>
  <si>
    <t>Bronze 8</t>
  </si>
  <si>
    <t>Main Line Benefits LLC</t>
  </si>
  <si>
    <t>Brittany Oliver</t>
  </si>
  <si>
    <t>LOUIS</t>
  </si>
  <si>
    <t>BUTLER</t>
  </si>
  <si>
    <t>SC-0004234218</t>
  </si>
  <si>
    <t>Silver 12 150</t>
  </si>
  <si>
    <t>Jason Hoffmann</t>
  </si>
  <si>
    <t>PAUL</t>
  </si>
  <si>
    <t>CIECHELSKI</t>
  </si>
  <si>
    <t>IL-0004926949</t>
  </si>
  <si>
    <t>Silver 8 150</t>
  </si>
  <si>
    <t>Barry Brenner</t>
  </si>
  <si>
    <t>JENNIFER</t>
  </si>
  <si>
    <t>PATTEN</t>
  </si>
  <si>
    <t>FL-0025910922</t>
  </si>
  <si>
    <t>RAUN</t>
  </si>
  <si>
    <t>SUTTON</t>
  </si>
  <si>
    <t>TX-0020687737</t>
  </si>
  <si>
    <t>Silver 12 100 with First 4 Primary Care Visits Free</t>
  </si>
  <si>
    <t>Chad Yale</t>
  </si>
  <si>
    <t>ADRIANA</t>
  </si>
  <si>
    <t>WEST</t>
  </si>
  <si>
    <t>SC-0004540919</t>
  </si>
  <si>
    <t>Silver 8 100</t>
  </si>
  <si>
    <t>NICOLE</t>
  </si>
  <si>
    <t>KORECKY</t>
  </si>
  <si>
    <t>Kirk Tigue</t>
  </si>
  <si>
    <t>ANGIE</t>
  </si>
  <si>
    <t>MAY</t>
  </si>
  <si>
    <t>SC-0003615979</t>
  </si>
  <si>
    <t>Silver 12 100</t>
  </si>
  <si>
    <t>BRIDGET</t>
  </si>
  <si>
    <t>BRACEY</t>
  </si>
  <si>
    <t>SC-0004078870</t>
  </si>
  <si>
    <t>Silver 1 100</t>
  </si>
  <si>
    <t>Total</t>
  </si>
  <si>
    <t>Molina 2025 IL, SC, TX</t>
  </si>
  <si>
    <t>Molina - FL 2025</t>
  </si>
  <si>
    <t>Christian Taugner</t>
  </si>
  <si>
    <t>SC-0004540919A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</si>
</sst>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0" fontId="3" fillId="3" borderId="1" xfId="0" applyFont="1" applyFill="1" applyBorder="1"/>
    <xf numFmtId="17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/>
    <xf numFmtId="44" fontId="3" fillId="3" borderId="1" xfId="1" applyFont="1" applyFill="1" applyBorder="1"/>
    <xf numFmtId="0" fontId="0" fillId="3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30C5-12BF-4016-97CE-5D6BF9AD05A4}">
  <dimension ref="A1:K10"/>
  <sheetViews>
    <sheetView workbookViewId="0">
      <selection sqref="A1:XFD1048576"/>
    </sheetView>
  </sheetViews>
  <sheetFormatPr defaultRowHeight="15" x14ac:dyDescent="0.25"/>
  <cols>
    <col min="1" max="1" width="34.140625" customWidth="1"/>
    <col min="2" max="2" width="32.7109375" customWidth="1"/>
    <col min="3" max="3" width="10.140625" customWidth="1"/>
    <col min="4" max="4" width="10.85546875" customWidth="1"/>
    <col min="5" max="5" width="21.7109375" customWidth="1"/>
    <col min="6" max="6" width="26.5703125" customWidth="1"/>
    <col min="7" max="7" width="19.42578125" customWidth="1"/>
    <col min="8" max="8" width="9.5703125" customWidth="1"/>
    <col min="9" max="9" width="15.42578125" customWidth="1"/>
    <col min="10" max="10" width="30.140625" customWidth="1"/>
    <col min="11" max="11" width="13.57031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12</v>
      </c>
      <c r="B2" s="3" t="s">
        <v>13</v>
      </c>
      <c r="C2" s="3">
        <v>17554531</v>
      </c>
      <c r="D2" s="6">
        <v>45809</v>
      </c>
      <c r="E2" s="3" t="s">
        <v>14</v>
      </c>
      <c r="F2" s="3" t="s">
        <v>15</v>
      </c>
      <c r="G2" s="3" t="s">
        <v>16</v>
      </c>
      <c r="H2" s="3">
        <v>1</v>
      </c>
      <c r="I2" s="7">
        <v>45748</v>
      </c>
      <c r="J2" s="3" t="s">
        <v>17</v>
      </c>
      <c r="K2" s="5">
        <v>25</v>
      </c>
    </row>
    <row r="3" spans="1:11" ht="15.75" x14ac:dyDescent="0.25">
      <c r="A3" s="3" t="s">
        <v>12</v>
      </c>
      <c r="B3" s="3" t="s">
        <v>18</v>
      </c>
      <c r="C3" s="3">
        <v>15278437</v>
      </c>
      <c r="D3" s="6">
        <v>45809</v>
      </c>
      <c r="E3" s="3" t="s">
        <v>19</v>
      </c>
      <c r="F3" s="3" t="s">
        <v>20</v>
      </c>
      <c r="G3" s="3" t="s">
        <v>21</v>
      </c>
      <c r="H3" s="3">
        <v>1</v>
      </c>
      <c r="I3" s="7">
        <v>45658</v>
      </c>
      <c r="J3" s="3" t="s">
        <v>22</v>
      </c>
      <c r="K3" s="5">
        <v>25</v>
      </c>
    </row>
    <row r="4" spans="1:11" ht="15.75" x14ac:dyDescent="0.25">
      <c r="A4" s="3" t="s">
        <v>12</v>
      </c>
      <c r="B4" s="3" t="s">
        <v>23</v>
      </c>
      <c r="C4" s="3">
        <v>21348299</v>
      </c>
      <c r="D4" s="6">
        <v>45809</v>
      </c>
      <c r="E4" s="3" t="s">
        <v>24</v>
      </c>
      <c r="F4" s="3" t="s">
        <v>25</v>
      </c>
      <c r="G4" s="3" t="s">
        <v>26</v>
      </c>
      <c r="H4" s="3">
        <v>1</v>
      </c>
      <c r="I4" s="7">
        <v>45809</v>
      </c>
      <c r="J4" s="3" t="s">
        <v>11</v>
      </c>
      <c r="K4" s="5">
        <v>27</v>
      </c>
    </row>
    <row r="5" spans="1:11" ht="15.75" x14ac:dyDescent="0.25">
      <c r="A5" s="3" t="s">
        <v>12</v>
      </c>
      <c r="B5" s="3" t="s">
        <v>23</v>
      </c>
      <c r="C5" s="3">
        <v>21348299</v>
      </c>
      <c r="D5" s="6">
        <v>45809</v>
      </c>
      <c r="E5" s="3" t="s">
        <v>27</v>
      </c>
      <c r="F5" s="3" t="s">
        <v>28</v>
      </c>
      <c r="G5" s="3" t="s">
        <v>29</v>
      </c>
      <c r="H5" s="3">
        <v>1</v>
      </c>
      <c r="I5" s="7">
        <v>45809</v>
      </c>
      <c r="J5" s="3" t="s">
        <v>30</v>
      </c>
      <c r="K5" s="5">
        <v>25</v>
      </c>
    </row>
    <row r="6" spans="1:11" ht="15.75" x14ac:dyDescent="0.25">
      <c r="A6" s="3" t="s">
        <v>12</v>
      </c>
      <c r="B6" s="3" t="s">
        <v>31</v>
      </c>
      <c r="C6" s="3">
        <v>20003537</v>
      </c>
      <c r="D6" s="6">
        <v>45809</v>
      </c>
      <c r="E6" s="3" t="s">
        <v>32</v>
      </c>
      <c r="F6" s="3" t="s">
        <v>33</v>
      </c>
      <c r="G6" s="3" t="s">
        <v>34</v>
      </c>
      <c r="H6" s="3">
        <v>1</v>
      </c>
      <c r="I6" s="7">
        <v>45809</v>
      </c>
      <c r="J6" s="3" t="s">
        <v>35</v>
      </c>
      <c r="K6" s="5">
        <v>25</v>
      </c>
    </row>
    <row r="7" spans="1:11" ht="15.75" x14ac:dyDescent="0.25">
      <c r="A7" s="3" t="s">
        <v>12</v>
      </c>
      <c r="B7" s="3" t="s">
        <v>31</v>
      </c>
      <c r="C7" s="3">
        <v>20003537</v>
      </c>
      <c r="D7" s="6">
        <v>45809</v>
      </c>
      <c r="E7" s="3" t="s">
        <v>36</v>
      </c>
      <c r="F7" s="3" t="s">
        <v>37</v>
      </c>
      <c r="G7" s="3" t="s">
        <v>34</v>
      </c>
      <c r="H7" s="3">
        <v>1</v>
      </c>
      <c r="I7" s="7">
        <v>45809</v>
      </c>
      <c r="J7" s="3" t="s">
        <v>35</v>
      </c>
      <c r="K7" s="5">
        <v>25</v>
      </c>
    </row>
    <row r="8" spans="1:11" ht="15.75" x14ac:dyDescent="0.25">
      <c r="A8" s="3" t="s">
        <v>12</v>
      </c>
      <c r="B8" s="3" t="s">
        <v>38</v>
      </c>
      <c r="C8" s="3">
        <v>21421111</v>
      </c>
      <c r="D8" s="6">
        <v>45809</v>
      </c>
      <c r="E8" s="3" t="s">
        <v>39</v>
      </c>
      <c r="F8" s="3" t="s">
        <v>40</v>
      </c>
      <c r="G8" s="3" t="s">
        <v>41</v>
      </c>
      <c r="H8" s="3">
        <v>1</v>
      </c>
      <c r="I8" s="7">
        <v>45809</v>
      </c>
      <c r="J8" s="3" t="s">
        <v>42</v>
      </c>
      <c r="K8" s="5">
        <v>25</v>
      </c>
    </row>
    <row r="9" spans="1:11" ht="15.75" x14ac:dyDescent="0.25">
      <c r="A9" s="3" t="s">
        <v>12</v>
      </c>
      <c r="B9" s="3" t="s">
        <v>38</v>
      </c>
      <c r="C9" s="3">
        <v>21421111</v>
      </c>
      <c r="D9" s="6">
        <v>45809</v>
      </c>
      <c r="E9" s="3" t="s">
        <v>43</v>
      </c>
      <c r="F9" s="3" t="s">
        <v>44</v>
      </c>
      <c r="G9" s="3" t="s">
        <v>45</v>
      </c>
      <c r="H9" s="3">
        <v>1</v>
      </c>
      <c r="I9" s="7">
        <v>45352</v>
      </c>
      <c r="J9" s="3" t="s">
        <v>46</v>
      </c>
      <c r="K9" s="5">
        <v>25</v>
      </c>
    </row>
    <row r="10" spans="1:11" ht="15.75" x14ac:dyDescent="0.25">
      <c r="A10" s="3" t="s">
        <v>12</v>
      </c>
      <c r="B10" s="3"/>
      <c r="C10" s="3"/>
      <c r="D10" s="4"/>
      <c r="E10" s="3"/>
      <c r="F10" s="3"/>
      <c r="G10" s="3"/>
      <c r="H10" s="3"/>
      <c r="I10" s="3"/>
      <c r="J10" s="3" t="s">
        <v>47</v>
      </c>
      <c r="K10" s="5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A862-3691-48FE-8AC1-EDC5155F90B4}">
  <dimension ref="A1:N9"/>
  <sheetViews>
    <sheetView tabSelected="1" topLeftCell="B1" workbookViewId="0">
      <selection activeCell="H8" sqref="H8"/>
    </sheetView>
  </sheetViews>
  <sheetFormatPr defaultRowHeight="15" x14ac:dyDescent="0.25"/>
  <cols>
    <col min="1" max="1" width="34.140625" customWidth="1"/>
    <col min="2" max="2" width="32.7109375" customWidth="1"/>
    <col min="3" max="3" width="10.140625" customWidth="1"/>
    <col min="4" max="4" width="10.85546875" customWidth="1"/>
    <col min="5" max="5" width="21.7109375" customWidth="1"/>
    <col min="6" max="7" width="26.5703125" customWidth="1"/>
    <col min="8" max="9" width="19.42578125" customWidth="1"/>
    <col min="10" max="10" width="9.5703125" customWidth="1"/>
    <col min="11" max="11" width="15.42578125" customWidth="1"/>
    <col min="12" max="12" width="30.140625" customWidth="1"/>
    <col min="13" max="13" width="13.5703125" customWidth="1"/>
  </cols>
  <sheetData>
    <row r="1" spans="1:14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 t="s">
        <v>7</v>
      </c>
      <c r="K1" s="1" t="s">
        <v>8</v>
      </c>
      <c r="L1" s="1" t="s">
        <v>9</v>
      </c>
      <c r="M1" s="2" t="s">
        <v>10</v>
      </c>
    </row>
    <row r="2" spans="1:14" ht="15.75" x14ac:dyDescent="0.25">
      <c r="A2" s="3" t="s">
        <v>12</v>
      </c>
      <c r="B2" s="3" t="s">
        <v>13</v>
      </c>
      <c r="C2" s="3">
        <v>17554531</v>
      </c>
      <c r="D2" s="6">
        <v>45809</v>
      </c>
      <c r="E2" s="3" t="s">
        <v>14</v>
      </c>
      <c r="F2" s="3" t="s">
        <v>15</v>
      </c>
      <c r="G2" s="3" t="str">
        <f>CONCATENATE(E2, " ",F2)</f>
        <v>LOUIS BUTLER</v>
      </c>
      <c r="H2" s="3" t="s">
        <v>16</v>
      </c>
      <c r="I2" s="3" t="str">
        <f>CONCATENATE(H2,77)</f>
        <v>SC-000423421877</v>
      </c>
      <c r="J2" s="3">
        <v>1</v>
      </c>
      <c r="K2" s="7">
        <v>45748</v>
      </c>
      <c r="L2" s="3" t="s">
        <v>17</v>
      </c>
      <c r="M2" s="5">
        <v>25</v>
      </c>
      <c r="N2" t="s">
        <v>48</v>
      </c>
    </row>
    <row r="3" spans="1:14" ht="15.75" x14ac:dyDescent="0.25">
      <c r="A3" s="3" t="s">
        <v>12</v>
      </c>
      <c r="B3" s="3" t="s">
        <v>50</v>
      </c>
      <c r="C3" s="3">
        <v>19681796</v>
      </c>
      <c r="D3" s="6">
        <v>45809</v>
      </c>
      <c r="E3" s="3" t="s">
        <v>19</v>
      </c>
      <c r="F3" s="3" t="s">
        <v>20</v>
      </c>
      <c r="G3" s="3" t="str">
        <f t="shared" ref="G3:G9" si="0">CONCATENATE(E3, " ",F3)</f>
        <v>PAUL CIECHELSKI</v>
      </c>
      <c r="H3" s="3" t="s">
        <v>21</v>
      </c>
      <c r="I3" s="3" t="str">
        <f t="shared" ref="I3:I9" si="1">CONCATENATE(H3,77)</f>
        <v>IL-000492694977</v>
      </c>
      <c r="J3" s="3">
        <v>1</v>
      </c>
      <c r="K3" s="7">
        <v>45658</v>
      </c>
      <c r="L3" s="3" t="s">
        <v>22</v>
      </c>
      <c r="M3" s="5">
        <v>25</v>
      </c>
      <c r="N3" t="s">
        <v>48</v>
      </c>
    </row>
    <row r="4" spans="1:14" s="12" customFormat="1" ht="15.75" x14ac:dyDescent="0.25">
      <c r="A4" s="8" t="s">
        <v>12</v>
      </c>
      <c r="B4" s="8" t="s">
        <v>23</v>
      </c>
      <c r="C4" s="8">
        <v>21348299</v>
      </c>
      <c r="D4" s="9">
        <v>45809</v>
      </c>
      <c r="E4" s="8" t="s">
        <v>24</v>
      </c>
      <c r="F4" s="8" t="s">
        <v>25</v>
      </c>
      <c r="G4" s="8" t="str">
        <f t="shared" si="0"/>
        <v>JENNIFER PATTEN</v>
      </c>
      <c r="H4" s="8" t="s">
        <v>26</v>
      </c>
      <c r="I4" s="8" t="str">
        <f t="shared" si="1"/>
        <v>FL-002591092277</v>
      </c>
      <c r="J4" s="8">
        <v>1</v>
      </c>
      <c r="K4" s="10">
        <v>45809</v>
      </c>
      <c r="L4" s="8" t="s">
        <v>11</v>
      </c>
      <c r="M4" s="11">
        <v>27</v>
      </c>
      <c r="N4" s="12" t="s">
        <v>49</v>
      </c>
    </row>
    <row r="5" spans="1:14" s="12" customFormat="1" ht="15.75" x14ac:dyDescent="0.25">
      <c r="A5" s="8" t="s">
        <v>12</v>
      </c>
      <c r="B5" s="8" t="s">
        <v>23</v>
      </c>
      <c r="C5" s="8">
        <v>21348299</v>
      </c>
      <c r="D5" s="9">
        <v>45809</v>
      </c>
      <c r="E5" s="8" t="s">
        <v>27</v>
      </c>
      <c r="F5" s="8" t="s">
        <v>28</v>
      </c>
      <c r="G5" s="8" t="str">
        <f t="shared" si="0"/>
        <v>RAUN SUTTON</v>
      </c>
      <c r="H5" s="8" t="s">
        <v>29</v>
      </c>
      <c r="I5" s="8" t="str">
        <f t="shared" si="1"/>
        <v>TX-002068773777</v>
      </c>
      <c r="J5" s="8">
        <v>1</v>
      </c>
      <c r="K5" s="10">
        <v>45809</v>
      </c>
      <c r="L5" s="8" t="s">
        <v>30</v>
      </c>
      <c r="M5" s="11">
        <v>25</v>
      </c>
      <c r="N5" s="12" t="s">
        <v>48</v>
      </c>
    </row>
    <row r="6" spans="1:14" ht="15.75" x14ac:dyDescent="0.25">
      <c r="A6" s="3" t="s">
        <v>12</v>
      </c>
      <c r="B6" s="3" t="s">
        <v>31</v>
      </c>
      <c r="C6" s="3">
        <v>20003537</v>
      </c>
      <c r="D6" s="6">
        <v>45809</v>
      </c>
      <c r="E6" s="3" t="s">
        <v>32</v>
      </c>
      <c r="F6" s="3" t="s">
        <v>33</v>
      </c>
      <c r="G6" s="3" t="str">
        <f t="shared" si="0"/>
        <v>ADRIANA WEST</v>
      </c>
      <c r="H6" s="3" t="s">
        <v>34</v>
      </c>
      <c r="I6" s="3" t="str">
        <f t="shared" si="1"/>
        <v>SC-000454091977</v>
      </c>
      <c r="J6" s="3">
        <v>1</v>
      </c>
      <c r="K6" s="7">
        <v>45809</v>
      </c>
      <c r="L6" s="3" t="s">
        <v>35</v>
      </c>
      <c r="M6" s="5">
        <v>25</v>
      </c>
      <c r="N6" t="s">
        <v>48</v>
      </c>
    </row>
    <row r="7" spans="1:14" ht="15.75" x14ac:dyDescent="0.25">
      <c r="A7" s="3" t="s">
        <v>12</v>
      </c>
      <c r="B7" s="3" t="s">
        <v>31</v>
      </c>
      <c r="C7" s="3">
        <v>20003537</v>
      </c>
      <c r="D7" s="6">
        <v>45809</v>
      </c>
      <c r="E7" s="3" t="s">
        <v>36</v>
      </c>
      <c r="F7" s="3" t="s">
        <v>37</v>
      </c>
      <c r="G7" s="3" t="str">
        <f t="shared" si="0"/>
        <v>NICOLE KORECKY</v>
      </c>
      <c r="H7" s="3" t="s">
        <v>51</v>
      </c>
      <c r="I7" s="3" t="str">
        <f t="shared" si="1"/>
        <v>SC-0004540919A77</v>
      </c>
      <c r="J7" s="3">
        <v>1</v>
      </c>
      <c r="K7" s="7">
        <v>45809</v>
      </c>
      <c r="L7" s="3" t="s">
        <v>35</v>
      </c>
      <c r="M7" s="5">
        <v>25</v>
      </c>
      <c r="N7" t="s">
        <v>48</v>
      </c>
    </row>
    <row r="8" spans="1:14" s="12" customFormat="1" ht="15.75" x14ac:dyDescent="0.25">
      <c r="A8" s="8" t="s">
        <v>12</v>
      </c>
      <c r="B8" s="8" t="s">
        <v>38</v>
      </c>
      <c r="C8" s="8">
        <v>21421111</v>
      </c>
      <c r="D8" s="9">
        <v>45809</v>
      </c>
      <c r="E8" s="8" t="s">
        <v>39</v>
      </c>
      <c r="F8" s="8" t="s">
        <v>40</v>
      </c>
      <c r="G8" s="8" t="str">
        <f t="shared" si="0"/>
        <v>ANGIE MAY</v>
      </c>
      <c r="H8" s="8" t="s">
        <v>41</v>
      </c>
      <c r="I8" s="8" t="str">
        <f t="shared" si="1"/>
        <v>SC-000361597977</v>
      </c>
      <c r="J8" s="8">
        <v>1</v>
      </c>
      <c r="K8" s="10">
        <v>45809</v>
      </c>
      <c r="L8" s="8" t="s">
        <v>42</v>
      </c>
      <c r="M8" s="11">
        <v>25</v>
      </c>
      <c r="N8" s="12" t="s">
        <v>48</v>
      </c>
    </row>
    <row r="9" spans="1:14" ht="15.75" x14ac:dyDescent="0.25">
      <c r="A9" s="3" t="s">
        <v>12</v>
      </c>
      <c r="B9" s="3" t="s">
        <v>38</v>
      </c>
      <c r="C9" s="3">
        <v>21421111</v>
      </c>
      <c r="D9" s="6">
        <v>45809</v>
      </c>
      <c r="E9" s="3" t="s">
        <v>43</v>
      </c>
      <c r="F9" s="3" t="s">
        <v>44</v>
      </c>
      <c r="G9" s="3" t="str">
        <f t="shared" si="0"/>
        <v>BRIDGET BRACEY</v>
      </c>
      <c r="H9" s="3" t="s">
        <v>45</v>
      </c>
      <c r="I9" s="3" t="str">
        <f t="shared" si="1"/>
        <v>SC-000407887077</v>
      </c>
      <c r="J9" s="3">
        <v>1</v>
      </c>
      <c r="K9" s="7">
        <v>45352</v>
      </c>
      <c r="L9" s="3" t="s">
        <v>46</v>
      </c>
      <c r="M9" s="5">
        <v>25</v>
      </c>
      <c r="N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LLC- Molina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2025-07-09T21:00:11Z</dcterms:created>
  <dcterms:modified xsi:type="dcterms:W3CDTF">2025-07-23T14:21:17Z</dcterms:modified>
</cp:coreProperties>
</file>