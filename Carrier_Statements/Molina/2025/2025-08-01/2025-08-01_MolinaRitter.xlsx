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08-01-25\"/>
    </mc:Choice>
  </mc:AlternateContent>
  <xr:revisionPtr revIDLastSave="0" documentId="13_ncr:1_{64D6E916-C2A9-494A-B747-982372FFF5F9}" xr6:coauthVersionLast="47" xr6:coauthVersionMax="47" xr10:uidLastSave="{00000000-0000-0000-0000-000000000000}"/>
  <bookViews>
    <workbookView xWindow="28680" yWindow="-120" windowWidth="29040" windowHeight="16440" activeTab="1" xr2:uid="{9DBC7368-CB1F-4DBF-BEF5-049338695A0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2" l="1"/>
  <c r="G60" i="2"/>
  <c r="G61" i="2"/>
  <c r="G62" i="2"/>
  <c r="G63" i="2"/>
  <c r="G64" i="2"/>
  <c r="G65" i="2"/>
  <c r="G66" i="2"/>
  <c r="G67" i="2"/>
  <c r="G68" i="2"/>
  <c r="G69" i="2"/>
  <c r="G5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2" i="2"/>
</calcChain>
</file>

<file path=xl/sharedStrings.xml><?xml version="1.0" encoding="utf-8"?>
<sst xmlns="http://schemas.openxmlformats.org/spreadsheetml/2006/main" count="1161" uniqueCount="205">
  <si>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</si>
  <si>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</si>
  <si>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</si>
  <si>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</si>
  <si>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</si>
  <si>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</si>
  <si>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</si>
  <si>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</si>
  <si>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</si>
  <si>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</si>
  <si>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</si>
  <si>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</si>
  <si>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BD0787</t>
  </si>
  <si>
    <t>Floyd</t>
  </si>
  <si>
    <t>Adams</t>
  </si>
  <si>
    <t>FL-0016455763</t>
  </si>
  <si>
    <t>Molina Marketplace</t>
  </si>
  <si>
    <t>Molina Marketplace 2025 Renewal FL, ST (ProRata: 1) Premium Period: 7/1/2025</t>
  </si>
  <si>
    <t>Ryan Caltagirone</t>
  </si>
  <si>
    <t>BA2413</t>
  </si>
  <si>
    <t>Tommy</t>
  </si>
  <si>
    <t>Harber</t>
  </si>
  <si>
    <t>FL-0016532146</t>
  </si>
  <si>
    <t>Jonathan Aloff</t>
  </si>
  <si>
    <t>Jean</t>
  </si>
  <si>
    <t>Williams</t>
  </si>
  <si>
    <t>FL-0020265408</t>
  </si>
  <si>
    <t>Richard</t>
  </si>
  <si>
    <t>Jarvis</t>
  </si>
  <si>
    <t>FL-0023640428</t>
  </si>
  <si>
    <t>Sharlene</t>
  </si>
  <si>
    <t>Lightbourne</t>
  </si>
  <si>
    <t>FL-0023774533</t>
  </si>
  <si>
    <t>Richard Yale</t>
  </si>
  <si>
    <t>Emily</t>
  </si>
  <si>
    <t>Garvin</t>
  </si>
  <si>
    <t>FL-0023869590</t>
  </si>
  <si>
    <t>Dawn</t>
  </si>
  <si>
    <t>Duryea</t>
  </si>
  <si>
    <t>FL-0026258734</t>
  </si>
  <si>
    <t>Saadia Abdul</t>
  </si>
  <si>
    <t>Susan</t>
  </si>
  <si>
    <t>Duda</t>
  </si>
  <si>
    <t>IL-0004374041</t>
  </si>
  <si>
    <t>Molina Marketplace 2025 IL, SC, TX ST (ProRata: 1) Premium Period: 7/1/2025</t>
  </si>
  <si>
    <t>Lazaros</t>
  </si>
  <si>
    <t>Bolis</t>
  </si>
  <si>
    <t>IL-0004562917</t>
  </si>
  <si>
    <t>Miguel</t>
  </si>
  <si>
    <t>Peralta</t>
  </si>
  <si>
    <t>IL-0004580991</t>
  </si>
  <si>
    <t>Gary Portugal</t>
  </si>
  <si>
    <t>Patrick</t>
  </si>
  <si>
    <t>Matsuda</t>
  </si>
  <si>
    <t>IL-0004614884</t>
  </si>
  <si>
    <t>Sebastiana</t>
  </si>
  <si>
    <t>Bonafede</t>
  </si>
  <si>
    <t>IL-0004635136</t>
  </si>
  <si>
    <t>Fazlunnisa</t>
  </si>
  <si>
    <t>Saleem</t>
  </si>
  <si>
    <t>IL-0004882810</t>
  </si>
  <si>
    <t>Vanessa</t>
  </si>
  <si>
    <t>Flores</t>
  </si>
  <si>
    <t>IL-0005277252</t>
  </si>
  <si>
    <t>Anthony Hunsberger</t>
  </si>
  <si>
    <t>Erik</t>
  </si>
  <si>
    <t>Olson</t>
  </si>
  <si>
    <t>IL-0005380020</t>
  </si>
  <si>
    <t>Marco</t>
  </si>
  <si>
    <t>IL-0005388170</t>
  </si>
  <si>
    <t>Katelenn Caltagirone</t>
  </si>
  <si>
    <t>BC7559</t>
  </si>
  <si>
    <t>Annette</t>
  </si>
  <si>
    <t>Brooks</t>
  </si>
  <si>
    <t>MI-0002665329</t>
  </si>
  <si>
    <t>Molina Marketplace 2023-2025 Renewal MI, ST (ProRata: 1) Premium Period: 1/1/2024</t>
  </si>
  <si>
    <t>Molina Marketplace 2023-2025 Renewal MI, ST (ProRata: 1) Premium Period: 2/1/2024</t>
  </si>
  <si>
    <t>Molina Marketplace 2023-2025 Renewal MI, ST (ProRata: 1) Premium Period: 3/1/2024</t>
  </si>
  <si>
    <t>Molina Marketplace 2023-2025 Renewal MI, ST (ProRata: 1) Premium Period: 4/1/2024</t>
  </si>
  <si>
    <t>Molina Marketplace 2023-2025 Renewal MI, ST (ProRata: 1) Premium Period: 5/1/2024</t>
  </si>
  <si>
    <t>Molina Marketplace 2023-2025 Renewal MI, ST (ProRata: 1) Premium Period: 6/1/2024</t>
  </si>
  <si>
    <t>Molina Marketplace 2023-2025 Renewal MI, ST (ProRata: 1) Premium Period: 7/1/2024</t>
  </si>
  <si>
    <t>Molina Marketplace 2023-2025 Renewal MI, ST (ProRata: 1) Premium Period: 8/1/2024</t>
  </si>
  <si>
    <t>Molina Marketplace 2023-2025 Renewal MI, ST (ProRata: 1) Premium Period: 9/1/2024</t>
  </si>
  <si>
    <t>Molina Marketplace 2023-2025 Renewal MI, ST (ProRata: 1) Premium Period: 10/1/2024</t>
  </si>
  <si>
    <t>Molina Marketplace 2023-2025 Renewal MI, ST (ProRata: 1) Premium Period: 11/1/2024</t>
  </si>
  <si>
    <t>Molina Marketplace 2023-2025 Renewal MI, ST (ProRata: 1) Premium Period: 12/1/2024</t>
  </si>
  <si>
    <t>Molina Marketplace 2023-2025 Renewal MI, ST (ProRata: 1) Premium Period: 1/1/2025</t>
  </si>
  <si>
    <t>Molina Marketplace 2023-2025 Renewal MI, ST (ProRata: 1) Premium Period: 2/1/2025</t>
  </si>
  <si>
    <t>Molina Marketplace 2023-2025 Renewal MI, ST (ProRata: 1) Premium Period: 3/1/2025</t>
  </si>
  <si>
    <t>Molina Marketplace 2023-2025 Renewal MI, ST (ProRata: 1) Premium Period: 4/1/2025</t>
  </si>
  <si>
    <t>Molina Marketplace 2023-2025 Renewal MI, ST (ProRata: 1) Premium Period: 5/1/2025</t>
  </si>
  <si>
    <t>Molina Marketplace 2023-2025 Renewal MI, ST (ProRata: 1) Premium Period: 6/1/2025</t>
  </si>
  <si>
    <t>Gregory Teipel</t>
  </si>
  <si>
    <t>Amy</t>
  </si>
  <si>
    <t>Reiske</t>
  </si>
  <si>
    <t>MI-0002943985</t>
  </si>
  <si>
    <t>Molina Marketplace 2023-2025 Renewal MI, ST (ProRata: 1) Premium Period: 7/1/2025</t>
  </si>
  <si>
    <t>Kyle</t>
  </si>
  <si>
    <t>Hoffman</t>
  </si>
  <si>
    <t>MI-0003825033</t>
  </si>
  <si>
    <t>Tom Pardue</t>
  </si>
  <si>
    <t>Carrington</t>
  </si>
  <si>
    <t>Grissom</t>
  </si>
  <si>
    <t>MS-0002357786</t>
  </si>
  <si>
    <t>Molina Marketplace 2025 OEP/SEP MS (ProRata: 1) Premium Period: 7/1/2025</t>
  </si>
  <si>
    <t>Anthony</t>
  </si>
  <si>
    <t>MS-0003001451</t>
  </si>
  <si>
    <t>Taylor</t>
  </si>
  <si>
    <t>Dickey</t>
  </si>
  <si>
    <t>MS-0003059848</t>
  </si>
  <si>
    <t>Bruce</t>
  </si>
  <si>
    <t>Kelley</t>
  </si>
  <si>
    <t>OH-0000065693</t>
  </si>
  <si>
    <t>Molina Marketplace 2025 CA, KY, OH ST (ProRata: 1) Premium Period: 7/1/2025</t>
  </si>
  <si>
    <t>Ronald</t>
  </si>
  <si>
    <t>Gengler</t>
  </si>
  <si>
    <t>OH-0002894856</t>
  </si>
  <si>
    <t>Amber</t>
  </si>
  <si>
    <t>OH-0003814368</t>
  </si>
  <si>
    <t>Allen</t>
  </si>
  <si>
    <t>Reinhart</t>
  </si>
  <si>
    <t>OH-0003967724</t>
  </si>
  <si>
    <t>Kimberly</t>
  </si>
  <si>
    <t>Smithson</t>
  </si>
  <si>
    <t>OH-0003991006</t>
  </si>
  <si>
    <t>Demetria</t>
  </si>
  <si>
    <t>Scott</t>
  </si>
  <si>
    <t>SC-0002498554</t>
  </si>
  <si>
    <t>James</t>
  </si>
  <si>
    <t>Smith</t>
  </si>
  <si>
    <t>TX-0012033259</t>
  </si>
  <si>
    <t>Jace</t>
  </si>
  <si>
    <t>Harris</t>
  </si>
  <si>
    <t>UT-0002368301</t>
  </si>
  <si>
    <t>Molina Marketplace 2025 UT ST (ProRata: 1) Premium Period: 7/1/2025</t>
  </si>
  <si>
    <t>Boden</t>
  </si>
  <si>
    <t>Woodard</t>
  </si>
  <si>
    <t>UT-0002457940</t>
  </si>
  <si>
    <t>Toni</t>
  </si>
  <si>
    <t>Charter</t>
  </si>
  <si>
    <t>UT-0002516451</t>
  </si>
  <si>
    <t>Douglas</t>
  </si>
  <si>
    <t>UT-0002943631</t>
  </si>
  <si>
    <t>Lisa</t>
  </si>
  <si>
    <t>Biagi Woodard</t>
  </si>
  <si>
    <t>UT-0003053615</t>
  </si>
  <si>
    <t>Kelly</t>
  </si>
  <si>
    <t>UT-0003149617</t>
  </si>
  <si>
    <t>Lance</t>
  </si>
  <si>
    <t>UT-0003354560</t>
  </si>
  <si>
    <t>Hayden</t>
  </si>
  <si>
    <t>UT-0003593049</t>
  </si>
  <si>
    <t>Hailee</t>
  </si>
  <si>
    <t>UT-0003609841</t>
  </si>
  <si>
    <t>Charles</t>
  </si>
  <si>
    <t>Carspecken</t>
  </si>
  <si>
    <t>UT-0004132332</t>
  </si>
  <si>
    <t>Molina Marketplace 2024-2025 OEP/SEP Renewal / Initial OR (ProRata: 1) Premium Period: 6/1/2024</t>
  </si>
  <si>
    <t>Molina Marketplace 2024-2025 OEP/SEP Renewal / Initial OR (ProRata: 1) Premium Period: 7/1/2024</t>
  </si>
  <si>
    <t>Molina Marketplace 2024-2025 OEP/SEP Renewal / Initial OR (ProRata: 1) Premium Period: 8/1/2024</t>
  </si>
  <si>
    <t>Molina Marketplace 2024-2025 OEP/SEP Renewal / Initial OR (ProRata: 1) Premium Period: 9/1/2024</t>
  </si>
  <si>
    <t>Molina Marketplace 2024-2025 OEP/SEP Renewal / Initial OR (ProRata: 1) Premium Period: 10/1/2024</t>
  </si>
  <si>
    <t>Molina Marketplace 2024-2025 OEP/SEP Renewal / Initial OR (ProRata: 1) Premium Period: 11/1/2024</t>
  </si>
  <si>
    <t>Molina Marketplace 2024-2025 OEP/SEP Renewal / Initial OR (ProRata: 1) Premium Period: 12/1/2024</t>
  </si>
  <si>
    <t>Molina Marketplace 2024-2025 OEP/SEP Renewal / Initial OR (ProRata: 1) Premium Period: 1/1/2024</t>
  </si>
  <si>
    <t>Molina Marketplace 2024-2025 OEP/SEP Renewal / Initial OR (ProRata: 1) Premium Period: 2/1/2024</t>
  </si>
  <si>
    <t>Molina Marketplace 2024-2025 OEP/SEP Renewal / Initial OR (ProRata: 1) Premium Period: 3/1/2024</t>
  </si>
  <si>
    <t>Molina Marketplace 2024-2025 OEP/SEP Renewal / Initial OR (ProRata: 1) Premium Period: 4/1/2024</t>
  </si>
  <si>
    <t>Molina Marketplace 2024-2025 OEP/SEP Renewal / Initial OR (ProRata: 1) Premium Period: 5/1/2024</t>
  </si>
  <si>
    <t>Molina Ovr</t>
  </si>
  <si>
    <t>Molina - FL 2025</t>
  </si>
  <si>
    <t>Molina 2025 IL, SC, TX</t>
  </si>
  <si>
    <t>Molina - MI 2025</t>
  </si>
  <si>
    <t>Molina 2025 - MS</t>
  </si>
  <si>
    <t>Molina - CA,KY,OH 2025</t>
  </si>
  <si>
    <t>Molina - SC, UT</t>
  </si>
  <si>
    <t>Main Line Benefits</t>
  </si>
  <si>
    <t>Molina Marketplace 2025 CA, KY, OH ST (ProRata</t>
  </si>
  <si>
    <t xml:space="preserve"> 1) Premium Period</t>
  </si>
  <si>
    <t xml:space="preserve"> 7/1/2025</t>
  </si>
  <si>
    <t>Molina Marketplace 2025 Renewal FL, ST (ProRata</t>
  </si>
  <si>
    <t>Molina Marketplace 2023-2025 Renewal MI, ST (ProRata</t>
  </si>
  <si>
    <t xml:space="preserve"> 1/1/2024</t>
  </si>
  <si>
    <t xml:space="preserve"> 2/1/2024</t>
  </si>
  <si>
    <t xml:space="preserve"> 3/1/2024</t>
  </si>
  <si>
    <t xml:space="preserve"> 4/1/2024</t>
  </si>
  <si>
    <t xml:space="preserve"> 5/1/2024</t>
  </si>
  <si>
    <t xml:space="preserve"> 6/1/2024</t>
  </si>
  <si>
    <t xml:space="preserve"> 7/1/2024</t>
  </si>
  <si>
    <t xml:space="preserve"> 8/1/2024</t>
  </si>
  <si>
    <t xml:space="preserve"> 9/1/2024</t>
  </si>
  <si>
    <t xml:space="preserve"> 10/1/2024</t>
  </si>
  <si>
    <t xml:space="preserve"> 11/1/2024</t>
  </si>
  <si>
    <t xml:space="preserve"> 12/1/2024</t>
  </si>
  <si>
    <t xml:space="preserve"> 1/1/2025</t>
  </si>
  <si>
    <t xml:space="preserve"> 2/1/2025</t>
  </si>
  <si>
    <t xml:space="preserve"> 3/1/2025</t>
  </si>
  <si>
    <t xml:space="preserve"> 4/1/2025</t>
  </si>
  <si>
    <t xml:space="preserve"> 5/1/2025</t>
  </si>
  <si>
    <t xml:space="preserve"> 6/1/2025</t>
  </si>
  <si>
    <t>Molina Marketplace 2025 UT ST (ProRata</t>
  </si>
  <si>
    <t>Molina Marketplace 2025 OEP/SEP MS (ProRata</t>
  </si>
  <si>
    <t>Molina Marketplace 2025 IL, SC, TX ST (ProRata</t>
  </si>
  <si>
    <t>Molina Marketplace 2024-2025 OEP/SEP Renewal / Initial OR (ProRata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</si>
</sst>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A148-5EB5-4B2B-86A8-741ADD66153C}">
  <dimension ref="A1:K69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9079571</v>
      </c>
      <c r="D2" t="s">
        <v>13</v>
      </c>
      <c r="E2" t="s">
        <v>14</v>
      </c>
      <c r="F2" t="s">
        <v>15</v>
      </c>
      <c r="G2" s="1">
        <v>44927</v>
      </c>
      <c r="H2" s="1">
        <v>45870</v>
      </c>
      <c r="I2" t="s">
        <v>16</v>
      </c>
      <c r="J2" t="s">
        <v>17</v>
      </c>
      <c r="K2" s="2">
        <v>27</v>
      </c>
    </row>
    <row r="3" spans="1:11" x14ac:dyDescent="0.25">
      <c r="A3" t="s">
        <v>18</v>
      </c>
      <c r="B3" t="s">
        <v>19</v>
      </c>
      <c r="C3">
        <v>8977234</v>
      </c>
      <c r="D3" t="s">
        <v>20</v>
      </c>
      <c r="E3" t="s">
        <v>21</v>
      </c>
      <c r="F3" t="s">
        <v>22</v>
      </c>
      <c r="G3" s="1">
        <v>44986</v>
      </c>
      <c r="H3" s="1">
        <v>45870</v>
      </c>
      <c r="I3" t="s">
        <v>16</v>
      </c>
      <c r="J3" t="s">
        <v>17</v>
      </c>
      <c r="K3" s="2">
        <v>27</v>
      </c>
    </row>
    <row r="4" spans="1:11" x14ac:dyDescent="0.25">
      <c r="A4" t="s">
        <v>23</v>
      </c>
      <c r="C4">
        <v>16683808</v>
      </c>
      <c r="D4" t="s">
        <v>24</v>
      </c>
      <c r="E4" t="s">
        <v>25</v>
      </c>
      <c r="F4" t="s">
        <v>26</v>
      </c>
      <c r="G4" s="1">
        <v>45658</v>
      </c>
      <c r="H4" s="1">
        <v>45870</v>
      </c>
      <c r="I4" t="s">
        <v>16</v>
      </c>
      <c r="J4" t="s">
        <v>17</v>
      </c>
      <c r="K4" s="2">
        <v>27</v>
      </c>
    </row>
    <row r="5" spans="1:11" x14ac:dyDescent="0.25">
      <c r="A5" t="s">
        <v>18</v>
      </c>
      <c r="B5" t="s">
        <v>19</v>
      </c>
      <c r="C5">
        <v>8977234</v>
      </c>
      <c r="D5" t="s">
        <v>27</v>
      </c>
      <c r="E5" t="s">
        <v>28</v>
      </c>
      <c r="F5" t="s">
        <v>29</v>
      </c>
      <c r="G5" s="1">
        <v>45658</v>
      </c>
      <c r="H5" s="1">
        <v>45870</v>
      </c>
      <c r="I5" t="s">
        <v>16</v>
      </c>
      <c r="J5" t="s">
        <v>17</v>
      </c>
      <c r="K5" s="2">
        <v>27</v>
      </c>
    </row>
    <row r="6" spans="1:11" x14ac:dyDescent="0.25">
      <c r="A6" t="s">
        <v>18</v>
      </c>
      <c r="B6" t="s">
        <v>19</v>
      </c>
      <c r="C6">
        <v>8977234</v>
      </c>
      <c r="D6" t="s">
        <v>30</v>
      </c>
      <c r="E6" t="s">
        <v>31</v>
      </c>
      <c r="F6" t="s">
        <v>32</v>
      </c>
      <c r="G6" s="1">
        <v>45658</v>
      </c>
      <c r="H6" s="1">
        <v>45870</v>
      </c>
      <c r="I6" t="s">
        <v>16</v>
      </c>
      <c r="J6" t="s">
        <v>17</v>
      </c>
      <c r="K6" s="2">
        <v>27</v>
      </c>
    </row>
    <row r="7" spans="1:11" x14ac:dyDescent="0.25">
      <c r="A7" t="s">
        <v>33</v>
      </c>
      <c r="C7">
        <v>16633294</v>
      </c>
      <c r="D7" t="s">
        <v>34</v>
      </c>
      <c r="E7" t="s">
        <v>35</v>
      </c>
      <c r="F7" t="s">
        <v>36</v>
      </c>
      <c r="G7" s="1">
        <v>45658</v>
      </c>
      <c r="H7" s="1">
        <v>45870</v>
      </c>
      <c r="I7" t="s">
        <v>16</v>
      </c>
      <c r="J7" t="s">
        <v>17</v>
      </c>
      <c r="K7" s="2">
        <v>27</v>
      </c>
    </row>
    <row r="8" spans="1:11" x14ac:dyDescent="0.25">
      <c r="A8" t="s">
        <v>18</v>
      </c>
      <c r="B8" t="s">
        <v>19</v>
      </c>
      <c r="C8">
        <v>8977234</v>
      </c>
      <c r="D8" t="s">
        <v>37</v>
      </c>
      <c r="E8" t="s">
        <v>38</v>
      </c>
      <c r="F8" t="s">
        <v>39</v>
      </c>
      <c r="G8" s="1">
        <v>45839</v>
      </c>
      <c r="H8" s="1">
        <v>45870</v>
      </c>
      <c r="I8" t="s">
        <v>16</v>
      </c>
      <c r="J8" t="s">
        <v>17</v>
      </c>
      <c r="K8" s="2">
        <v>27</v>
      </c>
    </row>
    <row r="9" spans="1:11" x14ac:dyDescent="0.25">
      <c r="A9" t="s">
        <v>40</v>
      </c>
      <c r="C9">
        <v>19396223</v>
      </c>
      <c r="D9" t="s">
        <v>41</v>
      </c>
      <c r="E9" t="s">
        <v>42</v>
      </c>
      <c r="F9" t="s">
        <v>43</v>
      </c>
      <c r="G9" s="1">
        <v>45717</v>
      </c>
      <c r="H9" s="1">
        <v>45870</v>
      </c>
      <c r="I9" t="s">
        <v>16</v>
      </c>
      <c r="J9" t="s">
        <v>44</v>
      </c>
      <c r="K9" s="2">
        <v>25</v>
      </c>
    </row>
    <row r="10" spans="1:11" x14ac:dyDescent="0.25">
      <c r="A10" t="s">
        <v>33</v>
      </c>
      <c r="C10">
        <v>16633294</v>
      </c>
      <c r="D10" t="s">
        <v>45</v>
      </c>
      <c r="E10" t="s">
        <v>46</v>
      </c>
      <c r="F10" t="s">
        <v>47</v>
      </c>
      <c r="G10" s="1">
        <v>45717</v>
      </c>
      <c r="H10" s="1">
        <v>45870</v>
      </c>
      <c r="I10" t="s">
        <v>16</v>
      </c>
      <c r="J10" t="s">
        <v>44</v>
      </c>
      <c r="K10" s="2">
        <v>25</v>
      </c>
    </row>
    <row r="11" spans="1:11" x14ac:dyDescent="0.25">
      <c r="A11" t="s">
        <v>40</v>
      </c>
      <c r="C11">
        <v>19396223</v>
      </c>
      <c r="D11" t="s">
        <v>48</v>
      </c>
      <c r="E11" t="s">
        <v>49</v>
      </c>
      <c r="F11" t="s">
        <v>50</v>
      </c>
      <c r="G11" s="1">
        <v>45566</v>
      </c>
      <c r="H11" s="1">
        <v>45870</v>
      </c>
      <c r="I11" t="s">
        <v>16</v>
      </c>
      <c r="J11" t="s">
        <v>44</v>
      </c>
      <c r="K11" s="2">
        <v>25</v>
      </c>
    </row>
    <row r="12" spans="1:11" x14ac:dyDescent="0.25">
      <c r="A12" t="s">
        <v>51</v>
      </c>
      <c r="C12">
        <v>9213293</v>
      </c>
      <c r="D12" t="s">
        <v>52</v>
      </c>
      <c r="E12" t="s">
        <v>53</v>
      </c>
      <c r="F12" t="s">
        <v>54</v>
      </c>
      <c r="G12" s="1">
        <v>45658</v>
      </c>
      <c r="H12" s="1">
        <v>45870</v>
      </c>
      <c r="I12" t="s">
        <v>16</v>
      </c>
      <c r="J12" t="s">
        <v>44</v>
      </c>
      <c r="K12" s="2">
        <v>25</v>
      </c>
    </row>
    <row r="13" spans="1:11" x14ac:dyDescent="0.25">
      <c r="A13" t="s">
        <v>33</v>
      </c>
      <c r="C13">
        <v>16633294</v>
      </c>
      <c r="D13" t="s">
        <v>55</v>
      </c>
      <c r="E13" t="s">
        <v>56</v>
      </c>
      <c r="F13" t="s">
        <v>57</v>
      </c>
      <c r="G13" s="1">
        <v>45689</v>
      </c>
      <c r="H13" s="1">
        <v>45870</v>
      </c>
      <c r="I13" t="s">
        <v>16</v>
      </c>
      <c r="J13" t="s">
        <v>44</v>
      </c>
      <c r="K13" s="2">
        <v>25</v>
      </c>
    </row>
    <row r="14" spans="1:11" x14ac:dyDescent="0.25">
      <c r="A14" t="s">
        <v>40</v>
      </c>
      <c r="C14">
        <v>19396223</v>
      </c>
      <c r="D14" t="s">
        <v>58</v>
      </c>
      <c r="E14" t="s">
        <v>59</v>
      </c>
      <c r="F14" t="s">
        <v>60</v>
      </c>
      <c r="G14" s="1">
        <v>45658</v>
      </c>
      <c r="H14" s="1">
        <v>45870</v>
      </c>
      <c r="I14" t="s">
        <v>16</v>
      </c>
      <c r="J14" t="s">
        <v>44</v>
      </c>
      <c r="K14" s="2">
        <v>25</v>
      </c>
    </row>
    <row r="15" spans="1:11" x14ac:dyDescent="0.25">
      <c r="A15" t="s">
        <v>23</v>
      </c>
      <c r="C15">
        <v>16683808</v>
      </c>
      <c r="D15" t="s">
        <v>61</v>
      </c>
      <c r="E15" t="s">
        <v>62</v>
      </c>
      <c r="F15" t="s">
        <v>63</v>
      </c>
      <c r="G15" s="1">
        <v>45658</v>
      </c>
      <c r="H15" s="1">
        <v>45870</v>
      </c>
      <c r="I15" t="s">
        <v>16</v>
      </c>
      <c r="J15" t="s">
        <v>44</v>
      </c>
      <c r="K15" s="2">
        <v>25</v>
      </c>
    </row>
    <row r="16" spans="1:11" x14ac:dyDescent="0.25">
      <c r="A16" t="s">
        <v>64</v>
      </c>
      <c r="C16">
        <v>7146581</v>
      </c>
      <c r="D16" t="s">
        <v>65</v>
      </c>
      <c r="E16" t="s">
        <v>66</v>
      </c>
      <c r="F16" t="s">
        <v>67</v>
      </c>
      <c r="G16" s="1">
        <v>45658</v>
      </c>
      <c r="H16" s="1">
        <v>45870</v>
      </c>
      <c r="I16" t="s">
        <v>16</v>
      </c>
      <c r="J16" t="s">
        <v>44</v>
      </c>
      <c r="K16" s="2">
        <v>25</v>
      </c>
    </row>
    <row r="17" spans="1:11" x14ac:dyDescent="0.25">
      <c r="A17" t="s">
        <v>51</v>
      </c>
      <c r="C17">
        <v>9213293</v>
      </c>
      <c r="D17" t="s">
        <v>68</v>
      </c>
      <c r="E17" t="s">
        <v>62</v>
      </c>
      <c r="F17" t="s">
        <v>69</v>
      </c>
      <c r="G17" s="1">
        <v>45658</v>
      </c>
      <c r="H17" s="1">
        <v>45870</v>
      </c>
      <c r="I17" t="s">
        <v>16</v>
      </c>
      <c r="J17" t="s">
        <v>44</v>
      </c>
      <c r="K17" s="2">
        <v>25</v>
      </c>
    </row>
    <row r="18" spans="1:11" x14ac:dyDescent="0.25">
      <c r="A18" t="s">
        <v>70</v>
      </c>
      <c r="B18" t="s">
        <v>71</v>
      </c>
      <c r="C18">
        <v>20436896</v>
      </c>
      <c r="D18" t="s">
        <v>72</v>
      </c>
      <c r="E18" t="s">
        <v>73</v>
      </c>
      <c r="F18" t="s">
        <v>74</v>
      </c>
      <c r="G18" s="1">
        <v>44927</v>
      </c>
      <c r="H18" s="1">
        <v>45870</v>
      </c>
      <c r="I18" t="s">
        <v>16</v>
      </c>
      <c r="J18" t="s">
        <v>75</v>
      </c>
      <c r="K18" s="2">
        <v>24</v>
      </c>
    </row>
    <row r="19" spans="1:11" x14ac:dyDescent="0.25">
      <c r="A19" t="s">
        <v>70</v>
      </c>
      <c r="B19" t="s">
        <v>71</v>
      </c>
      <c r="C19">
        <v>20436896</v>
      </c>
      <c r="D19" t="s">
        <v>72</v>
      </c>
      <c r="E19" t="s">
        <v>73</v>
      </c>
      <c r="F19" t="s">
        <v>74</v>
      </c>
      <c r="G19" s="1">
        <v>44927</v>
      </c>
      <c r="H19" s="1">
        <v>45870</v>
      </c>
      <c r="I19" t="s">
        <v>16</v>
      </c>
      <c r="J19" t="s">
        <v>76</v>
      </c>
      <c r="K19" s="2">
        <v>24</v>
      </c>
    </row>
    <row r="20" spans="1:11" x14ac:dyDescent="0.25">
      <c r="A20" t="s">
        <v>70</v>
      </c>
      <c r="B20" t="s">
        <v>71</v>
      </c>
      <c r="C20">
        <v>20436896</v>
      </c>
      <c r="D20" t="s">
        <v>72</v>
      </c>
      <c r="E20" t="s">
        <v>73</v>
      </c>
      <c r="F20" t="s">
        <v>74</v>
      </c>
      <c r="G20" s="1">
        <v>44927</v>
      </c>
      <c r="H20" s="1">
        <v>45870</v>
      </c>
      <c r="I20" t="s">
        <v>16</v>
      </c>
      <c r="J20" t="s">
        <v>77</v>
      </c>
      <c r="K20" s="2">
        <v>24</v>
      </c>
    </row>
    <row r="21" spans="1:11" x14ac:dyDescent="0.25">
      <c r="A21" t="s">
        <v>70</v>
      </c>
      <c r="B21" t="s">
        <v>71</v>
      </c>
      <c r="C21">
        <v>20436896</v>
      </c>
      <c r="D21" t="s">
        <v>72</v>
      </c>
      <c r="E21" t="s">
        <v>73</v>
      </c>
      <c r="F21" t="s">
        <v>74</v>
      </c>
      <c r="G21" s="1">
        <v>44927</v>
      </c>
      <c r="H21" s="1">
        <v>45870</v>
      </c>
      <c r="I21" t="s">
        <v>16</v>
      </c>
      <c r="J21" t="s">
        <v>78</v>
      </c>
      <c r="K21" s="2">
        <v>24</v>
      </c>
    </row>
    <row r="22" spans="1:11" x14ac:dyDescent="0.25">
      <c r="A22" t="s">
        <v>70</v>
      </c>
      <c r="B22" t="s">
        <v>71</v>
      </c>
      <c r="C22">
        <v>20436896</v>
      </c>
      <c r="D22" t="s">
        <v>72</v>
      </c>
      <c r="E22" t="s">
        <v>73</v>
      </c>
      <c r="F22" t="s">
        <v>74</v>
      </c>
      <c r="G22" s="1">
        <v>44927</v>
      </c>
      <c r="H22" s="1">
        <v>45870</v>
      </c>
      <c r="I22" t="s">
        <v>16</v>
      </c>
      <c r="J22" t="s">
        <v>79</v>
      </c>
      <c r="K22" s="2">
        <v>24</v>
      </c>
    </row>
    <row r="23" spans="1:11" x14ac:dyDescent="0.25">
      <c r="A23" t="s">
        <v>70</v>
      </c>
      <c r="B23" t="s">
        <v>71</v>
      </c>
      <c r="C23">
        <v>20436896</v>
      </c>
      <c r="D23" t="s">
        <v>72</v>
      </c>
      <c r="E23" t="s">
        <v>73</v>
      </c>
      <c r="F23" t="s">
        <v>74</v>
      </c>
      <c r="G23" s="1">
        <v>44927</v>
      </c>
      <c r="H23" s="1">
        <v>45870</v>
      </c>
      <c r="I23" t="s">
        <v>16</v>
      </c>
      <c r="J23" t="s">
        <v>80</v>
      </c>
      <c r="K23" s="2">
        <v>24</v>
      </c>
    </row>
    <row r="24" spans="1:11" x14ac:dyDescent="0.25">
      <c r="A24" t="s">
        <v>70</v>
      </c>
      <c r="B24" t="s">
        <v>71</v>
      </c>
      <c r="C24">
        <v>20436896</v>
      </c>
      <c r="D24" t="s">
        <v>72</v>
      </c>
      <c r="E24" t="s">
        <v>73</v>
      </c>
      <c r="F24" t="s">
        <v>74</v>
      </c>
      <c r="G24" s="1">
        <v>44927</v>
      </c>
      <c r="H24" s="1">
        <v>45870</v>
      </c>
      <c r="I24" t="s">
        <v>16</v>
      </c>
      <c r="J24" t="s">
        <v>81</v>
      </c>
      <c r="K24" s="2">
        <v>24</v>
      </c>
    </row>
    <row r="25" spans="1:11" x14ac:dyDescent="0.25">
      <c r="A25" t="s">
        <v>70</v>
      </c>
      <c r="B25" t="s">
        <v>71</v>
      </c>
      <c r="C25">
        <v>20436896</v>
      </c>
      <c r="D25" t="s">
        <v>72</v>
      </c>
      <c r="E25" t="s">
        <v>73</v>
      </c>
      <c r="F25" t="s">
        <v>74</v>
      </c>
      <c r="G25" s="1">
        <v>44927</v>
      </c>
      <c r="H25" s="1">
        <v>45870</v>
      </c>
      <c r="I25" t="s">
        <v>16</v>
      </c>
      <c r="J25" t="s">
        <v>82</v>
      </c>
      <c r="K25" s="2">
        <v>24</v>
      </c>
    </row>
    <row r="26" spans="1:11" x14ac:dyDescent="0.25">
      <c r="A26" t="s">
        <v>70</v>
      </c>
      <c r="B26" t="s">
        <v>71</v>
      </c>
      <c r="C26">
        <v>20436896</v>
      </c>
      <c r="D26" t="s">
        <v>72</v>
      </c>
      <c r="E26" t="s">
        <v>73</v>
      </c>
      <c r="F26" t="s">
        <v>74</v>
      </c>
      <c r="G26" s="1">
        <v>44927</v>
      </c>
      <c r="H26" s="1">
        <v>45870</v>
      </c>
      <c r="I26" t="s">
        <v>16</v>
      </c>
      <c r="J26" t="s">
        <v>83</v>
      </c>
      <c r="K26" s="2">
        <v>24</v>
      </c>
    </row>
    <row r="27" spans="1:11" x14ac:dyDescent="0.25">
      <c r="A27" t="s">
        <v>70</v>
      </c>
      <c r="B27" t="s">
        <v>71</v>
      </c>
      <c r="C27">
        <v>20436896</v>
      </c>
      <c r="D27" t="s">
        <v>72</v>
      </c>
      <c r="E27" t="s">
        <v>73</v>
      </c>
      <c r="F27" t="s">
        <v>74</v>
      </c>
      <c r="G27" s="1">
        <v>44927</v>
      </c>
      <c r="H27" s="1">
        <v>45870</v>
      </c>
      <c r="I27" t="s">
        <v>16</v>
      </c>
      <c r="J27" t="s">
        <v>84</v>
      </c>
      <c r="K27" s="2">
        <v>24</v>
      </c>
    </row>
    <row r="28" spans="1:11" x14ac:dyDescent="0.25">
      <c r="A28" t="s">
        <v>70</v>
      </c>
      <c r="B28" t="s">
        <v>71</v>
      </c>
      <c r="C28">
        <v>20436896</v>
      </c>
      <c r="D28" t="s">
        <v>72</v>
      </c>
      <c r="E28" t="s">
        <v>73</v>
      </c>
      <c r="F28" t="s">
        <v>74</v>
      </c>
      <c r="G28" s="1">
        <v>44927</v>
      </c>
      <c r="H28" s="1">
        <v>45870</v>
      </c>
      <c r="I28" t="s">
        <v>16</v>
      </c>
      <c r="J28" t="s">
        <v>85</v>
      </c>
      <c r="K28" s="2">
        <v>24</v>
      </c>
    </row>
    <row r="29" spans="1:11" x14ac:dyDescent="0.25">
      <c r="A29" t="s">
        <v>70</v>
      </c>
      <c r="B29" t="s">
        <v>71</v>
      </c>
      <c r="C29">
        <v>20436896</v>
      </c>
      <c r="D29" t="s">
        <v>72</v>
      </c>
      <c r="E29" t="s">
        <v>73</v>
      </c>
      <c r="F29" t="s">
        <v>74</v>
      </c>
      <c r="G29" s="1">
        <v>44927</v>
      </c>
      <c r="H29" s="1">
        <v>45870</v>
      </c>
      <c r="I29" t="s">
        <v>16</v>
      </c>
      <c r="J29" t="s">
        <v>86</v>
      </c>
      <c r="K29" s="2">
        <v>24</v>
      </c>
    </row>
    <row r="30" spans="1:11" x14ac:dyDescent="0.25">
      <c r="A30" t="s">
        <v>70</v>
      </c>
      <c r="B30" t="s">
        <v>71</v>
      </c>
      <c r="C30">
        <v>20436896</v>
      </c>
      <c r="D30" t="s">
        <v>72</v>
      </c>
      <c r="E30" t="s">
        <v>73</v>
      </c>
      <c r="F30" t="s">
        <v>74</v>
      </c>
      <c r="G30" s="1">
        <v>44927</v>
      </c>
      <c r="H30" s="1">
        <v>45870</v>
      </c>
      <c r="I30" t="s">
        <v>16</v>
      </c>
      <c r="J30" t="s">
        <v>87</v>
      </c>
      <c r="K30" s="2">
        <v>24</v>
      </c>
    </row>
    <row r="31" spans="1:11" x14ac:dyDescent="0.25">
      <c r="A31" t="s">
        <v>70</v>
      </c>
      <c r="B31" t="s">
        <v>71</v>
      </c>
      <c r="C31">
        <v>20436896</v>
      </c>
      <c r="D31" t="s">
        <v>72</v>
      </c>
      <c r="E31" t="s">
        <v>73</v>
      </c>
      <c r="F31" t="s">
        <v>74</v>
      </c>
      <c r="G31" s="1">
        <v>44927</v>
      </c>
      <c r="H31" s="1">
        <v>45870</v>
      </c>
      <c r="I31" t="s">
        <v>16</v>
      </c>
      <c r="J31" t="s">
        <v>88</v>
      </c>
      <c r="K31" s="2">
        <v>24</v>
      </c>
    </row>
    <row r="32" spans="1:11" x14ac:dyDescent="0.25">
      <c r="A32" t="s">
        <v>70</v>
      </c>
      <c r="B32" t="s">
        <v>71</v>
      </c>
      <c r="C32">
        <v>20436896</v>
      </c>
      <c r="D32" t="s">
        <v>72</v>
      </c>
      <c r="E32" t="s">
        <v>73</v>
      </c>
      <c r="F32" t="s">
        <v>74</v>
      </c>
      <c r="G32" s="1">
        <v>44927</v>
      </c>
      <c r="H32" s="1">
        <v>45870</v>
      </c>
      <c r="I32" t="s">
        <v>16</v>
      </c>
      <c r="J32" t="s">
        <v>89</v>
      </c>
      <c r="K32" s="2">
        <v>24</v>
      </c>
    </row>
    <row r="33" spans="1:11" x14ac:dyDescent="0.25">
      <c r="A33" t="s">
        <v>70</v>
      </c>
      <c r="B33" t="s">
        <v>71</v>
      </c>
      <c r="C33">
        <v>20436896</v>
      </c>
      <c r="D33" t="s">
        <v>72</v>
      </c>
      <c r="E33" t="s">
        <v>73</v>
      </c>
      <c r="F33" t="s">
        <v>74</v>
      </c>
      <c r="G33" s="1">
        <v>44927</v>
      </c>
      <c r="H33" s="1">
        <v>45870</v>
      </c>
      <c r="I33" t="s">
        <v>16</v>
      </c>
      <c r="J33" t="s">
        <v>90</v>
      </c>
      <c r="K33" s="2">
        <v>24</v>
      </c>
    </row>
    <row r="34" spans="1:11" x14ac:dyDescent="0.25">
      <c r="A34" t="s">
        <v>70</v>
      </c>
      <c r="B34" t="s">
        <v>71</v>
      </c>
      <c r="C34">
        <v>20436896</v>
      </c>
      <c r="D34" t="s">
        <v>72</v>
      </c>
      <c r="E34" t="s">
        <v>73</v>
      </c>
      <c r="F34" t="s">
        <v>74</v>
      </c>
      <c r="G34" s="1">
        <v>44927</v>
      </c>
      <c r="H34" s="1">
        <v>45870</v>
      </c>
      <c r="I34" t="s">
        <v>16</v>
      </c>
      <c r="J34" t="s">
        <v>91</v>
      </c>
      <c r="K34" s="2">
        <v>24</v>
      </c>
    </row>
    <row r="35" spans="1:11" x14ac:dyDescent="0.25">
      <c r="A35" t="s">
        <v>70</v>
      </c>
      <c r="B35" t="s">
        <v>71</v>
      </c>
      <c r="C35">
        <v>20436896</v>
      </c>
      <c r="D35" t="s">
        <v>72</v>
      </c>
      <c r="E35" t="s">
        <v>73</v>
      </c>
      <c r="F35" t="s">
        <v>74</v>
      </c>
      <c r="G35" s="1">
        <v>44927</v>
      </c>
      <c r="H35" s="1">
        <v>45870</v>
      </c>
      <c r="I35" t="s">
        <v>16</v>
      </c>
      <c r="J35" t="s">
        <v>92</v>
      </c>
      <c r="K35" s="2">
        <v>24</v>
      </c>
    </row>
    <row r="36" spans="1:11" x14ac:dyDescent="0.25">
      <c r="A36" t="s">
        <v>93</v>
      </c>
      <c r="C36">
        <v>8307933</v>
      </c>
      <c r="D36" t="s">
        <v>94</v>
      </c>
      <c r="E36" t="s">
        <v>95</v>
      </c>
      <c r="F36" t="s">
        <v>96</v>
      </c>
      <c r="G36" s="1">
        <v>44927</v>
      </c>
      <c r="H36" s="1">
        <v>45870</v>
      </c>
      <c r="I36" t="s">
        <v>16</v>
      </c>
      <c r="J36" t="s">
        <v>97</v>
      </c>
      <c r="K36" s="2">
        <v>24</v>
      </c>
    </row>
    <row r="37" spans="1:11" x14ac:dyDescent="0.25">
      <c r="A37" t="s">
        <v>70</v>
      </c>
      <c r="B37" t="s">
        <v>71</v>
      </c>
      <c r="C37">
        <v>20436896</v>
      </c>
      <c r="D37" t="s">
        <v>98</v>
      </c>
      <c r="E37" t="s">
        <v>99</v>
      </c>
      <c r="F37" t="s">
        <v>100</v>
      </c>
      <c r="G37" s="1">
        <v>44197</v>
      </c>
      <c r="H37" s="1">
        <v>45870</v>
      </c>
      <c r="I37" t="s">
        <v>16</v>
      </c>
      <c r="J37" t="s">
        <v>97</v>
      </c>
      <c r="K37" s="2">
        <v>24</v>
      </c>
    </row>
    <row r="38" spans="1:11" x14ac:dyDescent="0.25">
      <c r="A38" t="s">
        <v>101</v>
      </c>
      <c r="C38">
        <v>371819</v>
      </c>
      <c r="D38" t="s">
        <v>102</v>
      </c>
      <c r="E38" t="s">
        <v>103</v>
      </c>
      <c r="F38" t="s">
        <v>104</v>
      </c>
      <c r="G38" s="1">
        <v>45536</v>
      </c>
      <c r="H38" s="1">
        <v>45870</v>
      </c>
      <c r="I38" t="s">
        <v>16</v>
      </c>
      <c r="J38" t="s">
        <v>105</v>
      </c>
      <c r="K38" s="2">
        <v>22</v>
      </c>
    </row>
    <row r="39" spans="1:11" x14ac:dyDescent="0.25">
      <c r="A39" t="s">
        <v>101</v>
      </c>
      <c r="C39">
        <v>371819</v>
      </c>
      <c r="D39" t="s">
        <v>106</v>
      </c>
      <c r="E39" t="s">
        <v>103</v>
      </c>
      <c r="F39" t="s">
        <v>107</v>
      </c>
      <c r="G39" s="1">
        <v>45536</v>
      </c>
      <c r="H39" s="1">
        <v>45870</v>
      </c>
      <c r="I39" t="s">
        <v>16</v>
      </c>
      <c r="J39" t="s">
        <v>105</v>
      </c>
      <c r="K39" s="2">
        <v>22</v>
      </c>
    </row>
    <row r="40" spans="1:11" x14ac:dyDescent="0.25">
      <c r="A40" t="s">
        <v>93</v>
      </c>
      <c r="C40">
        <v>8307933</v>
      </c>
      <c r="D40" t="s">
        <v>108</v>
      </c>
      <c r="E40" t="s">
        <v>109</v>
      </c>
      <c r="F40" t="s">
        <v>110</v>
      </c>
      <c r="G40" s="1">
        <v>45658</v>
      </c>
      <c r="H40" s="1">
        <v>45870</v>
      </c>
      <c r="I40" t="s">
        <v>16</v>
      </c>
      <c r="J40" t="s">
        <v>105</v>
      </c>
      <c r="K40" s="2">
        <v>22</v>
      </c>
    </row>
    <row r="41" spans="1:11" x14ac:dyDescent="0.25">
      <c r="A41" t="s">
        <v>18</v>
      </c>
      <c r="B41" t="s">
        <v>19</v>
      </c>
      <c r="C41">
        <v>8977234</v>
      </c>
      <c r="D41" t="s">
        <v>111</v>
      </c>
      <c r="E41" t="s">
        <v>112</v>
      </c>
      <c r="F41" t="s">
        <v>113</v>
      </c>
      <c r="G41" s="1">
        <v>45292</v>
      </c>
      <c r="H41" s="1">
        <v>45870</v>
      </c>
      <c r="I41" t="s">
        <v>16</v>
      </c>
      <c r="J41" t="s">
        <v>114</v>
      </c>
      <c r="K41" s="2">
        <v>20</v>
      </c>
    </row>
    <row r="42" spans="1:11" x14ac:dyDescent="0.25">
      <c r="A42" t="s">
        <v>18</v>
      </c>
      <c r="B42" t="s">
        <v>19</v>
      </c>
      <c r="C42">
        <v>8977234</v>
      </c>
      <c r="D42" t="s">
        <v>115</v>
      </c>
      <c r="E42" t="s">
        <v>116</v>
      </c>
      <c r="F42" t="s">
        <v>117</v>
      </c>
      <c r="G42" s="1">
        <v>45292</v>
      </c>
      <c r="H42" s="1">
        <v>45870</v>
      </c>
      <c r="I42" t="s">
        <v>16</v>
      </c>
      <c r="J42" t="s">
        <v>114</v>
      </c>
      <c r="K42" s="2">
        <v>20</v>
      </c>
    </row>
    <row r="43" spans="1:11" x14ac:dyDescent="0.25">
      <c r="A43" t="s">
        <v>18</v>
      </c>
      <c r="B43" t="s">
        <v>19</v>
      </c>
      <c r="C43">
        <v>8977234</v>
      </c>
      <c r="D43" t="s">
        <v>118</v>
      </c>
      <c r="E43" t="s">
        <v>116</v>
      </c>
      <c r="F43" t="s">
        <v>119</v>
      </c>
      <c r="G43" s="1">
        <v>45292</v>
      </c>
      <c r="H43" s="1">
        <v>45870</v>
      </c>
      <c r="I43" t="s">
        <v>16</v>
      </c>
      <c r="J43" t="s">
        <v>114</v>
      </c>
      <c r="K43" s="2">
        <v>20</v>
      </c>
    </row>
    <row r="44" spans="1:11" x14ac:dyDescent="0.25">
      <c r="A44" t="s">
        <v>18</v>
      </c>
      <c r="B44" t="s">
        <v>19</v>
      </c>
      <c r="C44">
        <v>8977234</v>
      </c>
      <c r="D44" t="s">
        <v>120</v>
      </c>
      <c r="E44" t="s">
        <v>121</v>
      </c>
      <c r="F44" t="s">
        <v>122</v>
      </c>
      <c r="G44" s="1">
        <v>45658</v>
      </c>
      <c r="H44" s="1">
        <v>45870</v>
      </c>
      <c r="I44" t="s">
        <v>16</v>
      </c>
      <c r="J44" t="s">
        <v>114</v>
      </c>
      <c r="K44" s="2">
        <v>20</v>
      </c>
    </row>
    <row r="45" spans="1:11" x14ac:dyDescent="0.25">
      <c r="A45" t="s">
        <v>18</v>
      </c>
      <c r="B45" t="s">
        <v>19</v>
      </c>
      <c r="C45">
        <v>8977234</v>
      </c>
      <c r="D45" t="s">
        <v>123</v>
      </c>
      <c r="E45" t="s">
        <v>124</v>
      </c>
      <c r="F45" t="s">
        <v>125</v>
      </c>
      <c r="G45" s="1">
        <v>45658</v>
      </c>
      <c r="H45" s="1">
        <v>45870</v>
      </c>
      <c r="I45" t="s">
        <v>16</v>
      </c>
      <c r="J45" t="s">
        <v>114</v>
      </c>
      <c r="K45" s="2">
        <v>20</v>
      </c>
    </row>
    <row r="46" spans="1:11" x14ac:dyDescent="0.25">
      <c r="A46" t="s">
        <v>101</v>
      </c>
      <c r="C46">
        <v>371819</v>
      </c>
      <c r="D46" t="s">
        <v>126</v>
      </c>
      <c r="E46" t="s">
        <v>127</v>
      </c>
      <c r="F46" t="s">
        <v>128</v>
      </c>
      <c r="G46" s="1">
        <v>45658</v>
      </c>
      <c r="H46" s="1">
        <v>45870</v>
      </c>
      <c r="I46" t="s">
        <v>16</v>
      </c>
      <c r="J46" t="s">
        <v>44</v>
      </c>
      <c r="K46" s="2">
        <v>25</v>
      </c>
    </row>
    <row r="47" spans="1:11" x14ac:dyDescent="0.25">
      <c r="A47" t="s">
        <v>18</v>
      </c>
      <c r="B47" t="s">
        <v>19</v>
      </c>
      <c r="C47">
        <v>8977234</v>
      </c>
      <c r="D47" t="s">
        <v>129</v>
      </c>
      <c r="E47" t="s">
        <v>130</v>
      </c>
      <c r="F47" t="s">
        <v>131</v>
      </c>
      <c r="G47" s="1">
        <v>44835</v>
      </c>
      <c r="H47" s="1">
        <v>45870</v>
      </c>
      <c r="I47" t="s">
        <v>16</v>
      </c>
      <c r="J47" t="s">
        <v>44</v>
      </c>
      <c r="K47" s="2">
        <v>25</v>
      </c>
    </row>
    <row r="48" spans="1:11" x14ac:dyDescent="0.25">
      <c r="A48" t="s">
        <v>18</v>
      </c>
      <c r="B48" t="s">
        <v>19</v>
      </c>
      <c r="C48">
        <v>8977234</v>
      </c>
      <c r="D48" t="s">
        <v>132</v>
      </c>
      <c r="E48" t="s">
        <v>133</v>
      </c>
      <c r="F48" t="s">
        <v>134</v>
      </c>
      <c r="G48" s="1">
        <v>45778</v>
      </c>
      <c r="H48" s="1">
        <v>45870</v>
      </c>
      <c r="I48" t="s">
        <v>16</v>
      </c>
      <c r="J48" t="s">
        <v>135</v>
      </c>
      <c r="K48" s="2">
        <v>19</v>
      </c>
    </row>
    <row r="49" spans="1:11" x14ac:dyDescent="0.25">
      <c r="A49" t="s">
        <v>18</v>
      </c>
      <c r="B49" t="s">
        <v>19</v>
      </c>
      <c r="C49">
        <v>8977234</v>
      </c>
      <c r="D49" t="s">
        <v>136</v>
      </c>
      <c r="E49" t="s">
        <v>137</v>
      </c>
      <c r="F49" t="s">
        <v>138</v>
      </c>
      <c r="G49" s="1">
        <v>45292</v>
      </c>
      <c r="H49" s="1">
        <v>45870</v>
      </c>
      <c r="I49" t="s">
        <v>16</v>
      </c>
      <c r="J49" t="s">
        <v>135</v>
      </c>
      <c r="K49" s="2">
        <v>19</v>
      </c>
    </row>
    <row r="50" spans="1:11" x14ac:dyDescent="0.25">
      <c r="A50" t="s">
        <v>18</v>
      </c>
      <c r="B50" t="s">
        <v>19</v>
      </c>
      <c r="C50">
        <v>8977234</v>
      </c>
      <c r="D50" t="s">
        <v>139</v>
      </c>
      <c r="E50" t="s">
        <v>140</v>
      </c>
      <c r="F50" t="s">
        <v>141</v>
      </c>
      <c r="G50" s="1">
        <v>45658</v>
      </c>
      <c r="H50" s="1">
        <v>45870</v>
      </c>
      <c r="I50" t="s">
        <v>16</v>
      </c>
      <c r="J50" t="s">
        <v>135</v>
      </c>
      <c r="K50" s="2">
        <v>19</v>
      </c>
    </row>
    <row r="51" spans="1:11" x14ac:dyDescent="0.25">
      <c r="A51" t="s">
        <v>18</v>
      </c>
      <c r="B51" t="s">
        <v>19</v>
      </c>
      <c r="C51">
        <v>8977234</v>
      </c>
      <c r="D51" t="s">
        <v>142</v>
      </c>
      <c r="E51" t="s">
        <v>137</v>
      </c>
      <c r="F51" t="s">
        <v>143</v>
      </c>
      <c r="G51" s="1">
        <v>45292</v>
      </c>
      <c r="H51" s="1">
        <v>45870</v>
      </c>
      <c r="I51" t="s">
        <v>16</v>
      </c>
      <c r="J51" t="s">
        <v>135</v>
      </c>
      <c r="K51" s="2">
        <v>19</v>
      </c>
    </row>
    <row r="52" spans="1:11" x14ac:dyDescent="0.25">
      <c r="A52" t="s">
        <v>18</v>
      </c>
      <c r="B52" t="s">
        <v>19</v>
      </c>
      <c r="C52">
        <v>8977234</v>
      </c>
      <c r="D52" t="s">
        <v>144</v>
      </c>
      <c r="E52" t="s">
        <v>145</v>
      </c>
      <c r="F52" t="s">
        <v>146</v>
      </c>
      <c r="G52" s="1">
        <v>45292</v>
      </c>
      <c r="H52" s="1">
        <v>45870</v>
      </c>
      <c r="I52" t="s">
        <v>16</v>
      </c>
      <c r="J52" t="s">
        <v>135</v>
      </c>
      <c r="K52" s="2">
        <v>19</v>
      </c>
    </row>
    <row r="53" spans="1:11" x14ac:dyDescent="0.25">
      <c r="A53" t="s">
        <v>18</v>
      </c>
      <c r="B53" t="s">
        <v>19</v>
      </c>
      <c r="C53">
        <v>8977234</v>
      </c>
      <c r="D53" t="s">
        <v>147</v>
      </c>
      <c r="E53" t="s">
        <v>133</v>
      </c>
      <c r="F53" t="s">
        <v>148</v>
      </c>
      <c r="G53" s="1">
        <v>45778</v>
      </c>
      <c r="H53" s="1">
        <v>45870</v>
      </c>
      <c r="I53" t="s">
        <v>16</v>
      </c>
      <c r="J53" t="s">
        <v>135</v>
      </c>
      <c r="K53" s="2">
        <v>19</v>
      </c>
    </row>
    <row r="54" spans="1:11" x14ac:dyDescent="0.25">
      <c r="A54" t="s">
        <v>18</v>
      </c>
      <c r="B54" t="s">
        <v>19</v>
      </c>
      <c r="C54">
        <v>8977234</v>
      </c>
      <c r="D54" t="s">
        <v>149</v>
      </c>
      <c r="E54" t="s">
        <v>133</v>
      </c>
      <c r="F54" t="s">
        <v>150</v>
      </c>
      <c r="G54" s="1">
        <v>45778</v>
      </c>
      <c r="H54" s="1">
        <v>45870</v>
      </c>
      <c r="I54" t="s">
        <v>16</v>
      </c>
      <c r="J54" t="s">
        <v>135</v>
      </c>
      <c r="K54" s="2">
        <v>19</v>
      </c>
    </row>
    <row r="55" spans="1:11" x14ac:dyDescent="0.25">
      <c r="A55" t="s">
        <v>18</v>
      </c>
      <c r="B55" t="s">
        <v>19</v>
      </c>
      <c r="C55">
        <v>8977234</v>
      </c>
      <c r="D55" t="s">
        <v>151</v>
      </c>
      <c r="E55" t="s">
        <v>133</v>
      </c>
      <c r="F55" t="s">
        <v>152</v>
      </c>
      <c r="G55" s="1">
        <v>45778</v>
      </c>
      <c r="H55" s="1">
        <v>45870</v>
      </c>
      <c r="I55" t="s">
        <v>16</v>
      </c>
      <c r="J55" t="s">
        <v>135</v>
      </c>
      <c r="K55" s="2">
        <v>19</v>
      </c>
    </row>
    <row r="56" spans="1:11" x14ac:dyDescent="0.25">
      <c r="A56" t="s">
        <v>18</v>
      </c>
      <c r="B56" t="s">
        <v>19</v>
      </c>
      <c r="C56">
        <v>8977234</v>
      </c>
      <c r="D56" t="s">
        <v>153</v>
      </c>
      <c r="E56" t="s">
        <v>133</v>
      </c>
      <c r="F56" t="s">
        <v>154</v>
      </c>
      <c r="G56" s="1">
        <v>45778</v>
      </c>
      <c r="H56" s="1">
        <v>45870</v>
      </c>
      <c r="I56" t="s">
        <v>16</v>
      </c>
      <c r="J56" t="s">
        <v>135</v>
      </c>
      <c r="K56" s="2">
        <v>19</v>
      </c>
    </row>
    <row r="57" spans="1:11" x14ac:dyDescent="0.25">
      <c r="A57" t="s">
        <v>18</v>
      </c>
      <c r="B57" t="s">
        <v>19</v>
      </c>
      <c r="C57">
        <v>8977234</v>
      </c>
      <c r="D57" t="s">
        <v>155</v>
      </c>
      <c r="E57" t="s">
        <v>156</v>
      </c>
      <c r="F57" t="s">
        <v>157</v>
      </c>
      <c r="G57" s="1">
        <v>45839</v>
      </c>
      <c r="H57" s="1">
        <v>45870</v>
      </c>
      <c r="I57" t="s">
        <v>16</v>
      </c>
      <c r="J57" t="s">
        <v>135</v>
      </c>
      <c r="K57" s="2">
        <v>19</v>
      </c>
    </row>
    <row r="58" spans="1:11" x14ac:dyDescent="0.25">
      <c r="A58" t="s">
        <v>70</v>
      </c>
      <c r="B58" t="s">
        <v>71</v>
      </c>
      <c r="C58">
        <v>20436896</v>
      </c>
      <c r="D58" t="s">
        <v>72</v>
      </c>
      <c r="E58" t="s">
        <v>73</v>
      </c>
      <c r="F58" t="s">
        <v>74</v>
      </c>
      <c r="G58" s="1">
        <v>44927</v>
      </c>
      <c r="H58" s="1">
        <v>45870</v>
      </c>
      <c r="I58" t="s">
        <v>16</v>
      </c>
      <c r="J58" t="s">
        <v>158</v>
      </c>
      <c r="K58" s="2">
        <v>2.5</v>
      </c>
    </row>
    <row r="59" spans="1:11" x14ac:dyDescent="0.25">
      <c r="A59" t="s">
        <v>70</v>
      </c>
      <c r="B59" t="s">
        <v>71</v>
      </c>
      <c r="C59">
        <v>20436896</v>
      </c>
      <c r="D59" t="s">
        <v>72</v>
      </c>
      <c r="E59" t="s">
        <v>73</v>
      </c>
      <c r="F59" t="s">
        <v>74</v>
      </c>
      <c r="G59" s="1">
        <v>44927</v>
      </c>
      <c r="H59" s="1">
        <v>45870</v>
      </c>
      <c r="I59" t="s">
        <v>16</v>
      </c>
      <c r="J59" t="s">
        <v>159</v>
      </c>
      <c r="K59" s="2">
        <v>2.5</v>
      </c>
    </row>
    <row r="60" spans="1:11" x14ac:dyDescent="0.25">
      <c r="A60" t="s">
        <v>70</v>
      </c>
      <c r="B60" t="s">
        <v>71</v>
      </c>
      <c r="C60">
        <v>20436896</v>
      </c>
      <c r="D60" t="s">
        <v>72</v>
      </c>
      <c r="E60" t="s">
        <v>73</v>
      </c>
      <c r="F60" t="s">
        <v>74</v>
      </c>
      <c r="G60" s="1">
        <v>44927</v>
      </c>
      <c r="H60" s="1">
        <v>45870</v>
      </c>
      <c r="I60" t="s">
        <v>16</v>
      </c>
      <c r="J60" t="s">
        <v>160</v>
      </c>
      <c r="K60" s="2">
        <v>2.5</v>
      </c>
    </row>
    <row r="61" spans="1:11" x14ac:dyDescent="0.25">
      <c r="A61" t="s">
        <v>70</v>
      </c>
      <c r="B61" t="s">
        <v>71</v>
      </c>
      <c r="C61">
        <v>20436896</v>
      </c>
      <c r="D61" t="s">
        <v>72</v>
      </c>
      <c r="E61" t="s">
        <v>73</v>
      </c>
      <c r="F61" t="s">
        <v>74</v>
      </c>
      <c r="G61" s="1">
        <v>44927</v>
      </c>
      <c r="H61" s="1">
        <v>45870</v>
      </c>
      <c r="I61" t="s">
        <v>16</v>
      </c>
      <c r="J61" t="s">
        <v>161</v>
      </c>
      <c r="K61" s="2">
        <v>2.5</v>
      </c>
    </row>
    <row r="62" spans="1:11" x14ac:dyDescent="0.25">
      <c r="A62" t="s">
        <v>70</v>
      </c>
      <c r="B62" t="s">
        <v>71</v>
      </c>
      <c r="C62">
        <v>20436896</v>
      </c>
      <c r="D62" t="s">
        <v>72</v>
      </c>
      <c r="E62" t="s">
        <v>73</v>
      </c>
      <c r="F62" t="s">
        <v>74</v>
      </c>
      <c r="G62" s="1">
        <v>44927</v>
      </c>
      <c r="H62" s="1">
        <v>45870</v>
      </c>
      <c r="I62" t="s">
        <v>16</v>
      </c>
      <c r="J62" t="s">
        <v>162</v>
      </c>
      <c r="K62" s="2">
        <v>2.5</v>
      </c>
    </row>
    <row r="63" spans="1:11" x14ac:dyDescent="0.25">
      <c r="A63" t="s">
        <v>70</v>
      </c>
      <c r="B63" t="s">
        <v>71</v>
      </c>
      <c r="C63">
        <v>20436896</v>
      </c>
      <c r="D63" t="s">
        <v>72</v>
      </c>
      <c r="E63" t="s">
        <v>73</v>
      </c>
      <c r="F63" t="s">
        <v>74</v>
      </c>
      <c r="G63" s="1">
        <v>44927</v>
      </c>
      <c r="H63" s="1">
        <v>45870</v>
      </c>
      <c r="I63" t="s">
        <v>16</v>
      </c>
      <c r="J63" t="s">
        <v>163</v>
      </c>
      <c r="K63" s="2">
        <v>2.5</v>
      </c>
    </row>
    <row r="64" spans="1:11" x14ac:dyDescent="0.25">
      <c r="A64" t="s">
        <v>70</v>
      </c>
      <c r="B64" t="s">
        <v>71</v>
      </c>
      <c r="C64">
        <v>20436896</v>
      </c>
      <c r="D64" t="s">
        <v>72</v>
      </c>
      <c r="E64" t="s">
        <v>73</v>
      </c>
      <c r="F64" t="s">
        <v>74</v>
      </c>
      <c r="G64" s="1">
        <v>44927</v>
      </c>
      <c r="H64" s="1">
        <v>45870</v>
      </c>
      <c r="I64" t="s">
        <v>16</v>
      </c>
      <c r="J64" t="s">
        <v>164</v>
      </c>
      <c r="K64" s="2">
        <v>2.5</v>
      </c>
    </row>
    <row r="65" spans="1:11" x14ac:dyDescent="0.25">
      <c r="A65" t="s">
        <v>70</v>
      </c>
      <c r="B65" t="s">
        <v>71</v>
      </c>
      <c r="C65">
        <v>20436896</v>
      </c>
      <c r="D65" t="s">
        <v>72</v>
      </c>
      <c r="E65" t="s">
        <v>73</v>
      </c>
      <c r="F65" t="s">
        <v>74</v>
      </c>
      <c r="G65" s="1">
        <v>44927</v>
      </c>
      <c r="H65" s="1">
        <v>45870</v>
      </c>
      <c r="I65" t="s">
        <v>16</v>
      </c>
      <c r="J65" t="s">
        <v>165</v>
      </c>
      <c r="K65" s="2">
        <v>2.5</v>
      </c>
    </row>
    <row r="66" spans="1:11" x14ac:dyDescent="0.25">
      <c r="A66" t="s">
        <v>70</v>
      </c>
      <c r="B66" t="s">
        <v>71</v>
      </c>
      <c r="C66">
        <v>20436896</v>
      </c>
      <c r="D66" t="s">
        <v>72</v>
      </c>
      <c r="E66" t="s">
        <v>73</v>
      </c>
      <c r="F66" t="s">
        <v>74</v>
      </c>
      <c r="G66" s="1">
        <v>44927</v>
      </c>
      <c r="H66" s="1">
        <v>45870</v>
      </c>
      <c r="I66" t="s">
        <v>16</v>
      </c>
      <c r="J66" t="s">
        <v>166</v>
      </c>
      <c r="K66" s="2">
        <v>2.5</v>
      </c>
    </row>
    <row r="67" spans="1:11" x14ac:dyDescent="0.25">
      <c r="A67" t="s">
        <v>70</v>
      </c>
      <c r="B67" t="s">
        <v>71</v>
      </c>
      <c r="C67">
        <v>20436896</v>
      </c>
      <c r="D67" t="s">
        <v>72</v>
      </c>
      <c r="E67" t="s">
        <v>73</v>
      </c>
      <c r="F67" t="s">
        <v>74</v>
      </c>
      <c r="G67" s="1">
        <v>44927</v>
      </c>
      <c r="H67" s="1">
        <v>45870</v>
      </c>
      <c r="I67" t="s">
        <v>16</v>
      </c>
      <c r="J67" t="s">
        <v>167</v>
      </c>
      <c r="K67" s="2">
        <v>2.5</v>
      </c>
    </row>
    <row r="68" spans="1:11" x14ac:dyDescent="0.25">
      <c r="A68" t="s">
        <v>70</v>
      </c>
      <c r="B68" t="s">
        <v>71</v>
      </c>
      <c r="C68">
        <v>20436896</v>
      </c>
      <c r="D68" t="s">
        <v>72</v>
      </c>
      <c r="E68" t="s">
        <v>73</v>
      </c>
      <c r="F68" t="s">
        <v>74</v>
      </c>
      <c r="G68" s="1">
        <v>44927</v>
      </c>
      <c r="H68" s="1">
        <v>45870</v>
      </c>
      <c r="I68" t="s">
        <v>16</v>
      </c>
      <c r="J68" t="s">
        <v>168</v>
      </c>
      <c r="K68" s="2">
        <v>2.5</v>
      </c>
    </row>
    <row r="69" spans="1:11" x14ac:dyDescent="0.25">
      <c r="A69" t="s">
        <v>70</v>
      </c>
      <c r="B69" t="s">
        <v>71</v>
      </c>
      <c r="C69">
        <v>20436896</v>
      </c>
      <c r="D69" t="s">
        <v>72</v>
      </c>
      <c r="E69" t="s">
        <v>73</v>
      </c>
      <c r="F69" t="s">
        <v>74</v>
      </c>
      <c r="G69" s="1">
        <v>44927</v>
      </c>
      <c r="H69" s="1">
        <v>45870</v>
      </c>
      <c r="I69" t="s">
        <v>16</v>
      </c>
      <c r="J69" t="s">
        <v>169</v>
      </c>
      <c r="K69" s="2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9D0A-C131-4C3D-B013-CB0795C2FBA2}">
  <dimension ref="A1:R69"/>
  <sheetViews>
    <sheetView tabSelected="1" topLeftCell="D30" workbookViewId="0">
      <selection activeCell="L2" sqref="L2:L69"/>
    </sheetView>
  </sheetViews>
  <sheetFormatPr defaultRowHeight="15" x14ac:dyDescent="0.25"/>
  <cols>
    <col min="1" max="1" width="19.85546875" style="3" bestFit="1" customWidth="1"/>
    <col min="2" max="2" width="10.7109375" style="3" bestFit="1" customWidth="1"/>
    <col min="3" max="3" width="10.5703125" style="3" bestFit="1" customWidth="1"/>
    <col min="4" max="4" width="14" style="3" bestFit="1" customWidth="1"/>
    <col min="5" max="5" width="14" style="3" customWidth="1"/>
    <col min="6" max="6" width="14.5703125" style="3" bestFit="1" customWidth="1"/>
    <col min="7" max="7" width="14.5703125" style="3" customWidth="1"/>
    <col min="8" max="8" width="11.85546875" style="3" bestFit="1" customWidth="1"/>
    <col min="9" max="9" width="14.7109375" style="3" bestFit="1" customWidth="1"/>
    <col min="10" max="10" width="18.85546875" style="3" bestFit="1" customWidth="1"/>
    <col min="11" max="11" width="91.85546875" style="3" bestFit="1" customWidth="1"/>
    <col min="12" max="12" width="15.7109375" style="3" bestFit="1" customWidth="1"/>
    <col min="13" max="16384" width="9.140625" style="3"/>
  </cols>
  <sheetData>
    <row r="1" spans="1:18" x14ac:dyDescent="0.25">
      <c r="A1" s="3" t="s">
        <v>0</v>
      </c>
      <c r="B1" s="3" t="s">
        <v>2</v>
      </c>
      <c r="C1" s="3" t="s">
        <v>3</v>
      </c>
      <c r="D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8" x14ac:dyDescent="0.25">
      <c r="A2" s="3" t="s">
        <v>18</v>
      </c>
      <c r="B2" s="3">
        <v>8977234</v>
      </c>
      <c r="C2" s="3" t="s">
        <v>111</v>
      </c>
      <c r="D2" s="3" t="s">
        <v>112</v>
      </c>
      <c r="E2" s="3" t="str">
        <f>CONCATENATE(C2, " ",D2)</f>
        <v>Bruce Kelley</v>
      </c>
      <c r="F2" s="3" t="s">
        <v>113</v>
      </c>
      <c r="G2" s="3" t="str">
        <f>CONCATENATE(F2,77)</f>
        <v>OH-000006569377</v>
      </c>
      <c r="H2" s="4">
        <v>45292</v>
      </c>
      <c r="I2" s="4">
        <v>45870</v>
      </c>
      <c r="J2" s="3" t="s">
        <v>16</v>
      </c>
      <c r="K2" s="3" t="s">
        <v>114</v>
      </c>
      <c r="L2" s="5">
        <v>20</v>
      </c>
      <c r="M2" s="3" t="s">
        <v>175</v>
      </c>
      <c r="P2" s="3" t="s">
        <v>178</v>
      </c>
      <c r="Q2" s="3" t="s">
        <v>179</v>
      </c>
      <c r="R2" s="3" t="s">
        <v>180</v>
      </c>
    </row>
    <row r="3" spans="1:18" x14ac:dyDescent="0.25">
      <c r="A3" s="3" t="s">
        <v>18</v>
      </c>
      <c r="B3" s="3">
        <v>8977234</v>
      </c>
      <c r="C3" s="3" t="s">
        <v>115</v>
      </c>
      <c r="D3" s="3" t="s">
        <v>116</v>
      </c>
      <c r="E3" s="3" t="str">
        <f t="shared" ref="E3:E66" si="0">CONCATENATE(C3, " ",D3)</f>
        <v>Ronald Gengler</v>
      </c>
      <c r="F3" s="3" t="s">
        <v>117</v>
      </c>
      <c r="G3" s="3" t="str">
        <f t="shared" ref="G3:G66" si="1">CONCATENATE(F3,77)</f>
        <v>OH-000289485677</v>
      </c>
      <c r="H3" s="4">
        <v>45292</v>
      </c>
      <c r="I3" s="4">
        <v>45870</v>
      </c>
      <c r="J3" s="3" t="s">
        <v>16</v>
      </c>
      <c r="K3" s="3" t="s">
        <v>114</v>
      </c>
      <c r="L3" s="5">
        <v>20</v>
      </c>
      <c r="M3" s="3" t="s">
        <v>175</v>
      </c>
      <c r="P3" s="3" t="s">
        <v>178</v>
      </c>
      <c r="Q3" s="3" t="s">
        <v>179</v>
      </c>
      <c r="R3" s="3" t="s">
        <v>180</v>
      </c>
    </row>
    <row r="4" spans="1:18" x14ac:dyDescent="0.25">
      <c r="A4" s="3" t="s">
        <v>18</v>
      </c>
      <c r="B4" s="3">
        <v>8977234</v>
      </c>
      <c r="C4" s="3" t="s">
        <v>118</v>
      </c>
      <c r="D4" s="3" t="s">
        <v>116</v>
      </c>
      <c r="E4" s="3" t="str">
        <f t="shared" si="0"/>
        <v>Amber Gengler</v>
      </c>
      <c r="F4" s="3" t="s">
        <v>119</v>
      </c>
      <c r="G4" s="3" t="str">
        <f t="shared" si="1"/>
        <v>OH-000381436877</v>
      </c>
      <c r="H4" s="4">
        <v>45292</v>
      </c>
      <c r="I4" s="4">
        <v>45870</v>
      </c>
      <c r="J4" s="3" t="s">
        <v>16</v>
      </c>
      <c r="K4" s="3" t="s">
        <v>114</v>
      </c>
      <c r="L4" s="5">
        <v>20</v>
      </c>
      <c r="M4" s="3" t="s">
        <v>175</v>
      </c>
      <c r="P4" s="3" t="s">
        <v>178</v>
      </c>
      <c r="Q4" s="3" t="s">
        <v>179</v>
      </c>
      <c r="R4" s="3" t="s">
        <v>180</v>
      </c>
    </row>
    <row r="5" spans="1:18" x14ac:dyDescent="0.25">
      <c r="A5" s="3" t="s">
        <v>18</v>
      </c>
      <c r="B5" s="3">
        <v>8977234</v>
      </c>
      <c r="C5" s="3" t="s">
        <v>120</v>
      </c>
      <c r="D5" s="3" t="s">
        <v>121</v>
      </c>
      <c r="E5" s="3" t="str">
        <f t="shared" si="0"/>
        <v>Allen Reinhart</v>
      </c>
      <c r="F5" s="3" t="s">
        <v>122</v>
      </c>
      <c r="G5" s="3" t="str">
        <f t="shared" si="1"/>
        <v>OH-000396772477</v>
      </c>
      <c r="H5" s="4">
        <v>45658</v>
      </c>
      <c r="I5" s="4">
        <v>45870</v>
      </c>
      <c r="J5" s="3" t="s">
        <v>16</v>
      </c>
      <c r="K5" s="3" t="s">
        <v>114</v>
      </c>
      <c r="L5" s="5">
        <v>20</v>
      </c>
      <c r="M5" s="3" t="s">
        <v>175</v>
      </c>
      <c r="P5" s="3" t="s">
        <v>178</v>
      </c>
      <c r="Q5" s="3" t="s">
        <v>179</v>
      </c>
      <c r="R5" s="3" t="s">
        <v>180</v>
      </c>
    </row>
    <row r="6" spans="1:18" x14ac:dyDescent="0.25">
      <c r="A6" s="3" t="s">
        <v>18</v>
      </c>
      <c r="B6" s="3">
        <v>8977234</v>
      </c>
      <c r="C6" s="3" t="s">
        <v>123</v>
      </c>
      <c r="D6" s="3" t="s">
        <v>124</v>
      </c>
      <c r="E6" s="3" t="str">
        <f t="shared" si="0"/>
        <v>Kimberly Smithson</v>
      </c>
      <c r="F6" s="3" t="s">
        <v>125</v>
      </c>
      <c r="G6" s="3" t="str">
        <f t="shared" si="1"/>
        <v>OH-000399100677</v>
      </c>
      <c r="H6" s="4">
        <v>45658</v>
      </c>
      <c r="I6" s="4">
        <v>45870</v>
      </c>
      <c r="J6" s="3" t="s">
        <v>16</v>
      </c>
      <c r="K6" s="3" t="s">
        <v>114</v>
      </c>
      <c r="L6" s="5">
        <v>20</v>
      </c>
      <c r="M6" s="3" t="s">
        <v>175</v>
      </c>
      <c r="P6" s="3" t="s">
        <v>178</v>
      </c>
      <c r="Q6" s="3" t="s">
        <v>179</v>
      </c>
      <c r="R6" s="3" t="s">
        <v>180</v>
      </c>
    </row>
    <row r="7" spans="1:18" x14ac:dyDescent="0.25">
      <c r="A7" s="3" t="s">
        <v>11</v>
      </c>
      <c r="B7" s="3">
        <v>9079571</v>
      </c>
      <c r="C7" s="3" t="s">
        <v>13</v>
      </c>
      <c r="D7" s="3" t="s">
        <v>14</v>
      </c>
      <c r="E7" s="3" t="str">
        <f t="shared" si="0"/>
        <v>Floyd Adams</v>
      </c>
      <c r="F7" s="3" t="s">
        <v>15</v>
      </c>
      <c r="G7" s="3" t="str">
        <f t="shared" si="1"/>
        <v>FL-001645576377</v>
      </c>
      <c r="H7" s="4">
        <v>44927</v>
      </c>
      <c r="I7" s="4">
        <v>45870</v>
      </c>
      <c r="J7" s="3" t="s">
        <v>16</v>
      </c>
      <c r="K7" s="3" t="s">
        <v>17</v>
      </c>
      <c r="L7" s="5">
        <v>27</v>
      </c>
      <c r="M7" s="3" t="s">
        <v>171</v>
      </c>
      <c r="P7" s="3" t="s">
        <v>181</v>
      </c>
      <c r="Q7" s="3" t="s">
        <v>179</v>
      </c>
      <c r="R7" s="3" t="s">
        <v>180</v>
      </c>
    </row>
    <row r="8" spans="1:18" x14ac:dyDescent="0.25">
      <c r="A8" s="3" t="s">
        <v>23</v>
      </c>
      <c r="B8" s="3">
        <v>16683808</v>
      </c>
      <c r="C8" s="3" t="s">
        <v>24</v>
      </c>
      <c r="D8" s="3" t="s">
        <v>25</v>
      </c>
      <c r="E8" s="3" t="str">
        <f t="shared" si="0"/>
        <v>Jean Williams</v>
      </c>
      <c r="F8" s="3" t="s">
        <v>26</v>
      </c>
      <c r="G8" s="3" t="str">
        <f t="shared" si="1"/>
        <v>FL-002026540877</v>
      </c>
      <c r="H8" s="4">
        <v>45658</v>
      </c>
      <c r="I8" s="4">
        <v>45870</v>
      </c>
      <c r="J8" s="3" t="s">
        <v>16</v>
      </c>
      <c r="K8" s="3" t="s">
        <v>17</v>
      </c>
      <c r="L8" s="5">
        <v>27</v>
      </c>
      <c r="M8" s="3" t="s">
        <v>171</v>
      </c>
      <c r="P8" s="3" t="s">
        <v>181</v>
      </c>
      <c r="Q8" s="3" t="s">
        <v>179</v>
      </c>
      <c r="R8" s="3" t="s">
        <v>180</v>
      </c>
    </row>
    <row r="9" spans="1:18" x14ac:dyDescent="0.25">
      <c r="A9" s="3" t="s">
        <v>33</v>
      </c>
      <c r="B9" s="3">
        <v>16633294</v>
      </c>
      <c r="C9" s="3" t="s">
        <v>34</v>
      </c>
      <c r="D9" s="3" t="s">
        <v>35</v>
      </c>
      <c r="E9" s="3" t="str">
        <f t="shared" si="0"/>
        <v>Emily Garvin</v>
      </c>
      <c r="F9" s="3" t="s">
        <v>36</v>
      </c>
      <c r="G9" s="3" t="str">
        <f t="shared" si="1"/>
        <v>FL-002386959077</v>
      </c>
      <c r="H9" s="4">
        <v>45658</v>
      </c>
      <c r="I9" s="4">
        <v>45870</v>
      </c>
      <c r="J9" s="3" t="s">
        <v>16</v>
      </c>
      <c r="K9" s="3" t="s">
        <v>17</v>
      </c>
      <c r="L9" s="5">
        <v>27</v>
      </c>
      <c r="M9" s="3" t="s">
        <v>171</v>
      </c>
      <c r="P9" s="3" t="s">
        <v>181</v>
      </c>
      <c r="Q9" s="3" t="s">
        <v>179</v>
      </c>
      <c r="R9" s="3" t="s">
        <v>180</v>
      </c>
    </row>
    <row r="10" spans="1:18" x14ac:dyDescent="0.25">
      <c r="A10" s="3" t="s">
        <v>18</v>
      </c>
      <c r="B10" s="3">
        <v>8977234</v>
      </c>
      <c r="C10" s="3" t="s">
        <v>20</v>
      </c>
      <c r="D10" s="3" t="s">
        <v>21</v>
      </c>
      <c r="E10" s="3" t="str">
        <f t="shared" si="0"/>
        <v>Tommy Harber</v>
      </c>
      <c r="F10" s="3" t="s">
        <v>22</v>
      </c>
      <c r="G10" s="3" t="str">
        <f t="shared" si="1"/>
        <v>FL-001653214677</v>
      </c>
      <c r="H10" s="4">
        <v>44986</v>
      </c>
      <c r="I10" s="4">
        <v>45870</v>
      </c>
      <c r="J10" s="3" t="s">
        <v>16</v>
      </c>
      <c r="K10" s="3" t="s">
        <v>17</v>
      </c>
      <c r="L10" s="5">
        <v>27</v>
      </c>
      <c r="M10" s="3" t="s">
        <v>171</v>
      </c>
      <c r="P10" s="3" t="s">
        <v>181</v>
      </c>
      <c r="Q10" s="3" t="s">
        <v>179</v>
      </c>
      <c r="R10" s="3" t="s">
        <v>180</v>
      </c>
    </row>
    <row r="11" spans="1:18" x14ac:dyDescent="0.25">
      <c r="A11" s="3" t="s">
        <v>18</v>
      </c>
      <c r="B11" s="3">
        <v>8977234</v>
      </c>
      <c r="C11" s="3" t="s">
        <v>27</v>
      </c>
      <c r="D11" s="3" t="s">
        <v>28</v>
      </c>
      <c r="E11" s="3" t="str">
        <f t="shared" si="0"/>
        <v>Richard Jarvis</v>
      </c>
      <c r="F11" s="3" t="s">
        <v>29</v>
      </c>
      <c r="G11" s="3" t="str">
        <f t="shared" si="1"/>
        <v>FL-002364042877</v>
      </c>
      <c r="H11" s="4">
        <v>45658</v>
      </c>
      <c r="I11" s="4">
        <v>45870</v>
      </c>
      <c r="J11" s="3" t="s">
        <v>16</v>
      </c>
      <c r="K11" s="3" t="s">
        <v>17</v>
      </c>
      <c r="L11" s="5">
        <v>27</v>
      </c>
      <c r="M11" s="3" t="s">
        <v>171</v>
      </c>
      <c r="P11" s="3" t="s">
        <v>181</v>
      </c>
      <c r="Q11" s="3" t="s">
        <v>179</v>
      </c>
      <c r="R11" s="3" t="s">
        <v>180</v>
      </c>
    </row>
    <row r="12" spans="1:18" x14ac:dyDescent="0.25">
      <c r="A12" s="3" t="s">
        <v>18</v>
      </c>
      <c r="B12" s="3">
        <v>8977234</v>
      </c>
      <c r="C12" s="3" t="s">
        <v>30</v>
      </c>
      <c r="D12" s="3" t="s">
        <v>31</v>
      </c>
      <c r="E12" s="3" t="str">
        <f t="shared" si="0"/>
        <v>Sharlene Lightbourne</v>
      </c>
      <c r="F12" s="3" t="s">
        <v>32</v>
      </c>
      <c r="G12" s="3" t="str">
        <f t="shared" si="1"/>
        <v>FL-002377453377</v>
      </c>
      <c r="H12" s="4">
        <v>45658</v>
      </c>
      <c r="I12" s="4">
        <v>45870</v>
      </c>
      <c r="J12" s="3" t="s">
        <v>16</v>
      </c>
      <c r="K12" s="3" t="s">
        <v>17</v>
      </c>
      <c r="L12" s="5">
        <v>27</v>
      </c>
      <c r="M12" s="3" t="s">
        <v>171</v>
      </c>
      <c r="P12" s="3" t="s">
        <v>181</v>
      </c>
      <c r="Q12" s="3" t="s">
        <v>179</v>
      </c>
      <c r="R12" s="3" t="s">
        <v>180</v>
      </c>
    </row>
    <row r="13" spans="1:18" x14ac:dyDescent="0.25">
      <c r="A13" s="3" t="s">
        <v>18</v>
      </c>
      <c r="B13" s="3">
        <v>8977234</v>
      </c>
      <c r="C13" s="3" t="s">
        <v>37</v>
      </c>
      <c r="D13" s="3" t="s">
        <v>38</v>
      </c>
      <c r="E13" s="3" t="str">
        <f t="shared" si="0"/>
        <v>Dawn Duryea</v>
      </c>
      <c r="F13" s="3" t="s">
        <v>39</v>
      </c>
      <c r="G13" s="3" t="str">
        <f t="shared" si="1"/>
        <v>FL-002625873477</v>
      </c>
      <c r="H13" s="4">
        <v>45839</v>
      </c>
      <c r="I13" s="4">
        <v>45870</v>
      </c>
      <c r="J13" s="3" t="s">
        <v>16</v>
      </c>
      <c r="K13" s="3" t="s">
        <v>17</v>
      </c>
      <c r="L13" s="5">
        <v>27</v>
      </c>
      <c r="M13" s="3" t="s">
        <v>171</v>
      </c>
      <c r="P13" s="3" t="s">
        <v>181</v>
      </c>
      <c r="Q13" s="3" t="s">
        <v>179</v>
      </c>
      <c r="R13" s="3" t="s">
        <v>180</v>
      </c>
    </row>
    <row r="14" spans="1:18" x14ac:dyDescent="0.25">
      <c r="A14" s="3" t="s">
        <v>93</v>
      </c>
      <c r="B14" s="3">
        <v>8307933</v>
      </c>
      <c r="C14" s="3" t="s">
        <v>94</v>
      </c>
      <c r="D14" s="3" t="s">
        <v>95</v>
      </c>
      <c r="E14" s="3" t="str">
        <f t="shared" si="0"/>
        <v>Amy Reiske</v>
      </c>
      <c r="F14" s="3" t="s">
        <v>96</v>
      </c>
      <c r="G14" s="3" t="str">
        <f t="shared" si="1"/>
        <v>MI-000294398577</v>
      </c>
      <c r="H14" s="4">
        <v>44927</v>
      </c>
      <c r="I14" s="4">
        <v>45870</v>
      </c>
      <c r="J14" s="3" t="s">
        <v>16</v>
      </c>
      <c r="K14" s="3" t="s">
        <v>97</v>
      </c>
      <c r="L14" s="5">
        <v>24</v>
      </c>
      <c r="M14" s="3" t="s">
        <v>173</v>
      </c>
      <c r="P14" s="3" t="s">
        <v>182</v>
      </c>
      <c r="Q14" s="3" t="s">
        <v>179</v>
      </c>
      <c r="R14" s="3" t="s">
        <v>180</v>
      </c>
    </row>
    <row r="15" spans="1:18" x14ac:dyDescent="0.25">
      <c r="A15" s="3" t="s">
        <v>70</v>
      </c>
      <c r="B15" s="3">
        <v>20436896</v>
      </c>
      <c r="C15" s="3" t="s">
        <v>72</v>
      </c>
      <c r="D15" s="3" t="s">
        <v>73</v>
      </c>
      <c r="E15" s="3" t="str">
        <f t="shared" si="0"/>
        <v>Annette Brooks</v>
      </c>
      <c r="F15" s="3" t="s">
        <v>74</v>
      </c>
      <c r="G15" s="3" t="str">
        <f t="shared" si="1"/>
        <v>MI-000266532977</v>
      </c>
      <c r="H15" s="4">
        <v>44927</v>
      </c>
      <c r="I15" s="4">
        <v>45870</v>
      </c>
      <c r="J15" s="3" t="s">
        <v>16</v>
      </c>
      <c r="K15" s="3" t="s">
        <v>75</v>
      </c>
      <c r="L15" s="5">
        <v>24</v>
      </c>
      <c r="M15" s="3" t="s">
        <v>173</v>
      </c>
      <c r="P15" s="3" t="s">
        <v>182</v>
      </c>
      <c r="Q15" s="3" t="s">
        <v>179</v>
      </c>
      <c r="R15" s="3" t="s">
        <v>183</v>
      </c>
    </row>
    <row r="16" spans="1:18" x14ac:dyDescent="0.25">
      <c r="A16" s="3" t="s">
        <v>70</v>
      </c>
      <c r="B16" s="3">
        <v>20436896</v>
      </c>
      <c r="C16" s="3" t="s">
        <v>72</v>
      </c>
      <c r="D16" s="3" t="s">
        <v>73</v>
      </c>
      <c r="E16" s="3" t="str">
        <f t="shared" si="0"/>
        <v>Annette Brooks</v>
      </c>
      <c r="F16" s="3" t="s">
        <v>74</v>
      </c>
      <c r="G16" s="3" t="str">
        <f t="shared" si="1"/>
        <v>MI-000266532977</v>
      </c>
      <c r="H16" s="4">
        <v>44927</v>
      </c>
      <c r="I16" s="4">
        <v>45870</v>
      </c>
      <c r="J16" s="3" t="s">
        <v>16</v>
      </c>
      <c r="K16" s="3" t="s">
        <v>76</v>
      </c>
      <c r="L16" s="5">
        <v>24</v>
      </c>
      <c r="M16" s="3" t="s">
        <v>173</v>
      </c>
      <c r="P16" s="3" t="s">
        <v>182</v>
      </c>
      <c r="Q16" s="3" t="s">
        <v>179</v>
      </c>
      <c r="R16" s="3" t="s">
        <v>184</v>
      </c>
    </row>
    <row r="17" spans="1:18" x14ac:dyDescent="0.25">
      <c r="A17" s="3" t="s">
        <v>70</v>
      </c>
      <c r="B17" s="3">
        <v>20436896</v>
      </c>
      <c r="C17" s="3" t="s">
        <v>72</v>
      </c>
      <c r="D17" s="3" t="s">
        <v>73</v>
      </c>
      <c r="E17" s="3" t="str">
        <f t="shared" si="0"/>
        <v>Annette Brooks</v>
      </c>
      <c r="F17" s="3" t="s">
        <v>74</v>
      </c>
      <c r="G17" s="3" t="str">
        <f t="shared" si="1"/>
        <v>MI-000266532977</v>
      </c>
      <c r="H17" s="4">
        <v>44927</v>
      </c>
      <c r="I17" s="4">
        <v>45870</v>
      </c>
      <c r="J17" s="3" t="s">
        <v>16</v>
      </c>
      <c r="K17" s="3" t="s">
        <v>77</v>
      </c>
      <c r="L17" s="5">
        <v>24</v>
      </c>
      <c r="M17" s="3" t="s">
        <v>173</v>
      </c>
      <c r="P17" s="3" t="s">
        <v>182</v>
      </c>
      <c r="Q17" s="3" t="s">
        <v>179</v>
      </c>
      <c r="R17" s="3" t="s">
        <v>185</v>
      </c>
    </row>
    <row r="18" spans="1:18" x14ac:dyDescent="0.25">
      <c r="A18" s="3" t="s">
        <v>70</v>
      </c>
      <c r="B18" s="3">
        <v>20436896</v>
      </c>
      <c r="C18" s="3" t="s">
        <v>72</v>
      </c>
      <c r="D18" s="3" t="s">
        <v>73</v>
      </c>
      <c r="E18" s="3" t="str">
        <f t="shared" si="0"/>
        <v>Annette Brooks</v>
      </c>
      <c r="F18" s="3" t="s">
        <v>74</v>
      </c>
      <c r="G18" s="3" t="str">
        <f t="shared" si="1"/>
        <v>MI-000266532977</v>
      </c>
      <c r="H18" s="4">
        <v>44927</v>
      </c>
      <c r="I18" s="4">
        <v>45870</v>
      </c>
      <c r="J18" s="3" t="s">
        <v>16</v>
      </c>
      <c r="K18" s="3" t="s">
        <v>78</v>
      </c>
      <c r="L18" s="5">
        <v>24</v>
      </c>
      <c r="M18" s="3" t="s">
        <v>173</v>
      </c>
      <c r="P18" s="3" t="s">
        <v>182</v>
      </c>
      <c r="Q18" s="3" t="s">
        <v>179</v>
      </c>
      <c r="R18" s="3" t="s">
        <v>186</v>
      </c>
    </row>
    <row r="19" spans="1:18" x14ac:dyDescent="0.25">
      <c r="A19" s="3" t="s">
        <v>70</v>
      </c>
      <c r="B19" s="3">
        <v>20436896</v>
      </c>
      <c r="C19" s="3" t="s">
        <v>72</v>
      </c>
      <c r="D19" s="3" t="s">
        <v>73</v>
      </c>
      <c r="E19" s="3" t="str">
        <f t="shared" si="0"/>
        <v>Annette Brooks</v>
      </c>
      <c r="F19" s="3" t="s">
        <v>74</v>
      </c>
      <c r="G19" s="3" t="str">
        <f t="shared" si="1"/>
        <v>MI-000266532977</v>
      </c>
      <c r="H19" s="4">
        <v>44927</v>
      </c>
      <c r="I19" s="4">
        <v>45870</v>
      </c>
      <c r="J19" s="3" t="s">
        <v>16</v>
      </c>
      <c r="K19" s="3" t="s">
        <v>79</v>
      </c>
      <c r="L19" s="5">
        <v>24</v>
      </c>
      <c r="M19" s="3" t="s">
        <v>173</v>
      </c>
      <c r="P19" s="3" t="s">
        <v>182</v>
      </c>
      <c r="Q19" s="3" t="s">
        <v>179</v>
      </c>
      <c r="R19" s="3" t="s">
        <v>187</v>
      </c>
    </row>
    <row r="20" spans="1:18" x14ac:dyDescent="0.25">
      <c r="A20" s="3" t="s">
        <v>70</v>
      </c>
      <c r="B20" s="3">
        <v>20436896</v>
      </c>
      <c r="C20" s="3" t="s">
        <v>72</v>
      </c>
      <c r="D20" s="3" t="s">
        <v>73</v>
      </c>
      <c r="E20" s="3" t="str">
        <f t="shared" si="0"/>
        <v>Annette Brooks</v>
      </c>
      <c r="F20" s="3" t="s">
        <v>74</v>
      </c>
      <c r="G20" s="3" t="str">
        <f t="shared" si="1"/>
        <v>MI-000266532977</v>
      </c>
      <c r="H20" s="4">
        <v>44927</v>
      </c>
      <c r="I20" s="4">
        <v>45870</v>
      </c>
      <c r="J20" s="3" t="s">
        <v>16</v>
      </c>
      <c r="K20" s="3" t="s">
        <v>80</v>
      </c>
      <c r="L20" s="5">
        <v>24</v>
      </c>
      <c r="M20" s="3" t="s">
        <v>173</v>
      </c>
      <c r="P20" s="3" t="s">
        <v>182</v>
      </c>
      <c r="Q20" s="3" t="s">
        <v>179</v>
      </c>
      <c r="R20" s="3" t="s">
        <v>188</v>
      </c>
    </row>
    <row r="21" spans="1:18" x14ac:dyDescent="0.25">
      <c r="A21" s="3" t="s">
        <v>70</v>
      </c>
      <c r="B21" s="3">
        <v>20436896</v>
      </c>
      <c r="C21" s="3" t="s">
        <v>72</v>
      </c>
      <c r="D21" s="3" t="s">
        <v>73</v>
      </c>
      <c r="E21" s="3" t="str">
        <f t="shared" si="0"/>
        <v>Annette Brooks</v>
      </c>
      <c r="F21" s="3" t="s">
        <v>74</v>
      </c>
      <c r="G21" s="3" t="str">
        <f t="shared" si="1"/>
        <v>MI-000266532977</v>
      </c>
      <c r="H21" s="4">
        <v>44927</v>
      </c>
      <c r="I21" s="4">
        <v>45870</v>
      </c>
      <c r="J21" s="3" t="s">
        <v>16</v>
      </c>
      <c r="K21" s="3" t="s">
        <v>81</v>
      </c>
      <c r="L21" s="5">
        <v>24</v>
      </c>
      <c r="M21" s="3" t="s">
        <v>173</v>
      </c>
      <c r="P21" s="3" t="s">
        <v>182</v>
      </c>
      <c r="Q21" s="3" t="s">
        <v>179</v>
      </c>
      <c r="R21" s="3" t="s">
        <v>189</v>
      </c>
    </row>
    <row r="22" spans="1:18" x14ac:dyDescent="0.25">
      <c r="A22" s="3" t="s">
        <v>70</v>
      </c>
      <c r="B22" s="3">
        <v>20436896</v>
      </c>
      <c r="C22" s="3" t="s">
        <v>72</v>
      </c>
      <c r="D22" s="3" t="s">
        <v>73</v>
      </c>
      <c r="E22" s="3" t="str">
        <f t="shared" si="0"/>
        <v>Annette Brooks</v>
      </c>
      <c r="F22" s="3" t="s">
        <v>74</v>
      </c>
      <c r="G22" s="3" t="str">
        <f t="shared" si="1"/>
        <v>MI-000266532977</v>
      </c>
      <c r="H22" s="4">
        <v>44927</v>
      </c>
      <c r="I22" s="4">
        <v>45870</v>
      </c>
      <c r="J22" s="3" t="s">
        <v>16</v>
      </c>
      <c r="K22" s="3" t="s">
        <v>82</v>
      </c>
      <c r="L22" s="5">
        <v>24</v>
      </c>
      <c r="M22" s="3" t="s">
        <v>173</v>
      </c>
      <c r="P22" s="3" t="s">
        <v>182</v>
      </c>
      <c r="Q22" s="3" t="s">
        <v>179</v>
      </c>
      <c r="R22" s="3" t="s">
        <v>190</v>
      </c>
    </row>
    <row r="23" spans="1:18" x14ac:dyDescent="0.25">
      <c r="A23" s="3" t="s">
        <v>70</v>
      </c>
      <c r="B23" s="3">
        <v>20436896</v>
      </c>
      <c r="C23" s="3" t="s">
        <v>72</v>
      </c>
      <c r="D23" s="3" t="s">
        <v>73</v>
      </c>
      <c r="E23" s="3" t="str">
        <f t="shared" si="0"/>
        <v>Annette Brooks</v>
      </c>
      <c r="F23" s="3" t="s">
        <v>74</v>
      </c>
      <c r="G23" s="3" t="str">
        <f t="shared" si="1"/>
        <v>MI-000266532977</v>
      </c>
      <c r="H23" s="4">
        <v>44927</v>
      </c>
      <c r="I23" s="4">
        <v>45870</v>
      </c>
      <c r="J23" s="3" t="s">
        <v>16</v>
      </c>
      <c r="K23" s="3" t="s">
        <v>83</v>
      </c>
      <c r="L23" s="5">
        <v>24</v>
      </c>
      <c r="M23" s="3" t="s">
        <v>173</v>
      </c>
      <c r="P23" s="3" t="s">
        <v>182</v>
      </c>
      <c r="Q23" s="3" t="s">
        <v>179</v>
      </c>
      <c r="R23" s="3" t="s">
        <v>191</v>
      </c>
    </row>
    <row r="24" spans="1:18" x14ac:dyDescent="0.25">
      <c r="A24" s="3" t="s">
        <v>70</v>
      </c>
      <c r="B24" s="3">
        <v>20436896</v>
      </c>
      <c r="C24" s="3" t="s">
        <v>72</v>
      </c>
      <c r="D24" s="3" t="s">
        <v>73</v>
      </c>
      <c r="E24" s="3" t="str">
        <f t="shared" si="0"/>
        <v>Annette Brooks</v>
      </c>
      <c r="F24" s="3" t="s">
        <v>74</v>
      </c>
      <c r="G24" s="3" t="str">
        <f t="shared" si="1"/>
        <v>MI-000266532977</v>
      </c>
      <c r="H24" s="4">
        <v>44927</v>
      </c>
      <c r="I24" s="4">
        <v>45870</v>
      </c>
      <c r="J24" s="3" t="s">
        <v>16</v>
      </c>
      <c r="K24" s="3" t="s">
        <v>84</v>
      </c>
      <c r="L24" s="5">
        <v>24</v>
      </c>
      <c r="M24" s="3" t="s">
        <v>173</v>
      </c>
      <c r="P24" s="3" t="s">
        <v>182</v>
      </c>
      <c r="Q24" s="3" t="s">
        <v>179</v>
      </c>
      <c r="R24" s="3" t="s">
        <v>192</v>
      </c>
    </row>
    <row r="25" spans="1:18" x14ac:dyDescent="0.25">
      <c r="A25" s="3" t="s">
        <v>70</v>
      </c>
      <c r="B25" s="3">
        <v>20436896</v>
      </c>
      <c r="C25" s="3" t="s">
        <v>72</v>
      </c>
      <c r="D25" s="3" t="s">
        <v>73</v>
      </c>
      <c r="E25" s="3" t="str">
        <f t="shared" si="0"/>
        <v>Annette Brooks</v>
      </c>
      <c r="F25" s="3" t="s">
        <v>74</v>
      </c>
      <c r="G25" s="3" t="str">
        <f t="shared" si="1"/>
        <v>MI-000266532977</v>
      </c>
      <c r="H25" s="4">
        <v>44927</v>
      </c>
      <c r="I25" s="4">
        <v>45870</v>
      </c>
      <c r="J25" s="3" t="s">
        <v>16</v>
      </c>
      <c r="K25" s="3" t="s">
        <v>85</v>
      </c>
      <c r="L25" s="5">
        <v>24</v>
      </c>
      <c r="M25" s="3" t="s">
        <v>173</v>
      </c>
      <c r="P25" s="3" t="s">
        <v>182</v>
      </c>
      <c r="Q25" s="3" t="s">
        <v>179</v>
      </c>
      <c r="R25" s="3" t="s">
        <v>193</v>
      </c>
    </row>
    <row r="26" spans="1:18" x14ac:dyDescent="0.25">
      <c r="A26" s="3" t="s">
        <v>70</v>
      </c>
      <c r="B26" s="3">
        <v>20436896</v>
      </c>
      <c r="C26" s="3" t="s">
        <v>72</v>
      </c>
      <c r="D26" s="3" t="s">
        <v>73</v>
      </c>
      <c r="E26" s="3" t="str">
        <f t="shared" si="0"/>
        <v>Annette Brooks</v>
      </c>
      <c r="F26" s="3" t="s">
        <v>74</v>
      </c>
      <c r="G26" s="3" t="str">
        <f t="shared" si="1"/>
        <v>MI-000266532977</v>
      </c>
      <c r="H26" s="4">
        <v>44927</v>
      </c>
      <c r="I26" s="4">
        <v>45870</v>
      </c>
      <c r="J26" s="3" t="s">
        <v>16</v>
      </c>
      <c r="K26" s="3" t="s">
        <v>86</v>
      </c>
      <c r="L26" s="5">
        <v>24</v>
      </c>
      <c r="M26" s="3" t="s">
        <v>173</v>
      </c>
      <c r="P26" s="3" t="s">
        <v>182</v>
      </c>
      <c r="Q26" s="3" t="s">
        <v>179</v>
      </c>
      <c r="R26" s="3" t="s">
        <v>194</v>
      </c>
    </row>
    <row r="27" spans="1:18" x14ac:dyDescent="0.25">
      <c r="A27" s="3" t="s">
        <v>70</v>
      </c>
      <c r="B27" s="3">
        <v>20436896</v>
      </c>
      <c r="C27" s="3" t="s">
        <v>72</v>
      </c>
      <c r="D27" s="3" t="s">
        <v>73</v>
      </c>
      <c r="E27" s="3" t="str">
        <f t="shared" si="0"/>
        <v>Annette Brooks</v>
      </c>
      <c r="F27" s="3" t="s">
        <v>74</v>
      </c>
      <c r="G27" s="3" t="str">
        <f t="shared" si="1"/>
        <v>MI-000266532977</v>
      </c>
      <c r="H27" s="4">
        <v>44927</v>
      </c>
      <c r="I27" s="4">
        <v>45870</v>
      </c>
      <c r="J27" s="3" t="s">
        <v>16</v>
      </c>
      <c r="K27" s="3" t="s">
        <v>87</v>
      </c>
      <c r="L27" s="5">
        <v>24</v>
      </c>
      <c r="M27" s="3" t="s">
        <v>173</v>
      </c>
      <c r="P27" s="3" t="s">
        <v>182</v>
      </c>
      <c r="Q27" s="3" t="s">
        <v>179</v>
      </c>
      <c r="R27" s="3" t="s">
        <v>195</v>
      </c>
    </row>
    <row r="28" spans="1:18" x14ac:dyDescent="0.25">
      <c r="A28" s="3" t="s">
        <v>70</v>
      </c>
      <c r="B28" s="3">
        <v>20436896</v>
      </c>
      <c r="C28" s="3" t="s">
        <v>72</v>
      </c>
      <c r="D28" s="3" t="s">
        <v>73</v>
      </c>
      <c r="E28" s="3" t="str">
        <f t="shared" si="0"/>
        <v>Annette Brooks</v>
      </c>
      <c r="F28" s="3" t="s">
        <v>74</v>
      </c>
      <c r="G28" s="3" t="str">
        <f t="shared" si="1"/>
        <v>MI-000266532977</v>
      </c>
      <c r="H28" s="4">
        <v>44927</v>
      </c>
      <c r="I28" s="4">
        <v>45870</v>
      </c>
      <c r="J28" s="3" t="s">
        <v>16</v>
      </c>
      <c r="K28" s="3" t="s">
        <v>88</v>
      </c>
      <c r="L28" s="5">
        <v>24</v>
      </c>
      <c r="M28" s="3" t="s">
        <v>173</v>
      </c>
      <c r="P28" s="3" t="s">
        <v>182</v>
      </c>
      <c r="Q28" s="3" t="s">
        <v>179</v>
      </c>
      <c r="R28" s="3" t="s">
        <v>196</v>
      </c>
    </row>
    <row r="29" spans="1:18" x14ac:dyDescent="0.25">
      <c r="A29" s="3" t="s">
        <v>70</v>
      </c>
      <c r="B29" s="3">
        <v>20436896</v>
      </c>
      <c r="C29" s="3" t="s">
        <v>72</v>
      </c>
      <c r="D29" s="3" t="s">
        <v>73</v>
      </c>
      <c r="E29" s="3" t="str">
        <f t="shared" si="0"/>
        <v>Annette Brooks</v>
      </c>
      <c r="F29" s="3" t="s">
        <v>74</v>
      </c>
      <c r="G29" s="3" t="str">
        <f t="shared" si="1"/>
        <v>MI-000266532977</v>
      </c>
      <c r="H29" s="4">
        <v>44927</v>
      </c>
      <c r="I29" s="4">
        <v>45870</v>
      </c>
      <c r="J29" s="3" t="s">
        <v>16</v>
      </c>
      <c r="K29" s="3" t="s">
        <v>89</v>
      </c>
      <c r="L29" s="5">
        <v>24</v>
      </c>
      <c r="M29" s="3" t="s">
        <v>173</v>
      </c>
      <c r="P29" s="3" t="s">
        <v>182</v>
      </c>
      <c r="Q29" s="3" t="s">
        <v>179</v>
      </c>
      <c r="R29" s="3" t="s">
        <v>197</v>
      </c>
    </row>
    <row r="30" spans="1:18" x14ac:dyDescent="0.25">
      <c r="A30" s="3" t="s">
        <v>70</v>
      </c>
      <c r="B30" s="3">
        <v>20436896</v>
      </c>
      <c r="C30" s="3" t="s">
        <v>72</v>
      </c>
      <c r="D30" s="3" t="s">
        <v>73</v>
      </c>
      <c r="E30" s="3" t="str">
        <f t="shared" si="0"/>
        <v>Annette Brooks</v>
      </c>
      <c r="F30" s="3" t="s">
        <v>74</v>
      </c>
      <c r="G30" s="3" t="str">
        <f t="shared" si="1"/>
        <v>MI-000266532977</v>
      </c>
      <c r="H30" s="4">
        <v>44927</v>
      </c>
      <c r="I30" s="4">
        <v>45870</v>
      </c>
      <c r="J30" s="3" t="s">
        <v>16</v>
      </c>
      <c r="K30" s="3" t="s">
        <v>90</v>
      </c>
      <c r="L30" s="5">
        <v>24</v>
      </c>
      <c r="M30" s="3" t="s">
        <v>173</v>
      </c>
      <c r="P30" s="3" t="s">
        <v>182</v>
      </c>
      <c r="Q30" s="3" t="s">
        <v>179</v>
      </c>
      <c r="R30" s="3" t="s">
        <v>198</v>
      </c>
    </row>
    <row r="31" spans="1:18" x14ac:dyDescent="0.25">
      <c r="A31" s="3" t="s">
        <v>70</v>
      </c>
      <c r="B31" s="3">
        <v>20436896</v>
      </c>
      <c r="C31" s="3" t="s">
        <v>72</v>
      </c>
      <c r="D31" s="3" t="s">
        <v>73</v>
      </c>
      <c r="E31" s="3" t="str">
        <f t="shared" si="0"/>
        <v>Annette Brooks</v>
      </c>
      <c r="F31" s="3" t="s">
        <v>74</v>
      </c>
      <c r="G31" s="3" t="str">
        <f t="shared" si="1"/>
        <v>MI-000266532977</v>
      </c>
      <c r="H31" s="4">
        <v>44927</v>
      </c>
      <c r="I31" s="4">
        <v>45870</v>
      </c>
      <c r="J31" s="3" t="s">
        <v>16</v>
      </c>
      <c r="K31" s="3" t="s">
        <v>91</v>
      </c>
      <c r="L31" s="5">
        <v>24</v>
      </c>
      <c r="M31" s="3" t="s">
        <v>173</v>
      </c>
      <c r="P31" s="3" t="s">
        <v>182</v>
      </c>
      <c r="Q31" s="3" t="s">
        <v>179</v>
      </c>
      <c r="R31" s="3" t="s">
        <v>199</v>
      </c>
    </row>
    <row r="32" spans="1:18" x14ac:dyDescent="0.25">
      <c r="A32" s="3" t="s">
        <v>70</v>
      </c>
      <c r="B32" s="3">
        <v>20436896</v>
      </c>
      <c r="C32" s="3" t="s">
        <v>72</v>
      </c>
      <c r="D32" s="3" t="s">
        <v>73</v>
      </c>
      <c r="E32" s="3" t="str">
        <f t="shared" si="0"/>
        <v>Annette Brooks</v>
      </c>
      <c r="F32" s="3" t="s">
        <v>74</v>
      </c>
      <c r="G32" s="3" t="str">
        <f t="shared" si="1"/>
        <v>MI-000266532977</v>
      </c>
      <c r="H32" s="4">
        <v>44927</v>
      </c>
      <c r="I32" s="4">
        <v>45870</v>
      </c>
      <c r="J32" s="3" t="s">
        <v>16</v>
      </c>
      <c r="K32" s="3" t="s">
        <v>92</v>
      </c>
      <c r="L32" s="5">
        <v>24</v>
      </c>
      <c r="M32" s="3" t="s">
        <v>173</v>
      </c>
      <c r="P32" s="3" t="s">
        <v>182</v>
      </c>
      <c r="Q32" s="3" t="s">
        <v>179</v>
      </c>
      <c r="R32" s="3" t="s">
        <v>200</v>
      </c>
    </row>
    <row r="33" spans="1:18" x14ac:dyDescent="0.25">
      <c r="A33" s="3" t="s">
        <v>70</v>
      </c>
      <c r="B33" s="3">
        <v>20436896</v>
      </c>
      <c r="C33" s="3" t="s">
        <v>98</v>
      </c>
      <c r="D33" s="3" t="s">
        <v>99</v>
      </c>
      <c r="E33" s="3" t="str">
        <f t="shared" si="0"/>
        <v>Kyle Hoffman</v>
      </c>
      <c r="F33" s="3" t="s">
        <v>100</v>
      </c>
      <c r="G33" s="3" t="str">
        <f t="shared" si="1"/>
        <v>MI-000382503377</v>
      </c>
      <c r="H33" s="4">
        <v>44197</v>
      </c>
      <c r="I33" s="4">
        <v>45870</v>
      </c>
      <c r="J33" s="3" t="s">
        <v>16</v>
      </c>
      <c r="K33" s="3" t="s">
        <v>97</v>
      </c>
      <c r="L33" s="5">
        <v>24</v>
      </c>
      <c r="M33" s="3" t="s">
        <v>173</v>
      </c>
      <c r="P33" s="3" t="s">
        <v>182</v>
      </c>
      <c r="Q33" s="3" t="s">
        <v>179</v>
      </c>
      <c r="R33" s="3" t="s">
        <v>180</v>
      </c>
    </row>
    <row r="34" spans="1:18" x14ac:dyDescent="0.25">
      <c r="A34" s="3" t="s">
        <v>18</v>
      </c>
      <c r="B34" s="3">
        <v>8977234</v>
      </c>
      <c r="C34" s="3" t="s">
        <v>132</v>
      </c>
      <c r="D34" s="3" t="s">
        <v>133</v>
      </c>
      <c r="E34" s="3" t="str">
        <f t="shared" si="0"/>
        <v>Jace Harris</v>
      </c>
      <c r="F34" s="3" t="s">
        <v>134</v>
      </c>
      <c r="G34" s="3" t="str">
        <f t="shared" si="1"/>
        <v>UT-000236830177</v>
      </c>
      <c r="H34" s="4">
        <v>45778</v>
      </c>
      <c r="I34" s="4">
        <v>45870</v>
      </c>
      <c r="J34" s="3" t="s">
        <v>16</v>
      </c>
      <c r="K34" s="3" t="s">
        <v>135</v>
      </c>
      <c r="L34" s="5">
        <v>19</v>
      </c>
      <c r="M34" s="3" t="s">
        <v>176</v>
      </c>
      <c r="P34" s="3" t="s">
        <v>201</v>
      </c>
      <c r="Q34" s="3" t="s">
        <v>179</v>
      </c>
      <c r="R34" s="3" t="s">
        <v>180</v>
      </c>
    </row>
    <row r="35" spans="1:18" x14ac:dyDescent="0.25">
      <c r="A35" s="3" t="s">
        <v>18</v>
      </c>
      <c r="B35" s="3">
        <v>8977234</v>
      </c>
      <c r="C35" s="3" t="s">
        <v>136</v>
      </c>
      <c r="D35" s="3" t="s">
        <v>137</v>
      </c>
      <c r="E35" s="3" t="str">
        <f t="shared" si="0"/>
        <v>Boden Woodard</v>
      </c>
      <c r="F35" s="3" t="s">
        <v>138</v>
      </c>
      <c r="G35" s="3" t="str">
        <f t="shared" si="1"/>
        <v>UT-000245794077</v>
      </c>
      <c r="H35" s="4">
        <v>45292</v>
      </c>
      <c r="I35" s="4">
        <v>45870</v>
      </c>
      <c r="J35" s="3" t="s">
        <v>16</v>
      </c>
      <c r="K35" s="3" t="s">
        <v>135</v>
      </c>
      <c r="L35" s="5">
        <v>19</v>
      </c>
      <c r="M35" s="3" t="s">
        <v>176</v>
      </c>
      <c r="P35" s="3" t="s">
        <v>201</v>
      </c>
      <c r="Q35" s="3" t="s">
        <v>179</v>
      </c>
      <c r="R35" s="3" t="s">
        <v>180</v>
      </c>
    </row>
    <row r="36" spans="1:18" x14ac:dyDescent="0.25">
      <c r="A36" s="3" t="s">
        <v>18</v>
      </c>
      <c r="B36" s="3">
        <v>8977234</v>
      </c>
      <c r="C36" s="3" t="s">
        <v>139</v>
      </c>
      <c r="D36" s="3" t="s">
        <v>140</v>
      </c>
      <c r="E36" s="3" t="str">
        <f t="shared" si="0"/>
        <v>Toni Charter</v>
      </c>
      <c r="F36" s="3" t="s">
        <v>141</v>
      </c>
      <c r="G36" s="3" t="str">
        <f t="shared" si="1"/>
        <v>UT-000251645177</v>
      </c>
      <c r="H36" s="4">
        <v>45658</v>
      </c>
      <c r="I36" s="4">
        <v>45870</v>
      </c>
      <c r="J36" s="3" t="s">
        <v>16</v>
      </c>
      <c r="K36" s="3" t="s">
        <v>135</v>
      </c>
      <c r="L36" s="5">
        <v>19</v>
      </c>
      <c r="M36" s="3" t="s">
        <v>176</v>
      </c>
      <c r="P36" s="3" t="s">
        <v>201</v>
      </c>
      <c r="Q36" s="3" t="s">
        <v>179</v>
      </c>
      <c r="R36" s="3" t="s">
        <v>180</v>
      </c>
    </row>
    <row r="37" spans="1:18" x14ac:dyDescent="0.25">
      <c r="A37" s="3" t="s">
        <v>18</v>
      </c>
      <c r="B37" s="3">
        <v>8977234</v>
      </c>
      <c r="C37" s="3" t="s">
        <v>142</v>
      </c>
      <c r="D37" s="3" t="s">
        <v>137</v>
      </c>
      <c r="E37" s="3" t="str">
        <f t="shared" si="0"/>
        <v>Douglas Woodard</v>
      </c>
      <c r="F37" s="3" t="s">
        <v>143</v>
      </c>
      <c r="G37" s="3" t="str">
        <f t="shared" si="1"/>
        <v>UT-000294363177</v>
      </c>
      <c r="H37" s="4">
        <v>45292</v>
      </c>
      <c r="I37" s="4">
        <v>45870</v>
      </c>
      <c r="J37" s="3" t="s">
        <v>16</v>
      </c>
      <c r="K37" s="3" t="s">
        <v>135</v>
      </c>
      <c r="L37" s="5">
        <v>19</v>
      </c>
      <c r="M37" s="3" t="s">
        <v>176</v>
      </c>
      <c r="P37" s="3" t="s">
        <v>201</v>
      </c>
      <c r="Q37" s="3" t="s">
        <v>179</v>
      </c>
      <c r="R37" s="3" t="s">
        <v>180</v>
      </c>
    </row>
    <row r="38" spans="1:18" x14ac:dyDescent="0.25">
      <c r="A38" s="3" t="s">
        <v>18</v>
      </c>
      <c r="B38" s="3">
        <v>8977234</v>
      </c>
      <c r="C38" s="3" t="s">
        <v>144</v>
      </c>
      <c r="D38" s="3" t="s">
        <v>145</v>
      </c>
      <c r="E38" s="3" t="str">
        <f t="shared" si="0"/>
        <v>Lisa Biagi Woodard</v>
      </c>
      <c r="F38" s="3" t="s">
        <v>146</v>
      </c>
      <c r="G38" s="3" t="str">
        <f t="shared" si="1"/>
        <v>UT-000305361577</v>
      </c>
      <c r="H38" s="4">
        <v>45292</v>
      </c>
      <c r="I38" s="4">
        <v>45870</v>
      </c>
      <c r="J38" s="3" t="s">
        <v>16</v>
      </c>
      <c r="K38" s="3" t="s">
        <v>135</v>
      </c>
      <c r="L38" s="5">
        <v>19</v>
      </c>
      <c r="M38" s="3" t="s">
        <v>176</v>
      </c>
      <c r="P38" s="3" t="s">
        <v>201</v>
      </c>
      <c r="Q38" s="3" t="s">
        <v>179</v>
      </c>
      <c r="R38" s="3" t="s">
        <v>180</v>
      </c>
    </row>
    <row r="39" spans="1:18" x14ac:dyDescent="0.25">
      <c r="A39" s="3" t="s">
        <v>18</v>
      </c>
      <c r="B39" s="3">
        <v>8977234</v>
      </c>
      <c r="C39" s="3" t="s">
        <v>147</v>
      </c>
      <c r="D39" s="3" t="s">
        <v>133</v>
      </c>
      <c r="E39" s="3" t="str">
        <f t="shared" si="0"/>
        <v>Kelly Harris</v>
      </c>
      <c r="F39" s="3" t="s">
        <v>148</v>
      </c>
      <c r="G39" s="3" t="str">
        <f t="shared" si="1"/>
        <v>UT-000314961777</v>
      </c>
      <c r="H39" s="4">
        <v>45778</v>
      </c>
      <c r="I39" s="4">
        <v>45870</v>
      </c>
      <c r="J39" s="3" t="s">
        <v>16</v>
      </c>
      <c r="K39" s="3" t="s">
        <v>135</v>
      </c>
      <c r="L39" s="5">
        <v>19</v>
      </c>
      <c r="M39" s="3" t="s">
        <v>176</v>
      </c>
      <c r="P39" s="3" t="s">
        <v>201</v>
      </c>
      <c r="Q39" s="3" t="s">
        <v>179</v>
      </c>
      <c r="R39" s="3" t="s">
        <v>180</v>
      </c>
    </row>
    <row r="40" spans="1:18" x14ac:dyDescent="0.25">
      <c r="A40" s="3" t="s">
        <v>18</v>
      </c>
      <c r="B40" s="3">
        <v>8977234</v>
      </c>
      <c r="C40" s="3" t="s">
        <v>149</v>
      </c>
      <c r="D40" s="3" t="s">
        <v>133</v>
      </c>
      <c r="E40" s="3" t="str">
        <f t="shared" si="0"/>
        <v>Lance Harris</v>
      </c>
      <c r="F40" s="3" t="s">
        <v>150</v>
      </c>
      <c r="G40" s="3" t="str">
        <f t="shared" si="1"/>
        <v>UT-000335456077</v>
      </c>
      <c r="H40" s="4">
        <v>45778</v>
      </c>
      <c r="I40" s="4">
        <v>45870</v>
      </c>
      <c r="J40" s="3" t="s">
        <v>16</v>
      </c>
      <c r="K40" s="3" t="s">
        <v>135</v>
      </c>
      <c r="L40" s="5">
        <v>19</v>
      </c>
      <c r="M40" s="3" t="s">
        <v>176</v>
      </c>
      <c r="P40" s="3" t="s">
        <v>201</v>
      </c>
      <c r="Q40" s="3" t="s">
        <v>179</v>
      </c>
      <c r="R40" s="3" t="s">
        <v>180</v>
      </c>
    </row>
    <row r="41" spans="1:18" x14ac:dyDescent="0.25">
      <c r="A41" s="3" t="s">
        <v>18</v>
      </c>
      <c r="B41" s="3">
        <v>8977234</v>
      </c>
      <c r="C41" s="3" t="s">
        <v>151</v>
      </c>
      <c r="D41" s="3" t="s">
        <v>133</v>
      </c>
      <c r="E41" s="3" t="str">
        <f t="shared" si="0"/>
        <v>Hayden Harris</v>
      </c>
      <c r="F41" s="3" t="s">
        <v>152</v>
      </c>
      <c r="G41" s="3" t="str">
        <f t="shared" si="1"/>
        <v>UT-000359304977</v>
      </c>
      <c r="H41" s="4">
        <v>45778</v>
      </c>
      <c r="I41" s="4">
        <v>45870</v>
      </c>
      <c r="J41" s="3" t="s">
        <v>16</v>
      </c>
      <c r="K41" s="3" t="s">
        <v>135</v>
      </c>
      <c r="L41" s="5">
        <v>19</v>
      </c>
      <c r="M41" s="3" t="s">
        <v>176</v>
      </c>
      <c r="P41" s="3" t="s">
        <v>201</v>
      </c>
      <c r="Q41" s="3" t="s">
        <v>179</v>
      </c>
      <c r="R41" s="3" t="s">
        <v>180</v>
      </c>
    </row>
    <row r="42" spans="1:18" x14ac:dyDescent="0.25">
      <c r="A42" s="3" t="s">
        <v>18</v>
      </c>
      <c r="B42" s="3">
        <v>8977234</v>
      </c>
      <c r="C42" s="3" t="s">
        <v>153</v>
      </c>
      <c r="D42" s="3" t="s">
        <v>133</v>
      </c>
      <c r="E42" s="3" t="str">
        <f t="shared" si="0"/>
        <v>Hailee Harris</v>
      </c>
      <c r="F42" s="3" t="s">
        <v>154</v>
      </c>
      <c r="G42" s="3" t="str">
        <f t="shared" si="1"/>
        <v>UT-000360984177</v>
      </c>
      <c r="H42" s="4">
        <v>45778</v>
      </c>
      <c r="I42" s="4">
        <v>45870</v>
      </c>
      <c r="J42" s="3" t="s">
        <v>16</v>
      </c>
      <c r="K42" s="3" t="s">
        <v>135</v>
      </c>
      <c r="L42" s="5">
        <v>19</v>
      </c>
      <c r="M42" s="3" t="s">
        <v>176</v>
      </c>
      <c r="P42" s="3" t="s">
        <v>201</v>
      </c>
      <c r="Q42" s="3" t="s">
        <v>179</v>
      </c>
      <c r="R42" s="3" t="s">
        <v>180</v>
      </c>
    </row>
    <row r="43" spans="1:18" x14ac:dyDescent="0.25">
      <c r="A43" s="3" t="s">
        <v>18</v>
      </c>
      <c r="B43" s="3">
        <v>8977234</v>
      </c>
      <c r="C43" s="3" t="s">
        <v>155</v>
      </c>
      <c r="D43" s="3" t="s">
        <v>156</v>
      </c>
      <c r="E43" s="3" t="str">
        <f t="shared" si="0"/>
        <v>Charles Carspecken</v>
      </c>
      <c r="F43" s="3" t="s">
        <v>157</v>
      </c>
      <c r="G43" s="3" t="str">
        <f t="shared" si="1"/>
        <v>UT-000413233277</v>
      </c>
      <c r="H43" s="4">
        <v>45839</v>
      </c>
      <c r="I43" s="4">
        <v>45870</v>
      </c>
      <c r="J43" s="3" t="s">
        <v>16</v>
      </c>
      <c r="K43" s="3" t="s">
        <v>135</v>
      </c>
      <c r="L43" s="5">
        <v>19</v>
      </c>
      <c r="M43" s="3" t="s">
        <v>176</v>
      </c>
      <c r="P43" s="3" t="s">
        <v>201</v>
      </c>
      <c r="Q43" s="3" t="s">
        <v>179</v>
      </c>
      <c r="R43" s="3" t="s">
        <v>180</v>
      </c>
    </row>
    <row r="44" spans="1:18" x14ac:dyDescent="0.25">
      <c r="A44" s="3" t="s">
        <v>93</v>
      </c>
      <c r="B44" s="3">
        <v>8307933</v>
      </c>
      <c r="C44" s="3" t="s">
        <v>108</v>
      </c>
      <c r="D44" s="3" t="s">
        <v>109</v>
      </c>
      <c r="E44" s="3" t="str">
        <f t="shared" si="0"/>
        <v>Taylor Dickey</v>
      </c>
      <c r="F44" s="3" t="s">
        <v>110</v>
      </c>
      <c r="G44" s="3" t="str">
        <f t="shared" si="1"/>
        <v>MS-000305984877</v>
      </c>
      <c r="H44" s="4">
        <v>45658</v>
      </c>
      <c r="I44" s="4">
        <v>45870</v>
      </c>
      <c r="J44" s="3" t="s">
        <v>16</v>
      </c>
      <c r="K44" s="3" t="s">
        <v>105</v>
      </c>
      <c r="L44" s="5">
        <v>22</v>
      </c>
      <c r="M44" s="3" t="s">
        <v>174</v>
      </c>
      <c r="P44" s="3" t="s">
        <v>202</v>
      </c>
      <c r="Q44" s="3" t="s">
        <v>179</v>
      </c>
      <c r="R44" s="3" t="s">
        <v>180</v>
      </c>
    </row>
    <row r="45" spans="1:18" x14ac:dyDescent="0.25">
      <c r="A45" s="3" t="s">
        <v>101</v>
      </c>
      <c r="B45" s="3">
        <v>371819</v>
      </c>
      <c r="C45" s="3" t="s">
        <v>102</v>
      </c>
      <c r="D45" s="3" t="s">
        <v>103</v>
      </c>
      <c r="E45" s="3" t="str">
        <f t="shared" si="0"/>
        <v>Carrington Grissom</v>
      </c>
      <c r="F45" s="3" t="s">
        <v>104</v>
      </c>
      <c r="G45" s="3" t="str">
        <f t="shared" si="1"/>
        <v>MS-000235778677</v>
      </c>
      <c r="H45" s="4">
        <v>45536</v>
      </c>
      <c r="I45" s="4">
        <v>45870</v>
      </c>
      <c r="J45" s="3" t="s">
        <v>16</v>
      </c>
      <c r="K45" s="3" t="s">
        <v>105</v>
      </c>
      <c r="L45" s="5">
        <v>22</v>
      </c>
      <c r="M45" s="3" t="s">
        <v>174</v>
      </c>
      <c r="P45" s="3" t="s">
        <v>202</v>
      </c>
      <c r="Q45" s="3" t="s">
        <v>179</v>
      </c>
      <c r="R45" s="3" t="s">
        <v>180</v>
      </c>
    </row>
    <row r="46" spans="1:18" x14ac:dyDescent="0.25">
      <c r="A46" s="3" t="s">
        <v>101</v>
      </c>
      <c r="B46" s="3">
        <v>371819</v>
      </c>
      <c r="C46" s="3" t="s">
        <v>106</v>
      </c>
      <c r="D46" s="3" t="s">
        <v>103</v>
      </c>
      <c r="E46" s="3" t="str">
        <f t="shared" si="0"/>
        <v>Anthony Grissom</v>
      </c>
      <c r="F46" s="3" t="s">
        <v>107</v>
      </c>
      <c r="G46" s="3" t="str">
        <f t="shared" si="1"/>
        <v>MS-000300145177</v>
      </c>
      <c r="H46" s="4">
        <v>45536</v>
      </c>
      <c r="I46" s="4">
        <v>45870</v>
      </c>
      <c r="J46" s="3" t="s">
        <v>16</v>
      </c>
      <c r="K46" s="3" t="s">
        <v>105</v>
      </c>
      <c r="L46" s="5">
        <v>22</v>
      </c>
      <c r="M46" s="3" t="s">
        <v>174</v>
      </c>
      <c r="P46" s="3" t="s">
        <v>202</v>
      </c>
      <c r="Q46" s="3" t="s">
        <v>179</v>
      </c>
      <c r="R46" s="3" t="s">
        <v>180</v>
      </c>
    </row>
    <row r="47" spans="1:18" x14ac:dyDescent="0.25">
      <c r="A47" s="3" t="s">
        <v>64</v>
      </c>
      <c r="B47" s="3">
        <v>7146581</v>
      </c>
      <c r="C47" s="3" t="s">
        <v>65</v>
      </c>
      <c r="D47" s="3" t="s">
        <v>66</v>
      </c>
      <c r="E47" s="3" t="str">
        <f t="shared" si="0"/>
        <v>Erik Olson</v>
      </c>
      <c r="F47" s="3" t="s">
        <v>67</v>
      </c>
      <c r="G47" s="3" t="str">
        <f t="shared" si="1"/>
        <v>IL-000538002077</v>
      </c>
      <c r="H47" s="4">
        <v>45658</v>
      </c>
      <c r="I47" s="4">
        <v>45870</v>
      </c>
      <c r="J47" s="3" t="s">
        <v>16</v>
      </c>
      <c r="K47" s="3" t="s">
        <v>44</v>
      </c>
      <c r="L47" s="5">
        <v>25</v>
      </c>
      <c r="M47" s="3" t="s">
        <v>172</v>
      </c>
      <c r="P47" s="3" t="s">
        <v>203</v>
      </c>
      <c r="Q47" s="3" t="s">
        <v>179</v>
      </c>
      <c r="R47" s="3" t="s">
        <v>180</v>
      </c>
    </row>
    <row r="48" spans="1:18" x14ac:dyDescent="0.25">
      <c r="A48" s="3" t="s">
        <v>51</v>
      </c>
      <c r="B48" s="3">
        <v>9213293</v>
      </c>
      <c r="C48" s="3" t="s">
        <v>52</v>
      </c>
      <c r="D48" s="3" t="s">
        <v>53</v>
      </c>
      <c r="E48" s="3" t="str">
        <f t="shared" si="0"/>
        <v>Patrick Matsuda</v>
      </c>
      <c r="F48" s="3" t="s">
        <v>54</v>
      </c>
      <c r="G48" s="3" t="str">
        <f t="shared" si="1"/>
        <v>IL-000461488477</v>
      </c>
      <c r="H48" s="4">
        <v>45658</v>
      </c>
      <c r="I48" s="4">
        <v>45870</v>
      </c>
      <c r="J48" s="3" t="s">
        <v>16</v>
      </c>
      <c r="K48" s="3" t="s">
        <v>44</v>
      </c>
      <c r="L48" s="5">
        <v>25</v>
      </c>
      <c r="M48" s="3" t="s">
        <v>172</v>
      </c>
      <c r="P48" s="3" t="s">
        <v>203</v>
      </c>
      <c r="Q48" s="3" t="s">
        <v>179</v>
      </c>
      <c r="R48" s="3" t="s">
        <v>180</v>
      </c>
    </row>
    <row r="49" spans="1:18" x14ac:dyDescent="0.25">
      <c r="A49" s="3" t="s">
        <v>51</v>
      </c>
      <c r="B49" s="3">
        <v>9213293</v>
      </c>
      <c r="C49" s="3" t="s">
        <v>68</v>
      </c>
      <c r="D49" s="3" t="s">
        <v>62</v>
      </c>
      <c r="E49" s="3" t="str">
        <f t="shared" si="0"/>
        <v>Marco Flores</v>
      </c>
      <c r="F49" s="3" t="s">
        <v>69</v>
      </c>
      <c r="G49" s="3" t="str">
        <f t="shared" si="1"/>
        <v>IL-000538817077</v>
      </c>
      <c r="H49" s="4">
        <v>45658</v>
      </c>
      <c r="I49" s="4">
        <v>45870</v>
      </c>
      <c r="J49" s="3" t="s">
        <v>16</v>
      </c>
      <c r="K49" s="3" t="s">
        <v>44</v>
      </c>
      <c r="L49" s="5">
        <v>25</v>
      </c>
      <c r="M49" s="3" t="s">
        <v>172</v>
      </c>
      <c r="P49" s="3" t="s">
        <v>203</v>
      </c>
      <c r="Q49" s="3" t="s">
        <v>179</v>
      </c>
      <c r="R49" s="3" t="s">
        <v>180</v>
      </c>
    </row>
    <row r="50" spans="1:18" x14ac:dyDescent="0.25">
      <c r="A50" s="3" t="s">
        <v>23</v>
      </c>
      <c r="B50" s="3">
        <v>16683808</v>
      </c>
      <c r="C50" s="3" t="s">
        <v>61</v>
      </c>
      <c r="D50" s="3" t="s">
        <v>62</v>
      </c>
      <c r="E50" s="3" t="str">
        <f t="shared" si="0"/>
        <v>Vanessa Flores</v>
      </c>
      <c r="F50" s="3" t="s">
        <v>63</v>
      </c>
      <c r="G50" s="3" t="str">
        <f t="shared" si="1"/>
        <v>IL-000527725277</v>
      </c>
      <c r="H50" s="4">
        <v>45658</v>
      </c>
      <c r="I50" s="4">
        <v>45870</v>
      </c>
      <c r="J50" s="3" t="s">
        <v>16</v>
      </c>
      <c r="K50" s="3" t="s">
        <v>44</v>
      </c>
      <c r="L50" s="5">
        <v>25</v>
      </c>
      <c r="M50" s="3" t="s">
        <v>172</v>
      </c>
      <c r="P50" s="3" t="s">
        <v>203</v>
      </c>
      <c r="Q50" s="3" t="s">
        <v>179</v>
      </c>
      <c r="R50" s="3" t="s">
        <v>180</v>
      </c>
    </row>
    <row r="51" spans="1:18" x14ac:dyDescent="0.25">
      <c r="A51" s="3" t="s">
        <v>33</v>
      </c>
      <c r="B51" s="3">
        <v>16633294</v>
      </c>
      <c r="C51" s="3" t="s">
        <v>45</v>
      </c>
      <c r="D51" s="3" t="s">
        <v>46</v>
      </c>
      <c r="E51" s="3" t="str">
        <f t="shared" si="0"/>
        <v>Lazaros Bolis</v>
      </c>
      <c r="F51" s="3" t="s">
        <v>47</v>
      </c>
      <c r="G51" s="3" t="str">
        <f t="shared" si="1"/>
        <v>IL-000456291777</v>
      </c>
      <c r="H51" s="4">
        <v>45717</v>
      </c>
      <c r="I51" s="4">
        <v>45870</v>
      </c>
      <c r="J51" s="3" t="s">
        <v>16</v>
      </c>
      <c r="K51" s="3" t="s">
        <v>44</v>
      </c>
      <c r="L51" s="5">
        <v>25</v>
      </c>
      <c r="M51" s="3" t="s">
        <v>172</v>
      </c>
      <c r="P51" s="3" t="s">
        <v>203</v>
      </c>
      <c r="Q51" s="3" t="s">
        <v>179</v>
      </c>
      <c r="R51" s="3" t="s">
        <v>180</v>
      </c>
    </row>
    <row r="52" spans="1:18" x14ac:dyDescent="0.25">
      <c r="A52" s="3" t="s">
        <v>33</v>
      </c>
      <c r="B52" s="3">
        <v>16633294</v>
      </c>
      <c r="C52" s="3" t="s">
        <v>55</v>
      </c>
      <c r="D52" s="3" t="s">
        <v>56</v>
      </c>
      <c r="E52" s="3" t="str">
        <f t="shared" si="0"/>
        <v>Sebastiana Bonafede</v>
      </c>
      <c r="F52" s="3" t="s">
        <v>57</v>
      </c>
      <c r="G52" s="3" t="str">
        <f t="shared" si="1"/>
        <v>IL-000463513677</v>
      </c>
      <c r="H52" s="4">
        <v>45689</v>
      </c>
      <c r="I52" s="4">
        <v>45870</v>
      </c>
      <c r="J52" s="3" t="s">
        <v>16</v>
      </c>
      <c r="K52" s="3" t="s">
        <v>44</v>
      </c>
      <c r="L52" s="5">
        <v>25</v>
      </c>
      <c r="M52" s="3" t="s">
        <v>172</v>
      </c>
      <c r="P52" s="3" t="s">
        <v>203</v>
      </c>
      <c r="Q52" s="3" t="s">
        <v>179</v>
      </c>
      <c r="R52" s="3" t="s">
        <v>180</v>
      </c>
    </row>
    <row r="53" spans="1:18" x14ac:dyDescent="0.25">
      <c r="A53" s="3" t="s">
        <v>18</v>
      </c>
      <c r="B53" s="3">
        <v>8977234</v>
      </c>
      <c r="C53" s="3" t="s">
        <v>129</v>
      </c>
      <c r="D53" s="3" t="s">
        <v>130</v>
      </c>
      <c r="E53" s="3" t="str">
        <f t="shared" si="0"/>
        <v>James Smith</v>
      </c>
      <c r="F53" s="3" t="s">
        <v>131</v>
      </c>
      <c r="G53" s="3" t="str">
        <f t="shared" si="1"/>
        <v>TX-001203325977</v>
      </c>
      <c r="H53" s="4">
        <v>44835</v>
      </c>
      <c r="I53" s="4">
        <v>45870</v>
      </c>
      <c r="J53" s="3" t="s">
        <v>16</v>
      </c>
      <c r="K53" s="3" t="s">
        <v>44</v>
      </c>
      <c r="L53" s="5">
        <v>25</v>
      </c>
      <c r="M53" s="3" t="s">
        <v>172</v>
      </c>
      <c r="P53" s="3" t="s">
        <v>203</v>
      </c>
      <c r="Q53" s="3" t="s">
        <v>179</v>
      </c>
      <c r="R53" s="3" t="s">
        <v>180</v>
      </c>
    </row>
    <row r="54" spans="1:18" x14ac:dyDescent="0.25">
      <c r="A54" s="3" t="s">
        <v>40</v>
      </c>
      <c r="B54" s="3">
        <v>19396223</v>
      </c>
      <c r="C54" s="3" t="s">
        <v>41</v>
      </c>
      <c r="D54" s="3" t="s">
        <v>42</v>
      </c>
      <c r="E54" s="3" t="str">
        <f t="shared" si="0"/>
        <v>Susan Duda</v>
      </c>
      <c r="F54" s="3" t="s">
        <v>43</v>
      </c>
      <c r="G54" s="3" t="str">
        <f t="shared" si="1"/>
        <v>IL-000437404177</v>
      </c>
      <c r="H54" s="4">
        <v>45717</v>
      </c>
      <c r="I54" s="4">
        <v>45870</v>
      </c>
      <c r="J54" s="3" t="s">
        <v>16</v>
      </c>
      <c r="K54" s="3" t="s">
        <v>44</v>
      </c>
      <c r="L54" s="5">
        <v>25</v>
      </c>
      <c r="M54" s="3" t="s">
        <v>172</v>
      </c>
      <c r="P54" s="3" t="s">
        <v>203</v>
      </c>
      <c r="Q54" s="3" t="s">
        <v>179</v>
      </c>
      <c r="R54" s="3" t="s">
        <v>180</v>
      </c>
    </row>
    <row r="55" spans="1:18" x14ac:dyDescent="0.25">
      <c r="A55" s="3" t="s">
        <v>40</v>
      </c>
      <c r="B55" s="3">
        <v>19396223</v>
      </c>
      <c r="C55" s="3" t="s">
        <v>48</v>
      </c>
      <c r="D55" s="3" t="s">
        <v>49</v>
      </c>
      <c r="E55" s="3" t="str">
        <f t="shared" si="0"/>
        <v>Miguel Peralta</v>
      </c>
      <c r="F55" s="3" t="s">
        <v>50</v>
      </c>
      <c r="G55" s="3" t="str">
        <f t="shared" si="1"/>
        <v>IL-000458099177</v>
      </c>
      <c r="H55" s="4">
        <v>45566</v>
      </c>
      <c r="I55" s="4">
        <v>45870</v>
      </c>
      <c r="J55" s="3" t="s">
        <v>16</v>
      </c>
      <c r="K55" s="3" t="s">
        <v>44</v>
      </c>
      <c r="L55" s="5">
        <v>25</v>
      </c>
      <c r="M55" s="3" t="s">
        <v>172</v>
      </c>
      <c r="P55" s="3" t="s">
        <v>203</v>
      </c>
      <c r="Q55" s="3" t="s">
        <v>179</v>
      </c>
      <c r="R55" s="3" t="s">
        <v>180</v>
      </c>
    </row>
    <row r="56" spans="1:18" x14ac:dyDescent="0.25">
      <c r="A56" s="3" t="s">
        <v>40</v>
      </c>
      <c r="B56" s="3">
        <v>19396223</v>
      </c>
      <c r="C56" s="3" t="s">
        <v>58</v>
      </c>
      <c r="D56" s="3" t="s">
        <v>59</v>
      </c>
      <c r="E56" s="3" t="str">
        <f t="shared" si="0"/>
        <v>Fazlunnisa Saleem</v>
      </c>
      <c r="F56" s="3" t="s">
        <v>60</v>
      </c>
      <c r="G56" s="3" t="str">
        <f t="shared" si="1"/>
        <v>IL-000488281077</v>
      </c>
      <c r="H56" s="4">
        <v>45658</v>
      </c>
      <c r="I56" s="4">
        <v>45870</v>
      </c>
      <c r="J56" s="3" t="s">
        <v>16</v>
      </c>
      <c r="K56" s="3" t="s">
        <v>44</v>
      </c>
      <c r="L56" s="5">
        <v>25</v>
      </c>
      <c r="M56" s="3" t="s">
        <v>172</v>
      </c>
      <c r="P56" s="3" t="s">
        <v>203</v>
      </c>
      <c r="Q56" s="3" t="s">
        <v>179</v>
      </c>
      <c r="R56" s="3" t="s">
        <v>180</v>
      </c>
    </row>
    <row r="57" spans="1:18" x14ac:dyDescent="0.25">
      <c r="A57" s="3" t="s">
        <v>101</v>
      </c>
      <c r="B57" s="3">
        <v>371819</v>
      </c>
      <c r="C57" s="3" t="s">
        <v>126</v>
      </c>
      <c r="D57" s="3" t="s">
        <v>127</v>
      </c>
      <c r="E57" s="3" t="str">
        <f t="shared" si="0"/>
        <v>Demetria Scott</v>
      </c>
      <c r="F57" s="3" t="s">
        <v>128</v>
      </c>
      <c r="G57" s="3" t="str">
        <f t="shared" si="1"/>
        <v>SC-000249855477</v>
      </c>
      <c r="H57" s="4">
        <v>45658</v>
      </c>
      <c r="I57" s="4">
        <v>45870</v>
      </c>
      <c r="J57" s="3" t="s">
        <v>16</v>
      </c>
      <c r="K57" s="3" t="s">
        <v>44</v>
      </c>
      <c r="L57" s="5">
        <v>25</v>
      </c>
      <c r="M57" s="3" t="s">
        <v>172</v>
      </c>
      <c r="P57" s="3" t="s">
        <v>203</v>
      </c>
      <c r="Q57" s="3" t="s">
        <v>179</v>
      </c>
      <c r="R57" s="3" t="s">
        <v>180</v>
      </c>
    </row>
    <row r="58" spans="1:18" x14ac:dyDescent="0.25">
      <c r="A58" s="3" t="s">
        <v>177</v>
      </c>
      <c r="B58" s="3">
        <v>20411454</v>
      </c>
      <c r="C58" s="3" t="s">
        <v>72</v>
      </c>
      <c r="D58" s="3" t="s">
        <v>73</v>
      </c>
      <c r="E58" s="3" t="str">
        <f t="shared" si="0"/>
        <v>Annette Brooks</v>
      </c>
      <c r="F58" s="3" t="s">
        <v>74</v>
      </c>
      <c r="G58" s="3" t="str">
        <f>CONCATENATE(F58,1)</f>
        <v>MI-00026653291</v>
      </c>
      <c r="H58" s="4">
        <v>44927</v>
      </c>
      <c r="I58" s="4">
        <v>45870</v>
      </c>
      <c r="J58" s="3" t="s">
        <v>16</v>
      </c>
      <c r="K58" s="3" t="s">
        <v>158</v>
      </c>
      <c r="L58" s="5">
        <v>2.5</v>
      </c>
      <c r="M58" s="3" t="s">
        <v>170</v>
      </c>
      <c r="P58" s="3" t="s">
        <v>204</v>
      </c>
      <c r="Q58" s="3" t="s">
        <v>179</v>
      </c>
      <c r="R58" s="3" t="s">
        <v>188</v>
      </c>
    </row>
    <row r="59" spans="1:18" x14ac:dyDescent="0.25">
      <c r="A59" s="3" t="s">
        <v>177</v>
      </c>
      <c r="B59" s="3">
        <v>20411454</v>
      </c>
      <c r="C59" s="3" t="s">
        <v>72</v>
      </c>
      <c r="D59" s="3" t="s">
        <v>73</v>
      </c>
      <c r="E59" s="3" t="str">
        <f t="shared" si="0"/>
        <v>Annette Brooks</v>
      </c>
      <c r="F59" s="3" t="s">
        <v>74</v>
      </c>
      <c r="G59" s="3" t="str">
        <f t="shared" ref="G59:G69" si="2">CONCATENATE(F59,1)</f>
        <v>MI-00026653291</v>
      </c>
      <c r="H59" s="4">
        <v>44927</v>
      </c>
      <c r="I59" s="4">
        <v>45870</v>
      </c>
      <c r="J59" s="3" t="s">
        <v>16</v>
      </c>
      <c r="K59" s="3" t="s">
        <v>159</v>
      </c>
      <c r="L59" s="5">
        <v>2.5</v>
      </c>
      <c r="M59" s="3" t="s">
        <v>170</v>
      </c>
      <c r="P59" s="3" t="s">
        <v>204</v>
      </c>
      <c r="Q59" s="3" t="s">
        <v>179</v>
      </c>
      <c r="R59" s="3" t="s">
        <v>189</v>
      </c>
    </row>
    <row r="60" spans="1:18" x14ac:dyDescent="0.25">
      <c r="A60" s="3" t="s">
        <v>177</v>
      </c>
      <c r="B60" s="3">
        <v>20411454</v>
      </c>
      <c r="C60" s="3" t="s">
        <v>72</v>
      </c>
      <c r="D60" s="3" t="s">
        <v>73</v>
      </c>
      <c r="E60" s="3" t="str">
        <f t="shared" si="0"/>
        <v>Annette Brooks</v>
      </c>
      <c r="F60" s="3" t="s">
        <v>74</v>
      </c>
      <c r="G60" s="3" t="str">
        <f t="shared" si="2"/>
        <v>MI-00026653291</v>
      </c>
      <c r="H60" s="4">
        <v>44927</v>
      </c>
      <c r="I60" s="4">
        <v>45870</v>
      </c>
      <c r="J60" s="3" t="s">
        <v>16</v>
      </c>
      <c r="K60" s="3" t="s">
        <v>160</v>
      </c>
      <c r="L60" s="5">
        <v>2.5</v>
      </c>
      <c r="M60" s="3" t="s">
        <v>170</v>
      </c>
      <c r="P60" s="3" t="s">
        <v>204</v>
      </c>
      <c r="Q60" s="3" t="s">
        <v>179</v>
      </c>
      <c r="R60" s="3" t="s">
        <v>190</v>
      </c>
    </row>
    <row r="61" spans="1:18" x14ac:dyDescent="0.25">
      <c r="A61" s="3" t="s">
        <v>177</v>
      </c>
      <c r="B61" s="3">
        <v>20411454</v>
      </c>
      <c r="C61" s="3" t="s">
        <v>72</v>
      </c>
      <c r="D61" s="3" t="s">
        <v>73</v>
      </c>
      <c r="E61" s="3" t="str">
        <f t="shared" si="0"/>
        <v>Annette Brooks</v>
      </c>
      <c r="F61" s="3" t="s">
        <v>74</v>
      </c>
      <c r="G61" s="3" t="str">
        <f t="shared" si="2"/>
        <v>MI-00026653291</v>
      </c>
      <c r="H61" s="4">
        <v>44927</v>
      </c>
      <c r="I61" s="4">
        <v>45870</v>
      </c>
      <c r="J61" s="3" t="s">
        <v>16</v>
      </c>
      <c r="K61" s="3" t="s">
        <v>161</v>
      </c>
      <c r="L61" s="5">
        <v>2.5</v>
      </c>
      <c r="M61" s="3" t="s">
        <v>170</v>
      </c>
      <c r="P61" s="3" t="s">
        <v>204</v>
      </c>
      <c r="Q61" s="3" t="s">
        <v>179</v>
      </c>
      <c r="R61" s="3" t="s">
        <v>191</v>
      </c>
    </row>
    <row r="62" spans="1:18" x14ac:dyDescent="0.25">
      <c r="A62" s="3" t="s">
        <v>177</v>
      </c>
      <c r="B62" s="3">
        <v>20411454</v>
      </c>
      <c r="C62" s="3" t="s">
        <v>72</v>
      </c>
      <c r="D62" s="3" t="s">
        <v>73</v>
      </c>
      <c r="E62" s="3" t="str">
        <f t="shared" si="0"/>
        <v>Annette Brooks</v>
      </c>
      <c r="F62" s="3" t="s">
        <v>74</v>
      </c>
      <c r="G62" s="3" t="str">
        <f t="shared" si="2"/>
        <v>MI-00026653291</v>
      </c>
      <c r="H62" s="4">
        <v>44927</v>
      </c>
      <c r="I62" s="4">
        <v>45870</v>
      </c>
      <c r="J62" s="3" t="s">
        <v>16</v>
      </c>
      <c r="K62" s="3" t="s">
        <v>162</v>
      </c>
      <c r="L62" s="5">
        <v>2.5</v>
      </c>
      <c r="M62" s="3" t="s">
        <v>170</v>
      </c>
      <c r="P62" s="3" t="s">
        <v>204</v>
      </c>
      <c r="Q62" s="3" t="s">
        <v>179</v>
      </c>
      <c r="R62" s="3" t="s">
        <v>192</v>
      </c>
    </row>
    <row r="63" spans="1:18" x14ac:dyDescent="0.25">
      <c r="A63" s="3" t="s">
        <v>177</v>
      </c>
      <c r="B63" s="3">
        <v>20411454</v>
      </c>
      <c r="C63" s="3" t="s">
        <v>72</v>
      </c>
      <c r="D63" s="3" t="s">
        <v>73</v>
      </c>
      <c r="E63" s="3" t="str">
        <f t="shared" si="0"/>
        <v>Annette Brooks</v>
      </c>
      <c r="F63" s="3" t="s">
        <v>74</v>
      </c>
      <c r="G63" s="3" t="str">
        <f t="shared" si="2"/>
        <v>MI-00026653291</v>
      </c>
      <c r="H63" s="4">
        <v>44927</v>
      </c>
      <c r="I63" s="4">
        <v>45870</v>
      </c>
      <c r="J63" s="3" t="s">
        <v>16</v>
      </c>
      <c r="K63" s="3" t="s">
        <v>163</v>
      </c>
      <c r="L63" s="5">
        <v>2.5</v>
      </c>
      <c r="M63" s="3" t="s">
        <v>170</v>
      </c>
      <c r="P63" s="3" t="s">
        <v>204</v>
      </c>
      <c r="Q63" s="3" t="s">
        <v>179</v>
      </c>
      <c r="R63" s="3" t="s">
        <v>193</v>
      </c>
    </row>
    <row r="64" spans="1:18" x14ac:dyDescent="0.25">
      <c r="A64" s="3" t="s">
        <v>177</v>
      </c>
      <c r="B64" s="3">
        <v>20411454</v>
      </c>
      <c r="C64" s="3" t="s">
        <v>72</v>
      </c>
      <c r="D64" s="3" t="s">
        <v>73</v>
      </c>
      <c r="E64" s="3" t="str">
        <f t="shared" si="0"/>
        <v>Annette Brooks</v>
      </c>
      <c r="F64" s="3" t="s">
        <v>74</v>
      </c>
      <c r="G64" s="3" t="str">
        <f t="shared" si="2"/>
        <v>MI-00026653291</v>
      </c>
      <c r="H64" s="4">
        <v>44927</v>
      </c>
      <c r="I64" s="4">
        <v>45870</v>
      </c>
      <c r="J64" s="3" t="s">
        <v>16</v>
      </c>
      <c r="K64" s="3" t="s">
        <v>164</v>
      </c>
      <c r="L64" s="5">
        <v>2.5</v>
      </c>
      <c r="M64" s="3" t="s">
        <v>170</v>
      </c>
      <c r="P64" s="3" t="s">
        <v>204</v>
      </c>
      <c r="Q64" s="3" t="s">
        <v>179</v>
      </c>
      <c r="R64" s="3" t="s">
        <v>194</v>
      </c>
    </row>
    <row r="65" spans="1:18" x14ac:dyDescent="0.25">
      <c r="A65" s="3" t="s">
        <v>177</v>
      </c>
      <c r="B65" s="3">
        <v>20411454</v>
      </c>
      <c r="C65" s="3" t="s">
        <v>72</v>
      </c>
      <c r="D65" s="3" t="s">
        <v>73</v>
      </c>
      <c r="E65" s="3" t="str">
        <f t="shared" si="0"/>
        <v>Annette Brooks</v>
      </c>
      <c r="F65" s="3" t="s">
        <v>74</v>
      </c>
      <c r="G65" s="3" t="str">
        <f t="shared" si="2"/>
        <v>MI-00026653291</v>
      </c>
      <c r="H65" s="4">
        <v>44927</v>
      </c>
      <c r="I65" s="4">
        <v>45870</v>
      </c>
      <c r="J65" s="3" t="s">
        <v>16</v>
      </c>
      <c r="K65" s="3" t="s">
        <v>165</v>
      </c>
      <c r="L65" s="5">
        <v>2.5</v>
      </c>
      <c r="M65" s="3" t="s">
        <v>170</v>
      </c>
      <c r="P65" s="3" t="s">
        <v>204</v>
      </c>
      <c r="Q65" s="3" t="s">
        <v>179</v>
      </c>
      <c r="R65" s="3" t="s">
        <v>183</v>
      </c>
    </row>
    <row r="66" spans="1:18" x14ac:dyDescent="0.25">
      <c r="A66" s="3" t="s">
        <v>177</v>
      </c>
      <c r="B66" s="3">
        <v>20411454</v>
      </c>
      <c r="C66" s="3" t="s">
        <v>72</v>
      </c>
      <c r="D66" s="3" t="s">
        <v>73</v>
      </c>
      <c r="E66" s="3" t="str">
        <f t="shared" si="0"/>
        <v>Annette Brooks</v>
      </c>
      <c r="F66" s="3" t="s">
        <v>74</v>
      </c>
      <c r="G66" s="3" t="str">
        <f t="shared" si="2"/>
        <v>MI-00026653291</v>
      </c>
      <c r="H66" s="4">
        <v>44927</v>
      </c>
      <c r="I66" s="4">
        <v>45870</v>
      </c>
      <c r="J66" s="3" t="s">
        <v>16</v>
      </c>
      <c r="K66" s="3" t="s">
        <v>166</v>
      </c>
      <c r="L66" s="5">
        <v>2.5</v>
      </c>
      <c r="M66" s="3" t="s">
        <v>170</v>
      </c>
      <c r="P66" s="3" t="s">
        <v>204</v>
      </c>
      <c r="Q66" s="3" t="s">
        <v>179</v>
      </c>
      <c r="R66" s="3" t="s">
        <v>184</v>
      </c>
    </row>
    <row r="67" spans="1:18" x14ac:dyDescent="0.25">
      <c r="A67" s="3" t="s">
        <v>177</v>
      </c>
      <c r="B67" s="3">
        <v>20411454</v>
      </c>
      <c r="C67" s="3" t="s">
        <v>72</v>
      </c>
      <c r="D67" s="3" t="s">
        <v>73</v>
      </c>
      <c r="E67" s="3" t="str">
        <f t="shared" ref="E67:E69" si="3">CONCATENATE(C67, " ",D67)</f>
        <v>Annette Brooks</v>
      </c>
      <c r="F67" s="3" t="s">
        <v>74</v>
      </c>
      <c r="G67" s="3" t="str">
        <f t="shared" si="2"/>
        <v>MI-00026653291</v>
      </c>
      <c r="H67" s="4">
        <v>44927</v>
      </c>
      <c r="I67" s="4">
        <v>45870</v>
      </c>
      <c r="J67" s="3" t="s">
        <v>16</v>
      </c>
      <c r="K67" s="3" t="s">
        <v>167</v>
      </c>
      <c r="L67" s="5">
        <v>2.5</v>
      </c>
      <c r="M67" s="3" t="s">
        <v>170</v>
      </c>
      <c r="P67" s="3" t="s">
        <v>204</v>
      </c>
      <c r="Q67" s="3" t="s">
        <v>179</v>
      </c>
      <c r="R67" s="3" t="s">
        <v>185</v>
      </c>
    </row>
    <row r="68" spans="1:18" x14ac:dyDescent="0.25">
      <c r="A68" s="3" t="s">
        <v>177</v>
      </c>
      <c r="B68" s="3">
        <v>20411454</v>
      </c>
      <c r="C68" s="3" t="s">
        <v>72</v>
      </c>
      <c r="D68" s="3" t="s">
        <v>73</v>
      </c>
      <c r="E68" s="3" t="str">
        <f t="shared" si="3"/>
        <v>Annette Brooks</v>
      </c>
      <c r="F68" s="3" t="s">
        <v>74</v>
      </c>
      <c r="G68" s="3" t="str">
        <f t="shared" si="2"/>
        <v>MI-00026653291</v>
      </c>
      <c r="H68" s="4">
        <v>44927</v>
      </c>
      <c r="I68" s="4">
        <v>45870</v>
      </c>
      <c r="J68" s="3" t="s">
        <v>16</v>
      </c>
      <c r="K68" s="3" t="s">
        <v>168</v>
      </c>
      <c r="L68" s="5">
        <v>2.5</v>
      </c>
      <c r="M68" s="3" t="s">
        <v>170</v>
      </c>
      <c r="P68" s="3" t="s">
        <v>204</v>
      </c>
      <c r="Q68" s="3" t="s">
        <v>179</v>
      </c>
      <c r="R68" s="3" t="s">
        <v>186</v>
      </c>
    </row>
    <row r="69" spans="1:18" x14ac:dyDescent="0.25">
      <c r="A69" s="3" t="s">
        <v>177</v>
      </c>
      <c r="B69" s="3">
        <v>20411454</v>
      </c>
      <c r="C69" s="3" t="s">
        <v>72</v>
      </c>
      <c r="D69" s="3" t="s">
        <v>73</v>
      </c>
      <c r="E69" s="3" t="str">
        <f t="shared" si="3"/>
        <v>Annette Brooks</v>
      </c>
      <c r="F69" s="3" t="s">
        <v>74</v>
      </c>
      <c r="G69" s="3" t="str">
        <f t="shared" si="2"/>
        <v>MI-00026653291</v>
      </c>
      <c r="H69" s="4">
        <v>44927</v>
      </c>
      <c r="I69" s="4">
        <v>45870</v>
      </c>
      <c r="J69" s="3" t="s">
        <v>16</v>
      </c>
      <c r="K69" s="3" t="s">
        <v>169</v>
      </c>
      <c r="L69" s="5">
        <v>2.5</v>
      </c>
      <c r="M69" s="3" t="s">
        <v>170</v>
      </c>
      <c r="P69" s="3" t="s">
        <v>204</v>
      </c>
      <c r="Q69" s="3" t="s">
        <v>179</v>
      </c>
      <c r="R69" s="3" t="s">
        <v>187</v>
      </c>
    </row>
  </sheetData>
  <sortState xmlns:xlrd2="http://schemas.microsoft.com/office/spreadsheetml/2017/richdata2" ref="A2:M70">
    <sortCondition ref="M2:M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2025-08-01T17:36:23Z</dcterms:created>
  <dcterms:modified xsi:type="dcterms:W3CDTF">2025-08-04T20:28:45Z</dcterms:modified>
</cp:coreProperties>
</file>