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02-28-25\"/>
    </mc:Choice>
  </mc:AlternateContent>
  <xr:revisionPtr revIDLastSave="0" documentId="13_ncr:1_{04EDF0CD-6F16-4C22-BE06-E69FBC012FD1}" xr6:coauthVersionLast="47" xr6:coauthVersionMax="47" xr10:uidLastSave="{00000000-0000-0000-0000-000000000000}"/>
  <bookViews>
    <workbookView xWindow="-120" yWindow="-120" windowWidth="29040" windowHeight="16440" activeTab="1" xr2:uid="{7B6946E7-0449-4D10-B25F-6A52AA30097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E34" i="2"/>
  <c r="E35" i="2"/>
  <c r="E7" i="2"/>
  <c r="E36" i="2"/>
  <c r="E37" i="2"/>
  <c r="E16" i="2"/>
  <c r="E17" i="2"/>
  <c r="E18" i="2"/>
  <c r="E19" i="2"/>
  <c r="E20" i="2"/>
  <c r="E21" i="2"/>
  <c r="E22" i="2"/>
  <c r="E23" i="2"/>
  <c r="E38" i="2"/>
  <c r="E24" i="2"/>
  <c r="E11" i="2"/>
  <c r="E12" i="2"/>
  <c r="E13" i="2"/>
  <c r="E25" i="2"/>
  <c r="E39" i="2"/>
  <c r="E40" i="2"/>
  <c r="E30" i="2"/>
  <c r="E5" i="2"/>
  <c r="E14" i="2"/>
  <c r="E31" i="2"/>
  <c r="E8" i="2"/>
  <c r="E9" i="2"/>
  <c r="E6" i="2"/>
  <c r="E26" i="2"/>
  <c r="E2" i="2"/>
  <c r="E3" i="2"/>
  <c r="E4" i="2"/>
  <c r="E27" i="2"/>
  <c r="E10" i="2"/>
  <c r="E28" i="2"/>
  <c r="E29" i="2"/>
  <c r="E15" i="2"/>
  <c r="E32" i="2"/>
  <c r="G33" i="2"/>
  <c r="G34" i="2"/>
  <c r="G35" i="2"/>
  <c r="G7" i="2"/>
  <c r="G36" i="2"/>
  <c r="G37" i="2"/>
  <c r="G16" i="2"/>
  <c r="G17" i="2"/>
  <c r="G18" i="2"/>
  <c r="G19" i="2"/>
  <c r="G20" i="2"/>
  <c r="G21" i="2"/>
  <c r="G22" i="2"/>
  <c r="G23" i="2"/>
  <c r="G38" i="2"/>
  <c r="G24" i="2"/>
  <c r="G11" i="2"/>
  <c r="G12" i="2"/>
  <c r="G13" i="2"/>
  <c r="G25" i="2"/>
  <c r="G39" i="2"/>
  <c r="G40" i="2"/>
  <c r="G30" i="2"/>
  <c r="G5" i="2"/>
  <c r="G14" i="2"/>
  <c r="G31" i="2"/>
  <c r="G8" i="2"/>
  <c r="G9" i="2"/>
  <c r="G6" i="2"/>
  <c r="G26" i="2"/>
  <c r="G2" i="2"/>
  <c r="G3" i="2"/>
  <c r="G4" i="2"/>
  <c r="G27" i="2"/>
  <c r="G10" i="2"/>
  <c r="G28" i="2"/>
  <c r="G29" i="2"/>
  <c r="G15" i="2"/>
  <c r="G32" i="2"/>
</calcChain>
</file>

<file path=xl/sharedStrings.xml><?xml version="1.0" encoding="utf-8"?>
<sst xmlns="http://schemas.openxmlformats.org/spreadsheetml/2006/main" count="430" uniqueCount="104">
  <si>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</si>
  <si>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</si>
  <si>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</si>
  <si>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</si>
  <si>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</si>
  <si>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</si>
  <si>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</si>
  <si>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</si>
  <si>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</si>
  <si>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</si>
  <si>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</si>
  <si>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</si>
  <si>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</si>
  <si>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Bruce</t>
  </si>
  <si>
    <t>Kelley</t>
  </si>
  <si>
    <t>Molina Marketplace</t>
  </si>
  <si>
    <t>Molina Marketplace 2023-2024 OEP/SEP FL, Renewal CA IL KY NM TX, ST (ProRata: 1) Premium Period: 2/1/2025</t>
  </si>
  <si>
    <t>Tom Pardue</t>
  </si>
  <si>
    <t>Carrington</t>
  </si>
  <si>
    <t>Grissom</t>
  </si>
  <si>
    <t>Molina Marketplace 2023 OEP/SEP MS, ST (ProRata: 1) Premium Period: 2/1/2025</t>
  </si>
  <si>
    <t>Boden</t>
  </si>
  <si>
    <t>Woodard</t>
  </si>
  <si>
    <t>Molina Marketplace 2023-2024 OEP/SEP CA IL KY TX, Renewal SC UT, ST (ProRata: 1) Premium Period: 2/1/2025</t>
  </si>
  <si>
    <t>Demetria</t>
  </si>
  <si>
    <t>Scott</t>
  </si>
  <si>
    <t>Molina Marketplace 2024 Renewal FL, ST (ProRata: 1) Premium Period: 2/1/2025</t>
  </si>
  <si>
    <t>Toni</t>
  </si>
  <si>
    <t>Charter</t>
  </si>
  <si>
    <t>Harmony</t>
  </si>
  <si>
    <t>Mcdonald</t>
  </si>
  <si>
    <t>Katelenn Caltagirone</t>
  </si>
  <si>
    <t>BC7559</t>
  </si>
  <si>
    <t>Annette</t>
  </si>
  <si>
    <t>Brooks</t>
  </si>
  <si>
    <t>Molina Marketplace 2023-2024 Renewal MI, ST (ProRata: 1) Premium Period: 2/1/2025</t>
  </si>
  <si>
    <t>Ronald</t>
  </si>
  <si>
    <t>Gengler</t>
  </si>
  <si>
    <t>Douglas</t>
  </si>
  <si>
    <t>Terri</t>
  </si>
  <si>
    <t>Cockrell</t>
  </si>
  <si>
    <t>Anthony</t>
  </si>
  <si>
    <t>Lisa</t>
  </si>
  <si>
    <t>Biagi Woodard</t>
  </si>
  <si>
    <t>Gregory Teipel</t>
  </si>
  <si>
    <t>Taylor</t>
  </si>
  <si>
    <t>Dickey</t>
  </si>
  <si>
    <t>Bralyn</t>
  </si>
  <si>
    <t>Michael</t>
  </si>
  <si>
    <t>Christopher</t>
  </si>
  <si>
    <t>James</t>
  </si>
  <si>
    <t>Morgan</t>
  </si>
  <si>
    <t>Amber</t>
  </si>
  <si>
    <t>Kyle</t>
  </si>
  <si>
    <t>Hoffman</t>
  </si>
  <si>
    <t>Allen</t>
  </si>
  <si>
    <t>Reinhart</t>
  </si>
  <si>
    <t>Dennis</t>
  </si>
  <si>
    <t>Pitts</t>
  </si>
  <si>
    <t>Kimberly</t>
  </si>
  <si>
    <t>Smithson</t>
  </si>
  <si>
    <t>Saadia Abdul</t>
  </si>
  <si>
    <t>Miguel</t>
  </si>
  <si>
    <t>Peralta</t>
  </si>
  <si>
    <t>Gary Portugal</t>
  </si>
  <si>
    <t>Patrick</t>
  </si>
  <si>
    <t>Matsuda</t>
  </si>
  <si>
    <t>Richard Yale</t>
  </si>
  <si>
    <t>Sebastiana</t>
  </si>
  <si>
    <t>Bonafede</t>
  </si>
  <si>
    <t>Fazlunnisa</t>
  </si>
  <si>
    <t>Saleem</t>
  </si>
  <si>
    <t>Jacob Yale</t>
  </si>
  <si>
    <t>Kim</t>
  </si>
  <si>
    <t>Morse</t>
  </si>
  <si>
    <t>Raggett</t>
  </si>
  <si>
    <t>Jonathan Aloff</t>
  </si>
  <si>
    <t>Vanessa</t>
  </si>
  <si>
    <t>Flores</t>
  </si>
  <si>
    <t>Marco</t>
  </si>
  <si>
    <t>Smith</t>
  </si>
  <si>
    <t>Adam Richter</t>
  </si>
  <si>
    <t>BD0787</t>
  </si>
  <si>
    <t>Nayan</t>
  </si>
  <si>
    <t>Patel</t>
  </si>
  <si>
    <t>Delappe</t>
  </si>
  <si>
    <t>Floyd</t>
  </si>
  <si>
    <t>Adams</t>
  </si>
  <si>
    <t>Molina Marketplace 2025 Renewal FL, ST (ProRata: 1) Premium Period: 2/1/2025</t>
  </si>
  <si>
    <t>Tommy</t>
  </si>
  <si>
    <t>Harber</t>
  </si>
  <si>
    <t>Jean</t>
  </si>
  <si>
    <t>Williams</t>
  </si>
  <si>
    <t>Richard</t>
  </si>
  <si>
    <t>Jarvis</t>
  </si>
  <si>
    <t>Sharlene</t>
  </si>
  <si>
    <t>Lightbourne</t>
  </si>
  <si>
    <t>Emily</t>
  </si>
  <si>
    <t>Garvin</t>
  </si>
  <si>
    <t>Molina - SC, UT</t>
  </si>
  <si>
    <t>Molina - CA,KY,OH 2025</t>
  </si>
  <si>
    <t>Molina - MI 2024</t>
  </si>
  <si>
    <t>Molina - FL 2024</t>
  </si>
  <si>
    <t>Molina - FL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</si>
</sst>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1505-46D7-4288-90CB-1BAC2F836758}">
  <dimension ref="A1:K40"/>
  <sheetViews>
    <sheetView workbookViewId="0">
      <selection sqref="A1:XFD4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8977234</v>
      </c>
      <c r="D2" t="s">
        <v>13</v>
      </c>
      <c r="E2" t="s">
        <v>14</v>
      </c>
      <c r="F2">
        <v>65693</v>
      </c>
      <c r="G2" s="1">
        <v>45292</v>
      </c>
      <c r="H2" s="1">
        <v>45716</v>
      </c>
      <c r="I2" t="s">
        <v>15</v>
      </c>
      <c r="J2" t="s">
        <v>16</v>
      </c>
      <c r="K2" s="2">
        <v>20</v>
      </c>
    </row>
    <row r="3" spans="1:11" x14ac:dyDescent="0.25">
      <c r="A3" t="s">
        <v>17</v>
      </c>
      <c r="C3">
        <v>371819</v>
      </c>
      <c r="D3" t="s">
        <v>18</v>
      </c>
      <c r="E3" t="s">
        <v>19</v>
      </c>
      <c r="F3">
        <v>2357786</v>
      </c>
      <c r="G3" s="1">
        <v>45536</v>
      </c>
      <c r="H3" s="1">
        <v>45716</v>
      </c>
      <c r="I3" t="s">
        <v>15</v>
      </c>
      <c r="J3" t="s">
        <v>20</v>
      </c>
      <c r="K3" s="2">
        <v>19.5</v>
      </c>
    </row>
    <row r="4" spans="1:11" x14ac:dyDescent="0.25">
      <c r="A4" t="s">
        <v>11</v>
      </c>
      <c r="B4" t="s">
        <v>12</v>
      </c>
      <c r="C4">
        <v>8977234</v>
      </c>
      <c r="D4" t="s">
        <v>21</v>
      </c>
      <c r="E4" t="s">
        <v>22</v>
      </c>
      <c r="F4">
        <v>2457940</v>
      </c>
      <c r="G4" s="1">
        <v>45292</v>
      </c>
      <c r="H4" s="1">
        <v>45716</v>
      </c>
      <c r="I4" t="s">
        <v>15</v>
      </c>
      <c r="J4" t="s">
        <v>23</v>
      </c>
      <c r="K4" s="2">
        <v>19</v>
      </c>
    </row>
    <row r="5" spans="1:11" x14ac:dyDescent="0.25">
      <c r="A5" t="s">
        <v>17</v>
      </c>
      <c r="C5">
        <v>371819</v>
      </c>
      <c r="D5" t="s">
        <v>24</v>
      </c>
      <c r="E5" t="s">
        <v>25</v>
      </c>
      <c r="F5">
        <v>2498554</v>
      </c>
      <c r="G5" s="1">
        <v>45658</v>
      </c>
      <c r="H5" s="1">
        <v>45716</v>
      </c>
      <c r="I5" t="s">
        <v>15</v>
      </c>
      <c r="J5" t="s">
        <v>26</v>
      </c>
      <c r="K5" s="2">
        <v>25</v>
      </c>
    </row>
    <row r="6" spans="1:11" x14ac:dyDescent="0.25">
      <c r="A6" t="s">
        <v>11</v>
      </c>
      <c r="B6" t="s">
        <v>12</v>
      </c>
      <c r="C6">
        <v>8977234</v>
      </c>
      <c r="D6" t="s">
        <v>27</v>
      </c>
      <c r="E6" t="s">
        <v>28</v>
      </c>
      <c r="F6">
        <v>2516451</v>
      </c>
      <c r="G6" s="1">
        <v>45658</v>
      </c>
      <c r="H6" s="1">
        <v>45716</v>
      </c>
      <c r="I6" t="s">
        <v>15</v>
      </c>
      <c r="J6" t="s">
        <v>23</v>
      </c>
      <c r="K6" s="2">
        <v>19</v>
      </c>
    </row>
    <row r="7" spans="1:11" x14ac:dyDescent="0.25">
      <c r="A7" t="s">
        <v>17</v>
      </c>
      <c r="C7">
        <v>371819</v>
      </c>
      <c r="D7" t="s">
        <v>29</v>
      </c>
      <c r="E7" t="s">
        <v>30</v>
      </c>
      <c r="F7">
        <v>2565033</v>
      </c>
      <c r="G7" s="1">
        <v>45505</v>
      </c>
      <c r="H7" s="1">
        <v>45716</v>
      </c>
      <c r="I7" t="s">
        <v>15</v>
      </c>
      <c r="J7" t="s">
        <v>20</v>
      </c>
      <c r="K7" s="2">
        <v>19.5</v>
      </c>
    </row>
    <row r="8" spans="1:11" x14ac:dyDescent="0.25">
      <c r="A8" t="s">
        <v>31</v>
      </c>
      <c r="B8" t="s">
        <v>32</v>
      </c>
      <c r="C8">
        <v>20436896</v>
      </c>
      <c r="D8" t="s">
        <v>33</v>
      </c>
      <c r="E8" t="s">
        <v>34</v>
      </c>
      <c r="F8">
        <v>2665329</v>
      </c>
      <c r="G8" s="1">
        <v>44927</v>
      </c>
      <c r="H8" s="1">
        <v>45716</v>
      </c>
      <c r="I8" t="s">
        <v>15</v>
      </c>
      <c r="J8" t="s">
        <v>35</v>
      </c>
      <c r="K8" s="2">
        <v>24</v>
      </c>
    </row>
    <row r="9" spans="1:11" x14ac:dyDescent="0.25">
      <c r="A9" t="s">
        <v>11</v>
      </c>
      <c r="B9" t="s">
        <v>12</v>
      </c>
      <c r="C9">
        <v>8977234</v>
      </c>
      <c r="D9" t="s">
        <v>36</v>
      </c>
      <c r="E9" t="s">
        <v>37</v>
      </c>
      <c r="F9">
        <v>2894856</v>
      </c>
      <c r="G9" s="1">
        <v>45292</v>
      </c>
      <c r="H9" s="1">
        <v>45716</v>
      </c>
      <c r="I9" t="s">
        <v>15</v>
      </c>
      <c r="J9" t="s">
        <v>16</v>
      </c>
      <c r="K9" s="2">
        <v>20</v>
      </c>
    </row>
    <row r="10" spans="1:11" x14ac:dyDescent="0.25">
      <c r="A10" t="s">
        <v>11</v>
      </c>
      <c r="B10" t="s">
        <v>12</v>
      </c>
      <c r="C10">
        <v>8977234</v>
      </c>
      <c r="D10" t="s">
        <v>38</v>
      </c>
      <c r="E10" t="s">
        <v>22</v>
      </c>
      <c r="F10">
        <v>2943631</v>
      </c>
      <c r="G10" s="1">
        <v>45292</v>
      </c>
      <c r="H10" s="1">
        <v>45716</v>
      </c>
      <c r="I10" t="s">
        <v>15</v>
      </c>
      <c r="J10" t="s">
        <v>23</v>
      </c>
      <c r="K10" s="2">
        <v>19</v>
      </c>
    </row>
    <row r="11" spans="1:11" x14ac:dyDescent="0.25">
      <c r="A11" t="s">
        <v>17</v>
      </c>
      <c r="C11">
        <v>371819</v>
      </c>
      <c r="D11" t="s">
        <v>39</v>
      </c>
      <c r="E11" t="s">
        <v>40</v>
      </c>
      <c r="F11">
        <v>2960307</v>
      </c>
      <c r="G11" s="1">
        <v>45658</v>
      </c>
      <c r="H11" s="1">
        <v>45716</v>
      </c>
      <c r="I11" t="s">
        <v>15</v>
      </c>
      <c r="J11" t="s">
        <v>20</v>
      </c>
      <c r="K11" s="2">
        <v>19.5</v>
      </c>
    </row>
    <row r="12" spans="1:11" x14ac:dyDescent="0.25">
      <c r="A12" t="s">
        <v>17</v>
      </c>
      <c r="C12">
        <v>371819</v>
      </c>
      <c r="D12" t="s">
        <v>41</v>
      </c>
      <c r="E12" t="s">
        <v>19</v>
      </c>
      <c r="F12">
        <v>3001451</v>
      </c>
      <c r="G12" s="1">
        <v>45536</v>
      </c>
      <c r="H12" s="1">
        <v>45716</v>
      </c>
      <c r="I12" t="s">
        <v>15</v>
      </c>
      <c r="J12" t="s">
        <v>20</v>
      </c>
      <c r="K12" s="2">
        <v>19.5</v>
      </c>
    </row>
    <row r="13" spans="1:11" x14ac:dyDescent="0.25">
      <c r="A13" t="s">
        <v>11</v>
      </c>
      <c r="B13" t="s">
        <v>12</v>
      </c>
      <c r="C13">
        <v>8977234</v>
      </c>
      <c r="D13" t="s">
        <v>42</v>
      </c>
      <c r="E13" t="s">
        <v>43</v>
      </c>
      <c r="F13">
        <v>3053615</v>
      </c>
      <c r="G13" s="1">
        <v>45292</v>
      </c>
      <c r="H13" s="1">
        <v>45716</v>
      </c>
      <c r="I13" t="s">
        <v>15</v>
      </c>
      <c r="J13" t="s">
        <v>23</v>
      </c>
      <c r="K13" s="2">
        <v>19</v>
      </c>
    </row>
    <row r="14" spans="1:11" x14ac:dyDescent="0.25">
      <c r="A14" t="s">
        <v>44</v>
      </c>
      <c r="C14">
        <v>8307933</v>
      </c>
      <c r="D14" t="s">
        <v>45</v>
      </c>
      <c r="E14" t="s">
        <v>46</v>
      </c>
      <c r="F14">
        <v>3059848</v>
      </c>
      <c r="G14" s="1">
        <v>45658</v>
      </c>
      <c r="H14" s="1">
        <v>45716</v>
      </c>
      <c r="I14" t="s">
        <v>15</v>
      </c>
      <c r="J14" t="s">
        <v>20</v>
      </c>
      <c r="K14" s="2">
        <v>19.5</v>
      </c>
    </row>
    <row r="15" spans="1:11" x14ac:dyDescent="0.25">
      <c r="A15" t="s">
        <v>17</v>
      </c>
      <c r="C15">
        <v>371819</v>
      </c>
      <c r="D15" t="s">
        <v>47</v>
      </c>
      <c r="E15" t="s">
        <v>30</v>
      </c>
      <c r="F15">
        <v>3191310</v>
      </c>
      <c r="G15" s="1">
        <v>45505</v>
      </c>
      <c r="H15" s="1">
        <v>45716</v>
      </c>
      <c r="I15" t="s">
        <v>15</v>
      </c>
      <c r="J15" t="s">
        <v>20</v>
      </c>
      <c r="K15" s="2">
        <v>19.5</v>
      </c>
    </row>
    <row r="16" spans="1:11" x14ac:dyDescent="0.25">
      <c r="A16" t="s">
        <v>31</v>
      </c>
      <c r="B16" t="s">
        <v>32</v>
      </c>
      <c r="C16">
        <v>20436896</v>
      </c>
      <c r="D16" t="s">
        <v>48</v>
      </c>
      <c r="E16" t="s">
        <v>34</v>
      </c>
      <c r="F16">
        <v>3273045</v>
      </c>
      <c r="G16" s="1">
        <v>44927</v>
      </c>
      <c r="H16" s="1">
        <v>45716</v>
      </c>
      <c r="I16" t="s">
        <v>15</v>
      </c>
      <c r="J16" t="s">
        <v>35</v>
      </c>
      <c r="K16" s="2">
        <v>24</v>
      </c>
    </row>
    <row r="17" spans="1:11" x14ac:dyDescent="0.25">
      <c r="A17" t="s">
        <v>17</v>
      </c>
      <c r="C17">
        <v>371819</v>
      </c>
      <c r="D17" t="s">
        <v>49</v>
      </c>
      <c r="E17" t="s">
        <v>30</v>
      </c>
      <c r="F17">
        <v>3286420</v>
      </c>
      <c r="G17" s="1">
        <v>45505</v>
      </c>
      <c r="H17" s="1">
        <v>45716</v>
      </c>
      <c r="I17" t="s">
        <v>15</v>
      </c>
      <c r="J17" t="s">
        <v>20</v>
      </c>
      <c r="K17" s="2">
        <v>19.5</v>
      </c>
    </row>
    <row r="18" spans="1:11" x14ac:dyDescent="0.25">
      <c r="A18" t="s">
        <v>17</v>
      </c>
      <c r="C18">
        <v>371819</v>
      </c>
      <c r="D18" t="s">
        <v>50</v>
      </c>
      <c r="E18" t="s">
        <v>51</v>
      </c>
      <c r="F18">
        <v>3640584</v>
      </c>
      <c r="G18" s="1">
        <v>45658</v>
      </c>
      <c r="H18" s="1">
        <v>45716</v>
      </c>
      <c r="I18" t="s">
        <v>15</v>
      </c>
      <c r="J18" t="s">
        <v>26</v>
      </c>
      <c r="K18" s="2">
        <v>25</v>
      </c>
    </row>
    <row r="19" spans="1:11" x14ac:dyDescent="0.25">
      <c r="A19" t="s">
        <v>11</v>
      </c>
      <c r="B19" t="s">
        <v>12</v>
      </c>
      <c r="C19">
        <v>8977234</v>
      </c>
      <c r="D19" t="s">
        <v>52</v>
      </c>
      <c r="E19" t="s">
        <v>37</v>
      </c>
      <c r="F19">
        <v>3814368</v>
      </c>
      <c r="G19" s="1">
        <v>45292</v>
      </c>
      <c r="H19" s="1">
        <v>45716</v>
      </c>
      <c r="I19" t="s">
        <v>15</v>
      </c>
      <c r="J19" t="s">
        <v>16</v>
      </c>
      <c r="K19" s="2">
        <v>20</v>
      </c>
    </row>
    <row r="20" spans="1:11" x14ac:dyDescent="0.25">
      <c r="A20" t="s">
        <v>31</v>
      </c>
      <c r="B20" t="s">
        <v>32</v>
      </c>
      <c r="C20">
        <v>20436896</v>
      </c>
      <c r="D20" t="s">
        <v>53</v>
      </c>
      <c r="E20" t="s">
        <v>54</v>
      </c>
      <c r="F20">
        <v>3825033</v>
      </c>
      <c r="G20" s="1">
        <v>44197</v>
      </c>
      <c r="H20" s="1">
        <v>45716</v>
      </c>
      <c r="I20" t="s">
        <v>15</v>
      </c>
      <c r="J20" t="s">
        <v>35</v>
      </c>
      <c r="K20" s="2">
        <v>24</v>
      </c>
    </row>
    <row r="21" spans="1:11" x14ac:dyDescent="0.25">
      <c r="A21" t="s">
        <v>11</v>
      </c>
      <c r="B21" t="s">
        <v>12</v>
      </c>
      <c r="C21">
        <v>8977234</v>
      </c>
      <c r="D21" t="s">
        <v>55</v>
      </c>
      <c r="E21" t="s">
        <v>56</v>
      </c>
      <c r="F21">
        <v>3967724</v>
      </c>
      <c r="G21" s="1">
        <v>45658</v>
      </c>
      <c r="H21" s="1">
        <v>45716</v>
      </c>
      <c r="I21" t="s">
        <v>15</v>
      </c>
      <c r="J21" t="s">
        <v>16</v>
      </c>
      <c r="K21" s="2">
        <v>20</v>
      </c>
    </row>
    <row r="22" spans="1:11" x14ac:dyDescent="0.25">
      <c r="A22" t="s">
        <v>17</v>
      </c>
      <c r="C22">
        <v>371819</v>
      </c>
      <c r="D22" t="s">
        <v>57</v>
      </c>
      <c r="E22" t="s">
        <v>58</v>
      </c>
      <c r="F22">
        <v>3975220</v>
      </c>
      <c r="G22" s="1">
        <v>45597</v>
      </c>
      <c r="H22" s="1">
        <v>45716</v>
      </c>
      <c r="I22" t="s">
        <v>15</v>
      </c>
      <c r="J22" t="s">
        <v>16</v>
      </c>
      <c r="K22" s="2">
        <v>20</v>
      </c>
    </row>
    <row r="23" spans="1:11" x14ac:dyDescent="0.25">
      <c r="A23" t="s">
        <v>11</v>
      </c>
      <c r="B23" t="s">
        <v>12</v>
      </c>
      <c r="C23">
        <v>8977234</v>
      </c>
      <c r="D23" t="s">
        <v>59</v>
      </c>
      <c r="E23" t="s">
        <v>60</v>
      </c>
      <c r="F23">
        <v>3991006</v>
      </c>
      <c r="G23" s="1">
        <v>45658</v>
      </c>
      <c r="H23" s="1">
        <v>45716</v>
      </c>
      <c r="I23" t="s">
        <v>15</v>
      </c>
      <c r="J23" t="s">
        <v>16</v>
      </c>
      <c r="K23" s="2">
        <v>20</v>
      </c>
    </row>
    <row r="24" spans="1:11" x14ac:dyDescent="0.25">
      <c r="A24" t="s">
        <v>61</v>
      </c>
      <c r="C24">
        <v>19396223</v>
      </c>
      <c r="D24" t="s">
        <v>62</v>
      </c>
      <c r="E24" t="s">
        <v>63</v>
      </c>
      <c r="F24">
        <v>4580991</v>
      </c>
      <c r="G24" s="1">
        <v>45566</v>
      </c>
      <c r="H24" s="1">
        <v>45716</v>
      </c>
      <c r="I24" t="s">
        <v>15</v>
      </c>
      <c r="J24" t="s">
        <v>26</v>
      </c>
      <c r="K24" s="2">
        <v>25</v>
      </c>
    </row>
    <row r="25" spans="1:11" x14ac:dyDescent="0.25">
      <c r="A25" t="s">
        <v>64</v>
      </c>
      <c r="C25">
        <v>9213293</v>
      </c>
      <c r="D25" t="s">
        <v>65</v>
      </c>
      <c r="E25" t="s">
        <v>66</v>
      </c>
      <c r="F25">
        <v>4614884</v>
      </c>
      <c r="G25" s="1">
        <v>45658</v>
      </c>
      <c r="H25" s="1">
        <v>45716</v>
      </c>
      <c r="I25" t="s">
        <v>15</v>
      </c>
      <c r="J25" t="s">
        <v>26</v>
      </c>
      <c r="K25" s="2">
        <v>25</v>
      </c>
    </row>
    <row r="26" spans="1:11" x14ac:dyDescent="0.25">
      <c r="A26" t="s">
        <v>67</v>
      </c>
      <c r="C26">
        <v>16633294</v>
      </c>
      <c r="D26" t="s">
        <v>68</v>
      </c>
      <c r="E26" t="s">
        <v>69</v>
      </c>
      <c r="F26">
        <v>4635136</v>
      </c>
      <c r="G26" s="1">
        <v>45689</v>
      </c>
      <c r="H26" s="1">
        <v>45716</v>
      </c>
      <c r="I26" t="s">
        <v>15</v>
      </c>
      <c r="J26" t="s">
        <v>26</v>
      </c>
      <c r="K26" s="2">
        <v>25</v>
      </c>
    </row>
    <row r="27" spans="1:11" x14ac:dyDescent="0.25">
      <c r="A27" t="s">
        <v>61</v>
      </c>
      <c r="C27">
        <v>19396223</v>
      </c>
      <c r="D27" t="s">
        <v>70</v>
      </c>
      <c r="E27" t="s">
        <v>71</v>
      </c>
      <c r="F27">
        <v>4882810</v>
      </c>
      <c r="G27" s="1">
        <v>45658</v>
      </c>
      <c r="H27" s="1">
        <v>45716</v>
      </c>
      <c r="I27" t="s">
        <v>15</v>
      </c>
      <c r="J27" t="s">
        <v>26</v>
      </c>
      <c r="K27" s="2">
        <v>25</v>
      </c>
    </row>
    <row r="28" spans="1:11" x14ac:dyDescent="0.25">
      <c r="A28" t="s">
        <v>72</v>
      </c>
      <c r="C28">
        <v>18754354</v>
      </c>
      <c r="D28" t="s">
        <v>73</v>
      </c>
      <c r="E28" t="s">
        <v>74</v>
      </c>
      <c r="F28">
        <v>5014578</v>
      </c>
      <c r="G28" s="1">
        <v>45597</v>
      </c>
      <c r="H28" s="1">
        <v>45716</v>
      </c>
      <c r="I28" t="s">
        <v>15</v>
      </c>
      <c r="J28" t="s">
        <v>26</v>
      </c>
      <c r="K28" s="2">
        <v>25</v>
      </c>
    </row>
    <row r="29" spans="1:11" x14ac:dyDescent="0.25">
      <c r="A29" t="s">
        <v>11</v>
      </c>
      <c r="B29" t="s">
        <v>12</v>
      </c>
      <c r="C29">
        <v>8977234</v>
      </c>
      <c r="D29" t="s">
        <v>50</v>
      </c>
      <c r="E29" t="s">
        <v>75</v>
      </c>
      <c r="F29">
        <v>5091039</v>
      </c>
      <c r="G29" s="1">
        <v>45689</v>
      </c>
      <c r="H29" s="1">
        <v>45716</v>
      </c>
      <c r="I29" t="s">
        <v>15</v>
      </c>
      <c r="J29" t="s">
        <v>35</v>
      </c>
      <c r="K29" s="2">
        <v>24</v>
      </c>
    </row>
    <row r="30" spans="1:11" x14ac:dyDescent="0.25">
      <c r="A30" t="s">
        <v>76</v>
      </c>
      <c r="C30">
        <v>16683808</v>
      </c>
      <c r="D30" t="s">
        <v>77</v>
      </c>
      <c r="E30" t="s">
        <v>78</v>
      </c>
      <c r="F30">
        <v>5277252</v>
      </c>
      <c r="G30" s="1">
        <v>45658</v>
      </c>
      <c r="H30" s="1">
        <v>45716</v>
      </c>
      <c r="I30" t="s">
        <v>15</v>
      </c>
      <c r="J30" t="s">
        <v>26</v>
      </c>
      <c r="K30" s="2">
        <v>25</v>
      </c>
    </row>
    <row r="31" spans="1:11" x14ac:dyDescent="0.25">
      <c r="A31" t="s">
        <v>64</v>
      </c>
      <c r="C31">
        <v>9213293</v>
      </c>
      <c r="D31" t="s">
        <v>79</v>
      </c>
      <c r="E31" t="s">
        <v>78</v>
      </c>
      <c r="F31">
        <v>5388170</v>
      </c>
      <c r="G31" s="1">
        <v>45658</v>
      </c>
      <c r="H31" s="1">
        <v>45716</v>
      </c>
      <c r="I31" t="s">
        <v>15</v>
      </c>
      <c r="J31" t="s">
        <v>26</v>
      </c>
      <c r="K31" s="2">
        <v>25</v>
      </c>
    </row>
    <row r="32" spans="1:11" x14ac:dyDescent="0.25">
      <c r="A32" t="s">
        <v>11</v>
      </c>
      <c r="B32" t="s">
        <v>12</v>
      </c>
      <c r="C32">
        <v>8977234</v>
      </c>
      <c r="D32" t="s">
        <v>50</v>
      </c>
      <c r="E32" t="s">
        <v>80</v>
      </c>
      <c r="F32">
        <v>12033259</v>
      </c>
      <c r="G32" s="1">
        <v>44835</v>
      </c>
      <c r="H32" s="1">
        <v>45716</v>
      </c>
      <c r="I32" t="s">
        <v>15</v>
      </c>
      <c r="J32" t="s">
        <v>26</v>
      </c>
      <c r="K32" s="2">
        <v>25</v>
      </c>
    </row>
    <row r="33" spans="1:11" x14ac:dyDescent="0.25">
      <c r="A33" t="s">
        <v>81</v>
      </c>
      <c r="B33" t="s">
        <v>82</v>
      </c>
      <c r="C33">
        <v>9079571</v>
      </c>
      <c r="D33" t="s">
        <v>83</v>
      </c>
      <c r="E33" t="s">
        <v>84</v>
      </c>
      <c r="F33">
        <v>13047512</v>
      </c>
      <c r="G33" s="1">
        <v>44927</v>
      </c>
      <c r="H33" s="1">
        <v>45716</v>
      </c>
      <c r="I33" t="s">
        <v>15</v>
      </c>
      <c r="J33" t="s">
        <v>26</v>
      </c>
      <c r="K33" s="2">
        <v>25</v>
      </c>
    </row>
    <row r="34" spans="1:11" x14ac:dyDescent="0.25">
      <c r="A34" t="s">
        <v>81</v>
      </c>
      <c r="B34" t="s">
        <v>82</v>
      </c>
      <c r="C34">
        <v>9079571</v>
      </c>
      <c r="D34" t="s">
        <v>77</v>
      </c>
      <c r="E34" t="s">
        <v>85</v>
      </c>
      <c r="F34">
        <v>13514902</v>
      </c>
      <c r="G34" s="1">
        <v>44927</v>
      </c>
      <c r="H34" s="1">
        <v>45716</v>
      </c>
      <c r="I34" t="s">
        <v>15</v>
      </c>
      <c r="J34" t="s">
        <v>26</v>
      </c>
      <c r="K34" s="2">
        <v>25</v>
      </c>
    </row>
    <row r="35" spans="1:11" x14ac:dyDescent="0.25">
      <c r="A35" t="s">
        <v>81</v>
      </c>
      <c r="B35" t="s">
        <v>82</v>
      </c>
      <c r="C35">
        <v>9079571</v>
      </c>
      <c r="D35" t="s">
        <v>86</v>
      </c>
      <c r="E35" t="s">
        <v>87</v>
      </c>
      <c r="F35">
        <v>16455763</v>
      </c>
      <c r="G35" s="1">
        <v>44927</v>
      </c>
      <c r="H35" s="1">
        <v>45716</v>
      </c>
      <c r="I35" t="s">
        <v>15</v>
      </c>
      <c r="J35" t="s">
        <v>88</v>
      </c>
      <c r="K35" s="2">
        <v>27</v>
      </c>
    </row>
    <row r="36" spans="1:11" x14ac:dyDescent="0.25">
      <c r="A36" t="s">
        <v>11</v>
      </c>
      <c r="B36" t="s">
        <v>12</v>
      </c>
      <c r="C36">
        <v>8977234</v>
      </c>
      <c r="D36" t="s">
        <v>89</v>
      </c>
      <c r="E36" t="s">
        <v>90</v>
      </c>
      <c r="F36">
        <v>16532146</v>
      </c>
      <c r="G36" s="1">
        <v>44986</v>
      </c>
      <c r="H36" s="1">
        <v>45716</v>
      </c>
      <c r="I36" t="s">
        <v>15</v>
      </c>
      <c r="J36" t="s">
        <v>88</v>
      </c>
      <c r="K36" s="2">
        <v>27</v>
      </c>
    </row>
    <row r="37" spans="1:11" x14ac:dyDescent="0.25">
      <c r="A37" t="s">
        <v>76</v>
      </c>
      <c r="C37">
        <v>16683808</v>
      </c>
      <c r="D37" t="s">
        <v>91</v>
      </c>
      <c r="E37" t="s">
        <v>92</v>
      </c>
      <c r="F37">
        <v>20265408</v>
      </c>
      <c r="G37" s="1">
        <v>45658</v>
      </c>
      <c r="H37" s="1">
        <v>45716</v>
      </c>
      <c r="I37" t="s">
        <v>15</v>
      </c>
      <c r="J37" t="s">
        <v>88</v>
      </c>
      <c r="K37" s="2">
        <v>27</v>
      </c>
    </row>
    <row r="38" spans="1:11" x14ac:dyDescent="0.25">
      <c r="A38" t="s">
        <v>11</v>
      </c>
      <c r="B38" t="s">
        <v>12</v>
      </c>
      <c r="C38">
        <v>8977234</v>
      </c>
      <c r="D38" t="s">
        <v>93</v>
      </c>
      <c r="E38" t="s">
        <v>94</v>
      </c>
      <c r="F38">
        <v>23640428</v>
      </c>
      <c r="G38" s="1">
        <v>45658</v>
      </c>
      <c r="H38" s="1">
        <v>45716</v>
      </c>
      <c r="I38" t="s">
        <v>15</v>
      </c>
      <c r="J38" t="s">
        <v>88</v>
      </c>
      <c r="K38" s="2">
        <v>27</v>
      </c>
    </row>
    <row r="39" spans="1:11" x14ac:dyDescent="0.25">
      <c r="A39" t="s">
        <v>11</v>
      </c>
      <c r="B39" t="s">
        <v>12</v>
      </c>
      <c r="C39">
        <v>8977234</v>
      </c>
      <c r="D39" t="s">
        <v>95</v>
      </c>
      <c r="E39" t="s">
        <v>96</v>
      </c>
      <c r="F39">
        <v>23774533</v>
      </c>
      <c r="G39" s="1">
        <v>45658</v>
      </c>
      <c r="H39" s="1">
        <v>45716</v>
      </c>
      <c r="I39" t="s">
        <v>15</v>
      </c>
      <c r="J39" t="s">
        <v>88</v>
      </c>
      <c r="K39" s="2">
        <v>27</v>
      </c>
    </row>
    <row r="40" spans="1:11" x14ac:dyDescent="0.25">
      <c r="A40" t="s">
        <v>67</v>
      </c>
      <c r="C40">
        <v>16633294</v>
      </c>
      <c r="D40" t="s">
        <v>97</v>
      </c>
      <c r="E40" t="s">
        <v>98</v>
      </c>
      <c r="F40">
        <v>23869590</v>
      </c>
      <c r="G40" s="1">
        <v>45658</v>
      </c>
      <c r="H40" s="1">
        <v>45716</v>
      </c>
      <c r="I40" t="s">
        <v>15</v>
      </c>
      <c r="J40" t="s">
        <v>88</v>
      </c>
      <c r="K40" s="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6E11-A60C-4BC5-A6CE-52DC79EFFF8F}">
  <dimension ref="A1:L40"/>
  <sheetViews>
    <sheetView tabSelected="1" topLeftCell="A3" workbookViewId="0">
      <selection activeCell="K2" sqref="K2:K40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1.42578125" bestFit="1" customWidth="1"/>
    <col min="4" max="4" width="14" bestFit="1" customWidth="1"/>
    <col min="5" max="5" width="18.1406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00.5703125" bestFit="1" customWidth="1"/>
    <col min="11" max="11" width="15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9</v>
      </c>
      <c r="K1" t="s">
        <v>10</v>
      </c>
    </row>
    <row r="2" spans="1:12" x14ac:dyDescent="0.25">
      <c r="A2" t="s">
        <v>81</v>
      </c>
      <c r="B2">
        <v>9079571</v>
      </c>
      <c r="C2" t="s">
        <v>83</v>
      </c>
      <c r="D2" t="s">
        <v>84</v>
      </c>
      <c r="E2" t="str">
        <f>CONCATENATE(C2, " ", D2)</f>
        <v>Nayan Patel</v>
      </c>
      <c r="F2">
        <v>13047512</v>
      </c>
      <c r="G2" t="str">
        <f>CONCATENATE(F2,7)</f>
        <v>130475127</v>
      </c>
      <c r="H2" s="1">
        <v>44927</v>
      </c>
      <c r="I2" s="1">
        <v>45716</v>
      </c>
      <c r="J2" t="s">
        <v>26</v>
      </c>
      <c r="K2" s="2">
        <v>25</v>
      </c>
      <c r="L2" t="s">
        <v>102</v>
      </c>
    </row>
    <row r="3" spans="1:12" x14ac:dyDescent="0.25">
      <c r="A3" t="s">
        <v>81</v>
      </c>
      <c r="B3">
        <v>9079571</v>
      </c>
      <c r="C3" t="s">
        <v>77</v>
      </c>
      <c r="D3" t="s">
        <v>85</v>
      </c>
      <c r="E3" t="str">
        <f>CONCATENATE(C3, " ", D3)</f>
        <v>Vanessa Delappe</v>
      </c>
      <c r="F3">
        <v>13514902</v>
      </c>
      <c r="G3" t="str">
        <f>CONCATENATE(F3,7)</f>
        <v>135149027</v>
      </c>
      <c r="H3" s="1">
        <v>44927</v>
      </c>
      <c r="I3" s="1">
        <v>45716</v>
      </c>
      <c r="J3" t="s">
        <v>26</v>
      </c>
      <c r="K3" s="2">
        <v>25</v>
      </c>
      <c r="L3" t="s">
        <v>102</v>
      </c>
    </row>
    <row r="4" spans="1:12" x14ac:dyDescent="0.25">
      <c r="A4" t="s">
        <v>81</v>
      </c>
      <c r="B4">
        <v>9079571</v>
      </c>
      <c r="C4" t="s">
        <v>86</v>
      </c>
      <c r="D4" t="s">
        <v>87</v>
      </c>
      <c r="E4" t="str">
        <f>CONCATENATE(C4, " ", D4)</f>
        <v>Floyd Adams</v>
      </c>
      <c r="F4">
        <v>16455763</v>
      </c>
      <c r="G4" t="str">
        <f>CONCATENATE(F4,7)</f>
        <v>164557637</v>
      </c>
      <c r="H4" s="1">
        <v>44927</v>
      </c>
      <c r="I4" s="1">
        <v>45716</v>
      </c>
      <c r="J4" t="s">
        <v>88</v>
      </c>
      <c r="K4" s="2">
        <v>27</v>
      </c>
      <c r="L4" t="s">
        <v>103</v>
      </c>
    </row>
    <row r="5" spans="1:12" x14ac:dyDescent="0.25">
      <c r="A5" t="s">
        <v>64</v>
      </c>
      <c r="B5">
        <v>9213293</v>
      </c>
      <c r="C5" t="s">
        <v>65</v>
      </c>
      <c r="D5" t="s">
        <v>66</v>
      </c>
      <c r="E5" t="str">
        <f>CONCATENATE(C5, " ", D5)</f>
        <v>Patrick Matsuda</v>
      </c>
      <c r="F5">
        <v>4614884</v>
      </c>
      <c r="G5" t="str">
        <f>CONCATENATE(F5,7)</f>
        <v>46148847</v>
      </c>
      <c r="H5" s="1">
        <v>45658</v>
      </c>
      <c r="I5" s="1">
        <v>45716</v>
      </c>
      <c r="J5" t="s">
        <v>26</v>
      </c>
      <c r="K5" s="2">
        <v>25</v>
      </c>
      <c r="L5" t="s">
        <v>102</v>
      </c>
    </row>
    <row r="6" spans="1:12" x14ac:dyDescent="0.25">
      <c r="A6" t="s">
        <v>64</v>
      </c>
      <c r="B6">
        <v>9213293</v>
      </c>
      <c r="C6" t="s">
        <v>79</v>
      </c>
      <c r="D6" t="s">
        <v>78</v>
      </c>
      <c r="E6" t="str">
        <f>CONCATENATE(C6, " ", D6)</f>
        <v>Marco Flores</v>
      </c>
      <c r="F6">
        <v>5388170</v>
      </c>
      <c r="G6" t="str">
        <f>CONCATENATE(F6,7)</f>
        <v>53881707</v>
      </c>
      <c r="H6" s="1">
        <v>45658</v>
      </c>
      <c r="I6" s="1">
        <v>45716</v>
      </c>
      <c r="J6" t="s">
        <v>26</v>
      </c>
      <c r="K6" s="2">
        <v>25</v>
      </c>
      <c r="L6" t="s">
        <v>102</v>
      </c>
    </row>
    <row r="7" spans="1:12" x14ac:dyDescent="0.25">
      <c r="A7" t="s">
        <v>44</v>
      </c>
      <c r="B7">
        <v>8307933</v>
      </c>
      <c r="C7" t="s">
        <v>45</v>
      </c>
      <c r="D7" t="s">
        <v>46</v>
      </c>
      <c r="E7" t="str">
        <f>CONCATENATE(C7, " ", D7)</f>
        <v>Taylor Dickey</v>
      </c>
      <c r="F7">
        <v>3059848</v>
      </c>
      <c r="G7" t="str">
        <f>CONCATENATE(F7,7)</f>
        <v>30598487</v>
      </c>
      <c r="H7" s="1">
        <v>45658</v>
      </c>
      <c r="I7" s="1">
        <v>45716</v>
      </c>
      <c r="J7" t="s">
        <v>20</v>
      </c>
      <c r="K7" s="2">
        <v>19.5</v>
      </c>
      <c r="L7" t="s">
        <v>99</v>
      </c>
    </row>
    <row r="8" spans="1:12" x14ac:dyDescent="0.25">
      <c r="A8" t="s">
        <v>72</v>
      </c>
      <c r="B8">
        <v>18754354</v>
      </c>
      <c r="C8" t="s">
        <v>73</v>
      </c>
      <c r="D8" t="s">
        <v>74</v>
      </c>
      <c r="E8" t="str">
        <f>CONCATENATE(C8, " ", D8)</f>
        <v>Kim Morse</v>
      </c>
      <c r="F8">
        <v>5014578</v>
      </c>
      <c r="G8" t="str">
        <f>CONCATENATE(F8,7)</f>
        <v>50145787</v>
      </c>
      <c r="H8" s="1">
        <v>45597</v>
      </c>
      <c r="I8" s="1">
        <v>45716</v>
      </c>
      <c r="J8" t="s">
        <v>26</v>
      </c>
      <c r="K8" s="2">
        <v>25</v>
      </c>
      <c r="L8" t="s">
        <v>102</v>
      </c>
    </row>
    <row r="9" spans="1:12" x14ac:dyDescent="0.25">
      <c r="A9" t="s">
        <v>76</v>
      </c>
      <c r="B9">
        <v>16683808</v>
      </c>
      <c r="C9" t="s">
        <v>77</v>
      </c>
      <c r="D9" t="s">
        <v>78</v>
      </c>
      <c r="E9" t="str">
        <f>CONCATENATE(C9, " ", D9)</f>
        <v>Vanessa Flores</v>
      </c>
      <c r="F9">
        <v>5277252</v>
      </c>
      <c r="G9" t="str">
        <f>CONCATENATE(F9,7)</f>
        <v>52772527</v>
      </c>
      <c r="H9" s="1">
        <v>45658</v>
      </c>
      <c r="I9" s="1">
        <v>45716</v>
      </c>
      <c r="J9" t="s">
        <v>26</v>
      </c>
      <c r="K9" s="2">
        <v>25</v>
      </c>
      <c r="L9" t="s">
        <v>102</v>
      </c>
    </row>
    <row r="10" spans="1:12" x14ac:dyDescent="0.25">
      <c r="A10" t="s">
        <v>76</v>
      </c>
      <c r="B10">
        <v>16683808</v>
      </c>
      <c r="C10" t="s">
        <v>91</v>
      </c>
      <c r="D10" t="s">
        <v>92</v>
      </c>
      <c r="E10" t="str">
        <f>CONCATENATE(C10, " ", D10)</f>
        <v>Jean Williams</v>
      </c>
      <c r="F10">
        <v>20265408</v>
      </c>
      <c r="G10" t="str">
        <f>CONCATENATE(F10,7)</f>
        <v>202654087</v>
      </c>
      <c r="H10" s="1">
        <v>45658</v>
      </c>
      <c r="I10" s="1">
        <v>45716</v>
      </c>
      <c r="J10" t="s">
        <v>88</v>
      </c>
      <c r="K10" s="2">
        <v>27</v>
      </c>
      <c r="L10" t="s">
        <v>103</v>
      </c>
    </row>
    <row r="11" spans="1:12" x14ac:dyDescent="0.25">
      <c r="A11" t="s">
        <v>31</v>
      </c>
      <c r="B11">
        <v>20436896</v>
      </c>
      <c r="C11" t="s">
        <v>33</v>
      </c>
      <c r="D11" t="s">
        <v>34</v>
      </c>
      <c r="E11" t="str">
        <f>CONCATENATE(C11, " ", D11)</f>
        <v>Annette Brooks</v>
      </c>
      <c r="F11">
        <v>2665329</v>
      </c>
      <c r="G11" t="str">
        <f>CONCATENATE(F11,7)</f>
        <v>26653297</v>
      </c>
      <c r="H11" s="1">
        <v>44927</v>
      </c>
      <c r="I11" s="1">
        <v>45716</v>
      </c>
      <c r="J11" t="s">
        <v>35</v>
      </c>
      <c r="K11" s="2">
        <v>24</v>
      </c>
      <c r="L11" t="s">
        <v>101</v>
      </c>
    </row>
    <row r="12" spans="1:12" x14ac:dyDescent="0.25">
      <c r="A12" t="s">
        <v>31</v>
      </c>
      <c r="B12">
        <v>20436896</v>
      </c>
      <c r="C12" t="s">
        <v>48</v>
      </c>
      <c r="D12" t="s">
        <v>34</v>
      </c>
      <c r="E12" t="str">
        <f>CONCATENATE(C12, " ", D12)</f>
        <v>Michael Brooks</v>
      </c>
      <c r="F12">
        <v>3273045</v>
      </c>
      <c r="G12" t="str">
        <f>CONCATENATE(F12,7)</f>
        <v>32730457</v>
      </c>
      <c r="H12" s="1">
        <v>44927</v>
      </c>
      <c r="I12" s="1">
        <v>45716</v>
      </c>
      <c r="J12" t="s">
        <v>35</v>
      </c>
      <c r="K12" s="2">
        <v>24</v>
      </c>
      <c r="L12" t="s">
        <v>101</v>
      </c>
    </row>
    <row r="13" spans="1:12" x14ac:dyDescent="0.25">
      <c r="A13" t="s">
        <v>31</v>
      </c>
      <c r="B13">
        <v>20436896</v>
      </c>
      <c r="C13" t="s">
        <v>53</v>
      </c>
      <c r="D13" t="s">
        <v>54</v>
      </c>
      <c r="E13" t="str">
        <f>CONCATENATE(C13, " ", D13)</f>
        <v>Kyle Hoffman</v>
      </c>
      <c r="F13">
        <v>3825033</v>
      </c>
      <c r="G13" t="str">
        <f>CONCATENATE(F13,7)</f>
        <v>38250337</v>
      </c>
      <c r="H13" s="1">
        <v>44197</v>
      </c>
      <c r="I13" s="1">
        <v>45716</v>
      </c>
      <c r="J13" t="s">
        <v>35</v>
      </c>
      <c r="K13" s="2">
        <v>24</v>
      </c>
      <c r="L13" t="s">
        <v>101</v>
      </c>
    </row>
    <row r="14" spans="1:12" x14ac:dyDescent="0.25">
      <c r="A14" t="s">
        <v>67</v>
      </c>
      <c r="B14">
        <v>16633294</v>
      </c>
      <c r="C14" t="s">
        <v>68</v>
      </c>
      <c r="D14" t="s">
        <v>69</v>
      </c>
      <c r="E14" t="str">
        <f>CONCATENATE(C14, " ", D14)</f>
        <v>Sebastiana Bonafede</v>
      </c>
      <c r="F14">
        <v>4635136</v>
      </c>
      <c r="G14" t="str">
        <f>CONCATENATE(F14,7)</f>
        <v>46351367</v>
      </c>
      <c r="H14" s="1">
        <v>45689</v>
      </c>
      <c r="I14" s="1">
        <v>45716</v>
      </c>
      <c r="J14" t="s">
        <v>26</v>
      </c>
      <c r="K14" s="2">
        <v>25</v>
      </c>
      <c r="L14" t="s">
        <v>102</v>
      </c>
    </row>
    <row r="15" spans="1:12" x14ac:dyDescent="0.25">
      <c r="A15" t="s">
        <v>67</v>
      </c>
      <c r="B15">
        <v>16633294</v>
      </c>
      <c r="C15" t="s">
        <v>97</v>
      </c>
      <c r="D15" t="s">
        <v>98</v>
      </c>
      <c r="E15" t="str">
        <f>CONCATENATE(C15, " ", D15)</f>
        <v>Emily Garvin</v>
      </c>
      <c r="F15">
        <v>23869590</v>
      </c>
      <c r="G15" t="str">
        <f>CONCATENATE(F15,7)</f>
        <v>238695907</v>
      </c>
      <c r="H15" s="1">
        <v>45658</v>
      </c>
      <c r="I15" s="1">
        <v>45716</v>
      </c>
      <c r="J15" t="s">
        <v>88</v>
      </c>
      <c r="K15" s="2">
        <v>27</v>
      </c>
      <c r="L15" t="s">
        <v>103</v>
      </c>
    </row>
    <row r="16" spans="1:12" x14ac:dyDescent="0.25">
      <c r="A16" t="s">
        <v>11</v>
      </c>
      <c r="B16">
        <v>8977234</v>
      </c>
      <c r="C16" t="s">
        <v>21</v>
      </c>
      <c r="D16" t="s">
        <v>22</v>
      </c>
      <c r="E16" t="str">
        <f>CONCATENATE(C16, " ", D16)</f>
        <v>Boden Woodard</v>
      </c>
      <c r="F16">
        <v>2457940</v>
      </c>
      <c r="G16" t="str">
        <f>CONCATENATE(F16,7)</f>
        <v>24579407</v>
      </c>
      <c r="H16" s="1">
        <v>45292</v>
      </c>
      <c r="I16" s="1">
        <v>45716</v>
      </c>
      <c r="J16" t="s">
        <v>23</v>
      </c>
      <c r="K16" s="2">
        <v>19</v>
      </c>
      <c r="L16" t="s">
        <v>99</v>
      </c>
    </row>
    <row r="17" spans="1:12" x14ac:dyDescent="0.25">
      <c r="A17" t="s">
        <v>11</v>
      </c>
      <c r="B17">
        <v>8977234</v>
      </c>
      <c r="C17" t="s">
        <v>27</v>
      </c>
      <c r="D17" t="s">
        <v>28</v>
      </c>
      <c r="E17" t="str">
        <f>CONCATENATE(C17, " ", D17)</f>
        <v>Toni Charter</v>
      </c>
      <c r="F17">
        <v>2516451</v>
      </c>
      <c r="G17" t="str">
        <f>CONCATENATE(F17,7)</f>
        <v>25164517</v>
      </c>
      <c r="H17" s="1">
        <v>45658</v>
      </c>
      <c r="I17" s="1">
        <v>45716</v>
      </c>
      <c r="J17" t="s">
        <v>23</v>
      </c>
      <c r="K17" s="2">
        <v>19</v>
      </c>
      <c r="L17" t="s">
        <v>99</v>
      </c>
    </row>
    <row r="18" spans="1:12" x14ac:dyDescent="0.25">
      <c r="A18" t="s">
        <v>11</v>
      </c>
      <c r="B18">
        <v>8977234</v>
      </c>
      <c r="C18" t="s">
        <v>38</v>
      </c>
      <c r="D18" t="s">
        <v>22</v>
      </c>
      <c r="E18" t="str">
        <f>CONCATENATE(C18, " ", D18)</f>
        <v>Douglas Woodard</v>
      </c>
      <c r="F18">
        <v>2943631</v>
      </c>
      <c r="G18" t="str">
        <f>CONCATENATE(F18,7)</f>
        <v>29436317</v>
      </c>
      <c r="H18" s="1">
        <v>45292</v>
      </c>
      <c r="I18" s="1">
        <v>45716</v>
      </c>
      <c r="J18" t="s">
        <v>23</v>
      </c>
      <c r="K18" s="2">
        <v>19</v>
      </c>
      <c r="L18" t="s">
        <v>99</v>
      </c>
    </row>
    <row r="19" spans="1:12" x14ac:dyDescent="0.25">
      <c r="A19" t="s">
        <v>11</v>
      </c>
      <c r="B19">
        <v>8977234</v>
      </c>
      <c r="C19" t="s">
        <v>42</v>
      </c>
      <c r="D19" t="s">
        <v>43</v>
      </c>
      <c r="E19" t="str">
        <f>CONCATENATE(C19, " ", D19)</f>
        <v>Lisa Biagi Woodard</v>
      </c>
      <c r="F19">
        <v>3053615</v>
      </c>
      <c r="G19" t="str">
        <f>CONCATENATE(F19,7)</f>
        <v>30536157</v>
      </c>
      <c r="H19" s="1">
        <v>45292</v>
      </c>
      <c r="I19" s="1">
        <v>45716</v>
      </c>
      <c r="J19" t="s">
        <v>23</v>
      </c>
      <c r="K19" s="2">
        <v>19</v>
      </c>
      <c r="L19" t="s">
        <v>99</v>
      </c>
    </row>
    <row r="20" spans="1:12" x14ac:dyDescent="0.25">
      <c r="A20" t="s">
        <v>11</v>
      </c>
      <c r="B20">
        <v>8977234</v>
      </c>
      <c r="C20" t="s">
        <v>13</v>
      </c>
      <c r="D20" t="s">
        <v>14</v>
      </c>
      <c r="E20" t="str">
        <f>CONCATENATE(C20, " ", D20)</f>
        <v>Bruce Kelley</v>
      </c>
      <c r="F20">
        <v>65693</v>
      </c>
      <c r="G20" t="str">
        <f>CONCATENATE(F20,7)</f>
        <v>656937</v>
      </c>
      <c r="H20" s="1">
        <v>45292</v>
      </c>
      <c r="I20" s="1">
        <v>45716</v>
      </c>
      <c r="J20" t="s">
        <v>16</v>
      </c>
      <c r="K20" s="2">
        <v>20</v>
      </c>
      <c r="L20" t="s">
        <v>100</v>
      </c>
    </row>
    <row r="21" spans="1:12" x14ac:dyDescent="0.25">
      <c r="A21" t="s">
        <v>11</v>
      </c>
      <c r="B21">
        <v>8977234</v>
      </c>
      <c r="C21" t="s">
        <v>36</v>
      </c>
      <c r="D21" t="s">
        <v>37</v>
      </c>
      <c r="E21" t="str">
        <f>CONCATENATE(C21, " ", D21)</f>
        <v>Ronald Gengler</v>
      </c>
      <c r="F21">
        <v>2894856</v>
      </c>
      <c r="G21" t="str">
        <f>CONCATENATE(F21,7)</f>
        <v>28948567</v>
      </c>
      <c r="H21" s="1">
        <v>45292</v>
      </c>
      <c r="I21" s="1">
        <v>45716</v>
      </c>
      <c r="J21" t="s">
        <v>16</v>
      </c>
      <c r="K21" s="2">
        <v>20</v>
      </c>
      <c r="L21" t="s">
        <v>100</v>
      </c>
    </row>
    <row r="22" spans="1:12" x14ac:dyDescent="0.25">
      <c r="A22" t="s">
        <v>11</v>
      </c>
      <c r="B22">
        <v>8977234</v>
      </c>
      <c r="C22" t="s">
        <v>52</v>
      </c>
      <c r="D22" t="s">
        <v>37</v>
      </c>
      <c r="E22" t="str">
        <f>CONCATENATE(C22, " ", D22)</f>
        <v>Amber Gengler</v>
      </c>
      <c r="F22">
        <v>3814368</v>
      </c>
      <c r="G22" t="str">
        <f>CONCATENATE(F22,7)</f>
        <v>38143687</v>
      </c>
      <c r="H22" s="1">
        <v>45292</v>
      </c>
      <c r="I22" s="1">
        <v>45716</v>
      </c>
      <c r="J22" t="s">
        <v>16</v>
      </c>
      <c r="K22" s="2">
        <v>20</v>
      </c>
      <c r="L22" t="s">
        <v>100</v>
      </c>
    </row>
    <row r="23" spans="1:12" x14ac:dyDescent="0.25">
      <c r="A23" t="s">
        <v>11</v>
      </c>
      <c r="B23">
        <v>8977234</v>
      </c>
      <c r="C23" t="s">
        <v>55</v>
      </c>
      <c r="D23" t="s">
        <v>56</v>
      </c>
      <c r="E23" t="str">
        <f>CONCATENATE(C23, " ", D23)</f>
        <v>Allen Reinhart</v>
      </c>
      <c r="F23">
        <v>3967724</v>
      </c>
      <c r="G23" t="str">
        <f>CONCATENATE(F23,7)</f>
        <v>39677247</v>
      </c>
      <c r="H23" s="1">
        <v>45658</v>
      </c>
      <c r="I23" s="1">
        <v>45716</v>
      </c>
      <c r="J23" t="s">
        <v>16</v>
      </c>
      <c r="K23" s="2">
        <v>20</v>
      </c>
      <c r="L23" t="s">
        <v>100</v>
      </c>
    </row>
    <row r="24" spans="1:12" x14ac:dyDescent="0.25">
      <c r="A24" t="s">
        <v>11</v>
      </c>
      <c r="B24">
        <v>8977234</v>
      </c>
      <c r="C24" t="s">
        <v>59</v>
      </c>
      <c r="D24" t="s">
        <v>60</v>
      </c>
      <c r="E24" t="str">
        <f>CONCATENATE(C24, " ", D24)</f>
        <v>Kimberly Smithson</v>
      </c>
      <c r="F24">
        <v>3991006</v>
      </c>
      <c r="G24" t="str">
        <f>CONCATENATE(F24,7)</f>
        <v>39910067</v>
      </c>
      <c r="H24" s="1">
        <v>45658</v>
      </c>
      <c r="I24" s="1">
        <v>45716</v>
      </c>
      <c r="J24" t="s">
        <v>16</v>
      </c>
      <c r="K24" s="2">
        <v>20</v>
      </c>
      <c r="L24" t="s">
        <v>100</v>
      </c>
    </row>
    <row r="25" spans="1:12" x14ac:dyDescent="0.25">
      <c r="A25" t="s">
        <v>11</v>
      </c>
      <c r="B25">
        <v>8977234</v>
      </c>
      <c r="C25" t="s">
        <v>50</v>
      </c>
      <c r="D25" t="s">
        <v>75</v>
      </c>
      <c r="E25" t="str">
        <f>CONCATENATE(C25, " ", D25)</f>
        <v>James Raggett</v>
      </c>
      <c r="F25">
        <v>5091039</v>
      </c>
      <c r="G25" t="str">
        <f>CONCATENATE(F25,7)</f>
        <v>50910397</v>
      </c>
      <c r="H25" s="1">
        <v>45689</v>
      </c>
      <c r="I25" s="1">
        <v>45716</v>
      </c>
      <c r="J25" t="s">
        <v>35</v>
      </c>
      <c r="K25" s="2">
        <v>24</v>
      </c>
      <c r="L25" t="s">
        <v>101</v>
      </c>
    </row>
    <row r="26" spans="1:12" x14ac:dyDescent="0.25">
      <c r="A26" t="s">
        <v>11</v>
      </c>
      <c r="B26">
        <v>8977234</v>
      </c>
      <c r="C26" t="s">
        <v>50</v>
      </c>
      <c r="D26" t="s">
        <v>80</v>
      </c>
      <c r="E26" t="str">
        <f>CONCATENATE(C26, " ", D26)</f>
        <v>James Smith</v>
      </c>
      <c r="F26">
        <v>12033259</v>
      </c>
      <c r="G26" t="str">
        <f>CONCATENATE(F26,7)</f>
        <v>120332597</v>
      </c>
      <c r="H26" s="1">
        <v>44835</v>
      </c>
      <c r="I26" s="1">
        <v>45716</v>
      </c>
      <c r="J26" t="s">
        <v>26</v>
      </c>
      <c r="K26" s="2">
        <v>25</v>
      </c>
      <c r="L26" t="s">
        <v>102</v>
      </c>
    </row>
    <row r="27" spans="1:12" x14ac:dyDescent="0.25">
      <c r="A27" t="s">
        <v>11</v>
      </c>
      <c r="B27">
        <v>8977234</v>
      </c>
      <c r="C27" t="s">
        <v>89</v>
      </c>
      <c r="D27" t="s">
        <v>90</v>
      </c>
      <c r="E27" t="str">
        <f>CONCATENATE(C27, " ", D27)</f>
        <v>Tommy Harber</v>
      </c>
      <c r="F27">
        <v>16532146</v>
      </c>
      <c r="G27" t="str">
        <f>CONCATENATE(F27,7)</f>
        <v>165321467</v>
      </c>
      <c r="H27" s="1">
        <v>44986</v>
      </c>
      <c r="I27" s="1">
        <v>45716</v>
      </c>
      <c r="J27" t="s">
        <v>88</v>
      </c>
      <c r="K27" s="2">
        <v>27</v>
      </c>
      <c r="L27" t="s">
        <v>103</v>
      </c>
    </row>
    <row r="28" spans="1:12" x14ac:dyDescent="0.25">
      <c r="A28" t="s">
        <v>11</v>
      </c>
      <c r="B28">
        <v>8977234</v>
      </c>
      <c r="C28" t="s">
        <v>93</v>
      </c>
      <c r="D28" t="s">
        <v>94</v>
      </c>
      <c r="E28" t="str">
        <f>CONCATENATE(C28, " ", D28)</f>
        <v>Richard Jarvis</v>
      </c>
      <c r="F28">
        <v>23640428</v>
      </c>
      <c r="G28" t="str">
        <f>CONCATENATE(F28,7)</f>
        <v>236404287</v>
      </c>
      <c r="H28" s="1">
        <v>45658</v>
      </c>
      <c r="I28" s="1">
        <v>45716</v>
      </c>
      <c r="J28" t="s">
        <v>88</v>
      </c>
      <c r="K28" s="2">
        <v>27</v>
      </c>
      <c r="L28" t="s">
        <v>103</v>
      </c>
    </row>
    <row r="29" spans="1:12" x14ac:dyDescent="0.25">
      <c r="A29" t="s">
        <v>11</v>
      </c>
      <c r="B29">
        <v>8977234</v>
      </c>
      <c r="C29" t="s">
        <v>95</v>
      </c>
      <c r="D29" t="s">
        <v>96</v>
      </c>
      <c r="E29" t="str">
        <f>CONCATENATE(C29, " ", D29)</f>
        <v>Sharlene Lightbourne</v>
      </c>
      <c r="F29">
        <v>23774533</v>
      </c>
      <c r="G29" t="str">
        <f>CONCATENATE(F29,7)</f>
        <v>237745337</v>
      </c>
      <c r="H29" s="1">
        <v>45658</v>
      </c>
      <c r="I29" s="1">
        <v>45716</v>
      </c>
      <c r="J29" t="s">
        <v>88</v>
      </c>
      <c r="K29" s="2">
        <v>27</v>
      </c>
      <c r="L29" t="s">
        <v>103</v>
      </c>
    </row>
    <row r="30" spans="1:12" x14ac:dyDescent="0.25">
      <c r="A30" t="s">
        <v>61</v>
      </c>
      <c r="B30">
        <v>19396223</v>
      </c>
      <c r="C30" t="s">
        <v>62</v>
      </c>
      <c r="D30" t="s">
        <v>63</v>
      </c>
      <c r="E30" t="str">
        <f>CONCATENATE(C30, " ", D30)</f>
        <v>Miguel Peralta</v>
      </c>
      <c r="F30">
        <v>4580991</v>
      </c>
      <c r="G30" t="str">
        <f>CONCATENATE(F30,7)</f>
        <v>45809917</v>
      </c>
      <c r="H30" s="1">
        <v>45566</v>
      </c>
      <c r="I30" s="1">
        <v>45716</v>
      </c>
      <c r="J30" t="s">
        <v>26</v>
      </c>
      <c r="K30" s="2">
        <v>25</v>
      </c>
      <c r="L30" t="s">
        <v>102</v>
      </c>
    </row>
    <row r="31" spans="1:12" x14ac:dyDescent="0.25">
      <c r="A31" t="s">
        <v>61</v>
      </c>
      <c r="B31">
        <v>19396223</v>
      </c>
      <c r="C31" t="s">
        <v>70</v>
      </c>
      <c r="D31" t="s">
        <v>71</v>
      </c>
      <c r="E31" t="str">
        <f>CONCATENATE(C31, " ", D31)</f>
        <v>Fazlunnisa Saleem</v>
      </c>
      <c r="F31">
        <v>4882810</v>
      </c>
      <c r="G31" t="str">
        <f>CONCATENATE(F31,7)</f>
        <v>48828107</v>
      </c>
      <c r="H31" s="1">
        <v>45658</v>
      </c>
      <c r="I31" s="1">
        <v>45716</v>
      </c>
      <c r="J31" t="s">
        <v>26</v>
      </c>
      <c r="K31" s="2">
        <v>25</v>
      </c>
      <c r="L31" t="s">
        <v>102</v>
      </c>
    </row>
    <row r="32" spans="1:12" x14ac:dyDescent="0.25">
      <c r="A32" t="s">
        <v>17</v>
      </c>
      <c r="B32">
        <v>371819</v>
      </c>
      <c r="C32" t="s">
        <v>18</v>
      </c>
      <c r="D32" t="s">
        <v>19</v>
      </c>
      <c r="E32" t="str">
        <f>CONCATENATE(C32, " ", D32)</f>
        <v>Carrington Grissom</v>
      </c>
      <c r="F32">
        <v>2357786</v>
      </c>
      <c r="G32" t="str">
        <f>CONCATENATE(F32,7)</f>
        <v>23577867</v>
      </c>
      <c r="H32" s="1">
        <v>45536</v>
      </c>
      <c r="I32" s="1">
        <v>45716</v>
      </c>
      <c r="J32" t="s">
        <v>20</v>
      </c>
      <c r="K32" s="2">
        <v>19.5</v>
      </c>
      <c r="L32" t="s">
        <v>99</v>
      </c>
    </row>
    <row r="33" spans="1:12" x14ac:dyDescent="0.25">
      <c r="A33" t="s">
        <v>17</v>
      </c>
      <c r="B33">
        <v>371819</v>
      </c>
      <c r="C33" t="s">
        <v>29</v>
      </c>
      <c r="D33" t="s">
        <v>30</v>
      </c>
      <c r="E33" t="str">
        <f>CONCATENATE(C33, " ", D33)</f>
        <v>Harmony Mcdonald</v>
      </c>
      <c r="F33">
        <v>2565033</v>
      </c>
      <c r="G33" t="str">
        <f>CONCATENATE(F33,7)</f>
        <v>25650337</v>
      </c>
      <c r="H33" s="1">
        <v>45505</v>
      </c>
      <c r="I33" s="1">
        <v>45716</v>
      </c>
      <c r="J33" t="s">
        <v>20</v>
      </c>
      <c r="K33" s="2">
        <v>19.5</v>
      </c>
      <c r="L33" t="s">
        <v>99</v>
      </c>
    </row>
    <row r="34" spans="1:12" x14ac:dyDescent="0.25">
      <c r="A34" t="s">
        <v>17</v>
      </c>
      <c r="B34">
        <v>371819</v>
      </c>
      <c r="C34" t="s">
        <v>39</v>
      </c>
      <c r="D34" t="s">
        <v>40</v>
      </c>
      <c r="E34" t="str">
        <f>CONCATENATE(C34, " ", D34)</f>
        <v>Terri Cockrell</v>
      </c>
      <c r="F34">
        <v>2960307</v>
      </c>
      <c r="G34" t="str">
        <f>CONCATENATE(F34,7)</f>
        <v>29603077</v>
      </c>
      <c r="H34" s="1">
        <v>45658</v>
      </c>
      <c r="I34" s="1">
        <v>45716</v>
      </c>
      <c r="J34" t="s">
        <v>20</v>
      </c>
      <c r="K34" s="2">
        <v>19.5</v>
      </c>
      <c r="L34" t="s">
        <v>99</v>
      </c>
    </row>
    <row r="35" spans="1:12" x14ac:dyDescent="0.25">
      <c r="A35" t="s">
        <v>17</v>
      </c>
      <c r="B35">
        <v>371819</v>
      </c>
      <c r="C35" t="s">
        <v>41</v>
      </c>
      <c r="D35" t="s">
        <v>19</v>
      </c>
      <c r="E35" t="str">
        <f>CONCATENATE(C35, " ", D35)</f>
        <v>Anthony Grissom</v>
      </c>
      <c r="F35">
        <v>3001451</v>
      </c>
      <c r="G35" t="str">
        <f>CONCATENATE(F35,7)</f>
        <v>30014517</v>
      </c>
      <c r="H35" s="1">
        <v>45536</v>
      </c>
      <c r="I35" s="1">
        <v>45716</v>
      </c>
      <c r="J35" t="s">
        <v>20</v>
      </c>
      <c r="K35" s="2">
        <v>19.5</v>
      </c>
      <c r="L35" t="s">
        <v>99</v>
      </c>
    </row>
    <row r="36" spans="1:12" x14ac:dyDescent="0.25">
      <c r="A36" t="s">
        <v>17</v>
      </c>
      <c r="B36">
        <v>371819</v>
      </c>
      <c r="C36" t="s">
        <v>47</v>
      </c>
      <c r="D36" t="s">
        <v>30</v>
      </c>
      <c r="E36" t="str">
        <f>CONCATENATE(C36, " ", D36)</f>
        <v>Bralyn Mcdonald</v>
      </c>
      <c r="F36">
        <v>3191310</v>
      </c>
      <c r="G36" t="str">
        <f>CONCATENATE(F36,7)</f>
        <v>31913107</v>
      </c>
      <c r="H36" s="1">
        <v>45505</v>
      </c>
      <c r="I36" s="1">
        <v>45716</v>
      </c>
      <c r="J36" t="s">
        <v>20</v>
      </c>
      <c r="K36" s="2">
        <v>19.5</v>
      </c>
      <c r="L36" t="s">
        <v>99</v>
      </c>
    </row>
    <row r="37" spans="1:12" x14ac:dyDescent="0.25">
      <c r="A37" t="s">
        <v>17</v>
      </c>
      <c r="B37">
        <v>371819</v>
      </c>
      <c r="C37" t="s">
        <v>49</v>
      </c>
      <c r="D37" t="s">
        <v>30</v>
      </c>
      <c r="E37" t="str">
        <f>CONCATENATE(C37, " ", D37)</f>
        <v>Christopher Mcdonald</v>
      </c>
      <c r="F37">
        <v>3286420</v>
      </c>
      <c r="G37" t="str">
        <f>CONCATENATE(F37,7)</f>
        <v>32864207</v>
      </c>
      <c r="H37" s="1">
        <v>45505</v>
      </c>
      <c r="I37" s="1">
        <v>45716</v>
      </c>
      <c r="J37" t="s">
        <v>20</v>
      </c>
      <c r="K37" s="2">
        <v>19.5</v>
      </c>
      <c r="L37" t="s">
        <v>99</v>
      </c>
    </row>
    <row r="38" spans="1:12" x14ac:dyDescent="0.25">
      <c r="A38" t="s">
        <v>17</v>
      </c>
      <c r="B38">
        <v>371819</v>
      </c>
      <c r="C38" t="s">
        <v>57</v>
      </c>
      <c r="D38" t="s">
        <v>58</v>
      </c>
      <c r="E38" t="str">
        <f>CONCATENATE(C38, " ", D38)</f>
        <v>Dennis Pitts</v>
      </c>
      <c r="F38">
        <v>3975220</v>
      </c>
      <c r="G38" t="str">
        <f>CONCATENATE(F38,7)</f>
        <v>39752207</v>
      </c>
      <c r="H38" s="1">
        <v>45597</v>
      </c>
      <c r="I38" s="1">
        <v>45716</v>
      </c>
      <c r="J38" t="s">
        <v>16</v>
      </c>
      <c r="K38" s="2">
        <v>20</v>
      </c>
      <c r="L38" t="s">
        <v>100</v>
      </c>
    </row>
    <row r="39" spans="1:12" x14ac:dyDescent="0.25">
      <c r="A39" t="s">
        <v>17</v>
      </c>
      <c r="B39">
        <v>371819</v>
      </c>
      <c r="C39" t="s">
        <v>24</v>
      </c>
      <c r="D39" t="s">
        <v>25</v>
      </c>
      <c r="E39" t="str">
        <f>CONCATENATE(C39, " ", D39)</f>
        <v>Demetria Scott</v>
      </c>
      <c r="F39">
        <v>2498554</v>
      </c>
      <c r="G39" t="str">
        <f>CONCATENATE(F39,7)</f>
        <v>24985547</v>
      </c>
      <c r="H39" s="1">
        <v>45658</v>
      </c>
      <c r="I39" s="1">
        <v>45716</v>
      </c>
      <c r="J39" t="s">
        <v>26</v>
      </c>
      <c r="K39" s="2">
        <v>25</v>
      </c>
      <c r="L39" t="s">
        <v>102</v>
      </c>
    </row>
    <row r="40" spans="1:12" x14ac:dyDescent="0.25">
      <c r="A40" t="s">
        <v>17</v>
      </c>
      <c r="B40">
        <v>371819</v>
      </c>
      <c r="C40" t="s">
        <v>50</v>
      </c>
      <c r="D40" t="s">
        <v>51</v>
      </c>
      <c r="E40" t="str">
        <f>CONCATENATE(C40, " ", D40)</f>
        <v>James Morgan</v>
      </c>
      <c r="F40">
        <v>3640584</v>
      </c>
      <c r="G40" t="str">
        <f>CONCATENATE(F40,7)</f>
        <v>36405847</v>
      </c>
      <c r="H40" s="1">
        <v>45658</v>
      </c>
      <c r="I40" s="1">
        <v>45716</v>
      </c>
      <c r="J40" t="s">
        <v>26</v>
      </c>
      <c r="K40" s="2">
        <v>25</v>
      </c>
      <c r="L40" t="s">
        <v>102</v>
      </c>
    </row>
  </sheetData>
  <sortState xmlns:xlrd2="http://schemas.microsoft.com/office/spreadsheetml/2017/richdata2" ref="A2:M40">
    <sortCondition ref="A2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2025-02-28T20:00:02Z</dcterms:created>
  <dcterms:modified xsi:type="dcterms:W3CDTF">2025-03-04T16:31:29Z</dcterms:modified>
</cp:coreProperties>
</file>