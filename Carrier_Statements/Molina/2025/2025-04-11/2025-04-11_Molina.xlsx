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4-11-25\"/>
    </mc:Choice>
  </mc:AlternateContent>
  <xr:revisionPtr revIDLastSave="0" documentId="13_ncr:1_{3ED4845B-C7F3-4469-BEF5-D858CC1B05D8}" xr6:coauthVersionLast="47" xr6:coauthVersionMax="47" xr10:uidLastSave="{00000000-0000-0000-0000-000000000000}"/>
  <bookViews>
    <workbookView xWindow="28680" yWindow="-2520" windowWidth="29040" windowHeight="16440" activeTab="1" xr2:uid="{4C6346D1-B0B6-482E-B1AB-B5829DF2F38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8" i="2" l="1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67" i="2"/>
  <c r="G9" i="2"/>
  <c r="G10" i="2"/>
  <c r="G29" i="2"/>
  <c r="G30" i="2"/>
  <c r="G135" i="2"/>
  <c r="G136" i="2"/>
  <c r="G137" i="2"/>
  <c r="G138" i="2"/>
  <c r="G162" i="2"/>
  <c r="G2" i="2"/>
  <c r="G163" i="2"/>
  <c r="G11" i="2"/>
  <c r="G139" i="2"/>
  <c r="G140" i="2"/>
  <c r="G141" i="2"/>
  <c r="G12" i="2"/>
  <c r="G13" i="2"/>
  <c r="G142" i="2"/>
  <c r="G143" i="2"/>
  <c r="G144" i="2"/>
  <c r="G145" i="2"/>
  <c r="G124" i="2"/>
  <c r="G125" i="2"/>
  <c r="G126" i="2"/>
  <c r="G31" i="2"/>
  <c r="G113" i="2"/>
  <c r="G114" i="2"/>
  <c r="G39" i="2"/>
  <c r="G14" i="2"/>
  <c r="G146" i="2"/>
  <c r="G15" i="2"/>
  <c r="G147" i="2"/>
  <c r="G148" i="2"/>
  <c r="G164" i="2"/>
  <c r="G3" i="2"/>
  <c r="G165" i="2"/>
  <c r="G127" i="2"/>
  <c r="G128" i="2"/>
  <c r="G129" i="2"/>
  <c r="G21" i="2"/>
  <c r="G22" i="2"/>
  <c r="G23" i="2"/>
  <c r="G24" i="2"/>
  <c r="G25" i="2"/>
  <c r="G26" i="2"/>
  <c r="G130" i="2"/>
  <c r="G131" i="2"/>
  <c r="G132" i="2"/>
  <c r="G149" i="2"/>
  <c r="G150" i="2"/>
  <c r="G166" i="2"/>
  <c r="G4" i="2"/>
  <c r="G167" i="2"/>
  <c r="G50" i="2"/>
  <c r="G51" i="2"/>
  <c r="G52" i="2"/>
  <c r="G53" i="2"/>
  <c r="G54" i="2"/>
  <c r="G55" i="2"/>
  <c r="G56" i="2"/>
  <c r="G40" i="2"/>
  <c r="G41" i="2"/>
  <c r="G42" i="2"/>
  <c r="G43" i="2"/>
  <c r="G44" i="2"/>
  <c r="G62" i="2"/>
  <c r="G63" i="2"/>
  <c r="G64" i="2"/>
  <c r="G133" i="2"/>
  <c r="G27" i="2"/>
  <c r="G28" i="2"/>
  <c r="G134" i="2"/>
  <c r="G16" i="2"/>
  <c r="G32" i="2"/>
  <c r="G101" i="2"/>
  <c r="G102" i="2"/>
  <c r="G103" i="2"/>
  <c r="G104" i="2"/>
  <c r="G105" i="2"/>
  <c r="G106" i="2"/>
  <c r="G107" i="2"/>
  <c r="G108" i="2"/>
  <c r="G109" i="2"/>
  <c r="G110" i="2"/>
  <c r="G151" i="2"/>
  <c r="G152" i="2"/>
  <c r="G168" i="2"/>
  <c r="G169" i="2"/>
  <c r="G170" i="2"/>
  <c r="G5" i="2"/>
  <c r="G6" i="2"/>
  <c r="G7" i="2"/>
  <c r="G171" i="2"/>
  <c r="G172" i="2"/>
  <c r="G173" i="2"/>
  <c r="G93" i="2"/>
  <c r="G94" i="2"/>
  <c r="G95" i="2"/>
  <c r="G96" i="2"/>
  <c r="G97" i="2"/>
  <c r="G98" i="2"/>
  <c r="G99" i="2"/>
  <c r="G100" i="2"/>
  <c r="G45" i="2"/>
  <c r="G46" i="2"/>
  <c r="G17" i="2"/>
  <c r="G18" i="2"/>
  <c r="G47" i="2"/>
  <c r="G48" i="2"/>
  <c r="G153" i="2"/>
  <c r="G154" i="2"/>
  <c r="G155" i="2"/>
  <c r="G156" i="2"/>
  <c r="G157" i="2"/>
  <c r="G19" i="2"/>
  <c r="G20" i="2"/>
  <c r="G33" i="2"/>
  <c r="G158" i="2"/>
  <c r="G159" i="2"/>
  <c r="G160" i="2"/>
  <c r="G161" i="2"/>
  <c r="G115" i="2"/>
  <c r="G116" i="2"/>
  <c r="G49" i="2"/>
  <c r="G65" i="2"/>
  <c r="G111" i="2"/>
  <c r="G112" i="2"/>
  <c r="G57" i="2"/>
  <c r="G58" i="2"/>
  <c r="G34" i="2"/>
  <c r="G35" i="2"/>
  <c r="G117" i="2"/>
  <c r="G118" i="2"/>
  <c r="G119" i="2"/>
  <c r="G120" i="2"/>
  <c r="G59" i="2"/>
  <c r="G60" i="2"/>
  <c r="G61" i="2"/>
  <c r="G36" i="2"/>
  <c r="G37" i="2"/>
  <c r="G38" i="2"/>
  <c r="G121" i="2"/>
  <c r="G122" i="2"/>
  <c r="G123" i="2"/>
  <c r="G66" i="2"/>
  <c r="G8" i="2"/>
  <c r="E51" i="2"/>
  <c r="E52" i="2"/>
  <c r="E53" i="2"/>
  <c r="E54" i="2"/>
  <c r="E55" i="2"/>
  <c r="E56" i="2"/>
  <c r="E40" i="2"/>
  <c r="E41" i="2"/>
  <c r="E42" i="2"/>
  <c r="E43" i="2"/>
  <c r="E49" i="2"/>
  <c r="E44" i="2"/>
  <c r="E45" i="2"/>
  <c r="E46" i="2"/>
  <c r="E39" i="2"/>
  <c r="E62" i="2"/>
  <c r="E63" i="2"/>
  <c r="E66" i="2"/>
  <c r="E64" i="2"/>
  <c r="E65" i="2"/>
  <c r="E127" i="2"/>
  <c r="E128" i="2"/>
  <c r="E133" i="2"/>
  <c r="E129" i="2"/>
  <c r="E124" i="2"/>
  <c r="E21" i="2"/>
  <c r="E22" i="2"/>
  <c r="E27" i="2"/>
  <c r="E23" i="2"/>
  <c r="E24" i="2"/>
  <c r="E25" i="2"/>
  <c r="E28" i="2"/>
  <c r="E26" i="2"/>
  <c r="E125" i="2"/>
  <c r="E130" i="2"/>
  <c r="E126" i="2"/>
  <c r="E131" i="2"/>
  <c r="E132" i="2"/>
  <c r="E134" i="2"/>
  <c r="E57" i="2"/>
  <c r="E59" i="2"/>
  <c r="E58" i="2"/>
  <c r="E60" i="2"/>
  <c r="E61" i="2"/>
  <c r="E17" i="2"/>
  <c r="E12" i="2"/>
  <c r="E18" i="2"/>
  <c r="E14" i="2"/>
  <c r="E15" i="2"/>
  <c r="E11" i="2"/>
  <c r="E13" i="2"/>
  <c r="E19" i="2"/>
  <c r="E20" i="2"/>
  <c r="E16" i="2"/>
  <c r="E8" i="2"/>
  <c r="E9" i="2"/>
  <c r="E10" i="2"/>
  <c r="E34" i="2"/>
  <c r="E36" i="2"/>
  <c r="E33" i="2"/>
  <c r="E35" i="2"/>
  <c r="E31" i="2"/>
  <c r="E37" i="2"/>
  <c r="E38" i="2"/>
  <c r="E32" i="2"/>
  <c r="E29" i="2"/>
  <c r="E30" i="2"/>
  <c r="E82" i="2"/>
  <c r="E83" i="2"/>
  <c r="E67" i="2"/>
  <c r="E84" i="2"/>
  <c r="E70" i="2"/>
  <c r="E71" i="2"/>
  <c r="E72" i="2"/>
  <c r="E74" i="2"/>
  <c r="E73" i="2"/>
  <c r="E87" i="2"/>
  <c r="E89" i="2"/>
  <c r="E88" i="2"/>
  <c r="E90" i="2"/>
  <c r="E91" i="2"/>
  <c r="E75" i="2"/>
  <c r="E76" i="2"/>
  <c r="E92" i="2"/>
  <c r="E77" i="2"/>
  <c r="E86" i="2"/>
  <c r="E78" i="2"/>
  <c r="E68" i="2"/>
  <c r="E69" i="2"/>
  <c r="E79" i="2"/>
  <c r="E80" i="2"/>
  <c r="E81" i="2"/>
  <c r="E85" i="2"/>
  <c r="E101" i="2"/>
  <c r="E102" i="2"/>
  <c r="E103" i="2"/>
  <c r="E104" i="2"/>
  <c r="E111" i="2"/>
  <c r="E105" i="2"/>
  <c r="E47" i="2"/>
  <c r="E48" i="2"/>
  <c r="E106" i="2"/>
  <c r="E107" i="2"/>
  <c r="E108" i="2"/>
  <c r="E109" i="2"/>
  <c r="E112" i="2"/>
  <c r="E110" i="2"/>
  <c r="E153" i="2"/>
  <c r="E142" i="2"/>
  <c r="E154" i="2"/>
  <c r="E146" i="2"/>
  <c r="E147" i="2"/>
  <c r="E139" i="2"/>
  <c r="E143" i="2"/>
  <c r="E158" i="2"/>
  <c r="E159" i="2"/>
  <c r="E151" i="2"/>
  <c r="E135" i="2"/>
  <c r="E136" i="2"/>
  <c r="E140" i="2"/>
  <c r="E155" i="2"/>
  <c r="E149" i="2"/>
  <c r="E156" i="2"/>
  <c r="E144" i="2"/>
  <c r="E150" i="2"/>
  <c r="E157" i="2"/>
  <c r="E148" i="2"/>
  <c r="E141" i="2"/>
  <c r="E145" i="2"/>
  <c r="E160" i="2"/>
  <c r="E161" i="2"/>
  <c r="E152" i="2"/>
  <c r="E137" i="2"/>
  <c r="E138" i="2"/>
  <c r="E117" i="2"/>
  <c r="E121" i="2"/>
  <c r="E115" i="2"/>
  <c r="E118" i="2"/>
  <c r="E113" i="2"/>
  <c r="E122" i="2"/>
  <c r="E123" i="2"/>
  <c r="E119" i="2"/>
  <c r="E116" i="2"/>
  <c r="E120" i="2"/>
  <c r="E114" i="2"/>
  <c r="E162" i="2"/>
  <c r="E168" i="2"/>
  <c r="E164" i="2"/>
  <c r="E169" i="2"/>
  <c r="E170" i="2"/>
  <c r="E166" i="2"/>
  <c r="E2" i="2"/>
  <c r="E5" i="2"/>
  <c r="E3" i="2"/>
  <c r="E6" i="2"/>
  <c r="E7" i="2"/>
  <c r="E4" i="2"/>
  <c r="E163" i="2"/>
  <c r="E171" i="2"/>
  <c r="E165" i="2"/>
  <c r="E172" i="2"/>
  <c r="E173" i="2"/>
  <c r="E167" i="2"/>
  <c r="E93" i="2"/>
  <c r="E94" i="2"/>
  <c r="E95" i="2"/>
  <c r="E96" i="2"/>
  <c r="E97" i="2"/>
  <c r="E98" i="2"/>
  <c r="E99" i="2"/>
  <c r="E100" i="2"/>
  <c r="E50" i="2"/>
</calcChain>
</file>

<file path=xl/sharedStrings.xml><?xml version="1.0" encoding="utf-8"?>
<sst xmlns="http://schemas.openxmlformats.org/spreadsheetml/2006/main" count="2514" uniqueCount="216">
  <si>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</si>
  <si>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</si>
  <si>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</si>
  <si>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</si>
  <si>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</si>
  <si>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</si>
  <si>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</si>
  <si>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</si>
  <si>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</si>
  <si>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</si>
  <si>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</si>
  <si>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</si>
  <si>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BA2413</t>
  </si>
  <si>
    <t>Boden</t>
  </si>
  <si>
    <t>Woodard</t>
  </si>
  <si>
    <t>Molina Marketplace</t>
  </si>
  <si>
    <t>Molina Marketplace 2023-2024 OEP/SEP CA IL KY TX, Renewal SC UT, ST (ProRata: -1) Premium Period: 1/1/2025</t>
  </si>
  <si>
    <t>Toni</t>
  </si>
  <si>
    <t>Charter</t>
  </si>
  <si>
    <t>Douglas</t>
  </si>
  <si>
    <t>Lisa</t>
  </si>
  <si>
    <t>Biagi Woodard</t>
  </si>
  <si>
    <t>Molina Marketplace 2023-2024 OEP/SEP CA IL KY TX, Renewal SC UT, ST (ProRata: -1) Premium Period: 12/1/2024</t>
  </si>
  <si>
    <t>Bruce</t>
  </si>
  <si>
    <t>Kelley</t>
  </si>
  <si>
    <t>Molina Marketplace 2023-2024 OEP/SEP FL, Renewal CA IL KY NM TX, ST (ProRata: -1) Premium Period: 1/1/2025</t>
  </si>
  <si>
    <t>Ronald</t>
  </si>
  <si>
    <t>Gengler</t>
  </si>
  <si>
    <t>Amber</t>
  </si>
  <si>
    <t>Allen</t>
  </si>
  <si>
    <t>Reinhart</t>
  </si>
  <si>
    <t>Tom Pardue</t>
  </si>
  <si>
    <t>Dennis</t>
  </si>
  <si>
    <t>Pitts</t>
  </si>
  <si>
    <t>Kimberly</t>
  </si>
  <si>
    <t>Smithson</t>
  </si>
  <si>
    <t>Saadia Abdul</t>
  </si>
  <si>
    <t>Rebecca</t>
  </si>
  <si>
    <t>Bocock</t>
  </si>
  <si>
    <t>Molina Marketplace 2023-2024 OEP/SEP FL, Renewal CA IL KY NM TX, ST (ProRata: -1) Premium Period: 12/1/2024</t>
  </si>
  <si>
    <t>Miguel</t>
  </si>
  <si>
    <t>Peralta</t>
  </si>
  <si>
    <t>Jacob Yale</t>
  </si>
  <si>
    <t>Kim</t>
  </si>
  <si>
    <t>Morse</t>
  </si>
  <si>
    <t>Molina Marketplace 2023-2024 Renewal OH WI, ST (ProRata: -1) Premium Period: 12/1/2024</t>
  </si>
  <si>
    <t>Ryan</t>
  </si>
  <si>
    <t>Moore</t>
  </si>
  <si>
    <t>Katelenn Caltagirone</t>
  </si>
  <si>
    <t>BC7559</t>
  </si>
  <si>
    <t>Annette</t>
  </si>
  <si>
    <t>Brooks</t>
  </si>
  <si>
    <t>MI-0002665329</t>
  </si>
  <si>
    <t>Molina Marketplace 2023-2025 Renewal MI, ST (ProRata: 1) Premium Period: 1/1/2025</t>
  </si>
  <si>
    <t>Michael</t>
  </si>
  <si>
    <t>MI-0003273045</t>
  </si>
  <si>
    <t>Gale</t>
  </si>
  <si>
    <t>Wilkowski</t>
  </si>
  <si>
    <t>MI-0003811777</t>
  </si>
  <si>
    <t>Kyle</t>
  </si>
  <si>
    <t>Hoffman</t>
  </si>
  <si>
    <t>MI-0003825033</t>
  </si>
  <si>
    <t>Gregory Teipel</t>
  </si>
  <si>
    <t>Amy</t>
  </si>
  <si>
    <t>Reiske</t>
  </si>
  <si>
    <t>MI-0002943985</t>
  </si>
  <si>
    <t>Molina Marketplace 2023-2025 Renewal MI, ST (ProRata: -1) Premium Period: 1/1/2025</t>
  </si>
  <si>
    <t>Molina Marketplace 2023-2025 Renewal MI, ST (ProRata: -1) Premium Period: 12/1/2024</t>
  </si>
  <si>
    <t>Molina Marketplace 2023-2025 Renewal MI, ST (ProRata: 1) Premium Period: 2/1/2025</t>
  </si>
  <si>
    <t>Molina Marketplace 2023-2025 Renewal MI, ST (ProRata: 1) Premium Period: 3/1/2025</t>
  </si>
  <si>
    <t>James</t>
  </si>
  <si>
    <t>Raggett</t>
  </si>
  <si>
    <t>MI-0005091039</t>
  </si>
  <si>
    <t>Carrington</t>
  </si>
  <si>
    <t>Grissom</t>
  </si>
  <si>
    <t>Molina Marketplace 2024 OEP/SEP MS KY, ST (ProRata: -1) Premium Period: 12/1/2024</t>
  </si>
  <si>
    <t>Harmony</t>
  </si>
  <si>
    <t>Mcdonald</t>
  </si>
  <si>
    <t>Anthony</t>
  </si>
  <si>
    <t>Bralyn</t>
  </si>
  <si>
    <t>Christopher</t>
  </si>
  <si>
    <t>Molina Marketplace 2024 Renewal FL, ST (ProRata: -1) Premium Period: 1/1/2025</t>
  </si>
  <si>
    <t>Gary Portugal</t>
  </si>
  <si>
    <t>Patrick</t>
  </si>
  <si>
    <t>Matsuda</t>
  </si>
  <si>
    <t>Fazlunnisa</t>
  </si>
  <si>
    <t>Saleem</t>
  </si>
  <si>
    <t>Jonathan Aloff</t>
  </si>
  <si>
    <t>Vanessa</t>
  </si>
  <si>
    <t>Flores</t>
  </si>
  <si>
    <t>Anthony Hunsberger</t>
  </si>
  <si>
    <t>Erik</t>
  </si>
  <si>
    <t>Olson</t>
  </si>
  <si>
    <t>Marco</t>
  </si>
  <si>
    <t>Demetria</t>
  </si>
  <si>
    <t>Scott</t>
  </si>
  <si>
    <t>Morgan</t>
  </si>
  <si>
    <t>Smith</t>
  </si>
  <si>
    <t>Adam Richter</t>
  </si>
  <si>
    <t>BD0787</t>
  </si>
  <si>
    <t>Nayan</t>
  </si>
  <si>
    <t>Patel</t>
  </si>
  <si>
    <t>Delappe</t>
  </si>
  <si>
    <t>Floyd</t>
  </si>
  <si>
    <t>Adams</t>
  </si>
  <si>
    <t>Molina Marketplace 2024 Renewal FL, ST (ProRata: -1) Premium Period: 12/1/2024</t>
  </si>
  <si>
    <t>Molina Marketplace 2024 Renewal TX, ST (ProRata: -1) Premium Period: 1/1/2025</t>
  </si>
  <si>
    <t>Terri</t>
  </si>
  <si>
    <t>Cockrell</t>
  </si>
  <si>
    <t>Taylor</t>
  </si>
  <si>
    <t>Dickey</t>
  </si>
  <si>
    <t>Molina Marketplace 2024 Renewal TX, ST (ProRata: -1) Premium Period: 12/1/2024</t>
  </si>
  <si>
    <t>CA-629440219</t>
  </si>
  <si>
    <t>Molina Marketplace 2024-2025 OEP/SEP Renewal / Initial OR (ProRata: -1) Premium Period: 11/1/2024</t>
  </si>
  <si>
    <t>Molina Marketplace 2024-2025 OEP/SEP Renewal / Initial OR (ProRata: -1) Premium Period: 12/1/2024</t>
  </si>
  <si>
    <t>OH-0000065693</t>
  </si>
  <si>
    <t>Molina Marketplace 2025 CA, KY, OH ST (ProRata: 1) Premium Period: 1/1/2025</t>
  </si>
  <si>
    <t>OH-0002894856</t>
  </si>
  <si>
    <t>OH-0003814368</t>
  </si>
  <si>
    <t>OH-0003967724</t>
  </si>
  <si>
    <t>OH-0003975220</t>
  </si>
  <si>
    <t>OH-0003991006</t>
  </si>
  <si>
    <t>Molina Marketplace 2025 CA, KY, OH ST (ProRata: -1) Premium Period: 11/1/2024</t>
  </si>
  <si>
    <t>Molina Marketplace 2025 CA, KY, OH ST (ProRata: -1) Premium Period: 12/1/2024</t>
  </si>
  <si>
    <t>Molina Marketplace 2025 CA, KY, OH ST (ProRata: 1) Premium Period: 3/1/2025</t>
  </si>
  <si>
    <t>IL-0004580991</t>
  </si>
  <si>
    <t>Molina Marketplace 2025 IL, SC, TX ST (ProRata: 1) Premium Period: 1/1/2025</t>
  </si>
  <si>
    <t>IL-0004614884</t>
  </si>
  <si>
    <t>IL-0004882810</t>
  </si>
  <si>
    <t>IL-0005014578</t>
  </si>
  <si>
    <t>IL-0005277252</t>
  </si>
  <si>
    <t>IL-0005380020</t>
  </si>
  <si>
    <t>IL-0005388170</t>
  </si>
  <si>
    <t>SC-0002498554</t>
  </si>
  <si>
    <t>SC-0003640584</t>
  </si>
  <si>
    <t>TX-0012033259</t>
  </si>
  <si>
    <t>TX-0013047512</t>
  </si>
  <si>
    <t>TX-0013514902</t>
  </si>
  <si>
    <t>Molina Marketplace 2025 IL, SC, TX ST (ProRata: 1) Premium Period: 2/1/2025</t>
  </si>
  <si>
    <t>Susan</t>
  </si>
  <si>
    <t>Duda</t>
  </si>
  <si>
    <t>IL-0004374041</t>
  </si>
  <si>
    <t>Molina Marketplace 2025 IL, SC, TX ST (ProRata: 1) Premium Period: 3/1/2025</t>
  </si>
  <si>
    <t>Richard Yale</t>
  </si>
  <si>
    <t>Lazaros</t>
  </si>
  <si>
    <t>Bolis</t>
  </si>
  <si>
    <t>IL-0004562917</t>
  </si>
  <si>
    <t>Sebastiana</t>
  </si>
  <si>
    <t>Bonafede</t>
  </si>
  <si>
    <t>IL-0004635136</t>
  </si>
  <si>
    <t>MS-0002357786</t>
  </si>
  <si>
    <t>Molina Marketplace 2025 OEP/SEP MS (ProRata: 1) Premium Period: 1/1/2025</t>
  </si>
  <si>
    <t>MS-0002565033</t>
  </si>
  <si>
    <t>MS-0002960307</t>
  </si>
  <si>
    <t>MS-0003001451</t>
  </si>
  <si>
    <t>MS-0003059848</t>
  </si>
  <si>
    <t>MS-0003191310</t>
  </si>
  <si>
    <t>MS-0003286420</t>
  </si>
  <si>
    <t>Molina Marketplace 2025 OEP/SEP MS (ProRata: 1) Premium Period: 3/1/2025</t>
  </si>
  <si>
    <t>FL-0016455763</t>
  </si>
  <si>
    <t>Molina Marketplace 2025 Renewal FL, ST (ProRata: 1) Premium Period: 1/1/2025</t>
  </si>
  <si>
    <t>Tommy</t>
  </si>
  <si>
    <t>Harber</t>
  </si>
  <si>
    <t>FL-0016532146</t>
  </si>
  <si>
    <t>Jean</t>
  </si>
  <si>
    <t>Williams</t>
  </si>
  <si>
    <t>FL-0020265408</t>
  </si>
  <si>
    <t>Richard</t>
  </si>
  <si>
    <t>Jarvis</t>
  </si>
  <si>
    <t>FL-0023640428</t>
  </si>
  <si>
    <t>Sharlene</t>
  </si>
  <si>
    <t>Lightbourne</t>
  </si>
  <si>
    <t>FL-0023774533</t>
  </si>
  <si>
    <t>Emily</t>
  </si>
  <si>
    <t>Garvin</t>
  </si>
  <si>
    <t>FL-0023869590</t>
  </si>
  <si>
    <t>Molina Marketplace 2025 Renewal FL, ST (ProRata: -1) Premium Period: 1/1/2025</t>
  </si>
  <si>
    <t>Molina Marketplace 2025 Renewal FL, ST (ProRata: 1) Premium Period: 3/1/2025</t>
  </si>
  <si>
    <t>UT-0002457940</t>
  </si>
  <si>
    <t>Molina Marketplace 2025 UT ST (ProRata: 1) Premium Period: 1/1/2025</t>
  </si>
  <si>
    <t>UT-0002516451</t>
  </si>
  <si>
    <t>UT-0002943631</t>
  </si>
  <si>
    <t>UT-0003053615</t>
  </si>
  <si>
    <t>Molina Marketplace 2025 UT ST (ProRata: 1) Premium Period: 3/1/2025</t>
  </si>
  <si>
    <t>371819Street</t>
  </si>
  <si>
    <t>Molina - FL 2025</t>
  </si>
  <si>
    <t>Molina - FL 2024</t>
  </si>
  <si>
    <t>Molina - MI 2025</t>
  </si>
  <si>
    <t>Molina TX 2024</t>
  </si>
  <si>
    <t>Molina - CA,KY,OH 2025</t>
  </si>
  <si>
    <t>Molina - SC, UT</t>
  </si>
  <si>
    <t>Molina - MS, KY 2024</t>
  </si>
  <si>
    <t>Molina - NV, WI 2025</t>
  </si>
  <si>
    <t>Molina Ovr</t>
  </si>
  <si>
    <t>Molina 2025 IL, SC, TX</t>
  </si>
  <si>
    <t>Main Line Benefits</t>
  </si>
  <si>
    <t>Molina Marketplace 2025 Renewal FL, ST (ProRata</t>
  </si>
  <si>
    <t xml:space="preserve"> -1) Premium Period</t>
  </si>
  <si>
    <t xml:space="preserve"> 1/1/2025</t>
  </si>
  <si>
    <t>Molina Marketplace 2024 Renewal FL, ST (ProRata</t>
  </si>
  <si>
    <t xml:space="preserve"> 12/1/2024</t>
  </si>
  <si>
    <t>Molina Marketplace 2023-2025 Renewal MI, ST (ProRata</t>
  </si>
  <si>
    <t>Molina Marketplace 2024 Renewal TX, ST (ProRata</t>
  </si>
  <si>
    <t>Molina Marketplace 2023-2024 OEP/SEP FL, Renewal CA IL KY NM TX, ST (ProRata</t>
  </si>
  <si>
    <t>Molina Marketplace 2025 CA, KY, OH ST (ProRata</t>
  </si>
  <si>
    <t xml:space="preserve"> 11/1/2024</t>
  </si>
  <si>
    <t>Molina Marketplace 2023-2024 OEP/SEP CA IL KY TX, Renewal SC UT, ST (ProRata</t>
  </si>
  <si>
    <t>Molina Marketplace 2024 OEP/SEP MS KY, ST (ProRata</t>
  </si>
  <si>
    <t>Molina Marketplace 2023-2024 Renewal OH WI, ST (ProRata</t>
  </si>
  <si>
    <t>Molina Marketplace 2024-2025 OEP/SEP Renewal / Initial OR (ProRata</t>
  </si>
  <si>
    <t>Molina Marketplace 2025 UT ST (ProRata</t>
  </si>
  <si>
    <t xml:space="preserve"> 1) Premium Period</t>
  </si>
  <si>
    <t xml:space="preserve"> 3/1/2025</t>
  </si>
  <si>
    <t>Molina Marketplace 2025 OEP/SEP MS (ProRata</t>
  </si>
  <si>
    <t xml:space="preserve"> 2/1/2025</t>
  </si>
  <si>
    <t>Molina Marketplace 2025 IL, SC, TX ST (ProRata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</si>
</sst>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67E-B460-4CA9-A887-01751E64F655}">
  <dimension ref="A1:K173"/>
  <sheetViews>
    <sheetView topLeftCell="A139" workbookViewId="0">
      <selection activeCell="A139" sqref="A1:XFD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8977234</v>
      </c>
      <c r="D2" t="s">
        <v>13</v>
      </c>
      <c r="E2" t="s">
        <v>14</v>
      </c>
      <c r="F2">
        <v>2457940</v>
      </c>
      <c r="G2" s="1">
        <v>45292</v>
      </c>
      <c r="H2" s="1">
        <v>45758</v>
      </c>
      <c r="I2" t="s">
        <v>15</v>
      </c>
      <c r="J2" t="s">
        <v>16</v>
      </c>
      <c r="K2" s="2">
        <v>-19</v>
      </c>
    </row>
    <row r="3" spans="1:11" x14ac:dyDescent="0.3">
      <c r="A3" t="s">
        <v>11</v>
      </c>
      <c r="B3" t="s">
        <v>12</v>
      </c>
      <c r="C3">
        <v>8977234</v>
      </c>
      <c r="D3" t="s">
        <v>17</v>
      </c>
      <c r="E3" t="s">
        <v>18</v>
      </c>
      <c r="F3">
        <v>2516451</v>
      </c>
      <c r="G3" s="1">
        <v>45658</v>
      </c>
      <c r="H3" s="1">
        <v>45758</v>
      </c>
      <c r="I3" t="s">
        <v>15</v>
      </c>
      <c r="J3" t="s">
        <v>16</v>
      </c>
      <c r="K3" s="2">
        <v>-19</v>
      </c>
    </row>
    <row r="4" spans="1:11" x14ac:dyDescent="0.3">
      <c r="A4" t="s">
        <v>11</v>
      </c>
      <c r="B4" t="s">
        <v>12</v>
      </c>
      <c r="C4">
        <v>8977234</v>
      </c>
      <c r="D4" t="s">
        <v>19</v>
      </c>
      <c r="E4" t="s">
        <v>14</v>
      </c>
      <c r="F4">
        <v>2943631</v>
      </c>
      <c r="G4" s="1">
        <v>45292</v>
      </c>
      <c r="H4" s="1">
        <v>45758</v>
      </c>
      <c r="I4" t="s">
        <v>15</v>
      </c>
      <c r="J4" t="s">
        <v>16</v>
      </c>
      <c r="K4" s="2">
        <v>-19</v>
      </c>
    </row>
    <row r="5" spans="1:11" x14ac:dyDescent="0.3">
      <c r="A5" t="s">
        <v>11</v>
      </c>
      <c r="B5" t="s">
        <v>12</v>
      </c>
      <c r="C5">
        <v>8977234</v>
      </c>
      <c r="D5" t="s">
        <v>20</v>
      </c>
      <c r="E5" t="s">
        <v>21</v>
      </c>
      <c r="F5">
        <v>3053615</v>
      </c>
      <c r="G5" s="1">
        <v>45292</v>
      </c>
      <c r="H5" s="1">
        <v>45758</v>
      </c>
      <c r="I5" t="s">
        <v>15</v>
      </c>
      <c r="J5" t="s">
        <v>16</v>
      </c>
      <c r="K5" s="2">
        <v>-19</v>
      </c>
    </row>
    <row r="6" spans="1:11" x14ac:dyDescent="0.3">
      <c r="A6" t="s">
        <v>11</v>
      </c>
      <c r="B6" t="s">
        <v>12</v>
      </c>
      <c r="C6">
        <v>8977234</v>
      </c>
      <c r="D6" t="s">
        <v>13</v>
      </c>
      <c r="E6" t="s">
        <v>14</v>
      </c>
      <c r="F6">
        <v>2457940</v>
      </c>
      <c r="G6" s="1">
        <v>45292</v>
      </c>
      <c r="H6" s="1">
        <v>45758</v>
      </c>
      <c r="I6" t="s">
        <v>15</v>
      </c>
      <c r="J6" t="s">
        <v>22</v>
      </c>
      <c r="K6" s="2">
        <v>-19</v>
      </c>
    </row>
    <row r="7" spans="1:11" x14ac:dyDescent="0.3">
      <c r="A7" t="s">
        <v>11</v>
      </c>
      <c r="B7" t="s">
        <v>12</v>
      </c>
      <c r="C7">
        <v>8977234</v>
      </c>
      <c r="D7" t="s">
        <v>19</v>
      </c>
      <c r="E7" t="s">
        <v>14</v>
      </c>
      <c r="F7">
        <v>2943631</v>
      </c>
      <c r="G7" s="1">
        <v>45292</v>
      </c>
      <c r="H7" s="1">
        <v>45758</v>
      </c>
      <c r="I7" t="s">
        <v>15</v>
      </c>
      <c r="J7" t="s">
        <v>22</v>
      </c>
      <c r="K7" s="2">
        <v>-19</v>
      </c>
    </row>
    <row r="8" spans="1:11" x14ac:dyDescent="0.3">
      <c r="A8" t="s">
        <v>11</v>
      </c>
      <c r="B8" t="s">
        <v>12</v>
      </c>
      <c r="C8">
        <v>8977234</v>
      </c>
      <c r="D8" t="s">
        <v>20</v>
      </c>
      <c r="E8" t="s">
        <v>21</v>
      </c>
      <c r="F8">
        <v>3053615</v>
      </c>
      <c r="G8" s="1">
        <v>45292</v>
      </c>
      <c r="H8" s="1">
        <v>45758</v>
      </c>
      <c r="I8" t="s">
        <v>15</v>
      </c>
      <c r="J8" t="s">
        <v>22</v>
      </c>
      <c r="K8" s="2">
        <v>-19</v>
      </c>
    </row>
    <row r="9" spans="1:11" x14ac:dyDescent="0.3">
      <c r="A9" t="s">
        <v>11</v>
      </c>
      <c r="B9" t="s">
        <v>12</v>
      </c>
      <c r="C9">
        <v>8977234</v>
      </c>
      <c r="D9" t="s">
        <v>23</v>
      </c>
      <c r="E9" t="s">
        <v>24</v>
      </c>
      <c r="F9">
        <v>65693</v>
      </c>
      <c r="G9" s="1">
        <v>45292</v>
      </c>
      <c r="H9" s="1">
        <v>45758</v>
      </c>
      <c r="I9" t="s">
        <v>15</v>
      </c>
      <c r="J9" t="s">
        <v>25</v>
      </c>
      <c r="K9" s="2">
        <v>-20</v>
      </c>
    </row>
    <row r="10" spans="1:11" x14ac:dyDescent="0.3">
      <c r="A10" t="s">
        <v>11</v>
      </c>
      <c r="B10" t="s">
        <v>12</v>
      </c>
      <c r="C10">
        <v>8977234</v>
      </c>
      <c r="D10" t="s">
        <v>26</v>
      </c>
      <c r="E10" t="s">
        <v>27</v>
      </c>
      <c r="F10">
        <v>2894856</v>
      </c>
      <c r="G10" s="1">
        <v>45292</v>
      </c>
      <c r="H10" s="1">
        <v>45758</v>
      </c>
      <c r="I10" t="s">
        <v>15</v>
      </c>
      <c r="J10" t="s">
        <v>25</v>
      </c>
      <c r="K10" s="2">
        <v>-20</v>
      </c>
    </row>
    <row r="11" spans="1:11" x14ac:dyDescent="0.3">
      <c r="A11" t="s">
        <v>11</v>
      </c>
      <c r="B11" t="s">
        <v>12</v>
      </c>
      <c r="C11">
        <v>8977234</v>
      </c>
      <c r="D11" t="s">
        <v>28</v>
      </c>
      <c r="E11" t="s">
        <v>27</v>
      </c>
      <c r="F11">
        <v>3814368</v>
      </c>
      <c r="G11" s="1">
        <v>45292</v>
      </c>
      <c r="H11" s="1">
        <v>45758</v>
      </c>
      <c r="I11" t="s">
        <v>15</v>
      </c>
      <c r="J11" t="s">
        <v>25</v>
      </c>
      <c r="K11" s="2">
        <v>-20</v>
      </c>
    </row>
    <row r="12" spans="1:11" x14ac:dyDescent="0.3">
      <c r="A12" t="s">
        <v>11</v>
      </c>
      <c r="B12" t="s">
        <v>12</v>
      </c>
      <c r="C12">
        <v>8977234</v>
      </c>
      <c r="D12" t="s">
        <v>29</v>
      </c>
      <c r="E12" t="s">
        <v>30</v>
      </c>
      <c r="F12">
        <v>3967724</v>
      </c>
      <c r="G12" s="1">
        <v>45658</v>
      </c>
      <c r="H12" s="1">
        <v>45758</v>
      </c>
      <c r="I12" t="s">
        <v>15</v>
      </c>
      <c r="J12" t="s">
        <v>25</v>
      </c>
      <c r="K12" s="2">
        <v>-20</v>
      </c>
    </row>
    <row r="13" spans="1:11" x14ac:dyDescent="0.3">
      <c r="A13" t="s">
        <v>31</v>
      </c>
      <c r="C13">
        <v>371819</v>
      </c>
      <c r="D13" t="s">
        <v>32</v>
      </c>
      <c r="E13" t="s">
        <v>33</v>
      </c>
      <c r="F13">
        <v>3975220</v>
      </c>
      <c r="G13" s="1">
        <v>45597</v>
      </c>
      <c r="H13" s="1">
        <v>45758</v>
      </c>
      <c r="I13" t="s">
        <v>15</v>
      </c>
      <c r="J13" t="s">
        <v>25</v>
      </c>
      <c r="K13" s="2">
        <v>-20</v>
      </c>
    </row>
    <row r="14" spans="1:11" x14ac:dyDescent="0.3">
      <c r="A14" t="s">
        <v>11</v>
      </c>
      <c r="B14" t="s">
        <v>12</v>
      </c>
      <c r="C14">
        <v>8977234</v>
      </c>
      <c r="D14" t="s">
        <v>34</v>
      </c>
      <c r="E14" t="s">
        <v>35</v>
      </c>
      <c r="F14">
        <v>3991006</v>
      </c>
      <c r="G14" s="1">
        <v>45658</v>
      </c>
      <c r="H14" s="1">
        <v>45758</v>
      </c>
      <c r="I14" t="s">
        <v>15</v>
      </c>
      <c r="J14" t="s">
        <v>25</v>
      </c>
      <c r="K14" s="2">
        <v>-20</v>
      </c>
    </row>
    <row r="15" spans="1:11" x14ac:dyDescent="0.3">
      <c r="A15" t="s">
        <v>36</v>
      </c>
      <c r="C15">
        <v>19396223</v>
      </c>
      <c r="D15" t="s">
        <v>37</v>
      </c>
      <c r="E15" t="s">
        <v>38</v>
      </c>
      <c r="F15">
        <v>629440219</v>
      </c>
      <c r="G15" s="1">
        <v>45566</v>
      </c>
      <c r="H15" s="1">
        <v>45758</v>
      </c>
      <c r="I15" t="s">
        <v>15</v>
      </c>
      <c r="J15" t="s">
        <v>39</v>
      </c>
      <c r="K15" s="2">
        <v>-20</v>
      </c>
    </row>
    <row r="16" spans="1:11" x14ac:dyDescent="0.3">
      <c r="A16" t="s">
        <v>36</v>
      </c>
      <c r="C16">
        <v>19396223</v>
      </c>
      <c r="D16" t="s">
        <v>40</v>
      </c>
      <c r="E16" t="s">
        <v>41</v>
      </c>
      <c r="F16">
        <v>4580991</v>
      </c>
      <c r="G16" s="1">
        <v>45566</v>
      </c>
      <c r="H16" s="1">
        <v>45758</v>
      </c>
      <c r="I16" t="s">
        <v>15</v>
      </c>
      <c r="J16" t="s">
        <v>39</v>
      </c>
      <c r="K16" s="2">
        <v>-20</v>
      </c>
    </row>
    <row r="17" spans="1:11" x14ac:dyDescent="0.3">
      <c r="A17" t="s">
        <v>42</v>
      </c>
      <c r="C17">
        <v>18754354</v>
      </c>
      <c r="D17" t="s">
        <v>43</v>
      </c>
      <c r="E17" t="s">
        <v>44</v>
      </c>
      <c r="F17">
        <v>5014578</v>
      </c>
      <c r="G17" s="1">
        <v>45597</v>
      </c>
      <c r="H17" s="1">
        <v>45758</v>
      </c>
      <c r="I17" t="s">
        <v>15</v>
      </c>
      <c r="J17" t="s">
        <v>39</v>
      </c>
      <c r="K17" s="2">
        <v>-20</v>
      </c>
    </row>
    <row r="18" spans="1:11" x14ac:dyDescent="0.3">
      <c r="A18" t="s">
        <v>11</v>
      </c>
      <c r="B18" t="s">
        <v>12</v>
      </c>
      <c r="C18">
        <v>8977234</v>
      </c>
      <c r="D18" t="s">
        <v>23</v>
      </c>
      <c r="E18" t="s">
        <v>24</v>
      </c>
      <c r="F18">
        <v>65693</v>
      </c>
      <c r="G18" s="1">
        <v>45292</v>
      </c>
      <c r="H18" s="1">
        <v>45758</v>
      </c>
      <c r="I18" t="s">
        <v>15</v>
      </c>
      <c r="J18" t="s">
        <v>45</v>
      </c>
      <c r="K18" s="2">
        <v>-16</v>
      </c>
    </row>
    <row r="19" spans="1:11" x14ac:dyDescent="0.3">
      <c r="A19" t="s">
        <v>11</v>
      </c>
      <c r="B19" t="s">
        <v>12</v>
      </c>
      <c r="C19">
        <v>8977234</v>
      </c>
      <c r="D19" t="s">
        <v>26</v>
      </c>
      <c r="E19" t="s">
        <v>27</v>
      </c>
      <c r="F19">
        <v>2894856</v>
      </c>
      <c r="G19" s="1">
        <v>45292</v>
      </c>
      <c r="H19" s="1">
        <v>45758</v>
      </c>
      <c r="I19" t="s">
        <v>15</v>
      </c>
      <c r="J19" t="s">
        <v>45</v>
      </c>
      <c r="K19" s="2">
        <v>-16</v>
      </c>
    </row>
    <row r="20" spans="1:11" x14ac:dyDescent="0.3">
      <c r="A20" t="s">
        <v>31</v>
      </c>
      <c r="C20">
        <v>371819</v>
      </c>
      <c r="D20" t="s">
        <v>46</v>
      </c>
      <c r="E20" t="s">
        <v>47</v>
      </c>
      <c r="F20">
        <v>3412458</v>
      </c>
      <c r="G20" s="1">
        <v>45292</v>
      </c>
      <c r="H20" s="1">
        <v>45758</v>
      </c>
      <c r="I20" t="s">
        <v>15</v>
      </c>
      <c r="J20" t="s">
        <v>45</v>
      </c>
      <c r="K20" s="2">
        <v>-16</v>
      </c>
    </row>
    <row r="21" spans="1:11" x14ac:dyDescent="0.3">
      <c r="A21" t="s">
        <v>11</v>
      </c>
      <c r="B21" t="s">
        <v>12</v>
      </c>
      <c r="C21">
        <v>8977234</v>
      </c>
      <c r="D21" t="s">
        <v>28</v>
      </c>
      <c r="E21" t="s">
        <v>27</v>
      </c>
      <c r="F21">
        <v>3814368</v>
      </c>
      <c r="G21" s="1">
        <v>45292</v>
      </c>
      <c r="H21" s="1">
        <v>45758</v>
      </c>
      <c r="I21" t="s">
        <v>15</v>
      </c>
      <c r="J21" t="s">
        <v>45</v>
      </c>
      <c r="K21" s="2">
        <v>-16</v>
      </c>
    </row>
    <row r="22" spans="1:11" x14ac:dyDescent="0.3">
      <c r="A22" t="s">
        <v>31</v>
      </c>
      <c r="C22">
        <v>371819</v>
      </c>
      <c r="D22" t="s">
        <v>32</v>
      </c>
      <c r="E22" t="s">
        <v>33</v>
      </c>
      <c r="F22">
        <v>3975220</v>
      </c>
      <c r="G22" s="1">
        <v>45597</v>
      </c>
      <c r="H22" s="1">
        <v>45758</v>
      </c>
      <c r="I22" t="s">
        <v>15</v>
      </c>
      <c r="J22" t="s">
        <v>45</v>
      </c>
      <c r="K22" s="2">
        <v>-16</v>
      </c>
    </row>
    <row r="23" spans="1:11" x14ac:dyDescent="0.3">
      <c r="A23" t="s">
        <v>48</v>
      </c>
      <c r="B23" t="s">
        <v>49</v>
      </c>
      <c r="C23">
        <v>20436896</v>
      </c>
      <c r="D23" t="s">
        <v>50</v>
      </c>
      <c r="E23" t="s">
        <v>51</v>
      </c>
      <c r="F23" t="s">
        <v>52</v>
      </c>
      <c r="G23" s="1">
        <v>44927</v>
      </c>
      <c r="H23" s="1">
        <v>45758</v>
      </c>
      <c r="I23" t="s">
        <v>15</v>
      </c>
      <c r="J23" t="s">
        <v>53</v>
      </c>
      <c r="K23" s="2">
        <v>24</v>
      </c>
    </row>
    <row r="24" spans="1:11" x14ac:dyDescent="0.3">
      <c r="A24" t="s">
        <v>48</v>
      </c>
      <c r="B24" t="s">
        <v>49</v>
      </c>
      <c r="C24">
        <v>20436896</v>
      </c>
      <c r="D24" t="s">
        <v>54</v>
      </c>
      <c r="E24" t="s">
        <v>51</v>
      </c>
      <c r="F24" t="s">
        <v>55</v>
      </c>
      <c r="G24" s="1">
        <v>44927</v>
      </c>
      <c r="H24" s="1">
        <v>45758</v>
      </c>
      <c r="I24" t="s">
        <v>15</v>
      </c>
      <c r="J24" t="s">
        <v>53</v>
      </c>
      <c r="K24" s="2">
        <v>24</v>
      </c>
    </row>
    <row r="25" spans="1:11" x14ac:dyDescent="0.3">
      <c r="A25" t="s">
        <v>11</v>
      </c>
      <c r="B25" t="s">
        <v>12</v>
      </c>
      <c r="C25">
        <v>8977234</v>
      </c>
      <c r="D25" t="s">
        <v>56</v>
      </c>
      <c r="E25" t="s">
        <v>57</v>
      </c>
      <c r="F25" t="s">
        <v>58</v>
      </c>
      <c r="G25" s="1">
        <v>45474</v>
      </c>
      <c r="H25" s="1">
        <v>45758</v>
      </c>
      <c r="I25" t="s">
        <v>15</v>
      </c>
      <c r="J25" t="s">
        <v>53</v>
      </c>
      <c r="K25" s="2">
        <v>24</v>
      </c>
    </row>
    <row r="26" spans="1:11" x14ac:dyDescent="0.3">
      <c r="A26" t="s">
        <v>48</v>
      </c>
      <c r="B26" t="s">
        <v>49</v>
      </c>
      <c r="C26">
        <v>20436896</v>
      </c>
      <c r="D26" t="s">
        <v>59</v>
      </c>
      <c r="E26" t="s">
        <v>60</v>
      </c>
      <c r="F26" t="s">
        <v>61</v>
      </c>
      <c r="G26" s="1">
        <v>44197</v>
      </c>
      <c r="H26" s="1">
        <v>45758</v>
      </c>
      <c r="I26" t="s">
        <v>15</v>
      </c>
      <c r="J26" t="s">
        <v>53</v>
      </c>
      <c r="K26" s="2">
        <v>24</v>
      </c>
    </row>
    <row r="27" spans="1:11" x14ac:dyDescent="0.3">
      <c r="A27" t="s">
        <v>62</v>
      </c>
      <c r="C27">
        <v>8307933</v>
      </c>
      <c r="D27" t="s">
        <v>63</v>
      </c>
      <c r="E27" t="s">
        <v>64</v>
      </c>
      <c r="F27" t="s">
        <v>65</v>
      </c>
      <c r="G27" s="1">
        <v>44927</v>
      </c>
      <c r="H27" s="1">
        <v>45758</v>
      </c>
      <c r="I27" t="s">
        <v>15</v>
      </c>
      <c r="J27" t="s">
        <v>53</v>
      </c>
      <c r="K27" s="2">
        <v>24</v>
      </c>
    </row>
    <row r="28" spans="1:11" x14ac:dyDescent="0.3">
      <c r="A28" t="s">
        <v>48</v>
      </c>
      <c r="B28" t="s">
        <v>49</v>
      </c>
      <c r="C28">
        <v>20436896</v>
      </c>
      <c r="D28" t="s">
        <v>50</v>
      </c>
      <c r="E28" t="s">
        <v>51</v>
      </c>
      <c r="F28">
        <v>2665329</v>
      </c>
      <c r="G28" s="1">
        <v>44927</v>
      </c>
      <c r="H28" s="1">
        <v>45758</v>
      </c>
      <c r="I28" t="s">
        <v>15</v>
      </c>
      <c r="J28" t="s">
        <v>66</v>
      </c>
      <c r="K28" s="2">
        <v>-24</v>
      </c>
    </row>
    <row r="29" spans="1:11" x14ac:dyDescent="0.3">
      <c r="A29" t="s">
        <v>48</v>
      </c>
      <c r="B29" t="s">
        <v>49</v>
      </c>
      <c r="C29">
        <v>20436896</v>
      </c>
      <c r="D29" t="s">
        <v>54</v>
      </c>
      <c r="E29" t="s">
        <v>51</v>
      </c>
      <c r="F29">
        <v>3273045</v>
      </c>
      <c r="G29" s="1">
        <v>44927</v>
      </c>
      <c r="H29" s="1">
        <v>45758</v>
      </c>
      <c r="I29" t="s">
        <v>15</v>
      </c>
      <c r="J29" t="s">
        <v>66</v>
      </c>
      <c r="K29" s="2">
        <v>-24</v>
      </c>
    </row>
    <row r="30" spans="1:11" x14ac:dyDescent="0.3">
      <c r="A30" t="s">
        <v>11</v>
      </c>
      <c r="B30" t="s">
        <v>12</v>
      </c>
      <c r="C30">
        <v>8977234</v>
      </c>
      <c r="D30" t="s">
        <v>56</v>
      </c>
      <c r="E30" t="s">
        <v>57</v>
      </c>
      <c r="F30">
        <v>3811777</v>
      </c>
      <c r="G30" s="1">
        <v>45474</v>
      </c>
      <c r="H30" s="1">
        <v>45758</v>
      </c>
      <c r="I30" t="s">
        <v>15</v>
      </c>
      <c r="J30" t="s">
        <v>66</v>
      </c>
      <c r="K30" s="2">
        <v>-24</v>
      </c>
    </row>
    <row r="31" spans="1:11" x14ac:dyDescent="0.3">
      <c r="A31" t="s">
        <v>48</v>
      </c>
      <c r="B31" t="s">
        <v>49</v>
      </c>
      <c r="C31">
        <v>20436896</v>
      </c>
      <c r="D31" t="s">
        <v>59</v>
      </c>
      <c r="E31" t="s">
        <v>60</v>
      </c>
      <c r="F31">
        <v>3825033</v>
      </c>
      <c r="G31" s="1">
        <v>44197</v>
      </c>
      <c r="H31" s="1">
        <v>45758</v>
      </c>
      <c r="I31" t="s">
        <v>15</v>
      </c>
      <c r="J31" t="s">
        <v>66</v>
      </c>
      <c r="K31" s="2">
        <v>-24</v>
      </c>
    </row>
    <row r="32" spans="1:11" x14ac:dyDescent="0.3">
      <c r="A32" t="s">
        <v>48</v>
      </c>
      <c r="B32" t="s">
        <v>49</v>
      </c>
      <c r="C32">
        <v>20436896</v>
      </c>
      <c r="D32" t="s">
        <v>50</v>
      </c>
      <c r="E32" t="s">
        <v>51</v>
      </c>
      <c r="F32">
        <v>2665329</v>
      </c>
      <c r="G32" s="1">
        <v>44927</v>
      </c>
      <c r="H32" s="1">
        <v>45758</v>
      </c>
      <c r="I32" t="s">
        <v>15</v>
      </c>
      <c r="J32" t="s">
        <v>67</v>
      </c>
      <c r="K32" s="2">
        <v>-24</v>
      </c>
    </row>
    <row r="33" spans="1:11" x14ac:dyDescent="0.3">
      <c r="A33" t="s">
        <v>48</v>
      </c>
      <c r="B33" t="s">
        <v>49</v>
      </c>
      <c r="C33">
        <v>20436896</v>
      </c>
      <c r="D33" t="s">
        <v>54</v>
      </c>
      <c r="E33" t="s">
        <v>51</v>
      </c>
      <c r="F33">
        <v>3273045</v>
      </c>
      <c r="G33" s="1">
        <v>44927</v>
      </c>
      <c r="H33" s="1">
        <v>45758</v>
      </c>
      <c r="I33" t="s">
        <v>15</v>
      </c>
      <c r="J33" t="s">
        <v>67</v>
      </c>
      <c r="K33" s="2">
        <v>-24</v>
      </c>
    </row>
    <row r="34" spans="1:11" x14ac:dyDescent="0.3">
      <c r="A34" t="s">
        <v>11</v>
      </c>
      <c r="B34" t="s">
        <v>12</v>
      </c>
      <c r="C34">
        <v>8977234</v>
      </c>
      <c r="D34" t="s">
        <v>56</v>
      </c>
      <c r="E34" t="s">
        <v>57</v>
      </c>
      <c r="F34">
        <v>3811777</v>
      </c>
      <c r="G34" s="1">
        <v>45474</v>
      </c>
      <c r="H34" s="1">
        <v>45758</v>
      </c>
      <c r="I34" t="s">
        <v>15</v>
      </c>
      <c r="J34" t="s">
        <v>67</v>
      </c>
      <c r="K34" s="2">
        <v>-24</v>
      </c>
    </row>
    <row r="35" spans="1:11" x14ac:dyDescent="0.3">
      <c r="A35" t="s">
        <v>48</v>
      </c>
      <c r="B35" t="s">
        <v>49</v>
      </c>
      <c r="C35">
        <v>20436896</v>
      </c>
      <c r="D35" t="s">
        <v>59</v>
      </c>
      <c r="E35" t="s">
        <v>60</v>
      </c>
      <c r="F35">
        <v>3825033</v>
      </c>
      <c r="G35" s="1">
        <v>44197</v>
      </c>
      <c r="H35" s="1">
        <v>45758</v>
      </c>
      <c r="I35" t="s">
        <v>15</v>
      </c>
      <c r="J35" t="s">
        <v>67</v>
      </c>
      <c r="K35" s="2">
        <v>-24</v>
      </c>
    </row>
    <row r="36" spans="1:11" x14ac:dyDescent="0.3">
      <c r="A36" t="s">
        <v>62</v>
      </c>
      <c r="C36">
        <v>8307933</v>
      </c>
      <c r="D36" t="s">
        <v>63</v>
      </c>
      <c r="E36" t="s">
        <v>64</v>
      </c>
      <c r="F36" t="s">
        <v>65</v>
      </c>
      <c r="G36" s="1">
        <v>44927</v>
      </c>
      <c r="H36" s="1">
        <v>45758</v>
      </c>
      <c r="I36" t="s">
        <v>15</v>
      </c>
      <c r="J36" t="s">
        <v>68</v>
      </c>
      <c r="K36" s="2">
        <v>24</v>
      </c>
    </row>
    <row r="37" spans="1:11" x14ac:dyDescent="0.3">
      <c r="A37" t="s">
        <v>48</v>
      </c>
      <c r="B37" t="s">
        <v>49</v>
      </c>
      <c r="C37">
        <v>20436896</v>
      </c>
      <c r="D37" t="s">
        <v>50</v>
      </c>
      <c r="E37" t="s">
        <v>51</v>
      </c>
      <c r="F37" t="s">
        <v>52</v>
      </c>
      <c r="G37" s="1">
        <v>44927</v>
      </c>
      <c r="H37" s="1">
        <v>45758</v>
      </c>
      <c r="I37" t="s">
        <v>15</v>
      </c>
      <c r="J37" t="s">
        <v>69</v>
      </c>
      <c r="K37" s="2">
        <v>24</v>
      </c>
    </row>
    <row r="38" spans="1:11" x14ac:dyDescent="0.3">
      <c r="A38" t="s">
        <v>62</v>
      </c>
      <c r="C38">
        <v>8307933</v>
      </c>
      <c r="D38" t="s">
        <v>63</v>
      </c>
      <c r="E38" t="s">
        <v>64</v>
      </c>
      <c r="F38" t="s">
        <v>65</v>
      </c>
      <c r="G38" s="1">
        <v>44927</v>
      </c>
      <c r="H38" s="1">
        <v>45758</v>
      </c>
      <c r="I38" t="s">
        <v>15</v>
      </c>
      <c r="J38" t="s">
        <v>69</v>
      </c>
      <c r="K38" s="2">
        <v>24</v>
      </c>
    </row>
    <row r="39" spans="1:11" x14ac:dyDescent="0.3">
      <c r="A39" t="s">
        <v>48</v>
      </c>
      <c r="B39" t="s">
        <v>49</v>
      </c>
      <c r="C39">
        <v>20436896</v>
      </c>
      <c r="D39" t="s">
        <v>54</v>
      </c>
      <c r="E39" t="s">
        <v>51</v>
      </c>
      <c r="F39" t="s">
        <v>55</v>
      </c>
      <c r="G39" s="1">
        <v>44927</v>
      </c>
      <c r="H39" s="1">
        <v>45758</v>
      </c>
      <c r="I39" t="s">
        <v>15</v>
      </c>
      <c r="J39" t="s">
        <v>69</v>
      </c>
      <c r="K39" s="2">
        <v>24</v>
      </c>
    </row>
    <row r="40" spans="1:11" x14ac:dyDescent="0.3">
      <c r="A40" t="s">
        <v>48</v>
      </c>
      <c r="B40" t="s">
        <v>49</v>
      </c>
      <c r="C40">
        <v>20436896</v>
      </c>
      <c r="D40" t="s">
        <v>59</v>
      </c>
      <c r="E40" t="s">
        <v>60</v>
      </c>
      <c r="F40" t="s">
        <v>61</v>
      </c>
      <c r="G40" s="1">
        <v>44197</v>
      </c>
      <c r="H40" s="1">
        <v>45758</v>
      </c>
      <c r="I40" t="s">
        <v>15</v>
      </c>
      <c r="J40" t="s">
        <v>69</v>
      </c>
      <c r="K40" s="2">
        <v>24</v>
      </c>
    </row>
    <row r="41" spans="1:11" x14ac:dyDescent="0.3">
      <c r="A41" t="s">
        <v>11</v>
      </c>
      <c r="B41" t="s">
        <v>12</v>
      </c>
      <c r="C41">
        <v>8977234</v>
      </c>
      <c r="D41" t="s">
        <v>70</v>
      </c>
      <c r="E41" t="s">
        <v>71</v>
      </c>
      <c r="F41" t="s">
        <v>72</v>
      </c>
      <c r="G41" s="1">
        <v>45689</v>
      </c>
      <c r="H41" s="1">
        <v>45758</v>
      </c>
      <c r="I41" t="s">
        <v>15</v>
      </c>
      <c r="J41" t="s">
        <v>69</v>
      </c>
      <c r="K41" s="2">
        <v>24</v>
      </c>
    </row>
    <row r="42" spans="1:11" x14ac:dyDescent="0.3">
      <c r="A42" t="s">
        <v>31</v>
      </c>
      <c r="C42">
        <v>371819</v>
      </c>
      <c r="D42" t="s">
        <v>73</v>
      </c>
      <c r="E42" t="s">
        <v>74</v>
      </c>
      <c r="F42">
        <v>2357786</v>
      </c>
      <c r="G42" s="1">
        <v>45536</v>
      </c>
      <c r="H42" s="1">
        <v>45758</v>
      </c>
      <c r="I42" t="s">
        <v>15</v>
      </c>
      <c r="J42" t="s">
        <v>75</v>
      </c>
      <c r="K42" s="2">
        <v>-18</v>
      </c>
    </row>
    <row r="43" spans="1:11" x14ac:dyDescent="0.3">
      <c r="A43" t="s">
        <v>31</v>
      </c>
      <c r="C43">
        <v>371819</v>
      </c>
      <c r="D43" t="s">
        <v>76</v>
      </c>
      <c r="E43" t="s">
        <v>77</v>
      </c>
      <c r="F43">
        <v>2565033</v>
      </c>
      <c r="G43" s="1">
        <v>45505</v>
      </c>
      <c r="H43" s="1">
        <v>45758</v>
      </c>
      <c r="I43" t="s">
        <v>15</v>
      </c>
      <c r="J43" t="s">
        <v>75</v>
      </c>
      <c r="K43" s="2">
        <v>-18</v>
      </c>
    </row>
    <row r="44" spans="1:11" x14ac:dyDescent="0.3">
      <c r="A44" t="s">
        <v>31</v>
      </c>
      <c r="C44">
        <v>371819</v>
      </c>
      <c r="D44" t="s">
        <v>78</v>
      </c>
      <c r="E44" t="s">
        <v>74</v>
      </c>
      <c r="F44">
        <v>3001451</v>
      </c>
      <c r="G44" s="1">
        <v>45536</v>
      </c>
      <c r="H44" s="1">
        <v>45758</v>
      </c>
      <c r="I44" t="s">
        <v>15</v>
      </c>
      <c r="J44" t="s">
        <v>75</v>
      </c>
      <c r="K44" s="2">
        <v>-18</v>
      </c>
    </row>
    <row r="45" spans="1:11" x14ac:dyDescent="0.3">
      <c r="A45" t="s">
        <v>31</v>
      </c>
      <c r="C45">
        <v>371819</v>
      </c>
      <c r="D45" t="s">
        <v>79</v>
      </c>
      <c r="E45" t="s">
        <v>77</v>
      </c>
      <c r="F45">
        <v>3191310</v>
      </c>
      <c r="G45" s="1">
        <v>45505</v>
      </c>
      <c r="H45" s="1">
        <v>45758</v>
      </c>
      <c r="I45" t="s">
        <v>15</v>
      </c>
      <c r="J45" t="s">
        <v>75</v>
      </c>
      <c r="K45" s="2">
        <v>-18</v>
      </c>
    </row>
    <row r="46" spans="1:11" x14ac:dyDescent="0.3">
      <c r="A46" t="s">
        <v>31</v>
      </c>
      <c r="C46">
        <v>371819</v>
      </c>
      <c r="D46" t="s">
        <v>80</v>
      </c>
      <c r="E46" t="s">
        <v>77</v>
      </c>
      <c r="F46">
        <v>3286420</v>
      </c>
      <c r="G46" s="1">
        <v>45505</v>
      </c>
      <c r="H46" s="1">
        <v>45758</v>
      </c>
      <c r="I46" t="s">
        <v>15</v>
      </c>
      <c r="J46" t="s">
        <v>75</v>
      </c>
      <c r="K46" s="2">
        <v>-18</v>
      </c>
    </row>
    <row r="47" spans="1:11" x14ac:dyDescent="0.3">
      <c r="A47" t="s">
        <v>36</v>
      </c>
      <c r="C47">
        <v>19396223</v>
      </c>
      <c r="D47" t="s">
        <v>40</v>
      </c>
      <c r="E47" t="s">
        <v>41</v>
      </c>
      <c r="F47">
        <v>4580991</v>
      </c>
      <c r="G47" s="1">
        <v>45566</v>
      </c>
      <c r="H47" s="1">
        <v>45758</v>
      </c>
      <c r="I47" t="s">
        <v>15</v>
      </c>
      <c r="J47" t="s">
        <v>81</v>
      </c>
      <c r="K47" s="2">
        <v>-25</v>
      </c>
    </row>
    <row r="48" spans="1:11" x14ac:dyDescent="0.3">
      <c r="A48" t="s">
        <v>82</v>
      </c>
      <c r="C48">
        <v>9213293</v>
      </c>
      <c r="D48" t="s">
        <v>83</v>
      </c>
      <c r="E48" t="s">
        <v>84</v>
      </c>
      <c r="F48">
        <v>4614884</v>
      </c>
      <c r="G48" s="1">
        <v>45658</v>
      </c>
      <c r="H48" s="1">
        <v>45758</v>
      </c>
      <c r="I48" t="s">
        <v>15</v>
      </c>
      <c r="J48" t="s">
        <v>81</v>
      </c>
      <c r="K48" s="2">
        <v>-25</v>
      </c>
    </row>
    <row r="49" spans="1:11" x14ac:dyDescent="0.3">
      <c r="A49" t="s">
        <v>36</v>
      </c>
      <c r="C49">
        <v>19396223</v>
      </c>
      <c r="D49" t="s">
        <v>85</v>
      </c>
      <c r="E49" t="s">
        <v>86</v>
      </c>
      <c r="F49">
        <v>4882810</v>
      </c>
      <c r="G49" s="1">
        <v>45658</v>
      </c>
      <c r="H49" s="1">
        <v>45758</v>
      </c>
      <c r="I49" t="s">
        <v>15</v>
      </c>
      <c r="J49" t="s">
        <v>81</v>
      </c>
      <c r="K49" s="2">
        <v>-25</v>
      </c>
    </row>
    <row r="50" spans="1:11" x14ac:dyDescent="0.3">
      <c r="A50" t="s">
        <v>42</v>
      </c>
      <c r="C50">
        <v>18754354</v>
      </c>
      <c r="D50" t="s">
        <v>43</v>
      </c>
      <c r="E50" t="s">
        <v>44</v>
      </c>
      <c r="F50">
        <v>5014578</v>
      </c>
      <c r="G50" s="1">
        <v>45597</v>
      </c>
      <c r="H50" s="1">
        <v>45758</v>
      </c>
      <c r="I50" t="s">
        <v>15</v>
      </c>
      <c r="J50" t="s">
        <v>81</v>
      </c>
      <c r="K50" s="2">
        <v>-25</v>
      </c>
    </row>
    <row r="51" spans="1:11" x14ac:dyDescent="0.3">
      <c r="A51" t="s">
        <v>87</v>
      </c>
      <c r="C51">
        <v>16683808</v>
      </c>
      <c r="D51" t="s">
        <v>88</v>
      </c>
      <c r="E51" t="s">
        <v>89</v>
      </c>
      <c r="F51">
        <v>5277252</v>
      </c>
      <c r="G51" s="1">
        <v>45658</v>
      </c>
      <c r="H51" s="1">
        <v>45758</v>
      </c>
      <c r="I51" t="s">
        <v>15</v>
      </c>
      <c r="J51" t="s">
        <v>81</v>
      </c>
      <c r="K51" s="2">
        <v>-25</v>
      </c>
    </row>
    <row r="52" spans="1:11" x14ac:dyDescent="0.3">
      <c r="A52" t="s">
        <v>90</v>
      </c>
      <c r="C52">
        <v>7146581</v>
      </c>
      <c r="D52" t="s">
        <v>91</v>
      </c>
      <c r="E52" t="s">
        <v>92</v>
      </c>
      <c r="F52">
        <v>5380020</v>
      </c>
      <c r="G52" s="1">
        <v>45658</v>
      </c>
      <c r="H52" s="1">
        <v>45758</v>
      </c>
      <c r="I52" t="s">
        <v>15</v>
      </c>
      <c r="J52" t="s">
        <v>81</v>
      </c>
      <c r="K52" s="2">
        <v>-25</v>
      </c>
    </row>
    <row r="53" spans="1:11" x14ac:dyDescent="0.3">
      <c r="A53" t="s">
        <v>82</v>
      </c>
      <c r="C53">
        <v>9213293</v>
      </c>
      <c r="D53" t="s">
        <v>93</v>
      </c>
      <c r="E53" t="s">
        <v>89</v>
      </c>
      <c r="F53">
        <v>5388170</v>
      </c>
      <c r="G53" s="1">
        <v>45658</v>
      </c>
      <c r="H53" s="1">
        <v>45758</v>
      </c>
      <c r="I53" t="s">
        <v>15</v>
      </c>
      <c r="J53" t="s">
        <v>81</v>
      </c>
      <c r="K53" s="2">
        <v>-25</v>
      </c>
    </row>
    <row r="54" spans="1:11" x14ac:dyDescent="0.3">
      <c r="A54" t="s">
        <v>31</v>
      </c>
      <c r="C54">
        <v>371819</v>
      </c>
      <c r="D54" t="s">
        <v>94</v>
      </c>
      <c r="E54" t="s">
        <v>95</v>
      </c>
      <c r="F54">
        <v>2498554</v>
      </c>
      <c r="G54" s="1">
        <v>45658</v>
      </c>
      <c r="H54" s="1">
        <v>45758</v>
      </c>
      <c r="I54" t="s">
        <v>15</v>
      </c>
      <c r="J54" t="s">
        <v>81</v>
      </c>
      <c r="K54" s="2">
        <v>-25</v>
      </c>
    </row>
    <row r="55" spans="1:11" x14ac:dyDescent="0.3">
      <c r="A55" t="s">
        <v>31</v>
      </c>
      <c r="C55">
        <v>371819</v>
      </c>
      <c r="D55" t="s">
        <v>70</v>
      </c>
      <c r="E55" t="s">
        <v>96</v>
      </c>
      <c r="F55">
        <v>3640584</v>
      </c>
      <c r="G55" s="1">
        <v>45658</v>
      </c>
      <c r="H55" s="1">
        <v>45758</v>
      </c>
      <c r="I55" t="s">
        <v>15</v>
      </c>
      <c r="J55" t="s">
        <v>81</v>
      </c>
      <c r="K55" s="2">
        <v>-25</v>
      </c>
    </row>
    <row r="56" spans="1:11" x14ac:dyDescent="0.3">
      <c r="A56" t="s">
        <v>11</v>
      </c>
      <c r="B56" t="s">
        <v>12</v>
      </c>
      <c r="C56">
        <v>8977234</v>
      </c>
      <c r="D56" t="s">
        <v>70</v>
      </c>
      <c r="E56" t="s">
        <v>97</v>
      </c>
      <c r="F56">
        <v>12033259</v>
      </c>
      <c r="G56" s="1">
        <v>44835</v>
      </c>
      <c r="H56" s="1">
        <v>45758</v>
      </c>
      <c r="I56" t="s">
        <v>15</v>
      </c>
      <c r="J56" t="s">
        <v>81</v>
      </c>
      <c r="K56" s="2">
        <v>-25</v>
      </c>
    </row>
    <row r="57" spans="1:11" x14ac:dyDescent="0.3">
      <c r="A57" t="s">
        <v>98</v>
      </c>
      <c r="B57" t="s">
        <v>99</v>
      </c>
      <c r="C57">
        <v>9079571</v>
      </c>
      <c r="D57" t="s">
        <v>100</v>
      </c>
      <c r="E57" t="s">
        <v>101</v>
      </c>
      <c r="F57">
        <v>13047512</v>
      </c>
      <c r="G57" s="1">
        <v>44927</v>
      </c>
      <c r="H57" s="1">
        <v>45758</v>
      </c>
      <c r="I57" t="s">
        <v>15</v>
      </c>
      <c r="J57" t="s">
        <v>81</v>
      </c>
      <c r="K57" s="2">
        <v>-25</v>
      </c>
    </row>
    <row r="58" spans="1:11" x14ac:dyDescent="0.3">
      <c r="A58" t="s">
        <v>98</v>
      </c>
      <c r="B58" t="s">
        <v>99</v>
      </c>
      <c r="C58">
        <v>9079571</v>
      </c>
      <c r="D58" t="s">
        <v>88</v>
      </c>
      <c r="E58" t="s">
        <v>102</v>
      </c>
      <c r="F58">
        <v>13514902</v>
      </c>
      <c r="G58" s="1">
        <v>44927</v>
      </c>
      <c r="H58" s="1">
        <v>45758</v>
      </c>
      <c r="I58" t="s">
        <v>15</v>
      </c>
      <c r="J58" t="s">
        <v>81</v>
      </c>
      <c r="K58" s="2">
        <v>-25</v>
      </c>
    </row>
    <row r="59" spans="1:11" x14ac:dyDescent="0.3">
      <c r="A59" t="s">
        <v>98</v>
      </c>
      <c r="B59" t="s">
        <v>99</v>
      </c>
      <c r="C59">
        <v>9079571</v>
      </c>
      <c r="D59" t="s">
        <v>103</v>
      </c>
      <c r="E59" t="s">
        <v>104</v>
      </c>
      <c r="F59">
        <v>16455763</v>
      </c>
      <c r="G59" s="1">
        <v>44927</v>
      </c>
      <c r="H59" s="1">
        <v>45758</v>
      </c>
      <c r="I59" t="s">
        <v>15</v>
      </c>
      <c r="J59" t="s">
        <v>105</v>
      </c>
      <c r="K59" s="2">
        <v>-25</v>
      </c>
    </row>
    <row r="60" spans="1:11" x14ac:dyDescent="0.3">
      <c r="A60" t="s">
        <v>31</v>
      </c>
      <c r="C60">
        <v>371819</v>
      </c>
      <c r="D60" t="s">
        <v>73</v>
      </c>
      <c r="E60" t="s">
        <v>74</v>
      </c>
      <c r="F60">
        <v>2357786</v>
      </c>
      <c r="G60" s="1">
        <v>45536</v>
      </c>
      <c r="H60" s="1">
        <v>45758</v>
      </c>
      <c r="I60" t="s">
        <v>15</v>
      </c>
      <c r="J60" t="s">
        <v>106</v>
      </c>
      <c r="K60" s="2">
        <v>-22</v>
      </c>
    </row>
    <row r="61" spans="1:11" x14ac:dyDescent="0.3">
      <c r="A61" t="s">
        <v>31</v>
      </c>
      <c r="C61">
        <v>371819</v>
      </c>
      <c r="D61" t="s">
        <v>76</v>
      </c>
      <c r="E61" t="s">
        <v>77</v>
      </c>
      <c r="F61">
        <v>2565033</v>
      </c>
      <c r="G61" s="1">
        <v>45505</v>
      </c>
      <c r="H61" s="1">
        <v>45758</v>
      </c>
      <c r="I61" t="s">
        <v>15</v>
      </c>
      <c r="J61" t="s">
        <v>106</v>
      </c>
      <c r="K61" s="2">
        <v>-22</v>
      </c>
    </row>
    <row r="62" spans="1:11" x14ac:dyDescent="0.3">
      <c r="A62" t="s">
        <v>31</v>
      </c>
      <c r="C62">
        <v>371819</v>
      </c>
      <c r="D62" t="s">
        <v>107</v>
      </c>
      <c r="E62" t="s">
        <v>108</v>
      </c>
      <c r="F62">
        <v>2960307</v>
      </c>
      <c r="G62" s="1">
        <v>45658</v>
      </c>
      <c r="H62" s="1">
        <v>45758</v>
      </c>
      <c r="I62" t="s">
        <v>15</v>
      </c>
      <c r="J62" t="s">
        <v>106</v>
      </c>
      <c r="K62" s="2">
        <v>-22</v>
      </c>
    </row>
    <row r="63" spans="1:11" x14ac:dyDescent="0.3">
      <c r="A63" t="s">
        <v>31</v>
      </c>
      <c r="C63">
        <v>371819</v>
      </c>
      <c r="D63" t="s">
        <v>78</v>
      </c>
      <c r="E63" t="s">
        <v>74</v>
      </c>
      <c r="F63">
        <v>3001451</v>
      </c>
      <c r="G63" s="1">
        <v>45536</v>
      </c>
      <c r="H63" s="1">
        <v>45758</v>
      </c>
      <c r="I63" t="s">
        <v>15</v>
      </c>
      <c r="J63" t="s">
        <v>106</v>
      </c>
      <c r="K63" s="2">
        <v>-22</v>
      </c>
    </row>
    <row r="64" spans="1:11" x14ac:dyDescent="0.3">
      <c r="A64" t="s">
        <v>62</v>
      </c>
      <c r="C64">
        <v>8307933</v>
      </c>
      <c r="D64" t="s">
        <v>109</v>
      </c>
      <c r="E64" t="s">
        <v>110</v>
      </c>
      <c r="F64">
        <v>3059848</v>
      </c>
      <c r="G64" s="1">
        <v>45658</v>
      </c>
      <c r="H64" s="1">
        <v>45758</v>
      </c>
      <c r="I64" t="s">
        <v>15</v>
      </c>
      <c r="J64" t="s">
        <v>106</v>
      </c>
      <c r="K64" s="2">
        <v>-22</v>
      </c>
    </row>
    <row r="65" spans="1:11" x14ac:dyDescent="0.3">
      <c r="A65" t="s">
        <v>31</v>
      </c>
      <c r="C65">
        <v>371819</v>
      </c>
      <c r="D65" t="s">
        <v>79</v>
      </c>
      <c r="E65" t="s">
        <v>77</v>
      </c>
      <c r="F65">
        <v>3191310</v>
      </c>
      <c r="G65" s="1">
        <v>45505</v>
      </c>
      <c r="H65" s="1">
        <v>45758</v>
      </c>
      <c r="I65" t="s">
        <v>15</v>
      </c>
      <c r="J65" t="s">
        <v>106</v>
      </c>
      <c r="K65" s="2">
        <v>-22</v>
      </c>
    </row>
    <row r="66" spans="1:11" x14ac:dyDescent="0.3">
      <c r="A66" t="s">
        <v>31</v>
      </c>
      <c r="C66">
        <v>371819</v>
      </c>
      <c r="D66" t="s">
        <v>80</v>
      </c>
      <c r="E66" t="s">
        <v>77</v>
      </c>
      <c r="F66">
        <v>3286420</v>
      </c>
      <c r="G66" s="1">
        <v>45505</v>
      </c>
      <c r="H66" s="1">
        <v>45758</v>
      </c>
      <c r="I66" t="s">
        <v>15</v>
      </c>
      <c r="J66" t="s">
        <v>106</v>
      </c>
      <c r="K66" s="2">
        <v>-22</v>
      </c>
    </row>
    <row r="67" spans="1:11" x14ac:dyDescent="0.3">
      <c r="A67" t="s">
        <v>11</v>
      </c>
      <c r="B67" t="s">
        <v>12</v>
      </c>
      <c r="C67">
        <v>8977234</v>
      </c>
      <c r="D67" t="s">
        <v>70</v>
      </c>
      <c r="E67" t="s">
        <v>97</v>
      </c>
      <c r="F67">
        <v>12033259</v>
      </c>
      <c r="G67" s="1">
        <v>44835</v>
      </c>
      <c r="H67" s="1">
        <v>45758</v>
      </c>
      <c r="I67" t="s">
        <v>15</v>
      </c>
      <c r="J67" t="s">
        <v>111</v>
      </c>
      <c r="K67" s="2">
        <v>-22</v>
      </c>
    </row>
    <row r="68" spans="1:11" x14ac:dyDescent="0.3">
      <c r="A68" t="s">
        <v>98</v>
      </c>
      <c r="B68" t="s">
        <v>99</v>
      </c>
      <c r="C68">
        <v>9079571</v>
      </c>
      <c r="D68" t="s">
        <v>100</v>
      </c>
      <c r="E68" t="s">
        <v>101</v>
      </c>
      <c r="F68">
        <v>13047512</v>
      </c>
      <c r="G68" s="1">
        <v>44927</v>
      </c>
      <c r="H68" s="1">
        <v>45758</v>
      </c>
      <c r="I68" t="s">
        <v>15</v>
      </c>
      <c r="J68" t="s">
        <v>111</v>
      </c>
      <c r="K68" s="2">
        <v>-22</v>
      </c>
    </row>
    <row r="69" spans="1:11" x14ac:dyDescent="0.3">
      <c r="A69" t="s">
        <v>98</v>
      </c>
      <c r="B69" t="s">
        <v>99</v>
      </c>
      <c r="C69">
        <v>9079571</v>
      </c>
      <c r="D69" t="s">
        <v>88</v>
      </c>
      <c r="E69" t="s">
        <v>102</v>
      </c>
      <c r="F69">
        <v>13514902</v>
      </c>
      <c r="G69" s="1">
        <v>44927</v>
      </c>
      <c r="H69" s="1">
        <v>45758</v>
      </c>
      <c r="I69" t="s">
        <v>15</v>
      </c>
      <c r="J69" t="s">
        <v>111</v>
      </c>
      <c r="K69" s="2">
        <v>-22</v>
      </c>
    </row>
    <row r="70" spans="1:11" x14ac:dyDescent="0.3">
      <c r="A70" t="s">
        <v>36</v>
      </c>
      <c r="C70">
        <v>19396223</v>
      </c>
      <c r="D70" t="s">
        <v>37</v>
      </c>
      <c r="E70" t="s">
        <v>38</v>
      </c>
      <c r="F70" t="s">
        <v>112</v>
      </c>
      <c r="G70" s="1">
        <v>45566</v>
      </c>
      <c r="H70" s="1">
        <v>45758</v>
      </c>
      <c r="I70" t="s">
        <v>15</v>
      </c>
      <c r="J70" t="s">
        <v>113</v>
      </c>
      <c r="K70" s="2">
        <v>-2.5</v>
      </c>
    </row>
    <row r="71" spans="1:11" x14ac:dyDescent="0.3">
      <c r="A71" t="s">
        <v>36</v>
      </c>
      <c r="C71">
        <v>19396223</v>
      </c>
      <c r="D71" t="s">
        <v>37</v>
      </c>
      <c r="E71" t="s">
        <v>38</v>
      </c>
      <c r="F71">
        <v>629440219</v>
      </c>
      <c r="G71" s="1">
        <v>45566</v>
      </c>
      <c r="H71" s="1">
        <v>45758</v>
      </c>
      <c r="I71" t="s">
        <v>15</v>
      </c>
      <c r="J71" t="s">
        <v>114</v>
      </c>
      <c r="K71" s="2">
        <v>-2.5</v>
      </c>
    </row>
    <row r="72" spans="1:11" x14ac:dyDescent="0.3">
      <c r="A72" t="s">
        <v>98</v>
      </c>
      <c r="B72" t="s">
        <v>99</v>
      </c>
      <c r="C72">
        <v>9079571</v>
      </c>
      <c r="D72" t="s">
        <v>103</v>
      </c>
      <c r="E72" t="s">
        <v>104</v>
      </c>
      <c r="F72">
        <v>16455763</v>
      </c>
      <c r="G72" s="1">
        <v>44927</v>
      </c>
      <c r="H72" s="1">
        <v>45758</v>
      </c>
      <c r="I72" t="s">
        <v>15</v>
      </c>
      <c r="J72" t="s">
        <v>114</v>
      </c>
      <c r="K72" s="2">
        <v>-2.5</v>
      </c>
    </row>
    <row r="73" spans="1:11" x14ac:dyDescent="0.3">
      <c r="A73" t="s">
        <v>36</v>
      </c>
      <c r="C73">
        <v>19396223</v>
      </c>
      <c r="D73" t="s">
        <v>40</v>
      </c>
      <c r="E73" t="s">
        <v>41</v>
      </c>
      <c r="F73">
        <v>4580991</v>
      </c>
      <c r="G73" s="1">
        <v>45566</v>
      </c>
      <c r="H73" s="1">
        <v>45758</v>
      </c>
      <c r="I73" t="s">
        <v>15</v>
      </c>
      <c r="J73" t="s">
        <v>114</v>
      </c>
      <c r="K73" s="2">
        <v>-2.5</v>
      </c>
    </row>
    <row r="74" spans="1:11" x14ac:dyDescent="0.3">
      <c r="A74" t="s">
        <v>42</v>
      </c>
      <c r="C74">
        <v>18754354</v>
      </c>
      <c r="D74" t="s">
        <v>43</v>
      </c>
      <c r="E74" t="s">
        <v>44</v>
      </c>
      <c r="F74">
        <v>5014578</v>
      </c>
      <c r="G74" s="1">
        <v>45597</v>
      </c>
      <c r="H74" s="1">
        <v>45758</v>
      </c>
      <c r="I74" t="s">
        <v>15</v>
      </c>
      <c r="J74" t="s">
        <v>114</v>
      </c>
      <c r="K74" s="2">
        <v>-2.5</v>
      </c>
    </row>
    <row r="75" spans="1:11" x14ac:dyDescent="0.3">
      <c r="A75" t="s">
        <v>48</v>
      </c>
      <c r="B75" t="s">
        <v>49</v>
      </c>
      <c r="C75">
        <v>20436896</v>
      </c>
      <c r="D75" t="s">
        <v>50</v>
      </c>
      <c r="E75" t="s">
        <v>51</v>
      </c>
      <c r="F75">
        <v>2665329</v>
      </c>
      <c r="G75" s="1">
        <v>44927</v>
      </c>
      <c r="H75" s="1">
        <v>45758</v>
      </c>
      <c r="I75" t="s">
        <v>15</v>
      </c>
      <c r="J75" t="s">
        <v>114</v>
      </c>
      <c r="K75" s="2">
        <v>-2.5</v>
      </c>
    </row>
    <row r="76" spans="1:11" x14ac:dyDescent="0.3">
      <c r="A76" t="s">
        <v>48</v>
      </c>
      <c r="B76" t="s">
        <v>49</v>
      </c>
      <c r="C76">
        <v>20436896</v>
      </c>
      <c r="D76" t="s">
        <v>54</v>
      </c>
      <c r="E76" t="s">
        <v>51</v>
      </c>
      <c r="F76">
        <v>3273045</v>
      </c>
      <c r="G76" s="1">
        <v>44927</v>
      </c>
      <c r="H76" s="1">
        <v>45758</v>
      </c>
      <c r="I76" t="s">
        <v>15</v>
      </c>
      <c r="J76" t="s">
        <v>114</v>
      </c>
      <c r="K76" s="2">
        <v>-2.5</v>
      </c>
    </row>
    <row r="77" spans="1:11" x14ac:dyDescent="0.3">
      <c r="A77" t="s">
        <v>11</v>
      </c>
      <c r="B77" t="s">
        <v>12</v>
      </c>
      <c r="C77">
        <v>8977234</v>
      </c>
      <c r="D77" t="s">
        <v>56</v>
      </c>
      <c r="E77" t="s">
        <v>57</v>
      </c>
      <c r="F77">
        <v>3811777</v>
      </c>
      <c r="G77" s="1">
        <v>45474</v>
      </c>
      <c r="H77" s="1">
        <v>45758</v>
      </c>
      <c r="I77" t="s">
        <v>15</v>
      </c>
      <c r="J77" t="s">
        <v>114</v>
      </c>
      <c r="K77" s="2">
        <v>-2.5</v>
      </c>
    </row>
    <row r="78" spans="1:11" x14ac:dyDescent="0.3">
      <c r="A78" t="s">
        <v>48</v>
      </c>
      <c r="B78" t="s">
        <v>49</v>
      </c>
      <c r="C78">
        <v>20436896</v>
      </c>
      <c r="D78" t="s">
        <v>59</v>
      </c>
      <c r="E78" t="s">
        <v>60</v>
      </c>
      <c r="F78">
        <v>3825033</v>
      </c>
      <c r="G78" s="1">
        <v>44197</v>
      </c>
      <c r="H78" s="1">
        <v>45758</v>
      </c>
      <c r="I78" t="s">
        <v>15</v>
      </c>
      <c r="J78" t="s">
        <v>114</v>
      </c>
      <c r="K78" s="2">
        <v>-2.5</v>
      </c>
    </row>
    <row r="79" spans="1:11" x14ac:dyDescent="0.3">
      <c r="A79" t="s">
        <v>31</v>
      </c>
      <c r="C79">
        <v>371819</v>
      </c>
      <c r="D79" t="s">
        <v>73</v>
      </c>
      <c r="E79" t="s">
        <v>74</v>
      </c>
      <c r="F79">
        <v>2357786</v>
      </c>
      <c r="G79" s="1">
        <v>45536</v>
      </c>
      <c r="H79" s="1">
        <v>45758</v>
      </c>
      <c r="I79" t="s">
        <v>15</v>
      </c>
      <c r="J79" t="s">
        <v>114</v>
      </c>
      <c r="K79" s="2">
        <v>-2.5</v>
      </c>
    </row>
    <row r="80" spans="1:11" x14ac:dyDescent="0.3">
      <c r="A80" t="s">
        <v>31</v>
      </c>
      <c r="C80">
        <v>371819</v>
      </c>
      <c r="D80" t="s">
        <v>76</v>
      </c>
      <c r="E80" t="s">
        <v>77</v>
      </c>
      <c r="F80">
        <v>2565033</v>
      </c>
      <c r="G80" s="1">
        <v>45505</v>
      </c>
      <c r="H80" s="1">
        <v>45758</v>
      </c>
      <c r="I80" t="s">
        <v>15</v>
      </c>
      <c r="J80" t="s">
        <v>114</v>
      </c>
      <c r="K80" s="2">
        <v>-2.5</v>
      </c>
    </row>
    <row r="81" spans="1:11" x14ac:dyDescent="0.3">
      <c r="A81" t="s">
        <v>31</v>
      </c>
      <c r="C81">
        <v>371819</v>
      </c>
      <c r="D81" t="s">
        <v>78</v>
      </c>
      <c r="E81" t="s">
        <v>74</v>
      </c>
      <c r="F81">
        <v>3001451</v>
      </c>
      <c r="G81" s="1">
        <v>45536</v>
      </c>
      <c r="H81" s="1">
        <v>45758</v>
      </c>
      <c r="I81" t="s">
        <v>15</v>
      </c>
      <c r="J81" t="s">
        <v>114</v>
      </c>
      <c r="K81" s="2">
        <v>-2.5</v>
      </c>
    </row>
    <row r="82" spans="1:11" x14ac:dyDescent="0.3">
      <c r="A82" t="s">
        <v>31</v>
      </c>
      <c r="C82">
        <v>371819</v>
      </c>
      <c r="D82" t="s">
        <v>79</v>
      </c>
      <c r="E82" t="s">
        <v>77</v>
      </c>
      <c r="F82">
        <v>3191310</v>
      </c>
      <c r="G82" s="1">
        <v>45505</v>
      </c>
      <c r="H82" s="1">
        <v>45758</v>
      </c>
      <c r="I82" t="s">
        <v>15</v>
      </c>
      <c r="J82" t="s">
        <v>114</v>
      </c>
      <c r="K82" s="2">
        <v>-2.5</v>
      </c>
    </row>
    <row r="83" spans="1:11" x14ac:dyDescent="0.3">
      <c r="A83" t="s">
        <v>31</v>
      </c>
      <c r="C83">
        <v>371819</v>
      </c>
      <c r="D83" t="s">
        <v>80</v>
      </c>
      <c r="E83" t="s">
        <v>77</v>
      </c>
      <c r="F83">
        <v>3286420</v>
      </c>
      <c r="G83" s="1">
        <v>45505</v>
      </c>
      <c r="H83" s="1">
        <v>45758</v>
      </c>
      <c r="I83" t="s">
        <v>15</v>
      </c>
      <c r="J83" t="s">
        <v>114</v>
      </c>
      <c r="K83" s="2">
        <v>-2.5</v>
      </c>
    </row>
    <row r="84" spans="1:11" x14ac:dyDescent="0.3">
      <c r="A84" t="s">
        <v>11</v>
      </c>
      <c r="B84" t="s">
        <v>12</v>
      </c>
      <c r="C84">
        <v>8977234</v>
      </c>
      <c r="D84" t="s">
        <v>23</v>
      </c>
      <c r="E84" t="s">
        <v>24</v>
      </c>
      <c r="F84">
        <v>65693</v>
      </c>
      <c r="G84" s="1">
        <v>45292</v>
      </c>
      <c r="H84" s="1">
        <v>45758</v>
      </c>
      <c r="I84" t="s">
        <v>15</v>
      </c>
      <c r="J84" t="s">
        <v>114</v>
      </c>
      <c r="K84" s="2">
        <v>-2.5</v>
      </c>
    </row>
    <row r="85" spans="1:11" x14ac:dyDescent="0.3">
      <c r="A85" t="s">
        <v>11</v>
      </c>
      <c r="B85" t="s">
        <v>12</v>
      </c>
      <c r="C85">
        <v>8977234</v>
      </c>
      <c r="D85" t="s">
        <v>26</v>
      </c>
      <c r="E85" t="s">
        <v>27</v>
      </c>
      <c r="F85">
        <v>2894856</v>
      </c>
      <c r="G85" s="1">
        <v>45292</v>
      </c>
      <c r="H85" s="1">
        <v>45758</v>
      </c>
      <c r="I85" t="s">
        <v>15</v>
      </c>
      <c r="J85" t="s">
        <v>114</v>
      </c>
      <c r="K85" s="2">
        <v>-2.5</v>
      </c>
    </row>
    <row r="86" spans="1:11" x14ac:dyDescent="0.3">
      <c r="A86" t="s">
        <v>31</v>
      </c>
      <c r="C86">
        <v>371819</v>
      </c>
      <c r="D86" t="s">
        <v>46</v>
      </c>
      <c r="E86" t="s">
        <v>47</v>
      </c>
      <c r="F86">
        <v>3412458</v>
      </c>
      <c r="G86" s="1">
        <v>45292</v>
      </c>
      <c r="H86" s="1">
        <v>45758</v>
      </c>
      <c r="I86" t="s">
        <v>15</v>
      </c>
      <c r="J86" t="s">
        <v>114</v>
      </c>
      <c r="K86" s="2">
        <v>-2.5</v>
      </c>
    </row>
    <row r="87" spans="1:11" x14ac:dyDescent="0.3">
      <c r="A87" t="s">
        <v>11</v>
      </c>
      <c r="B87" t="s">
        <v>12</v>
      </c>
      <c r="C87">
        <v>8977234</v>
      </c>
      <c r="D87" t="s">
        <v>28</v>
      </c>
      <c r="E87" t="s">
        <v>27</v>
      </c>
      <c r="F87">
        <v>3814368</v>
      </c>
      <c r="G87" s="1">
        <v>45292</v>
      </c>
      <c r="H87" s="1">
        <v>45758</v>
      </c>
      <c r="I87" t="s">
        <v>15</v>
      </c>
      <c r="J87" t="s">
        <v>114</v>
      </c>
      <c r="K87" s="2">
        <v>-2.5</v>
      </c>
    </row>
    <row r="88" spans="1:11" x14ac:dyDescent="0.3">
      <c r="A88" t="s">
        <v>31</v>
      </c>
      <c r="C88">
        <v>371819</v>
      </c>
      <c r="D88" t="s">
        <v>32</v>
      </c>
      <c r="E88" t="s">
        <v>33</v>
      </c>
      <c r="F88">
        <v>3975220</v>
      </c>
      <c r="G88" s="1">
        <v>45597</v>
      </c>
      <c r="H88" s="1">
        <v>45758</v>
      </c>
      <c r="I88" t="s">
        <v>15</v>
      </c>
      <c r="J88" t="s">
        <v>114</v>
      </c>
      <c r="K88" s="2">
        <v>-2.5</v>
      </c>
    </row>
    <row r="89" spans="1:11" x14ac:dyDescent="0.3">
      <c r="A89" t="s">
        <v>11</v>
      </c>
      <c r="B89" t="s">
        <v>12</v>
      </c>
      <c r="C89">
        <v>8977234</v>
      </c>
      <c r="D89" t="s">
        <v>70</v>
      </c>
      <c r="E89" t="s">
        <v>97</v>
      </c>
      <c r="F89">
        <v>12033259</v>
      </c>
      <c r="G89" s="1">
        <v>44835</v>
      </c>
      <c r="H89" s="1">
        <v>45758</v>
      </c>
      <c r="I89" t="s">
        <v>15</v>
      </c>
      <c r="J89" t="s">
        <v>114</v>
      </c>
      <c r="K89" s="2">
        <v>-2.5</v>
      </c>
    </row>
    <row r="90" spans="1:11" x14ac:dyDescent="0.3">
      <c r="A90" t="s">
        <v>98</v>
      </c>
      <c r="B90" t="s">
        <v>99</v>
      </c>
      <c r="C90">
        <v>9079571</v>
      </c>
      <c r="D90" t="s">
        <v>100</v>
      </c>
      <c r="E90" t="s">
        <v>101</v>
      </c>
      <c r="F90">
        <v>13047512</v>
      </c>
      <c r="G90" s="1">
        <v>44927</v>
      </c>
      <c r="H90" s="1">
        <v>45758</v>
      </c>
      <c r="I90" t="s">
        <v>15</v>
      </c>
      <c r="J90" t="s">
        <v>114</v>
      </c>
      <c r="K90" s="2">
        <v>-2.5</v>
      </c>
    </row>
    <row r="91" spans="1:11" x14ac:dyDescent="0.3">
      <c r="A91" t="s">
        <v>98</v>
      </c>
      <c r="B91" t="s">
        <v>99</v>
      </c>
      <c r="C91">
        <v>9079571</v>
      </c>
      <c r="D91" t="s">
        <v>88</v>
      </c>
      <c r="E91" t="s">
        <v>102</v>
      </c>
      <c r="F91">
        <v>13514902</v>
      </c>
      <c r="G91" s="1">
        <v>44927</v>
      </c>
      <c r="H91" s="1">
        <v>45758</v>
      </c>
      <c r="I91" t="s">
        <v>15</v>
      </c>
      <c r="J91" t="s">
        <v>114</v>
      </c>
      <c r="K91" s="2">
        <v>-2.5</v>
      </c>
    </row>
    <row r="92" spans="1:11" x14ac:dyDescent="0.3">
      <c r="A92" t="s">
        <v>11</v>
      </c>
      <c r="B92" t="s">
        <v>12</v>
      </c>
      <c r="C92">
        <v>8977234</v>
      </c>
      <c r="D92" t="s">
        <v>13</v>
      </c>
      <c r="E92" t="s">
        <v>14</v>
      </c>
      <c r="F92">
        <v>2457940</v>
      </c>
      <c r="G92" s="1">
        <v>45292</v>
      </c>
      <c r="H92" s="1">
        <v>45758</v>
      </c>
      <c r="I92" t="s">
        <v>15</v>
      </c>
      <c r="J92" t="s">
        <v>114</v>
      </c>
      <c r="K92" s="2">
        <v>-2.5</v>
      </c>
    </row>
    <row r="93" spans="1:11" x14ac:dyDescent="0.3">
      <c r="A93" t="s">
        <v>11</v>
      </c>
      <c r="B93" t="s">
        <v>12</v>
      </c>
      <c r="C93">
        <v>8977234</v>
      </c>
      <c r="D93" t="s">
        <v>19</v>
      </c>
      <c r="E93" t="s">
        <v>14</v>
      </c>
      <c r="F93">
        <v>2943631</v>
      </c>
      <c r="G93" s="1">
        <v>45292</v>
      </c>
      <c r="H93" s="1">
        <v>45758</v>
      </c>
      <c r="I93" t="s">
        <v>15</v>
      </c>
      <c r="J93" t="s">
        <v>114</v>
      </c>
      <c r="K93" s="2">
        <v>-2.5</v>
      </c>
    </row>
    <row r="94" spans="1:11" x14ac:dyDescent="0.3">
      <c r="A94" t="s">
        <v>11</v>
      </c>
      <c r="B94" t="s">
        <v>12</v>
      </c>
      <c r="C94">
        <v>8977234</v>
      </c>
      <c r="D94" t="s">
        <v>20</v>
      </c>
      <c r="E94" t="s">
        <v>21</v>
      </c>
      <c r="F94">
        <v>3053615</v>
      </c>
      <c r="G94" s="1">
        <v>45292</v>
      </c>
      <c r="H94" s="1">
        <v>45758</v>
      </c>
      <c r="I94" t="s">
        <v>15</v>
      </c>
      <c r="J94" t="s">
        <v>114</v>
      </c>
      <c r="K94" s="2">
        <v>-2.5</v>
      </c>
    </row>
    <row r="95" spans="1:11" x14ac:dyDescent="0.3">
      <c r="A95" t="s">
        <v>36</v>
      </c>
      <c r="C95">
        <v>19396223</v>
      </c>
      <c r="D95" t="s">
        <v>37</v>
      </c>
      <c r="E95" t="s">
        <v>38</v>
      </c>
      <c r="F95" t="s">
        <v>112</v>
      </c>
      <c r="G95" s="1">
        <v>45566</v>
      </c>
      <c r="H95" s="1">
        <v>45758</v>
      </c>
      <c r="I95" t="s">
        <v>15</v>
      </c>
      <c r="J95" t="s">
        <v>114</v>
      </c>
      <c r="K95" s="2">
        <v>-2.5</v>
      </c>
    </row>
    <row r="96" spans="1:11" x14ac:dyDescent="0.3">
      <c r="A96" t="s">
        <v>11</v>
      </c>
      <c r="B96" t="s">
        <v>12</v>
      </c>
      <c r="C96">
        <v>8977234</v>
      </c>
      <c r="D96" t="s">
        <v>23</v>
      </c>
      <c r="E96" t="s">
        <v>24</v>
      </c>
      <c r="F96" t="s">
        <v>115</v>
      </c>
      <c r="G96" s="1">
        <v>45292</v>
      </c>
      <c r="H96" s="1">
        <v>45758</v>
      </c>
      <c r="I96" t="s">
        <v>15</v>
      </c>
      <c r="J96" t="s">
        <v>116</v>
      </c>
      <c r="K96" s="2">
        <v>20</v>
      </c>
    </row>
    <row r="97" spans="1:11" x14ac:dyDescent="0.3">
      <c r="A97" t="s">
        <v>11</v>
      </c>
      <c r="B97" t="s">
        <v>12</v>
      </c>
      <c r="C97">
        <v>8977234</v>
      </c>
      <c r="D97" t="s">
        <v>26</v>
      </c>
      <c r="E97" t="s">
        <v>27</v>
      </c>
      <c r="F97" t="s">
        <v>117</v>
      </c>
      <c r="G97" s="1">
        <v>45292</v>
      </c>
      <c r="H97" s="1">
        <v>45758</v>
      </c>
      <c r="I97" t="s">
        <v>15</v>
      </c>
      <c r="J97" t="s">
        <v>116</v>
      </c>
      <c r="K97" s="2">
        <v>20</v>
      </c>
    </row>
    <row r="98" spans="1:11" x14ac:dyDescent="0.3">
      <c r="A98" t="s">
        <v>11</v>
      </c>
      <c r="B98" t="s">
        <v>12</v>
      </c>
      <c r="C98">
        <v>8977234</v>
      </c>
      <c r="D98" t="s">
        <v>28</v>
      </c>
      <c r="E98" t="s">
        <v>27</v>
      </c>
      <c r="F98" t="s">
        <v>118</v>
      </c>
      <c r="G98" s="1">
        <v>45292</v>
      </c>
      <c r="H98" s="1">
        <v>45758</v>
      </c>
      <c r="I98" t="s">
        <v>15</v>
      </c>
      <c r="J98" t="s">
        <v>116</v>
      </c>
      <c r="K98" s="2">
        <v>20</v>
      </c>
    </row>
    <row r="99" spans="1:11" x14ac:dyDescent="0.3">
      <c r="A99" t="s">
        <v>11</v>
      </c>
      <c r="B99" t="s">
        <v>12</v>
      </c>
      <c r="C99">
        <v>8977234</v>
      </c>
      <c r="D99" t="s">
        <v>29</v>
      </c>
      <c r="E99" t="s">
        <v>30</v>
      </c>
      <c r="F99" t="s">
        <v>119</v>
      </c>
      <c r="G99" s="1">
        <v>45658</v>
      </c>
      <c r="H99" s="1">
        <v>45758</v>
      </c>
      <c r="I99" t="s">
        <v>15</v>
      </c>
      <c r="J99" t="s">
        <v>116</v>
      </c>
      <c r="K99" s="2">
        <v>20</v>
      </c>
    </row>
    <row r="100" spans="1:11" x14ac:dyDescent="0.3">
      <c r="A100" t="s">
        <v>31</v>
      </c>
      <c r="C100">
        <v>371819</v>
      </c>
      <c r="D100" t="s">
        <v>32</v>
      </c>
      <c r="E100" t="s">
        <v>33</v>
      </c>
      <c r="F100" t="s">
        <v>120</v>
      </c>
      <c r="G100" s="1">
        <v>45597</v>
      </c>
      <c r="H100" s="1">
        <v>45758</v>
      </c>
      <c r="I100" t="s">
        <v>15</v>
      </c>
      <c r="J100" t="s">
        <v>116</v>
      </c>
      <c r="K100" s="2">
        <v>20</v>
      </c>
    </row>
    <row r="101" spans="1:11" x14ac:dyDescent="0.3">
      <c r="A101" t="s">
        <v>11</v>
      </c>
      <c r="B101" t="s">
        <v>12</v>
      </c>
      <c r="C101">
        <v>8977234</v>
      </c>
      <c r="D101" t="s">
        <v>34</v>
      </c>
      <c r="E101" t="s">
        <v>35</v>
      </c>
      <c r="F101" t="s">
        <v>121</v>
      </c>
      <c r="G101" s="1">
        <v>45658</v>
      </c>
      <c r="H101" s="1">
        <v>45758</v>
      </c>
      <c r="I101" t="s">
        <v>15</v>
      </c>
      <c r="J101" t="s">
        <v>116</v>
      </c>
      <c r="K101" s="2">
        <v>20</v>
      </c>
    </row>
    <row r="102" spans="1:11" x14ac:dyDescent="0.3">
      <c r="A102" t="s">
        <v>36</v>
      </c>
      <c r="C102">
        <v>19396223</v>
      </c>
      <c r="D102" t="s">
        <v>37</v>
      </c>
      <c r="E102" t="s">
        <v>38</v>
      </c>
      <c r="F102" t="s">
        <v>112</v>
      </c>
      <c r="G102" s="1">
        <v>45566</v>
      </c>
      <c r="H102" s="1">
        <v>45758</v>
      </c>
      <c r="I102" t="s">
        <v>15</v>
      </c>
      <c r="J102" t="s">
        <v>122</v>
      </c>
      <c r="K102" s="2">
        <v>-20</v>
      </c>
    </row>
    <row r="103" spans="1:11" x14ac:dyDescent="0.3">
      <c r="A103" t="s">
        <v>36</v>
      </c>
      <c r="C103">
        <v>19396223</v>
      </c>
      <c r="D103" t="s">
        <v>37</v>
      </c>
      <c r="E103" t="s">
        <v>38</v>
      </c>
      <c r="F103" t="s">
        <v>112</v>
      </c>
      <c r="G103" s="1">
        <v>45566</v>
      </c>
      <c r="H103" s="1">
        <v>45758</v>
      </c>
      <c r="I103" t="s">
        <v>15</v>
      </c>
      <c r="J103" t="s">
        <v>123</v>
      </c>
      <c r="K103" s="2">
        <v>-20</v>
      </c>
    </row>
    <row r="104" spans="1:11" x14ac:dyDescent="0.3">
      <c r="A104" t="s">
        <v>11</v>
      </c>
      <c r="B104" t="s">
        <v>12</v>
      </c>
      <c r="C104">
        <v>8977234</v>
      </c>
      <c r="D104" t="s">
        <v>23</v>
      </c>
      <c r="E104" t="s">
        <v>24</v>
      </c>
      <c r="F104" t="s">
        <v>115</v>
      </c>
      <c r="G104" s="1">
        <v>45292</v>
      </c>
      <c r="H104" s="1">
        <v>45758</v>
      </c>
      <c r="I104" t="s">
        <v>15</v>
      </c>
      <c r="J104" t="s">
        <v>124</v>
      </c>
      <c r="K104" s="2">
        <v>20</v>
      </c>
    </row>
    <row r="105" spans="1:11" x14ac:dyDescent="0.3">
      <c r="A105" t="s">
        <v>11</v>
      </c>
      <c r="B105" t="s">
        <v>12</v>
      </c>
      <c r="C105">
        <v>8977234</v>
      </c>
      <c r="D105" t="s">
        <v>26</v>
      </c>
      <c r="E105" t="s">
        <v>27</v>
      </c>
      <c r="F105" t="s">
        <v>117</v>
      </c>
      <c r="G105" s="1">
        <v>45292</v>
      </c>
      <c r="H105" s="1">
        <v>45758</v>
      </c>
      <c r="I105" t="s">
        <v>15</v>
      </c>
      <c r="J105" t="s">
        <v>124</v>
      </c>
      <c r="K105" s="2">
        <v>20</v>
      </c>
    </row>
    <row r="106" spans="1:11" x14ac:dyDescent="0.3">
      <c r="A106" t="s">
        <v>11</v>
      </c>
      <c r="B106" t="s">
        <v>12</v>
      </c>
      <c r="C106">
        <v>8977234</v>
      </c>
      <c r="D106" t="s">
        <v>28</v>
      </c>
      <c r="E106" t="s">
        <v>27</v>
      </c>
      <c r="F106" t="s">
        <v>118</v>
      </c>
      <c r="G106" s="1">
        <v>45292</v>
      </c>
      <c r="H106" s="1">
        <v>45758</v>
      </c>
      <c r="I106" t="s">
        <v>15</v>
      </c>
      <c r="J106" t="s">
        <v>124</v>
      </c>
      <c r="K106" s="2">
        <v>20</v>
      </c>
    </row>
    <row r="107" spans="1:11" x14ac:dyDescent="0.3">
      <c r="A107" t="s">
        <v>11</v>
      </c>
      <c r="B107" t="s">
        <v>12</v>
      </c>
      <c r="C107">
        <v>8977234</v>
      </c>
      <c r="D107" t="s">
        <v>29</v>
      </c>
      <c r="E107" t="s">
        <v>30</v>
      </c>
      <c r="F107" t="s">
        <v>119</v>
      </c>
      <c r="G107" s="1">
        <v>45658</v>
      </c>
      <c r="H107" s="1">
        <v>45758</v>
      </c>
      <c r="I107" t="s">
        <v>15</v>
      </c>
      <c r="J107" t="s">
        <v>124</v>
      </c>
      <c r="K107" s="2">
        <v>20</v>
      </c>
    </row>
    <row r="108" spans="1:11" x14ac:dyDescent="0.3">
      <c r="A108" t="s">
        <v>31</v>
      </c>
      <c r="C108">
        <v>371819</v>
      </c>
      <c r="D108" t="s">
        <v>32</v>
      </c>
      <c r="E108" t="s">
        <v>33</v>
      </c>
      <c r="F108" t="s">
        <v>120</v>
      </c>
      <c r="G108" s="1">
        <v>45597</v>
      </c>
      <c r="H108" s="1">
        <v>45758</v>
      </c>
      <c r="I108" t="s">
        <v>15</v>
      </c>
      <c r="J108" t="s">
        <v>124</v>
      </c>
      <c r="K108" s="2">
        <v>20</v>
      </c>
    </row>
    <row r="109" spans="1:11" x14ac:dyDescent="0.3">
      <c r="A109" t="s">
        <v>11</v>
      </c>
      <c r="B109" t="s">
        <v>12</v>
      </c>
      <c r="C109">
        <v>8977234</v>
      </c>
      <c r="D109" t="s">
        <v>34</v>
      </c>
      <c r="E109" t="s">
        <v>35</v>
      </c>
      <c r="F109" t="s">
        <v>121</v>
      </c>
      <c r="G109" s="1">
        <v>45658</v>
      </c>
      <c r="H109" s="1">
        <v>45758</v>
      </c>
      <c r="I109" t="s">
        <v>15</v>
      </c>
      <c r="J109" t="s">
        <v>124</v>
      </c>
      <c r="K109" s="2">
        <v>20</v>
      </c>
    </row>
    <row r="110" spans="1:11" x14ac:dyDescent="0.3">
      <c r="A110" t="s">
        <v>36</v>
      </c>
      <c r="C110">
        <v>19396223</v>
      </c>
      <c r="D110" t="s">
        <v>40</v>
      </c>
      <c r="E110" t="s">
        <v>41</v>
      </c>
      <c r="F110" t="s">
        <v>125</v>
      </c>
      <c r="G110" s="1">
        <v>45566</v>
      </c>
      <c r="H110" s="1">
        <v>45758</v>
      </c>
      <c r="I110" t="s">
        <v>15</v>
      </c>
      <c r="J110" t="s">
        <v>126</v>
      </c>
      <c r="K110" s="2">
        <v>25</v>
      </c>
    </row>
    <row r="111" spans="1:11" x14ac:dyDescent="0.3">
      <c r="A111" t="s">
        <v>82</v>
      </c>
      <c r="C111">
        <v>9213293</v>
      </c>
      <c r="D111" t="s">
        <v>83</v>
      </c>
      <c r="E111" t="s">
        <v>84</v>
      </c>
      <c r="F111" t="s">
        <v>127</v>
      </c>
      <c r="G111" s="1">
        <v>45658</v>
      </c>
      <c r="H111" s="1">
        <v>45758</v>
      </c>
      <c r="I111" t="s">
        <v>15</v>
      </c>
      <c r="J111" t="s">
        <v>126</v>
      </c>
      <c r="K111" s="2">
        <v>25</v>
      </c>
    </row>
    <row r="112" spans="1:11" x14ac:dyDescent="0.3">
      <c r="A112" t="s">
        <v>36</v>
      </c>
      <c r="C112">
        <v>19396223</v>
      </c>
      <c r="D112" t="s">
        <v>85</v>
      </c>
      <c r="E112" t="s">
        <v>86</v>
      </c>
      <c r="F112" t="s">
        <v>128</v>
      </c>
      <c r="G112" s="1">
        <v>45658</v>
      </c>
      <c r="H112" s="1">
        <v>45758</v>
      </c>
      <c r="I112" t="s">
        <v>15</v>
      </c>
      <c r="J112" t="s">
        <v>126</v>
      </c>
      <c r="K112" s="2">
        <v>25</v>
      </c>
    </row>
    <row r="113" spans="1:11" x14ac:dyDescent="0.3">
      <c r="A113" t="s">
        <v>42</v>
      </c>
      <c r="C113">
        <v>18754354</v>
      </c>
      <c r="D113" t="s">
        <v>43</v>
      </c>
      <c r="E113" t="s">
        <v>44</v>
      </c>
      <c r="F113" t="s">
        <v>129</v>
      </c>
      <c r="G113" s="1">
        <v>45597</v>
      </c>
      <c r="H113" s="1">
        <v>45758</v>
      </c>
      <c r="I113" t="s">
        <v>15</v>
      </c>
      <c r="J113" t="s">
        <v>126</v>
      </c>
      <c r="K113" s="2">
        <v>25</v>
      </c>
    </row>
    <row r="114" spans="1:11" x14ac:dyDescent="0.3">
      <c r="A114" t="s">
        <v>87</v>
      </c>
      <c r="C114">
        <v>16683808</v>
      </c>
      <c r="D114" t="s">
        <v>88</v>
      </c>
      <c r="E114" t="s">
        <v>89</v>
      </c>
      <c r="F114" t="s">
        <v>130</v>
      </c>
      <c r="G114" s="1">
        <v>45658</v>
      </c>
      <c r="H114" s="1">
        <v>45758</v>
      </c>
      <c r="I114" t="s">
        <v>15</v>
      </c>
      <c r="J114" t="s">
        <v>126</v>
      </c>
      <c r="K114" s="2">
        <v>25</v>
      </c>
    </row>
    <row r="115" spans="1:11" x14ac:dyDescent="0.3">
      <c r="A115" t="s">
        <v>90</v>
      </c>
      <c r="C115">
        <v>7146581</v>
      </c>
      <c r="D115" t="s">
        <v>91</v>
      </c>
      <c r="E115" t="s">
        <v>92</v>
      </c>
      <c r="F115" t="s">
        <v>131</v>
      </c>
      <c r="G115" s="1">
        <v>45658</v>
      </c>
      <c r="H115" s="1">
        <v>45758</v>
      </c>
      <c r="I115" t="s">
        <v>15</v>
      </c>
      <c r="J115" t="s">
        <v>126</v>
      </c>
      <c r="K115" s="2">
        <v>25</v>
      </c>
    </row>
    <row r="116" spans="1:11" x14ac:dyDescent="0.3">
      <c r="A116" t="s">
        <v>82</v>
      </c>
      <c r="C116">
        <v>9213293</v>
      </c>
      <c r="D116" t="s">
        <v>93</v>
      </c>
      <c r="E116" t="s">
        <v>89</v>
      </c>
      <c r="F116" t="s">
        <v>132</v>
      </c>
      <c r="G116" s="1">
        <v>45658</v>
      </c>
      <c r="H116" s="1">
        <v>45758</v>
      </c>
      <c r="I116" t="s">
        <v>15</v>
      </c>
      <c r="J116" t="s">
        <v>126</v>
      </c>
      <c r="K116" s="2">
        <v>25</v>
      </c>
    </row>
    <row r="117" spans="1:11" x14ac:dyDescent="0.3">
      <c r="A117" t="s">
        <v>31</v>
      </c>
      <c r="C117">
        <v>371819</v>
      </c>
      <c r="D117" t="s">
        <v>94</v>
      </c>
      <c r="E117" t="s">
        <v>95</v>
      </c>
      <c r="F117" t="s">
        <v>133</v>
      </c>
      <c r="G117" s="1">
        <v>45658</v>
      </c>
      <c r="H117" s="1">
        <v>45758</v>
      </c>
      <c r="I117" t="s">
        <v>15</v>
      </c>
      <c r="J117" t="s">
        <v>126</v>
      </c>
      <c r="K117" s="2">
        <v>25</v>
      </c>
    </row>
    <row r="118" spans="1:11" x14ac:dyDescent="0.3">
      <c r="A118" t="s">
        <v>31</v>
      </c>
      <c r="C118">
        <v>371819</v>
      </c>
      <c r="D118" t="s">
        <v>70</v>
      </c>
      <c r="E118" t="s">
        <v>96</v>
      </c>
      <c r="F118" t="s">
        <v>134</v>
      </c>
      <c r="G118" s="1">
        <v>45658</v>
      </c>
      <c r="H118" s="1">
        <v>45758</v>
      </c>
      <c r="I118" t="s">
        <v>15</v>
      </c>
      <c r="J118" t="s">
        <v>126</v>
      </c>
      <c r="K118" s="2">
        <v>25</v>
      </c>
    </row>
    <row r="119" spans="1:11" x14ac:dyDescent="0.3">
      <c r="A119" t="s">
        <v>11</v>
      </c>
      <c r="B119" t="s">
        <v>12</v>
      </c>
      <c r="C119">
        <v>8977234</v>
      </c>
      <c r="D119" t="s">
        <v>70</v>
      </c>
      <c r="E119" t="s">
        <v>97</v>
      </c>
      <c r="F119" t="s">
        <v>135</v>
      </c>
      <c r="G119" s="1">
        <v>44835</v>
      </c>
      <c r="H119" s="1">
        <v>45758</v>
      </c>
      <c r="I119" t="s">
        <v>15</v>
      </c>
      <c r="J119" t="s">
        <v>126</v>
      </c>
      <c r="K119" s="2">
        <v>25</v>
      </c>
    </row>
    <row r="120" spans="1:11" x14ac:dyDescent="0.3">
      <c r="A120" t="s">
        <v>98</v>
      </c>
      <c r="B120" t="s">
        <v>99</v>
      </c>
      <c r="C120">
        <v>9079571</v>
      </c>
      <c r="D120" t="s">
        <v>100</v>
      </c>
      <c r="E120" t="s">
        <v>101</v>
      </c>
      <c r="F120" t="s">
        <v>136</v>
      </c>
      <c r="G120" s="1">
        <v>44927</v>
      </c>
      <c r="H120" s="1">
        <v>45758</v>
      </c>
      <c r="I120" t="s">
        <v>15</v>
      </c>
      <c r="J120" t="s">
        <v>126</v>
      </c>
      <c r="K120" s="2">
        <v>25</v>
      </c>
    </row>
    <row r="121" spans="1:11" x14ac:dyDescent="0.3">
      <c r="A121" t="s">
        <v>98</v>
      </c>
      <c r="B121" t="s">
        <v>99</v>
      </c>
      <c r="C121">
        <v>9079571</v>
      </c>
      <c r="D121" t="s">
        <v>88</v>
      </c>
      <c r="E121" t="s">
        <v>102</v>
      </c>
      <c r="F121" t="s">
        <v>137</v>
      </c>
      <c r="G121" s="1">
        <v>44927</v>
      </c>
      <c r="H121" s="1">
        <v>45758</v>
      </c>
      <c r="I121" t="s">
        <v>15</v>
      </c>
      <c r="J121" t="s">
        <v>126</v>
      </c>
      <c r="K121" s="2">
        <v>25</v>
      </c>
    </row>
    <row r="122" spans="1:11" x14ac:dyDescent="0.3">
      <c r="A122" t="s">
        <v>90</v>
      </c>
      <c r="C122">
        <v>7146581</v>
      </c>
      <c r="D122" t="s">
        <v>91</v>
      </c>
      <c r="E122" t="s">
        <v>92</v>
      </c>
      <c r="F122" t="s">
        <v>131</v>
      </c>
      <c r="G122" s="1">
        <v>45658</v>
      </c>
      <c r="H122" s="1">
        <v>45758</v>
      </c>
      <c r="I122" t="s">
        <v>15</v>
      </c>
      <c r="J122" t="s">
        <v>138</v>
      </c>
      <c r="K122" s="2">
        <v>25</v>
      </c>
    </row>
    <row r="123" spans="1:11" x14ac:dyDescent="0.3">
      <c r="A123" t="s">
        <v>36</v>
      </c>
      <c r="C123">
        <v>19396223</v>
      </c>
      <c r="D123" t="s">
        <v>139</v>
      </c>
      <c r="E123" t="s">
        <v>140</v>
      </c>
      <c r="F123" t="s">
        <v>141</v>
      </c>
      <c r="G123" s="1">
        <v>45717</v>
      </c>
      <c r="H123" s="1">
        <v>45758</v>
      </c>
      <c r="I123" t="s">
        <v>15</v>
      </c>
      <c r="J123" t="s">
        <v>142</v>
      </c>
      <c r="K123" s="2">
        <v>25</v>
      </c>
    </row>
    <row r="124" spans="1:11" x14ac:dyDescent="0.3">
      <c r="A124" t="s">
        <v>143</v>
      </c>
      <c r="C124">
        <v>16633294</v>
      </c>
      <c r="D124" t="s">
        <v>144</v>
      </c>
      <c r="E124" t="s">
        <v>145</v>
      </c>
      <c r="F124" t="s">
        <v>146</v>
      </c>
      <c r="G124" s="1">
        <v>45717</v>
      </c>
      <c r="H124" s="1">
        <v>45758</v>
      </c>
      <c r="I124" t="s">
        <v>15</v>
      </c>
      <c r="J124" t="s">
        <v>142</v>
      </c>
      <c r="K124" s="2">
        <v>25</v>
      </c>
    </row>
    <row r="125" spans="1:11" x14ac:dyDescent="0.3">
      <c r="A125" t="s">
        <v>36</v>
      </c>
      <c r="C125">
        <v>19396223</v>
      </c>
      <c r="D125" t="s">
        <v>40</v>
      </c>
      <c r="E125" t="s">
        <v>41</v>
      </c>
      <c r="F125" t="s">
        <v>125</v>
      </c>
      <c r="G125" s="1">
        <v>45566</v>
      </c>
      <c r="H125" s="1">
        <v>45758</v>
      </c>
      <c r="I125" t="s">
        <v>15</v>
      </c>
      <c r="J125" t="s">
        <v>142</v>
      </c>
      <c r="K125" s="2">
        <v>25</v>
      </c>
    </row>
    <row r="126" spans="1:11" x14ac:dyDescent="0.3">
      <c r="A126" t="s">
        <v>82</v>
      </c>
      <c r="C126">
        <v>9213293</v>
      </c>
      <c r="D126" t="s">
        <v>83</v>
      </c>
      <c r="E126" t="s">
        <v>84</v>
      </c>
      <c r="F126" t="s">
        <v>127</v>
      </c>
      <c r="G126" s="1">
        <v>45658</v>
      </c>
      <c r="H126" s="1">
        <v>45758</v>
      </c>
      <c r="I126" t="s">
        <v>15</v>
      </c>
      <c r="J126" t="s">
        <v>142</v>
      </c>
      <c r="K126" s="2">
        <v>25</v>
      </c>
    </row>
    <row r="127" spans="1:11" x14ac:dyDescent="0.3">
      <c r="A127" t="s">
        <v>143</v>
      </c>
      <c r="C127">
        <v>16633294</v>
      </c>
      <c r="D127" t="s">
        <v>147</v>
      </c>
      <c r="E127" t="s">
        <v>148</v>
      </c>
      <c r="F127" t="s">
        <v>149</v>
      </c>
      <c r="G127" s="1">
        <v>45689</v>
      </c>
      <c r="H127" s="1">
        <v>45758</v>
      </c>
      <c r="I127" t="s">
        <v>15</v>
      </c>
      <c r="J127" t="s">
        <v>142</v>
      </c>
      <c r="K127" s="2">
        <v>25</v>
      </c>
    </row>
    <row r="128" spans="1:11" x14ac:dyDescent="0.3">
      <c r="A128" t="s">
        <v>36</v>
      </c>
      <c r="C128">
        <v>19396223</v>
      </c>
      <c r="D128" t="s">
        <v>85</v>
      </c>
      <c r="E128" t="s">
        <v>86</v>
      </c>
      <c r="F128" t="s">
        <v>128</v>
      </c>
      <c r="G128" s="1">
        <v>45658</v>
      </c>
      <c r="H128" s="1">
        <v>45758</v>
      </c>
      <c r="I128" t="s">
        <v>15</v>
      </c>
      <c r="J128" t="s">
        <v>142</v>
      </c>
      <c r="K128" s="2">
        <v>25</v>
      </c>
    </row>
    <row r="129" spans="1:11" x14ac:dyDescent="0.3">
      <c r="A129" t="s">
        <v>87</v>
      </c>
      <c r="C129">
        <v>16683808</v>
      </c>
      <c r="D129" t="s">
        <v>88</v>
      </c>
      <c r="E129" t="s">
        <v>89</v>
      </c>
      <c r="F129" t="s">
        <v>130</v>
      </c>
      <c r="G129" s="1">
        <v>45658</v>
      </c>
      <c r="H129" s="1">
        <v>45758</v>
      </c>
      <c r="I129" t="s">
        <v>15</v>
      </c>
      <c r="J129" t="s">
        <v>142</v>
      </c>
      <c r="K129" s="2">
        <v>25</v>
      </c>
    </row>
    <row r="130" spans="1:11" x14ac:dyDescent="0.3">
      <c r="A130" t="s">
        <v>90</v>
      </c>
      <c r="C130">
        <v>7146581</v>
      </c>
      <c r="D130" t="s">
        <v>91</v>
      </c>
      <c r="E130" t="s">
        <v>92</v>
      </c>
      <c r="F130" t="s">
        <v>131</v>
      </c>
      <c r="G130" s="1">
        <v>45658</v>
      </c>
      <c r="H130" s="1">
        <v>45758</v>
      </c>
      <c r="I130" t="s">
        <v>15</v>
      </c>
      <c r="J130" t="s">
        <v>142</v>
      </c>
      <c r="K130" s="2">
        <v>25</v>
      </c>
    </row>
    <row r="131" spans="1:11" x14ac:dyDescent="0.3">
      <c r="A131" t="s">
        <v>82</v>
      </c>
      <c r="C131">
        <v>9213293</v>
      </c>
      <c r="D131" t="s">
        <v>93</v>
      </c>
      <c r="E131" t="s">
        <v>89</v>
      </c>
      <c r="F131" t="s">
        <v>132</v>
      </c>
      <c r="G131" s="1">
        <v>45658</v>
      </c>
      <c r="H131" s="1">
        <v>45758</v>
      </c>
      <c r="I131" t="s">
        <v>15</v>
      </c>
      <c r="J131" t="s">
        <v>142</v>
      </c>
      <c r="K131" s="2">
        <v>25</v>
      </c>
    </row>
    <row r="132" spans="1:11" x14ac:dyDescent="0.3">
      <c r="A132" t="s">
        <v>31</v>
      </c>
      <c r="C132">
        <v>371819</v>
      </c>
      <c r="D132" t="s">
        <v>94</v>
      </c>
      <c r="E132" t="s">
        <v>95</v>
      </c>
      <c r="F132" t="s">
        <v>133</v>
      </c>
      <c r="G132" s="1">
        <v>45658</v>
      </c>
      <c r="H132" s="1">
        <v>45758</v>
      </c>
      <c r="I132" t="s">
        <v>15</v>
      </c>
      <c r="J132" t="s">
        <v>142</v>
      </c>
      <c r="K132" s="2">
        <v>25</v>
      </c>
    </row>
    <row r="133" spans="1:11" x14ac:dyDescent="0.3">
      <c r="A133" t="s">
        <v>31</v>
      </c>
      <c r="C133">
        <v>371819</v>
      </c>
      <c r="D133" t="s">
        <v>70</v>
      </c>
      <c r="E133" t="s">
        <v>96</v>
      </c>
      <c r="F133" t="s">
        <v>134</v>
      </c>
      <c r="G133" s="1">
        <v>45658</v>
      </c>
      <c r="H133" s="1">
        <v>45758</v>
      </c>
      <c r="I133" t="s">
        <v>15</v>
      </c>
      <c r="J133" t="s">
        <v>142</v>
      </c>
      <c r="K133" s="2">
        <v>25</v>
      </c>
    </row>
    <row r="134" spans="1:11" x14ac:dyDescent="0.3">
      <c r="A134" t="s">
        <v>11</v>
      </c>
      <c r="B134" t="s">
        <v>12</v>
      </c>
      <c r="C134">
        <v>8977234</v>
      </c>
      <c r="D134" t="s">
        <v>70</v>
      </c>
      <c r="E134" t="s">
        <v>97</v>
      </c>
      <c r="F134" t="s">
        <v>135</v>
      </c>
      <c r="G134" s="1">
        <v>44835</v>
      </c>
      <c r="H134" s="1">
        <v>45758</v>
      </c>
      <c r="I134" t="s">
        <v>15</v>
      </c>
      <c r="J134" t="s">
        <v>142</v>
      </c>
      <c r="K134" s="2">
        <v>25</v>
      </c>
    </row>
    <row r="135" spans="1:11" x14ac:dyDescent="0.3">
      <c r="A135" t="s">
        <v>98</v>
      </c>
      <c r="B135" t="s">
        <v>99</v>
      </c>
      <c r="C135">
        <v>9079571</v>
      </c>
      <c r="D135" t="s">
        <v>100</v>
      </c>
      <c r="E135" t="s">
        <v>101</v>
      </c>
      <c r="F135" t="s">
        <v>136</v>
      </c>
      <c r="G135" s="1">
        <v>44927</v>
      </c>
      <c r="H135" s="1">
        <v>45758</v>
      </c>
      <c r="I135" t="s">
        <v>15</v>
      </c>
      <c r="J135" t="s">
        <v>142</v>
      </c>
      <c r="K135" s="2">
        <v>25</v>
      </c>
    </row>
    <row r="136" spans="1:11" x14ac:dyDescent="0.3">
      <c r="A136" t="s">
        <v>98</v>
      </c>
      <c r="B136" t="s">
        <v>99</v>
      </c>
      <c r="C136">
        <v>9079571</v>
      </c>
      <c r="D136" t="s">
        <v>88</v>
      </c>
      <c r="E136" t="s">
        <v>102</v>
      </c>
      <c r="F136" t="s">
        <v>137</v>
      </c>
      <c r="G136" s="1">
        <v>44927</v>
      </c>
      <c r="H136" s="1">
        <v>45758</v>
      </c>
      <c r="I136" t="s">
        <v>15</v>
      </c>
      <c r="J136" t="s">
        <v>142</v>
      </c>
      <c r="K136" s="2">
        <v>25</v>
      </c>
    </row>
    <row r="137" spans="1:11" x14ac:dyDescent="0.3">
      <c r="A137" t="s">
        <v>31</v>
      </c>
      <c r="C137">
        <v>371819</v>
      </c>
      <c r="D137" t="s">
        <v>73</v>
      </c>
      <c r="E137" t="s">
        <v>74</v>
      </c>
      <c r="F137" t="s">
        <v>150</v>
      </c>
      <c r="G137" s="1">
        <v>45536</v>
      </c>
      <c r="H137" s="1">
        <v>45758</v>
      </c>
      <c r="I137" t="s">
        <v>15</v>
      </c>
      <c r="J137" t="s">
        <v>151</v>
      </c>
      <c r="K137" s="2">
        <v>22</v>
      </c>
    </row>
    <row r="138" spans="1:11" x14ac:dyDescent="0.3">
      <c r="A138" t="s">
        <v>31</v>
      </c>
      <c r="C138">
        <v>371819</v>
      </c>
      <c r="D138" t="s">
        <v>76</v>
      </c>
      <c r="E138" t="s">
        <v>77</v>
      </c>
      <c r="F138" t="s">
        <v>152</v>
      </c>
      <c r="G138" s="1">
        <v>45505</v>
      </c>
      <c r="H138" s="1">
        <v>45758</v>
      </c>
      <c r="I138" t="s">
        <v>15</v>
      </c>
      <c r="J138" t="s">
        <v>151</v>
      </c>
      <c r="K138" s="2">
        <v>22</v>
      </c>
    </row>
    <row r="139" spans="1:11" x14ac:dyDescent="0.3">
      <c r="A139" t="s">
        <v>31</v>
      </c>
      <c r="C139">
        <v>371819</v>
      </c>
      <c r="D139" t="s">
        <v>107</v>
      </c>
      <c r="E139" t="s">
        <v>108</v>
      </c>
      <c r="F139" t="s">
        <v>153</v>
      </c>
      <c r="G139" s="1">
        <v>45658</v>
      </c>
      <c r="H139" s="1">
        <v>45758</v>
      </c>
      <c r="I139" t="s">
        <v>15</v>
      </c>
      <c r="J139" t="s">
        <v>151</v>
      </c>
      <c r="K139" s="2">
        <v>22</v>
      </c>
    </row>
    <row r="140" spans="1:11" x14ac:dyDescent="0.3">
      <c r="A140" t="s">
        <v>31</v>
      </c>
      <c r="C140">
        <v>371819</v>
      </c>
      <c r="D140" t="s">
        <v>78</v>
      </c>
      <c r="E140" t="s">
        <v>74</v>
      </c>
      <c r="F140" t="s">
        <v>154</v>
      </c>
      <c r="G140" s="1">
        <v>45536</v>
      </c>
      <c r="H140" s="1">
        <v>45758</v>
      </c>
      <c r="I140" t="s">
        <v>15</v>
      </c>
      <c r="J140" t="s">
        <v>151</v>
      </c>
      <c r="K140" s="2">
        <v>22</v>
      </c>
    </row>
    <row r="141" spans="1:11" x14ac:dyDescent="0.3">
      <c r="A141" t="s">
        <v>62</v>
      </c>
      <c r="C141">
        <v>8307933</v>
      </c>
      <c r="D141" t="s">
        <v>109</v>
      </c>
      <c r="E141" t="s">
        <v>110</v>
      </c>
      <c r="F141" t="s">
        <v>155</v>
      </c>
      <c r="G141" s="1">
        <v>45658</v>
      </c>
      <c r="H141" s="1">
        <v>45758</v>
      </c>
      <c r="I141" t="s">
        <v>15</v>
      </c>
      <c r="J141" t="s">
        <v>151</v>
      </c>
      <c r="K141" s="2">
        <v>22</v>
      </c>
    </row>
    <row r="142" spans="1:11" x14ac:dyDescent="0.3">
      <c r="A142" t="s">
        <v>31</v>
      </c>
      <c r="C142">
        <v>371819</v>
      </c>
      <c r="D142" t="s">
        <v>79</v>
      </c>
      <c r="E142" t="s">
        <v>77</v>
      </c>
      <c r="F142" t="s">
        <v>156</v>
      </c>
      <c r="G142" s="1">
        <v>45505</v>
      </c>
      <c r="H142" s="1">
        <v>45758</v>
      </c>
      <c r="I142" t="s">
        <v>15</v>
      </c>
      <c r="J142" t="s">
        <v>151</v>
      </c>
      <c r="K142" s="2">
        <v>22</v>
      </c>
    </row>
    <row r="143" spans="1:11" x14ac:dyDescent="0.3">
      <c r="A143" t="s">
        <v>31</v>
      </c>
      <c r="C143">
        <v>371819</v>
      </c>
      <c r="D143" t="s">
        <v>80</v>
      </c>
      <c r="E143" t="s">
        <v>77</v>
      </c>
      <c r="F143" t="s">
        <v>157</v>
      </c>
      <c r="G143" s="1">
        <v>45505</v>
      </c>
      <c r="H143" s="1">
        <v>45758</v>
      </c>
      <c r="I143" t="s">
        <v>15</v>
      </c>
      <c r="J143" t="s">
        <v>151</v>
      </c>
      <c r="K143" s="2">
        <v>22</v>
      </c>
    </row>
    <row r="144" spans="1:11" x14ac:dyDescent="0.3">
      <c r="A144" t="s">
        <v>31</v>
      </c>
      <c r="C144">
        <v>371819</v>
      </c>
      <c r="D144" t="s">
        <v>73</v>
      </c>
      <c r="E144" t="s">
        <v>74</v>
      </c>
      <c r="F144" t="s">
        <v>150</v>
      </c>
      <c r="G144" s="1">
        <v>45536</v>
      </c>
      <c r="H144" s="1">
        <v>45758</v>
      </c>
      <c r="I144" t="s">
        <v>15</v>
      </c>
      <c r="J144" t="s">
        <v>158</v>
      </c>
      <c r="K144" s="2">
        <v>22</v>
      </c>
    </row>
    <row r="145" spans="1:11" x14ac:dyDescent="0.3">
      <c r="A145" t="s">
        <v>31</v>
      </c>
      <c r="C145">
        <v>371819</v>
      </c>
      <c r="D145" t="s">
        <v>107</v>
      </c>
      <c r="E145" t="s">
        <v>108</v>
      </c>
      <c r="F145" t="s">
        <v>153</v>
      </c>
      <c r="G145" s="1">
        <v>45658</v>
      </c>
      <c r="H145" s="1">
        <v>45758</v>
      </c>
      <c r="I145" t="s">
        <v>15</v>
      </c>
      <c r="J145" t="s">
        <v>158</v>
      </c>
      <c r="K145" s="2">
        <v>22</v>
      </c>
    </row>
    <row r="146" spans="1:11" x14ac:dyDescent="0.3">
      <c r="A146" t="s">
        <v>31</v>
      </c>
      <c r="C146">
        <v>371819</v>
      </c>
      <c r="D146" t="s">
        <v>78</v>
      </c>
      <c r="E146" t="s">
        <v>74</v>
      </c>
      <c r="F146" t="s">
        <v>154</v>
      </c>
      <c r="G146" s="1">
        <v>45536</v>
      </c>
      <c r="H146" s="1">
        <v>45758</v>
      </c>
      <c r="I146" t="s">
        <v>15</v>
      </c>
      <c r="J146" t="s">
        <v>158</v>
      </c>
      <c r="K146" s="2">
        <v>22</v>
      </c>
    </row>
    <row r="147" spans="1:11" x14ac:dyDescent="0.3">
      <c r="A147" t="s">
        <v>62</v>
      </c>
      <c r="C147">
        <v>8307933</v>
      </c>
      <c r="D147" t="s">
        <v>109</v>
      </c>
      <c r="E147" t="s">
        <v>110</v>
      </c>
      <c r="F147" t="s">
        <v>155</v>
      </c>
      <c r="G147" s="1">
        <v>45658</v>
      </c>
      <c r="H147" s="1">
        <v>45758</v>
      </c>
      <c r="I147" t="s">
        <v>15</v>
      </c>
      <c r="J147" t="s">
        <v>158</v>
      </c>
      <c r="K147" s="2">
        <v>22</v>
      </c>
    </row>
    <row r="148" spans="1:11" x14ac:dyDescent="0.3">
      <c r="A148" t="s">
        <v>98</v>
      </c>
      <c r="B148" t="s">
        <v>99</v>
      </c>
      <c r="C148">
        <v>9079571</v>
      </c>
      <c r="D148" t="s">
        <v>103</v>
      </c>
      <c r="E148" t="s">
        <v>104</v>
      </c>
      <c r="F148" t="s">
        <v>159</v>
      </c>
      <c r="G148" s="1">
        <v>44927</v>
      </c>
      <c r="H148" s="1">
        <v>45758</v>
      </c>
      <c r="I148" t="s">
        <v>15</v>
      </c>
      <c r="J148" t="s">
        <v>160</v>
      </c>
      <c r="K148" s="2">
        <v>27</v>
      </c>
    </row>
    <row r="149" spans="1:11" x14ac:dyDescent="0.3">
      <c r="A149" t="s">
        <v>11</v>
      </c>
      <c r="B149" t="s">
        <v>12</v>
      </c>
      <c r="C149">
        <v>8977234</v>
      </c>
      <c r="D149" t="s">
        <v>161</v>
      </c>
      <c r="E149" t="s">
        <v>162</v>
      </c>
      <c r="F149" t="s">
        <v>163</v>
      </c>
      <c r="G149" s="1">
        <v>44986</v>
      </c>
      <c r="H149" s="1">
        <v>45758</v>
      </c>
      <c r="I149" t="s">
        <v>15</v>
      </c>
      <c r="J149" t="s">
        <v>160</v>
      </c>
      <c r="K149" s="2">
        <v>27</v>
      </c>
    </row>
    <row r="150" spans="1:11" x14ac:dyDescent="0.3">
      <c r="A150" t="s">
        <v>87</v>
      </c>
      <c r="C150">
        <v>16683808</v>
      </c>
      <c r="D150" t="s">
        <v>164</v>
      </c>
      <c r="E150" t="s">
        <v>165</v>
      </c>
      <c r="F150" t="s">
        <v>166</v>
      </c>
      <c r="G150" s="1">
        <v>45658</v>
      </c>
      <c r="H150" s="1">
        <v>45758</v>
      </c>
      <c r="I150" t="s">
        <v>15</v>
      </c>
      <c r="J150" t="s">
        <v>160</v>
      </c>
      <c r="K150" s="2">
        <v>27</v>
      </c>
    </row>
    <row r="151" spans="1:11" x14ac:dyDescent="0.3">
      <c r="A151" t="s">
        <v>11</v>
      </c>
      <c r="B151" t="s">
        <v>12</v>
      </c>
      <c r="C151">
        <v>8977234</v>
      </c>
      <c r="D151" t="s">
        <v>167</v>
      </c>
      <c r="E151" t="s">
        <v>168</v>
      </c>
      <c r="F151" t="s">
        <v>169</v>
      </c>
      <c r="G151" s="1">
        <v>45658</v>
      </c>
      <c r="H151" s="1">
        <v>45758</v>
      </c>
      <c r="I151" t="s">
        <v>15</v>
      </c>
      <c r="J151" t="s">
        <v>160</v>
      </c>
      <c r="K151" s="2">
        <v>27</v>
      </c>
    </row>
    <row r="152" spans="1:11" x14ac:dyDescent="0.3">
      <c r="A152" t="s">
        <v>11</v>
      </c>
      <c r="B152" t="s">
        <v>12</v>
      </c>
      <c r="C152">
        <v>8977234</v>
      </c>
      <c r="D152" t="s">
        <v>170</v>
      </c>
      <c r="E152" t="s">
        <v>171</v>
      </c>
      <c r="F152" t="s">
        <v>172</v>
      </c>
      <c r="G152" s="1">
        <v>45658</v>
      </c>
      <c r="H152" s="1">
        <v>45758</v>
      </c>
      <c r="I152" t="s">
        <v>15</v>
      </c>
      <c r="J152" t="s">
        <v>160</v>
      </c>
      <c r="K152" s="2">
        <v>27</v>
      </c>
    </row>
    <row r="153" spans="1:11" x14ac:dyDescent="0.3">
      <c r="A153" t="s">
        <v>143</v>
      </c>
      <c r="C153">
        <v>16633294</v>
      </c>
      <c r="D153" t="s">
        <v>173</v>
      </c>
      <c r="E153" t="s">
        <v>174</v>
      </c>
      <c r="F153" t="s">
        <v>175</v>
      </c>
      <c r="G153" s="1">
        <v>45658</v>
      </c>
      <c r="H153" s="1">
        <v>45758</v>
      </c>
      <c r="I153" t="s">
        <v>15</v>
      </c>
      <c r="J153" t="s">
        <v>160</v>
      </c>
      <c r="K153" s="2">
        <v>27</v>
      </c>
    </row>
    <row r="154" spans="1:11" x14ac:dyDescent="0.3">
      <c r="A154" t="s">
        <v>98</v>
      </c>
      <c r="B154" t="s">
        <v>99</v>
      </c>
      <c r="C154">
        <v>9079571</v>
      </c>
      <c r="D154" t="s">
        <v>103</v>
      </c>
      <c r="E154" t="s">
        <v>104</v>
      </c>
      <c r="F154">
        <v>16455763</v>
      </c>
      <c r="G154" s="1">
        <v>44927</v>
      </c>
      <c r="H154" s="1">
        <v>45758</v>
      </c>
      <c r="I154" t="s">
        <v>15</v>
      </c>
      <c r="J154" t="s">
        <v>176</v>
      </c>
      <c r="K154" s="2">
        <v>-27</v>
      </c>
    </row>
    <row r="155" spans="1:11" x14ac:dyDescent="0.3">
      <c r="A155" t="s">
        <v>11</v>
      </c>
      <c r="B155" t="s">
        <v>12</v>
      </c>
      <c r="C155">
        <v>8977234</v>
      </c>
      <c r="D155" t="s">
        <v>161</v>
      </c>
      <c r="E155" t="s">
        <v>162</v>
      </c>
      <c r="F155">
        <v>16532146</v>
      </c>
      <c r="G155" s="1">
        <v>44986</v>
      </c>
      <c r="H155" s="1">
        <v>45758</v>
      </c>
      <c r="I155" t="s">
        <v>15</v>
      </c>
      <c r="J155" t="s">
        <v>176</v>
      </c>
      <c r="K155" s="2">
        <v>-27</v>
      </c>
    </row>
    <row r="156" spans="1:11" x14ac:dyDescent="0.3">
      <c r="A156" t="s">
        <v>87</v>
      </c>
      <c r="C156">
        <v>16683808</v>
      </c>
      <c r="D156" t="s">
        <v>164</v>
      </c>
      <c r="E156" t="s">
        <v>165</v>
      </c>
      <c r="F156">
        <v>20265408</v>
      </c>
      <c r="G156" s="1">
        <v>45658</v>
      </c>
      <c r="H156" s="1">
        <v>45758</v>
      </c>
      <c r="I156" t="s">
        <v>15</v>
      </c>
      <c r="J156" t="s">
        <v>176</v>
      </c>
      <c r="K156" s="2">
        <v>-27</v>
      </c>
    </row>
    <row r="157" spans="1:11" x14ac:dyDescent="0.3">
      <c r="A157" t="s">
        <v>11</v>
      </c>
      <c r="B157" t="s">
        <v>12</v>
      </c>
      <c r="C157">
        <v>8977234</v>
      </c>
      <c r="D157" t="s">
        <v>167</v>
      </c>
      <c r="E157" t="s">
        <v>168</v>
      </c>
      <c r="F157">
        <v>23640428</v>
      </c>
      <c r="G157" s="1">
        <v>45658</v>
      </c>
      <c r="H157" s="1">
        <v>45758</v>
      </c>
      <c r="I157" t="s">
        <v>15</v>
      </c>
      <c r="J157" t="s">
        <v>176</v>
      </c>
      <c r="K157" s="2">
        <v>-27</v>
      </c>
    </row>
    <row r="158" spans="1:11" x14ac:dyDescent="0.3">
      <c r="A158" t="s">
        <v>11</v>
      </c>
      <c r="B158" t="s">
        <v>12</v>
      </c>
      <c r="C158">
        <v>8977234</v>
      </c>
      <c r="D158" t="s">
        <v>170</v>
      </c>
      <c r="E158" t="s">
        <v>171</v>
      </c>
      <c r="F158">
        <v>23774533</v>
      </c>
      <c r="G158" s="1">
        <v>45658</v>
      </c>
      <c r="H158" s="1">
        <v>45758</v>
      </c>
      <c r="I158" t="s">
        <v>15</v>
      </c>
      <c r="J158" t="s">
        <v>176</v>
      </c>
      <c r="K158" s="2">
        <v>-27</v>
      </c>
    </row>
    <row r="159" spans="1:11" x14ac:dyDescent="0.3">
      <c r="A159" t="s">
        <v>143</v>
      </c>
      <c r="C159">
        <v>16633294</v>
      </c>
      <c r="D159" t="s">
        <v>173</v>
      </c>
      <c r="E159" t="s">
        <v>174</v>
      </c>
      <c r="F159">
        <v>23869590</v>
      </c>
      <c r="G159" s="1">
        <v>45658</v>
      </c>
      <c r="H159" s="1">
        <v>45758</v>
      </c>
      <c r="I159" t="s">
        <v>15</v>
      </c>
      <c r="J159" t="s">
        <v>176</v>
      </c>
      <c r="K159" s="2">
        <v>-27</v>
      </c>
    </row>
    <row r="160" spans="1:11" x14ac:dyDescent="0.3">
      <c r="A160" t="s">
        <v>98</v>
      </c>
      <c r="B160" t="s">
        <v>99</v>
      </c>
      <c r="C160">
        <v>9079571</v>
      </c>
      <c r="D160" t="s">
        <v>103</v>
      </c>
      <c r="E160" t="s">
        <v>104</v>
      </c>
      <c r="F160" t="s">
        <v>159</v>
      </c>
      <c r="G160" s="1">
        <v>44927</v>
      </c>
      <c r="H160" s="1">
        <v>45758</v>
      </c>
      <c r="I160" t="s">
        <v>15</v>
      </c>
      <c r="J160" t="s">
        <v>177</v>
      </c>
      <c r="K160" s="2">
        <v>27</v>
      </c>
    </row>
    <row r="161" spans="1:11" x14ac:dyDescent="0.3">
      <c r="A161" t="s">
        <v>11</v>
      </c>
      <c r="B161" t="s">
        <v>12</v>
      </c>
      <c r="C161">
        <v>8977234</v>
      </c>
      <c r="D161" t="s">
        <v>161</v>
      </c>
      <c r="E161" t="s">
        <v>162</v>
      </c>
      <c r="F161" t="s">
        <v>163</v>
      </c>
      <c r="G161" s="1">
        <v>44986</v>
      </c>
      <c r="H161" s="1">
        <v>45758</v>
      </c>
      <c r="I161" t="s">
        <v>15</v>
      </c>
      <c r="J161" t="s">
        <v>177</v>
      </c>
      <c r="K161" s="2">
        <v>27</v>
      </c>
    </row>
    <row r="162" spans="1:11" x14ac:dyDescent="0.3">
      <c r="A162" t="s">
        <v>87</v>
      </c>
      <c r="C162">
        <v>16683808</v>
      </c>
      <c r="D162" t="s">
        <v>164</v>
      </c>
      <c r="E162" t="s">
        <v>165</v>
      </c>
      <c r="F162" t="s">
        <v>166</v>
      </c>
      <c r="G162" s="1">
        <v>45658</v>
      </c>
      <c r="H162" s="1">
        <v>45758</v>
      </c>
      <c r="I162" t="s">
        <v>15</v>
      </c>
      <c r="J162" t="s">
        <v>177</v>
      </c>
      <c r="K162" s="2">
        <v>27</v>
      </c>
    </row>
    <row r="163" spans="1:11" x14ac:dyDescent="0.3">
      <c r="A163" t="s">
        <v>11</v>
      </c>
      <c r="B163" t="s">
        <v>12</v>
      </c>
      <c r="C163">
        <v>8977234</v>
      </c>
      <c r="D163" t="s">
        <v>167</v>
      </c>
      <c r="E163" t="s">
        <v>168</v>
      </c>
      <c r="F163" t="s">
        <v>169</v>
      </c>
      <c r="G163" s="1">
        <v>45658</v>
      </c>
      <c r="H163" s="1">
        <v>45758</v>
      </c>
      <c r="I163" t="s">
        <v>15</v>
      </c>
      <c r="J163" t="s">
        <v>177</v>
      </c>
      <c r="K163" s="2">
        <v>27</v>
      </c>
    </row>
    <row r="164" spans="1:11" x14ac:dyDescent="0.3">
      <c r="A164" t="s">
        <v>11</v>
      </c>
      <c r="B164" t="s">
        <v>12</v>
      </c>
      <c r="C164">
        <v>8977234</v>
      </c>
      <c r="D164" t="s">
        <v>170</v>
      </c>
      <c r="E164" t="s">
        <v>171</v>
      </c>
      <c r="F164" t="s">
        <v>172</v>
      </c>
      <c r="G164" s="1">
        <v>45658</v>
      </c>
      <c r="H164" s="1">
        <v>45758</v>
      </c>
      <c r="I164" t="s">
        <v>15</v>
      </c>
      <c r="J164" t="s">
        <v>177</v>
      </c>
      <c r="K164" s="2">
        <v>27</v>
      </c>
    </row>
    <row r="165" spans="1:11" x14ac:dyDescent="0.3">
      <c r="A165" t="s">
        <v>143</v>
      </c>
      <c r="C165">
        <v>16633294</v>
      </c>
      <c r="D165" t="s">
        <v>173</v>
      </c>
      <c r="E165" t="s">
        <v>174</v>
      </c>
      <c r="F165" t="s">
        <v>175</v>
      </c>
      <c r="G165" s="1">
        <v>45658</v>
      </c>
      <c r="H165" s="1">
        <v>45758</v>
      </c>
      <c r="I165" t="s">
        <v>15</v>
      </c>
      <c r="J165" t="s">
        <v>177</v>
      </c>
      <c r="K165" s="2">
        <v>27</v>
      </c>
    </row>
    <row r="166" spans="1:11" x14ac:dyDescent="0.3">
      <c r="A166" t="s">
        <v>11</v>
      </c>
      <c r="B166" t="s">
        <v>12</v>
      </c>
      <c r="C166">
        <v>8977234</v>
      </c>
      <c r="D166" t="s">
        <v>13</v>
      </c>
      <c r="E166" t="s">
        <v>14</v>
      </c>
      <c r="F166" t="s">
        <v>178</v>
      </c>
      <c r="G166" s="1">
        <v>45292</v>
      </c>
      <c r="H166" s="1">
        <v>45758</v>
      </c>
      <c r="I166" t="s">
        <v>15</v>
      </c>
      <c r="J166" t="s">
        <v>179</v>
      </c>
      <c r="K166" s="2">
        <v>19</v>
      </c>
    </row>
    <row r="167" spans="1:11" x14ac:dyDescent="0.3">
      <c r="A167" t="s">
        <v>11</v>
      </c>
      <c r="B167" t="s">
        <v>12</v>
      </c>
      <c r="C167">
        <v>8977234</v>
      </c>
      <c r="D167" t="s">
        <v>17</v>
      </c>
      <c r="E167" t="s">
        <v>18</v>
      </c>
      <c r="F167" t="s">
        <v>180</v>
      </c>
      <c r="G167" s="1">
        <v>45658</v>
      </c>
      <c r="H167" s="1">
        <v>45758</v>
      </c>
      <c r="I167" t="s">
        <v>15</v>
      </c>
      <c r="J167" t="s">
        <v>179</v>
      </c>
      <c r="K167" s="2">
        <v>19</v>
      </c>
    </row>
    <row r="168" spans="1:11" x14ac:dyDescent="0.3">
      <c r="A168" t="s">
        <v>11</v>
      </c>
      <c r="B168" t="s">
        <v>12</v>
      </c>
      <c r="C168">
        <v>8977234</v>
      </c>
      <c r="D168" t="s">
        <v>19</v>
      </c>
      <c r="E168" t="s">
        <v>14</v>
      </c>
      <c r="F168" t="s">
        <v>181</v>
      </c>
      <c r="G168" s="1">
        <v>45292</v>
      </c>
      <c r="H168" s="1">
        <v>45758</v>
      </c>
      <c r="I168" t="s">
        <v>15</v>
      </c>
      <c r="J168" t="s">
        <v>179</v>
      </c>
      <c r="K168" s="2">
        <v>19</v>
      </c>
    </row>
    <row r="169" spans="1:11" x14ac:dyDescent="0.3">
      <c r="A169" t="s">
        <v>11</v>
      </c>
      <c r="B169" t="s">
        <v>12</v>
      </c>
      <c r="C169">
        <v>8977234</v>
      </c>
      <c r="D169" t="s">
        <v>20</v>
      </c>
      <c r="E169" t="s">
        <v>21</v>
      </c>
      <c r="F169" t="s">
        <v>182</v>
      </c>
      <c r="G169" s="1">
        <v>45292</v>
      </c>
      <c r="H169" s="1">
        <v>45758</v>
      </c>
      <c r="I169" t="s">
        <v>15</v>
      </c>
      <c r="J169" t="s">
        <v>179</v>
      </c>
      <c r="K169" s="2">
        <v>19</v>
      </c>
    </row>
    <row r="170" spans="1:11" x14ac:dyDescent="0.3">
      <c r="A170" t="s">
        <v>11</v>
      </c>
      <c r="B170" t="s">
        <v>12</v>
      </c>
      <c r="C170">
        <v>8977234</v>
      </c>
      <c r="D170" t="s">
        <v>13</v>
      </c>
      <c r="E170" t="s">
        <v>14</v>
      </c>
      <c r="F170" t="s">
        <v>178</v>
      </c>
      <c r="G170" s="1">
        <v>45292</v>
      </c>
      <c r="H170" s="1">
        <v>45758</v>
      </c>
      <c r="I170" t="s">
        <v>15</v>
      </c>
      <c r="J170" t="s">
        <v>183</v>
      </c>
      <c r="K170" s="2">
        <v>19</v>
      </c>
    </row>
    <row r="171" spans="1:11" x14ac:dyDescent="0.3">
      <c r="A171" t="s">
        <v>11</v>
      </c>
      <c r="B171" t="s">
        <v>12</v>
      </c>
      <c r="C171">
        <v>8977234</v>
      </c>
      <c r="D171" t="s">
        <v>17</v>
      </c>
      <c r="E171" t="s">
        <v>18</v>
      </c>
      <c r="F171" t="s">
        <v>180</v>
      </c>
      <c r="G171" s="1">
        <v>45658</v>
      </c>
      <c r="H171" s="1">
        <v>45758</v>
      </c>
      <c r="I171" t="s">
        <v>15</v>
      </c>
      <c r="J171" t="s">
        <v>183</v>
      </c>
      <c r="K171" s="2">
        <v>19</v>
      </c>
    </row>
    <row r="172" spans="1:11" x14ac:dyDescent="0.3">
      <c r="A172" t="s">
        <v>11</v>
      </c>
      <c r="B172" t="s">
        <v>12</v>
      </c>
      <c r="C172">
        <v>8977234</v>
      </c>
      <c r="D172" t="s">
        <v>19</v>
      </c>
      <c r="E172" t="s">
        <v>14</v>
      </c>
      <c r="F172" t="s">
        <v>181</v>
      </c>
      <c r="G172" s="1">
        <v>45292</v>
      </c>
      <c r="H172" s="1">
        <v>45758</v>
      </c>
      <c r="I172" t="s">
        <v>15</v>
      </c>
      <c r="J172" t="s">
        <v>183</v>
      </c>
      <c r="K172" s="2">
        <v>19</v>
      </c>
    </row>
    <row r="173" spans="1:11" x14ac:dyDescent="0.3">
      <c r="A173" t="s">
        <v>11</v>
      </c>
      <c r="B173" t="s">
        <v>12</v>
      </c>
      <c r="C173">
        <v>8977234</v>
      </c>
      <c r="D173" t="s">
        <v>20</v>
      </c>
      <c r="E173" t="s">
        <v>21</v>
      </c>
      <c r="F173" t="s">
        <v>182</v>
      </c>
      <c r="G173" s="1">
        <v>45292</v>
      </c>
      <c r="H173" s="1">
        <v>45758</v>
      </c>
      <c r="I173" t="s">
        <v>15</v>
      </c>
      <c r="J173" t="s">
        <v>183</v>
      </c>
      <c r="K173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8AD7-6724-44AD-8C48-74E368240808}">
  <dimension ref="A1:K173"/>
  <sheetViews>
    <sheetView tabSelected="1" topLeftCell="A91" workbookViewId="0">
      <selection activeCell="I105" sqref="I105"/>
    </sheetView>
  </sheetViews>
  <sheetFormatPr defaultColWidth="9.109375" defaultRowHeight="14.4" x14ac:dyDescent="0.3"/>
  <cols>
    <col min="1" max="1" width="19.88671875" bestFit="1" customWidth="1"/>
    <col min="2" max="2" width="10.6640625" bestFit="1" customWidth="1"/>
    <col min="3" max="3" width="11.44140625" bestFit="1" customWidth="1"/>
    <col min="4" max="4" width="14" bestFit="1" customWidth="1"/>
    <col min="5" max="5" width="15.44140625" bestFit="1" customWidth="1"/>
    <col min="6" max="6" width="14.5546875" style="3" bestFit="1" customWidth="1"/>
    <col min="7" max="7" width="14.5546875" style="3" customWidth="1"/>
    <col min="8" max="8" width="11.88671875" bestFit="1" customWidth="1"/>
    <col min="9" max="9" width="102.33203125" bestFit="1" customWidth="1"/>
    <col min="10" max="10" width="15.6640625" bestFit="1" customWidth="1"/>
  </cols>
  <sheetData>
    <row r="1" spans="1:11" x14ac:dyDescent="0.3">
      <c r="A1" t="s">
        <v>0</v>
      </c>
      <c r="B1" t="s">
        <v>2</v>
      </c>
      <c r="C1" t="s">
        <v>3</v>
      </c>
      <c r="D1" t="s">
        <v>4</v>
      </c>
      <c r="F1" s="3" t="s">
        <v>5</v>
      </c>
      <c r="H1" t="s">
        <v>6</v>
      </c>
      <c r="I1" t="s">
        <v>9</v>
      </c>
      <c r="J1" t="s">
        <v>10</v>
      </c>
    </row>
    <row r="2" spans="1:11" x14ac:dyDescent="0.3">
      <c r="A2" t="s">
        <v>98</v>
      </c>
      <c r="B2">
        <v>9079571</v>
      </c>
      <c r="C2" t="s">
        <v>103</v>
      </c>
      <c r="D2" t="s">
        <v>104</v>
      </c>
      <c r="E2" t="str">
        <f t="shared" ref="E2:E33" si="0">CONCATENATE(C2, " ",D2)</f>
        <v>Floyd Adams</v>
      </c>
      <c r="F2" s="3">
        <v>16455763</v>
      </c>
      <c r="G2" s="3" t="str">
        <f t="shared" ref="G2:G33" si="1">CONCATENATE(F2,77)</f>
        <v>1645576377</v>
      </c>
      <c r="H2" s="1">
        <v>44927</v>
      </c>
      <c r="I2" t="s">
        <v>176</v>
      </c>
      <c r="J2" s="2">
        <v>-27</v>
      </c>
      <c r="K2" t="s">
        <v>185</v>
      </c>
    </row>
    <row r="3" spans="1:11" x14ac:dyDescent="0.3">
      <c r="A3" t="s">
        <v>87</v>
      </c>
      <c r="B3">
        <v>16683808</v>
      </c>
      <c r="C3" t="s">
        <v>164</v>
      </c>
      <c r="D3" t="s">
        <v>165</v>
      </c>
      <c r="E3" t="str">
        <f t="shared" si="0"/>
        <v>Jean Williams</v>
      </c>
      <c r="F3" s="3">
        <v>20265408</v>
      </c>
      <c r="G3" s="3" t="str">
        <f t="shared" si="1"/>
        <v>2026540877</v>
      </c>
      <c r="H3" s="1">
        <v>45658</v>
      </c>
      <c r="I3" t="s">
        <v>176</v>
      </c>
      <c r="J3" s="2">
        <v>-27</v>
      </c>
      <c r="K3" t="s">
        <v>185</v>
      </c>
    </row>
    <row r="4" spans="1:11" x14ac:dyDescent="0.3">
      <c r="A4" t="s">
        <v>143</v>
      </c>
      <c r="B4">
        <v>16633294</v>
      </c>
      <c r="C4" t="s">
        <v>173</v>
      </c>
      <c r="D4" t="s">
        <v>174</v>
      </c>
      <c r="E4" t="str">
        <f t="shared" si="0"/>
        <v>Emily Garvin</v>
      </c>
      <c r="F4" s="3">
        <v>23869590</v>
      </c>
      <c r="G4" s="3" t="str">
        <f t="shared" si="1"/>
        <v>2386959077</v>
      </c>
      <c r="H4" s="1">
        <v>45658</v>
      </c>
      <c r="I4" t="s">
        <v>176</v>
      </c>
      <c r="J4" s="2">
        <v>-27</v>
      </c>
      <c r="K4" t="s">
        <v>185</v>
      </c>
    </row>
    <row r="5" spans="1:11" x14ac:dyDescent="0.3">
      <c r="A5" t="s">
        <v>11</v>
      </c>
      <c r="B5">
        <v>8977234</v>
      </c>
      <c r="C5" t="s">
        <v>161</v>
      </c>
      <c r="D5" t="s">
        <v>162</v>
      </c>
      <c r="E5" t="str">
        <f t="shared" si="0"/>
        <v>Tommy Harber</v>
      </c>
      <c r="F5" s="3">
        <v>16532146</v>
      </c>
      <c r="G5" s="3" t="str">
        <f t="shared" si="1"/>
        <v>1653214677</v>
      </c>
      <c r="H5" s="1">
        <v>44986</v>
      </c>
      <c r="I5" t="s">
        <v>176</v>
      </c>
      <c r="J5" s="2">
        <v>-27</v>
      </c>
      <c r="K5" t="s">
        <v>185</v>
      </c>
    </row>
    <row r="6" spans="1:11" x14ac:dyDescent="0.3">
      <c r="A6" t="s">
        <v>11</v>
      </c>
      <c r="B6">
        <v>8977234</v>
      </c>
      <c r="C6" t="s">
        <v>167</v>
      </c>
      <c r="D6" t="s">
        <v>168</v>
      </c>
      <c r="E6" t="str">
        <f t="shared" si="0"/>
        <v>Richard Jarvis</v>
      </c>
      <c r="F6" s="3">
        <v>23640428</v>
      </c>
      <c r="G6" s="3" t="str">
        <f t="shared" si="1"/>
        <v>2364042877</v>
      </c>
      <c r="H6" s="1">
        <v>45658</v>
      </c>
      <c r="I6" t="s">
        <v>176</v>
      </c>
      <c r="J6" s="2">
        <v>-27</v>
      </c>
      <c r="K6" t="s">
        <v>185</v>
      </c>
    </row>
    <row r="7" spans="1:11" x14ac:dyDescent="0.3">
      <c r="A7" t="s">
        <v>11</v>
      </c>
      <c r="B7">
        <v>8977234</v>
      </c>
      <c r="C7" t="s">
        <v>170</v>
      </c>
      <c r="D7" t="s">
        <v>171</v>
      </c>
      <c r="E7" t="str">
        <f t="shared" si="0"/>
        <v>Sharlene Lightbourne</v>
      </c>
      <c r="F7" s="3">
        <v>23774533</v>
      </c>
      <c r="G7" s="3" t="str">
        <f t="shared" si="1"/>
        <v>2377453377</v>
      </c>
      <c r="H7" s="1">
        <v>45658</v>
      </c>
      <c r="I7" t="s">
        <v>176</v>
      </c>
      <c r="J7" s="2">
        <v>-27</v>
      </c>
      <c r="K7" t="s">
        <v>185</v>
      </c>
    </row>
    <row r="8" spans="1:11" x14ac:dyDescent="0.3">
      <c r="A8" t="s">
        <v>98</v>
      </c>
      <c r="B8">
        <v>9079571</v>
      </c>
      <c r="C8" t="s">
        <v>100</v>
      </c>
      <c r="D8" t="s">
        <v>101</v>
      </c>
      <c r="E8" t="str">
        <f t="shared" si="0"/>
        <v>Nayan Patel</v>
      </c>
      <c r="F8" s="3">
        <v>13047512</v>
      </c>
      <c r="G8" s="3" t="str">
        <f t="shared" si="1"/>
        <v>1304751277</v>
      </c>
      <c r="H8" s="1">
        <v>44927</v>
      </c>
      <c r="I8" t="s">
        <v>81</v>
      </c>
      <c r="J8" s="2">
        <v>-25</v>
      </c>
      <c r="K8" t="s">
        <v>186</v>
      </c>
    </row>
    <row r="9" spans="1:11" x14ac:dyDescent="0.3">
      <c r="A9" t="s">
        <v>98</v>
      </c>
      <c r="B9">
        <v>9079571</v>
      </c>
      <c r="C9" t="s">
        <v>88</v>
      </c>
      <c r="D9" t="s">
        <v>102</v>
      </c>
      <c r="E9" t="str">
        <f t="shared" si="0"/>
        <v>Vanessa Delappe</v>
      </c>
      <c r="F9" s="3">
        <v>13514902</v>
      </c>
      <c r="G9" s="3" t="str">
        <f t="shared" si="1"/>
        <v>1351490277</v>
      </c>
      <c r="H9" s="1">
        <v>44927</v>
      </c>
      <c r="I9" t="s">
        <v>81</v>
      </c>
      <c r="J9" s="2">
        <v>-25</v>
      </c>
      <c r="K9" t="s">
        <v>186</v>
      </c>
    </row>
    <row r="10" spans="1:11" x14ac:dyDescent="0.3">
      <c r="A10" t="s">
        <v>98</v>
      </c>
      <c r="B10">
        <v>9079571</v>
      </c>
      <c r="C10" t="s">
        <v>103</v>
      </c>
      <c r="D10" t="s">
        <v>104</v>
      </c>
      <c r="E10" t="str">
        <f t="shared" si="0"/>
        <v>Floyd Adams</v>
      </c>
      <c r="F10" s="3">
        <v>16455763</v>
      </c>
      <c r="G10" s="3" t="str">
        <f t="shared" si="1"/>
        <v>1645576377</v>
      </c>
      <c r="H10" s="1">
        <v>44927</v>
      </c>
      <c r="I10" t="s">
        <v>105</v>
      </c>
      <c r="J10" s="2">
        <v>-25</v>
      </c>
      <c r="K10" t="s">
        <v>186</v>
      </c>
    </row>
    <row r="11" spans="1:11" x14ac:dyDescent="0.3">
      <c r="A11" t="s">
        <v>90</v>
      </c>
      <c r="B11">
        <v>7146581</v>
      </c>
      <c r="C11" t="s">
        <v>91</v>
      </c>
      <c r="D11" t="s">
        <v>92</v>
      </c>
      <c r="E11" t="str">
        <f t="shared" si="0"/>
        <v>Erik Olson</v>
      </c>
      <c r="F11" s="3">
        <v>5380020</v>
      </c>
      <c r="G11" s="3" t="str">
        <f t="shared" si="1"/>
        <v>538002077</v>
      </c>
      <c r="H11" s="1">
        <v>45658</v>
      </c>
      <c r="I11" t="s">
        <v>81</v>
      </c>
      <c r="J11" s="2">
        <v>-25</v>
      </c>
      <c r="K11" t="s">
        <v>186</v>
      </c>
    </row>
    <row r="12" spans="1:11" x14ac:dyDescent="0.3">
      <c r="A12" t="s">
        <v>82</v>
      </c>
      <c r="B12">
        <v>9213293</v>
      </c>
      <c r="C12" t="s">
        <v>83</v>
      </c>
      <c r="D12" t="s">
        <v>84</v>
      </c>
      <c r="E12" t="str">
        <f t="shared" si="0"/>
        <v>Patrick Matsuda</v>
      </c>
      <c r="F12" s="3">
        <v>4614884</v>
      </c>
      <c r="G12" s="3" t="str">
        <f t="shared" si="1"/>
        <v>461488477</v>
      </c>
      <c r="H12" s="1">
        <v>45658</v>
      </c>
      <c r="I12" t="s">
        <v>81</v>
      </c>
      <c r="J12" s="2">
        <v>-25</v>
      </c>
      <c r="K12" t="s">
        <v>186</v>
      </c>
    </row>
    <row r="13" spans="1:11" x14ac:dyDescent="0.3">
      <c r="A13" t="s">
        <v>82</v>
      </c>
      <c r="B13">
        <v>9213293</v>
      </c>
      <c r="C13" t="s">
        <v>93</v>
      </c>
      <c r="D13" t="s">
        <v>89</v>
      </c>
      <c r="E13" t="str">
        <f t="shared" si="0"/>
        <v>Marco Flores</v>
      </c>
      <c r="F13" s="3">
        <v>5388170</v>
      </c>
      <c r="G13" s="3" t="str">
        <f t="shared" si="1"/>
        <v>538817077</v>
      </c>
      <c r="H13" s="1">
        <v>45658</v>
      </c>
      <c r="I13" t="s">
        <v>81</v>
      </c>
      <c r="J13" s="2">
        <v>-25</v>
      </c>
      <c r="K13" t="s">
        <v>186</v>
      </c>
    </row>
    <row r="14" spans="1:11" x14ac:dyDescent="0.3">
      <c r="A14" t="s">
        <v>42</v>
      </c>
      <c r="B14">
        <v>18754354</v>
      </c>
      <c r="C14" t="s">
        <v>43</v>
      </c>
      <c r="D14" t="s">
        <v>44</v>
      </c>
      <c r="E14" t="str">
        <f t="shared" si="0"/>
        <v>Kim Morse</v>
      </c>
      <c r="F14" s="3">
        <v>5014578</v>
      </c>
      <c r="G14" s="3" t="str">
        <f t="shared" si="1"/>
        <v>501457877</v>
      </c>
      <c r="H14" s="1">
        <v>45597</v>
      </c>
      <c r="I14" t="s">
        <v>81</v>
      </c>
      <c r="J14" s="2">
        <v>-25</v>
      </c>
      <c r="K14" t="s">
        <v>186</v>
      </c>
    </row>
    <row r="15" spans="1:11" x14ac:dyDescent="0.3">
      <c r="A15" t="s">
        <v>87</v>
      </c>
      <c r="B15">
        <v>16683808</v>
      </c>
      <c r="C15" t="s">
        <v>88</v>
      </c>
      <c r="D15" t="s">
        <v>89</v>
      </c>
      <c r="E15" t="str">
        <f t="shared" si="0"/>
        <v>Vanessa Flores</v>
      </c>
      <c r="F15" s="3">
        <v>5277252</v>
      </c>
      <c r="G15" s="3" t="str">
        <f t="shared" si="1"/>
        <v>527725277</v>
      </c>
      <c r="H15" s="1">
        <v>45658</v>
      </c>
      <c r="I15" t="s">
        <v>81</v>
      </c>
      <c r="J15" s="2">
        <v>-25</v>
      </c>
      <c r="K15" t="s">
        <v>186</v>
      </c>
    </row>
    <row r="16" spans="1:11" x14ac:dyDescent="0.3">
      <c r="A16" t="s">
        <v>11</v>
      </c>
      <c r="B16">
        <v>8977234</v>
      </c>
      <c r="C16" t="s">
        <v>70</v>
      </c>
      <c r="D16" t="s">
        <v>97</v>
      </c>
      <c r="E16" t="str">
        <f t="shared" si="0"/>
        <v>James Smith</v>
      </c>
      <c r="F16" s="3">
        <v>12033259</v>
      </c>
      <c r="G16" s="3" t="str">
        <f t="shared" si="1"/>
        <v>1203325977</v>
      </c>
      <c r="H16" s="1">
        <v>44835</v>
      </c>
      <c r="I16" t="s">
        <v>81</v>
      </c>
      <c r="J16" s="2">
        <v>-25</v>
      </c>
      <c r="K16" t="s">
        <v>186</v>
      </c>
    </row>
    <row r="17" spans="1:11" x14ac:dyDescent="0.3">
      <c r="A17" t="s">
        <v>36</v>
      </c>
      <c r="B17">
        <v>19396223</v>
      </c>
      <c r="C17" t="s">
        <v>40</v>
      </c>
      <c r="D17" t="s">
        <v>41</v>
      </c>
      <c r="E17" t="str">
        <f t="shared" si="0"/>
        <v>Miguel Peralta</v>
      </c>
      <c r="F17" s="3">
        <v>4580991</v>
      </c>
      <c r="G17" s="3" t="str">
        <f t="shared" si="1"/>
        <v>458099177</v>
      </c>
      <c r="H17" s="1">
        <v>45566</v>
      </c>
      <c r="I17" t="s">
        <v>81</v>
      </c>
      <c r="J17" s="2">
        <v>-25</v>
      </c>
      <c r="K17" t="s">
        <v>186</v>
      </c>
    </row>
    <row r="18" spans="1:11" x14ac:dyDescent="0.3">
      <c r="A18" t="s">
        <v>36</v>
      </c>
      <c r="B18">
        <v>19396223</v>
      </c>
      <c r="C18" t="s">
        <v>85</v>
      </c>
      <c r="D18" t="s">
        <v>86</v>
      </c>
      <c r="E18" t="str">
        <f t="shared" si="0"/>
        <v>Fazlunnisa Saleem</v>
      </c>
      <c r="F18" s="3">
        <v>4882810</v>
      </c>
      <c r="G18" s="3" t="str">
        <f t="shared" si="1"/>
        <v>488281077</v>
      </c>
      <c r="H18" s="1">
        <v>45658</v>
      </c>
      <c r="I18" t="s">
        <v>81</v>
      </c>
      <c r="J18" s="2">
        <v>-25</v>
      </c>
      <c r="K18" t="s">
        <v>186</v>
      </c>
    </row>
    <row r="19" spans="1:11" x14ac:dyDescent="0.3">
      <c r="A19" t="s">
        <v>31</v>
      </c>
      <c r="B19">
        <v>371819</v>
      </c>
      <c r="C19" t="s">
        <v>94</v>
      </c>
      <c r="D19" t="s">
        <v>95</v>
      </c>
      <c r="E19" t="str">
        <f t="shared" si="0"/>
        <v>Demetria Scott</v>
      </c>
      <c r="F19" s="3">
        <v>2498554</v>
      </c>
      <c r="G19" s="3" t="str">
        <f t="shared" si="1"/>
        <v>249855477</v>
      </c>
      <c r="H19" s="1">
        <v>45658</v>
      </c>
      <c r="I19" t="s">
        <v>81</v>
      </c>
      <c r="J19" s="2">
        <v>-25</v>
      </c>
      <c r="K19" t="s">
        <v>186</v>
      </c>
    </row>
    <row r="20" spans="1:11" x14ac:dyDescent="0.3">
      <c r="A20" t="s">
        <v>31</v>
      </c>
      <c r="B20">
        <v>371819</v>
      </c>
      <c r="C20" t="s">
        <v>70</v>
      </c>
      <c r="D20" t="s">
        <v>96</v>
      </c>
      <c r="E20" t="str">
        <f t="shared" si="0"/>
        <v>James Morgan</v>
      </c>
      <c r="F20" s="3">
        <v>3640584</v>
      </c>
      <c r="G20" s="3" t="str">
        <f t="shared" si="1"/>
        <v>364058477</v>
      </c>
      <c r="H20" s="1">
        <v>45658</v>
      </c>
      <c r="I20" t="s">
        <v>81</v>
      </c>
      <c r="J20" s="2">
        <v>-25</v>
      </c>
      <c r="K20" t="s">
        <v>186</v>
      </c>
    </row>
    <row r="21" spans="1:11" x14ac:dyDescent="0.3">
      <c r="A21" t="s">
        <v>48</v>
      </c>
      <c r="B21">
        <v>20436896</v>
      </c>
      <c r="C21" t="s">
        <v>50</v>
      </c>
      <c r="D21" t="s">
        <v>51</v>
      </c>
      <c r="E21" t="str">
        <f t="shared" si="0"/>
        <v>Annette Brooks</v>
      </c>
      <c r="F21" s="3">
        <v>2665329</v>
      </c>
      <c r="G21" s="3" t="str">
        <f t="shared" si="1"/>
        <v>266532977</v>
      </c>
      <c r="H21" s="1">
        <v>44927</v>
      </c>
      <c r="I21" t="s">
        <v>66</v>
      </c>
      <c r="J21" s="2">
        <v>-24</v>
      </c>
      <c r="K21" t="s">
        <v>187</v>
      </c>
    </row>
    <row r="22" spans="1:11" x14ac:dyDescent="0.3">
      <c r="A22" t="s">
        <v>48</v>
      </c>
      <c r="B22">
        <v>20436896</v>
      </c>
      <c r="C22" t="s">
        <v>54</v>
      </c>
      <c r="D22" t="s">
        <v>51</v>
      </c>
      <c r="E22" t="str">
        <f t="shared" si="0"/>
        <v>Michael Brooks</v>
      </c>
      <c r="F22" s="3">
        <v>3273045</v>
      </c>
      <c r="G22" s="3" t="str">
        <f t="shared" si="1"/>
        <v>327304577</v>
      </c>
      <c r="H22" s="1">
        <v>44927</v>
      </c>
      <c r="I22" t="s">
        <v>66</v>
      </c>
      <c r="J22" s="2">
        <v>-24</v>
      </c>
      <c r="K22" t="s">
        <v>187</v>
      </c>
    </row>
    <row r="23" spans="1:11" x14ac:dyDescent="0.3">
      <c r="A23" t="s">
        <v>48</v>
      </c>
      <c r="B23">
        <v>20436896</v>
      </c>
      <c r="C23" t="s">
        <v>59</v>
      </c>
      <c r="D23" t="s">
        <v>60</v>
      </c>
      <c r="E23" t="str">
        <f t="shared" si="0"/>
        <v>Kyle Hoffman</v>
      </c>
      <c r="F23" s="3">
        <v>3825033</v>
      </c>
      <c r="G23" s="3" t="str">
        <f t="shared" si="1"/>
        <v>382503377</v>
      </c>
      <c r="H23" s="1">
        <v>44197</v>
      </c>
      <c r="I23" t="s">
        <v>66</v>
      </c>
      <c r="J23" s="2">
        <v>-24</v>
      </c>
      <c r="K23" t="s">
        <v>187</v>
      </c>
    </row>
    <row r="24" spans="1:11" x14ac:dyDescent="0.3">
      <c r="A24" t="s">
        <v>48</v>
      </c>
      <c r="B24">
        <v>20436896</v>
      </c>
      <c r="C24" t="s">
        <v>50</v>
      </c>
      <c r="D24" t="s">
        <v>51</v>
      </c>
      <c r="E24" t="str">
        <f t="shared" si="0"/>
        <v>Annette Brooks</v>
      </c>
      <c r="F24" s="3">
        <v>2665329</v>
      </c>
      <c r="G24" s="3" t="str">
        <f t="shared" si="1"/>
        <v>266532977</v>
      </c>
      <c r="H24" s="1">
        <v>44927</v>
      </c>
      <c r="I24" t="s">
        <v>67</v>
      </c>
      <c r="J24" s="2">
        <v>-24</v>
      </c>
      <c r="K24" t="s">
        <v>187</v>
      </c>
    </row>
    <row r="25" spans="1:11" x14ac:dyDescent="0.3">
      <c r="A25" t="s">
        <v>48</v>
      </c>
      <c r="B25">
        <v>20436896</v>
      </c>
      <c r="C25" t="s">
        <v>54</v>
      </c>
      <c r="D25" t="s">
        <v>51</v>
      </c>
      <c r="E25" t="str">
        <f t="shared" si="0"/>
        <v>Michael Brooks</v>
      </c>
      <c r="F25" s="3">
        <v>3273045</v>
      </c>
      <c r="G25" s="3" t="str">
        <f t="shared" si="1"/>
        <v>327304577</v>
      </c>
      <c r="H25" s="1">
        <v>44927</v>
      </c>
      <c r="I25" t="s">
        <v>67</v>
      </c>
      <c r="J25" s="2">
        <v>-24</v>
      </c>
      <c r="K25" t="s">
        <v>187</v>
      </c>
    </row>
    <row r="26" spans="1:11" x14ac:dyDescent="0.3">
      <c r="A26" t="s">
        <v>48</v>
      </c>
      <c r="B26">
        <v>20436896</v>
      </c>
      <c r="C26" t="s">
        <v>59</v>
      </c>
      <c r="D26" t="s">
        <v>60</v>
      </c>
      <c r="E26" t="str">
        <f t="shared" si="0"/>
        <v>Kyle Hoffman</v>
      </c>
      <c r="F26" s="3">
        <v>3825033</v>
      </c>
      <c r="G26" s="3" t="str">
        <f t="shared" si="1"/>
        <v>382503377</v>
      </c>
      <c r="H26" s="1">
        <v>44197</v>
      </c>
      <c r="I26" t="s">
        <v>67</v>
      </c>
      <c r="J26" s="2">
        <v>-24</v>
      </c>
      <c r="K26" t="s">
        <v>187</v>
      </c>
    </row>
    <row r="27" spans="1:11" x14ac:dyDescent="0.3">
      <c r="A27" t="s">
        <v>11</v>
      </c>
      <c r="B27">
        <v>8977234</v>
      </c>
      <c r="C27" t="s">
        <v>56</v>
      </c>
      <c r="D27" t="s">
        <v>57</v>
      </c>
      <c r="E27" t="str">
        <f t="shared" si="0"/>
        <v>Gale Wilkowski</v>
      </c>
      <c r="F27" s="3">
        <v>3811777</v>
      </c>
      <c r="G27" s="3" t="str">
        <f t="shared" si="1"/>
        <v>381177777</v>
      </c>
      <c r="H27" s="1">
        <v>45474</v>
      </c>
      <c r="I27" t="s">
        <v>66</v>
      </c>
      <c r="J27" s="2">
        <v>-24</v>
      </c>
      <c r="K27" t="s">
        <v>187</v>
      </c>
    </row>
    <row r="28" spans="1:11" x14ac:dyDescent="0.3">
      <c r="A28" t="s">
        <v>11</v>
      </c>
      <c r="B28">
        <v>8977234</v>
      </c>
      <c r="C28" t="s">
        <v>56</v>
      </c>
      <c r="D28" t="s">
        <v>57</v>
      </c>
      <c r="E28" t="str">
        <f t="shared" si="0"/>
        <v>Gale Wilkowski</v>
      </c>
      <c r="F28" s="3">
        <v>3811777</v>
      </c>
      <c r="G28" s="3" t="str">
        <f t="shared" si="1"/>
        <v>381177777</v>
      </c>
      <c r="H28" s="1">
        <v>45474</v>
      </c>
      <c r="I28" t="s">
        <v>67</v>
      </c>
      <c r="J28" s="2">
        <v>-24</v>
      </c>
      <c r="K28" t="s">
        <v>187</v>
      </c>
    </row>
    <row r="29" spans="1:11" x14ac:dyDescent="0.3">
      <c r="A29" t="s">
        <v>98</v>
      </c>
      <c r="B29">
        <v>9079571</v>
      </c>
      <c r="C29" t="s">
        <v>100</v>
      </c>
      <c r="D29" t="s">
        <v>101</v>
      </c>
      <c r="E29" t="str">
        <f t="shared" si="0"/>
        <v>Nayan Patel</v>
      </c>
      <c r="F29" s="3">
        <v>13047512</v>
      </c>
      <c r="G29" s="3" t="str">
        <f t="shared" si="1"/>
        <v>1304751277</v>
      </c>
      <c r="H29" s="1">
        <v>44927</v>
      </c>
      <c r="I29" t="s">
        <v>111</v>
      </c>
      <c r="J29" s="2">
        <v>-22</v>
      </c>
      <c r="K29" t="s">
        <v>188</v>
      </c>
    </row>
    <row r="30" spans="1:11" x14ac:dyDescent="0.3">
      <c r="A30" t="s">
        <v>98</v>
      </c>
      <c r="B30">
        <v>9079571</v>
      </c>
      <c r="C30" t="s">
        <v>88</v>
      </c>
      <c r="D30" t="s">
        <v>102</v>
      </c>
      <c r="E30" t="str">
        <f t="shared" si="0"/>
        <v>Vanessa Delappe</v>
      </c>
      <c r="F30" s="3">
        <v>13514902</v>
      </c>
      <c r="G30" s="3" t="str">
        <f t="shared" si="1"/>
        <v>1351490277</v>
      </c>
      <c r="H30" s="1">
        <v>44927</v>
      </c>
      <c r="I30" t="s">
        <v>111</v>
      </c>
      <c r="J30" s="2">
        <v>-22</v>
      </c>
      <c r="K30" t="s">
        <v>188</v>
      </c>
    </row>
    <row r="31" spans="1:11" x14ac:dyDescent="0.3">
      <c r="A31" t="s">
        <v>62</v>
      </c>
      <c r="B31">
        <v>8307933</v>
      </c>
      <c r="C31" t="s">
        <v>109</v>
      </c>
      <c r="D31" t="s">
        <v>110</v>
      </c>
      <c r="E31" t="str">
        <f t="shared" si="0"/>
        <v>Taylor Dickey</v>
      </c>
      <c r="F31" s="3">
        <v>3059848</v>
      </c>
      <c r="G31" s="3" t="str">
        <f t="shared" si="1"/>
        <v>305984877</v>
      </c>
      <c r="H31" s="1">
        <v>45658</v>
      </c>
      <c r="I31" t="s">
        <v>106</v>
      </c>
      <c r="J31" s="2">
        <v>-22</v>
      </c>
      <c r="K31" t="s">
        <v>188</v>
      </c>
    </row>
    <row r="32" spans="1:11" x14ac:dyDescent="0.3">
      <c r="A32" t="s">
        <v>11</v>
      </c>
      <c r="B32">
        <v>8977234</v>
      </c>
      <c r="C32" t="s">
        <v>70</v>
      </c>
      <c r="D32" t="s">
        <v>97</v>
      </c>
      <c r="E32" t="str">
        <f t="shared" si="0"/>
        <v>James Smith</v>
      </c>
      <c r="F32" s="3">
        <v>12033259</v>
      </c>
      <c r="G32" s="3" t="str">
        <f t="shared" si="1"/>
        <v>1203325977</v>
      </c>
      <c r="H32" s="1">
        <v>44835</v>
      </c>
      <c r="I32" t="s">
        <v>111</v>
      </c>
      <c r="J32" s="2">
        <v>-22</v>
      </c>
      <c r="K32" t="s">
        <v>188</v>
      </c>
    </row>
    <row r="33" spans="1:11" x14ac:dyDescent="0.3">
      <c r="A33" t="s">
        <v>31</v>
      </c>
      <c r="B33">
        <v>371819</v>
      </c>
      <c r="C33" t="s">
        <v>107</v>
      </c>
      <c r="D33" t="s">
        <v>108</v>
      </c>
      <c r="E33" t="str">
        <f t="shared" si="0"/>
        <v>Terri Cockrell</v>
      </c>
      <c r="F33" s="3">
        <v>2960307</v>
      </c>
      <c r="G33" s="3" t="str">
        <f t="shared" si="1"/>
        <v>296030777</v>
      </c>
      <c r="H33" s="1">
        <v>45658</v>
      </c>
      <c r="I33" t="s">
        <v>106</v>
      </c>
      <c r="J33" s="2">
        <v>-22</v>
      </c>
      <c r="K33" t="s">
        <v>188</v>
      </c>
    </row>
    <row r="34" spans="1:11" x14ac:dyDescent="0.3">
      <c r="A34" t="s">
        <v>31</v>
      </c>
      <c r="B34">
        <v>371819</v>
      </c>
      <c r="C34" t="s">
        <v>73</v>
      </c>
      <c r="D34" t="s">
        <v>74</v>
      </c>
      <c r="E34" t="str">
        <f t="shared" ref="E34:E65" si="2">CONCATENATE(C34, " ",D34)</f>
        <v>Carrington Grissom</v>
      </c>
      <c r="F34" s="3">
        <v>2357786</v>
      </c>
      <c r="G34" s="3" t="str">
        <f t="shared" ref="G34:G65" si="3">CONCATENATE(F34,77)</f>
        <v>235778677</v>
      </c>
      <c r="H34" s="1">
        <v>45536</v>
      </c>
      <c r="I34" t="s">
        <v>106</v>
      </c>
      <c r="J34" s="2">
        <v>-22</v>
      </c>
      <c r="K34" t="s">
        <v>188</v>
      </c>
    </row>
    <row r="35" spans="1:11" x14ac:dyDescent="0.3">
      <c r="A35" t="s">
        <v>31</v>
      </c>
      <c r="B35">
        <v>371819</v>
      </c>
      <c r="C35" t="s">
        <v>78</v>
      </c>
      <c r="D35" t="s">
        <v>74</v>
      </c>
      <c r="E35" t="str">
        <f t="shared" si="2"/>
        <v>Anthony Grissom</v>
      </c>
      <c r="F35" s="3">
        <v>3001451</v>
      </c>
      <c r="G35" s="3" t="str">
        <f t="shared" si="3"/>
        <v>300145177</v>
      </c>
      <c r="H35" s="1">
        <v>45536</v>
      </c>
      <c r="I35" t="s">
        <v>106</v>
      </c>
      <c r="J35" s="2">
        <v>-22</v>
      </c>
      <c r="K35" t="s">
        <v>188</v>
      </c>
    </row>
    <row r="36" spans="1:11" x14ac:dyDescent="0.3">
      <c r="A36" t="s">
        <v>31</v>
      </c>
      <c r="B36">
        <v>371819</v>
      </c>
      <c r="C36" t="s">
        <v>76</v>
      </c>
      <c r="D36" t="s">
        <v>77</v>
      </c>
      <c r="E36" t="str">
        <f t="shared" si="2"/>
        <v>Harmony Mcdonald</v>
      </c>
      <c r="F36" s="3">
        <v>2565033</v>
      </c>
      <c r="G36" s="3" t="str">
        <f t="shared" si="3"/>
        <v>256503377</v>
      </c>
      <c r="H36" s="1">
        <v>45505</v>
      </c>
      <c r="I36" t="s">
        <v>106</v>
      </c>
      <c r="J36" s="2">
        <v>-22</v>
      </c>
      <c r="K36" t="s">
        <v>188</v>
      </c>
    </row>
    <row r="37" spans="1:11" x14ac:dyDescent="0.3">
      <c r="A37" t="s">
        <v>31</v>
      </c>
      <c r="B37">
        <v>371819</v>
      </c>
      <c r="C37" t="s">
        <v>79</v>
      </c>
      <c r="D37" t="s">
        <v>77</v>
      </c>
      <c r="E37" t="str">
        <f t="shared" si="2"/>
        <v>Bralyn Mcdonald</v>
      </c>
      <c r="F37" s="3">
        <v>3191310</v>
      </c>
      <c r="G37" s="3" t="str">
        <f t="shared" si="3"/>
        <v>319131077</v>
      </c>
      <c r="H37" s="1">
        <v>45505</v>
      </c>
      <c r="I37" t="s">
        <v>106</v>
      </c>
      <c r="J37" s="2">
        <v>-22</v>
      </c>
      <c r="K37" t="s">
        <v>188</v>
      </c>
    </row>
    <row r="38" spans="1:11" x14ac:dyDescent="0.3">
      <c r="A38" t="s">
        <v>31</v>
      </c>
      <c r="B38">
        <v>371819</v>
      </c>
      <c r="C38" t="s">
        <v>80</v>
      </c>
      <c r="D38" t="s">
        <v>77</v>
      </c>
      <c r="E38" t="str">
        <f t="shared" si="2"/>
        <v>Christopher Mcdonald</v>
      </c>
      <c r="F38" s="3">
        <v>3286420</v>
      </c>
      <c r="G38" s="3" t="str">
        <f t="shared" si="3"/>
        <v>328642077</v>
      </c>
      <c r="H38" s="1">
        <v>45505</v>
      </c>
      <c r="I38" t="s">
        <v>106</v>
      </c>
      <c r="J38" s="2">
        <v>-22</v>
      </c>
      <c r="K38" t="s">
        <v>188</v>
      </c>
    </row>
    <row r="39" spans="1:11" x14ac:dyDescent="0.3">
      <c r="A39" t="s">
        <v>42</v>
      </c>
      <c r="B39">
        <v>18754354</v>
      </c>
      <c r="C39" t="s">
        <v>43</v>
      </c>
      <c r="D39" t="s">
        <v>44</v>
      </c>
      <c r="E39" t="str">
        <f t="shared" si="2"/>
        <v>Kim Morse</v>
      </c>
      <c r="F39" s="3">
        <v>5014578</v>
      </c>
      <c r="G39" s="3" t="str">
        <f t="shared" si="3"/>
        <v>501457877</v>
      </c>
      <c r="H39" s="1">
        <v>45597</v>
      </c>
      <c r="I39" t="s">
        <v>39</v>
      </c>
      <c r="J39" s="2">
        <v>-20</v>
      </c>
      <c r="K39" t="s">
        <v>189</v>
      </c>
    </row>
    <row r="40" spans="1:11" x14ac:dyDescent="0.3">
      <c r="A40" t="s">
        <v>11</v>
      </c>
      <c r="B40">
        <v>8977234</v>
      </c>
      <c r="C40" t="s">
        <v>23</v>
      </c>
      <c r="D40" t="s">
        <v>24</v>
      </c>
      <c r="E40" t="str">
        <f t="shared" si="2"/>
        <v>Bruce Kelley</v>
      </c>
      <c r="F40" s="3">
        <v>65693</v>
      </c>
      <c r="G40" s="3" t="str">
        <f t="shared" si="3"/>
        <v>6569377</v>
      </c>
      <c r="H40" s="1">
        <v>45292</v>
      </c>
      <c r="I40" t="s">
        <v>25</v>
      </c>
      <c r="J40" s="2">
        <v>-20</v>
      </c>
      <c r="K40" t="s">
        <v>189</v>
      </c>
    </row>
    <row r="41" spans="1:11" x14ac:dyDescent="0.3">
      <c r="A41" t="s">
        <v>11</v>
      </c>
      <c r="B41">
        <v>8977234</v>
      </c>
      <c r="C41" t="s">
        <v>26</v>
      </c>
      <c r="D41" t="s">
        <v>27</v>
      </c>
      <c r="E41" t="str">
        <f t="shared" si="2"/>
        <v>Ronald Gengler</v>
      </c>
      <c r="F41" s="3">
        <v>2894856</v>
      </c>
      <c r="G41" s="3" t="str">
        <f t="shared" si="3"/>
        <v>289485677</v>
      </c>
      <c r="H41" s="1">
        <v>45292</v>
      </c>
      <c r="I41" t="s">
        <v>25</v>
      </c>
      <c r="J41" s="2">
        <v>-20</v>
      </c>
      <c r="K41" t="s">
        <v>189</v>
      </c>
    </row>
    <row r="42" spans="1:11" x14ac:dyDescent="0.3">
      <c r="A42" t="s">
        <v>11</v>
      </c>
      <c r="B42">
        <v>8977234</v>
      </c>
      <c r="C42" t="s">
        <v>28</v>
      </c>
      <c r="D42" t="s">
        <v>27</v>
      </c>
      <c r="E42" t="str">
        <f t="shared" si="2"/>
        <v>Amber Gengler</v>
      </c>
      <c r="F42" s="3">
        <v>3814368</v>
      </c>
      <c r="G42" s="3" t="str">
        <f t="shared" si="3"/>
        <v>381436877</v>
      </c>
      <c r="H42" s="1">
        <v>45292</v>
      </c>
      <c r="I42" t="s">
        <v>25</v>
      </c>
      <c r="J42" s="2">
        <v>-20</v>
      </c>
      <c r="K42" t="s">
        <v>189</v>
      </c>
    </row>
    <row r="43" spans="1:11" x14ac:dyDescent="0.3">
      <c r="A43" t="s">
        <v>11</v>
      </c>
      <c r="B43">
        <v>8977234</v>
      </c>
      <c r="C43" t="s">
        <v>29</v>
      </c>
      <c r="D43" t="s">
        <v>30</v>
      </c>
      <c r="E43" t="str">
        <f t="shared" si="2"/>
        <v>Allen Reinhart</v>
      </c>
      <c r="F43" s="3">
        <v>3967724</v>
      </c>
      <c r="G43" s="3" t="str">
        <f t="shared" si="3"/>
        <v>396772477</v>
      </c>
      <c r="H43" s="1">
        <v>45658</v>
      </c>
      <c r="I43" t="s">
        <v>25</v>
      </c>
      <c r="J43" s="2">
        <v>-20</v>
      </c>
      <c r="K43" t="s">
        <v>189</v>
      </c>
    </row>
    <row r="44" spans="1:11" x14ac:dyDescent="0.3">
      <c r="A44" t="s">
        <v>11</v>
      </c>
      <c r="B44">
        <v>8977234</v>
      </c>
      <c r="C44" t="s">
        <v>34</v>
      </c>
      <c r="D44" t="s">
        <v>35</v>
      </c>
      <c r="E44" t="str">
        <f t="shared" si="2"/>
        <v>Kimberly Smithson</v>
      </c>
      <c r="F44" s="3">
        <v>3991006</v>
      </c>
      <c r="G44" s="3" t="str">
        <f t="shared" si="3"/>
        <v>399100677</v>
      </c>
      <c r="H44" s="1">
        <v>45658</v>
      </c>
      <c r="I44" t="s">
        <v>25</v>
      </c>
      <c r="J44" s="2">
        <v>-20</v>
      </c>
      <c r="K44" t="s">
        <v>189</v>
      </c>
    </row>
    <row r="45" spans="1:11" x14ac:dyDescent="0.3">
      <c r="A45" t="s">
        <v>36</v>
      </c>
      <c r="B45">
        <v>19396223</v>
      </c>
      <c r="C45" t="s">
        <v>37</v>
      </c>
      <c r="D45" t="s">
        <v>38</v>
      </c>
      <c r="E45" t="str">
        <f t="shared" si="2"/>
        <v>Rebecca Bocock</v>
      </c>
      <c r="F45" s="3">
        <v>629440219</v>
      </c>
      <c r="G45" s="3" t="str">
        <f t="shared" si="3"/>
        <v>62944021977</v>
      </c>
      <c r="H45" s="1">
        <v>45566</v>
      </c>
      <c r="I45" t="s">
        <v>39</v>
      </c>
      <c r="J45" s="2">
        <v>-20</v>
      </c>
      <c r="K45" t="s">
        <v>189</v>
      </c>
    </row>
    <row r="46" spans="1:11" x14ac:dyDescent="0.3">
      <c r="A46" t="s">
        <v>36</v>
      </c>
      <c r="B46">
        <v>19396223</v>
      </c>
      <c r="C46" t="s">
        <v>40</v>
      </c>
      <c r="D46" t="s">
        <v>41</v>
      </c>
      <c r="E46" t="str">
        <f t="shared" si="2"/>
        <v>Miguel Peralta</v>
      </c>
      <c r="F46" s="3">
        <v>4580991</v>
      </c>
      <c r="G46" s="3" t="str">
        <f t="shared" si="3"/>
        <v>458099177</v>
      </c>
      <c r="H46" s="1">
        <v>45566</v>
      </c>
      <c r="I46" t="s">
        <v>39</v>
      </c>
      <c r="J46" s="2">
        <v>-20</v>
      </c>
      <c r="K46" t="s">
        <v>189</v>
      </c>
    </row>
    <row r="47" spans="1:11" x14ac:dyDescent="0.3">
      <c r="A47" t="s">
        <v>36</v>
      </c>
      <c r="B47">
        <v>19396223</v>
      </c>
      <c r="C47" t="s">
        <v>37</v>
      </c>
      <c r="D47" t="s">
        <v>38</v>
      </c>
      <c r="E47" t="str">
        <f t="shared" si="2"/>
        <v>Rebecca Bocock</v>
      </c>
      <c r="F47" s="3" t="s">
        <v>112</v>
      </c>
      <c r="G47" s="3" t="str">
        <f t="shared" si="3"/>
        <v>CA-62944021977</v>
      </c>
      <c r="H47" s="1">
        <v>45566</v>
      </c>
      <c r="I47" t="s">
        <v>122</v>
      </c>
      <c r="J47" s="2">
        <v>-20</v>
      </c>
      <c r="K47" t="s">
        <v>189</v>
      </c>
    </row>
    <row r="48" spans="1:11" x14ac:dyDescent="0.3">
      <c r="A48" t="s">
        <v>36</v>
      </c>
      <c r="B48">
        <v>19396223</v>
      </c>
      <c r="C48" t="s">
        <v>37</v>
      </c>
      <c r="D48" t="s">
        <v>38</v>
      </c>
      <c r="E48" t="str">
        <f t="shared" si="2"/>
        <v>Rebecca Bocock</v>
      </c>
      <c r="F48" s="3" t="s">
        <v>112</v>
      </c>
      <c r="G48" s="3" t="str">
        <f t="shared" si="3"/>
        <v>CA-62944021977</v>
      </c>
      <c r="H48" s="1">
        <v>45566</v>
      </c>
      <c r="I48" t="s">
        <v>123</v>
      </c>
      <c r="J48" s="2">
        <v>-20</v>
      </c>
      <c r="K48" t="s">
        <v>189</v>
      </c>
    </row>
    <row r="49" spans="1:11" x14ac:dyDescent="0.3">
      <c r="A49" t="s">
        <v>31</v>
      </c>
      <c r="B49">
        <v>371819</v>
      </c>
      <c r="C49" t="s">
        <v>32</v>
      </c>
      <c r="D49" t="s">
        <v>33</v>
      </c>
      <c r="E49" t="str">
        <f t="shared" si="2"/>
        <v>Dennis Pitts</v>
      </c>
      <c r="F49" s="3">
        <v>3975220</v>
      </c>
      <c r="G49" s="3" t="str">
        <f t="shared" si="3"/>
        <v>397522077</v>
      </c>
      <c r="H49" s="1">
        <v>45597</v>
      </c>
      <c r="I49" t="s">
        <v>25</v>
      </c>
      <c r="J49" s="2">
        <v>-20</v>
      </c>
      <c r="K49" t="s">
        <v>189</v>
      </c>
    </row>
    <row r="50" spans="1:11" x14ac:dyDescent="0.3">
      <c r="A50" t="s">
        <v>11</v>
      </c>
      <c r="B50">
        <v>8977234</v>
      </c>
      <c r="C50" t="s">
        <v>13</v>
      </c>
      <c r="D50" t="s">
        <v>14</v>
      </c>
      <c r="E50" t="str">
        <f t="shared" si="2"/>
        <v>Boden Woodard</v>
      </c>
      <c r="F50" s="3">
        <v>2457940</v>
      </c>
      <c r="G50" s="3" t="str">
        <f t="shared" si="3"/>
        <v>245794077</v>
      </c>
      <c r="H50" s="1">
        <v>45292</v>
      </c>
      <c r="I50" t="s">
        <v>16</v>
      </c>
      <c r="J50" s="2">
        <v>-19</v>
      </c>
      <c r="K50" t="s">
        <v>190</v>
      </c>
    </row>
    <row r="51" spans="1:11" x14ac:dyDescent="0.3">
      <c r="A51" t="s">
        <v>11</v>
      </c>
      <c r="B51">
        <v>8977234</v>
      </c>
      <c r="C51" t="s">
        <v>17</v>
      </c>
      <c r="D51" t="s">
        <v>18</v>
      </c>
      <c r="E51" t="str">
        <f t="shared" si="2"/>
        <v>Toni Charter</v>
      </c>
      <c r="F51" s="3">
        <v>2516451</v>
      </c>
      <c r="G51" s="3" t="str">
        <f t="shared" si="3"/>
        <v>251645177</v>
      </c>
      <c r="H51" s="1">
        <v>45658</v>
      </c>
      <c r="I51" t="s">
        <v>16</v>
      </c>
      <c r="J51" s="2">
        <v>-19</v>
      </c>
      <c r="K51" t="s">
        <v>190</v>
      </c>
    </row>
    <row r="52" spans="1:11" x14ac:dyDescent="0.3">
      <c r="A52" t="s">
        <v>11</v>
      </c>
      <c r="B52">
        <v>8977234</v>
      </c>
      <c r="C52" t="s">
        <v>19</v>
      </c>
      <c r="D52" t="s">
        <v>14</v>
      </c>
      <c r="E52" t="str">
        <f t="shared" si="2"/>
        <v>Douglas Woodard</v>
      </c>
      <c r="F52" s="3">
        <v>2943631</v>
      </c>
      <c r="G52" s="3" t="str">
        <f t="shared" si="3"/>
        <v>294363177</v>
      </c>
      <c r="H52" s="1">
        <v>45292</v>
      </c>
      <c r="I52" t="s">
        <v>16</v>
      </c>
      <c r="J52" s="2">
        <v>-19</v>
      </c>
      <c r="K52" t="s">
        <v>190</v>
      </c>
    </row>
    <row r="53" spans="1:11" x14ac:dyDescent="0.3">
      <c r="A53" t="s">
        <v>11</v>
      </c>
      <c r="B53">
        <v>8977234</v>
      </c>
      <c r="C53" t="s">
        <v>20</v>
      </c>
      <c r="D53" t="s">
        <v>21</v>
      </c>
      <c r="E53" t="str">
        <f t="shared" si="2"/>
        <v>Lisa Biagi Woodard</v>
      </c>
      <c r="F53" s="3">
        <v>3053615</v>
      </c>
      <c r="G53" s="3" t="str">
        <f t="shared" si="3"/>
        <v>305361577</v>
      </c>
      <c r="H53" s="1">
        <v>45292</v>
      </c>
      <c r="I53" t="s">
        <v>16</v>
      </c>
      <c r="J53" s="2">
        <v>-19</v>
      </c>
      <c r="K53" t="s">
        <v>190</v>
      </c>
    </row>
    <row r="54" spans="1:11" x14ac:dyDescent="0.3">
      <c r="A54" t="s">
        <v>11</v>
      </c>
      <c r="B54">
        <v>8977234</v>
      </c>
      <c r="C54" t="s">
        <v>13</v>
      </c>
      <c r="D54" t="s">
        <v>14</v>
      </c>
      <c r="E54" t="str">
        <f t="shared" si="2"/>
        <v>Boden Woodard</v>
      </c>
      <c r="F54" s="3">
        <v>2457940</v>
      </c>
      <c r="G54" s="3" t="str">
        <f t="shared" si="3"/>
        <v>245794077</v>
      </c>
      <c r="H54" s="1">
        <v>45292</v>
      </c>
      <c r="I54" t="s">
        <v>22</v>
      </c>
      <c r="J54" s="2">
        <v>-19</v>
      </c>
      <c r="K54" t="s">
        <v>190</v>
      </c>
    </row>
    <row r="55" spans="1:11" x14ac:dyDescent="0.3">
      <c r="A55" t="s">
        <v>11</v>
      </c>
      <c r="B55">
        <v>8977234</v>
      </c>
      <c r="C55" t="s">
        <v>19</v>
      </c>
      <c r="D55" t="s">
        <v>14</v>
      </c>
      <c r="E55" t="str">
        <f t="shared" si="2"/>
        <v>Douglas Woodard</v>
      </c>
      <c r="F55" s="3">
        <v>2943631</v>
      </c>
      <c r="G55" s="3" t="str">
        <f t="shared" si="3"/>
        <v>294363177</v>
      </c>
      <c r="H55" s="1">
        <v>45292</v>
      </c>
      <c r="I55" t="s">
        <v>22</v>
      </c>
      <c r="J55" s="2">
        <v>-19</v>
      </c>
      <c r="K55" t="s">
        <v>190</v>
      </c>
    </row>
    <row r="56" spans="1:11" x14ac:dyDescent="0.3">
      <c r="A56" t="s">
        <v>11</v>
      </c>
      <c r="B56">
        <v>8977234</v>
      </c>
      <c r="C56" t="s">
        <v>20</v>
      </c>
      <c r="D56" t="s">
        <v>21</v>
      </c>
      <c r="E56" t="str">
        <f t="shared" si="2"/>
        <v>Lisa Biagi Woodard</v>
      </c>
      <c r="F56" s="3">
        <v>3053615</v>
      </c>
      <c r="G56" s="3" t="str">
        <f t="shared" si="3"/>
        <v>305361577</v>
      </c>
      <c r="H56" s="1">
        <v>45292</v>
      </c>
      <c r="I56" t="s">
        <v>22</v>
      </c>
      <c r="J56" s="2">
        <v>-19</v>
      </c>
      <c r="K56" t="s">
        <v>190</v>
      </c>
    </row>
    <row r="57" spans="1:11" x14ac:dyDescent="0.3">
      <c r="A57" t="s">
        <v>31</v>
      </c>
      <c r="B57">
        <v>371819</v>
      </c>
      <c r="C57" t="s">
        <v>73</v>
      </c>
      <c r="D57" t="s">
        <v>74</v>
      </c>
      <c r="E57" t="str">
        <f t="shared" si="2"/>
        <v>Carrington Grissom</v>
      </c>
      <c r="F57" s="3">
        <v>2357786</v>
      </c>
      <c r="G57" s="3" t="str">
        <f t="shared" si="3"/>
        <v>235778677</v>
      </c>
      <c r="H57" s="1">
        <v>45536</v>
      </c>
      <c r="I57" t="s">
        <v>75</v>
      </c>
      <c r="J57" s="2">
        <v>-18</v>
      </c>
      <c r="K57" t="s">
        <v>191</v>
      </c>
    </row>
    <row r="58" spans="1:11" x14ac:dyDescent="0.3">
      <c r="A58" t="s">
        <v>31</v>
      </c>
      <c r="B58">
        <v>371819</v>
      </c>
      <c r="C58" t="s">
        <v>78</v>
      </c>
      <c r="D58" t="s">
        <v>74</v>
      </c>
      <c r="E58" t="str">
        <f t="shared" si="2"/>
        <v>Anthony Grissom</v>
      </c>
      <c r="F58" s="3">
        <v>3001451</v>
      </c>
      <c r="G58" s="3" t="str">
        <f t="shared" si="3"/>
        <v>300145177</v>
      </c>
      <c r="H58" s="1">
        <v>45536</v>
      </c>
      <c r="I58" t="s">
        <v>75</v>
      </c>
      <c r="J58" s="2">
        <v>-18</v>
      </c>
      <c r="K58" t="s">
        <v>191</v>
      </c>
    </row>
    <row r="59" spans="1:11" x14ac:dyDescent="0.3">
      <c r="A59" t="s">
        <v>31</v>
      </c>
      <c r="B59">
        <v>371819</v>
      </c>
      <c r="C59" t="s">
        <v>76</v>
      </c>
      <c r="D59" t="s">
        <v>77</v>
      </c>
      <c r="E59" t="str">
        <f t="shared" si="2"/>
        <v>Harmony Mcdonald</v>
      </c>
      <c r="F59" s="3">
        <v>2565033</v>
      </c>
      <c r="G59" s="3" t="str">
        <f t="shared" si="3"/>
        <v>256503377</v>
      </c>
      <c r="H59" s="1">
        <v>45505</v>
      </c>
      <c r="I59" t="s">
        <v>75</v>
      </c>
      <c r="J59" s="2">
        <v>-18</v>
      </c>
      <c r="K59" t="s">
        <v>191</v>
      </c>
    </row>
    <row r="60" spans="1:11" x14ac:dyDescent="0.3">
      <c r="A60" t="s">
        <v>31</v>
      </c>
      <c r="B60">
        <v>371819</v>
      </c>
      <c r="C60" t="s">
        <v>79</v>
      </c>
      <c r="D60" t="s">
        <v>77</v>
      </c>
      <c r="E60" t="str">
        <f t="shared" si="2"/>
        <v>Bralyn Mcdonald</v>
      </c>
      <c r="F60" s="3">
        <v>3191310</v>
      </c>
      <c r="G60" s="3" t="str">
        <f t="shared" si="3"/>
        <v>319131077</v>
      </c>
      <c r="H60" s="1">
        <v>45505</v>
      </c>
      <c r="I60" t="s">
        <v>75</v>
      </c>
      <c r="J60" s="2">
        <v>-18</v>
      </c>
      <c r="K60" t="s">
        <v>191</v>
      </c>
    </row>
    <row r="61" spans="1:11" x14ac:dyDescent="0.3">
      <c r="A61" t="s">
        <v>31</v>
      </c>
      <c r="B61">
        <v>371819</v>
      </c>
      <c r="C61" t="s">
        <v>80</v>
      </c>
      <c r="D61" t="s">
        <v>77</v>
      </c>
      <c r="E61" t="str">
        <f t="shared" si="2"/>
        <v>Christopher Mcdonald</v>
      </c>
      <c r="F61" s="3">
        <v>3286420</v>
      </c>
      <c r="G61" s="3" t="str">
        <f t="shared" si="3"/>
        <v>328642077</v>
      </c>
      <c r="H61" s="1">
        <v>45505</v>
      </c>
      <c r="I61" t="s">
        <v>75</v>
      </c>
      <c r="J61" s="2">
        <v>-18</v>
      </c>
      <c r="K61" t="s">
        <v>191</v>
      </c>
    </row>
    <row r="62" spans="1:11" x14ac:dyDescent="0.3">
      <c r="A62" t="s">
        <v>11</v>
      </c>
      <c r="B62">
        <v>8977234</v>
      </c>
      <c r="C62" t="s">
        <v>23</v>
      </c>
      <c r="D62" t="s">
        <v>24</v>
      </c>
      <c r="E62" t="str">
        <f t="shared" si="2"/>
        <v>Bruce Kelley</v>
      </c>
      <c r="F62" s="3">
        <v>65693</v>
      </c>
      <c r="G62" s="3" t="str">
        <f t="shared" si="3"/>
        <v>6569377</v>
      </c>
      <c r="H62" s="1">
        <v>45292</v>
      </c>
      <c r="I62" t="s">
        <v>45</v>
      </c>
      <c r="J62" s="2">
        <v>-16</v>
      </c>
      <c r="K62" t="s">
        <v>192</v>
      </c>
    </row>
    <row r="63" spans="1:11" x14ac:dyDescent="0.3">
      <c r="A63" t="s">
        <v>11</v>
      </c>
      <c r="B63">
        <v>8977234</v>
      </c>
      <c r="C63" t="s">
        <v>26</v>
      </c>
      <c r="D63" t="s">
        <v>27</v>
      </c>
      <c r="E63" t="str">
        <f t="shared" si="2"/>
        <v>Ronald Gengler</v>
      </c>
      <c r="F63" s="3">
        <v>2894856</v>
      </c>
      <c r="G63" s="3" t="str">
        <f t="shared" si="3"/>
        <v>289485677</v>
      </c>
      <c r="H63" s="1">
        <v>45292</v>
      </c>
      <c r="I63" t="s">
        <v>45</v>
      </c>
      <c r="J63" s="2">
        <v>-16</v>
      </c>
      <c r="K63" t="s">
        <v>192</v>
      </c>
    </row>
    <row r="64" spans="1:11" x14ac:dyDescent="0.3">
      <c r="A64" t="s">
        <v>11</v>
      </c>
      <c r="B64">
        <v>8977234</v>
      </c>
      <c r="C64" t="s">
        <v>28</v>
      </c>
      <c r="D64" t="s">
        <v>27</v>
      </c>
      <c r="E64" t="str">
        <f t="shared" si="2"/>
        <v>Amber Gengler</v>
      </c>
      <c r="F64" s="3">
        <v>3814368</v>
      </c>
      <c r="G64" s="3" t="str">
        <f t="shared" si="3"/>
        <v>381436877</v>
      </c>
      <c r="H64" s="1">
        <v>45292</v>
      </c>
      <c r="I64" t="s">
        <v>45</v>
      </c>
      <c r="J64" s="2">
        <v>-16</v>
      </c>
      <c r="K64" t="s">
        <v>192</v>
      </c>
    </row>
    <row r="65" spans="1:11" x14ac:dyDescent="0.3">
      <c r="A65" t="s">
        <v>31</v>
      </c>
      <c r="B65">
        <v>371819</v>
      </c>
      <c r="C65" t="s">
        <v>32</v>
      </c>
      <c r="D65" t="s">
        <v>33</v>
      </c>
      <c r="E65" t="str">
        <f t="shared" si="2"/>
        <v>Dennis Pitts</v>
      </c>
      <c r="F65" s="3">
        <v>3975220</v>
      </c>
      <c r="G65" s="3" t="str">
        <f t="shared" si="3"/>
        <v>397522077</v>
      </c>
      <c r="H65" s="1">
        <v>45597</v>
      </c>
      <c r="I65" t="s">
        <v>45</v>
      </c>
      <c r="J65" s="2">
        <v>-16</v>
      </c>
      <c r="K65" t="s">
        <v>192</v>
      </c>
    </row>
    <row r="66" spans="1:11" x14ac:dyDescent="0.3">
      <c r="A66" t="s">
        <v>31</v>
      </c>
      <c r="B66" t="s">
        <v>184</v>
      </c>
      <c r="C66" t="s">
        <v>46</v>
      </c>
      <c r="D66" t="s">
        <v>47</v>
      </c>
      <c r="E66" t="str">
        <f t="shared" ref="E66:E97" si="4">CONCATENATE(C66, " ",D66)</f>
        <v>Ryan Moore</v>
      </c>
      <c r="F66" s="3">
        <v>3412458</v>
      </c>
      <c r="G66" s="3" t="str">
        <f t="shared" ref="G66:G97" si="5">CONCATENATE(F66,77)</f>
        <v>341245877</v>
      </c>
      <c r="H66" s="1">
        <v>45292</v>
      </c>
      <c r="I66" t="s">
        <v>45</v>
      </c>
      <c r="J66" s="2">
        <v>-16</v>
      </c>
      <c r="K66" t="s">
        <v>192</v>
      </c>
    </row>
    <row r="67" spans="1:11" s="4" customFormat="1" x14ac:dyDescent="0.3">
      <c r="A67" s="4" t="s">
        <v>195</v>
      </c>
      <c r="B67" s="4">
        <v>20411454</v>
      </c>
      <c r="C67" s="4" t="s">
        <v>103</v>
      </c>
      <c r="D67" s="4" t="s">
        <v>104</v>
      </c>
      <c r="E67" s="4" t="str">
        <f t="shared" si="4"/>
        <v>Floyd Adams</v>
      </c>
      <c r="F67" s="5">
        <v>16455763</v>
      </c>
      <c r="G67" s="5" t="str">
        <f>CONCATENATE(F67,1)</f>
        <v>164557631</v>
      </c>
      <c r="H67" s="6">
        <v>44927</v>
      </c>
      <c r="I67" s="4" t="s">
        <v>114</v>
      </c>
      <c r="J67" s="7">
        <v>-2.5</v>
      </c>
      <c r="K67" s="4" t="s">
        <v>193</v>
      </c>
    </row>
    <row r="68" spans="1:11" x14ac:dyDescent="0.3">
      <c r="A68" s="4" t="s">
        <v>195</v>
      </c>
      <c r="B68" s="4">
        <v>20411454</v>
      </c>
      <c r="C68" t="s">
        <v>100</v>
      </c>
      <c r="D68" t="s">
        <v>101</v>
      </c>
      <c r="E68" t="str">
        <f t="shared" si="4"/>
        <v>Nayan Patel</v>
      </c>
      <c r="F68" s="3">
        <v>13047512</v>
      </c>
      <c r="G68" s="5" t="str">
        <f t="shared" ref="G68:G92" si="6">CONCATENATE(F68,1)</f>
        <v>130475121</v>
      </c>
      <c r="H68" s="1">
        <v>44927</v>
      </c>
      <c r="I68" t="s">
        <v>114</v>
      </c>
      <c r="J68" s="2">
        <v>-2.5</v>
      </c>
      <c r="K68" t="s">
        <v>193</v>
      </c>
    </row>
    <row r="69" spans="1:11" x14ac:dyDescent="0.3">
      <c r="A69" s="4" t="s">
        <v>195</v>
      </c>
      <c r="B69" s="4">
        <v>20411454</v>
      </c>
      <c r="C69" t="s">
        <v>88</v>
      </c>
      <c r="D69" t="s">
        <v>102</v>
      </c>
      <c r="E69" t="str">
        <f t="shared" si="4"/>
        <v>Vanessa Delappe</v>
      </c>
      <c r="F69" s="3">
        <v>13514902</v>
      </c>
      <c r="G69" s="5" t="str">
        <f t="shared" si="6"/>
        <v>135149021</v>
      </c>
      <c r="H69" s="1">
        <v>44927</v>
      </c>
      <c r="I69" t="s">
        <v>114</v>
      </c>
      <c r="J69" s="2">
        <v>-2.5</v>
      </c>
      <c r="K69" t="s">
        <v>193</v>
      </c>
    </row>
    <row r="70" spans="1:11" x14ac:dyDescent="0.3">
      <c r="A70" s="4" t="s">
        <v>195</v>
      </c>
      <c r="B70" s="4">
        <v>20411454</v>
      </c>
      <c r="C70" t="s">
        <v>43</v>
      </c>
      <c r="D70" t="s">
        <v>44</v>
      </c>
      <c r="E70" t="str">
        <f t="shared" si="4"/>
        <v>Kim Morse</v>
      </c>
      <c r="F70" s="3">
        <v>5014578</v>
      </c>
      <c r="G70" s="5" t="str">
        <f t="shared" si="6"/>
        <v>50145781</v>
      </c>
      <c r="H70" s="1">
        <v>45597</v>
      </c>
      <c r="I70" t="s">
        <v>114</v>
      </c>
      <c r="J70" s="2">
        <v>-2.5</v>
      </c>
      <c r="K70" t="s">
        <v>193</v>
      </c>
    </row>
    <row r="71" spans="1:11" x14ac:dyDescent="0.3">
      <c r="A71" s="4" t="s">
        <v>195</v>
      </c>
      <c r="B71" s="4">
        <v>20411454</v>
      </c>
      <c r="C71" t="s">
        <v>50</v>
      </c>
      <c r="D71" t="s">
        <v>51</v>
      </c>
      <c r="E71" t="str">
        <f t="shared" si="4"/>
        <v>Annette Brooks</v>
      </c>
      <c r="F71" s="3">
        <v>2665329</v>
      </c>
      <c r="G71" s="5" t="str">
        <f t="shared" si="6"/>
        <v>26653291</v>
      </c>
      <c r="H71" s="1">
        <v>44927</v>
      </c>
      <c r="I71" t="s">
        <v>114</v>
      </c>
      <c r="J71" s="2">
        <v>-2.5</v>
      </c>
      <c r="K71" t="s">
        <v>193</v>
      </c>
    </row>
    <row r="72" spans="1:11" x14ac:dyDescent="0.3">
      <c r="A72" s="4" t="s">
        <v>195</v>
      </c>
      <c r="B72" s="4">
        <v>20411454</v>
      </c>
      <c r="C72" t="s">
        <v>54</v>
      </c>
      <c r="D72" t="s">
        <v>51</v>
      </c>
      <c r="E72" t="str">
        <f t="shared" si="4"/>
        <v>Michael Brooks</v>
      </c>
      <c r="F72" s="3">
        <v>3273045</v>
      </c>
      <c r="G72" s="5" t="str">
        <f t="shared" si="6"/>
        <v>32730451</v>
      </c>
      <c r="H72" s="1">
        <v>44927</v>
      </c>
      <c r="I72" t="s">
        <v>114</v>
      </c>
      <c r="J72" s="2">
        <v>-2.5</v>
      </c>
      <c r="K72" t="s">
        <v>193</v>
      </c>
    </row>
    <row r="73" spans="1:11" x14ac:dyDescent="0.3">
      <c r="A73" s="4" t="s">
        <v>195</v>
      </c>
      <c r="B73" s="4">
        <v>20411454</v>
      </c>
      <c r="C73" t="s">
        <v>59</v>
      </c>
      <c r="D73" t="s">
        <v>60</v>
      </c>
      <c r="E73" t="str">
        <f t="shared" si="4"/>
        <v>Kyle Hoffman</v>
      </c>
      <c r="F73" s="3">
        <v>3825033</v>
      </c>
      <c r="G73" s="5" t="str">
        <f t="shared" si="6"/>
        <v>38250331</v>
      </c>
      <c r="H73" s="1">
        <v>44197</v>
      </c>
      <c r="I73" t="s">
        <v>114</v>
      </c>
      <c r="J73" s="2">
        <v>-2.5</v>
      </c>
      <c r="K73" t="s">
        <v>193</v>
      </c>
    </row>
    <row r="74" spans="1:11" x14ac:dyDescent="0.3">
      <c r="A74" s="4" t="s">
        <v>195</v>
      </c>
      <c r="B74" s="4">
        <v>20411454</v>
      </c>
      <c r="C74" t="s">
        <v>56</v>
      </c>
      <c r="D74" t="s">
        <v>57</v>
      </c>
      <c r="E74" t="str">
        <f t="shared" si="4"/>
        <v>Gale Wilkowski</v>
      </c>
      <c r="F74" s="3">
        <v>3811777</v>
      </c>
      <c r="G74" s="5" t="str">
        <f t="shared" si="6"/>
        <v>38117771</v>
      </c>
      <c r="H74" s="1">
        <v>45474</v>
      </c>
      <c r="I74" t="s">
        <v>114</v>
      </c>
      <c r="J74" s="2">
        <v>-2.5</v>
      </c>
      <c r="K74" t="s">
        <v>193</v>
      </c>
    </row>
    <row r="75" spans="1:11" x14ac:dyDescent="0.3">
      <c r="A75" s="4" t="s">
        <v>195</v>
      </c>
      <c r="B75" s="4">
        <v>20411454</v>
      </c>
      <c r="C75" t="s">
        <v>23</v>
      </c>
      <c r="D75" t="s">
        <v>24</v>
      </c>
      <c r="E75" t="str">
        <f t="shared" si="4"/>
        <v>Bruce Kelley</v>
      </c>
      <c r="F75" s="3">
        <v>65693</v>
      </c>
      <c r="G75" s="5" t="str">
        <f t="shared" si="6"/>
        <v>656931</v>
      </c>
      <c r="H75" s="1">
        <v>45292</v>
      </c>
      <c r="I75" t="s">
        <v>114</v>
      </c>
      <c r="J75" s="2">
        <v>-2.5</v>
      </c>
      <c r="K75" t="s">
        <v>193</v>
      </c>
    </row>
    <row r="76" spans="1:11" x14ac:dyDescent="0.3">
      <c r="A76" s="4" t="s">
        <v>195</v>
      </c>
      <c r="B76" s="4">
        <v>20411454</v>
      </c>
      <c r="C76" t="s">
        <v>26</v>
      </c>
      <c r="D76" t="s">
        <v>27</v>
      </c>
      <c r="E76" t="str">
        <f t="shared" si="4"/>
        <v>Ronald Gengler</v>
      </c>
      <c r="F76" s="3">
        <v>2894856</v>
      </c>
      <c r="G76" s="5" t="str">
        <f t="shared" si="6"/>
        <v>28948561</v>
      </c>
      <c r="H76" s="1">
        <v>45292</v>
      </c>
      <c r="I76" t="s">
        <v>114</v>
      </c>
      <c r="J76" s="2">
        <v>-2.5</v>
      </c>
      <c r="K76" t="s">
        <v>193</v>
      </c>
    </row>
    <row r="77" spans="1:11" x14ac:dyDescent="0.3">
      <c r="A77" s="4" t="s">
        <v>195</v>
      </c>
      <c r="B77" s="4">
        <v>20411454</v>
      </c>
      <c r="C77" t="s">
        <v>28</v>
      </c>
      <c r="D77" t="s">
        <v>27</v>
      </c>
      <c r="E77" t="str">
        <f t="shared" si="4"/>
        <v>Amber Gengler</v>
      </c>
      <c r="F77" s="3">
        <v>3814368</v>
      </c>
      <c r="G77" s="5" t="str">
        <f t="shared" si="6"/>
        <v>38143681</v>
      </c>
      <c r="H77" s="1">
        <v>45292</v>
      </c>
      <c r="I77" t="s">
        <v>114</v>
      </c>
      <c r="J77" s="2">
        <v>-2.5</v>
      </c>
      <c r="K77" t="s">
        <v>193</v>
      </c>
    </row>
    <row r="78" spans="1:11" x14ac:dyDescent="0.3">
      <c r="A78" s="4" t="s">
        <v>195</v>
      </c>
      <c r="B78" s="4">
        <v>20411454</v>
      </c>
      <c r="C78" t="s">
        <v>70</v>
      </c>
      <c r="D78" t="s">
        <v>97</v>
      </c>
      <c r="E78" t="str">
        <f t="shared" si="4"/>
        <v>James Smith</v>
      </c>
      <c r="F78" s="3">
        <v>12033259</v>
      </c>
      <c r="G78" s="5" t="str">
        <f t="shared" si="6"/>
        <v>120332591</v>
      </c>
      <c r="H78" s="1">
        <v>44835</v>
      </c>
      <c r="I78" t="s">
        <v>114</v>
      </c>
      <c r="J78" s="2">
        <v>-2.5</v>
      </c>
      <c r="K78" t="s">
        <v>193</v>
      </c>
    </row>
    <row r="79" spans="1:11" x14ac:dyDescent="0.3">
      <c r="A79" s="4" t="s">
        <v>195</v>
      </c>
      <c r="B79" s="4">
        <v>20411454</v>
      </c>
      <c r="C79" t="s">
        <v>13</v>
      </c>
      <c r="D79" t="s">
        <v>14</v>
      </c>
      <c r="E79" t="str">
        <f t="shared" si="4"/>
        <v>Boden Woodard</v>
      </c>
      <c r="F79" s="3">
        <v>2457940</v>
      </c>
      <c r="G79" s="5" t="str">
        <f t="shared" si="6"/>
        <v>24579401</v>
      </c>
      <c r="H79" s="1">
        <v>45292</v>
      </c>
      <c r="I79" t="s">
        <v>114</v>
      </c>
      <c r="J79" s="2">
        <v>-2.5</v>
      </c>
      <c r="K79" t="s">
        <v>193</v>
      </c>
    </row>
    <row r="80" spans="1:11" x14ac:dyDescent="0.3">
      <c r="A80" s="4" t="s">
        <v>195</v>
      </c>
      <c r="B80" s="4">
        <v>20411454</v>
      </c>
      <c r="C80" t="s">
        <v>19</v>
      </c>
      <c r="D80" t="s">
        <v>14</v>
      </c>
      <c r="E80" t="str">
        <f t="shared" si="4"/>
        <v>Douglas Woodard</v>
      </c>
      <c r="F80" s="3">
        <v>2943631</v>
      </c>
      <c r="G80" s="5" t="str">
        <f t="shared" si="6"/>
        <v>29436311</v>
      </c>
      <c r="H80" s="1">
        <v>45292</v>
      </c>
      <c r="I80" t="s">
        <v>114</v>
      </c>
      <c r="J80" s="2">
        <v>-2.5</v>
      </c>
      <c r="K80" t="s">
        <v>193</v>
      </c>
    </row>
    <row r="81" spans="1:11" x14ac:dyDescent="0.3">
      <c r="A81" s="4" t="s">
        <v>195</v>
      </c>
      <c r="B81" s="4">
        <v>20411454</v>
      </c>
      <c r="C81" t="s">
        <v>20</v>
      </c>
      <c r="D81" t="s">
        <v>21</v>
      </c>
      <c r="E81" t="str">
        <f t="shared" si="4"/>
        <v>Lisa Biagi Woodard</v>
      </c>
      <c r="F81" s="3">
        <v>3053615</v>
      </c>
      <c r="G81" s="5" t="str">
        <f t="shared" si="6"/>
        <v>30536151</v>
      </c>
      <c r="H81" s="1">
        <v>45292</v>
      </c>
      <c r="I81" t="s">
        <v>114</v>
      </c>
      <c r="J81" s="2">
        <v>-2.5</v>
      </c>
      <c r="K81" t="s">
        <v>193</v>
      </c>
    </row>
    <row r="82" spans="1:11" x14ac:dyDescent="0.3">
      <c r="A82" s="4" t="s">
        <v>195</v>
      </c>
      <c r="B82" s="4">
        <v>20411454</v>
      </c>
      <c r="C82" t="s">
        <v>37</v>
      </c>
      <c r="D82" t="s">
        <v>38</v>
      </c>
      <c r="E82" t="str">
        <f t="shared" si="4"/>
        <v>Rebecca Bocock</v>
      </c>
      <c r="F82" s="3" t="s">
        <v>112</v>
      </c>
      <c r="G82" s="5" t="str">
        <f t="shared" si="6"/>
        <v>CA-6294402191</v>
      </c>
      <c r="H82" s="1">
        <v>45566</v>
      </c>
      <c r="I82" t="s">
        <v>113</v>
      </c>
      <c r="J82" s="2">
        <v>-2.5</v>
      </c>
      <c r="K82" t="s">
        <v>193</v>
      </c>
    </row>
    <row r="83" spans="1:11" x14ac:dyDescent="0.3">
      <c r="A83" s="4" t="s">
        <v>195</v>
      </c>
      <c r="B83" s="4">
        <v>20411454</v>
      </c>
      <c r="C83" t="s">
        <v>37</v>
      </c>
      <c r="D83" t="s">
        <v>38</v>
      </c>
      <c r="E83" t="str">
        <f t="shared" si="4"/>
        <v>Rebecca Bocock</v>
      </c>
      <c r="F83" s="3">
        <v>629440219</v>
      </c>
      <c r="G83" s="5" t="str">
        <f t="shared" si="6"/>
        <v>6294402191</v>
      </c>
      <c r="H83" s="1">
        <v>45566</v>
      </c>
      <c r="I83" t="s">
        <v>114</v>
      </c>
      <c r="J83" s="2">
        <v>-2.5</v>
      </c>
      <c r="K83" t="s">
        <v>193</v>
      </c>
    </row>
    <row r="84" spans="1:11" x14ac:dyDescent="0.3">
      <c r="A84" s="4" t="s">
        <v>195</v>
      </c>
      <c r="B84" s="4">
        <v>20411454</v>
      </c>
      <c r="C84" t="s">
        <v>40</v>
      </c>
      <c r="D84" t="s">
        <v>41</v>
      </c>
      <c r="E84" t="str">
        <f t="shared" si="4"/>
        <v>Miguel Peralta</v>
      </c>
      <c r="F84" s="3">
        <v>4580991</v>
      </c>
      <c r="G84" s="5" t="str">
        <f t="shared" si="6"/>
        <v>45809911</v>
      </c>
      <c r="H84" s="1">
        <v>45566</v>
      </c>
      <c r="I84" t="s">
        <v>114</v>
      </c>
      <c r="J84" s="2">
        <v>-2.5</v>
      </c>
      <c r="K84" t="s">
        <v>193</v>
      </c>
    </row>
    <row r="85" spans="1:11" x14ac:dyDescent="0.3">
      <c r="A85" s="4" t="s">
        <v>195</v>
      </c>
      <c r="B85" s="4">
        <v>20411454</v>
      </c>
      <c r="C85" t="s">
        <v>37</v>
      </c>
      <c r="D85" t="s">
        <v>38</v>
      </c>
      <c r="E85" t="str">
        <f t="shared" si="4"/>
        <v>Rebecca Bocock</v>
      </c>
      <c r="F85" s="3" t="s">
        <v>112</v>
      </c>
      <c r="G85" s="5" t="str">
        <f t="shared" si="6"/>
        <v>CA-6294402191</v>
      </c>
      <c r="H85" s="1">
        <v>45566</v>
      </c>
      <c r="I85" t="s">
        <v>114</v>
      </c>
      <c r="J85" s="2">
        <v>-2.5</v>
      </c>
      <c r="K85" t="s">
        <v>193</v>
      </c>
    </row>
    <row r="86" spans="1:11" x14ac:dyDescent="0.3">
      <c r="A86" s="4" t="s">
        <v>195</v>
      </c>
      <c r="B86" s="4">
        <v>20411454</v>
      </c>
      <c r="C86" t="s">
        <v>32</v>
      </c>
      <c r="D86" t="s">
        <v>33</v>
      </c>
      <c r="E86" t="str">
        <f t="shared" si="4"/>
        <v>Dennis Pitts</v>
      </c>
      <c r="F86" s="3">
        <v>3975220</v>
      </c>
      <c r="G86" s="5" t="str">
        <f t="shared" si="6"/>
        <v>39752201</v>
      </c>
      <c r="H86" s="1">
        <v>45597</v>
      </c>
      <c r="I86" t="s">
        <v>114</v>
      </c>
      <c r="J86" s="2">
        <v>-2.5</v>
      </c>
      <c r="K86" t="s">
        <v>193</v>
      </c>
    </row>
    <row r="87" spans="1:11" x14ac:dyDescent="0.3">
      <c r="A87" s="4" t="s">
        <v>195</v>
      </c>
      <c r="B87" s="4">
        <v>20411454</v>
      </c>
      <c r="C87" t="s">
        <v>73</v>
      </c>
      <c r="D87" t="s">
        <v>74</v>
      </c>
      <c r="E87" t="str">
        <f t="shared" si="4"/>
        <v>Carrington Grissom</v>
      </c>
      <c r="F87" s="3">
        <v>2357786</v>
      </c>
      <c r="G87" s="5" t="str">
        <f t="shared" si="6"/>
        <v>23577861</v>
      </c>
      <c r="H87" s="1">
        <v>45536</v>
      </c>
      <c r="I87" t="s">
        <v>114</v>
      </c>
      <c r="J87" s="2">
        <v>-2.5</v>
      </c>
      <c r="K87" t="s">
        <v>193</v>
      </c>
    </row>
    <row r="88" spans="1:11" x14ac:dyDescent="0.3">
      <c r="A88" s="4" t="s">
        <v>195</v>
      </c>
      <c r="B88" s="4">
        <v>20411454</v>
      </c>
      <c r="C88" t="s">
        <v>78</v>
      </c>
      <c r="D88" t="s">
        <v>74</v>
      </c>
      <c r="E88" t="str">
        <f t="shared" si="4"/>
        <v>Anthony Grissom</v>
      </c>
      <c r="F88" s="3">
        <v>3001451</v>
      </c>
      <c r="G88" s="5" t="str">
        <f t="shared" si="6"/>
        <v>30014511</v>
      </c>
      <c r="H88" s="1">
        <v>45536</v>
      </c>
      <c r="I88" t="s">
        <v>114</v>
      </c>
      <c r="J88" s="2">
        <v>-2.5</v>
      </c>
      <c r="K88" t="s">
        <v>193</v>
      </c>
    </row>
    <row r="89" spans="1:11" x14ac:dyDescent="0.3">
      <c r="A89" s="4" t="s">
        <v>195</v>
      </c>
      <c r="B89" s="4">
        <v>20411454</v>
      </c>
      <c r="C89" t="s">
        <v>76</v>
      </c>
      <c r="D89" t="s">
        <v>77</v>
      </c>
      <c r="E89" t="str">
        <f t="shared" si="4"/>
        <v>Harmony Mcdonald</v>
      </c>
      <c r="F89" s="3">
        <v>2565033</v>
      </c>
      <c r="G89" s="5" t="str">
        <f t="shared" si="6"/>
        <v>25650331</v>
      </c>
      <c r="H89" s="1">
        <v>45505</v>
      </c>
      <c r="I89" t="s">
        <v>114</v>
      </c>
      <c r="J89" s="2">
        <v>-2.5</v>
      </c>
      <c r="K89" t="s">
        <v>193</v>
      </c>
    </row>
    <row r="90" spans="1:11" x14ac:dyDescent="0.3">
      <c r="A90" s="4" t="s">
        <v>195</v>
      </c>
      <c r="B90" s="4">
        <v>20411454</v>
      </c>
      <c r="C90" t="s">
        <v>79</v>
      </c>
      <c r="D90" t="s">
        <v>77</v>
      </c>
      <c r="E90" t="str">
        <f t="shared" si="4"/>
        <v>Bralyn Mcdonald</v>
      </c>
      <c r="F90" s="3">
        <v>3191310</v>
      </c>
      <c r="G90" s="5" t="str">
        <f t="shared" si="6"/>
        <v>31913101</v>
      </c>
      <c r="H90" s="1">
        <v>45505</v>
      </c>
      <c r="I90" t="s">
        <v>114</v>
      </c>
      <c r="J90" s="2">
        <v>-2.5</v>
      </c>
      <c r="K90" t="s">
        <v>193</v>
      </c>
    </row>
    <row r="91" spans="1:11" x14ac:dyDescent="0.3">
      <c r="A91" s="4" t="s">
        <v>195</v>
      </c>
      <c r="B91" s="4">
        <v>20411454</v>
      </c>
      <c r="C91" t="s">
        <v>80</v>
      </c>
      <c r="D91" t="s">
        <v>77</v>
      </c>
      <c r="E91" t="str">
        <f t="shared" si="4"/>
        <v>Christopher Mcdonald</v>
      </c>
      <c r="F91" s="3">
        <v>3286420</v>
      </c>
      <c r="G91" s="5" t="str">
        <f t="shared" si="6"/>
        <v>32864201</v>
      </c>
      <c r="H91" s="1">
        <v>45505</v>
      </c>
      <c r="I91" t="s">
        <v>114</v>
      </c>
      <c r="J91" s="2">
        <v>-2.5</v>
      </c>
      <c r="K91" t="s">
        <v>193</v>
      </c>
    </row>
    <row r="92" spans="1:11" s="4" customFormat="1" x14ac:dyDescent="0.3">
      <c r="A92" s="4" t="s">
        <v>195</v>
      </c>
      <c r="B92" s="4">
        <v>20411454</v>
      </c>
      <c r="C92" s="4" t="s">
        <v>46</v>
      </c>
      <c r="D92" s="4" t="s">
        <v>47</v>
      </c>
      <c r="E92" s="4" t="str">
        <f t="shared" si="4"/>
        <v>Ryan Moore</v>
      </c>
      <c r="F92" s="5">
        <v>3412458</v>
      </c>
      <c r="G92" s="5" t="str">
        <f t="shared" si="6"/>
        <v>34124581</v>
      </c>
      <c r="H92" s="6">
        <v>45292</v>
      </c>
      <c r="I92" s="4" t="s">
        <v>114</v>
      </c>
      <c r="J92" s="7">
        <v>-2.5</v>
      </c>
      <c r="K92" s="4" t="s">
        <v>193</v>
      </c>
    </row>
    <row r="93" spans="1:11" x14ac:dyDescent="0.3">
      <c r="A93" t="s">
        <v>11</v>
      </c>
      <c r="B93">
        <v>8977234</v>
      </c>
      <c r="C93" t="s">
        <v>13</v>
      </c>
      <c r="D93" t="s">
        <v>14</v>
      </c>
      <c r="E93" t="str">
        <f t="shared" si="4"/>
        <v>Boden Woodard</v>
      </c>
      <c r="F93" s="3" t="s">
        <v>178</v>
      </c>
      <c r="G93" s="3" t="str">
        <f t="shared" si="5"/>
        <v>UT-000245794077</v>
      </c>
      <c r="H93" s="1">
        <v>45292</v>
      </c>
      <c r="I93" t="s">
        <v>179</v>
      </c>
      <c r="J93" s="2">
        <v>19</v>
      </c>
      <c r="K93" t="s">
        <v>190</v>
      </c>
    </row>
    <row r="94" spans="1:11" x14ac:dyDescent="0.3">
      <c r="A94" t="s">
        <v>11</v>
      </c>
      <c r="B94">
        <v>8977234</v>
      </c>
      <c r="C94" t="s">
        <v>17</v>
      </c>
      <c r="D94" t="s">
        <v>18</v>
      </c>
      <c r="E94" t="str">
        <f t="shared" si="4"/>
        <v>Toni Charter</v>
      </c>
      <c r="F94" s="3" t="s">
        <v>180</v>
      </c>
      <c r="G94" s="3" t="str">
        <f t="shared" si="5"/>
        <v>UT-000251645177</v>
      </c>
      <c r="H94" s="1">
        <v>45658</v>
      </c>
      <c r="I94" t="s">
        <v>179</v>
      </c>
      <c r="J94" s="2">
        <v>19</v>
      </c>
      <c r="K94" t="s">
        <v>190</v>
      </c>
    </row>
    <row r="95" spans="1:11" x14ac:dyDescent="0.3">
      <c r="A95" t="s">
        <v>11</v>
      </c>
      <c r="B95">
        <v>8977234</v>
      </c>
      <c r="C95" t="s">
        <v>19</v>
      </c>
      <c r="D95" t="s">
        <v>14</v>
      </c>
      <c r="E95" t="str">
        <f t="shared" si="4"/>
        <v>Douglas Woodard</v>
      </c>
      <c r="F95" s="3" t="s">
        <v>181</v>
      </c>
      <c r="G95" s="3" t="str">
        <f t="shared" si="5"/>
        <v>UT-000294363177</v>
      </c>
      <c r="H95" s="1">
        <v>45292</v>
      </c>
      <c r="I95" t="s">
        <v>179</v>
      </c>
      <c r="J95" s="2">
        <v>19</v>
      </c>
      <c r="K95" t="s">
        <v>190</v>
      </c>
    </row>
    <row r="96" spans="1:11" x14ac:dyDescent="0.3">
      <c r="A96" t="s">
        <v>11</v>
      </c>
      <c r="B96">
        <v>8977234</v>
      </c>
      <c r="C96" t="s">
        <v>20</v>
      </c>
      <c r="D96" t="s">
        <v>21</v>
      </c>
      <c r="E96" t="str">
        <f t="shared" si="4"/>
        <v>Lisa Biagi Woodard</v>
      </c>
      <c r="F96" s="3" t="s">
        <v>182</v>
      </c>
      <c r="G96" s="3" t="str">
        <f t="shared" si="5"/>
        <v>UT-000305361577</v>
      </c>
      <c r="H96" s="1">
        <v>45292</v>
      </c>
      <c r="I96" t="s">
        <v>179</v>
      </c>
      <c r="J96" s="2">
        <v>19</v>
      </c>
      <c r="K96" t="s">
        <v>190</v>
      </c>
    </row>
    <row r="97" spans="1:11" x14ac:dyDescent="0.3">
      <c r="A97" t="s">
        <v>11</v>
      </c>
      <c r="B97">
        <v>8977234</v>
      </c>
      <c r="C97" t="s">
        <v>13</v>
      </c>
      <c r="D97" t="s">
        <v>14</v>
      </c>
      <c r="E97" t="str">
        <f t="shared" si="4"/>
        <v>Boden Woodard</v>
      </c>
      <c r="F97" s="3" t="s">
        <v>178</v>
      </c>
      <c r="G97" s="3" t="str">
        <f t="shared" si="5"/>
        <v>UT-000245794077</v>
      </c>
      <c r="H97" s="1">
        <v>45292</v>
      </c>
      <c r="I97" t="s">
        <v>183</v>
      </c>
      <c r="J97" s="2">
        <v>19</v>
      </c>
      <c r="K97" t="s">
        <v>190</v>
      </c>
    </row>
    <row r="98" spans="1:11" x14ac:dyDescent="0.3">
      <c r="A98" t="s">
        <v>11</v>
      </c>
      <c r="B98">
        <v>8977234</v>
      </c>
      <c r="C98" t="s">
        <v>17</v>
      </c>
      <c r="D98" t="s">
        <v>18</v>
      </c>
      <c r="E98" t="str">
        <f t="shared" ref="E98:E129" si="7">CONCATENATE(C98, " ",D98)</f>
        <v>Toni Charter</v>
      </c>
      <c r="F98" s="3" t="s">
        <v>180</v>
      </c>
      <c r="G98" s="3" t="str">
        <f t="shared" ref="G98:G129" si="8">CONCATENATE(F98,77)</f>
        <v>UT-000251645177</v>
      </c>
      <c r="H98" s="1">
        <v>45658</v>
      </c>
      <c r="I98" t="s">
        <v>183</v>
      </c>
      <c r="J98" s="2">
        <v>19</v>
      </c>
      <c r="K98" t="s">
        <v>190</v>
      </c>
    </row>
    <row r="99" spans="1:11" x14ac:dyDescent="0.3">
      <c r="A99" t="s">
        <v>11</v>
      </c>
      <c r="B99">
        <v>8977234</v>
      </c>
      <c r="C99" t="s">
        <v>19</v>
      </c>
      <c r="D99" t="s">
        <v>14</v>
      </c>
      <c r="E99" t="str">
        <f t="shared" si="7"/>
        <v>Douglas Woodard</v>
      </c>
      <c r="F99" s="3" t="s">
        <v>181</v>
      </c>
      <c r="G99" s="3" t="str">
        <f t="shared" si="8"/>
        <v>UT-000294363177</v>
      </c>
      <c r="H99" s="1">
        <v>45292</v>
      </c>
      <c r="I99" t="s">
        <v>183</v>
      </c>
      <c r="J99" s="2">
        <v>19</v>
      </c>
      <c r="K99" t="s">
        <v>190</v>
      </c>
    </row>
    <row r="100" spans="1:11" x14ac:dyDescent="0.3">
      <c r="A100" t="s">
        <v>11</v>
      </c>
      <c r="B100">
        <v>8977234</v>
      </c>
      <c r="C100" t="s">
        <v>20</v>
      </c>
      <c r="D100" t="s">
        <v>21</v>
      </c>
      <c r="E100" t="str">
        <f t="shared" si="7"/>
        <v>Lisa Biagi Woodard</v>
      </c>
      <c r="F100" s="3" t="s">
        <v>182</v>
      </c>
      <c r="G100" s="3" t="str">
        <f t="shared" si="8"/>
        <v>UT-000305361577</v>
      </c>
      <c r="H100" s="1">
        <v>45292</v>
      </c>
      <c r="I100" t="s">
        <v>183</v>
      </c>
      <c r="J100" s="2">
        <v>19</v>
      </c>
      <c r="K100" t="s">
        <v>190</v>
      </c>
    </row>
    <row r="101" spans="1:11" x14ac:dyDescent="0.3">
      <c r="A101" t="s">
        <v>11</v>
      </c>
      <c r="B101">
        <v>8977234</v>
      </c>
      <c r="C101" t="s">
        <v>23</v>
      </c>
      <c r="D101" t="s">
        <v>24</v>
      </c>
      <c r="E101" t="str">
        <f t="shared" si="7"/>
        <v>Bruce Kelley</v>
      </c>
      <c r="F101" s="3" t="s">
        <v>115</v>
      </c>
      <c r="G101" s="3" t="str">
        <f t="shared" si="8"/>
        <v>OH-000006569377</v>
      </c>
      <c r="H101" s="1">
        <v>45292</v>
      </c>
      <c r="I101" t="s">
        <v>116</v>
      </c>
      <c r="J101" s="2">
        <v>20</v>
      </c>
      <c r="K101" t="s">
        <v>189</v>
      </c>
    </row>
    <row r="102" spans="1:11" x14ac:dyDescent="0.3">
      <c r="A102" t="s">
        <v>11</v>
      </c>
      <c r="B102">
        <v>8977234</v>
      </c>
      <c r="C102" t="s">
        <v>26</v>
      </c>
      <c r="D102" t="s">
        <v>27</v>
      </c>
      <c r="E102" t="str">
        <f t="shared" si="7"/>
        <v>Ronald Gengler</v>
      </c>
      <c r="F102" s="3" t="s">
        <v>117</v>
      </c>
      <c r="G102" s="3" t="str">
        <f t="shared" si="8"/>
        <v>OH-000289485677</v>
      </c>
      <c r="H102" s="1">
        <v>45292</v>
      </c>
      <c r="I102" t="s">
        <v>116</v>
      </c>
      <c r="J102" s="2">
        <v>20</v>
      </c>
      <c r="K102" t="s">
        <v>189</v>
      </c>
    </row>
    <row r="103" spans="1:11" x14ac:dyDescent="0.3">
      <c r="A103" t="s">
        <v>11</v>
      </c>
      <c r="B103">
        <v>8977234</v>
      </c>
      <c r="C103" t="s">
        <v>28</v>
      </c>
      <c r="D103" t="s">
        <v>27</v>
      </c>
      <c r="E103" t="str">
        <f t="shared" si="7"/>
        <v>Amber Gengler</v>
      </c>
      <c r="F103" s="3" t="s">
        <v>118</v>
      </c>
      <c r="G103" s="3" t="str">
        <f t="shared" si="8"/>
        <v>OH-000381436877</v>
      </c>
      <c r="H103" s="1">
        <v>45292</v>
      </c>
      <c r="I103" t="s">
        <v>116</v>
      </c>
      <c r="J103" s="2">
        <v>20</v>
      </c>
      <c r="K103" t="s">
        <v>189</v>
      </c>
    </row>
    <row r="104" spans="1:11" x14ac:dyDescent="0.3">
      <c r="A104" t="s">
        <v>11</v>
      </c>
      <c r="B104">
        <v>8977234</v>
      </c>
      <c r="C104" t="s">
        <v>29</v>
      </c>
      <c r="D104" t="s">
        <v>30</v>
      </c>
      <c r="E104" t="str">
        <f t="shared" si="7"/>
        <v>Allen Reinhart</v>
      </c>
      <c r="F104" s="3" t="s">
        <v>119</v>
      </c>
      <c r="G104" s="3" t="str">
        <f t="shared" si="8"/>
        <v>OH-000396772477</v>
      </c>
      <c r="H104" s="1">
        <v>45658</v>
      </c>
      <c r="I104" t="s">
        <v>116</v>
      </c>
      <c r="J104" s="2">
        <v>20</v>
      </c>
      <c r="K104" t="s">
        <v>189</v>
      </c>
    </row>
    <row r="105" spans="1:11" x14ac:dyDescent="0.3">
      <c r="A105" t="s">
        <v>11</v>
      </c>
      <c r="B105">
        <v>8977234</v>
      </c>
      <c r="C105" t="s">
        <v>34</v>
      </c>
      <c r="D105" t="s">
        <v>35</v>
      </c>
      <c r="E105" t="str">
        <f t="shared" si="7"/>
        <v>Kimberly Smithson</v>
      </c>
      <c r="F105" s="3" t="s">
        <v>121</v>
      </c>
      <c r="G105" s="3" t="str">
        <f t="shared" si="8"/>
        <v>OH-000399100677</v>
      </c>
      <c r="H105" s="1">
        <v>45658</v>
      </c>
      <c r="I105" t="s">
        <v>116</v>
      </c>
      <c r="J105" s="2">
        <v>20</v>
      </c>
      <c r="K105" t="s">
        <v>189</v>
      </c>
    </row>
    <row r="106" spans="1:11" x14ac:dyDescent="0.3">
      <c r="A106" t="s">
        <v>11</v>
      </c>
      <c r="B106">
        <v>8977234</v>
      </c>
      <c r="C106" t="s">
        <v>23</v>
      </c>
      <c r="D106" t="s">
        <v>24</v>
      </c>
      <c r="E106" t="str">
        <f t="shared" si="7"/>
        <v>Bruce Kelley</v>
      </c>
      <c r="F106" s="3" t="s">
        <v>115</v>
      </c>
      <c r="G106" s="3" t="str">
        <f t="shared" si="8"/>
        <v>OH-000006569377</v>
      </c>
      <c r="H106" s="1">
        <v>45292</v>
      </c>
      <c r="I106" t="s">
        <v>124</v>
      </c>
      <c r="J106" s="2">
        <v>20</v>
      </c>
      <c r="K106" t="s">
        <v>189</v>
      </c>
    </row>
    <row r="107" spans="1:11" x14ac:dyDescent="0.3">
      <c r="A107" t="s">
        <v>11</v>
      </c>
      <c r="B107">
        <v>8977234</v>
      </c>
      <c r="C107" t="s">
        <v>26</v>
      </c>
      <c r="D107" t="s">
        <v>27</v>
      </c>
      <c r="E107" t="str">
        <f t="shared" si="7"/>
        <v>Ronald Gengler</v>
      </c>
      <c r="F107" s="3" t="s">
        <v>117</v>
      </c>
      <c r="G107" s="3" t="str">
        <f t="shared" si="8"/>
        <v>OH-000289485677</v>
      </c>
      <c r="H107" s="1">
        <v>45292</v>
      </c>
      <c r="I107" t="s">
        <v>124</v>
      </c>
      <c r="J107" s="2">
        <v>20</v>
      </c>
      <c r="K107" t="s">
        <v>189</v>
      </c>
    </row>
    <row r="108" spans="1:11" x14ac:dyDescent="0.3">
      <c r="A108" t="s">
        <v>11</v>
      </c>
      <c r="B108">
        <v>8977234</v>
      </c>
      <c r="C108" t="s">
        <v>28</v>
      </c>
      <c r="D108" t="s">
        <v>27</v>
      </c>
      <c r="E108" t="str">
        <f t="shared" si="7"/>
        <v>Amber Gengler</v>
      </c>
      <c r="F108" s="3" t="s">
        <v>118</v>
      </c>
      <c r="G108" s="3" t="str">
        <f t="shared" si="8"/>
        <v>OH-000381436877</v>
      </c>
      <c r="H108" s="1">
        <v>45292</v>
      </c>
      <c r="I108" t="s">
        <v>124</v>
      </c>
      <c r="J108" s="2">
        <v>20</v>
      </c>
      <c r="K108" t="s">
        <v>189</v>
      </c>
    </row>
    <row r="109" spans="1:11" x14ac:dyDescent="0.3">
      <c r="A109" t="s">
        <v>11</v>
      </c>
      <c r="B109">
        <v>8977234</v>
      </c>
      <c r="C109" t="s">
        <v>29</v>
      </c>
      <c r="D109" t="s">
        <v>30</v>
      </c>
      <c r="E109" t="str">
        <f t="shared" si="7"/>
        <v>Allen Reinhart</v>
      </c>
      <c r="F109" s="3" t="s">
        <v>119</v>
      </c>
      <c r="G109" s="3" t="str">
        <f t="shared" si="8"/>
        <v>OH-000396772477</v>
      </c>
      <c r="H109" s="1">
        <v>45658</v>
      </c>
      <c r="I109" t="s">
        <v>124</v>
      </c>
      <c r="J109" s="2">
        <v>20</v>
      </c>
      <c r="K109" t="s">
        <v>189</v>
      </c>
    </row>
    <row r="110" spans="1:11" x14ac:dyDescent="0.3">
      <c r="A110" t="s">
        <v>11</v>
      </c>
      <c r="B110">
        <v>8977234</v>
      </c>
      <c r="C110" t="s">
        <v>34</v>
      </c>
      <c r="D110" t="s">
        <v>35</v>
      </c>
      <c r="E110" t="str">
        <f t="shared" si="7"/>
        <v>Kimberly Smithson</v>
      </c>
      <c r="F110" s="3" t="s">
        <v>121</v>
      </c>
      <c r="G110" s="3" t="str">
        <f t="shared" si="8"/>
        <v>OH-000399100677</v>
      </c>
      <c r="H110" s="1">
        <v>45658</v>
      </c>
      <c r="I110" t="s">
        <v>124</v>
      </c>
      <c r="J110" s="2">
        <v>20</v>
      </c>
      <c r="K110" t="s">
        <v>189</v>
      </c>
    </row>
    <row r="111" spans="1:11" x14ac:dyDescent="0.3">
      <c r="A111" t="s">
        <v>31</v>
      </c>
      <c r="B111">
        <v>371819</v>
      </c>
      <c r="C111" t="s">
        <v>32</v>
      </c>
      <c r="D111" t="s">
        <v>33</v>
      </c>
      <c r="E111" t="str">
        <f t="shared" si="7"/>
        <v>Dennis Pitts</v>
      </c>
      <c r="F111" s="3" t="s">
        <v>120</v>
      </c>
      <c r="G111" s="3" t="str">
        <f t="shared" si="8"/>
        <v>OH-000397522077</v>
      </c>
      <c r="H111" s="1">
        <v>45597</v>
      </c>
      <c r="I111" t="s">
        <v>116</v>
      </c>
      <c r="J111" s="2">
        <v>20</v>
      </c>
      <c r="K111" t="s">
        <v>189</v>
      </c>
    </row>
    <row r="112" spans="1:11" x14ac:dyDescent="0.3">
      <c r="A112" t="s">
        <v>31</v>
      </c>
      <c r="B112">
        <v>371819</v>
      </c>
      <c r="C112" t="s">
        <v>32</v>
      </c>
      <c r="D112" t="s">
        <v>33</v>
      </c>
      <c r="E112" t="str">
        <f t="shared" si="7"/>
        <v>Dennis Pitts</v>
      </c>
      <c r="F112" s="3" t="s">
        <v>120</v>
      </c>
      <c r="G112" s="3" t="str">
        <f t="shared" si="8"/>
        <v>OH-000397522077</v>
      </c>
      <c r="H112" s="1">
        <v>45597</v>
      </c>
      <c r="I112" t="s">
        <v>124</v>
      </c>
      <c r="J112" s="2">
        <v>20</v>
      </c>
      <c r="K112" t="s">
        <v>189</v>
      </c>
    </row>
    <row r="113" spans="1:11" x14ac:dyDescent="0.3">
      <c r="A113" t="s">
        <v>62</v>
      </c>
      <c r="B113">
        <v>8307933</v>
      </c>
      <c r="C113" t="s">
        <v>109</v>
      </c>
      <c r="D113" t="s">
        <v>110</v>
      </c>
      <c r="E113" t="str">
        <f t="shared" si="7"/>
        <v>Taylor Dickey</v>
      </c>
      <c r="F113" s="3" t="s">
        <v>155</v>
      </c>
      <c r="G113" s="3" t="str">
        <f t="shared" si="8"/>
        <v>MS-000305984877</v>
      </c>
      <c r="H113" s="1">
        <v>45658</v>
      </c>
      <c r="I113" t="s">
        <v>151</v>
      </c>
      <c r="J113" s="2">
        <v>22</v>
      </c>
      <c r="K113" t="s">
        <v>188</v>
      </c>
    </row>
    <row r="114" spans="1:11" x14ac:dyDescent="0.3">
      <c r="A114" t="s">
        <v>62</v>
      </c>
      <c r="B114">
        <v>8307933</v>
      </c>
      <c r="C114" t="s">
        <v>109</v>
      </c>
      <c r="D114" t="s">
        <v>110</v>
      </c>
      <c r="E114" t="str">
        <f t="shared" si="7"/>
        <v>Taylor Dickey</v>
      </c>
      <c r="F114" s="3" t="s">
        <v>155</v>
      </c>
      <c r="G114" s="3" t="str">
        <f t="shared" si="8"/>
        <v>MS-000305984877</v>
      </c>
      <c r="H114" s="1">
        <v>45658</v>
      </c>
      <c r="I114" t="s">
        <v>158</v>
      </c>
      <c r="J114" s="2">
        <v>22</v>
      </c>
      <c r="K114" t="s">
        <v>188</v>
      </c>
    </row>
    <row r="115" spans="1:11" x14ac:dyDescent="0.3">
      <c r="A115" t="s">
        <v>31</v>
      </c>
      <c r="B115">
        <v>371819</v>
      </c>
      <c r="C115" t="s">
        <v>107</v>
      </c>
      <c r="D115" t="s">
        <v>108</v>
      </c>
      <c r="E115" t="str">
        <f t="shared" si="7"/>
        <v>Terri Cockrell</v>
      </c>
      <c r="F115" s="3" t="s">
        <v>153</v>
      </c>
      <c r="G115" s="3" t="str">
        <f t="shared" si="8"/>
        <v>MS-000296030777</v>
      </c>
      <c r="H115" s="1">
        <v>45658</v>
      </c>
      <c r="I115" t="s">
        <v>151</v>
      </c>
      <c r="J115" s="2">
        <v>22</v>
      </c>
      <c r="K115" t="s">
        <v>188</v>
      </c>
    </row>
    <row r="116" spans="1:11" x14ac:dyDescent="0.3">
      <c r="A116" t="s">
        <v>31</v>
      </c>
      <c r="B116">
        <v>371819</v>
      </c>
      <c r="C116" t="s">
        <v>107</v>
      </c>
      <c r="D116" t="s">
        <v>108</v>
      </c>
      <c r="E116" t="str">
        <f t="shared" si="7"/>
        <v>Terri Cockrell</v>
      </c>
      <c r="F116" s="3" t="s">
        <v>153</v>
      </c>
      <c r="G116" s="3" t="str">
        <f t="shared" si="8"/>
        <v>MS-000296030777</v>
      </c>
      <c r="H116" s="1">
        <v>45658</v>
      </c>
      <c r="I116" t="s">
        <v>158</v>
      </c>
      <c r="J116" s="2">
        <v>22</v>
      </c>
      <c r="K116" t="s">
        <v>188</v>
      </c>
    </row>
    <row r="117" spans="1:11" x14ac:dyDescent="0.3">
      <c r="A117" t="s">
        <v>31</v>
      </c>
      <c r="B117">
        <v>371819</v>
      </c>
      <c r="C117" t="s">
        <v>73</v>
      </c>
      <c r="D117" t="s">
        <v>74</v>
      </c>
      <c r="E117" t="str">
        <f t="shared" si="7"/>
        <v>Carrington Grissom</v>
      </c>
      <c r="F117" s="3" t="s">
        <v>150</v>
      </c>
      <c r="G117" s="3" t="str">
        <f t="shared" si="8"/>
        <v>MS-000235778677</v>
      </c>
      <c r="H117" s="1">
        <v>45536</v>
      </c>
      <c r="I117" t="s">
        <v>151</v>
      </c>
      <c r="J117" s="2">
        <v>22</v>
      </c>
      <c r="K117" t="s">
        <v>188</v>
      </c>
    </row>
    <row r="118" spans="1:11" x14ac:dyDescent="0.3">
      <c r="A118" t="s">
        <v>31</v>
      </c>
      <c r="B118">
        <v>371819</v>
      </c>
      <c r="C118" t="s">
        <v>78</v>
      </c>
      <c r="D118" t="s">
        <v>74</v>
      </c>
      <c r="E118" t="str">
        <f t="shared" si="7"/>
        <v>Anthony Grissom</v>
      </c>
      <c r="F118" s="3" t="s">
        <v>154</v>
      </c>
      <c r="G118" s="3" t="str">
        <f t="shared" si="8"/>
        <v>MS-000300145177</v>
      </c>
      <c r="H118" s="1">
        <v>45536</v>
      </c>
      <c r="I118" t="s">
        <v>151</v>
      </c>
      <c r="J118" s="2">
        <v>22</v>
      </c>
      <c r="K118" t="s">
        <v>188</v>
      </c>
    </row>
    <row r="119" spans="1:11" x14ac:dyDescent="0.3">
      <c r="A119" t="s">
        <v>31</v>
      </c>
      <c r="B119">
        <v>371819</v>
      </c>
      <c r="C119" t="s">
        <v>73</v>
      </c>
      <c r="D119" t="s">
        <v>74</v>
      </c>
      <c r="E119" t="str">
        <f t="shared" si="7"/>
        <v>Carrington Grissom</v>
      </c>
      <c r="F119" s="3" t="s">
        <v>150</v>
      </c>
      <c r="G119" s="3" t="str">
        <f t="shared" si="8"/>
        <v>MS-000235778677</v>
      </c>
      <c r="H119" s="1">
        <v>45536</v>
      </c>
      <c r="I119" t="s">
        <v>158</v>
      </c>
      <c r="J119" s="2">
        <v>22</v>
      </c>
      <c r="K119" t="s">
        <v>188</v>
      </c>
    </row>
    <row r="120" spans="1:11" x14ac:dyDescent="0.3">
      <c r="A120" t="s">
        <v>31</v>
      </c>
      <c r="B120">
        <v>371819</v>
      </c>
      <c r="C120" t="s">
        <v>78</v>
      </c>
      <c r="D120" t="s">
        <v>74</v>
      </c>
      <c r="E120" t="str">
        <f t="shared" si="7"/>
        <v>Anthony Grissom</v>
      </c>
      <c r="F120" s="3" t="s">
        <v>154</v>
      </c>
      <c r="G120" s="3" t="str">
        <f t="shared" si="8"/>
        <v>MS-000300145177</v>
      </c>
      <c r="H120" s="1">
        <v>45536</v>
      </c>
      <c r="I120" t="s">
        <v>158</v>
      </c>
      <c r="J120" s="2">
        <v>22</v>
      </c>
      <c r="K120" t="s">
        <v>188</v>
      </c>
    </row>
    <row r="121" spans="1:11" x14ac:dyDescent="0.3">
      <c r="A121" t="s">
        <v>31</v>
      </c>
      <c r="B121">
        <v>371819</v>
      </c>
      <c r="C121" t="s">
        <v>76</v>
      </c>
      <c r="D121" t="s">
        <v>77</v>
      </c>
      <c r="E121" t="str">
        <f t="shared" si="7"/>
        <v>Harmony Mcdonald</v>
      </c>
      <c r="F121" s="3" t="s">
        <v>152</v>
      </c>
      <c r="G121" s="3" t="str">
        <f t="shared" si="8"/>
        <v>MS-000256503377</v>
      </c>
      <c r="H121" s="1">
        <v>45505</v>
      </c>
      <c r="I121" t="s">
        <v>151</v>
      </c>
      <c r="J121" s="2">
        <v>22</v>
      </c>
      <c r="K121" t="s">
        <v>188</v>
      </c>
    </row>
    <row r="122" spans="1:11" x14ac:dyDescent="0.3">
      <c r="A122" t="s">
        <v>31</v>
      </c>
      <c r="B122">
        <v>371819</v>
      </c>
      <c r="C122" t="s">
        <v>79</v>
      </c>
      <c r="D122" t="s">
        <v>77</v>
      </c>
      <c r="E122" t="str">
        <f t="shared" si="7"/>
        <v>Bralyn Mcdonald</v>
      </c>
      <c r="F122" s="3" t="s">
        <v>156</v>
      </c>
      <c r="G122" s="3" t="str">
        <f t="shared" si="8"/>
        <v>MS-000319131077</v>
      </c>
      <c r="H122" s="1">
        <v>45505</v>
      </c>
      <c r="I122" t="s">
        <v>151</v>
      </c>
      <c r="J122" s="2">
        <v>22</v>
      </c>
      <c r="K122" t="s">
        <v>188</v>
      </c>
    </row>
    <row r="123" spans="1:11" x14ac:dyDescent="0.3">
      <c r="A123" t="s">
        <v>31</v>
      </c>
      <c r="B123">
        <v>371819</v>
      </c>
      <c r="C123" t="s">
        <v>80</v>
      </c>
      <c r="D123" t="s">
        <v>77</v>
      </c>
      <c r="E123" t="str">
        <f t="shared" si="7"/>
        <v>Christopher Mcdonald</v>
      </c>
      <c r="F123" s="3" t="s">
        <v>157</v>
      </c>
      <c r="G123" s="3" t="str">
        <f t="shared" si="8"/>
        <v>MS-000328642077</v>
      </c>
      <c r="H123" s="1">
        <v>45505</v>
      </c>
      <c r="I123" t="s">
        <v>151</v>
      </c>
      <c r="J123" s="2">
        <v>22</v>
      </c>
      <c r="K123" t="s">
        <v>188</v>
      </c>
    </row>
    <row r="124" spans="1:11" x14ac:dyDescent="0.3">
      <c r="A124" t="s">
        <v>62</v>
      </c>
      <c r="B124">
        <v>8307933</v>
      </c>
      <c r="C124" t="s">
        <v>63</v>
      </c>
      <c r="D124" t="s">
        <v>64</v>
      </c>
      <c r="E124" t="str">
        <f t="shared" si="7"/>
        <v>Amy Reiske</v>
      </c>
      <c r="F124" s="3" t="s">
        <v>65</v>
      </c>
      <c r="G124" s="3" t="str">
        <f t="shared" si="8"/>
        <v>MI-000294398577</v>
      </c>
      <c r="H124" s="1">
        <v>44927</v>
      </c>
      <c r="I124" t="s">
        <v>53</v>
      </c>
      <c r="J124" s="2">
        <v>24</v>
      </c>
      <c r="K124" t="s">
        <v>187</v>
      </c>
    </row>
    <row r="125" spans="1:11" x14ac:dyDescent="0.3">
      <c r="A125" t="s">
        <v>62</v>
      </c>
      <c r="B125">
        <v>8307933</v>
      </c>
      <c r="C125" t="s">
        <v>63</v>
      </c>
      <c r="D125" t="s">
        <v>64</v>
      </c>
      <c r="E125" t="str">
        <f t="shared" si="7"/>
        <v>Amy Reiske</v>
      </c>
      <c r="F125" s="3" t="s">
        <v>65</v>
      </c>
      <c r="G125" s="3" t="str">
        <f t="shared" si="8"/>
        <v>MI-000294398577</v>
      </c>
      <c r="H125" s="1">
        <v>44927</v>
      </c>
      <c r="I125" t="s">
        <v>68</v>
      </c>
      <c r="J125" s="2">
        <v>24</v>
      </c>
      <c r="K125" t="s">
        <v>187</v>
      </c>
    </row>
    <row r="126" spans="1:11" x14ac:dyDescent="0.3">
      <c r="A126" t="s">
        <v>62</v>
      </c>
      <c r="B126">
        <v>8307933</v>
      </c>
      <c r="C126" t="s">
        <v>63</v>
      </c>
      <c r="D126" t="s">
        <v>64</v>
      </c>
      <c r="E126" t="str">
        <f t="shared" si="7"/>
        <v>Amy Reiske</v>
      </c>
      <c r="F126" s="3" t="s">
        <v>65</v>
      </c>
      <c r="G126" s="3" t="str">
        <f t="shared" si="8"/>
        <v>MI-000294398577</v>
      </c>
      <c r="H126" s="1">
        <v>44927</v>
      </c>
      <c r="I126" t="s">
        <v>69</v>
      </c>
      <c r="J126" s="2">
        <v>24</v>
      </c>
      <c r="K126" t="s">
        <v>187</v>
      </c>
    </row>
    <row r="127" spans="1:11" x14ac:dyDescent="0.3">
      <c r="A127" t="s">
        <v>48</v>
      </c>
      <c r="B127">
        <v>20436896</v>
      </c>
      <c r="C127" t="s">
        <v>50</v>
      </c>
      <c r="D127" t="s">
        <v>51</v>
      </c>
      <c r="E127" t="str">
        <f t="shared" si="7"/>
        <v>Annette Brooks</v>
      </c>
      <c r="F127" s="3" t="s">
        <v>52</v>
      </c>
      <c r="G127" s="3" t="str">
        <f t="shared" si="8"/>
        <v>MI-000266532977</v>
      </c>
      <c r="H127" s="1">
        <v>44927</v>
      </c>
      <c r="I127" t="s">
        <v>53</v>
      </c>
      <c r="J127" s="2">
        <v>24</v>
      </c>
      <c r="K127" t="s">
        <v>187</v>
      </c>
    </row>
    <row r="128" spans="1:11" x14ac:dyDescent="0.3">
      <c r="A128" t="s">
        <v>48</v>
      </c>
      <c r="B128">
        <v>20436896</v>
      </c>
      <c r="C128" t="s">
        <v>54</v>
      </c>
      <c r="D128" t="s">
        <v>51</v>
      </c>
      <c r="E128" t="str">
        <f t="shared" si="7"/>
        <v>Michael Brooks</v>
      </c>
      <c r="F128" s="3" t="s">
        <v>55</v>
      </c>
      <c r="G128" s="3" t="str">
        <f t="shared" si="8"/>
        <v>MI-000327304577</v>
      </c>
      <c r="H128" s="1">
        <v>44927</v>
      </c>
      <c r="I128" t="s">
        <v>53</v>
      </c>
      <c r="J128" s="2">
        <v>24</v>
      </c>
      <c r="K128" t="s">
        <v>187</v>
      </c>
    </row>
    <row r="129" spans="1:11" x14ac:dyDescent="0.3">
      <c r="A129" t="s">
        <v>48</v>
      </c>
      <c r="B129">
        <v>20436896</v>
      </c>
      <c r="C129" t="s">
        <v>59</v>
      </c>
      <c r="D129" t="s">
        <v>60</v>
      </c>
      <c r="E129" t="str">
        <f t="shared" si="7"/>
        <v>Kyle Hoffman</v>
      </c>
      <c r="F129" s="3" t="s">
        <v>61</v>
      </c>
      <c r="G129" s="3" t="str">
        <f t="shared" si="8"/>
        <v>MI-000382503377</v>
      </c>
      <c r="H129" s="1">
        <v>44197</v>
      </c>
      <c r="I129" t="s">
        <v>53</v>
      </c>
      <c r="J129" s="2">
        <v>24</v>
      </c>
      <c r="K129" t="s">
        <v>187</v>
      </c>
    </row>
    <row r="130" spans="1:11" x14ac:dyDescent="0.3">
      <c r="A130" t="s">
        <v>48</v>
      </c>
      <c r="B130">
        <v>20436896</v>
      </c>
      <c r="C130" t="s">
        <v>50</v>
      </c>
      <c r="D130" t="s">
        <v>51</v>
      </c>
      <c r="E130" t="str">
        <f t="shared" ref="E130:E161" si="9">CONCATENATE(C130, " ",D130)</f>
        <v>Annette Brooks</v>
      </c>
      <c r="F130" s="3" t="s">
        <v>52</v>
      </c>
      <c r="G130" s="3" t="str">
        <f t="shared" ref="G130:G161" si="10">CONCATENATE(F130,77)</f>
        <v>MI-000266532977</v>
      </c>
      <c r="H130" s="1">
        <v>44927</v>
      </c>
      <c r="I130" t="s">
        <v>69</v>
      </c>
      <c r="J130" s="2">
        <v>24</v>
      </c>
      <c r="K130" t="s">
        <v>187</v>
      </c>
    </row>
    <row r="131" spans="1:11" x14ac:dyDescent="0.3">
      <c r="A131" t="s">
        <v>48</v>
      </c>
      <c r="B131">
        <v>20436896</v>
      </c>
      <c r="C131" t="s">
        <v>54</v>
      </c>
      <c r="D131" t="s">
        <v>51</v>
      </c>
      <c r="E131" t="str">
        <f t="shared" si="9"/>
        <v>Michael Brooks</v>
      </c>
      <c r="F131" s="3" t="s">
        <v>55</v>
      </c>
      <c r="G131" s="3" t="str">
        <f t="shared" si="10"/>
        <v>MI-000327304577</v>
      </c>
      <c r="H131" s="1">
        <v>44927</v>
      </c>
      <c r="I131" t="s">
        <v>69</v>
      </c>
      <c r="J131" s="2">
        <v>24</v>
      </c>
      <c r="K131" t="s">
        <v>187</v>
      </c>
    </row>
    <row r="132" spans="1:11" x14ac:dyDescent="0.3">
      <c r="A132" t="s">
        <v>48</v>
      </c>
      <c r="B132">
        <v>20436896</v>
      </c>
      <c r="C132" t="s">
        <v>59</v>
      </c>
      <c r="D132" t="s">
        <v>60</v>
      </c>
      <c r="E132" t="str">
        <f t="shared" si="9"/>
        <v>Kyle Hoffman</v>
      </c>
      <c r="F132" s="3" t="s">
        <v>61</v>
      </c>
      <c r="G132" s="3" t="str">
        <f t="shared" si="10"/>
        <v>MI-000382503377</v>
      </c>
      <c r="H132" s="1">
        <v>44197</v>
      </c>
      <c r="I132" t="s">
        <v>69</v>
      </c>
      <c r="J132" s="2">
        <v>24</v>
      </c>
      <c r="K132" t="s">
        <v>187</v>
      </c>
    </row>
    <row r="133" spans="1:11" x14ac:dyDescent="0.3">
      <c r="A133" t="s">
        <v>11</v>
      </c>
      <c r="B133">
        <v>8977234</v>
      </c>
      <c r="C133" t="s">
        <v>56</v>
      </c>
      <c r="D133" t="s">
        <v>57</v>
      </c>
      <c r="E133" t="str">
        <f t="shared" si="9"/>
        <v>Gale Wilkowski</v>
      </c>
      <c r="F133" s="3" t="s">
        <v>58</v>
      </c>
      <c r="G133" s="3" t="str">
        <f t="shared" si="10"/>
        <v>MI-000381177777</v>
      </c>
      <c r="H133" s="1">
        <v>45474</v>
      </c>
      <c r="I133" t="s">
        <v>53</v>
      </c>
      <c r="J133" s="2">
        <v>24</v>
      </c>
      <c r="K133" t="s">
        <v>187</v>
      </c>
    </row>
    <row r="134" spans="1:11" x14ac:dyDescent="0.3">
      <c r="A134" t="s">
        <v>11</v>
      </c>
      <c r="B134">
        <v>8977234</v>
      </c>
      <c r="C134" t="s">
        <v>70</v>
      </c>
      <c r="D134" t="s">
        <v>71</v>
      </c>
      <c r="E134" t="str">
        <f t="shared" si="9"/>
        <v>James Raggett</v>
      </c>
      <c r="F134" s="3" t="s">
        <v>72</v>
      </c>
      <c r="G134" s="3" t="str">
        <f t="shared" si="10"/>
        <v>MI-000509103977</v>
      </c>
      <c r="H134" s="1">
        <v>45689</v>
      </c>
      <c r="I134" t="s">
        <v>69</v>
      </c>
      <c r="J134" s="2">
        <v>24</v>
      </c>
      <c r="K134" t="s">
        <v>187</v>
      </c>
    </row>
    <row r="135" spans="1:11" x14ac:dyDescent="0.3">
      <c r="A135" t="s">
        <v>98</v>
      </c>
      <c r="B135">
        <v>9079571</v>
      </c>
      <c r="C135" t="s">
        <v>100</v>
      </c>
      <c r="D135" t="s">
        <v>101</v>
      </c>
      <c r="E135" t="str">
        <f t="shared" si="9"/>
        <v>Nayan Patel</v>
      </c>
      <c r="F135" s="3" t="s">
        <v>136</v>
      </c>
      <c r="G135" s="3" t="str">
        <f t="shared" si="10"/>
        <v>TX-001304751277</v>
      </c>
      <c r="H135" s="1">
        <v>44927</v>
      </c>
      <c r="I135" t="s">
        <v>126</v>
      </c>
      <c r="J135" s="2">
        <v>25</v>
      </c>
      <c r="K135" t="s">
        <v>194</v>
      </c>
    </row>
    <row r="136" spans="1:11" x14ac:dyDescent="0.3">
      <c r="A136" t="s">
        <v>98</v>
      </c>
      <c r="B136">
        <v>9079571</v>
      </c>
      <c r="C136" t="s">
        <v>88</v>
      </c>
      <c r="D136" t="s">
        <v>102</v>
      </c>
      <c r="E136" t="str">
        <f t="shared" si="9"/>
        <v>Vanessa Delappe</v>
      </c>
      <c r="F136" s="3" t="s">
        <v>137</v>
      </c>
      <c r="G136" s="3" t="str">
        <f t="shared" si="10"/>
        <v>TX-001351490277</v>
      </c>
      <c r="H136" s="1">
        <v>44927</v>
      </c>
      <c r="I136" t="s">
        <v>126</v>
      </c>
      <c r="J136" s="2">
        <v>25</v>
      </c>
      <c r="K136" t="s">
        <v>194</v>
      </c>
    </row>
    <row r="137" spans="1:11" x14ac:dyDescent="0.3">
      <c r="A137" t="s">
        <v>98</v>
      </c>
      <c r="B137">
        <v>9079571</v>
      </c>
      <c r="C137" t="s">
        <v>100</v>
      </c>
      <c r="D137" t="s">
        <v>101</v>
      </c>
      <c r="E137" t="str">
        <f t="shared" si="9"/>
        <v>Nayan Patel</v>
      </c>
      <c r="F137" s="3" t="s">
        <v>136</v>
      </c>
      <c r="G137" s="3" t="str">
        <f t="shared" si="10"/>
        <v>TX-001304751277</v>
      </c>
      <c r="H137" s="1">
        <v>44927</v>
      </c>
      <c r="I137" t="s">
        <v>142</v>
      </c>
      <c r="J137" s="2">
        <v>25</v>
      </c>
      <c r="K137" t="s">
        <v>194</v>
      </c>
    </row>
    <row r="138" spans="1:11" x14ac:dyDescent="0.3">
      <c r="A138" t="s">
        <v>98</v>
      </c>
      <c r="B138">
        <v>9079571</v>
      </c>
      <c r="C138" t="s">
        <v>88</v>
      </c>
      <c r="D138" t="s">
        <v>102</v>
      </c>
      <c r="E138" t="str">
        <f t="shared" si="9"/>
        <v>Vanessa Delappe</v>
      </c>
      <c r="F138" s="3" t="s">
        <v>137</v>
      </c>
      <c r="G138" s="3" t="str">
        <f t="shared" si="10"/>
        <v>TX-001351490277</v>
      </c>
      <c r="H138" s="1">
        <v>44927</v>
      </c>
      <c r="I138" t="s">
        <v>142</v>
      </c>
      <c r="J138" s="2">
        <v>25</v>
      </c>
      <c r="K138" t="s">
        <v>194</v>
      </c>
    </row>
    <row r="139" spans="1:11" x14ac:dyDescent="0.3">
      <c r="A139" t="s">
        <v>90</v>
      </c>
      <c r="B139">
        <v>7146581</v>
      </c>
      <c r="C139" t="s">
        <v>91</v>
      </c>
      <c r="D139" t="s">
        <v>92</v>
      </c>
      <c r="E139" t="str">
        <f t="shared" si="9"/>
        <v>Erik Olson</v>
      </c>
      <c r="F139" s="3" t="s">
        <v>131</v>
      </c>
      <c r="G139" s="3" t="str">
        <f t="shared" si="10"/>
        <v>IL-000538002077</v>
      </c>
      <c r="H139" s="1">
        <v>45658</v>
      </c>
      <c r="I139" t="s">
        <v>126</v>
      </c>
      <c r="J139" s="2">
        <v>25</v>
      </c>
      <c r="K139" t="s">
        <v>194</v>
      </c>
    </row>
    <row r="140" spans="1:11" x14ac:dyDescent="0.3">
      <c r="A140" t="s">
        <v>90</v>
      </c>
      <c r="B140">
        <v>7146581</v>
      </c>
      <c r="C140" t="s">
        <v>91</v>
      </c>
      <c r="D140" t="s">
        <v>92</v>
      </c>
      <c r="E140" t="str">
        <f t="shared" si="9"/>
        <v>Erik Olson</v>
      </c>
      <c r="F140" s="3" t="s">
        <v>131</v>
      </c>
      <c r="G140" s="3" t="str">
        <f t="shared" si="10"/>
        <v>IL-000538002077</v>
      </c>
      <c r="H140" s="1">
        <v>45658</v>
      </c>
      <c r="I140" t="s">
        <v>138</v>
      </c>
      <c r="J140" s="2">
        <v>25</v>
      </c>
      <c r="K140" t="s">
        <v>194</v>
      </c>
    </row>
    <row r="141" spans="1:11" x14ac:dyDescent="0.3">
      <c r="A141" t="s">
        <v>90</v>
      </c>
      <c r="B141">
        <v>7146581</v>
      </c>
      <c r="C141" t="s">
        <v>91</v>
      </c>
      <c r="D141" t="s">
        <v>92</v>
      </c>
      <c r="E141" t="str">
        <f t="shared" si="9"/>
        <v>Erik Olson</v>
      </c>
      <c r="F141" s="3" t="s">
        <v>131</v>
      </c>
      <c r="G141" s="3" t="str">
        <f t="shared" si="10"/>
        <v>IL-000538002077</v>
      </c>
      <c r="H141" s="1">
        <v>45658</v>
      </c>
      <c r="I141" t="s">
        <v>142</v>
      </c>
      <c r="J141" s="2">
        <v>25</v>
      </c>
      <c r="K141" t="s">
        <v>194</v>
      </c>
    </row>
    <row r="142" spans="1:11" x14ac:dyDescent="0.3">
      <c r="A142" t="s">
        <v>82</v>
      </c>
      <c r="B142">
        <v>9213293</v>
      </c>
      <c r="C142" t="s">
        <v>83</v>
      </c>
      <c r="D142" t="s">
        <v>84</v>
      </c>
      <c r="E142" t="str">
        <f t="shared" si="9"/>
        <v>Patrick Matsuda</v>
      </c>
      <c r="F142" s="3" t="s">
        <v>127</v>
      </c>
      <c r="G142" s="3" t="str">
        <f t="shared" si="10"/>
        <v>IL-000461488477</v>
      </c>
      <c r="H142" s="1">
        <v>45658</v>
      </c>
      <c r="I142" t="s">
        <v>126</v>
      </c>
      <c r="J142" s="2">
        <v>25</v>
      </c>
      <c r="K142" t="s">
        <v>194</v>
      </c>
    </row>
    <row r="143" spans="1:11" x14ac:dyDescent="0.3">
      <c r="A143" t="s">
        <v>82</v>
      </c>
      <c r="B143">
        <v>9213293</v>
      </c>
      <c r="C143" t="s">
        <v>93</v>
      </c>
      <c r="D143" t="s">
        <v>89</v>
      </c>
      <c r="E143" t="str">
        <f t="shared" si="9"/>
        <v>Marco Flores</v>
      </c>
      <c r="F143" s="3" t="s">
        <v>132</v>
      </c>
      <c r="G143" s="3" t="str">
        <f t="shared" si="10"/>
        <v>IL-000538817077</v>
      </c>
      <c r="H143" s="1">
        <v>45658</v>
      </c>
      <c r="I143" t="s">
        <v>126</v>
      </c>
      <c r="J143" s="2">
        <v>25</v>
      </c>
      <c r="K143" t="s">
        <v>194</v>
      </c>
    </row>
    <row r="144" spans="1:11" x14ac:dyDescent="0.3">
      <c r="A144" t="s">
        <v>82</v>
      </c>
      <c r="B144">
        <v>9213293</v>
      </c>
      <c r="C144" t="s">
        <v>83</v>
      </c>
      <c r="D144" t="s">
        <v>84</v>
      </c>
      <c r="E144" t="str">
        <f t="shared" si="9"/>
        <v>Patrick Matsuda</v>
      </c>
      <c r="F144" s="3" t="s">
        <v>127</v>
      </c>
      <c r="G144" s="3" t="str">
        <f t="shared" si="10"/>
        <v>IL-000461488477</v>
      </c>
      <c r="H144" s="1">
        <v>45658</v>
      </c>
      <c r="I144" t="s">
        <v>142</v>
      </c>
      <c r="J144" s="2">
        <v>25</v>
      </c>
      <c r="K144" t="s">
        <v>194</v>
      </c>
    </row>
    <row r="145" spans="1:11" x14ac:dyDescent="0.3">
      <c r="A145" t="s">
        <v>82</v>
      </c>
      <c r="B145">
        <v>9213293</v>
      </c>
      <c r="C145" t="s">
        <v>93</v>
      </c>
      <c r="D145" t="s">
        <v>89</v>
      </c>
      <c r="E145" t="str">
        <f t="shared" si="9"/>
        <v>Marco Flores</v>
      </c>
      <c r="F145" s="3" t="s">
        <v>132</v>
      </c>
      <c r="G145" s="3" t="str">
        <f t="shared" si="10"/>
        <v>IL-000538817077</v>
      </c>
      <c r="H145" s="1">
        <v>45658</v>
      </c>
      <c r="I145" t="s">
        <v>142</v>
      </c>
      <c r="J145" s="2">
        <v>25</v>
      </c>
      <c r="K145" t="s">
        <v>194</v>
      </c>
    </row>
    <row r="146" spans="1:11" x14ac:dyDescent="0.3">
      <c r="A146" t="s">
        <v>42</v>
      </c>
      <c r="B146">
        <v>18754354</v>
      </c>
      <c r="C146" t="s">
        <v>43</v>
      </c>
      <c r="D146" t="s">
        <v>44</v>
      </c>
      <c r="E146" t="str">
        <f t="shared" si="9"/>
        <v>Kim Morse</v>
      </c>
      <c r="F146" s="3" t="s">
        <v>129</v>
      </c>
      <c r="G146" s="3" t="str">
        <f t="shared" si="10"/>
        <v>IL-000501457877</v>
      </c>
      <c r="H146" s="1">
        <v>45597</v>
      </c>
      <c r="I146" t="s">
        <v>126</v>
      </c>
      <c r="J146" s="2">
        <v>25</v>
      </c>
      <c r="K146" t="s">
        <v>194</v>
      </c>
    </row>
    <row r="147" spans="1:11" x14ac:dyDescent="0.3">
      <c r="A147" t="s">
        <v>87</v>
      </c>
      <c r="B147">
        <v>16683808</v>
      </c>
      <c r="C147" t="s">
        <v>88</v>
      </c>
      <c r="D147" t="s">
        <v>89</v>
      </c>
      <c r="E147" t="str">
        <f t="shared" si="9"/>
        <v>Vanessa Flores</v>
      </c>
      <c r="F147" s="3" t="s">
        <v>130</v>
      </c>
      <c r="G147" s="3" t="str">
        <f t="shared" si="10"/>
        <v>IL-000527725277</v>
      </c>
      <c r="H147" s="1">
        <v>45658</v>
      </c>
      <c r="I147" t="s">
        <v>126</v>
      </c>
      <c r="J147" s="2">
        <v>25</v>
      </c>
      <c r="K147" t="s">
        <v>194</v>
      </c>
    </row>
    <row r="148" spans="1:11" x14ac:dyDescent="0.3">
      <c r="A148" t="s">
        <v>87</v>
      </c>
      <c r="B148">
        <v>16683808</v>
      </c>
      <c r="C148" t="s">
        <v>88</v>
      </c>
      <c r="D148" t="s">
        <v>89</v>
      </c>
      <c r="E148" t="str">
        <f t="shared" si="9"/>
        <v>Vanessa Flores</v>
      </c>
      <c r="F148" s="3" t="s">
        <v>130</v>
      </c>
      <c r="G148" s="3" t="str">
        <f t="shared" si="10"/>
        <v>IL-000527725277</v>
      </c>
      <c r="H148" s="1">
        <v>45658</v>
      </c>
      <c r="I148" t="s">
        <v>142</v>
      </c>
      <c r="J148" s="2">
        <v>25</v>
      </c>
      <c r="K148" t="s">
        <v>194</v>
      </c>
    </row>
    <row r="149" spans="1:11" x14ac:dyDescent="0.3">
      <c r="A149" t="s">
        <v>143</v>
      </c>
      <c r="B149">
        <v>16633294</v>
      </c>
      <c r="C149" t="s">
        <v>144</v>
      </c>
      <c r="D149" t="s">
        <v>145</v>
      </c>
      <c r="E149" t="str">
        <f t="shared" si="9"/>
        <v>Lazaros Bolis</v>
      </c>
      <c r="F149" s="3" t="s">
        <v>146</v>
      </c>
      <c r="G149" s="3" t="str">
        <f t="shared" si="10"/>
        <v>IL-000456291777</v>
      </c>
      <c r="H149" s="1">
        <v>45717</v>
      </c>
      <c r="I149" t="s">
        <v>142</v>
      </c>
      <c r="J149" s="2">
        <v>25</v>
      </c>
      <c r="K149" t="s">
        <v>194</v>
      </c>
    </row>
    <row r="150" spans="1:11" x14ac:dyDescent="0.3">
      <c r="A150" t="s">
        <v>143</v>
      </c>
      <c r="B150">
        <v>16633294</v>
      </c>
      <c r="C150" t="s">
        <v>147</v>
      </c>
      <c r="D150" t="s">
        <v>148</v>
      </c>
      <c r="E150" t="str">
        <f t="shared" si="9"/>
        <v>Sebastiana Bonafede</v>
      </c>
      <c r="F150" s="3" t="s">
        <v>149</v>
      </c>
      <c r="G150" s="3" t="str">
        <f t="shared" si="10"/>
        <v>IL-000463513677</v>
      </c>
      <c r="H150" s="1">
        <v>45689</v>
      </c>
      <c r="I150" t="s">
        <v>142</v>
      </c>
      <c r="J150" s="2">
        <v>25</v>
      </c>
      <c r="K150" t="s">
        <v>194</v>
      </c>
    </row>
    <row r="151" spans="1:11" x14ac:dyDescent="0.3">
      <c r="A151" t="s">
        <v>11</v>
      </c>
      <c r="B151">
        <v>8977234</v>
      </c>
      <c r="C151" t="s">
        <v>70</v>
      </c>
      <c r="D151" t="s">
        <v>97</v>
      </c>
      <c r="E151" t="str">
        <f t="shared" si="9"/>
        <v>James Smith</v>
      </c>
      <c r="F151" s="3" t="s">
        <v>135</v>
      </c>
      <c r="G151" s="3" t="str">
        <f t="shared" si="10"/>
        <v>TX-001203325977</v>
      </c>
      <c r="H151" s="1">
        <v>44835</v>
      </c>
      <c r="I151" t="s">
        <v>126</v>
      </c>
      <c r="J151" s="2">
        <v>25</v>
      </c>
      <c r="K151" t="s">
        <v>194</v>
      </c>
    </row>
    <row r="152" spans="1:11" x14ac:dyDescent="0.3">
      <c r="A152" t="s">
        <v>11</v>
      </c>
      <c r="B152">
        <v>8977234</v>
      </c>
      <c r="C152" t="s">
        <v>70</v>
      </c>
      <c r="D152" t="s">
        <v>97</v>
      </c>
      <c r="E152" t="str">
        <f t="shared" si="9"/>
        <v>James Smith</v>
      </c>
      <c r="F152" s="3" t="s">
        <v>135</v>
      </c>
      <c r="G152" s="3" t="str">
        <f t="shared" si="10"/>
        <v>TX-001203325977</v>
      </c>
      <c r="H152" s="1">
        <v>44835</v>
      </c>
      <c r="I152" t="s">
        <v>142</v>
      </c>
      <c r="J152" s="2">
        <v>25</v>
      </c>
      <c r="K152" t="s">
        <v>194</v>
      </c>
    </row>
    <row r="153" spans="1:11" x14ac:dyDescent="0.3">
      <c r="A153" t="s">
        <v>36</v>
      </c>
      <c r="B153">
        <v>19396223</v>
      </c>
      <c r="C153" t="s">
        <v>40</v>
      </c>
      <c r="D153" t="s">
        <v>41</v>
      </c>
      <c r="E153" t="str">
        <f t="shared" si="9"/>
        <v>Miguel Peralta</v>
      </c>
      <c r="F153" s="3" t="s">
        <v>125</v>
      </c>
      <c r="G153" s="3" t="str">
        <f t="shared" si="10"/>
        <v>IL-000458099177</v>
      </c>
      <c r="H153" s="1">
        <v>45566</v>
      </c>
      <c r="I153" t="s">
        <v>126</v>
      </c>
      <c r="J153" s="2">
        <v>25</v>
      </c>
      <c r="K153" t="s">
        <v>194</v>
      </c>
    </row>
    <row r="154" spans="1:11" x14ac:dyDescent="0.3">
      <c r="A154" t="s">
        <v>36</v>
      </c>
      <c r="B154">
        <v>19396223</v>
      </c>
      <c r="C154" t="s">
        <v>85</v>
      </c>
      <c r="D154" t="s">
        <v>86</v>
      </c>
      <c r="E154" t="str">
        <f t="shared" si="9"/>
        <v>Fazlunnisa Saleem</v>
      </c>
      <c r="F154" s="3" t="s">
        <v>128</v>
      </c>
      <c r="G154" s="3" t="str">
        <f t="shared" si="10"/>
        <v>IL-000488281077</v>
      </c>
      <c r="H154" s="1">
        <v>45658</v>
      </c>
      <c r="I154" t="s">
        <v>126</v>
      </c>
      <c r="J154" s="2">
        <v>25</v>
      </c>
      <c r="K154" t="s">
        <v>194</v>
      </c>
    </row>
    <row r="155" spans="1:11" x14ac:dyDescent="0.3">
      <c r="A155" t="s">
        <v>36</v>
      </c>
      <c r="B155">
        <v>19396223</v>
      </c>
      <c r="C155" t="s">
        <v>139</v>
      </c>
      <c r="D155" t="s">
        <v>140</v>
      </c>
      <c r="E155" t="str">
        <f t="shared" si="9"/>
        <v>Susan Duda</v>
      </c>
      <c r="F155" s="3" t="s">
        <v>141</v>
      </c>
      <c r="G155" s="3" t="str">
        <f t="shared" si="10"/>
        <v>IL-000437404177</v>
      </c>
      <c r="H155" s="1">
        <v>45717</v>
      </c>
      <c r="I155" t="s">
        <v>142</v>
      </c>
      <c r="J155" s="2">
        <v>25</v>
      </c>
      <c r="K155" t="s">
        <v>194</v>
      </c>
    </row>
    <row r="156" spans="1:11" x14ac:dyDescent="0.3">
      <c r="A156" t="s">
        <v>36</v>
      </c>
      <c r="B156">
        <v>19396223</v>
      </c>
      <c r="C156" t="s">
        <v>40</v>
      </c>
      <c r="D156" t="s">
        <v>41</v>
      </c>
      <c r="E156" t="str">
        <f t="shared" si="9"/>
        <v>Miguel Peralta</v>
      </c>
      <c r="F156" s="3" t="s">
        <v>125</v>
      </c>
      <c r="G156" s="3" t="str">
        <f t="shared" si="10"/>
        <v>IL-000458099177</v>
      </c>
      <c r="H156" s="1">
        <v>45566</v>
      </c>
      <c r="I156" t="s">
        <v>142</v>
      </c>
      <c r="J156" s="2">
        <v>25</v>
      </c>
      <c r="K156" t="s">
        <v>194</v>
      </c>
    </row>
    <row r="157" spans="1:11" x14ac:dyDescent="0.3">
      <c r="A157" t="s">
        <v>36</v>
      </c>
      <c r="B157">
        <v>19396223</v>
      </c>
      <c r="C157" t="s">
        <v>85</v>
      </c>
      <c r="D157" t="s">
        <v>86</v>
      </c>
      <c r="E157" t="str">
        <f t="shared" si="9"/>
        <v>Fazlunnisa Saleem</v>
      </c>
      <c r="F157" s="3" t="s">
        <v>128</v>
      </c>
      <c r="G157" s="3" t="str">
        <f t="shared" si="10"/>
        <v>IL-000488281077</v>
      </c>
      <c r="H157" s="1">
        <v>45658</v>
      </c>
      <c r="I157" t="s">
        <v>142</v>
      </c>
      <c r="J157" s="2">
        <v>25</v>
      </c>
      <c r="K157" t="s">
        <v>194</v>
      </c>
    </row>
    <row r="158" spans="1:11" x14ac:dyDescent="0.3">
      <c r="A158" t="s">
        <v>31</v>
      </c>
      <c r="B158">
        <v>371819</v>
      </c>
      <c r="C158" t="s">
        <v>94</v>
      </c>
      <c r="D158" t="s">
        <v>95</v>
      </c>
      <c r="E158" t="str">
        <f t="shared" si="9"/>
        <v>Demetria Scott</v>
      </c>
      <c r="F158" s="3" t="s">
        <v>133</v>
      </c>
      <c r="G158" s="3" t="str">
        <f t="shared" si="10"/>
        <v>SC-000249855477</v>
      </c>
      <c r="H158" s="1">
        <v>45658</v>
      </c>
      <c r="I158" t="s">
        <v>126</v>
      </c>
      <c r="J158" s="2">
        <v>25</v>
      </c>
      <c r="K158" t="s">
        <v>194</v>
      </c>
    </row>
    <row r="159" spans="1:11" x14ac:dyDescent="0.3">
      <c r="A159" t="s">
        <v>31</v>
      </c>
      <c r="B159">
        <v>371819</v>
      </c>
      <c r="C159" t="s">
        <v>70</v>
      </c>
      <c r="D159" t="s">
        <v>96</v>
      </c>
      <c r="E159" t="str">
        <f t="shared" si="9"/>
        <v>James Morgan</v>
      </c>
      <c r="F159" s="3" t="s">
        <v>134</v>
      </c>
      <c r="G159" s="3" t="str">
        <f t="shared" si="10"/>
        <v>SC-000364058477</v>
      </c>
      <c r="H159" s="1">
        <v>45658</v>
      </c>
      <c r="I159" t="s">
        <v>126</v>
      </c>
      <c r="J159" s="2">
        <v>25</v>
      </c>
      <c r="K159" t="s">
        <v>194</v>
      </c>
    </row>
    <row r="160" spans="1:11" x14ac:dyDescent="0.3">
      <c r="A160" t="s">
        <v>31</v>
      </c>
      <c r="B160">
        <v>371819</v>
      </c>
      <c r="C160" t="s">
        <v>94</v>
      </c>
      <c r="D160" t="s">
        <v>95</v>
      </c>
      <c r="E160" t="str">
        <f t="shared" si="9"/>
        <v>Demetria Scott</v>
      </c>
      <c r="F160" s="3" t="s">
        <v>133</v>
      </c>
      <c r="G160" s="3" t="str">
        <f t="shared" si="10"/>
        <v>SC-000249855477</v>
      </c>
      <c r="H160" s="1">
        <v>45658</v>
      </c>
      <c r="I160" t="s">
        <v>142</v>
      </c>
      <c r="J160" s="2">
        <v>25</v>
      </c>
      <c r="K160" t="s">
        <v>194</v>
      </c>
    </row>
    <row r="161" spans="1:11" x14ac:dyDescent="0.3">
      <c r="A161" t="s">
        <v>31</v>
      </c>
      <c r="B161">
        <v>371819</v>
      </c>
      <c r="C161" t="s">
        <v>70</v>
      </c>
      <c r="D161" t="s">
        <v>96</v>
      </c>
      <c r="E161" t="str">
        <f t="shared" si="9"/>
        <v>James Morgan</v>
      </c>
      <c r="F161" s="3" t="s">
        <v>134</v>
      </c>
      <c r="G161" s="3" t="str">
        <f t="shared" si="10"/>
        <v>SC-000364058477</v>
      </c>
      <c r="H161" s="1">
        <v>45658</v>
      </c>
      <c r="I161" t="s">
        <v>142</v>
      </c>
      <c r="J161" s="2">
        <v>25</v>
      </c>
      <c r="K161" t="s">
        <v>194</v>
      </c>
    </row>
    <row r="162" spans="1:11" x14ac:dyDescent="0.3">
      <c r="A162" t="s">
        <v>98</v>
      </c>
      <c r="B162">
        <v>9079571</v>
      </c>
      <c r="C162" t="s">
        <v>103</v>
      </c>
      <c r="D162" t="s">
        <v>104</v>
      </c>
      <c r="E162" t="str">
        <f t="shared" ref="E162:E193" si="11">CONCATENATE(C162, " ",D162)</f>
        <v>Floyd Adams</v>
      </c>
      <c r="F162" s="3" t="s">
        <v>159</v>
      </c>
      <c r="G162" s="3" t="str">
        <f t="shared" ref="G162:G193" si="12">CONCATENATE(F162,77)</f>
        <v>FL-001645576377</v>
      </c>
      <c r="H162" s="1">
        <v>44927</v>
      </c>
      <c r="I162" t="s">
        <v>160</v>
      </c>
      <c r="J162" s="2">
        <v>27</v>
      </c>
      <c r="K162" t="s">
        <v>185</v>
      </c>
    </row>
    <row r="163" spans="1:11" x14ac:dyDescent="0.3">
      <c r="A163" t="s">
        <v>98</v>
      </c>
      <c r="B163">
        <v>9079571</v>
      </c>
      <c r="C163" t="s">
        <v>103</v>
      </c>
      <c r="D163" t="s">
        <v>104</v>
      </c>
      <c r="E163" t="str">
        <f t="shared" si="11"/>
        <v>Floyd Adams</v>
      </c>
      <c r="F163" s="3" t="s">
        <v>159</v>
      </c>
      <c r="G163" s="3" t="str">
        <f t="shared" si="12"/>
        <v>FL-001645576377</v>
      </c>
      <c r="H163" s="1">
        <v>44927</v>
      </c>
      <c r="I163" t="s">
        <v>177</v>
      </c>
      <c r="J163" s="2">
        <v>27</v>
      </c>
      <c r="K163" t="s">
        <v>185</v>
      </c>
    </row>
    <row r="164" spans="1:11" x14ac:dyDescent="0.3">
      <c r="A164" t="s">
        <v>87</v>
      </c>
      <c r="B164">
        <v>16683808</v>
      </c>
      <c r="C164" t="s">
        <v>164</v>
      </c>
      <c r="D164" t="s">
        <v>165</v>
      </c>
      <c r="E164" t="str">
        <f t="shared" si="11"/>
        <v>Jean Williams</v>
      </c>
      <c r="F164" s="3" t="s">
        <v>166</v>
      </c>
      <c r="G164" s="3" t="str">
        <f t="shared" si="12"/>
        <v>FL-002026540877</v>
      </c>
      <c r="H164" s="1">
        <v>45658</v>
      </c>
      <c r="I164" t="s">
        <v>160</v>
      </c>
      <c r="J164" s="2">
        <v>27</v>
      </c>
      <c r="K164" t="s">
        <v>185</v>
      </c>
    </row>
    <row r="165" spans="1:11" x14ac:dyDescent="0.3">
      <c r="A165" t="s">
        <v>87</v>
      </c>
      <c r="B165">
        <v>16683808</v>
      </c>
      <c r="C165" t="s">
        <v>164</v>
      </c>
      <c r="D165" t="s">
        <v>165</v>
      </c>
      <c r="E165" t="str">
        <f t="shared" si="11"/>
        <v>Jean Williams</v>
      </c>
      <c r="F165" s="3" t="s">
        <v>166</v>
      </c>
      <c r="G165" s="3" t="str">
        <f t="shared" si="12"/>
        <v>FL-002026540877</v>
      </c>
      <c r="H165" s="1">
        <v>45658</v>
      </c>
      <c r="I165" t="s">
        <v>177</v>
      </c>
      <c r="J165" s="2">
        <v>27</v>
      </c>
      <c r="K165" t="s">
        <v>185</v>
      </c>
    </row>
    <row r="166" spans="1:11" x14ac:dyDescent="0.3">
      <c r="A166" t="s">
        <v>143</v>
      </c>
      <c r="B166">
        <v>16633294</v>
      </c>
      <c r="C166" t="s">
        <v>173</v>
      </c>
      <c r="D166" t="s">
        <v>174</v>
      </c>
      <c r="E166" t="str">
        <f t="shared" si="11"/>
        <v>Emily Garvin</v>
      </c>
      <c r="F166" s="3" t="s">
        <v>175</v>
      </c>
      <c r="G166" s="3" t="str">
        <f t="shared" si="12"/>
        <v>FL-002386959077</v>
      </c>
      <c r="H166" s="1">
        <v>45658</v>
      </c>
      <c r="I166" t="s">
        <v>160</v>
      </c>
      <c r="J166" s="2">
        <v>27</v>
      </c>
      <c r="K166" t="s">
        <v>185</v>
      </c>
    </row>
    <row r="167" spans="1:11" x14ac:dyDescent="0.3">
      <c r="A167" t="s">
        <v>143</v>
      </c>
      <c r="B167">
        <v>16633294</v>
      </c>
      <c r="C167" t="s">
        <v>173</v>
      </c>
      <c r="D167" t="s">
        <v>174</v>
      </c>
      <c r="E167" t="str">
        <f t="shared" si="11"/>
        <v>Emily Garvin</v>
      </c>
      <c r="F167" s="3" t="s">
        <v>175</v>
      </c>
      <c r="G167" s="3" t="str">
        <f t="shared" si="12"/>
        <v>FL-002386959077</v>
      </c>
      <c r="H167" s="1">
        <v>45658</v>
      </c>
      <c r="I167" t="s">
        <v>177</v>
      </c>
      <c r="J167" s="2">
        <v>27</v>
      </c>
      <c r="K167" t="s">
        <v>185</v>
      </c>
    </row>
    <row r="168" spans="1:11" x14ac:dyDescent="0.3">
      <c r="A168" t="s">
        <v>11</v>
      </c>
      <c r="B168">
        <v>8977234</v>
      </c>
      <c r="C168" t="s">
        <v>161</v>
      </c>
      <c r="D168" t="s">
        <v>162</v>
      </c>
      <c r="E168" t="str">
        <f t="shared" si="11"/>
        <v>Tommy Harber</v>
      </c>
      <c r="F168" s="3" t="s">
        <v>163</v>
      </c>
      <c r="G168" s="3" t="str">
        <f t="shared" si="12"/>
        <v>FL-001653214677</v>
      </c>
      <c r="H168" s="1">
        <v>44986</v>
      </c>
      <c r="I168" t="s">
        <v>160</v>
      </c>
      <c r="J168" s="2">
        <v>27</v>
      </c>
      <c r="K168" t="s">
        <v>185</v>
      </c>
    </row>
    <row r="169" spans="1:11" x14ac:dyDescent="0.3">
      <c r="A169" t="s">
        <v>11</v>
      </c>
      <c r="B169">
        <v>8977234</v>
      </c>
      <c r="C169" t="s">
        <v>167</v>
      </c>
      <c r="D169" t="s">
        <v>168</v>
      </c>
      <c r="E169" t="str">
        <f t="shared" si="11"/>
        <v>Richard Jarvis</v>
      </c>
      <c r="F169" s="3" t="s">
        <v>169</v>
      </c>
      <c r="G169" s="3" t="str">
        <f t="shared" si="12"/>
        <v>FL-002364042877</v>
      </c>
      <c r="H169" s="1">
        <v>45658</v>
      </c>
      <c r="I169" t="s">
        <v>160</v>
      </c>
      <c r="J169" s="2">
        <v>27</v>
      </c>
      <c r="K169" t="s">
        <v>185</v>
      </c>
    </row>
    <row r="170" spans="1:11" x14ac:dyDescent="0.3">
      <c r="A170" t="s">
        <v>11</v>
      </c>
      <c r="B170">
        <v>8977234</v>
      </c>
      <c r="C170" t="s">
        <v>170</v>
      </c>
      <c r="D170" t="s">
        <v>171</v>
      </c>
      <c r="E170" t="str">
        <f t="shared" si="11"/>
        <v>Sharlene Lightbourne</v>
      </c>
      <c r="F170" s="3" t="s">
        <v>172</v>
      </c>
      <c r="G170" s="3" t="str">
        <f t="shared" si="12"/>
        <v>FL-002377453377</v>
      </c>
      <c r="H170" s="1">
        <v>45658</v>
      </c>
      <c r="I170" t="s">
        <v>160</v>
      </c>
      <c r="J170" s="2">
        <v>27</v>
      </c>
      <c r="K170" t="s">
        <v>185</v>
      </c>
    </row>
    <row r="171" spans="1:11" x14ac:dyDescent="0.3">
      <c r="A171" t="s">
        <v>11</v>
      </c>
      <c r="B171">
        <v>8977234</v>
      </c>
      <c r="C171" t="s">
        <v>161</v>
      </c>
      <c r="D171" t="s">
        <v>162</v>
      </c>
      <c r="E171" t="str">
        <f t="shared" si="11"/>
        <v>Tommy Harber</v>
      </c>
      <c r="F171" s="3" t="s">
        <v>163</v>
      </c>
      <c r="G171" s="3" t="str">
        <f t="shared" si="12"/>
        <v>FL-001653214677</v>
      </c>
      <c r="H171" s="1">
        <v>44986</v>
      </c>
      <c r="I171" t="s">
        <v>177</v>
      </c>
      <c r="J171" s="2">
        <v>27</v>
      </c>
      <c r="K171" t="s">
        <v>185</v>
      </c>
    </row>
    <row r="172" spans="1:11" x14ac:dyDescent="0.3">
      <c r="A172" t="s">
        <v>11</v>
      </c>
      <c r="B172">
        <v>8977234</v>
      </c>
      <c r="C172" t="s">
        <v>167</v>
      </c>
      <c r="D172" t="s">
        <v>168</v>
      </c>
      <c r="E172" t="str">
        <f t="shared" si="11"/>
        <v>Richard Jarvis</v>
      </c>
      <c r="F172" s="3" t="s">
        <v>169</v>
      </c>
      <c r="G172" s="3" t="str">
        <f t="shared" si="12"/>
        <v>FL-002364042877</v>
      </c>
      <c r="H172" s="1">
        <v>45658</v>
      </c>
      <c r="I172" t="s">
        <v>177</v>
      </c>
      <c r="J172" s="2">
        <v>27</v>
      </c>
      <c r="K172" t="s">
        <v>185</v>
      </c>
    </row>
    <row r="173" spans="1:11" x14ac:dyDescent="0.3">
      <c r="A173" t="s">
        <v>11</v>
      </c>
      <c r="B173">
        <v>8977234</v>
      </c>
      <c r="C173" t="s">
        <v>170</v>
      </c>
      <c r="D173" t="s">
        <v>171</v>
      </c>
      <c r="E173" t="str">
        <f t="shared" si="11"/>
        <v>Sharlene Lightbourne</v>
      </c>
      <c r="F173" s="3" t="s">
        <v>172</v>
      </c>
      <c r="G173" s="3" t="str">
        <f t="shared" si="12"/>
        <v>FL-002377453377</v>
      </c>
      <c r="H173" s="1">
        <v>45658</v>
      </c>
      <c r="I173" t="s">
        <v>177</v>
      </c>
      <c r="J173" s="2">
        <v>27</v>
      </c>
      <c r="K173" t="s">
        <v>185</v>
      </c>
    </row>
  </sheetData>
  <sortState xmlns:xlrd2="http://schemas.microsoft.com/office/spreadsheetml/2017/richdata2" ref="A2:M173">
    <sortCondition ref="J2:J17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556A-EEC8-4076-B61A-120A3529D1CD}">
  <dimension ref="A1:C172"/>
  <sheetViews>
    <sheetView topLeftCell="A132" workbookViewId="0">
      <selection activeCell="C1" sqref="C1:C172"/>
    </sheetView>
  </sheetViews>
  <sheetFormatPr defaultRowHeight="14.4" x14ac:dyDescent="0.3"/>
  <sheetData>
    <row r="1" spans="1:3" x14ac:dyDescent="0.3">
      <c r="A1" t="s">
        <v>196</v>
      </c>
      <c r="B1" t="s">
        <v>197</v>
      </c>
      <c r="C1" t="s">
        <v>198</v>
      </c>
    </row>
    <row r="2" spans="1:3" x14ac:dyDescent="0.3">
      <c r="A2" t="s">
        <v>196</v>
      </c>
      <c r="B2" t="s">
        <v>197</v>
      </c>
      <c r="C2" t="s">
        <v>198</v>
      </c>
    </row>
    <row r="3" spans="1:3" x14ac:dyDescent="0.3">
      <c r="A3" t="s">
        <v>196</v>
      </c>
      <c r="B3" t="s">
        <v>197</v>
      </c>
      <c r="C3" t="s">
        <v>198</v>
      </c>
    </row>
    <row r="4" spans="1:3" x14ac:dyDescent="0.3">
      <c r="A4" t="s">
        <v>196</v>
      </c>
      <c r="B4" t="s">
        <v>197</v>
      </c>
      <c r="C4" t="s">
        <v>198</v>
      </c>
    </row>
    <row r="5" spans="1:3" x14ac:dyDescent="0.3">
      <c r="A5" t="s">
        <v>196</v>
      </c>
      <c r="B5" t="s">
        <v>197</v>
      </c>
      <c r="C5" t="s">
        <v>198</v>
      </c>
    </row>
    <row r="6" spans="1:3" x14ac:dyDescent="0.3">
      <c r="A6" t="s">
        <v>196</v>
      </c>
      <c r="B6" t="s">
        <v>197</v>
      </c>
      <c r="C6" t="s">
        <v>198</v>
      </c>
    </row>
    <row r="7" spans="1:3" x14ac:dyDescent="0.3">
      <c r="A7" t="s">
        <v>199</v>
      </c>
      <c r="B7" t="s">
        <v>197</v>
      </c>
      <c r="C7" t="s">
        <v>198</v>
      </c>
    </row>
    <row r="8" spans="1:3" x14ac:dyDescent="0.3">
      <c r="A8" t="s">
        <v>199</v>
      </c>
      <c r="B8" t="s">
        <v>197</v>
      </c>
      <c r="C8" t="s">
        <v>198</v>
      </c>
    </row>
    <row r="9" spans="1:3" x14ac:dyDescent="0.3">
      <c r="A9" t="s">
        <v>199</v>
      </c>
      <c r="B9" t="s">
        <v>197</v>
      </c>
      <c r="C9" t="s">
        <v>200</v>
      </c>
    </row>
    <row r="10" spans="1:3" x14ac:dyDescent="0.3">
      <c r="A10" t="s">
        <v>199</v>
      </c>
      <c r="B10" t="s">
        <v>197</v>
      </c>
      <c r="C10" t="s">
        <v>198</v>
      </c>
    </row>
    <row r="11" spans="1:3" x14ac:dyDescent="0.3">
      <c r="A11" t="s">
        <v>199</v>
      </c>
      <c r="B11" t="s">
        <v>197</v>
      </c>
      <c r="C11" t="s">
        <v>198</v>
      </c>
    </row>
    <row r="12" spans="1:3" x14ac:dyDescent="0.3">
      <c r="A12" t="s">
        <v>199</v>
      </c>
      <c r="B12" t="s">
        <v>197</v>
      </c>
      <c r="C12" t="s">
        <v>198</v>
      </c>
    </row>
    <row r="13" spans="1:3" x14ac:dyDescent="0.3">
      <c r="A13" t="s">
        <v>199</v>
      </c>
      <c r="B13" t="s">
        <v>197</v>
      </c>
      <c r="C13" t="s">
        <v>198</v>
      </c>
    </row>
    <row r="14" spans="1:3" x14ac:dyDescent="0.3">
      <c r="A14" t="s">
        <v>199</v>
      </c>
      <c r="B14" t="s">
        <v>197</v>
      </c>
      <c r="C14" t="s">
        <v>198</v>
      </c>
    </row>
    <row r="15" spans="1:3" x14ac:dyDescent="0.3">
      <c r="A15" t="s">
        <v>199</v>
      </c>
      <c r="B15" t="s">
        <v>197</v>
      </c>
      <c r="C15" t="s">
        <v>198</v>
      </c>
    </row>
    <row r="16" spans="1:3" x14ac:dyDescent="0.3">
      <c r="A16" t="s">
        <v>199</v>
      </c>
      <c r="B16" t="s">
        <v>197</v>
      </c>
      <c r="C16" t="s">
        <v>198</v>
      </c>
    </row>
    <row r="17" spans="1:3" x14ac:dyDescent="0.3">
      <c r="A17" t="s">
        <v>199</v>
      </c>
      <c r="B17" t="s">
        <v>197</v>
      </c>
      <c r="C17" t="s">
        <v>198</v>
      </c>
    </row>
    <row r="18" spans="1:3" x14ac:dyDescent="0.3">
      <c r="A18" t="s">
        <v>199</v>
      </c>
      <c r="B18" t="s">
        <v>197</v>
      </c>
      <c r="C18" t="s">
        <v>198</v>
      </c>
    </row>
    <row r="19" spans="1:3" x14ac:dyDescent="0.3">
      <c r="A19" t="s">
        <v>199</v>
      </c>
      <c r="B19" t="s">
        <v>197</v>
      </c>
      <c r="C19" t="s">
        <v>198</v>
      </c>
    </row>
    <row r="20" spans="1:3" x14ac:dyDescent="0.3">
      <c r="A20" t="s">
        <v>201</v>
      </c>
      <c r="B20" t="s">
        <v>197</v>
      </c>
      <c r="C20" t="s">
        <v>198</v>
      </c>
    </row>
    <row r="21" spans="1:3" x14ac:dyDescent="0.3">
      <c r="A21" t="s">
        <v>201</v>
      </c>
      <c r="B21" t="s">
        <v>197</v>
      </c>
      <c r="C21" t="s">
        <v>198</v>
      </c>
    </row>
    <row r="22" spans="1:3" x14ac:dyDescent="0.3">
      <c r="A22" t="s">
        <v>201</v>
      </c>
      <c r="B22" t="s">
        <v>197</v>
      </c>
      <c r="C22" t="s">
        <v>198</v>
      </c>
    </row>
    <row r="23" spans="1:3" x14ac:dyDescent="0.3">
      <c r="A23" t="s">
        <v>201</v>
      </c>
      <c r="B23" t="s">
        <v>197</v>
      </c>
      <c r="C23" t="s">
        <v>200</v>
      </c>
    </row>
    <row r="24" spans="1:3" x14ac:dyDescent="0.3">
      <c r="A24" t="s">
        <v>201</v>
      </c>
      <c r="B24" t="s">
        <v>197</v>
      </c>
      <c r="C24" t="s">
        <v>200</v>
      </c>
    </row>
    <row r="25" spans="1:3" x14ac:dyDescent="0.3">
      <c r="A25" t="s">
        <v>201</v>
      </c>
      <c r="B25" t="s">
        <v>197</v>
      </c>
      <c r="C25" t="s">
        <v>200</v>
      </c>
    </row>
    <row r="26" spans="1:3" x14ac:dyDescent="0.3">
      <c r="A26" t="s">
        <v>201</v>
      </c>
      <c r="B26" t="s">
        <v>197</v>
      </c>
      <c r="C26" t="s">
        <v>198</v>
      </c>
    </row>
    <row r="27" spans="1:3" x14ac:dyDescent="0.3">
      <c r="A27" t="s">
        <v>201</v>
      </c>
      <c r="B27" t="s">
        <v>197</v>
      </c>
      <c r="C27" t="s">
        <v>200</v>
      </c>
    </row>
    <row r="28" spans="1:3" x14ac:dyDescent="0.3">
      <c r="A28" t="s">
        <v>202</v>
      </c>
      <c r="B28" t="s">
        <v>197</v>
      </c>
      <c r="C28" t="s">
        <v>200</v>
      </c>
    </row>
    <row r="29" spans="1:3" x14ac:dyDescent="0.3">
      <c r="A29" t="s">
        <v>202</v>
      </c>
      <c r="B29" t="s">
        <v>197</v>
      </c>
      <c r="C29" t="s">
        <v>200</v>
      </c>
    </row>
    <row r="30" spans="1:3" x14ac:dyDescent="0.3">
      <c r="A30" t="s">
        <v>202</v>
      </c>
      <c r="B30" t="s">
        <v>197</v>
      </c>
      <c r="C30" t="s">
        <v>198</v>
      </c>
    </row>
    <row r="31" spans="1:3" x14ac:dyDescent="0.3">
      <c r="A31" t="s">
        <v>202</v>
      </c>
      <c r="B31" t="s">
        <v>197</v>
      </c>
      <c r="C31" t="s">
        <v>200</v>
      </c>
    </row>
    <row r="32" spans="1:3" x14ac:dyDescent="0.3">
      <c r="A32" t="s">
        <v>202</v>
      </c>
      <c r="B32" t="s">
        <v>197</v>
      </c>
      <c r="C32" t="s">
        <v>198</v>
      </c>
    </row>
    <row r="33" spans="1:3" x14ac:dyDescent="0.3">
      <c r="A33" t="s">
        <v>202</v>
      </c>
      <c r="B33" t="s">
        <v>197</v>
      </c>
      <c r="C33" t="s">
        <v>198</v>
      </c>
    </row>
    <row r="34" spans="1:3" x14ac:dyDescent="0.3">
      <c r="A34" t="s">
        <v>202</v>
      </c>
      <c r="B34" t="s">
        <v>197</v>
      </c>
      <c r="C34" t="s">
        <v>198</v>
      </c>
    </row>
    <row r="35" spans="1:3" x14ac:dyDescent="0.3">
      <c r="A35" t="s">
        <v>202</v>
      </c>
      <c r="B35" t="s">
        <v>197</v>
      </c>
      <c r="C35" t="s">
        <v>198</v>
      </c>
    </row>
    <row r="36" spans="1:3" x14ac:dyDescent="0.3">
      <c r="A36" t="s">
        <v>202</v>
      </c>
      <c r="B36" t="s">
        <v>197</v>
      </c>
      <c r="C36" t="s">
        <v>198</v>
      </c>
    </row>
    <row r="37" spans="1:3" x14ac:dyDescent="0.3">
      <c r="A37" t="s">
        <v>202</v>
      </c>
      <c r="B37" t="s">
        <v>197</v>
      </c>
      <c r="C37" t="s">
        <v>198</v>
      </c>
    </row>
    <row r="38" spans="1:3" x14ac:dyDescent="0.3">
      <c r="A38" t="s">
        <v>203</v>
      </c>
      <c r="B38" t="s">
        <v>197</v>
      </c>
      <c r="C38" t="s">
        <v>200</v>
      </c>
    </row>
    <row r="39" spans="1:3" x14ac:dyDescent="0.3">
      <c r="A39" t="s">
        <v>203</v>
      </c>
      <c r="B39" t="s">
        <v>197</v>
      </c>
      <c r="C39" t="s">
        <v>198</v>
      </c>
    </row>
    <row r="40" spans="1:3" x14ac:dyDescent="0.3">
      <c r="A40" t="s">
        <v>203</v>
      </c>
      <c r="B40" t="s">
        <v>197</v>
      </c>
      <c r="C40" t="s">
        <v>198</v>
      </c>
    </row>
    <row r="41" spans="1:3" x14ac:dyDescent="0.3">
      <c r="A41" t="s">
        <v>203</v>
      </c>
      <c r="B41" t="s">
        <v>197</v>
      </c>
      <c r="C41" t="s">
        <v>198</v>
      </c>
    </row>
    <row r="42" spans="1:3" x14ac:dyDescent="0.3">
      <c r="A42" t="s">
        <v>203</v>
      </c>
      <c r="B42" t="s">
        <v>197</v>
      </c>
      <c r="C42" t="s">
        <v>198</v>
      </c>
    </row>
    <row r="43" spans="1:3" x14ac:dyDescent="0.3">
      <c r="A43" t="s">
        <v>203</v>
      </c>
      <c r="B43" t="s">
        <v>197</v>
      </c>
      <c r="C43" t="s">
        <v>198</v>
      </c>
    </row>
    <row r="44" spans="1:3" x14ac:dyDescent="0.3">
      <c r="A44" t="s">
        <v>203</v>
      </c>
      <c r="B44" t="s">
        <v>197</v>
      </c>
      <c r="C44" t="s">
        <v>200</v>
      </c>
    </row>
    <row r="45" spans="1:3" x14ac:dyDescent="0.3">
      <c r="A45" t="s">
        <v>203</v>
      </c>
      <c r="B45" t="s">
        <v>197</v>
      </c>
      <c r="C45" t="s">
        <v>200</v>
      </c>
    </row>
    <row r="46" spans="1:3" x14ac:dyDescent="0.3">
      <c r="A46" t="s">
        <v>204</v>
      </c>
      <c r="B46" t="s">
        <v>197</v>
      </c>
      <c r="C46" t="s">
        <v>205</v>
      </c>
    </row>
    <row r="47" spans="1:3" x14ac:dyDescent="0.3">
      <c r="A47" t="s">
        <v>204</v>
      </c>
      <c r="B47" t="s">
        <v>197</v>
      </c>
      <c r="C47" t="s">
        <v>200</v>
      </c>
    </row>
    <row r="48" spans="1:3" x14ac:dyDescent="0.3">
      <c r="A48" t="s">
        <v>203</v>
      </c>
      <c r="B48" t="s">
        <v>197</v>
      </c>
      <c r="C48" t="s">
        <v>198</v>
      </c>
    </row>
    <row r="49" spans="1:3" x14ac:dyDescent="0.3">
      <c r="A49" t="s">
        <v>206</v>
      </c>
      <c r="B49" t="s">
        <v>197</v>
      </c>
      <c r="C49" t="s">
        <v>198</v>
      </c>
    </row>
    <row r="50" spans="1:3" x14ac:dyDescent="0.3">
      <c r="A50" t="s">
        <v>206</v>
      </c>
      <c r="B50" t="s">
        <v>197</v>
      </c>
      <c r="C50" t="s">
        <v>198</v>
      </c>
    </row>
    <row r="51" spans="1:3" x14ac:dyDescent="0.3">
      <c r="A51" t="s">
        <v>206</v>
      </c>
      <c r="B51" t="s">
        <v>197</v>
      </c>
      <c r="C51" t="s">
        <v>198</v>
      </c>
    </row>
    <row r="52" spans="1:3" x14ac:dyDescent="0.3">
      <c r="A52" t="s">
        <v>206</v>
      </c>
      <c r="B52" t="s">
        <v>197</v>
      </c>
      <c r="C52" t="s">
        <v>198</v>
      </c>
    </row>
    <row r="53" spans="1:3" x14ac:dyDescent="0.3">
      <c r="A53" t="s">
        <v>206</v>
      </c>
      <c r="B53" t="s">
        <v>197</v>
      </c>
      <c r="C53" t="s">
        <v>200</v>
      </c>
    </row>
    <row r="54" spans="1:3" x14ac:dyDescent="0.3">
      <c r="A54" t="s">
        <v>206</v>
      </c>
      <c r="B54" t="s">
        <v>197</v>
      </c>
      <c r="C54" t="s">
        <v>200</v>
      </c>
    </row>
    <row r="55" spans="1:3" x14ac:dyDescent="0.3">
      <c r="A55" t="s">
        <v>206</v>
      </c>
      <c r="B55" t="s">
        <v>197</v>
      </c>
      <c r="C55" t="s">
        <v>200</v>
      </c>
    </row>
    <row r="56" spans="1:3" x14ac:dyDescent="0.3">
      <c r="A56" t="s">
        <v>207</v>
      </c>
      <c r="B56" t="s">
        <v>197</v>
      </c>
      <c r="C56" t="s">
        <v>200</v>
      </c>
    </row>
    <row r="57" spans="1:3" x14ac:dyDescent="0.3">
      <c r="A57" t="s">
        <v>207</v>
      </c>
      <c r="B57" t="s">
        <v>197</v>
      </c>
      <c r="C57" t="s">
        <v>200</v>
      </c>
    </row>
    <row r="58" spans="1:3" x14ac:dyDescent="0.3">
      <c r="A58" t="s">
        <v>207</v>
      </c>
      <c r="B58" t="s">
        <v>197</v>
      </c>
      <c r="C58" t="s">
        <v>200</v>
      </c>
    </row>
    <row r="59" spans="1:3" x14ac:dyDescent="0.3">
      <c r="A59" t="s">
        <v>207</v>
      </c>
      <c r="B59" t="s">
        <v>197</v>
      </c>
      <c r="C59" t="s">
        <v>200</v>
      </c>
    </row>
    <row r="60" spans="1:3" x14ac:dyDescent="0.3">
      <c r="A60" t="s">
        <v>207</v>
      </c>
      <c r="B60" t="s">
        <v>197</v>
      </c>
      <c r="C60" t="s">
        <v>200</v>
      </c>
    </row>
    <row r="61" spans="1:3" x14ac:dyDescent="0.3">
      <c r="A61" t="s">
        <v>208</v>
      </c>
      <c r="B61" t="s">
        <v>197</v>
      </c>
      <c r="C61" t="s">
        <v>200</v>
      </c>
    </row>
    <row r="62" spans="1:3" x14ac:dyDescent="0.3">
      <c r="A62" t="s">
        <v>208</v>
      </c>
      <c r="B62" t="s">
        <v>197</v>
      </c>
      <c r="C62" t="s">
        <v>200</v>
      </c>
    </row>
    <row r="63" spans="1:3" x14ac:dyDescent="0.3">
      <c r="A63" t="s">
        <v>208</v>
      </c>
      <c r="B63" t="s">
        <v>197</v>
      </c>
      <c r="C63" t="s">
        <v>200</v>
      </c>
    </row>
    <row r="64" spans="1:3" x14ac:dyDescent="0.3">
      <c r="A64" t="s">
        <v>208</v>
      </c>
      <c r="B64" t="s">
        <v>197</v>
      </c>
      <c r="C64" t="s">
        <v>200</v>
      </c>
    </row>
    <row r="65" spans="1:3" x14ac:dyDescent="0.3">
      <c r="A65" t="s">
        <v>208</v>
      </c>
      <c r="B65" t="s">
        <v>197</v>
      </c>
      <c r="C65" t="s">
        <v>200</v>
      </c>
    </row>
    <row r="66" spans="1:3" x14ac:dyDescent="0.3">
      <c r="A66" s="4" t="s">
        <v>209</v>
      </c>
      <c r="B66" t="s">
        <v>197</v>
      </c>
      <c r="C66" t="s">
        <v>200</v>
      </c>
    </row>
    <row r="67" spans="1:3" x14ac:dyDescent="0.3">
      <c r="A67" t="s">
        <v>209</v>
      </c>
      <c r="B67" t="s">
        <v>197</v>
      </c>
      <c r="C67" t="s">
        <v>200</v>
      </c>
    </row>
    <row r="68" spans="1:3" x14ac:dyDescent="0.3">
      <c r="A68" t="s">
        <v>209</v>
      </c>
      <c r="B68" t="s">
        <v>197</v>
      </c>
      <c r="C68" t="s">
        <v>200</v>
      </c>
    </row>
    <row r="69" spans="1:3" x14ac:dyDescent="0.3">
      <c r="A69" t="s">
        <v>209</v>
      </c>
      <c r="B69" t="s">
        <v>197</v>
      </c>
      <c r="C69" t="s">
        <v>200</v>
      </c>
    </row>
    <row r="70" spans="1:3" x14ac:dyDescent="0.3">
      <c r="A70" t="s">
        <v>209</v>
      </c>
      <c r="B70" t="s">
        <v>197</v>
      </c>
      <c r="C70" t="s">
        <v>200</v>
      </c>
    </row>
    <row r="71" spans="1:3" x14ac:dyDescent="0.3">
      <c r="A71" t="s">
        <v>209</v>
      </c>
      <c r="B71" t="s">
        <v>197</v>
      </c>
      <c r="C71" t="s">
        <v>200</v>
      </c>
    </row>
    <row r="72" spans="1:3" x14ac:dyDescent="0.3">
      <c r="A72" t="s">
        <v>209</v>
      </c>
      <c r="B72" t="s">
        <v>197</v>
      </c>
      <c r="C72" t="s">
        <v>200</v>
      </c>
    </row>
    <row r="73" spans="1:3" x14ac:dyDescent="0.3">
      <c r="A73" t="s">
        <v>209</v>
      </c>
      <c r="B73" t="s">
        <v>197</v>
      </c>
      <c r="C73" t="s">
        <v>200</v>
      </c>
    </row>
    <row r="74" spans="1:3" x14ac:dyDescent="0.3">
      <c r="A74" t="s">
        <v>209</v>
      </c>
      <c r="B74" t="s">
        <v>197</v>
      </c>
      <c r="C74" t="s">
        <v>200</v>
      </c>
    </row>
    <row r="75" spans="1:3" x14ac:dyDescent="0.3">
      <c r="A75" t="s">
        <v>209</v>
      </c>
      <c r="B75" t="s">
        <v>197</v>
      </c>
      <c r="C75" t="s">
        <v>200</v>
      </c>
    </row>
    <row r="76" spans="1:3" x14ac:dyDescent="0.3">
      <c r="A76" t="s">
        <v>209</v>
      </c>
      <c r="B76" t="s">
        <v>197</v>
      </c>
      <c r="C76" t="s">
        <v>200</v>
      </c>
    </row>
    <row r="77" spans="1:3" x14ac:dyDescent="0.3">
      <c r="A77" t="s">
        <v>209</v>
      </c>
      <c r="B77" t="s">
        <v>197</v>
      </c>
      <c r="C77" t="s">
        <v>200</v>
      </c>
    </row>
    <row r="78" spans="1:3" x14ac:dyDescent="0.3">
      <c r="A78" t="s">
        <v>209</v>
      </c>
      <c r="B78" t="s">
        <v>197</v>
      </c>
      <c r="C78" t="s">
        <v>200</v>
      </c>
    </row>
    <row r="79" spans="1:3" x14ac:dyDescent="0.3">
      <c r="A79" t="s">
        <v>209</v>
      </c>
      <c r="B79" t="s">
        <v>197</v>
      </c>
      <c r="C79" t="s">
        <v>200</v>
      </c>
    </row>
    <row r="80" spans="1:3" x14ac:dyDescent="0.3">
      <c r="A80" t="s">
        <v>209</v>
      </c>
      <c r="B80" t="s">
        <v>197</v>
      </c>
      <c r="C80" t="s">
        <v>200</v>
      </c>
    </row>
    <row r="81" spans="1:3" x14ac:dyDescent="0.3">
      <c r="A81" t="s">
        <v>209</v>
      </c>
      <c r="B81" t="s">
        <v>197</v>
      </c>
      <c r="C81" t="s">
        <v>205</v>
      </c>
    </row>
    <row r="82" spans="1:3" x14ac:dyDescent="0.3">
      <c r="A82" t="s">
        <v>209</v>
      </c>
      <c r="B82" t="s">
        <v>197</v>
      </c>
      <c r="C82" t="s">
        <v>200</v>
      </c>
    </row>
    <row r="83" spans="1:3" x14ac:dyDescent="0.3">
      <c r="A83" t="s">
        <v>209</v>
      </c>
      <c r="B83" t="s">
        <v>197</v>
      </c>
      <c r="C83" t="s">
        <v>200</v>
      </c>
    </row>
    <row r="84" spans="1:3" x14ac:dyDescent="0.3">
      <c r="A84" t="s">
        <v>209</v>
      </c>
      <c r="B84" t="s">
        <v>197</v>
      </c>
      <c r="C84" t="s">
        <v>200</v>
      </c>
    </row>
    <row r="85" spans="1:3" x14ac:dyDescent="0.3">
      <c r="A85" t="s">
        <v>209</v>
      </c>
      <c r="B85" t="s">
        <v>197</v>
      </c>
      <c r="C85" t="s">
        <v>200</v>
      </c>
    </row>
    <row r="86" spans="1:3" x14ac:dyDescent="0.3">
      <c r="A86" t="s">
        <v>209</v>
      </c>
      <c r="B86" t="s">
        <v>197</v>
      </c>
      <c r="C86" t="s">
        <v>200</v>
      </c>
    </row>
    <row r="87" spans="1:3" x14ac:dyDescent="0.3">
      <c r="A87" t="s">
        <v>209</v>
      </c>
      <c r="B87" t="s">
        <v>197</v>
      </c>
      <c r="C87" t="s">
        <v>200</v>
      </c>
    </row>
    <row r="88" spans="1:3" x14ac:dyDescent="0.3">
      <c r="A88" t="s">
        <v>209</v>
      </c>
      <c r="B88" t="s">
        <v>197</v>
      </c>
      <c r="C88" t="s">
        <v>200</v>
      </c>
    </row>
    <row r="89" spans="1:3" x14ac:dyDescent="0.3">
      <c r="A89" t="s">
        <v>209</v>
      </c>
      <c r="B89" t="s">
        <v>197</v>
      </c>
      <c r="C89" t="s">
        <v>200</v>
      </c>
    </row>
    <row r="90" spans="1:3" x14ac:dyDescent="0.3">
      <c r="A90" t="s">
        <v>209</v>
      </c>
      <c r="B90" t="s">
        <v>197</v>
      </c>
      <c r="C90" t="s">
        <v>200</v>
      </c>
    </row>
    <row r="91" spans="1:3" x14ac:dyDescent="0.3">
      <c r="A91" s="4" t="s">
        <v>209</v>
      </c>
      <c r="B91" t="s">
        <v>197</v>
      </c>
      <c r="C91" t="s">
        <v>200</v>
      </c>
    </row>
    <row r="92" spans="1:3" x14ac:dyDescent="0.3">
      <c r="A92" t="s">
        <v>210</v>
      </c>
      <c r="B92" t="s">
        <v>211</v>
      </c>
      <c r="C92" t="s">
        <v>198</v>
      </c>
    </row>
    <row r="93" spans="1:3" x14ac:dyDescent="0.3">
      <c r="A93" t="s">
        <v>210</v>
      </c>
      <c r="B93" t="s">
        <v>211</v>
      </c>
      <c r="C93" t="s">
        <v>198</v>
      </c>
    </row>
    <row r="94" spans="1:3" x14ac:dyDescent="0.3">
      <c r="A94" t="s">
        <v>210</v>
      </c>
      <c r="B94" t="s">
        <v>211</v>
      </c>
      <c r="C94" t="s">
        <v>198</v>
      </c>
    </row>
    <row r="95" spans="1:3" x14ac:dyDescent="0.3">
      <c r="A95" t="s">
        <v>210</v>
      </c>
      <c r="B95" t="s">
        <v>211</v>
      </c>
      <c r="C95" t="s">
        <v>198</v>
      </c>
    </row>
    <row r="96" spans="1:3" x14ac:dyDescent="0.3">
      <c r="A96" t="s">
        <v>210</v>
      </c>
      <c r="B96" t="s">
        <v>211</v>
      </c>
      <c r="C96" t="s">
        <v>212</v>
      </c>
    </row>
    <row r="97" spans="1:3" x14ac:dyDescent="0.3">
      <c r="A97" t="s">
        <v>210</v>
      </c>
      <c r="B97" t="s">
        <v>211</v>
      </c>
      <c r="C97" t="s">
        <v>212</v>
      </c>
    </row>
    <row r="98" spans="1:3" x14ac:dyDescent="0.3">
      <c r="A98" t="s">
        <v>210</v>
      </c>
      <c r="B98" t="s">
        <v>211</v>
      </c>
      <c r="C98" t="s">
        <v>212</v>
      </c>
    </row>
    <row r="99" spans="1:3" x14ac:dyDescent="0.3">
      <c r="A99" t="s">
        <v>210</v>
      </c>
      <c r="B99" t="s">
        <v>211</v>
      </c>
      <c r="C99" t="s">
        <v>212</v>
      </c>
    </row>
    <row r="100" spans="1:3" x14ac:dyDescent="0.3">
      <c r="A100" t="s">
        <v>204</v>
      </c>
      <c r="B100" t="s">
        <v>211</v>
      </c>
      <c r="C100" t="s">
        <v>198</v>
      </c>
    </row>
    <row r="101" spans="1:3" x14ac:dyDescent="0.3">
      <c r="A101" t="s">
        <v>204</v>
      </c>
      <c r="B101" t="s">
        <v>211</v>
      </c>
      <c r="C101" t="s">
        <v>198</v>
      </c>
    </row>
    <row r="102" spans="1:3" x14ac:dyDescent="0.3">
      <c r="A102" t="s">
        <v>204</v>
      </c>
      <c r="B102" t="s">
        <v>211</v>
      </c>
      <c r="C102" t="s">
        <v>198</v>
      </c>
    </row>
    <row r="103" spans="1:3" x14ac:dyDescent="0.3">
      <c r="A103" t="s">
        <v>204</v>
      </c>
      <c r="B103" t="s">
        <v>211</v>
      </c>
      <c r="C103" t="s">
        <v>198</v>
      </c>
    </row>
    <row r="104" spans="1:3" x14ac:dyDescent="0.3">
      <c r="A104" t="s">
        <v>204</v>
      </c>
      <c r="B104" t="s">
        <v>211</v>
      </c>
      <c r="C104" t="s">
        <v>198</v>
      </c>
    </row>
    <row r="105" spans="1:3" x14ac:dyDescent="0.3">
      <c r="A105" t="s">
        <v>204</v>
      </c>
      <c r="B105" t="s">
        <v>211</v>
      </c>
      <c r="C105" t="s">
        <v>212</v>
      </c>
    </row>
    <row r="106" spans="1:3" x14ac:dyDescent="0.3">
      <c r="A106" t="s">
        <v>204</v>
      </c>
      <c r="B106" t="s">
        <v>211</v>
      </c>
      <c r="C106" t="s">
        <v>212</v>
      </c>
    </row>
    <row r="107" spans="1:3" x14ac:dyDescent="0.3">
      <c r="A107" t="s">
        <v>204</v>
      </c>
      <c r="B107" t="s">
        <v>211</v>
      </c>
      <c r="C107" t="s">
        <v>212</v>
      </c>
    </row>
    <row r="108" spans="1:3" x14ac:dyDescent="0.3">
      <c r="A108" t="s">
        <v>204</v>
      </c>
      <c r="B108" t="s">
        <v>211</v>
      </c>
      <c r="C108" t="s">
        <v>212</v>
      </c>
    </row>
    <row r="109" spans="1:3" x14ac:dyDescent="0.3">
      <c r="A109" t="s">
        <v>204</v>
      </c>
      <c r="B109" t="s">
        <v>211</v>
      </c>
      <c r="C109" t="s">
        <v>212</v>
      </c>
    </row>
    <row r="110" spans="1:3" x14ac:dyDescent="0.3">
      <c r="A110" t="s">
        <v>204</v>
      </c>
      <c r="B110" t="s">
        <v>211</v>
      </c>
      <c r="C110" t="s">
        <v>198</v>
      </c>
    </row>
    <row r="111" spans="1:3" x14ac:dyDescent="0.3">
      <c r="A111" t="s">
        <v>204</v>
      </c>
      <c r="B111" t="s">
        <v>211</v>
      </c>
      <c r="C111" t="s">
        <v>212</v>
      </c>
    </row>
    <row r="112" spans="1:3" x14ac:dyDescent="0.3">
      <c r="A112" t="s">
        <v>213</v>
      </c>
      <c r="B112" t="s">
        <v>211</v>
      </c>
      <c r="C112" t="s">
        <v>198</v>
      </c>
    </row>
    <row r="113" spans="1:3" x14ac:dyDescent="0.3">
      <c r="A113" t="s">
        <v>213</v>
      </c>
      <c r="B113" t="s">
        <v>211</v>
      </c>
      <c r="C113" t="s">
        <v>212</v>
      </c>
    </row>
    <row r="114" spans="1:3" x14ac:dyDescent="0.3">
      <c r="A114" t="s">
        <v>213</v>
      </c>
      <c r="B114" t="s">
        <v>211</v>
      </c>
      <c r="C114" t="s">
        <v>198</v>
      </c>
    </row>
    <row r="115" spans="1:3" x14ac:dyDescent="0.3">
      <c r="A115" t="s">
        <v>213</v>
      </c>
      <c r="B115" t="s">
        <v>211</v>
      </c>
      <c r="C115" t="s">
        <v>212</v>
      </c>
    </row>
    <row r="116" spans="1:3" x14ac:dyDescent="0.3">
      <c r="A116" t="s">
        <v>213</v>
      </c>
      <c r="B116" t="s">
        <v>211</v>
      </c>
      <c r="C116" t="s">
        <v>198</v>
      </c>
    </row>
    <row r="117" spans="1:3" x14ac:dyDescent="0.3">
      <c r="A117" t="s">
        <v>213</v>
      </c>
      <c r="B117" t="s">
        <v>211</v>
      </c>
      <c r="C117" t="s">
        <v>198</v>
      </c>
    </row>
    <row r="118" spans="1:3" x14ac:dyDescent="0.3">
      <c r="A118" t="s">
        <v>213</v>
      </c>
      <c r="B118" t="s">
        <v>211</v>
      </c>
      <c r="C118" t="s">
        <v>212</v>
      </c>
    </row>
    <row r="119" spans="1:3" x14ac:dyDescent="0.3">
      <c r="A119" t="s">
        <v>213</v>
      </c>
      <c r="B119" t="s">
        <v>211</v>
      </c>
      <c r="C119" t="s">
        <v>212</v>
      </c>
    </row>
    <row r="120" spans="1:3" x14ac:dyDescent="0.3">
      <c r="A120" t="s">
        <v>213</v>
      </c>
      <c r="B120" t="s">
        <v>211</v>
      </c>
      <c r="C120" t="s">
        <v>198</v>
      </c>
    </row>
    <row r="121" spans="1:3" x14ac:dyDescent="0.3">
      <c r="A121" t="s">
        <v>213</v>
      </c>
      <c r="B121" t="s">
        <v>211</v>
      </c>
      <c r="C121" t="s">
        <v>198</v>
      </c>
    </row>
    <row r="122" spans="1:3" x14ac:dyDescent="0.3">
      <c r="A122" t="s">
        <v>213</v>
      </c>
      <c r="B122" t="s">
        <v>211</v>
      </c>
      <c r="C122" t="s">
        <v>198</v>
      </c>
    </row>
    <row r="123" spans="1:3" x14ac:dyDescent="0.3">
      <c r="A123" t="s">
        <v>201</v>
      </c>
      <c r="B123" t="s">
        <v>211</v>
      </c>
      <c r="C123" t="s">
        <v>198</v>
      </c>
    </row>
    <row r="124" spans="1:3" x14ac:dyDescent="0.3">
      <c r="A124" t="s">
        <v>201</v>
      </c>
      <c r="B124" t="s">
        <v>211</v>
      </c>
      <c r="C124" t="s">
        <v>214</v>
      </c>
    </row>
    <row r="125" spans="1:3" x14ac:dyDescent="0.3">
      <c r="A125" t="s">
        <v>201</v>
      </c>
      <c r="B125" t="s">
        <v>211</v>
      </c>
      <c r="C125" t="s">
        <v>212</v>
      </c>
    </row>
    <row r="126" spans="1:3" x14ac:dyDescent="0.3">
      <c r="A126" t="s">
        <v>201</v>
      </c>
      <c r="B126" t="s">
        <v>211</v>
      </c>
      <c r="C126" t="s">
        <v>198</v>
      </c>
    </row>
    <row r="127" spans="1:3" x14ac:dyDescent="0.3">
      <c r="A127" t="s">
        <v>201</v>
      </c>
      <c r="B127" t="s">
        <v>211</v>
      </c>
      <c r="C127" t="s">
        <v>198</v>
      </c>
    </row>
    <row r="128" spans="1:3" x14ac:dyDescent="0.3">
      <c r="A128" t="s">
        <v>201</v>
      </c>
      <c r="B128" t="s">
        <v>211</v>
      </c>
      <c r="C128" t="s">
        <v>198</v>
      </c>
    </row>
    <row r="129" spans="1:3" x14ac:dyDescent="0.3">
      <c r="A129" t="s">
        <v>201</v>
      </c>
      <c r="B129" t="s">
        <v>211</v>
      </c>
      <c r="C129" t="s">
        <v>212</v>
      </c>
    </row>
    <row r="130" spans="1:3" x14ac:dyDescent="0.3">
      <c r="A130" t="s">
        <v>201</v>
      </c>
      <c r="B130" t="s">
        <v>211</v>
      </c>
      <c r="C130" t="s">
        <v>212</v>
      </c>
    </row>
    <row r="131" spans="1:3" x14ac:dyDescent="0.3">
      <c r="A131" t="s">
        <v>201</v>
      </c>
      <c r="B131" t="s">
        <v>211</v>
      </c>
      <c r="C131" t="s">
        <v>212</v>
      </c>
    </row>
    <row r="132" spans="1:3" x14ac:dyDescent="0.3">
      <c r="A132" t="s">
        <v>201</v>
      </c>
      <c r="B132" t="s">
        <v>211</v>
      </c>
      <c r="C132" t="s">
        <v>198</v>
      </c>
    </row>
    <row r="133" spans="1:3" x14ac:dyDescent="0.3">
      <c r="A133" t="s">
        <v>201</v>
      </c>
      <c r="B133" t="s">
        <v>211</v>
      </c>
      <c r="C133" t="s">
        <v>212</v>
      </c>
    </row>
    <row r="134" spans="1:3" x14ac:dyDescent="0.3">
      <c r="A134" t="s">
        <v>215</v>
      </c>
      <c r="B134" t="s">
        <v>211</v>
      </c>
      <c r="C134" t="s">
        <v>198</v>
      </c>
    </row>
    <row r="135" spans="1:3" x14ac:dyDescent="0.3">
      <c r="A135" t="s">
        <v>215</v>
      </c>
      <c r="B135" t="s">
        <v>211</v>
      </c>
      <c r="C135" t="s">
        <v>198</v>
      </c>
    </row>
    <row r="136" spans="1:3" x14ac:dyDescent="0.3">
      <c r="A136" t="s">
        <v>215</v>
      </c>
      <c r="B136" t="s">
        <v>211</v>
      </c>
      <c r="C136" t="s">
        <v>212</v>
      </c>
    </row>
    <row r="137" spans="1:3" x14ac:dyDescent="0.3">
      <c r="A137" t="s">
        <v>215</v>
      </c>
      <c r="B137" t="s">
        <v>211</v>
      </c>
      <c r="C137" t="s">
        <v>212</v>
      </c>
    </row>
    <row r="138" spans="1:3" x14ac:dyDescent="0.3">
      <c r="A138" t="s">
        <v>215</v>
      </c>
      <c r="B138" t="s">
        <v>211</v>
      </c>
      <c r="C138" t="s">
        <v>198</v>
      </c>
    </row>
    <row r="139" spans="1:3" x14ac:dyDescent="0.3">
      <c r="A139" t="s">
        <v>215</v>
      </c>
      <c r="B139" t="s">
        <v>211</v>
      </c>
      <c r="C139" t="s">
        <v>214</v>
      </c>
    </row>
    <row r="140" spans="1:3" x14ac:dyDescent="0.3">
      <c r="A140" t="s">
        <v>215</v>
      </c>
      <c r="B140" t="s">
        <v>211</v>
      </c>
      <c r="C140" t="s">
        <v>212</v>
      </c>
    </row>
    <row r="141" spans="1:3" x14ac:dyDescent="0.3">
      <c r="A141" t="s">
        <v>215</v>
      </c>
      <c r="B141" t="s">
        <v>211</v>
      </c>
      <c r="C141" t="s">
        <v>198</v>
      </c>
    </row>
    <row r="142" spans="1:3" x14ac:dyDescent="0.3">
      <c r="A142" t="s">
        <v>215</v>
      </c>
      <c r="B142" t="s">
        <v>211</v>
      </c>
      <c r="C142" t="s">
        <v>198</v>
      </c>
    </row>
    <row r="143" spans="1:3" x14ac:dyDescent="0.3">
      <c r="A143" t="s">
        <v>215</v>
      </c>
      <c r="B143" t="s">
        <v>211</v>
      </c>
      <c r="C143" t="s">
        <v>212</v>
      </c>
    </row>
    <row r="144" spans="1:3" x14ac:dyDescent="0.3">
      <c r="A144" t="s">
        <v>215</v>
      </c>
      <c r="B144" t="s">
        <v>211</v>
      </c>
      <c r="C144" t="s">
        <v>212</v>
      </c>
    </row>
    <row r="145" spans="1:3" x14ac:dyDescent="0.3">
      <c r="A145" t="s">
        <v>215</v>
      </c>
      <c r="B145" t="s">
        <v>211</v>
      </c>
      <c r="C145" t="s">
        <v>198</v>
      </c>
    </row>
    <row r="146" spans="1:3" x14ac:dyDescent="0.3">
      <c r="A146" t="s">
        <v>215</v>
      </c>
      <c r="B146" t="s">
        <v>211</v>
      </c>
      <c r="C146" t="s">
        <v>198</v>
      </c>
    </row>
    <row r="147" spans="1:3" x14ac:dyDescent="0.3">
      <c r="A147" t="s">
        <v>215</v>
      </c>
      <c r="B147" t="s">
        <v>211</v>
      </c>
      <c r="C147" t="s">
        <v>212</v>
      </c>
    </row>
    <row r="148" spans="1:3" x14ac:dyDescent="0.3">
      <c r="A148" t="s">
        <v>215</v>
      </c>
      <c r="B148" t="s">
        <v>211</v>
      </c>
      <c r="C148" t="s">
        <v>212</v>
      </c>
    </row>
    <row r="149" spans="1:3" x14ac:dyDescent="0.3">
      <c r="A149" t="s">
        <v>215</v>
      </c>
      <c r="B149" t="s">
        <v>211</v>
      </c>
      <c r="C149" t="s">
        <v>212</v>
      </c>
    </row>
    <row r="150" spans="1:3" x14ac:dyDescent="0.3">
      <c r="A150" t="s">
        <v>215</v>
      </c>
      <c r="B150" t="s">
        <v>211</v>
      </c>
      <c r="C150" t="s">
        <v>198</v>
      </c>
    </row>
    <row r="151" spans="1:3" x14ac:dyDescent="0.3">
      <c r="A151" t="s">
        <v>215</v>
      </c>
      <c r="B151" t="s">
        <v>211</v>
      </c>
      <c r="C151" t="s">
        <v>212</v>
      </c>
    </row>
    <row r="152" spans="1:3" x14ac:dyDescent="0.3">
      <c r="A152" t="s">
        <v>215</v>
      </c>
      <c r="B152" t="s">
        <v>211</v>
      </c>
      <c r="C152" t="s">
        <v>198</v>
      </c>
    </row>
    <row r="153" spans="1:3" x14ac:dyDescent="0.3">
      <c r="A153" t="s">
        <v>215</v>
      </c>
      <c r="B153" t="s">
        <v>211</v>
      </c>
      <c r="C153" t="s">
        <v>198</v>
      </c>
    </row>
    <row r="154" spans="1:3" x14ac:dyDescent="0.3">
      <c r="A154" t="s">
        <v>215</v>
      </c>
      <c r="B154" t="s">
        <v>211</v>
      </c>
      <c r="C154" t="s">
        <v>212</v>
      </c>
    </row>
    <row r="155" spans="1:3" x14ac:dyDescent="0.3">
      <c r="A155" t="s">
        <v>215</v>
      </c>
      <c r="B155" t="s">
        <v>211</v>
      </c>
      <c r="C155" t="s">
        <v>212</v>
      </c>
    </row>
    <row r="156" spans="1:3" x14ac:dyDescent="0.3">
      <c r="A156" t="s">
        <v>215</v>
      </c>
      <c r="B156" t="s">
        <v>211</v>
      </c>
      <c r="C156" t="s">
        <v>212</v>
      </c>
    </row>
    <row r="157" spans="1:3" x14ac:dyDescent="0.3">
      <c r="A157" t="s">
        <v>215</v>
      </c>
      <c r="B157" t="s">
        <v>211</v>
      </c>
      <c r="C157" t="s">
        <v>198</v>
      </c>
    </row>
    <row r="158" spans="1:3" x14ac:dyDescent="0.3">
      <c r="A158" t="s">
        <v>215</v>
      </c>
      <c r="B158" t="s">
        <v>211</v>
      </c>
      <c r="C158" t="s">
        <v>198</v>
      </c>
    </row>
    <row r="159" spans="1:3" x14ac:dyDescent="0.3">
      <c r="A159" t="s">
        <v>215</v>
      </c>
      <c r="B159" t="s">
        <v>211</v>
      </c>
      <c r="C159" t="s">
        <v>212</v>
      </c>
    </row>
    <row r="160" spans="1:3" x14ac:dyDescent="0.3">
      <c r="A160" t="s">
        <v>215</v>
      </c>
      <c r="B160" t="s">
        <v>211</v>
      </c>
      <c r="C160" t="s">
        <v>212</v>
      </c>
    </row>
    <row r="161" spans="1:3" x14ac:dyDescent="0.3">
      <c r="A161" t="s">
        <v>196</v>
      </c>
      <c r="B161" t="s">
        <v>211</v>
      </c>
      <c r="C161" t="s">
        <v>198</v>
      </c>
    </row>
    <row r="162" spans="1:3" x14ac:dyDescent="0.3">
      <c r="A162" t="s">
        <v>196</v>
      </c>
      <c r="B162" t="s">
        <v>211</v>
      </c>
      <c r="C162" t="s">
        <v>212</v>
      </c>
    </row>
    <row r="163" spans="1:3" x14ac:dyDescent="0.3">
      <c r="A163" t="s">
        <v>196</v>
      </c>
      <c r="B163" t="s">
        <v>211</v>
      </c>
      <c r="C163" t="s">
        <v>198</v>
      </c>
    </row>
    <row r="164" spans="1:3" x14ac:dyDescent="0.3">
      <c r="A164" t="s">
        <v>196</v>
      </c>
      <c r="B164" t="s">
        <v>211</v>
      </c>
      <c r="C164" t="s">
        <v>212</v>
      </c>
    </row>
    <row r="165" spans="1:3" x14ac:dyDescent="0.3">
      <c r="A165" t="s">
        <v>196</v>
      </c>
      <c r="B165" t="s">
        <v>211</v>
      </c>
      <c r="C165" t="s">
        <v>198</v>
      </c>
    </row>
    <row r="166" spans="1:3" x14ac:dyDescent="0.3">
      <c r="A166" t="s">
        <v>196</v>
      </c>
      <c r="B166" t="s">
        <v>211</v>
      </c>
      <c r="C166" t="s">
        <v>212</v>
      </c>
    </row>
    <row r="167" spans="1:3" x14ac:dyDescent="0.3">
      <c r="A167" t="s">
        <v>196</v>
      </c>
      <c r="B167" t="s">
        <v>211</v>
      </c>
      <c r="C167" t="s">
        <v>198</v>
      </c>
    </row>
    <row r="168" spans="1:3" x14ac:dyDescent="0.3">
      <c r="A168" t="s">
        <v>196</v>
      </c>
      <c r="B168" t="s">
        <v>211</v>
      </c>
      <c r="C168" t="s">
        <v>198</v>
      </c>
    </row>
    <row r="169" spans="1:3" x14ac:dyDescent="0.3">
      <c r="A169" t="s">
        <v>196</v>
      </c>
      <c r="B169" t="s">
        <v>211</v>
      </c>
      <c r="C169" t="s">
        <v>198</v>
      </c>
    </row>
    <row r="170" spans="1:3" x14ac:dyDescent="0.3">
      <c r="A170" t="s">
        <v>196</v>
      </c>
      <c r="B170" t="s">
        <v>211</v>
      </c>
      <c r="C170" t="s">
        <v>212</v>
      </c>
    </row>
    <row r="171" spans="1:3" x14ac:dyDescent="0.3">
      <c r="A171" t="s">
        <v>196</v>
      </c>
      <c r="B171" t="s">
        <v>211</v>
      </c>
      <c r="C171" t="s">
        <v>212</v>
      </c>
    </row>
    <row r="172" spans="1:3" x14ac:dyDescent="0.3">
      <c r="A172" t="s">
        <v>196</v>
      </c>
      <c r="B172" t="s">
        <v>211</v>
      </c>
      <c r="C17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loula</cp:lastModifiedBy>
  <dcterms:created xsi:type="dcterms:W3CDTF">2025-04-11T17:54:13Z</dcterms:created>
  <dcterms:modified xsi:type="dcterms:W3CDTF">2025-04-14T19:54:58Z</dcterms:modified>
</cp:coreProperties>
</file>