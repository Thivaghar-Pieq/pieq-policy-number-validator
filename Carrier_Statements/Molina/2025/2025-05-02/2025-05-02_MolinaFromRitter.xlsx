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05-02-25\"/>
    </mc:Choice>
  </mc:AlternateContent>
  <xr:revisionPtr revIDLastSave="0" documentId="13_ncr:1_{E2E9D1B2-CD4A-427E-8686-B294173DDF77}" xr6:coauthVersionLast="47" xr6:coauthVersionMax="47" xr10:uidLastSave="{00000000-0000-0000-0000-000000000000}"/>
  <bookViews>
    <workbookView xWindow="28680" yWindow="-120" windowWidth="29040" windowHeight="16440" activeTab="1" xr2:uid="{B8C03F69-8CCF-41ED-A529-254D39DE2E42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2" l="1"/>
  <c r="G13" i="2"/>
  <c r="G14" i="2"/>
  <c r="G18" i="2"/>
  <c r="G19" i="2"/>
  <c r="G20" i="2"/>
  <c r="G21" i="2"/>
  <c r="G34" i="2"/>
  <c r="G22" i="2"/>
  <c r="G31" i="2"/>
  <c r="G15" i="2"/>
  <c r="G32" i="2"/>
  <c r="G6" i="2"/>
  <c r="G16" i="2"/>
  <c r="G33" i="2"/>
  <c r="G10" i="2"/>
  <c r="G5" i="2"/>
  <c r="G7" i="2"/>
  <c r="G35" i="2"/>
  <c r="G36" i="2"/>
  <c r="G23" i="2"/>
  <c r="G2" i="2"/>
  <c r="G3" i="2"/>
  <c r="G37" i="2"/>
  <c r="G38" i="2"/>
  <c r="G39" i="2"/>
  <c r="G9" i="2"/>
  <c r="G4" i="2"/>
  <c r="G24" i="2"/>
  <c r="G11" i="2"/>
  <c r="G25" i="2"/>
  <c r="G26" i="2"/>
  <c r="G17" i="2"/>
  <c r="G27" i="2"/>
  <c r="G28" i="2"/>
  <c r="G29" i="2"/>
  <c r="G30" i="2"/>
  <c r="G12" i="2"/>
  <c r="E8" i="2"/>
  <c r="E13" i="2"/>
  <c r="E14" i="2"/>
  <c r="E18" i="2"/>
  <c r="E19" i="2"/>
  <c r="E20" i="2"/>
  <c r="E21" i="2"/>
  <c r="E34" i="2"/>
  <c r="E22" i="2"/>
  <c r="E31" i="2"/>
  <c r="E15" i="2"/>
  <c r="E32" i="2"/>
  <c r="E6" i="2"/>
  <c r="E16" i="2"/>
  <c r="E33" i="2"/>
  <c r="E10" i="2"/>
  <c r="E5" i="2"/>
  <c r="E7" i="2"/>
  <c r="E35" i="2"/>
  <c r="E36" i="2"/>
  <c r="E23" i="2"/>
  <c r="E2" i="2"/>
  <c r="E3" i="2"/>
  <c r="E37" i="2"/>
  <c r="E38" i="2"/>
  <c r="E39" i="2"/>
  <c r="E9" i="2"/>
  <c r="E4" i="2"/>
  <c r="E24" i="2"/>
  <c r="E11" i="2"/>
  <c r="E25" i="2"/>
  <c r="E26" i="2"/>
  <c r="E17" i="2"/>
  <c r="E27" i="2"/>
  <c r="E28" i="2"/>
  <c r="E29" i="2"/>
  <c r="E30" i="2"/>
  <c r="E12" i="2"/>
</calcChain>
</file>

<file path=xl/sharedStrings.xml><?xml version="1.0" encoding="utf-8"?>
<sst xmlns="http://schemas.openxmlformats.org/spreadsheetml/2006/main" count="534" uniqueCount="144">
  <si>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</si>
  <si>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</si>
  <si>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</si>
  <si>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</si>
  <si>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</si>
  <si>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</si>
  <si>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</si>
  <si>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</si>
  <si>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</si>
  <si>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</si>
  <si>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</si>
  <si>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Katelenn Caltagirone</t>
  </si>
  <si>
    <t>BC7559</t>
  </si>
  <si>
    <t>Annette</t>
  </si>
  <si>
    <t>Brooks</t>
  </si>
  <si>
    <t>MI-0002665329</t>
  </si>
  <si>
    <t>Molina Marketplace</t>
  </si>
  <si>
    <t>Molina Marketplace 2023-2025 Renewal MI, ST (ProRata: 1) Premium Period: 4/1/2025</t>
  </si>
  <si>
    <t>Gregory Teipel</t>
  </si>
  <si>
    <t>Amy</t>
  </si>
  <si>
    <t>Reiske</t>
  </si>
  <si>
    <t>MI-0002943985</t>
  </si>
  <si>
    <t>Michael</t>
  </si>
  <si>
    <t>MI-0003273045</t>
  </si>
  <si>
    <t>Kyle</t>
  </si>
  <si>
    <t>Hoffman</t>
  </si>
  <si>
    <t>MI-0003825033</t>
  </si>
  <si>
    <t>Ryan Caltagirone</t>
  </si>
  <si>
    <t>BA2413</t>
  </si>
  <si>
    <t>Bruce</t>
  </si>
  <si>
    <t>Kelley</t>
  </si>
  <si>
    <t>OH-0000065693</t>
  </si>
  <si>
    <t>Molina Marketplace 2025 CA, KY, OH ST (ProRata: 1) Premium Period: 4/1/2025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</si>
  <si>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</si>
  <si>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</si>
  <si>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</si>
  <si>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</si>
  <si>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</si>
  <si>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</si>
  <si>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</si>
  <si>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</si>
  <si>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Tom Pardue</t>
  </si>
  <si>
    <t>Dennis</t>
  </si>
  <si>
    <t>Pitts</t>
  </si>
  <si>
    <t>OH-0003975220</t>
  </si>
  <si>
    <t>Kimberly</t>
  </si>
  <si>
    <t>Smithson</t>
  </si>
  <si>
    <t>OH-0003991006</t>
  </si>
  <si>
    <t>Saadia Abdul</t>
  </si>
  <si>
    <t>Susan</t>
  </si>
  <si>
    <t>Duda</t>
  </si>
  <si>
    <t>IL-0004374041</t>
  </si>
  <si>
    <t>Molina Marketplace 2025 IL, SC, TX ST (ProRata: 1) Premium Period: 4/1/2025</t>
  </si>
  <si>
    <t>Richard Yale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</si>
  <si>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</si>
  <si>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</si>
  <si>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</si>
  <si>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</si>
  <si>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</si>
  <si>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</si>
  <si>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</si>
  <si>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</si>
  <si>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</si>
  <si>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</si>
  <si>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</si>
  <si>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</si>
  <si>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</si>
  <si>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</si>
  <si>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</si>
  <si>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</si>
  <si>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Jonathan Aloff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</si>
  <si>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</si>
  <si>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</si>
  <si>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</si>
  <si>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</si>
  <si>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</si>
  <si>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</si>
  <si>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</si>
  <si>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</si>
  <si>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</si>
  <si>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Demetria</t>
  </si>
  <si>
    <t>Scott</t>
  </si>
  <si>
    <t>SC-0002498554</t>
  </si>
  <si>
    <t>James</t>
  </si>
  <si>
    <t>Morgan</t>
  </si>
  <si>
    <t>SC-0003640584</t>
  </si>
  <si>
    <t>Smith</t>
  </si>
  <si>
    <t>TX-0012033259</t>
  </si>
  <si>
    <t>Adam Richter</t>
  </si>
  <si>
    <t>BD0787</t>
  </si>
  <si>
    <t>Nayan</t>
  </si>
  <si>
    <t>Patel</t>
  </si>
  <si>
    <t>TX-0013047512</t>
  </si>
  <si>
    <t>Delappe</t>
  </si>
  <si>
    <t>TX-0013514902</t>
  </si>
  <si>
    <t>Carrington</t>
  </si>
  <si>
    <t>Grissom</t>
  </si>
  <si>
    <t>MS-0002357786</t>
  </si>
  <si>
    <t>Molina Marketplace 2025 OEP/SEP MS (ProRata: 1) Premium Period: 4/1/2025</t>
  </si>
  <si>
    <t>Terri</t>
  </si>
  <si>
    <t>Cockrell</t>
  </si>
  <si>
    <t>MS-0002960307</t>
  </si>
  <si>
    <t>Anthony</t>
  </si>
  <si>
    <t>MS-0003001451</t>
  </si>
  <si>
    <t>Taylor</t>
  </si>
  <si>
    <t>Dickey</t>
  </si>
  <si>
    <t>MS-0003059848</t>
  </si>
  <si>
    <t>Floyd</t>
  </si>
  <si>
    <t>Adams</t>
  </si>
  <si>
    <t>FL-0016455763</t>
  </si>
  <si>
    <t>Molina Marketplace 2025 Renewal FL, ST (ProRata: 1) Premium Period: 4/1/2025</t>
  </si>
  <si>
    <t>Tommy</t>
  </si>
  <si>
    <t>Harber</t>
  </si>
  <si>
    <t>FL-0016532146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</si>
  <si>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</si>
  <si>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</si>
  <si>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</si>
  <si>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</si>
  <si>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</si>
  <si>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</si>
  <si>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</si>
  <si>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</si>
  <si>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</si>
  <si>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Emily</t>
  </si>
  <si>
    <t>Garvin</t>
  </si>
  <si>
    <t>FL-0023869590</t>
  </si>
  <si>
    <t>Boden</t>
  </si>
  <si>
    <t>Woodard</t>
  </si>
  <si>
    <t>UT-0002457940</t>
  </si>
  <si>
    <t>Molina Marketplace 2025 UT ST (ProRata: 1) Premium Period: 4/1/2025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</si>
  <si>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</si>
  <si>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</si>
  <si>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</si>
  <si>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</si>
  <si>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</si>
  <si>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</si>
  <si>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</si>
  <si>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</si>
  <si>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Molina - MI 2025</t>
  </si>
  <si>
    <t>Molina - CA,KY,OH 2025</t>
  </si>
  <si>
    <t>Molina 2025 IL, SC, TX</t>
  </si>
  <si>
    <t>Molina - FL 2025</t>
  </si>
  <si>
    <t>Molina - SC, UT</t>
  </si>
  <si>
    <t>Molina 2025 -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</si>
</sst>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/>
    <xf numFmtId="14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B8ED-5CB2-400A-903E-2914F8539E3F}">
  <dimension ref="A1:K39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20436896</v>
      </c>
      <c r="D2" t="s">
        <v>13</v>
      </c>
      <c r="E2" t="s">
        <v>14</v>
      </c>
      <c r="F2" t="s">
        <v>15</v>
      </c>
      <c r="G2" s="1">
        <v>44927</v>
      </c>
      <c r="H2" s="1">
        <v>45779</v>
      </c>
      <c r="I2" t="s">
        <v>16</v>
      </c>
      <c r="J2" t="s">
        <v>17</v>
      </c>
      <c r="K2" s="2">
        <v>24</v>
      </c>
    </row>
    <row r="3" spans="1:11" x14ac:dyDescent="0.25">
      <c r="A3" t="s">
        <v>18</v>
      </c>
      <c r="C3">
        <v>8307933</v>
      </c>
      <c r="D3" t="s">
        <v>19</v>
      </c>
      <c r="E3" t="s">
        <v>20</v>
      </c>
      <c r="F3" t="s">
        <v>21</v>
      </c>
      <c r="G3" s="1">
        <v>44927</v>
      </c>
      <c r="H3" s="1">
        <v>45779</v>
      </c>
      <c r="I3" t="s">
        <v>16</v>
      </c>
      <c r="J3" t="s">
        <v>17</v>
      </c>
      <c r="K3" s="2">
        <v>24</v>
      </c>
    </row>
    <row r="4" spans="1:11" x14ac:dyDescent="0.25">
      <c r="A4" t="s">
        <v>11</v>
      </c>
      <c r="B4" t="s">
        <v>12</v>
      </c>
      <c r="C4">
        <v>20436896</v>
      </c>
      <c r="D4" t="s">
        <v>22</v>
      </c>
      <c r="E4" t="s">
        <v>14</v>
      </c>
      <c r="F4" t="s">
        <v>23</v>
      </c>
      <c r="G4" s="1">
        <v>44927</v>
      </c>
      <c r="H4" s="1">
        <v>45779</v>
      </c>
      <c r="I4" t="s">
        <v>16</v>
      </c>
      <c r="J4" t="s">
        <v>17</v>
      </c>
      <c r="K4" s="2">
        <v>24</v>
      </c>
    </row>
    <row r="5" spans="1:11" x14ac:dyDescent="0.25">
      <c r="A5" t="s">
        <v>11</v>
      </c>
      <c r="B5" t="s">
        <v>12</v>
      </c>
      <c r="C5">
        <v>20436896</v>
      </c>
      <c r="D5" t="s">
        <v>24</v>
      </c>
      <c r="E5" t="s">
        <v>25</v>
      </c>
      <c r="F5" t="s">
        <v>26</v>
      </c>
      <c r="G5" s="1">
        <v>44197</v>
      </c>
      <c r="H5" s="1">
        <v>45779</v>
      </c>
      <c r="I5" t="s">
        <v>16</v>
      </c>
      <c r="J5" t="s">
        <v>17</v>
      </c>
      <c r="K5" s="2">
        <v>24</v>
      </c>
    </row>
    <row r="6" spans="1:11" x14ac:dyDescent="0.25">
      <c r="A6" t="s">
        <v>27</v>
      </c>
      <c r="B6" t="s">
        <v>28</v>
      </c>
      <c r="C6">
        <v>8977234</v>
      </c>
      <c r="D6" t="s">
        <v>29</v>
      </c>
      <c r="E6" t="s">
        <v>30</v>
      </c>
      <c r="F6" t="s">
        <v>31</v>
      </c>
      <c r="G6" s="1">
        <v>45292</v>
      </c>
      <c r="H6" s="1">
        <v>45779</v>
      </c>
      <c r="I6" t="s">
        <v>16</v>
      </c>
      <c r="J6" t="s">
        <v>32</v>
      </c>
      <c r="K6" s="2">
        <v>20</v>
      </c>
    </row>
    <row r="7" spans="1:11" x14ac:dyDescent="0.25">
      <c r="A7" t="s">
        <v>27</v>
      </c>
      <c r="B7" t="s">
        <v>28</v>
      </c>
      <c r="C7">
        <v>8977234</v>
      </c>
      <c r="D7" t="s">
        <v>33</v>
      </c>
      <c r="E7" t="s">
        <v>34</v>
      </c>
      <c r="F7" t="s">
        <v>35</v>
      </c>
      <c r="G7" s="1">
        <v>45292</v>
      </c>
      <c r="H7" s="1">
        <v>45779</v>
      </c>
      <c r="I7" t="s">
        <v>16</v>
      </c>
      <c r="J7" t="s">
        <v>32</v>
      </c>
      <c r="K7" s="2">
        <v>20</v>
      </c>
    </row>
    <row r="8" spans="1:11" x14ac:dyDescent="0.25">
      <c r="A8" t="s">
        <v>27</v>
      </c>
      <c r="B8" t="s">
        <v>28</v>
      </c>
      <c r="C8">
        <v>8977234</v>
      </c>
      <c r="D8" t="s">
        <v>36</v>
      </c>
      <c r="E8" t="s">
        <v>34</v>
      </c>
      <c r="F8" t="s">
        <v>37</v>
      </c>
      <c r="G8" s="1">
        <v>45292</v>
      </c>
      <c r="H8" s="1">
        <v>45779</v>
      </c>
      <c r="I8" t="s">
        <v>16</v>
      </c>
      <c r="J8" t="s">
        <v>32</v>
      </c>
      <c r="K8" s="2">
        <v>20</v>
      </c>
    </row>
    <row r="9" spans="1:11" x14ac:dyDescent="0.25">
      <c r="A9" t="s">
        <v>27</v>
      </c>
      <c r="B9" t="s">
        <v>28</v>
      </c>
      <c r="C9">
        <v>8977234</v>
      </c>
      <c r="D9" t="s">
        <v>38</v>
      </c>
      <c r="E9" t="s">
        <v>39</v>
      </c>
      <c r="F9" t="s">
        <v>40</v>
      </c>
      <c r="G9" s="1">
        <v>45658</v>
      </c>
      <c r="H9" s="1">
        <v>45779</v>
      </c>
      <c r="I9" t="s">
        <v>16</v>
      </c>
      <c r="J9" t="s">
        <v>32</v>
      </c>
      <c r="K9" s="2">
        <v>20</v>
      </c>
    </row>
    <row r="10" spans="1:11" x14ac:dyDescent="0.25">
      <c r="A10" t="s">
        <v>41</v>
      </c>
      <c r="C10">
        <v>371819</v>
      </c>
      <c r="D10" t="s">
        <v>42</v>
      </c>
      <c r="E10" t="s">
        <v>43</v>
      </c>
      <c r="F10" t="s">
        <v>44</v>
      </c>
      <c r="G10" s="1">
        <v>45597</v>
      </c>
      <c r="H10" s="1">
        <v>45779</v>
      </c>
      <c r="I10" t="s">
        <v>16</v>
      </c>
      <c r="J10" t="s">
        <v>32</v>
      </c>
      <c r="K10" s="2">
        <v>20</v>
      </c>
    </row>
    <row r="11" spans="1:11" x14ac:dyDescent="0.25">
      <c r="A11" t="s">
        <v>27</v>
      </c>
      <c r="B11" t="s">
        <v>28</v>
      </c>
      <c r="C11">
        <v>8977234</v>
      </c>
      <c r="D11" t="s">
        <v>45</v>
      </c>
      <c r="E11" t="s">
        <v>46</v>
      </c>
      <c r="F11" t="s">
        <v>47</v>
      </c>
      <c r="G11" s="1">
        <v>45658</v>
      </c>
      <c r="H11" s="1">
        <v>45779</v>
      </c>
      <c r="I11" t="s">
        <v>16</v>
      </c>
      <c r="J11" t="s">
        <v>32</v>
      </c>
      <c r="K11" s="2">
        <v>20</v>
      </c>
    </row>
    <row r="12" spans="1:11" x14ac:dyDescent="0.25">
      <c r="A12" t="s">
        <v>48</v>
      </c>
      <c r="C12">
        <v>19396223</v>
      </c>
      <c r="D12" t="s">
        <v>49</v>
      </c>
      <c r="E12" t="s">
        <v>50</v>
      </c>
      <c r="F12" t="s">
        <v>51</v>
      </c>
      <c r="G12" s="1">
        <v>45717</v>
      </c>
      <c r="H12" s="1">
        <v>45779</v>
      </c>
      <c r="I12" t="s">
        <v>16</v>
      </c>
      <c r="J12" t="s">
        <v>52</v>
      </c>
      <c r="K12" s="2">
        <v>25</v>
      </c>
    </row>
    <row r="13" spans="1:11" x14ac:dyDescent="0.25">
      <c r="A13" t="s">
        <v>53</v>
      </c>
      <c r="C13">
        <v>16633294</v>
      </c>
      <c r="D13" t="s">
        <v>54</v>
      </c>
      <c r="E13" t="s">
        <v>55</v>
      </c>
      <c r="F13" t="s">
        <v>56</v>
      </c>
      <c r="G13" s="1">
        <v>45717</v>
      </c>
      <c r="H13" s="1">
        <v>45779</v>
      </c>
      <c r="I13" t="s">
        <v>16</v>
      </c>
      <c r="J13" t="s">
        <v>52</v>
      </c>
      <c r="K13" s="2">
        <v>25</v>
      </c>
    </row>
    <row r="14" spans="1:11" x14ac:dyDescent="0.25">
      <c r="A14" t="s">
        <v>48</v>
      </c>
      <c r="C14">
        <v>19396223</v>
      </c>
      <c r="D14" t="s">
        <v>57</v>
      </c>
      <c r="E14" t="s">
        <v>58</v>
      </c>
      <c r="F14" t="s">
        <v>59</v>
      </c>
      <c r="G14" s="1">
        <v>45566</v>
      </c>
      <c r="H14" s="1">
        <v>45779</v>
      </c>
      <c r="I14" t="s">
        <v>16</v>
      </c>
      <c r="J14" t="s">
        <v>52</v>
      </c>
      <c r="K14" s="2">
        <v>25</v>
      </c>
    </row>
    <row r="15" spans="1:11" x14ac:dyDescent="0.25">
      <c r="A15" t="s">
        <v>60</v>
      </c>
      <c r="C15">
        <v>9213293</v>
      </c>
      <c r="D15" t="s">
        <v>61</v>
      </c>
      <c r="E15" t="s">
        <v>62</v>
      </c>
      <c r="F15" t="s">
        <v>63</v>
      </c>
      <c r="G15" s="1">
        <v>45658</v>
      </c>
      <c r="H15" s="1">
        <v>45779</v>
      </c>
      <c r="I15" t="s">
        <v>16</v>
      </c>
      <c r="J15" t="s">
        <v>52</v>
      </c>
      <c r="K15" s="2">
        <v>25</v>
      </c>
    </row>
    <row r="16" spans="1:11" x14ac:dyDescent="0.25">
      <c r="A16" t="s">
        <v>53</v>
      </c>
      <c r="C16">
        <v>16633294</v>
      </c>
      <c r="D16" t="s">
        <v>64</v>
      </c>
      <c r="E16" t="s">
        <v>65</v>
      </c>
      <c r="F16" t="s">
        <v>66</v>
      </c>
      <c r="G16" s="1">
        <v>45689</v>
      </c>
      <c r="H16" s="1">
        <v>45779</v>
      </c>
      <c r="I16" t="s">
        <v>16</v>
      </c>
      <c r="J16" t="s">
        <v>52</v>
      </c>
      <c r="K16" s="2">
        <v>25</v>
      </c>
    </row>
    <row r="17" spans="1:11" x14ac:dyDescent="0.25">
      <c r="A17" t="s">
        <v>48</v>
      </c>
      <c r="C17">
        <v>19396223</v>
      </c>
      <c r="D17" t="s">
        <v>67</v>
      </c>
      <c r="E17" t="s">
        <v>68</v>
      </c>
      <c r="F17" t="s">
        <v>69</v>
      </c>
      <c r="G17" s="1">
        <v>45658</v>
      </c>
      <c r="H17" s="1">
        <v>45779</v>
      </c>
      <c r="I17" t="s">
        <v>16</v>
      </c>
      <c r="J17" t="s">
        <v>52</v>
      </c>
      <c r="K17" s="2">
        <v>25</v>
      </c>
    </row>
    <row r="18" spans="1:11" x14ac:dyDescent="0.25">
      <c r="A18" t="s">
        <v>70</v>
      </c>
      <c r="C18">
        <v>16683808</v>
      </c>
      <c r="D18" t="s">
        <v>71</v>
      </c>
      <c r="E18" t="s">
        <v>72</v>
      </c>
      <c r="F18" t="s">
        <v>73</v>
      </c>
      <c r="G18" s="1">
        <v>45658</v>
      </c>
      <c r="H18" s="1">
        <v>45779</v>
      </c>
      <c r="I18" t="s">
        <v>16</v>
      </c>
      <c r="J18" t="s">
        <v>52</v>
      </c>
      <c r="K18" s="2">
        <v>25</v>
      </c>
    </row>
    <row r="19" spans="1:11" x14ac:dyDescent="0.25">
      <c r="A19" t="s">
        <v>74</v>
      </c>
      <c r="C19">
        <v>7146581</v>
      </c>
      <c r="D19" t="s">
        <v>75</v>
      </c>
      <c r="E19" t="s">
        <v>76</v>
      </c>
      <c r="F19" t="s">
        <v>77</v>
      </c>
      <c r="G19" s="1">
        <v>45658</v>
      </c>
      <c r="H19" s="1">
        <v>45779</v>
      </c>
      <c r="I19" t="s">
        <v>16</v>
      </c>
      <c r="J19" t="s">
        <v>52</v>
      </c>
      <c r="K19" s="2">
        <v>25</v>
      </c>
    </row>
    <row r="20" spans="1:11" x14ac:dyDescent="0.25">
      <c r="A20" t="s">
        <v>60</v>
      </c>
      <c r="C20">
        <v>9213293</v>
      </c>
      <c r="D20" t="s">
        <v>78</v>
      </c>
      <c r="E20" t="s">
        <v>72</v>
      </c>
      <c r="F20" t="s">
        <v>79</v>
      </c>
      <c r="G20" s="1">
        <v>45658</v>
      </c>
      <c r="H20" s="1">
        <v>45779</v>
      </c>
      <c r="I20" t="s">
        <v>16</v>
      </c>
      <c r="J20" t="s">
        <v>52</v>
      </c>
      <c r="K20" s="2">
        <v>25</v>
      </c>
    </row>
    <row r="21" spans="1:11" x14ac:dyDescent="0.25">
      <c r="A21" t="s">
        <v>41</v>
      </c>
      <c r="C21">
        <v>371819</v>
      </c>
      <c r="D21" t="s">
        <v>80</v>
      </c>
      <c r="E21" t="s">
        <v>81</v>
      </c>
      <c r="F21" t="s">
        <v>82</v>
      </c>
      <c r="G21" s="1">
        <v>45658</v>
      </c>
      <c r="H21" s="1">
        <v>45779</v>
      </c>
      <c r="I21" t="s">
        <v>16</v>
      </c>
      <c r="J21" t="s">
        <v>52</v>
      </c>
      <c r="K21" s="2">
        <v>25</v>
      </c>
    </row>
    <row r="22" spans="1:11" x14ac:dyDescent="0.25">
      <c r="A22" t="s">
        <v>41</v>
      </c>
      <c r="C22">
        <v>371819</v>
      </c>
      <c r="D22" t="s">
        <v>83</v>
      </c>
      <c r="E22" t="s">
        <v>84</v>
      </c>
      <c r="F22" t="s">
        <v>85</v>
      </c>
      <c r="G22" s="1">
        <v>45658</v>
      </c>
      <c r="H22" s="1">
        <v>45779</v>
      </c>
      <c r="I22" t="s">
        <v>16</v>
      </c>
      <c r="J22" t="s">
        <v>52</v>
      </c>
      <c r="K22" s="2">
        <v>25</v>
      </c>
    </row>
    <row r="23" spans="1:11" x14ac:dyDescent="0.25">
      <c r="A23" t="s">
        <v>27</v>
      </c>
      <c r="B23" t="s">
        <v>28</v>
      </c>
      <c r="C23">
        <v>8977234</v>
      </c>
      <c r="D23" t="s">
        <v>83</v>
      </c>
      <c r="E23" t="s">
        <v>86</v>
      </c>
      <c r="F23" t="s">
        <v>87</v>
      </c>
      <c r="G23" s="1">
        <v>44835</v>
      </c>
      <c r="H23" s="1">
        <v>45779</v>
      </c>
      <c r="I23" t="s">
        <v>16</v>
      </c>
      <c r="J23" t="s">
        <v>52</v>
      </c>
      <c r="K23" s="2">
        <v>25</v>
      </c>
    </row>
    <row r="24" spans="1:11" x14ac:dyDescent="0.25">
      <c r="A24" t="s">
        <v>88</v>
      </c>
      <c r="B24" t="s">
        <v>89</v>
      </c>
      <c r="C24">
        <v>9079571</v>
      </c>
      <c r="D24" t="s">
        <v>90</v>
      </c>
      <c r="E24" t="s">
        <v>91</v>
      </c>
      <c r="F24" t="s">
        <v>92</v>
      </c>
      <c r="G24" s="1">
        <v>44927</v>
      </c>
      <c r="H24" s="1">
        <v>45779</v>
      </c>
      <c r="I24" t="s">
        <v>16</v>
      </c>
      <c r="J24" t="s">
        <v>52</v>
      </c>
      <c r="K24" s="2">
        <v>25</v>
      </c>
    </row>
    <row r="25" spans="1:11" x14ac:dyDescent="0.25">
      <c r="A25" t="s">
        <v>88</v>
      </c>
      <c r="B25" t="s">
        <v>89</v>
      </c>
      <c r="C25">
        <v>9079571</v>
      </c>
      <c r="D25" t="s">
        <v>71</v>
      </c>
      <c r="E25" t="s">
        <v>93</v>
      </c>
      <c r="F25" t="s">
        <v>94</v>
      </c>
      <c r="G25" s="1">
        <v>44927</v>
      </c>
      <c r="H25" s="1">
        <v>45779</v>
      </c>
      <c r="I25" t="s">
        <v>16</v>
      </c>
      <c r="J25" t="s">
        <v>52</v>
      </c>
      <c r="K25" s="2">
        <v>25</v>
      </c>
    </row>
    <row r="26" spans="1:11" x14ac:dyDescent="0.25">
      <c r="A26" t="s">
        <v>41</v>
      </c>
      <c r="C26">
        <v>371819</v>
      </c>
      <c r="D26" t="s">
        <v>95</v>
      </c>
      <c r="E26" t="s">
        <v>96</v>
      </c>
      <c r="F26" t="s">
        <v>97</v>
      </c>
      <c r="G26" s="1">
        <v>45536</v>
      </c>
      <c r="H26" s="1">
        <v>45779</v>
      </c>
      <c r="I26" t="s">
        <v>16</v>
      </c>
      <c r="J26" t="s">
        <v>98</v>
      </c>
      <c r="K26" s="2">
        <v>22</v>
      </c>
    </row>
    <row r="27" spans="1:11" x14ac:dyDescent="0.25">
      <c r="A27" t="s">
        <v>41</v>
      </c>
      <c r="C27">
        <v>371819</v>
      </c>
      <c r="D27" t="s">
        <v>99</v>
      </c>
      <c r="E27" t="s">
        <v>100</v>
      </c>
      <c r="F27" t="s">
        <v>101</v>
      </c>
      <c r="G27" s="1">
        <v>45658</v>
      </c>
      <c r="H27" s="1">
        <v>45779</v>
      </c>
      <c r="I27" t="s">
        <v>16</v>
      </c>
      <c r="J27" t="s">
        <v>98</v>
      </c>
      <c r="K27" s="2">
        <v>22</v>
      </c>
    </row>
    <row r="28" spans="1:11" x14ac:dyDescent="0.25">
      <c r="A28" t="s">
        <v>41</v>
      </c>
      <c r="C28">
        <v>371819</v>
      </c>
      <c r="D28" t="s">
        <v>102</v>
      </c>
      <c r="E28" t="s">
        <v>96</v>
      </c>
      <c r="F28" t="s">
        <v>103</v>
      </c>
      <c r="G28" s="1">
        <v>45536</v>
      </c>
      <c r="H28" s="1">
        <v>45779</v>
      </c>
      <c r="I28" t="s">
        <v>16</v>
      </c>
      <c r="J28" t="s">
        <v>98</v>
      </c>
      <c r="K28" s="2">
        <v>22</v>
      </c>
    </row>
    <row r="29" spans="1:11" x14ac:dyDescent="0.25">
      <c r="A29" t="s">
        <v>18</v>
      </c>
      <c r="C29">
        <v>8307933</v>
      </c>
      <c r="D29" t="s">
        <v>104</v>
      </c>
      <c r="E29" t="s">
        <v>105</v>
      </c>
      <c r="F29" t="s">
        <v>106</v>
      </c>
      <c r="G29" s="1">
        <v>45658</v>
      </c>
      <c r="H29" s="1">
        <v>45779</v>
      </c>
      <c r="I29" t="s">
        <v>16</v>
      </c>
      <c r="J29" t="s">
        <v>98</v>
      </c>
      <c r="K29" s="2">
        <v>22</v>
      </c>
    </row>
    <row r="30" spans="1:11" x14ac:dyDescent="0.25">
      <c r="A30" t="s">
        <v>88</v>
      </c>
      <c r="B30" t="s">
        <v>89</v>
      </c>
      <c r="C30">
        <v>9079571</v>
      </c>
      <c r="D30" t="s">
        <v>107</v>
      </c>
      <c r="E30" t="s">
        <v>108</v>
      </c>
      <c r="F30" t="s">
        <v>109</v>
      </c>
      <c r="G30" s="1">
        <v>44927</v>
      </c>
      <c r="H30" s="1">
        <v>45779</v>
      </c>
      <c r="I30" t="s">
        <v>16</v>
      </c>
      <c r="J30" t="s">
        <v>110</v>
      </c>
      <c r="K30" s="2">
        <v>27</v>
      </c>
    </row>
    <row r="31" spans="1:11" x14ac:dyDescent="0.25">
      <c r="A31" t="s">
        <v>27</v>
      </c>
      <c r="B31" t="s">
        <v>28</v>
      </c>
      <c r="C31">
        <v>8977234</v>
      </c>
      <c r="D31" t="s">
        <v>111</v>
      </c>
      <c r="E31" t="s">
        <v>112</v>
      </c>
      <c r="F31" t="s">
        <v>113</v>
      </c>
      <c r="G31" s="1">
        <v>44986</v>
      </c>
      <c r="H31" s="1">
        <v>45779</v>
      </c>
      <c r="I31" t="s">
        <v>16</v>
      </c>
      <c r="J31" t="s">
        <v>110</v>
      </c>
      <c r="K31" s="2">
        <v>27</v>
      </c>
    </row>
    <row r="32" spans="1:11" x14ac:dyDescent="0.25">
      <c r="A32" t="s">
        <v>70</v>
      </c>
      <c r="C32">
        <v>16683808</v>
      </c>
      <c r="D32" t="s">
        <v>114</v>
      </c>
      <c r="E32" t="s">
        <v>115</v>
      </c>
      <c r="F32" t="s">
        <v>116</v>
      </c>
      <c r="G32" s="1">
        <v>45658</v>
      </c>
      <c r="H32" s="1">
        <v>45779</v>
      </c>
      <c r="I32" t="s">
        <v>16</v>
      </c>
      <c r="J32" t="s">
        <v>110</v>
      </c>
      <c r="K32" s="2">
        <v>27</v>
      </c>
    </row>
    <row r="33" spans="1:11" x14ac:dyDescent="0.25">
      <c r="A33" t="s">
        <v>27</v>
      </c>
      <c r="B33" t="s">
        <v>28</v>
      </c>
      <c r="C33">
        <v>8977234</v>
      </c>
      <c r="D33" t="s">
        <v>117</v>
      </c>
      <c r="E33" t="s">
        <v>118</v>
      </c>
      <c r="F33" t="s">
        <v>119</v>
      </c>
      <c r="G33" s="1">
        <v>45658</v>
      </c>
      <c r="H33" s="1">
        <v>45779</v>
      </c>
      <c r="I33" t="s">
        <v>16</v>
      </c>
      <c r="J33" t="s">
        <v>110</v>
      </c>
      <c r="K33" s="2">
        <v>27</v>
      </c>
    </row>
    <row r="34" spans="1:11" x14ac:dyDescent="0.25">
      <c r="A34" t="s">
        <v>27</v>
      </c>
      <c r="B34" t="s">
        <v>28</v>
      </c>
      <c r="C34">
        <v>8977234</v>
      </c>
      <c r="D34" t="s">
        <v>120</v>
      </c>
      <c r="E34" t="s">
        <v>121</v>
      </c>
      <c r="F34" t="s">
        <v>122</v>
      </c>
      <c r="G34" s="1">
        <v>45658</v>
      </c>
      <c r="H34" s="1">
        <v>45779</v>
      </c>
      <c r="I34" t="s">
        <v>16</v>
      </c>
      <c r="J34" t="s">
        <v>110</v>
      </c>
      <c r="K34" s="2">
        <v>27</v>
      </c>
    </row>
    <row r="35" spans="1:11" x14ac:dyDescent="0.25">
      <c r="A35" t="s">
        <v>53</v>
      </c>
      <c r="C35">
        <v>16633294</v>
      </c>
      <c r="D35" t="s">
        <v>123</v>
      </c>
      <c r="E35" t="s">
        <v>124</v>
      </c>
      <c r="F35" t="s">
        <v>125</v>
      </c>
      <c r="G35" s="1">
        <v>45658</v>
      </c>
      <c r="H35" s="1">
        <v>45779</v>
      </c>
      <c r="I35" t="s">
        <v>16</v>
      </c>
      <c r="J35" t="s">
        <v>110</v>
      </c>
      <c r="K35" s="2">
        <v>27</v>
      </c>
    </row>
    <row r="36" spans="1:11" x14ac:dyDescent="0.25">
      <c r="A36" t="s">
        <v>27</v>
      </c>
      <c r="B36" t="s">
        <v>28</v>
      </c>
      <c r="C36">
        <v>8977234</v>
      </c>
      <c r="D36" t="s">
        <v>126</v>
      </c>
      <c r="E36" t="s">
        <v>127</v>
      </c>
      <c r="F36" t="s">
        <v>128</v>
      </c>
      <c r="G36" s="1">
        <v>45292</v>
      </c>
      <c r="H36" s="1">
        <v>45779</v>
      </c>
      <c r="I36" t="s">
        <v>16</v>
      </c>
      <c r="J36" t="s">
        <v>129</v>
      </c>
      <c r="K36" s="2">
        <v>19</v>
      </c>
    </row>
    <row r="37" spans="1:11" x14ac:dyDescent="0.25">
      <c r="A37" t="s">
        <v>27</v>
      </c>
      <c r="B37" t="s">
        <v>28</v>
      </c>
      <c r="C37">
        <v>8977234</v>
      </c>
      <c r="D37" t="s">
        <v>130</v>
      </c>
      <c r="E37" t="s">
        <v>131</v>
      </c>
      <c r="F37" t="s">
        <v>132</v>
      </c>
      <c r="G37" s="1">
        <v>45658</v>
      </c>
      <c r="H37" s="1">
        <v>45779</v>
      </c>
      <c r="I37" t="s">
        <v>16</v>
      </c>
      <c r="J37" t="s">
        <v>129</v>
      </c>
      <c r="K37" s="2">
        <v>19</v>
      </c>
    </row>
    <row r="38" spans="1:11" x14ac:dyDescent="0.25">
      <c r="A38" t="s">
        <v>27</v>
      </c>
      <c r="B38" t="s">
        <v>28</v>
      </c>
      <c r="C38">
        <v>8977234</v>
      </c>
      <c r="D38" t="s">
        <v>133</v>
      </c>
      <c r="E38" t="s">
        <v>127</v>
      </c>
      <c r="F38" t="s">
        <v>134</v>
      </c>
      <c r="G38" s="1">
        <v>45292</v>
      </c>
      <c r="H38" s="1">
        <v>45779</v>
      </c>
      <c r="I38" t="s">
        <v>16</v>
      </c>
      <c r="J38" t="s">
        <v>129</v>
      </c>
      <c r="K38" s="2">
        <v>19</v>
      </c>
    </row>
    <row r="39" spans="1:11" x14ac:dyDescent="0.25">
      <c r="A39" t="s">
        <v>27</v>
      </c>
      <c r="B39" t="s">
        <v>28</v>
      </c>
      <c r="C39">
        <v>8977234</v>
      </c>
      <c r="D39" t="s">
        <v>135</v>
      </c>
      <c r="E39" t="s">
        <v>136</v>
      </c>
      <c r="F39" t="s">
        <v>137</v>
      </c>
      <c r="G39" s="1">
        <v>45292</v>
      </c>
      <c r="H39" s="1">
        <v>45779</v>
      </c>
      <c r="I39" t="s">
        <v>16</v>
      </c>
      <c r="J39" t="s">
        <v>129</v>
      </c>
      <c r="K39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6B965-104D-4228-B291-EAEF853FA540}">
  <dimension ref="A1:M39"/>
  <sheetViews>
    <sheetView tabSelected="1" workbookViewId="0">
      <selection activeCell="L2" sqref="L2:L39"/>
    </sheetView>
  </sheetViews>
  <sheetFormatPr defaultRowHeight="15" x14ac:dyDescent="0.25"/>
  <cols>
    <col min="1" max="1" width="19.85546875" style="3" bestFit="1" customWidth="1"/>
    <col min="2" max="2" width="10.7109375" style="3" bestFit="1" customWidth="1"/>
    <col min="3" max="3" width="10.5703125" style="3" bestFit="1" customWidth="1"/>
    <col min="4" max="4" width="14" style="3" bestFit="1" customWidth="1"/>
    <col min="5" max="5" width="14.85546875" style="3" bestFit="1" customWidth="1"/>
    <col min="6" max="6" width="14.5703125" style="3" bestFit="1" customWidth="1"/>
    <col min="7" max="7" width="15.140625" style="3" bestFit="1" customWidth="1"/>
    <col min="8" max="8" width="11.85546875" style="3" bestFit="1" customWidth="1"/>
    <col min="9" max="9" width="14.7109375" style="3" bestFit="1" customWidth="1"/>
    <col min="10" max="10" width="18.85546875" style="3" bestFit="1" customWidth="1"/>
    <col min="11" max="11" width="78.140625" style="3" bestFit="1" customWidth="1"/>
    <col min="12" max="12" width="15.7109375" style="3" bestFit="1" customWidth="1"/>
    <col min="13" max="16384" width="9.140625" style="3"/>
  </cols>
  <sheetData>
    <row r="1" spans="1:13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3" x14ac:dyDescent="0.25">
      <c r="A2" s="3" t="s">
        <v>88</v>
      </c>
      <c r="B2" s="3">
        <v>9079571</v>
      </c>
      <c r="C2" s="3" t="s">
        <v>90</v>
      </c>
      <c r="D2" s="3" t="s">
        <v>91</v>
      </c>
      <c r="E2" s="3" t="str">
        <f>CONCATENATE(C2, " ",D2)</f>
        <v>Nayan Patel</v>
      </c>
      <c r="F2" s="3" t="s">
        <v>92</v>
      </c>
      <c r="G2" s="3" t="str">
        <f>CONCATENATE(F2,77)</f>
        <v>TX-001304751277</v>
      </c>
      <c r="H2" s="4">
        <v>44927</v>
      </c>
      <c r="I2" s="4">
        <v>45779</v>
      </c>
      <c r="J2" s="3" t="s">
        <v>16</v>
      </c>
      <c r="K2" s="3" t="s">
        <v>52</v>
      </c>
      <c r="L2" s="5">
        <v>25</v>
      </c>
      <c r="M2" s="3" t="s">
        <v>140</v>
      </c>
    </row>
    <row r="3" spans="1:13" x14ac:dyDescent="0.25">
      <c r="A3" s="3" t="s">
        <v>88</v>
      </c>
      <c r="B3" s="3">
        <v>9079571</v>
      </c>
      <c r="C3" s="3" t="s">
        <v>71</v>
      </c>
      <c r="D3" s="3" t="s">
        <v>93</v>
      </c>
      <c r="E3" s="3" t="str">
        <f>CONCATENATE(C3, " ",D3)</f>
        <v>Vanessa Delappe</v>
      </c>
      <c r="F3" s="3" t="s">
        <v>94</v>
      </c>
      <c r="G3" s="3" t="str">
        <f>CONCATENATE(F3,77)</f>
        <v>TX-001351490277</v>
      </c>
      <c r="H3" s="4">
        <v>44927</v>
      </c>
      <c r="I3" s="4">
        <v>45779</v>
      </c>
      <c r="J3" s="3" t="s">
        <v>16</v>
      </c>
      <c r="K3" s="3" t="s">
        <v>52</v>
      </c>
      <c r="L3" s="5">
        <v>25</v>
      </c>
      <c r="M3" s="3" t="s">
        <v>140</v>
      </c>
    </row>
    <row r="4" spans="1:13" x14ac:dyDescent="0.25">
      <c r="A4" s="3" t="s">
        <v>88</v>
      </c>
      <c r="B4" s="3">
        <v>9079571</v>
      </c>
      <c r="C4" s="3" t="s">
        <v>107</v>
      </c>
      <c r="D4" s="3" t="s">
        <v>108</v>
      </c>
      <c r="E4" s="3" t="str">
        <f>CONCATENATE(C4, " ",D4)</f>
        <v>Floyd Adams</v>
      </c>
      <c r="F4" s="3" t="s">
        <v>109</v>
      </c>
      <c r="G4" s="3" t="str">
        <f>CONCATENATE(F4,77)</f>
        <v>FL-001645576377</v>
      </c>
      <c r="H4" s="4">
        <v>44927</v>
      </c>
      <c r="I4" s="4">
        <v>45779</v>
      </c>
      <c r="J4" s="3" t="s">
        <v>16</v>
      </c>
      <c r="K4" s="3" t="s">
        <v>110</v>
      </c>
      <c r="L4" s="5">
        <v>27</v>
      </c>
      <c r="M4" s="3" t="s">
        <v>141</v>
      </c>
    </row>
    <row r="5" spans="1:13" x14ac:dyDescent="0.25">
      <c r="A5" s="3" t="s">
        <v>74</v>
      </c>
      <c r="B5" s="3">
        <v>7146581</v>
      </c>
      <c r="C5" s="3" t="s">
        <v>75</v>
      </c>
      <c r="D5" s="3" t="s">
        <v>76</v>
      </c>
      <c r="E5" s="3" t="str">
        <f>CONCATENATE(C5, " ",D5)</f>
        <v>Erik Olson</v>
      </c>
      <c r="F5" s="3" t="s">
        <v>77</v>
      </c>
      <c r="G5" s="3" t="str">
        <f>CONCATENATE(F5,77)</f>
        <v>IL-000538002077</v>
      </c>
      <c r="H5" s="4">
        <v>45658</v>
      </c>
      <c r="I5" s="4">
        <v>45779</v>
      </c>
      <c r="J5" s="3" t="s">
        <v>16</v>
      </c>
      <c r="K5" s="3" t="s">
        <v>52</v>
      </c>
      <c r="L5" s="5">
        <v>25</v>
      </c>
      <c r="M5" s="3" t="s">
        <v>140</v>
      </c>
    </row>
    <row r="6" spans="1:13" x14ac:dyDescent="0.25">
      <c r="A6" s="3" t="s">
        <v>60</v>
      </c>
      <c r="B6" s="3">
        <v>9213293</v>
      </c>
      <c r="C6" s="3" t="s">
        <v>61</v>
      </c>
      <c r="D6" s="3" t="s">
        <v>62</v>
      </c>
      <c r="E6" s="3" t="str">
        <f>CONCATENATE(C6, " ",D6)</f>
        <v>Patrick Matsuda</v>
      </c>
      <c r="F6" s="3" t="s">
        <v>63</v>
      </c>
      <c r="G6" s="3" t="str">
        <f>CONCATENATE(F6,77)</f>
        <v>IL-000461488477</v>
      </c>
      <c r="H6" s="4">
        <v>45658</v>
      </c>
      <c r="I6" s="4">
        <v>45779</v>
      </c>
      <c r="J6" s="3" t="s">
        <v>16</v>
      </c>
      <c r="K6" s="3" t="s">
        <v>52</v>
      </c>
      <c r="L6" s="5">
        <v>25</v>
      </c>
      <c r="M6" s="3" t="s">
        <v>140</v>
      </c>
    </row>
    <row r="7" spans="1:13" x14ac:dyDescent="0.25">
      <c r="A7" s="3" t="s">
        <v>60</v>
      </c>
      <c r="B7" s="3">
        <v>9213293</v>
      </c>
      <c r="C7" s="3" t="s">
        <v>78</v>
      </c>
      <c r="D7" s="3" t="s">
        <v>72</v>
      </c>
      <c r="E7" s="3" t="str">
        <f>CONCATENATE(C7, " ",D7)</f>
        <v>Marco Flores</v>
      </c>
      <c r="F7" s="3" t="s">
        <v>79</v>
      </c>
      <c r="G7" s="3" t="str">
        <f>CONCATENATE(F7,77)</f>
        <v>IL-000538817077</v>
      </c>
      <c r="H7" s="4">
        <v>45658</v>
      </c>
      <c r="I7" s="4">
        <v>45779</v>
      </c>
      <c r="J7" s="3" t="s">
        <v>16</v>
      </c>
      <c r="K7" s="3" t="s">
        <v>52</v>
      </c>
      <c r="L7" s="5">
        <v>25</v>
      </c>
      <c r="M7" s="3" t="s">
        <v>140</v>
      </c>
    </row>
    <row r="8" spans="1:13" x14ac:dyDescent="0.25">
      <c r="A8" s="3" t="s">
        <v>18</v>
      </c>
      <c r="B8" s="3">
        <v>8307933</v>
      </c>
      <c r="C8" s="3" t="s">
        <v>19</v>
      </c>
      <c r="D8" s="3" t="s">
        <v>20</v>
      </c>
      <c r="E8" s="3" t="str">
        <f>CONCATENATE(C8, " ",D8)</f>
        <v>Amy Reiske</v>
      </c>
      <c r="F8" s="3" t="s">
        <v>21</v>
      </c>
      <c r="G8" s="3" t="str">
        <f>CONCATENATE(F8,77)</f>
        <v>MI-000294398577</v>
      </c>
      <c r="H8" s="4">
        <v>44927</v>
      </c>
      <c r="I8" s="4">
        <v>45779</v>
      </c>
      <c r="J8" s="3" t="s">
        <v>16</v>
      </c>
      <c r="K8" s="3" t="s">
        <v>17</v>
      </c>
      <c r="L8" s="5">
        <v>24</v>
      </c>
      <c r="M8" s="3" t="s">
        <v>138</v>
      </c>
    </row>
    <row r="9" spans="1:13" x14ac:dyDescent="0.25">
      <c r="A9" s="3" t="s">
        <v>18</v>
      </c>
      <c r="B9" s="3">
        <v>8307933</v>
      </c>
      <c r="C9" s="3" t="s">
        <v>104</v>
      </c>
      <c r="D9" s="3" t="s">
        <v>105</v>
      </c>
      <c r="E9" s="3" t="str">
        <f>CONCATENATE(C9, " ",D9)</f>
        <v>Taylor Dickey</v>
      </c>
      <c r="F9" s="3" t="s">
        <v>106</v>
      </c>
      <c r="G9" s="3" t="str">
        <f>CONCATENATE(F9,77)</f>
        <v>MS-000305984877</v>
      </c>
      <c r="H9" s="4">
        <v>45658</v>
      </c>
      <c r="I9" s="4">
        <v>45779</v>
      </c>
      <c r="J9" s="3" t="s">
        <v>16</v>
      </c>
      <c r="K9" s="3" t="s">
        <v>98</v>
      </c>
      <c r="L9" s="5">
        <v>22</v>
      </c>
      <c r="M9" s="3" t="s">
        <v>143</v>
      </c>
    </row>
    <row r="10" spans="1:13" x14ac:dyDescent="0.25">
      <c r="A10" s="3" t="s">
        <v>70</v>
      </c>
      <c r="B10" s="3">
        <v>16683808</v>
      </c>
      <c r="C10" s="3" t="s">
        <v>71</v>
      </c>
      <c r="D10" s="3" t="s">
        <v>72</v>
      </c>
      <c r="E10" s="3" t="str">
        <f>CONCATENATE(C10, " ",D10)</f>
        <v>Vanessa Flores</v>
      </c>
      <c r="F10" s="3" t="s">
        <v>73</v>
      </c>
      <c r="G10" s="3" t="str">
        <f>CONCATENATE(F10,77)</f>
        <v>IL-000527725277</v>
      </c>
      <c r="H10" s="4">
        <v>45658</v>
      </c>
      <c r="I10" s="4">
        <v>45779</v>
      </c>
      <c r="J10" s="3" t="s">
        <v>16</v>
      </c>
      <c r="K10" s="3" t="s">
        <v>52</v>
      </c>
      <c r="L10" s="5">
        <v>25</v>
      </c>
      <c r="M10" s="3" t="s">
        <v>140</v>
      </c>
    </row>
    <row r="11" spans="1:13" x14ac:dyDescent="0.25">
      <c r="A11" s="3" t="s">
        <v>70</v>
      </c>
      <c r="B11" s="3">
        <v>16683808</v>
      </c>
      <c r="C11" s="3" t="s">
        <v>114</v>
      </c>
      <c r="D11" s="3" t="s">
        <v>115</v>
      </c>
      <c r="E11" s="3" t="str">
        <f>CONCATENATE(C11, " ",D11)</f>
        <v>Jean Williams</v>
      </c>
      <c r="F11" s="3" t="s">
        <v>116</v>
      </c>
      <c r="G11" s="3" t="str">
        <f>CONCATENATE(F11,77)</f>
        <v>FL-002026540877</v>
      </c>
      <c r="H11" s="4">
        <v>45658</v>
      </c>
      <c r="I11" s="4">
        <v>45779</v>
      </c>
      <c r="J11" s="3" t="s">
        <v>16</v>
      </c>
      <c r="K11" s="3" t="s">
        <v>110</v>
      </c>
      <c r="L11" s="5">
        <v>27</v>
      </c>
      <c r="M11" s="3" t="s">
        <v>141</v>
      </c>
    </row>
    <row r="12" spans="1:13" x14ac:dyDescent="0.25">
      <c r="A12" s="3" t="s">
        <v>11</v>
      </c>
      <c r="B12" s="3">
        <v>20436896</v>
      </c>
      <c r="C12" s="3" t="s">
        <v>13</v>
      </c>
      <c r="D12" s="3" t="s">
        <v>14</v>
      </c>
      <c r="E12" s="3" t="str">
        <f>CONCATENATE(C12, " ",D12)</f>
        <v>Annette Brooks</v>
      </c>
      <c r="F12" s="3" t="s">
        <v>15</v>
      </c>
      <c r="G12" s="3" t="str">
        <f>CONCATENATE(F12,77)</f>
        <v>MI-000266532977</v>
      </c>
      <c r="H12" s="4">
        <v>44927</v>
      </c>
      <c r="I12" s="4">
        <v>45779</v>
      </c>
      <c r="J12" s="3" t="s">
        <v>16</v>
      </c>
      <c r="K12" s="3" t="s">
        <v>17</v>
      </c>
      <c r="L12" s="5">
        <v>24</v>
      </c>
      <c r="M12" s="3" t="s">
        <v>138</v>
      </c>
    </row>
    <row r="13" spans="1:13" x14ac:dyDescent="0.25">
      <c r="A13" s="3" t="s">
        <v>11</v>
      </c>
      <c r="B13" s="3">
        <v>20436896</v>
      </c>
      <c r="C13" s="3" t="s">
        <v>22</v>
      </c>
      <c r="D13" s="3" t="s">
        <v>14</v>
      </c>
      <c r="E13" s="3" t="str">
        <f>CONCATENATE(C13, " ",D13)</f>
        <v>Michael Brooks</v>
      </c>
      <c r="F13" s="3" t="s">
        <v>23</v>
      </c>
      <c r="G13" s="3" t="str">
        <f>CONCATENATE(F13,77)</f>
        <v>MI-000327304577</v>
      </c>
      <c r="H13" s="4">
        <v>44927</v>
      </c>
      <c r="I13" s="4">
        <v>45779</v>
      </c>
      <c r="J13" s="3" t="s">
        <v>16</v>
      </c>
      <c r="K13" s="3" t="s">
        <v>17</v>
      </c>
      <c r="L13" s="5">
        <v>24</v>
      </c>
      <c r="M13" s="3" t="s">
        <v>138</v>
      </c>
    </row>
    <row r="14" spans="1:13" x14ac:dyDescent="0.25">
      <c r="A14" s="3" t="s">
        <v>11</v>
      </c>
      <c r="B14" s="3">
        <v>20436896</v>
      </c>
      <c r="C14" s="3" t="s">
        <v>24</v>
      </c>
      <c r="D14" s="3" t="s">
        <v>25</v>
      </c>
      <c r="E14" s="3" t="str">
        <f>CONCATENATE(C14, " ",D14)</f>
        <v>Kyle Hoffman</v>
      </c>
      <c r="F14" s="3" t="s">
        <v>26</v>
      </c>
      <c r="G14" s="3" t="str">
        <f>CONCATENATE(F14,77)</f>
        <v>MI-000382503377</v>
      </c>
      <c r="H14" s="4">
        <v>44197</v>
      </c>
      <c r="I14" s="4">
        <v>45779</v>
      </c>
      <c r="J14" s="3" t="s">
        <v>16</v>
      </c>
      <c r="K14" s="3" t="s">
        <v>17</v>
      </c>
      <c r="L14" s="5">
        <v>24</v>
      </c>
      <c r="M14" s="3" t="s">
        <v>138</v>
      </c>
    </row>
    <row r="15" spans="1:13" x14ac:dyDescent="0.25">
      <c r="A15" s="3" t="s">
        <v>53</v>
      </c>
      <c r="B15" s="3">
        <v>16633294</v>
      </c>
      <c r="C15" s="3" t="s">
        <v>54</v>
      </c>
      <c r="D15" s="3" t="s">
        <v>55</v>
      </c>
      <c r="E15" s="3" t="str">
        <f>CONCATENATE(C15, " ",D15)</f>
        <v>Lazaros Bolis</v>
      </c>
      <c r="F15" s="3" t="s">
        <v>56</v>
      </c>
      <c r="G15" s="3" t="str">
        <f>CONCATENATE(F15,77)</f>
        <v>IL-000456291777</v>
      </c>
      <c r="H15" s="4">
        <v>45717</v>
      </c>
      <c r="I15" s="4">
        <v>45779</v>
      </c>
      <c r="J15" s="3" t="s">
        <v>16</v>
      </c>
      <c r="K15" s="3" t="s">
        <v>52</v>
      </c>
      <c r="L15" s="5">
        <v>25</v>
      </c>
      <c r="M15" s="3" t="s">
        <v>140</v>
      </c>
    </row>
    <row r="16" spans="1:13" x14ac:dyDescent="0.25">
      <c r="A16" s="3" t="s">
        <v>53</v>
      </c>
      <c r="B16" s="3">
        <v>16633294</v>
      </c>
      <c r="C16" s="3" t="s">
        <v>64</v>
      </c>
      <c r="D16" s="3" t="s">
        <v>65</v>
      </c>
      <c r="E16" s="3" t="str">
        <f>CONCATENATE(C16, " ",D16)</f>
        <v>Sebastiana Bonafede</v>
      </c>
      <c r="F16" s="3" t="s">
        <v>66</v>
      </c>
      <c r="G16" s="3" t="str">
        <f>CONCATENATE(F16,77)</f>
        <v>IL-000463513677</v>
      </c>
      <c r="H16" s="4">
        <v>45689</v>
      </c>
      <c r="I16" s="4">
        <v>45779</v>
      </c>
      <c r="J16" s="3" t="s">
        <v>16</v>
      </c>
      <c r="K16" s="3" t="s">
        <v>52</v>
      </c>
      <c r="L16" s="5">
        <v>25</v>
      </c>
      <c r="M16" s="3" t="s">
        <v>140</v>
      </c>
    </row>
    <row r="17" spans="1:13" x14ac:dyDescent="0.25">
      <c r="A17" s="3" t="s">
        <v>53</v>
      </c>
      <c r="B17" s="3">
        <v>16633294</v>
      </c>
      <c r="C17" s="3" t="s">
        <v>123</v>
      </c>
      <c r="D17" s="3" t="s">
        <v>124</v>
      </c>
      <c r="E17" s="3" t="str">
        <f>CONCATENATE(C17, " ",D17)</f>
        <v>Emily Garvin</v>
      </c>
      <c r="F17" s="3" t="s">
        <v>125</v>
      </c>
      <c r="G17" s="3" t="str">
        <f>CONCATENATE(F17,77)</f>
        <v>FL-002386959077</v>
      </c>
      <c r="H17" s="4">
        <v>45658</v>
      </c>
      <c r="I17" s="4">
        <v>45779</v>
      </c>
      <c r="J17" s="3" t="s">
        <v>16</v>
      </c>
      <c r="K17" s="3" t="s">
        <v>110</v>
      </c>
      <c r="L17" s="5">
        <v>27</v>
      </c>
      <c r="M17" s="3" t="s">
        <v>141</v>
      </c>
    </row>
    <row r="18" spans="1:13" x14ac:dyDescent="0.25">
      <c r="A18" s="3" t="s">
        <v>27</v>
      </c>
      <c r="B18" s="3">
        <v>8977234</v>
      </c>
      <c r="C18" s="3" t="s">
        <v>29</v>
      </c>
      <c r="D18" s="3" t="s">
        <v>30</v>
      </c>
      <c r="E18" s="3" t="str">
        <f>CONCATENATE(C18, " ",D18)</f>
        <v>Bruce Kelley</v>
      </c>
      <c r="F18" s="3" t="s">
        <v>31</v>
      </c>
      <c r="G18" s="3" t="str">
        <f>CONCATENATE(F18,77)</f>
        <v>OH-000006569377</v>
      </c>
      <c r="H18" s="4">
        <v>45292</v>
      </c>
      <c r="I18" s="4">
        <v>45779</v>
      </c>
      <c r="J18" s="3" t="s">
        <v>16</v>
      </c>
      <c r="K18" s="3" t="s">
        <v>32</v>
      </c>
      <c r="L18" s="5">
        <v>20</v>
      </c>
      <c r="M18" s="3" t="s">
        <v>139</v>
      </c>
    </row>
    <row r="19" spans="1:13" x14ac:dyDescent="0.25">
      <c r="A19" s="3" t="s">
        <v>27</v>
      </c>
      <c r="B19" s="3">
        <v>8977234</v>
      </c>
      <c r="C19" s="3" t="s">
        <v>33</v>
      </c>
      <c r="D19" s="3" t="s">
        <v>34</v>
      </c>
      <c r="E19" s="3" t="str">
        <f>CONCATENATE(C19, " ",D19)</f>
        <v>Ronald Gengler</v>
      </c>
      <c r="F19" s="3" t="s">
        <v>35</v>
      </c>
      <c r="G19" s="3" t="str">
        <f>CONCATENATE(F19,77)</f>
        <v>OH-000289485677</v>
      </c>
      <c r="H19" s="4">
        <v>45292</v>
      </c>
      <c r="I19" s="4">
        <v>45779</v>
      </c>
      <c r="J19" s="3" t="s">
        <v>16</v>
      </c>
      <c r="K19" s="3" t="s">
        <v>32</v>
      </c>
      <c r="L19" s="5">
        <v>20</v>
      </c>
      <c r="M19" s="3" t="s">
        <v>139</v>
      </c>
    </row>
    <row r="20" spans="1:13" x14ac:dyDescent="0.25">
      <c r="A20" s="3" t="s">
        <v>27</v>
      </c>
      <c r="B20" s="3">
        <v>8977234</v>
      </c>
      <c r="C20" s="3" t="s">
        <v>36</v>
      </c>
      <c r="D20" s="3" t="s">
        <v>34</v>
      </c>
      <c r="E20" s="3" t="str">
        <f>CONCATENATE(C20, " ",D20)</f>
        <v>Amber Gengler</v>
      </c>
      <c r="F20" s="3" t="s">
        <v>37</v>
      </c>
      <c r="G20" s="3" t="str">
        <f>CONCATENATE(F20,77)</f>
        <v>OH-000381436877</v>
      </c>
      <c r="H20" s="4">
        <v>45292</v>
      </c>
      <c r="I20" s="4">
        <v>45779</v>
      </c>
      <c r="J20" s="3" t="s">
        <v>16</v>
      </c>
      <c r="K20" s="3" t="s">
        <v>32</v>
      </c>
      <c r="L20" s="5">
        <v>20</v>
      </c>
      <c r="M20" s="3" t="s">
        <v>139</v>
      </c>
    </row>
    <row r="21" spans="1:13" x14ac:dyDescent="0.25">
      <c r="A21" s="3" t="s">
        <v>27</v>
      </c>
      <c r="B21" s="3">
        <v>8977234</v>
      </c>
      <c r="C21" s="3" t="s">
        <v>38</v>
      </c>
      <c r="D21" s="3" t="s">
        <v>39</v>
      </c>
      <c r="E21" s="3" t="str">
        <f>CONCATENATE(C21, " ",D21)</f>
        <v>Allen Reinhart</v>
      </c>
      <c r="F21" s="3" t="s">
        <v>40</v>
      </c>
      <c r="G21" s="3" t="str">
        <f>CONCATENATE(F21,77)</f>
        <v>OH-000396772477</v>
      </c>
      <c r="H21" s="4">
        <v>45658</v>
      </c>
      <c r="I21" s="4">
        <v>45779</v>
      </c>
      <c r="J21" s="3" t="s">
        <v>16</v>
      </c>
      <c r="K21" s="3" t="s">
        <v>32</v>
      </c>
      <c r="L21" s="5">
        <v>20</v>
      </c>
      <c r="M21" s="3" t="s">
        <v>139</v>
      </c>
    </row>
    <row r="22" spans="1:13" x14ac:dyDescent="0.25">
      <c r="A22" s="3" t="s">
        <v>27</v>
      </c>
      <c r="B22" s="3">
        <v>8977234</v>
      </c>
      <c r="C22" s="3" t="s">
        <v>45</v>
      </c>
      <c r="D22" s="3" t="s">
        <v>46</v>
      </c>
      <c r="E22" s="3" t="str">
        <f>CONCATENATE(C22, " ",D22)</f>
        <v>Kimberly Smithson</v>
      </c>
      <c r="F22" s="3" t="s">
        <v>47</v>
      </c>
      <c r="G22" s="3" t="str">
        <f>CONCATENATE(F22,77)</f>
        <v>OH-000399100677</v>
      </c>
      <c r="H22" s="4">
        <v>45658</v>
      </c>
      <c r="I22" s="4">
        <v>45779</v>
      </c>
      <c r="J22" s="3" t="s">
        <v>16</v>
      </c>
      <c r="K22" s="3" t="s">
        <v>32</v>
      </c>
      <c r="L22" s="5">
        <v>20</v>
      </c>
      <c r="M22" s="3" t="s">
        <v>139</v>
      </c>
    </row>
    <row r="23" spans="1:13" x14ac:dyDescent="0.25">
      <c r="A23" s="3" t="s">
        <v>27</v>
      </c>
      <c r="B23" s="3">
        <v>8977234</v>
      </c>
      <c r="C23" s="3" t="s">
        <v>83</v>
      </c>
      <c r="D23" s="3" t="s">
        <v>86</v>
      </c>
      <c r="E23" s="3" t="str">
        <f>CONCATENATE(C23, " ",D23)</f>
        <v>James Smith</v>
      </c>
      <c r="F23" s="3" t="s">
        <v>87</v>
      </c>
      <c r="G23" s="3" t="str">
        <f>CONCATENATE(F23,77)</f>
        <v>TX-001203325977</v>
      </c>
      <c r="H23" s="4">
        <v>44835</v>
      </c>
      <c r="I23" s="4">
        <v>45779</v>
      </c>
      <c r="J23" s="3" t="s">
        <v>16</v>
      </c>
      <c r="K23" s="3" t="s">
        <v>52</v>
      </c>
      <c r="L23" s="5">
        <v>25</v>
      </c>
      <c r="M23" s="3" t="s">
        <v>140</v>
      </c>
    </row>
    <row r="24" spans="1:13" x14ac:dyDescent="0.25">
      <c r="A24" s="3" t="s">
        <v>27</v>
      </c>
      <c r="B24" s="3">
        <v>8977234</v>
      </c>
      <c r="C24" s="3" t="s">
        <v>111</v>
      </c>
      <c r="D24" s="3" t="s">
        <v>112</v>
      </c>
      <c r="E24" s="3" t="str">
        <f>CONCATENATE(C24, " ",D24)</f>
        <v>Tommy Harber</v>
      </c>
      <c r="F24" s="3" t="s">
        <v>113</v>
      </c>
      <c r="G24" s="3" t="str">
        <f>CONCATENATE(F24,77)</f>
        <v>FL-001653214677</v>
      </c>
      <c r="H24" s="4">
        <v>44986</v>
      </c>
      <c r="I24" s="4">
        <v>45779</v>
      </c>
      <c r="J24" s="3" t="s">
        <v>16</v>
      </c>
      <c r="K24" s="3" t="s">
        <v>110</v>
      </c>
      <c r="L24" s="5">
        <v>27</v>
      </c>
      <c r="M24" s="3" t="s">
        <v>141</v>
      </c>
    </row>
    <row r="25" spans="1:13" x14ac:dyDescent="0.25">
      <c r="A25" s="3" t="s">
        <v>27</v>
      </c>
      <c r="B25" s="3">
        <v>8977234</v>
      </c>
      <c r="C25" s="3" t="s">
        <v>117</v>
      </c>
      <c r="D25" s="3" t="s">
        <v>118</v>
      </c>
      <c r="E25" s="3" t="str">
        <f>CONCATENATE(C25, " ",D25)</f>
        <v>Richard Jarvis</v>
      </c>
      <c r="F25" s="3" t="s">
        <v>119</v>
      </c>
      <c r="G25" s="3" t="str">
        <f>CONCATENATE(F25,77)</f>
        <v>FL-002364042877</v>
      </c>
      <c r="H25" s="4">
        <v>45658</v>
      </c>
      <c r="I25" s="4">
        <v>45779</v>
      </c>
      <c r="J25" s="3" t="s">
        <v>16</v>
      </c>
      <c r="K25" s="3" t="s">
        <v>110</v>
      </c>
      <c r="L25" s="5">
        <v>27</v>
      </c>
      <c r="M25" s="3" t="s">
        <v>141</v>
      </c>
    </row>
    <row r="26" spans="1:13" x14ac:dyDescent="0.25">
      <c r="A26" s="3" t="s">
        <v>27</v>
      </c>
      <c r="B26" s="3">
        <v>8977234</v>
      </c>
      <c r="C26" s="3" t="s">
        <v>120</v>
      </c>
      <c r="D26" s="3" t="s">
        <v>121</v>
      </c>
      <c r="E26" s="3" t="str">
        <f>CONCATENATE(C26, " ",D26)</f>
        <v>Sharlene Lightbourne</v>
      </c>
      <c r="F26" s="3" t="s">
        <v>122</v>
      </c>
      <c r="G26" s="3" t="str">
        <f>CONCATENATE(F26,77)</f>
        <v>FL-002377453377</v>
      </c>
      <c r="H26" s="4">
        <v>45658</v>
      </c>
      <c r="I26" s="4">
        <v>45779</v>
      </c>
      <c r="J26" s="3" t="s">
        <v>16</v>
      </c>
      <c r="K26" s="3" t="s">
        <v>110</v>
      </c>
      <c r="L26" s="5">
        <v>27</v>
      </c>
      <c r="M26" s="3" t="s">
        <v>141</v>
      </c>
    </row>
    <row r="27" spans="1:13" x14ac:dyDescent="0.25">
      <c r="A27" s="3" t="s">
        <v>27</v>
      </c>
      <c r="B27" s="3">
        <v>8977234</v>
      </c>
      <c r="C27" s="3" t="s">
        <v>126</v>
      </c>
      <c r="D27" s="3" t="s">
        <v>127</v>
      </c>
      <c r="E27" s="3" t="str">
        <f>CONCATENATE(C27, " ",D27)</f>
        <v>Boden Woodard</v>
      </c>
      <c r="F27" s="3" t="s">
        <v>128</v>
      </c>
      <c r="G27" s="3" t="str">
        <f>CONCATENATE(F27,77)</f>
        <v>UT-000245794077</v>
      </c>
      <c r="H27" s="4">
        <v>45292</v>
      </c>
      <c r="I27" s="4">
        <v>45779</v>
      </c>
      <c r="J27" s="3" t="s">
        <v>16</v>
      </c>
      <c r="K27" s="3" t="s">
        <v>129</v>
      </c>
      <c r="L27" s="5">
        <v>19</v>
      </c>
      <c r="M27" s="3" t="s">
        <v>142</v>
      </c>
    </row>
    <row r="28" spans="1:13" x14ac:dyDescent="0.25">
      <c r="A28" s="3" t="s">
        <v>27</v>
      </c>
      <c r="B28" s="3">
        <v>8977234</v>
      </c>
      <c r="C28" s="3" t="s">
        <v>130</v>
      </c>
      <c r="D28" s="3" t="s">
        <v>131</v>
      </c>
      <c r="E28" s="3" t="str">
        <f>CONCATENATE(C28, " ",D28)</f>
        <v>Toni Charter</v>
      </c>
      <c r="F28" s="3" t="s">
        <v>132</v>
      </c>
      <c r="G28" s="3" t="str">
        <f>CONCATENATE(F28,77)</f>
        <v>UT-000251645177</v>
      </c>
      <c r="H28" s="4">
        <v>45658</v>
      </c>
      <c r="I28" s="4">
        <v>45779</v>
      </c>
      <c r="J28" s="3" t="s">
        <v>16</v>
      </c>
      <c r="K28" s="3" t="s">
        <v>129</v>
      </c>
      <c r="L28" s="5">
        <v>19</v>
      </c>
      <c r="M28" s="3" t="s">
        <v>142</v>
      </c>
    </row>
    <row r="29" spans="1:13" x14ac:dyDescent="0.25">
      <c r="A29" s="3" t="s">
        <v>27</v>
      </c>
      <c r="B29" s="3">
        <v>8977234</v>
      </c>
      <c r="C29" s="3" t="s">
        <v>133</v>
      </c>
      <c r="D29" s="3" t="s">
        <v>127</v>
      </c>
      <c r="E29" s="3" t="str">
        <f>CONCATENATE(C29, " ",D29)</f>
        <v>Douglas Woodard</v>
      </c>
      <c r="F29" s="3" t="s">
        <v>134</v>
      </c>
      <c r="G29" s="3" t="str">
        <f>CONCATENATE(F29,77)</f>
        <v>UT-000294363177</v>
      </c>
      <c r="H29" s="4">
        <v>45292</v>
      </c>
      <c r="I29" s="4">
        <v>45779</v>
      </c>
      <c r="J29" s="3" t="s">
        <v>16</v>
      </c>
      <c r="K29" s="3" t="s">
        <v>129</v>
      </c>
      <c r="L29" s="5">
        <v>19</v>
      </c>
      <c r="M29" s="3" t="s">
        <v>142</v>
      </c>
    </row>
    <row r="30" spans="1:13" x14ac:dyDescent="0.25">
      <c r="A30" s="3" t="s">
        <v>27</v>
      </c>
      <c r="B30" s="3">
        <v>8977234</v>
      </c>
      <c r="C30" s="3" t="s">
        <v>135</v>
      </c>
      <c r="D30" s="3" t="s">
        <v>136</v>
      </c>
      <c r="E30" s="3" t="str">
        <f>CONCATENATE(C30, " ",D30)</f>
        <v>Lisa Biagi Woodard</v>
      </c>
      <c r="F30" s="3" t="s">
        <v>137</v>
      </c>
      <c r="G30" s="3" t="str">
        <f>CONCATENATE(F30,77)</f>
        <v>UT-000305361577</v>
      </c>
      <c r="H30" s="4">
        <v>45292</v>
      </c>
      <c r="I30" s="4">
        <v>45779</v>
      </c>
      <c r="J30" s="3" t="s">
        <v>16</v>
      </c>
      <c r="K30" s="3" t="s">
        <v>129</v>
      </c>
      <c r="L30" s="5">
        <v>19</v>
      </c>
      <c r="M30" s="3" t="s">
        <v>142</v>
      </c>
    </row>
    <row r="31" spans="1:13" x14ac:dyDescent="0.25">
      <c r="A31" s="3" t="s">
        <v>48</v>
      </c>
      <c r="B31" s="3">
        <v>19396223</v>
      </c>
      <c r="C31" s="3" t="s">
        <v>49</v>
      </c>
      <c r="D31" s="3" t="s">
        <v>50</v>
      </c>
      <c r="E31" s="3" t="str">
        <f>CONCATENATE(C31, " ",D31)</f>
        <v>Susan Duda</v>
      </c>
      <c r="F31" s="3" t="s">
        <v>51</v>
      </c>
      <c r="G31" s="3" t="str">
        <f>CONCATENATE(F31,77)</f>
        <v>IL-000437404177</v>
      </c>
      <c r="H31" s="4">
        <v>45717</v>
      </c>
      <c r="I31" s="4">
        <v>45779</v>
      </c>
      <c r="J31" s="3" t="s">
        <v>16</v>
      </c>
      <c r="K31" s="3" t="s">
        <v>52</v>
      </c>
      <c r="L31" s="5">
        <v>25</v>
      </c>
      <c r="M31" s="3" t="s">
        <v>140</v>
      </c>
    </row>
    <row r="32" spans="1:13" x14ac:dyDescent="0.25">
      <c r="A32" s="3" t="s">
        <v>48</v>
      </c>
      <c r="B32" s="3">
        <v>19396223</v>
      </c>
      <c r="C32" s="3" t="s">
        <v>57</v>
      </c>
      <c r="D32" s="3" t="s">
        <v>58</v>
      </c>
      <c r="E32" s="3" t="str">
        <f>CONCATENATE(C32, " ",D32)</f>
        <v>Miguel Peralta</v>
      </c>
      <c r="F32" s="3" t="s">
        <v>59</v>
      </c>
      <c r="G32" s="3" t="str">
        <f>CONCATENATE(F32,77)</f>
        <v>IL-000458099177</v>
      </c>
      <c r="H32" s="4">
        <v>45566</v>
      </c>
      <c r="I32" s="4">
        <v>45779</v>
      </c>
      <c r="J32" s="3" t="s">
        <v>16</v>
      </c>
      <c r="K32" s="3" t="s">
        <v>52</v>
      </c>
      <c r="L32" s="5">
        <v>25</v>
      </c>
      <c r="M32" s="3" t="s">
        <v>140</v>
      </c>
    </row>
    <row r="33" spans="1:13" x14ac:dyDescent="0.25">
      <c r="A33" s="3" t="s">
        <v>48</v>
      </c>
      <c r="B33" s="3">
        <v>19396223</v>
      </c>
      <c r="C33" s="3" t="s">
        <v>67</v>
      </c>
      <c r="D33" s="3" t="s">
        <v>68</v>
      </c>
      <c r="E33" s="3" t="str">
        <f>CONCATENATE(C33, " ",D33)</f>
        <v>Fazlunnisa Saleem</v>
      </c>
      <c r="F33" s="3" t="s">
        <v>69</v>
      </c>
      <c r="G33" s="3" t="str">
        <f>CONCATENATE(F33,77)</f>
        <v>IL-000488281077</v>
      </c>
      <c r="H33" s="4">
        <v>45658</v>
      </c>
      <c r="I33" s="4">
        <v>45779</v>
      </c>
      <c r="J33" s="3" t="s">
        <v>16</v>
      </c>
      <c r="K33" s="3" t="s">
        <v>52</v>
      </c>
      <c r="L33" s="5">
        <v>25</v>
      </c>
      <c r="M33" s="3" t="s">
        <v>140</v>
      </c>
    </row>
    <row r="34" spans="1:13" x14ac:dyDescent="0.25">
      <c r="A34" s="3" t="s">
        <v>41</v>
      </c>
      <c r="B34" s="3">
        <v>371819</v>
      </c>
      <c r="C34" s="3" t="s">
        <v>42</v>
      </c>
      <c r="D34" s="3" t="s">
        <v>43</v>
      </c>
      <c r="E34" s="3" t="str">
        <f>CONCATENATE(C34, " ",D34)</f>
        <v>Dennis Pitts</v>
      </c>
      <c r="F34" s="3" t="s">
        <v>44</v>
      </c>
      <c r="G34" s="3" t="str">
        <f>CONCATENATE(F34,77)</f>
        <v>OH-000397522077</v>
      </c>
      <c r="H34" s="4">
        <v>45597</v>
      </c>
      <c r="I34" s="4">
        <v>45779</v>
      </c>
      <c r="J34" s="3" t="s">
        <v>16</v>
      </c>
      <c r="K34" s="3" t="s">
        <v>32</v>
      </c>
      <c r="L34" s="5">
        <v>20</v>
      </c>
      <c r="M34" s="3" t="s">
        <v>139</v>
      </c>
    </row>
    <row r="35" spans="1:13" x14ac:dyDescent="0.25">
      <c r="A35" s="3" t="s">
        <v>41</v>
      </c>
      <c r="B35" s="3">
        <v>371819</v>
      </c>
      <c r="C35" s="3" t="s">
        <v>80</v>
      </c>
      <c r="D35" s="3" t="s">
        <v>81</v>
      </c>
      <c r="E35" s="3" t="str">
        <f>CONCATENATE(C35, " ",D35)</f>
        <v>Demetria Scott</v>
      </c>
      <c r="F35" s="3" t="s">
        <v>82</v>
      </c>
      <c r="G35" s="3" t="str">
        <f>CONCATENATE(F35,77)</f>
        <v>SC-000249855477</v>
      </c>
      <c r="H35" s="4">
        <v>45658</v>
      </c>
      <c r="I35" s="4">
        <v>45779</v>
      </c>
      <c r="J35" s="3" t="s">
        <v>16</v>
      </c>
      <c r="K35" s="3" t="s">
        <v>52</v>
      </c>
      <c r="L35" s="5">
        <v>25</v>
      </c>
      <c r="M35" s="3" t="s">
        <v>140</v>
      </c>
    </row>
    <row r="36" spans="1:13" x14ac:dyDescent="0.25">
      <c r="A36" s="3" t="s">
        <v>41</v>
      </c>
      <c r="B36" s="3">
        <v>371819</v>
      </c>
      <c r="C36" s="3" t="s">
        <v>83</v>
      </c>
      <c r="D36" s="3" t="s">
        <v>84</v>
      </c>
      <c r="E36" s="3" t="str">
        <f>CONCATENATE(C36, " ",D36)</f>
        <v>James Morgan</v>
      </c>
      <c r="F36" s="3" t="s">
        <v>85</v>
      </c>
      <c r="G36" s="3" t="str">
        <f>CONCATENATE(F36,77)</f>
        <v>SC-000364058477</v>
      </c>
      <c r="H36" s="4">
        <v>45658</v>
      </c>
      <c r="I36" s="4">
        <v>45779</v>
      </c>
      <c r="J36" s="3" t="s">
        <v>16</v>
      </c>
      <c r="K36" s="3" t="s">
        <v>52</v>
      </c>
      <c r="L36" s="5">
        <v>25</v>
      </c>
      <c r="M36" s="3" t="s">
        <v>140</v>
      </c>
    </row>
    <row r="37" spans="1:13" x14ac:dyDescent="0.25">
      <c r="A37" s="3" t="s">
        <v>41</v>
      </c>
      <c r="B37" s="3">
        <v>371819</v>
      </c>
      <c r="C37" s="3" t="s">
        <v>95</v>
      </c>
      <c r="D37" s="3" t="s">
        <v>96</v>
      </c>
      <c r="E37" s="3" t="str">
        <f>CONCATENATE(C37, " ",D37)</f>
        <v>Carrington Grissom</v>
      </c>
      <c r="F37" s="3" t="s">
        <v>97</v>
      </c>
      <c r="G37" s="3" t="str">
        <f>CONCATENATE(F37,77)</f>
        <v>MS-000235778677</v>
      </c>
      <c r="H37" s="4">
        <v>45536</v>
      </c>
      <c r="I37" s="4">
        <v>45779</v>
      </c>
      <c r="J37" s="3" t="s">
        <v>16</v>
      </c>
      <c r="K37" s="3" t="s">
        <v>98</v>
      </c>
      <c r="L37" s="5">
        <v>22</v>
      </c>
      <c r="M37" s="3" t="s">
        <v>143</v>
      </c>
    </row>
    <row r="38" spans="1:13" x14ac:dyDescent="0.25">
      <c r="A38" s="3" t="s">
        <v>41</v>
      </c>
      <c r="B38" s="3">
        <v>371819</v>
      </c>
      <c r="C38" s="3" t="s">
        <v>99</v>
      </c>
      <c r="D38" s="3" t="s">
        <v>100</v>
      </c>
      <c r="E38" s="3" t="str">
        <f>CONCATENATE(C38, " ",D38)</f>
        <v>Terri Cockrell</v>
      </c>
      <c r="F38" s="3" t="s">
        <v>101</v>
      </c>
      <c r="G38" s="3" t="str">
        <f>CONCATENATE(F38,77)</f>
        <v>MS-000296030777</v>
      </c>
      <c r="H38" s="4">
        <v>45658</v>
      </c>
      <c r="I38" s="4">
        <v>45779</v>
      </c>
      <c r="J38" s="3" t="s">
        <v>16</v>
      </c>
      <c r="K38" s="3" t="s">
        <v>98</v>
      </c>
      <c r="L38" s="5">
        <v>22</v>
      </c>
      <c r="M38" s="3" t="s">
        <v>143</v>
      </c>
    </row>
    <row r="39" spans="1:13" x14ac:dyDescent="0.25">
      <c r="A39" s="3" t="s">
        <v>41</v>
      </c>
      <c r="B39" s="3">
        <v>371819</v>
      </c>
      <c r="C39" s="3" t="s">
        <v>102</v>
      </c>
      <c r="D39" s="3" t="s">
        <v>96</v>
      </c>
      <c r="E39" s="3" t="str">
        <f>CONCATENATE(C39, " ",D39)</f>
        <v>Anthony Grissom</v>
      </c>
      <c r="F39" s="3" t="s">
        <v>103</v>
      </c>
      <c r="G39" s="3" t="str">
        <f>CONCATENATE(F39,77)</f>
        <v>MS-000300145177</v>
      </c>
      <c r="H39" s="4">
        <v>45536</v>
      </c>
      <c r="I39" s="4">
        <v>45779</v>
      </c>
      <c r="J39" s="3" t="s">
        <v>16</v>
      </c>
      <c r="K39" s="3" t="s">
        <v>98</v>
      </c>
      <c r="L39" s="5">
        <v>22</v>
      </c>
      <c r="M39" s="3" t="s">
        <v>143</v>
      </c>
    </row>
  </sheetData>
  <sortState xmlns:xlrd2="http://schemas.microsoft.com/office/spreadsheetml/2017/richdata2" ref="A2:M39">
    <sortCondition ref="A2:A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2025-05-02T17:33:29Z</dcterms:created>
  <dcterms:modified xsi:type="dcterms:W3CDTF">2025-05-02T18:52:04Z</dcterms:modified>
</cp:coreProperties>
</file>