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lina/Molina 12-27-24 from Ritter/"/>
    </mc:Choice>
  </mc:AlternateContent>
  <xr:revisionPtr revIDLastSave="0" documentId="13_ncr:1_{272182CA-4A70-DB41-9A9E-672C53E3D7F3}" xr6:coauthVersionLast="47" xr6:coauthVersionMax="47" xr10:uidLastSave="{00000000-0000-0000-0000-000000000000}"/>
  <bookViews>
    <workbookView xWindow="0" yWindow="500" windowWidth="38400" windowHeight="19360" activeTab="1" xr2:uid="{EDBC4CCB-4D64-8345-B85A-28C47EB7D1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9" i="2"/>
  <c r="F2" i="2"/>
  <c r="F42" i="2"/>
  <c r="F5" i="2"/>
  <c r="F6" i="2"/>
  <c r="F7" i="2"/>
  <c r="F33" i="2"/>
  <c r="F8" i="2"/>
  <c r="F43" i="2"/>
  <c r="F44" i="2"/>
  <c r="F45" i="2"/>
  <c r="F46" i="2"/>
  <c r="F47" i="2"/>
  <c r="F34" i="2"/>
  <c r="F35" i="2"/>
  <c r="F48" i="2"/>
  <c r="F36" i="2"/>
  <c r="F49" i="2"/>
  <c r="F37" i="2"/>
  <c r="F3" i="2"/>
  <c r="F4" i="2"/>
  <c r="F38" i="2"/>
  <c r="F39" i="2"/>
  <c r="F40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41" i="2"/>
</calcChain>
</file>

<file path=xl/sharedStrings.xml><?xml version="1.0" encoding="utf-8"?>
<sst xmlns="http://schemas.openxmlformats.org/spreadsheetml/2006/main" count="680" uniqueCount="98">
  <si>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</si>
  <si>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</si>
  <si>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</si>
  <si>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</si>
  <si>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</si>
  <si>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</si>
  <si>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</si>
  <si>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</si>
  <si>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</si>
  <si>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</si>
  <si>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</si>
  <si>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Saadia Abdul</t>
  </si>
  <si>
    <t>Rebecca</t>
  </si>
  <si>
    <t>Bocock</t>
  </si>
  <si>
    <t>CA-629440219</t>
  </si>
  <si>
    <t>Molina Marketplace</t>
  </si>
  <si>
    <t>Molina Marketplace 2023-2024 OEP/SEP FL, Renewal CA IL KY NM TX, ST (ProRata: 1) Premium Period: 12/1/2024</t>
  </si>
  <si>
    <t>Adam Richter</t>
  </si>
  <si>
    <t>BD0787</t>
  </si>
  <si>
    <t>Floyd</t>
  </si>
  <si>
    <t>Adams</t>
  </si>
  <si>
    <t>FL-0016455763</t>
  </si>
  <si>
    <t>Molina Marketplace 2024 Renewal FL, ST (ProRata: 1) Premium Period: 12/1/2024</t>
  </si>
  <si>
    <t>Miguel</t>
  </si>
  <si>
    <t>Peralta</t>
  </si>
  <si>
    <t>IL-0004580991</t>
  </si>
  <si>
    <t>Jacob Yale</t>
  </si>
  <si>
    <t>Kim</t>
  </si>
  <si>
    <t>Morse</t>
  </si>
  <si>
    <t>IL-0005014578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</si>
  <si>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</si>
  <si>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</si>
  <si>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</si>
  <si>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</si>
  <si>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</si>
  <si>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12/1/2024</t>
  </si>
  <si>
    <t>Michael</t>
  </si>
  <si>
    <t>MI-0003273045</t>
  </si>
  <si>
    <t>Ryan Caltagirone</t>
  </si>
  <si>
    <t>BA2413</t>
  </si>
  <si>
    <t>Gale</t>
  </si>
  <si>
    <t>Wilkowski</t>
  </si>
  <si>
    <t>MI-0003811777</t>
  </si>
  <si>
    <t>Kyle</t>
  </si>
  <si>
    <t>Hoffman</t>
  </si>
  <si>
    <t>MI-0003825033</t>
  </si>
  <si>
    <t>Tom Pardue</t>
  </si>
  <si>
    <t>Carrington</t>
  </si>
  <si>
    <t>Grissom</t>
  </si>
  <si>
    <t>MS-0002357786</t>
  </si>
  <si>
    <t>Molina Marketplace 2024 OEP/SEP MS KY, ST (ProRata: 1) Premium Period: 12/1/2024</t>
  </si>
  <si>
    <t>Harmony</t>
  </si>
  <si>
    <t>Mcdonald</t>
  </si>
  <si>
    <t>MS-0002565033</t>
  </si>
  <si>
    <t>Anthony</t>
  </si>
  <si>
    <t>MS-0003001451</t>
  </si>
  <si>
    <t>Bralyn</t>
  </si>
  <si>
    <t>MS-0003191310</t>
  </si>
  <si>
    <t>Christopher</t>
  </si>
  <si>
    <t>MS-0003286420</t>
  </si>
  <si>
    <t>Bruce</t>
  </si>
  <si>
    <t>Kelley</t>
  </si>
  <si>
    <t>OH-0000065693</t>
  </si>
  <si>
    <t>Molina Marketplace 2023-2024 Renewal OH WI, ST (ProRata: 1) Premium Period: 12/1/2024</t>
  </si>
  <si>
    <t>Ronald</t>
  </si>
  <si>
    <t>Gengler</t>
  </si>
  <si>
    <t>OH-0002894856</t>
  </si>
  <si>
    <t>Ryan</t>
  </si>
  <si>
    <t>Moore</t>
  </si>
  <si>
    <t>OH-0003412458</t>
  </si>
  <si>
    <t>Amber</t>
  </si>
  <si>
    <t>OH-0003814368</t>
  </si>
  <si>
    <t>Dennis</t>
  </si>
  <si>
    <t>Pitts</t>
  </si>
  <si>
    <t>OH-0003975220</t>
  </si>
  <si>
    <t>James</t>
  </si>
  <si>
    <t>Smith</t>
  </si>
  <si>
    <t>TX-0012033259</t>
  </si>
  <si>
    <t>Molina Marketplace 2024 Renewal TX, ST (ProRata: 1) Premium Period: 12/1/2024</t>
  </si>
  <si>
    <t>Nayan</t>
  </si>
  <si>
    <t>Patel</t>
  </si>
  <si>
    <t>TX-0013047512</t>
  </si>
  <si>
    <t>Vanessa</t>
  </si>
  <si>
    <t>Delappe</t>
  </si>
  <si>
    <t>TX-0013514902</t>
  </si>
  <si>
    <t>Boden</t>
  </si>
  <si>
    <t>Woodard</t>
  </si>
  <si>
    <t>UT-0002457940</t>
  </si>
  <si>
    <t>Molina Marketplace 2023-2024 OEP/SEP CA IL KY TX, Renewal SC UT, ST (ProRata: 1) Premium Period: 12/1/2024</t>
  </si>
  <si>
    <t>Douglas</t>
  </si>
  <si>
    <t>UT-0002943631</t>
  </si>
  <si>
    <t>Lisa</t>
  </si>
  <si>
    <t>Biagi Woodard</t>
  </si>
  <si>
    <t>UT-0003053615</t>
  </si>
  <si>
    <t>Molina Marketplace 2024 OEP/SEP Renewal OR (ProRata: 1) Premium Period: 12/1/2024</t>
  </si>
  <si>
    <t>Notes: Previous Debit Balance</t>
  </si>
  <si>
    <t>Main Line Benefits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</si>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</sst>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8939-D7AC-174B-AA93-52DBA7141050}">
  <dimension ref="A1:K50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19396223</v>
      </c>
      <c r="D2" t="s">
        <v>12</v>
      </c>
      <c r="E2" t="s">
        <v>13</v>
      </c>
      <c r="F2" t="s">
        <v>14</v>
      </c>
      <c r="G2" s="1">
        <v>45566</v>
      </c>
      <c r="H2" s="1">
        <v>45653</v>
      </c>
      <c r="I2" t="s">
        <v>15</v>
      </c>
      <c r="J2" t="s">
        <v>16</v>
      </c>
      <c r="K2">
        <v>20</v>
      </c>
    </row>
    <row r="3" spans="1:11" x14ac:dyDescent="0.2">
      <c r="A3" t="s">
        <v>17</v>
      </c>
      <c r="B3" t="s">
        <v>18</v>
      </c>
      <c r="C3">
        <v>9079571</v>
      </c>
      <c r="D3" t="s">
        <v>19</v>
      </c>
      <c r="E3" t="s">
        <v>20</v>
      </c>
      <c r="F3" t="s">
        <v>21</v>
      </c>
      <c r="G3" s="1">
        <v>44927</v>
      </c>
      <c r="H3" s="1">
        <v>45653</v>
      </c>
      <c r="I3" t="s">
        <v>15</v>
      </c>
      <c r="J3" t="s">
        <v>22</v>
      </c>
      <c r="K3">
        <v>25</v>
      </c>
    </row>
    <row r="4" spans="1:11" x14ac:dyDescent="0.2">
      <c r="A4" t="s">
        <v>11</v>
      </c>
      <c r="C4">
        <v>19396223</v>
      </c>
      <c r="D4" t="s">
        <v>23</v>
      </c>
      <c r="E4" t="s">
        <v>24</v>
      </c>
      <c r="F4" t="s">
        <v>25</v>
      </c>
      <c r="G4" s="1">
        <v>45566</v>
      </c>
      <c r="H4" s="1">
        <v>45653</v>
      </c>
      <c r="I4" t="s">
        <v>15</v>
      </c>
      <c r="J4" t="s">
        <v>16</v>
      </c>
      <c r="K4">
        <v>20</v>
      </c>
    </row>
    <row r="5" spans="1:11" x14ac:dyDescent="0.2">
      <c r="A5" t="s">
        <v>26</v>
      </c>
      <c r="C5">
        <v>18754354</v>
      </c>
      <c r="D5" t="s">
        <v>27</v>
      </c>
      <c r="E5" t="s">
        <v>28</v>
      </c>
      <c r="F5" t="s">
        <v>29</v>
      </c>
      <c r="G5" s="1">
        <v>45597</v>
      </c>
      <c r="H5" s="1">
        <v>45653</v>
      </c>
      <c r="I5" t="s">
        <v>15</v>
      </c>
      <c r="J5" t="s">
        <v>16</v>
      </c>
      <c r="K5">
        <v>20</v>
      </c>
    </row>
    <row r="6" spans="1:11" x14ac:dyDescent="0.2">
      <c r="A6" t="s">
        <v>30</v>
      </c>
      <c r="B6" t="s">
        <v>31</v>
      </c>
      <c r="C6">
        <v>20436896</v>
      </c>
      <c r="D6" t="s">
        <v>32</v>
      </c>
      <c r="E6" t="s">
        <v>33</v>
      </c>
      <c r="F6" t="s">
        <v>34</v>
      </c>
      <c r="G6" s="1">
        <v>44927</v>
      </c>
      <c r="H6" s="1">
        <v>45653</v>
      </c>
      <c r="I6" t="s">
        <v>15</v>
      </c>
      <c r="J6" t="s">
        <v>35</v>
      </c>
      <c r="K6">
        <v>24</v>
      </c>
    </row>
    <row r="7" spans="1:11" x14ac:dyDescent="0.2">
      <c r="A7" t="s">
        <v>30</v>
      </c>
      <c r="B7" t="s">
        <v>31</v>
      </c>
      <c r="C7">
        <v>20436896</v>
      </c>
      <c r="D7" t="s">
        <v>36</v>
      </c>
      <c r="E7" t="s">
        <v>33</v>
      </c>
      <c r="F7" t="s">
        <v>37</v>
      </c>
      <c r="G7" s="1">
        <v>44927</v>
      </c>
      <c r="H7" s="1">
        <v>45653</v>
      </c>
      <c r="I7" t="s">
        <v>15</v>
      </c>
      <c r="J7" t="s">
        <v>35</v>
      </c>
      <c r="K7">
        <v>24</v>
      </c>
    </row>
    <row r="8" spans="1:11" x14ac:dyDescent="0.2">
      <c r="A8" t="s">
        <v>38</v>
      </c>
      <c r="B8" t="s">
        <v>39</v>
      </c>
      <c r="C8">
        <v>8977234</v>
      </c>
      <c r="D8" t="s">
        <v>40</v>
      </c>
      <c r="E8" t="s">
        <v>41</v>
      </c>
      <c r="F8" t="s">
        <v>42</v>
      </c>
      <c r="G8" s="1">
        <v>45474</v>
      </c>
      <c r="H8" s="1">
        <v>45653</v>
      </c>
      <c r="I8" t="s">
        <v>15</v>
      </c>
      <c r="J8" t="s">
        <v>35</v>
      </c>
      <c r="K8">
        <v>24</v>
      </c>
    </row>
    <row r="9" spans="1:11" x14ac:dyDescent="0.2">
      <c r="A9" t="s">
        <v>30</v>
      </c>
      <c r="B9" t="s">
        <v>31</v>
      </c>
      <c r="C9">
        <v>20436896</v>
      </c>
      <c r="D9" t="s">
        <v>43</v>
      </c>
      <c r="E9" t="s">
        <v>44</v>
      </c>
      <c r="F9" t="s">
        <v>45</v>
      </c>
      <c r="G9" s="1">
        <v>44197</v>
      </c>
      <c r="H9" s="1">
        <v>45653</v>
      </c>
      <c r="I9" t="s">
        <v>15</v>
      </c>
      <c r="J9" t="s">
        <v>35</v>
      </c>
      <c r="K9">
        <v>24</v>
      </c>
    </row>
    <row r="10" spans="1:11" x14ac:dyDescent="0.2">
      <c r="A10" t="s">
        <v>46</v>
      </c>
      <c r="C10">
        <v>371819</v>
      </c>
      <c r="D10" t="s">
        <v>47</v>
      </c>
      <c r="E10" t="s">
        <v>48</v>
      </c>
      <c r="F10" t="s">
        <v>49</v>
      </c>
      <c r="G10" s="1">
        <v>45536</v>
      </c>
      <c r="H10" s="1">
        <v>45653</v>
      </c>
      <c r="I10" t="s">
        <v>15</v>
      </c>
      <c r="J10" t="s">
        <v>50</v>
      </c>
      <c r="K10">
        <v>18</v>
      </c>
    </row>
    <row r="11" spans="1:11" x14ac:dyDescent="0.2">
      <c r="A11" t="s">
        <v>46</v>
      </c>
      <c r="C11">
        <v>371819</v>
      </c>
      <c r="D11" t="s">
        <v>51</v>
      </c>
      <c r="E11" t="s">
        <v>52</v>
      </c>
      <c r="F11" t="s">
        <v>53</v>
      </c>
      <c r="G11" s="1">
        <v>45505</v>
      </c>
      <c r="H11" s="1">
        <v>45653</v>
      </c>
      <c r="I11" t="s">
        <v>15</v>
      </c>
      <c r="J11" t="s">
        <v>50</v>
      </c>
      <c r="K11">
        <v>18</v>
      </c>
    </row>
    <row r="12" spans="1:11" x14ac:dyDescent="0.2">
      <c r="A12" t="s">
        <v>46</v>
      </c>
      <c r="C12">
        <v>371819</v>
      </c>
      <c r="D12" t="s">
        <v>54</v>
      </c>
      <c r="E12" t="s">
        <v>48</v>
      </c>
      <c r="F12" t="s">
        <v>55</v>
      </c>
      <c r="G12" s="1">
        <v>45536</v>
      </c>
      <c r="H12" s="1">
        <v>45653</v>
      </c>
      <c r="I12" t="s">
        <v>15</v>
      </c>
      <c r="J12" t="s">
        <v>50</v>
      </c>
      <c r="K12">
        <v>18</v>
      </c>
    </row>
    <row r="13" spans="1:11" x14ac:dyDescent="0.2">
      <c r="A13" t="s">
        <v>46</v>
      </c>
      <c r="C13">
        <v>371819</v>
      </c>
      <c r="D13" t="s">
        <v>56</v>
      </c>
      <c r="E13" t="s">
        <v>52</v>
      </c>
      <c r="F13" t="s">
        <v>57</v>
      </c>
      <c r="G13" s="1">
        <v>45505</v>
      </c>
      <c r="H13" s="1">
        <v>45653</v>
      </c>
      <c r="I13" t="s">
        <v>15</v>
      </c>
      <c r="J13" t="s">
        <v>50</v>
      </c>
      <c r="K13">
        <v>18</v>
      </c>
    </row>
    <row r="14" spans="1:11" x14ac:dyDescent="0.2">
      <c r="A14" t="s">
        <v>46</v>
      </c>
      <c r="C14">
        <v>371819</v>
      </c>
      <c r="D14" t="s">
        <v>58</v>
      </c>
      <c r="E14" t="s">
        <v>52</v>
      </c>
      <c r="F14" t="s">
        <v>59</v>
      </c>
      <c r="G14" s="1">
        <v>45505</v>
      </c>
      <c r="H14" s="1">
        <v>45653</v>
      </c>
      <c r="I14" t="s">
        <v>15</v>
      </c>
      <c r="J14" t="s">
        <v>50</v>
      </c>
      <c r="K14">
        <v>18</v>
      </c>
    </row>
    <row r="15" spans="1:11" x14ac:dyDescent="0.2">
      <c r="A15" t="s">
        <v>38</v>
      </c>
      <c r="B15" t="s">
        <v>39</v>
      </c>
      <c r="C15">
        <v>8977234</v>
      </c>
      <c r="D15" t="s">
        <v>60</v>
      </c>
      <c r="E15" t="s">
        <v>61</v>
      </c>
      <c r="F15" t="s">
        <v>62</v>
      </c>
      <c r="G15" s="1">
        <v>45292</v>
      </c>
      <c r="H15" s="1">
        <v>45653</v>
      </c>
      <c r="I15" t="s">
        <v>15</v>
      </c>
      <c r="J15" t="s">
        <v>63</v>
      </c>
      <c r="K15">
        <v>16</v>
      </c>
    </row>
    <row r="16" spans="1:11" x14ac:dyDescent="0.2">
      <c r="A16" t="s">
        <v>38</v>
      </c>
      <c r="B16" t="s">
        <v>39</v>
      </c>
      <c r="C16">
        <v>8977234</v>
      </c>
      <c r="D16" t="s">
        <v>64</v>
      </c>
      <c r="E16" t="s">
        <v>65</v>
      </c>
      <c r="F16" t="s">
        <v>66</v>
      </c>
      <c r="G16" s="1">
        <v>45292</v>
      </c>
      <c r="H16" s="1">
        <v>45653</v>
      </c>
      <c r="I16" t="s">
        <v>15</v>
      </c>
      <c r="J16" t="s">
        <v>63</v>
      </c>
      <c r="K16">
        <v>16</v>
      </c>
    </row>
    <row r="17" spans="1:11" x14ac:dyDescent="0.2">
      <c r="A17" t="s">
        <v>46</v>
      </c>
      <c r="C17">
        <v>371819</v>
      </c>
      <c r="D17" t="s">
        <v>67</v>
      </c>
      <c r="E17" t="s">
        <v>68</v>
      </c>
      <c r="F17" t="s">
        <v>69</v>
      </c>
      <c r="G17" s="1">
        <v>45292</v>
      </c>
      <c r="H17" s="1">
        <v>45653</v>
      </c>
      <c r="I17" t="s">
        <v>15</v>
      </c>
      <c r="J17" t="s">
        <v>63</v>
      </c>
      <c r="K17">
        <v>16</v>
      </c>
    </row>
    <row r="18" spans="1:11" x14ac:dyDescent="0.2">
      <c r="A18" t="s">
        <v>38</v>
      </c>
      <c r="B18" t="s">
        <v>39</v>
      </c>
      <c r="C18">
        <v>8977234</v>
      </c>
      <c r="D18" t="s">
        <v>70</v>
      </c>
      <c r="E18" t="s">
        <v>65</v>
      </c>
      <c r="F18" t="s">
        <v>71</v>
      </c>
      <c r="G18" s="1">
        <v>45292</v>
      </c>
      <c r="H18" s="1">
        <v>45653</v>
      </c>
      <c r="I18" t="s">
        <v>15</v>
      </c>
      <c r="J18" t="s">
        <v>63</v>
      </c>
      <c r="K18">
        <v>16</v>
      </c>
    </row>
    <row r="19" spans="1:11" x14ac:dyDescent="0.2">
      <c r="A19" t="s">
        <v>46</v>
      </c>
      <c r="C19">
        <v>371819</v>
      </c>
      <c r="D19" t="s">
        <v>72</v>
      </c>
      <c r="E19" t="s">
        <v>73</v>
      </c>
      <c r="F19" t="s">
        <v>74</v>
      </c>
      <c r="G19" s="1">
        <v>45597</v>
      </c>
      <c r="H19" s="1">
        <v>45653</v>
      </c>
      <c r="I19" t="s">
        <v>15</v>
      </c>
      <c r="J19" t="s">
        <v>63</v>
      </c>
      <c r="K19">
        <v>16</v>
      </c>
    </row>
    <row r="20" spans="1:11" x14ac:dyDescent="0.2">
      <c r="A20" t="s">
        <v>38</v>
      </c>
      <c r="B20" t="s">
        <v>39</v>
      </c>
      <c r="C20">
        <v>8977234</v>
      </c>
      <c r="D20" t="s">
        <v>75</v>
      </c>
      <c r="E20" t="s">
        <v>76</v>
      </c>
      <c r="F20" t="s">
        <v>77</v>
      </c>
      <c r="G20" s="1">
        <v>44835</v>
      </c>
      <c r="H20" s="1">
        <v>45653</v>
      </c>
      <c r="I20" t="s">
        <v>15</v>
      </c>
      <c r="J20" t="s">
        <v>78</v>
      </c>
      <c r="K20">
        <v>22</v>
      </c>
    </row>
    <row r="21" spans="1:11" x14ac:dyDescent="0.2">
      <c r="A21" t="s">
        <v>17</v>
      </c>
      <c r="B21" t="s">
        <v>18</v>
      </c>
      <c r="C21">
        <v>9079571</v>
      </c>
      <c r="D21" t="s">
        <v>79</v>
      </c>
      <c r="E21" t="s">
        <v>80</v>
      </c>
      <c r="F21" t="s">
        <v>81</v>
      </c>
      <c r="G21" s="1">
        <v>44927</v>
      </c>
      <c r="H21" s="1">
        <v>45653</v>
      </c>
      <c r="I21" t="s">
        <v>15</v>
      </c>
      <c r="J21" t="s">
        <v>78</v>
      </c>
      <c r="K21">
        <v>22</v>
      </c>
    </row>
    <row r="22" spans="1:11" x14ac:dyDescent="0.2">
      <c r="A22" t="s">
        <v>17</v>
      </c>
      <c r="B22" t="s">
        <v>18</v>
      </c>
      <c r="C22">
        <v>9079571</v>
      </c>
      <c r="D22" t="s">
        <v>82</v>
      </c>
      <c r="E22" t="s">
        <v>83</v>
      </c>
      <c r="F22" t="s">
        <v>84</v>
      </c>
      <c r="G22" s="1">
        <v>44927</v>
      </c>
      <c r="H22" s="1">
        <v>45653</v>
      </c>
      <c r="I22" t="s">
        <v>15</v>
      </c>
      <c r="J22" t="s">
        <v>78</v>
      </c>
      <c r="K22">
        <v>22</v>
      </c>
    </row>
    <row r="23" spans="1:11" x14ac:dyDescent="0.2">
      <c r="A23" t="s">
        <v>38</v>
      </c>
      <c r="B23" t="s">
        <v>39</v>
      </c>
      <c r="C23">
        <v>8977234</v>
      </c>
      <c r="D23" t="s">
        <v>85</v>
      </c>
      <c r="E23" t="s">
        <v>86</v>
      </c>
      <c r="F23" t="s">
        <v>87</v>
      </c>
      <c r="G23" s="1">
        <v>45292</v>
      </c>
      <c r="H23" s="1">
        <v>45653</v>
      </c>
      <c r="I23" t="s">
        <v>15</v>
      </c>
      <c r="J23" t="s">
        <v>88</v>
      </c>
      <c r="K23">
        <v>19</v>
      </c>
    </row>
    <row r="24" spans="1:11" x14ac:dyDescent="0.2">
      <c r="A24" t="s">
        <v>38</v>
      </c>
      <c r="B24" t="s">
        <v>39</v>
      </c>
      <c r="C24">
        <v>8977234</v>
      </c>
      <c r="D24" t="s">
        <v>89</v>
      </c>
      <c r="E24" t="s">
        <v>86</v>
      </c>
      <c r="F24" t="s">
        <v>90</v>
      </c>
      <c r="G24" s="1">
        <v>45292</v>
      </c>
      <c r="H24" s="1">
        <v>45653</v>
      </c>
      <c r="I24" t="s">
        <v>15</v>
      </c>
      <c r="J24" t="s">
        <v>88</v>
      </c>
      <c r="K24">
        <v>19</v>
      </c>
    </row>
    <row r="25" spans="1:11" x14ac:dyDescent="0.2">
      <c r="A25" t="s">
        <v>38</v>
      </c>
      <c r="B25" t="s">
        <v>39</v>
      </c>
      <c r="C25">
        <v>8977234</v>
      </c>
      <c r="D25" t="s">
        <v>91</v>
      </c>
      <c r="E25" t="s">
        <v>92</v>
      </c>
      <c r="F25" t="s">
        <v>93</v>
      </c>
      <c r="G25" s="1">
        <v>45292</v>
      </c>
      <c r="H25" s="1">
        <v>45653</v>
      </c>
      <c r="I25" t="s">
        <v>15</v>
      </c>
      <c r="J25" t="s">
        <v>88</v>
      </c>
      <c r="K25">
        <v>19</v>
      </c>
    </row>
    <row r="26" spans="1:11" x14ac:dyDescent="0.2">
      <c r="A26" t="s">
        <v>11</v>
      </c>
      <c r="C26">
        <v>19396223</v>
      </c>
      <c r="D26" t="s">
        <v>12</v>
      </c>
      <c r="E26" t="s">
        <v>13</v>
      </c>
      <c r="F26" t="s">
        <v>14</v>
      </c>
      <c r="G26" s="1">
        <v>45566</v>
      </c>
      <c r="H26" s="1">
        <v>45653</v>
      </c>
      <c r="I26" t="s">
        <v>15</v>
      </c>
      <c r="J26" t="s">
        <v>94</v>
      </c>
      <c r="K26">
        <v>2.5</v>
      </c>
    </row>
    <row r="27" spans="1:11" x14ac:dyDescent="0.2">
      <c r="A27" t="s">
        <v>17</v>
      </c>
      <c r="B27" t="s">
        <v>18</v>
      </c>
      <c r="C27">
        <v>9079571</v>
      </c>
      <c r="D27" t="s">
        <v>19</v>
      </c>
      <c r="E27" t="s">
        <v>20</v>
      </c>
      <c r="F27" t="s">
        <v>21</v>
      </c>
      <c r="G27" s="1">
        <v>44927</v>
      </c>
      <c r="H27" s="1">
        <v>45653</v>
      </c>
      <c r="I27" t="s">
        <v>15</v>
      </c>
      <c r="J27" t="s">
        <v>94</v>
      </c>
      <c r="K27">
        <v>2.5</v>
      </c>
    </row>
    <row r="28" spans="1:11" x14ac:dyDescent="0.2">
      <c r="A28" t="s">
        <v>11</v>
      </c>
      <c r="C28">
        <v>19396223</v>
      </c>
      <c r="D28" t="s">
        <v>23</v>
      </c>
      <c r="E28" t="s">
        <v>24</v>
      </c>
      <c r="F28" t="s">
        <v>25</v>
      </c>
      <c r="G28" s="1">
        <v>45566</v>
      </c>
      <c r="H28" s="1">
        <v>45653</v>
      </c>
      <c r="I28" t="s">
        <v>15</v>
      </c>
      <c r="J28" t="s">
        <v>94</v>
      </c>
      <c r="K28">
        <v>2.5</v>
      </c>
    </row>
    <row r="29" spans="1:11" x14ac:dyDescent="0.2">
      <c r="A29" t="s">
        <v>26</v>
      </c>
      <c r="C29">
        <v>18754354</v>
      </c>
      <c r="D29" t="s">
        <v>27</v>
      </c>
      <c r="E29" t="s">
        <v>28</v>
      </c>
      <c r="F29" t="s">
        <v>29</v>
      </c>
      <c r="G29" s="1">
        <v>45597</v>
      </c>
      <c r="H29" s="1">
        <v>45653</v>
      </c>
      <c r="I29" t="s">
        <v>15</v>
      </c>
      <c r="J29" t="s">
        <v>94</v>
      </c>
      <c r="K29">
        <v>2.5</v>
      </c>
    </row>
    <row r="30" spans="1:11" x14ac:dyDescent="0.2">
      <c r="A30" t="s">
        <v>30</v>
      </c>
      <c r="B30" t="s">
        <v>31</v>
      </c>
      <c r="C30">
        <v>20436896</v>
      </c>
      <c r="D30" t="s">
        <v>32</v>
      </c>
      <c r="E30" t="s">
        <v>33</v>
      </c>
      <c r="F30" t="s">
        <v>34</v>
      </c>
      <c r="G30" s="1">
        <v>44927</v>
      </c>
      <c r="H30" s="1">
        <v>45653</v>
      </c>
      <c r="I30" t="s">
        <v>15</v>
      </c>
      <c r="J30" t="s">
        <v>94</v>
      </c>
      <c r="K30">
        <v>2.5</v>
      </c>
    </row>
    <row r="31" spans="1:11" x14ac:dyDescent="0.2">
      <c r="A31" t="s">
        <v>30</v>
      </c>
      <c r="B31" t="s">
        <v>31</v>
      </c>
      <c r="C31">
        <v>20436896</v>
      </c>
      <c r="D31" t="s">
        <v>36</v>
      </c>
      <c r="E31" t="s">
        <v>33</v>
      </c>
      <c r="F31" t="s">
        <v>37</v>
      </c>
      <c r="G31" s="1">
        <v>44927</v>
      </c>
      <c r="H31" s="1">
        <v>45653</v>
      </c>
      <c r="I31" t="s">
        <v>15</v>
      </c>
      <c r="J31" t="s">
        <v>94</v>
      </c>
      <c r="K31">
        <v>2.5</v>
      </c>
    </row>
    <row r="32" spans="1:11" x14ac:dyDescent="0.2">
      <c r="A32" t="s">
        <v>38</v>
      </c>
      <c r="B32" t="s">
        <v>39</v>
      </c>
      <c r="C32">
        <v>8977234</v>
      </c>
      <c r="D32" t="s">
        <v>40</v>
      </c>
      <c r="E32" t="s">
        <v>41</v>
      </c>
      <c r="F32" t="s">
        <v>42</v>
      </c>
      <c r="G32" s="1">
        <v>45474</v>
      </c>
      <c r="H32" s="1">
        <v>45653</v>
      </c>
      <c r="I32" t="s">
        <v>15</v>
      </c>
      <c r="J32" t="s">
        <v>94</v>
      </c>
      <c r="K32">
        <v>2.5</v>
      </c>
    </row>
    <row r="33" spans="1:11" x14ac:dyDescent="0.2">
      <c r="A33" t="s">
        <v>30</v>
      </c>
      <c r="B33" t="s">
        <v>31</v>
      </c>
      <c r="C33">
        <v>20436896</v>
      </c>
      <c r="D33" t="s">
        <v>43</v>
      </c>
      <c r="E33" t="s">
        <v>44</v>
      </c>
      <c r="F33" t="s">
        <v>45</v>
      </c>
      <c r="G33" s="1">
        <v>44197</v>
      </c>
      <c r="H33" s="1">
        <v>45653</v>
      </c>
      <c r="I33" t="s">
        <v>15</v>
      </c>
      <c r="J33" t="s">
        <v>94</v>
      </c>
      <c r="K33">
        <v>2.5</v>
      </c>
    </row>
    <row r="34" spans="1:11" x14ac:dyDescent="0.2">
      <c r="A34" t="s">
        <v>46</v>
      </c>
      <c r="C34">
        <v>371819</v>
      </c>
      <c r="D34" t="s">
        <v>47</v>
      </c>
      <c r="E34" t="s">
        <v>48</v>
      </c>
      <c r="F34" t="s">
        <v>49</v>
      </c>
      <c r="G34" s="1">
        <v>45536</v>
      </c>
      <c r="H34" s="1">
        <v>45653</v>
      </c>
      <c r="I34" t="s">
        <v>15</v>
      </c>
      <c r="J34" t="s">
        <v>94</v>
      </c>
      <c r="K34">
        <v>2.5</v>
      </c>
    </row>
    <row r="35" spans="1:11" x14ac:dyDescent="0.2">
      <c r="A35" t="s">
        <v>46</v>
      </c>
      <c r="C35">
        <v>371819</v>
      </c>
      <c r="D35" t="s">
        <v>51</v>
      </c>
      <c r="E35" t="s">
        <v>52</v>
      </c>
      <c r="F35" t="s">
        <v>53</v>
      </c>
      <c r="G35" s="1">
        <v>45505</v>
      </c>
      <c r="H35" s="1">
        <v>45653</v>
      </c>
      <c r="I35" t="s">
        <v>15</v>
      </c>
      <c r="J35" t="s">
        <v>94</v>
      </c>
      <c r="K35">
        <v>2.5</v>
      </c>
    </row>
    <row r="36" spans="1:11" x14ac:dyDescent="0.2">
      <c r="A36" t="s">
        <v>46</v>
      </c>
      <c r="C36">
        <v>371819</v>
      </c>
      <c r="D36" t="s">
        <v>54</v>
      </c>
      <c r="E36" t="s">
        <v>48</v>
      </c>
      <c r="F36" t="s">
        <v>55</v>
      </c>
      <c r="G36" s="1">
        <v>45536</v>
      </c>
      <c r="H36" s="1">
        <v>45653</v>
      </c>
      <c r="I36" t="s">
        <v>15</v>
      </c>
      <c r="J36" t="s">
        <v>94</v>
      </c>
      <c r="K36">
        <v>2.5</v>
      </c>
    </row>
    <row r="37" spans="1:11" x14ac:dyDescent="0.2">
      <c r="A37" t="s">
        <v>46</v>
      </c>
      <c r="C37">
        <v>371819</v>
      </c>
      <c r="D37" t="s">
        <v>56</v>
      </c>
      <c r="E37" t="s">
        <v>52</v>
      </c>
      <c r="F37" t="s">
        <v>57</v>
      </c>
      <c r="G37" s="1">
        <v>45505</v>
      </c>
      <c r="H37" s="1">
        <v>45653</v>
      </c>
      <c r="I37" t="s">
        <v>15</v>
      </c>
      <c r="J37" t="s">
        <v>94</v>
      </c>
      <c r="K37">
        <v>2.5</v>
      </c>
    </row>
    <row r="38" spans="1:11" x14ac:dyDescent="0.2">
      <c r="A38" t="s">
        <v>46</v>
      </c>
      <c r="C38">
        <v>371819</v>
      </c>
      <c r="D38" t="s">
        <v>58</v>
      </c>
      <c r="E38" t="s">
        <v>52</v>
      </c>
      <c r="F38" t="s">
        <v>59</v>
      </c>
      <c r="G38" s="1">
        <v>45505</v>
      </c>
      <c r="H38" s="1">
        <v>45653</v>
      </c>
      <c r="I38" t="s">
        <v>15</v>
      </c>
      <c r="J38" t="s">
        <v>94</v>
      </c>
      <c r="K38">
        <v>2.5</v>
      </c>
    </row>
    <row r="39" spans="1:11" x14ac:dyDescent="0.2">
      <c r="A39" t="s">
        <v>38</v>
      </c>
      <c r="B39" t="s">
        <v>39</v>
      </c>
      <c r="C39">
        <v>8977234</v>
      </c>
      <c r="D39" t="s">
        <v>60</v>
      </c>
      <c r="E39" t="s">
        <v>61</v>
      </c>
      <c r="F39" t="s">
        <v>62</v>
      </c>
      <c r="G39" s="1">
        <v>45292</v>
      </c>
      <c r="H39" s="1">
        <v>45653</v>
      </c>
      <c r="I39" t="s">
        <v>15</v>
      </c>
      <c r="J39" t="s">
        <v>94</v>
      </c>
      <c r="K39">
        <v>2.5</v>
      </c>
    </row>
    <row r="40" spans="1:11" x14ac:dyDescent="0.2">
      <c r="A40" t="s">
        <v>38</v>
      </c>
      <c r="B40" t="s">
        <v>39</v>
      </c>
      <c r="C40">
        <v>8977234</v>
      </c>
      <c r="D40" t="s">
        <v>64</v>
      </c>
      <c r="E40" t="s">
        <v>65</v>
      </c>
      <c r="F40" t="s">
        <v>66</v>
      </c>
      <c r="G40" s="1">
        <v>45292</v>
      </c>
      <c r="H40" s="1">
        <v>45653</v>
      </c>
      <c r="I40" t="s">
        <v>15</v>
      </c>
      <c r="J40" t="s">
        <v>94</v>
      </c>
      <c r="K40">
        <v>2.5</v>
      </c>
    </row>
    <row r="41" spans="1:11" x14ac:dyDescent="0.2">
      <c r="A41" t="s">
        <v>46</v>
      </c>
      <c r="C41">
        <v>371819</v>
      </c>
      <c r="D41" t="s">
        <v>67</v>
      </c>
      <c r="E41" t="s">
        <v>68</v>
      </c>
      <c r="F41" t="s">
        <v>69</v>
      </c>
      <c r="G41" s="1">
        <v>45292</v>
      </c>
      <c r="H41" s="1">
        <v>45653</v>
      </c>
      <c r="I41" t="s">
        <v>15</v>
      </c>
      <c r="J41" t="s">
        <v>94</v>
      </c>
      <c r="K41">
        <v>2.5</v>
      </c>
    </row>
    <row r="42" spans="1:11" x14ac:dyDescent="0.2">
      <c r="A42" t="s">
        <v>38</v>
      </c>
      <c r="B42" t="s">
        <v>39</v>
      </c>
      <c r="C42">
        <v>8977234</v>
      </c>
      <c r="D42" t="s">
        <v>70</v>
      </c>
      <c r="E42" t="s">
        <v>65</v>
      </c>
      <c r="F42" t="s">
        <v>71</v>
      </c>
      <c r="G42" s="1">
        <v>45292</v>
      </c>
      <c r="H42" s="1">
        <v>45653</v>
      </c>
      <c r="I42" t="s">
        <v>15</v>
      </c>
      <c r="J42" t="s">
        <v>94</v>
      </c>
      <c r="K42">
        <v>2.5</v>
      </c>
    </row>
    <row r="43" spans="1:11" x14ac:dyDescent="0.2">
      <c r="A43" t="s">
        <v>46</v>
      </c>
      <c r="C43">
        <v>371819</v>
      </c>
      <c r="D43" t="s">
        <v>72</v>
      </c>
      <c r="E43" t="s">
        <v>73</v>
      </c>
      <c r="F43" t="s">
        <v>74</v>
      </c>
      <c r="G43" s="1">
        <v>45597</v>
      </c>
      <c r="H43" s="1">
        <v>45653</v>
      </c>
      <c r="I43" t="s">
        <v>15</v>
      </c>
      <c r="J43" t="s">
        <v>94</v>
      </c>
      <c r="K43">
        <v>2.5</v>
      </c>
    </row>
    <row r="44" spans="1:11" x14ac:dyDescent="0.2">
      <c r="A44" t="s">
        <v>38</v>
      </c>
      <c r="B44" t="s">
        <v>39</v>
      </c>
      <c r="C44">
        <v>8977234</v>
      </c>
      <c r="D44" t="s">
        <v>75</v>
      </c>
      <c r="E44" t="s">
        <v>76</v>
      </c>
      <c r="F44" t="s">
        <v>77</v>
      </c>
      <c r="G44" s="1">
        <v>44835</v>
      </c>
      <c r="H44" s="1">
        <v>45653</v>
      </c>
      <c r="I44" t="s">
        <v>15</v>
      </c>
      <c r="J44" t="s">
        <v>94</v>
      </c>
      <c r="K44">
        <v>2.5</v>
      </c>
    </row>
    <row r="45" spans="1:11" x14ac:dyDescent="0.2">
      <c r="A45" t="s">
        <v>17</v>
      </c>
      <c r="B45" t="s">
        <v>18</v>
      </c>
      <c r="C45">
        <v>9079571</v>
      </c>
      <c r="D45" t="s">
        <v>79</v>
      </c>
      <c r="E45" t="s">
        <v>80</v>
      </c>
      <c r="F45" t="s">
        <v>81</v>
      </c>
      <c r="G45" s="1">
        <v>44927</v>
      </c>
      <c r="H45" s="1">
        <v>45653</v>
      </c>
      <c r="I45" t="s">
        <v>15</v>
      </c>
      <c r="J45" t="s">
        <v>94</v>
      </c>
      <c r="K45">
        <v>2.5</v>
      </c>
    </row>
    <row r="46" spans="1:11" x14ac:dyDescent="0.2">
      <c r="A46" t="s">
        <v>17</v>
      </c>
      <c r="B46" t="s">
        <v>18</v>
      </c>
      <c r="C46">
        <v>9079571</v>
      </c>
      <c r="D46" t="s">
        <v>82</v>
      </c>
      <c r="E46" t="s">
        <v>83</v>
      </c>
      <c r="F46" t="s">
        <v>84</v>
      </c>
      <c r="G46" s="1">
        <v>44927</v>
      </c>
      <c r="H46" s="1">
        <v>45653</v>
      </c>
      <c r="I46" t="s">
        <v>15</v>
      </c>
      <c r="J46" t="s">
        <v>94</v>
      </c>
      <c r="K46">
        <v>2.5</v>
      </c>
    </row>
    <row r="47" spans="1:11" x14ac:dyDescent="0.2">
      <c r="A47" t="s">
        <v>38</v>
      </c>
      <c r="B47" t="s">
        <v>39</v>
      </c>
      <c r="C47">
        <v>8977234</v>
      </c>
      <c r="D47" t="s">
        <v>85</v>
      </c>
      <c r="E47" t="s">
        <v>86</v>
      </c>
      <c r="F47" t="s">
        <v>87</v>
      </c>
      <c r="G47" s="1">
        <v>45292</v>
      </c>
      <c r="H47" s="1">
        <v>45653</v>
      </c>
      <c r="I47" t="s">
        <v>15</v>
      </c>
      <c r="J47" t="s">
        <v>94</v>
      </c>
      <c r="K47">
        <v>2.5</v>
      </c>
    </row>
    <row r="48" spans="1:11" x14ac:dyDescent="0.2">
      <c r="A48" t="s">
        <v>38</v>
      </c>
      <c r="B48" t="s">
        <v>39</v>
      </c>
      <c r="C48">
        <v>8977234</v>
      </c>
      <c r="D48" t="s">
        <v>89</v>
      </c>
      <c r="E48" t="s">
        <v>86</v>
      </c>
      <c r="F48" t="s">
        <v>90</v>
      </c>
      <c r="G48" s="1">
        <v>45292</v>
      </c>
      <c r="H48" s="1">
        <v>45653</v>
      </c>
      <c r="I48" t="s">
        <v>15</v>
      </c>
      <c r="J48" t="s">
        <v>94</v>
      </c>
      <c r="K48">
        <v>2.5</v>
      </c>
    </row>
    <row r="49" spans="1:11" x14ac:dyDescent="0.2">
      <c r="A49" t="s">
        <v>38</v>
      </c>
      <c r="B49" t="s">
        <v>39</v>
      </c>
      <c r="C49">
        <v>8977234</v>
      </c>
      <c r="D49" t="s">
        <v>91</v>
      </c>
      <c r="E49" t="s">
        <v>92</v>
      </c>
      <c r="F49" t="s">
        <v>93</v>
      </c>
      <c r="G49" s="1">
        <v>45292</v>
      </c>
      <c r="H49" s="1">
        <v>45653</v>
      </c>
      <c r="I49" t="s">
        <v>15</v>
      </c>
      <c r="J49" t="s">
        <v>94</v>
      </c>
      <c r="K49">
        <v>2.5</v>
      </c>
    </row>
    <row r="50" spans="1:11" x14ac:dyDescent="0.2">
      <c r="C50">
        <v>20411454</v>
      </c>
      <c r="G50" s="1">
        <v>45646</v>
      </c>
      <c r="H50" s="1">
        <v>45653</v>
      </c>
      <c r="J50" t="s">
        <v>95</v>
      </c>
      <c r="K50">
        <v>-36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0F8A-6E89-7848-96FA-724701234F35}">
  <dimension ref="A1:M50"/>
  <sheetViews>
    <sheetView tabSelected="1" topLeftCell="B1" workbookViewId="0">
      <selection activeCell="J19" sqref="J19"/>
    </sheetView>
  </sheetViews>
  <sheetFormatPr baseColWidth="10" defaultRowHeight="16" x14ac:dyDescent="0.2"/>
  <cols>
    <col min="1" max="1" width="18.33203125" bestFit="1" customWidth="1"/>
    <col min="2" max="2" width="13.83203125" bestFit="1" customWidth="1"/>
    <col min="3" max="3" width="9.6640625" bestFit="1" customWidth="1"/>
    <col min="5" max="5" width="12.83203125" bestFit="1" customWidth="1"/>
    <col min="6" max="6" width="14.6640625" bestFit="1" customWidth="1"/>
    <col min="7" max="7" width="14.5" bestFit="1" customWidth="1"/>
    <col min="8" max="8" width="15.5" bestFit="1" customWidth="1"/>
    <col min="9" max="9" width="11.1640625" bestFit="1" customWidth="1"/>
    <col min="10" max="10" width="13.83203125" bestFit="1" customWidth="1"/>
    <col min="11" max="11" width="17.33203125" bestFit="1" customWidth="1"/>
    <col min="12" max="12" width="92.8320312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17</v>
      </c>
      <c r="B2" t="s">
        <v>18</v>
      </c>
      <c r="C2">
        <v>9079571</v>
      </c>
      <c r="D2" t="s">
        <v>19</v>
      </c>
      <c r="E2" t="s">
        <v>20</v>
      </c>
      <c r="F2" t="str">
        <f>CONCATENATE(D2, " ",E2)</f>
        <v>Floyd Adams</v>
      </c>
      <c r="G2" t="s">
        <v>21</v>
      </c>
      <c r="H2" t="s">
        <v>21</v>
      </c>
      <c r="I2" s="1">
        <v>44927</v>
      </c>
      <c r="J2" s="1">
        <v>45653</v>
      </c>
      <c r="K2" t="s">
        <v>15</v>
      </c>
      <c r="L2" t="s">
        <v>22</v>
      </c>
      <c r="M2">
        <v>25</v>
      </c>
    </row>
    <row r="3" spans="1:13" x14ac:dyDescent="0.2">
      <c r="A3" t="s">
        <v>17</v>
      </c>
      <c r="B3" t="s">
        <v>18</v>
      </c>
      <c r="C3">
        <v>9079571</v>
      </c>
      <c r="D3" t="s">
        <v>79</v>
      </c>
      <c r="E3" t="s">
        <v>80</v>
      </c>
      <c r="F3" t="str">
        <f>CONCATENATE(D3, " ",E3)</f>
        <v>Nayan Patel</v>
      </c>
      <c r="G3" t="s">
        <v>81</v>
      </c>
      <c r="H3" t="s">
        <v>81</v>
      </c>
      <c r="I3" s="1">
        <v>44927</v>
      </c>
      <c r="J3" s="1">
        <v>45653</v>
      </c>
      <c r="K3" t="s">
        <v>15</v>
      </c>
      <c r="L3" t="s">
        <v>78</v>
      </c>
      <c r="M3">
        <v>22</v>
      </c>
    </row>
    <row r="4" spans="1:13" x14ac:dyDescent="0.2">
      <c r="A4" t="s">
        <v>17</v>
      </c>
      <c r="B4" t="s">
        <v>18</v>
      </c>
      <c r="C4">
        <v>9079571</v>
      </c>
      <c r="D4" t="s">
        <v>82</v>
      </c>
      <c r="E4" t="s">
        <v>83</v>
      </c>
      <c r="F4" t="str">
        <f>CONCATENATE(D4, " ",E4)</f>
        <v>Vanessa Delappe</v>
      </c>
      <c r="G4" t="s">
        <v>84</v>
      </c>
      <c r="H4" t="s">
        <v>84</v>
      </c>
      <c r="I4" s="1">
        <v>44927</v>
      </c>
      <c r="J4" s="1">
        <v>45653</v>
      </c>
      <c r="K4" t="s">
        <v>15</v>
      </c>
      <c r="L4" t="s">
        <v>78</v>
      </c>
      <c r="M4">
        <v>22</v>
      </c>
    </row>
    <row r="5" spans="1:13" x14ac:dyDescent="0.2">
      <c r="A5" t="s">
        <v>26</v>
      </c>
      <c r="C5">
        <v>18754354</v>
      </c>
      <c r="D5" t="s">
        <v>27</v>
      </c>
      <c r="E5" t="s">
        <v>28</v>
      </c>
      <c r="F5" t="str">
        <f>CONCATENATE(D5, " ",E5)</f>
        <v>Kim Morse</v>
      </c>
      <c r="G5" t="s">
        <v>29</v>
      </c>
      <c r="H5" t="s">
        <v>29</v>
      </c>
      <c r="I5" s="1">
        <v>45597</v>
      </c>
      <c r="J5" s="1">
        <v>45653</v>
      </c>
      <c r="K5" t="s">
        <v>15</v>
      </c>
      <c r="L5" t="s">
        <v>16</v>
      </c>
      <c r="M5">
        <v>20</v>
      </c>
    </row>
    <row r="6" spans="1:13" x14ac:dyDescent="0.2">
      <c r="A6" t="s">
        <v>30</v>
      </c>
      <c r="B6" t="s">
        <v>31</v>
      </c>
      <c r="C6">
        <v>20436896</v>
      </c>
      <c r="D6" t="s">
        <v>32</v>
      </c>
      <c r="E6" t="s">
        <v>33</v>
      </c>
      <c r="F6" t="str">
        <f>CONCATENATE(D6, " ",E6)</f>
        <v>Annette Brooks</v>
      </c>
      <c r="G6" t="s">
        <v>34</v>
      </c>
      <c r="H6" t="s">
        <v>34</v>
      </c>
      <c r="I6" s="1">
        <v>44927</v>
      </c>
      <c r="J6" s="1">
        <v>45653</v>
      </c>
      <c r="K6" t="s">
        <v>15</v>
      </c>
      <c r="L6" t="s">
        <v>35</v>
      </c>
      <c r="M6">
        <v>24</v>
      </c>
    </row>
    <row r="7" spans="1:13" x14ac:dyDescent="0.2">
      <c r="A7" t="s">
        <v>30</v>
      </c>
      <c r="B7" t="s">
        <v>31</v>
      </c>
      <c r="C7">
        <v>20436896</v>
      </c>
      <c r="D7" t="s">
        <v>36</v>
      </c>
      <c r="E7" t="s">
        <v>33</v>
      </c>
      <c r="F7" t="str">
        <f>CONCATENATE(D7, " ",E7)</f>
        <v>Michael Brooks</v>
      </c>
      <c r="G7" t="s">
        <v>37</v>
      </c>
      <c r="H7" t="s">
        <v>37</v>
      </c>
      <c r="I7" s="1">
        <v>44927</v>
      </c>
      <c r="J7" s="1">
        <v>45653</v>
      </c>
      <c r="K7" t="s">
        <v>15</v>
      </c>
      <c r="L7" t="s">
        <v>35</v>
      </c>
      <c r="M7">
        <v>24</v>
      </c>
    </row>
    <row r="8" spans="1:13" x14ac:dyDescent="0.2">
      <c r="A8" t="s">
        <v>30</v>
      </c>
      <c r="B8" t="s">
        <v>31</v>
      </c>
      <c r="C8">
        <v>20436896</v>
      </c>
      <c r="D8" t="s">
        <v>43</v>
      </c>
      <c r="E8" t="s">
        <v>44</v>
      </c>
      <c r="F8" t="str">
        <f>CONCATENATE(D8, " ",E8)</f>
        <v>Kyle Hoffman</v>
      </c>
      <c r="G8" t="s">
        <v>45</v>
      </c>
      <c r="H8" t="s">
        <v>45</v>
      </c>
      <c r="I8" s="1">
        <v>44197</v>
      </c>
      <c r="J8" s="1">
        <v>45653</v>
      </c>
      <c r="K8" t="s">
        <v>15</v>
      </c>
      <c r="L8" t="s">
        <v>35</v>
      </c>
      <c r="M8">
        <v>24</v>
      </c>
    </row>
    <row r="9" spans="1:13" x14ac:dyDescent="0.2">
      <c r="A9" t="s">
        <v>96</v>
      </c>
      <c r="C9">
        <v>20411454</v>
      </c>
      <c r="D9" t="s">
        <v>12</v>
      </c>
      <c r="E9" t="s">
        <v>13</v>
      </c>
      <c r="F9" t="str">
        <f>CONCATENATE(D9, " ",E9)</f>
        <v>Rebecca Bocock</v>
      </c>
      <c r="G9" t="s">
        <v>14</v>
      </c>
      <c r="H9" t="str">
        <f>CONCATENATE(G9,1)</f>
        <v>CA-6294402191</v>
      </c>
      <c r="I9" s="1">
        <v>45566</v>
      </c>
      <c r="J9" s="1">
        <v>45653</v>
      </c>
      <c r="K9" t="s">
        <v>15</v>
      </c>
      <c r="L9" t="s">
        <v>94</v>
      </c>
      <c r="M9">
        <v>2.5</v>
      </c>
    </row>
    <row r="10" spans="1:13" x14ac:dyDescent="0.2">
      <c r="A10" t="s">
        <v>96</v>
      </c>
      <c r="B10" t="s">
        <v>18</v>
      </c>
      <c r="C10">
        <v>20411454</v>
      </c>
      <c r="D10" t="s">
        <v>19</v>
      </c>
      <c r="E10" t="s">
        <v>20</v>
      </c>
      <c r="F10" t="str">
        <f>CONCATENATE(D10, " ",E10)</f>
        <v>Floyd Adams</v>
      </c>
      <c r="G10" t="s">
        <v>21</v>
      </c>
      <c r="H10" t="str">
        <f>CONCATENATE(G10,1)</f>
        <v>FL-00164557631</v>
      </c>
      <c r="I10" s="1">
        <v>44927</v>
      </c>
      <c r="J10" s="1">
        <v>45653</v>
      </c>
      <c r="K10" t="s">
        <v>15</v>
      </c>
      <c r="L10" t="s">
        <v>94</v>
      </c>
      <c r="M10">
        <v>2.5</v>
      </c>
    </row>
    <row r="11" spans="1:13" x14ac:dyDescent="0.2">
      <c r="A11" t="s">
        <v>96</v>
      </c>
      <c r="C11">
        <v>20411454</v>
      </c>
      <c r="D11" t="s">
        <v>23</v>
      </c>
      <c r="E11" t="s">
        <v>24</v>
      </c>
      <c r="F11" t="str">
        <f>CONCATENATE(D11, " ",E11)</f>
        <v>Miguel Peralta</v>
      </c>
      <c r="G11" t="s">
        <v>25</v>
      </c>
      <c r="H11" t="str">
        <f>CONCATENATE(G11,1)</f>
        <v>IL-00045809911</v>
      </c>
      <c r="I11" s="1">
        <v>45566</v>
      </c>
      <c r="J11" s="1">
        <v>45653</v>
      </c>
      <c r="K11" t="s">
        <v>15</v>
      </c>
      <c r="L11" t="s">
        <v>94</v>
      </c>
      <c r="M11">
        <v>2.5</v>
      </c>
    </row>
    <row r="12" spans="1:13" x14ac:dyDescent="0.2">
      <c r="A12" t="s">
        <v>96</v>
      </c>
      <c r="C12">
        <v>20411454</v>
      </c>
      <c r="D12" t="s">
        <v>27</v>
      </c>
      <c r="E12" t="s">
        <v>28</v>
      </c>
      <c r="F12" t="str">
        <f>CONCATENATE(D12, " ",E12)</f>
        <v>Kim Morse</v>
      </c>
      <c r="G12" t="s">
        <v>29</v>
      </c>
      <c r="H12" t="str">
        <f>CONCATENATE(G12,1)</f>
        <v>IL-00050145781</v>
      </c>
      <c r="I12" s="1">
        <v>45597</v>
      </c>
      <c r="J12" s="1">
        <v>45653</v>
      </c>
      <c r="K12" t="s">
        <v>15</v>
      </c>
      <c r="L12" t="s">
        <v>94</v>
      </c>
      <c r="M12">
        <v>2.5</v>
      </c>
    </row>
    <row r="13" spans="1:13" x14ac:dyDescent="0.2">
      <c r="A13" t="s">
        <v>96</v>
      </c>
      <c r="B13" t="s">
        <v>31</v>
      </c>
      <c r="C13">
        <v>20411454</v>
      </c>
      <c r="D13" t="s">
        <v>32</v>
      </c>
      <c r="E13" t="s">
        <v>33</v>
      </c>
      <c r="F13" t="str">
        <f>CONCATENATE(D13, " ",E13)</f>
        <v>Annette Brooks</v>
      </c>
      <c r="G13" t="s">
        <v>34</v>
      </c>
      <c r="H13" t="str">
        <f>CONCATENATE(G13,1)</f>
        <v>MI-00026653291</v>
      </c>
      <c r="I13" s="1">
        <v>44927</v>
      </c>
      <c r="J13" s="1">
        <v>45653</v>
      </c>
      <c r="K13" t="s">
        <v>15</v>
      </c>
      <c r="L13" t="s">
        <v>94</v>
      </c>
      <c r="M13">
        <v>2.5</v>
      </c>
    </row>
    <row r="14" spans="1:13" x14ac:dyDescent="0.2">
      <c r="A14" t="s">
        <v>96</v>
      </c>
      <c r="B14" t="s">
        <v>31</v>
      </c>
      <c r="C14">
        <v>20411454</v>
      </c>
      <c r="D14" t="s">
        <v>36</v>
      </c>
      <c r="E14" t="s">
        <v>33</v>
      </c>
      <c r="F14" t="str">
        <f>CONCATENATE(D14, " ",E14)</f>
        <v>Michael Brooks</v>
      </c>
      <c r="G14" t="s">
        <v>37</v>
      </c>
      <c r="H14" t="str">
        <f>CONCATENATE(G14,1)</f>
        <v>MI-00032730451</v>
      </c>
      <c r="I14" s="1">
        <v>44927</v>
      </c>
      <c r="J14" s="1">
        <v>45653</v>
      </c>
      <c r="K14" t="s">
        <v>15</v>
      </c>
      <c r="L14" t="s">
        <v>94</v>
      </c>
      <c r="M14">
        <v>2.5</v>
      </c>
    </row>
    <row r="15" spans="1:13" x14ac:dyDescent="0.2">
      <c r="A15" t="s">
        <v>96</v>
      </c>
      <c r="B15" t="s">
        <v>39</v>
      </c>
      <c r="C15">
        <v>20411454</v>
      </c>
      <c r="D15" t="s">
        <v>40</v>
      </c>
      <c r="E15" t="s">
        <v>41</v>
      </c>
      <c r="F15" t="str">
        <f>CONCATENATE(D15, " ",E15)</f>
        <v>Gale Wilkowski</v>
      </c>
      <c r="G15" t="s">
        <v>42</v>
      </c>
      <c r="H15" t="str">
        <f>CONCATENATE(G15,1)</f>
        <v>MI-00038117771</v>
      </c>
      <c r="I15" s="1">
        <v>45474</v>
      </c>
      <c r="J15" s="1">
        <v>45653</v>
      </c>
      <c r="K15" t="s">
        <v>15</v>
      </c>
      <c r="L15" t="s">
        <v>94</v>
      </c>
      <c r="M15">
        <v>2.5</v>
      </c>
    </row>
    <row r="16" spans="1:13" x14ac:dyDescent="0.2">
      <c r="A16" t="s">
        <v>96</v>
      </c>
      <c r="B16" t="s">
        <v>31</v>
      </c>
      <c r="C16">
        <v>20411454</v>
      </c>
      <c r="D16" t="s">
        <v>43</v>
      </c>
      <c r="E16" t="s">
        <v>44</v>
      </c>
      <c r="F16" t="str">
        <f>CONCATENATE(D16, " ",E16)</f>
        <v>Kyle Hoffman</v>
      </c>
      <c r="G16" t="s">
        <v>45</v>
      </c>
      <c r="H16" t="str">
        <f>CONCATENATE(G16,1)</f>
        <v>MI-00038250331</v>
      </c>
      <c r="I16" s="1">
        <v>44197</v>
      </c>
      <c r="J16" s="1">
        <v>45653</v>
      </c>
      <c r="K16" t="s">
        <v>15</v>
      </c>
      <c r="L16" t="s">
        <v>94</v>
      </c>
      <c r="M16">
        <v>2.5</v>
      </c>
    </row>
    <row r="17" spans="1:13" x14ac:dyDescent="0.2">
      <c r="A17" t="s">
        <v>96</v>
      </c>
      <c r="C17">
        <v>20411454</v>
      </c>
      <c r="D17" t="s">
        <v>47</v>
      </c>
      <c r="E17" t="s">
        <v>48</v>
      </c>
      <c r="F17" t="str">
        <f>CONCATENATE(D17, " ",E17)</f>
        <v>Carrington Grissom</v>
      </c>
      <c r="G17" t="s">
        <v>49</v>
      </c>
      <c r="H17" t="str">
        <f>CONCATENATE(G17,1)</f>
        <v>MS-00023577861</v>
      </c>
      <c r="I17" s="1">
        <v>45536</v>
      </c>
      <c r="J17" s="1">
        <v>45653</v>
      </c>
      <c r="K17" t="s">
        <v>15</v>
      </c>
      <c r="L17" t="s">
        <v>94</v>
      </c>
      <c r="M17">
        <v>2.5</v>
      </c>
    </row>
    <row r="18" spans="1:13" x14ac:dyDescent="0.2">
      <c r="A18" t="s">
        <v>96</v>
      </c>
      <c r="C18">
        <v>20411454</v>
      </c>
      <c r="D18" t="s">
        <v>51</v>
      </c>
      <c r="E18" t="s">
        <v>52</v>
      </c>
      <c r="F18" t="str">
        <f>CONCATENATE(D18, " ",E18)</f>
        <v>Harmony Mcdonald</v>
      </c>
      <c r="G18" t="s">
        <v>53</v>
      </c>
      <c r="H18" t="str">
        <f>CONCATENATE(G18,1)</f>
        <v>MS-00025650331</v>
      </c>
      <c r="I18" s="1">
        <v>45505</v>
      </c>
      <c r="J18" s="1">
        <v>45653</v>
      </c>
      <c r="K18" t="s">
        <v>15</v>
      </c>
      <c r="L18" t="s">
        <v>94</v>
      </c>
      <c r="M18">
        <v>2.5</v>
      </c>
    </row>
    <row r="19" spans="1:13" x14ac:dyDescent="0.2">
      <c r="A19" t="s">
        <v>96</v>
      </c>
      <c r="C19">
        <v>20411454</v>
      </c>
      <c r="D19" t="s">
        <v>54</v>
      </c>
      <c r="E19" t="s">
        <v>48</v>
      </c>
      <c r="F19" t="str">
        <f>CONCATENATE(D19, " ",E19)</f>
        <v>Anthony Grissom</v>
      </c>
      <c r="G19" t="s">
        <v>55</v>
      </c>
      <c r="H19" t="str">
        <f>CONCATENATE(G19,1)</f>
        <v>MS-00030014511</v>
      </c>
      <c r="I19" s="1">
        <v>45536</v>
      </c>
      <c r="J19" s="1">
        <v>45653</v>
      </c>
      <c r="K19" t="s">
        <v>15</v>
      </c>
      <c r="L19" t="s">
        <v>94</v>
      </c>
      <c r="M19">
        <v>2.5</v>
      </c>
    </row>
    <row r="20" spans="1:13" x14ac:dyDescent="0.2">
      <c r="A20" t="s">
        <v>96</v>
      </c>
      <c r="C20">
        <v>20411454</v>
      </c>
      <c r="D20" t="s">
        <v>56</v>
      </c>
      <c r="E20" t="s">
        <v>52</v>
      </c>
      <c r="F20" t="str">
        <f>CONCATENATE(D20, " ",E20)</f>
        <v>Bralyn Mcdonald</v>
      </c>
      <c r="G20" t="s">
        <v>57</v>
      </c>
      <c r="H20" t="str">
        <f>CONCATENATE(G20,1)</f>
        <v>MS-00031913101</v>
      </c>
      <c r="I20" s="1">
        <v>45505</v>
      </c>
      <c r="J20" s="1">
        <v>45653</v>
      </c>
      <c r="K20" t="s">
        <v>15</v>
      </c>
      <c r="L20" t="s">
        <v>94</v>
      </c>
      <c r="M20">
        <v>2.5</v>
      </c>
    </row>
    <row r="21" spans="1:13" x14ac:dyDescent="0.2">
      <c r="A21" t="s">
        <v>96</v>
      </c>
      <c r="C21">
        <v>20411454</v>
      </c>
      <c r="D21" t="s">
        <v>58</v>
      </c>
      <c r="E21" t="s">
        <v>52</v>
      </c>
      <c r="F21" t="str">
        <f>CONCATENATE(D21, " ",E21)</f>
        <v>Christopher Mcdonald</v>
      </c>
      <c r="G21" t="s">
        <v>59</v>
      </c>
      <c r="H21" t="str">
        <f>CONCATENATE(G21,1)</f>
        <v>MS-00032864201</v>
      </c>
      <c r="I21" s="1">
        <v>45505</v>
      </c>
      <c r="J21" s="1">
        <v>45653</v>
      </c>
      <c r="K21" t="s">
        <v>15</v>
      </c>
      <c r="L21" t="s">
        <v>94</v>
      </c>
      <c r="M21">
        <v>2.5</v>
      </c>
    </row>
    <row r="22" spans="1:13" x14ac:dyDescent="0.2">
      <c r="A22" t="s">
        <v>96</v>
      </c>
      <c r="B22" t="s">
        <v>39</v>
      </c>
      <c r="C22">
        <v>20411454</v>
      </c>
      <c r="D22" t="s">
        <v>60</v>
      </c>
      <c r="E22" t="s">
        <v>61</v>
      </c>
      <c r="F22" t="str">
        <f>CONCATENATE(D22, " ",E22)</f>
        <v>Bruce Kelley</v>
      </c>
      <c r="G22" t="s">
        <v>62</v>
      </c>
      <c r="H22" t="str">
        <f>CONCATENATE(G22,1)</f>
        <v>OH-00000656931</v>
      </c>
      <c r="I22" s="1">
        <v>45292</v>
      </c>
      <c r="J22" s="1">
        <v>45653</v>
      </c>
      <c r="K22" t="s">
        <v>15</v>
      </c>
      <c r="L22" t="s">
        <v>94</v>
      </c>
      <c r="M22">
        <v>2.5</v>
      </c>
    </row>
    <row r="23" spans="1:13" x14ac:dyDescent="0.2">
      <c r="A23" t="s">
        <v>96</v>
      </c>
      <c r="B23" t="s">
        <v>39</v>
      </c>
      <c r="C23">
        <v>20411454</v>
      </c>
      <c r="D23" t="s">
        <v>64</v>
      </c>
      <c r="E23" t="s">
        <v>65</v>
      </c>
      <c r="F23" t="str">
        <f>CONCATENATE(D23, " ",E23)</f>
        <v>Ronald Gengler</v>
      </c>
      <c r="G23" t="s">
        <v>66</v>
      </c>
      <c r="H23" t="str">
        <f>CONCATENATE(G23,1)</f>
        <v>OH-00028948561</v>
      </c>
      <c r="I23" s="1">
        <v>45292</v>
      </c>
      <c r="J23" s="1">
        <v>45653</v>
      </c>
      <c r="K23" t="s">
        <v>15</v>
      </c>
      <c r="L23" t="s">
        <v>94</v>
      </c>
      <c r="M23">
        <v>2.5</v>
      </c>
    </row>
    <row r="24" spans="1:13" x14ac:dyDescent="0.2">
      <c r="A24" t="s">
        <v>96</v>
      </c>
      <c r="C24">
        <v>20411454</v>
      </c>
      <c r="D24" t="s">
        <v>67</v>
      </c>
      <c r="E24" t="s">
        <v>68</v>
      </c>
      <c r="F24" t="str">
        <f>CONCATENATE(D24, " ",E24)</f>
        <v>Ryan Moore</v>
      </c>
      <c r="G24" t="s">
        <v>69</v>
      </c>
      <c r="H24" t="str">
        <f>CONCATENATE(G24,1)</f>
        <v>OH-00034124581</v>
      </c>
      <c r="I24" s="1">
        <v>45292</v>
      </c>
      <c r="J24" s="1">
        <v>45653</v>
      </c>
      <c r="K24" t="s">
        <v>15</v>
      </c>
      <c r="L24" t="s">
        <v>94</v>
      </c>
      <c r="M24">
        <v>2.5</v>
      </c>
    </row>
    <row r="25" spans="1:13" x14ac:dyDescent="0.2">
      <c r="A25" t="s">
        <v>96</v>
      </c>
      <c r="B25" t="s">
        <v>39</v>
      </c>
      <c r="C25">
        <v>20411454</v>
      </c>
      <c r="D25" t="s">
        <v>70</v>
      </c>
      <c r="E25" t="s">
        <v>65</v>
      </c>
      <c r="F25" t="str">
        <f>CONCATENATE(D25, " ",E25)</f>
        <v>Amber Gengler</v>
      </c>
      <c r="G25" t="s">
        <v>71</v>
      </c>
      <c r="H25" t="str">
        <f>CONCATENATE(G25,1)</f>
        <v>OH-00038143681</v>
      </c>
      <c r="I25" s="1">
        <v>45292</v>
      </c>
      <c r="J25" s="1">
        <v>45653</v>
      </c>
      <c r="K25" t="s">
        <v>15</v>
      </c>
      <c r="L25" t="s">
        <v>94</v>
      </c>
      <c r="M25">
        <v>2.5</v>
      </c>
    </row>
    <row r="26" spans="1:13" x14ac:dyDescent="0.2">
      <c r="A26" t="s">
        <v>96</v>
      </c>
      <c r="C26">
        <v>20411454</v>
      </c>
      <c r="D26" t="s">
        <v>72</v>
      </c>
      <c r="E26" t="s">
        <v>73</v>
      </c>
      <c r="F26" t="str">
        <f>CONCATENATE(D26, " ",E26)</f>
        <v>Dennis Pitts</v>
      </c>
      <c r="G26" t="s">
        <v>74</v>
      </c>
      <c r="H26" t="str">
        <f>CONCATENATE(G26,1)</f>
        <v>OH-00039752201</v>
      </c>
      <c r="I26" s="1">
        <v>45597</v>
      </c>
      <c r="J26" s="1">
        <v>45653</v>
      </c>
      <c r="K26" t="s">
        <v>15</v>
      </c>
      <c r="L26" t="s">
        <v>94</v>
      </c>
      <c r="M26">
        <v>2.5</v>
      </c>
    </row>
    <row r="27" spans="1:13" x14ac:dyDescent="0.2">
      <c r="A27" t="s">
        <v>96</v>
      </c>
      <c r="B27" t="s">
        <v>39</v>
      </c>
      <c r="C27">
        <v>20411454</v>
      </c>
      <c r="D27" t="s">
        <v>75</v>
      </c>
      <c r="E27" t="s">
        <v>76</v>
      </c>
      <c r="F27" t="str">
        <f>CONCATENATE(D27, " ",E27)</f>
        <v>James Smith</v>
      </c>
      <c r="G27" t="s">
        <v>77</v>
      </c>
      <c r="H27" t="str">
        <f>CONCATENATE(G27,1)</f>
        <v>TX-00120332591</v>
      </c>
      <c r="I27" s="1">
        <v>44835</v>
      </c>
      <c r="J27" s="1">
        <v>45653</v>
      </c>
      <c r="K27" t="s">
        <v>15</v>
      </c>
      <c r="L27" t="s">
        <v>94</v>
      </c>
      <c r="M27">
        <v>2.5</v>
      </c>
    </row>
    <row r="28" spans="1:13" x14ac:dyDescent="0.2">
      <c r="A28" t="s">
        <v>96</v>
      </c>
      <c r="B28" t="s">
        <v>18</v>
      </c>
      <c r="C28">
        <v>20411454</v>
      </c>
      <c r="D28" t="s">
        <v>79</v>
      </c>
      <c r="E28" t="s">
        <v>80</v>
      </c>
      <c r="F28" t="str">
        <f>CONCATENATE(D28, " ",E28)</f>
        <v>Nayan Patel</v>
      </c>
      <c r="G28" t="s">
        <v>81</v>
      </c>
      <c r="H28" t="str">
        <f>CONCATENATE(G28,1)</f>
        <v>TX-00130475121</v>
      </c>
      <c r="I28" s="1">
        <v>44927</v>
      </c>
      <c r="J28" s="1">
        <v>45653</v>
      </c>
      <c r="K28" t="s">
        <v>15</v>
      </c>
      <c r="L28" t="s">
        <v>94</v>
      </c>
      <c r="M28">
        <v>2.5</v>
      </c>
    </row>
    <row r="29" spans="1:13" x14ac:dyDescent="0.2">
      <c r="A29" t="s">
        <v>96</v>
      </c>
      <c r="B29" t="s">
        <v>18</v>
      </c>
      <c r="C29">
        <v>20411454</v>
      </c>
      <c r="D29" t="s">
        <v>82</v>
      </c>
      <c r="E29" t="s">
        <v>83</v>
      </c>
      <c r="F29" t="str">
        <f>CONCATENATE(D29, " ",E29)</f>
        <v>Vanessa Delappe</v>
      </c>
      <c r="G29" t="s">
        <v>84</v>
      </c>
      <c r="H29" t="str">
        <f>CONCATENATE(G29,1)</f>
        <v>TX-00135149021</v>
      </c>
      <c r="I29" s="1">
        <v>44927</v>
      </c>
      <c r="J29" s="1">
        <v>45653</v>
      </c>
      <c r="K29" t="s">
        <v>15</v>
      </c>
      <c r="L29" t="s">
        <v>94</v>
      </c>
      <c r="M29">
        <v>2.5</v>
      </c>
    </row>
    <row r="30" spans="1:13" x14ac:dyDescent="0.2">
      <c r="A30" t="s">
        <v>96</v>
      </c>
      <c r="B30" t="s">
        <v>39</v>
      </c>
      <c r="C30">
        <v>20411454</v>
      </c>
      <c r="D30" t="s">
        <v>85</v>
      </c>
      <c r="E30" t="s">
        <v>86</v>
      </c>
      <c r="F30" t="str">
        <f>CONCATENATE(D30, " ",E30)</f>
        <v>Boden Woodard</v>
      </c>
      <c r="G30" t="s">
        <v>87</v>
      </c>
      <c r="H30" t="str">
        <f>CONCATENATE(G30,1)</f>
        <v>UT-00024579401</v>
      </c>
      <c r="I30" s="1">
        <v>45292</v>
      </c>
      <c r="J30" s="1">
        <v>45653</v>
      </c>
      <c r="K30" t="s">
        <v>15</v>
      </c>
      <c r="L30" t="s">
        <v>94</v>
      </c>
      <c r="M30">
        <v>2.5</v>
      </c>
    </row>
    <row r="31" spans="1:13" x14ac:dyDescent="0.2">
      <c r="A31" t="s">
        <v>96</v>
      </c>
      <c r="B31" t="s">
        <v>39</v>
      </c>
      <c r="C31">
        <v>20411454</v>
      </c>
      <c r="D31" t="s">
        <v>89</v>
      </c>
      <c r="E31" t="s">
        <v>86</v>
      </c>
      <c r="F31" t="str">
        <f>CONCATENATE(D31, " ",E31)</f>
        <v>Douglas Woodard</v>
      </c>
      <c r="G31" t="s">
        <v>90</v>
      </c>
      <c r="H31" t="str">
        <f>CONCATENATE(G31,1)</f>
        <v>UT-00029436311</v>
      </c>
      <c r="I31" s="1">
        <v>45292</v>
      </c>
      <c r="J31" s="1">
        <v>45653</v>
      </c>
      <c r="K31" t="s">
        <v>15</v>
      </c>
      <c r="L31" t="s">
        <v>94</v>
      </c>
      <c r="M31">
        <v>2.5</v>
      </c>
    </row>
    <row r="32" spans="1:13" x14ac:dyDescent="0.2">
      <c r="A32" t="s">
        <v>96</v>
      </c>
      <c r="B32" t="s">
        <v>39</v>
      </c>
      <c r="C32">
        <v>20411454</v>
      </c>
      <c r="D32" t="s">
        <v>91</v>
      </c>
      <c r="E32" t="s">
        <v>92</v>
      </c>
      <c r="F32" t="str">
        <f>CONCATENATE(D32, " ",E32)</f>
        <v>Lisa Biagi Woodard</v>
      </c>
      <c r="G32" t="s">
        <v>93</v>
      </c>
      <c r="H32" t="str">
        <f>CONCATENATE(G32,1)</f>
        <v>UT-00030536151</v>
      </c>
      <c r="I32" s="1">
        <v>45292</v>
      </c>
      <c r="J32" s="1">
        <v>45653</v>
      </c>
      <c r="K32" t="s">
        <v>15</v>
      </c>
      <c r="L32" t="s">
        <v>94</v>
      </c>
      <c r="M32">
        <v>2.5</v>
      </c>
    </row>
    <row r="33" spans="1:13" x14ac:dyDescent="0.2">
      <c r="A33" t="s">
        <v>38</v>
      </c>
      <c r="B33" t="s">
        <v>39</v>
      </c>
      <c r="C33">
        <v>8977234</v>
      </c>
      <c r="D33" t="s">
        <v>40</v>
      </c>
      <c r="E33" t="s">
        <v>41</v>
      </c>
      <c r="F33" t="str">
        <f>CONCATENATE(D33, " ",E33)</f>
        <v>Gale Wilkowski</v>
      </c>
      <c r="G33" t="s">
        <v>42</v>
      </c>
      <c r="H33" t="s">
        <v>42</v>
      </c>
      <c r="I33" s="1">
        <v>45474</v>
      </c>
      <c r="J33" s="1">
        <v>45653</v>
      </c>
      <c r="K33" t="s">
        <v>15</v>
      </c>
      <c r="L33" t="s">
        <v>35</v>
      </c>
      <c r="M33">
        <v>24</v>
      </c>
    </row>
    <row r="34" spans="1:13" x14ac:dyDescent="0.2">
      <c r="A34" t="s">
        <v>38</v>
      </c>
      <c r="B34" t="s">
        <v>39</v>
      </c>
      <c r="C34">
        <v>8977234</v>
      </c>
      <c r="D34" t="s">
        <v>60</v>
      </c>
      <c r="E34" t="s">
        <v>61</v>
      </c>
      <c r="F34" t="str">
        <f>CONCATENATE(D34, " ",E34)</f>
        <v>Bruce Kelley</v>
      </c>
      <c r="G34" t="s">
        <v>62</v>
      </c>
      <c r="H34" t="s">
        <v>62</v>
      </c>
      <c r="I34" s="1">
        <v>45292</v>
      </c>
      <c r="J34" s="1">
        <v>45653</v>
      </c>
      <c r="K34" t="s">
        <v>15</v>
      </c>
      <c r="L34" t="s">
        <v>63</v>
      </c>
      <c r="M34">
        <v>16</v>
      </c>
    </row>
    <row r="35" spans="1:13" x14ac:dyDescent="0.2">
      <c r="A35" t="s">
        <v>38</v>
      </c>
      <c r="B35" t="s">
        <v>39</v>
      </c>
      <c r="C35">
        <v>8977234</v>
      </c>
      <c r="D35" t="s">
        <v>64</v>
      </c>
      <c r="E35" t="s">
        <v>65</v>
      </c>
      <c r="F35" t="str">
        <f>CONCATENATE(D35, " ",E35)</f>
        <v>Ronald Gengler</v>
      </c>
      <c r="G35" t="s">
        <v>66</v>
      </c>
      <c r="H35" t="s">
        <v>66</v>
      </c>
      <c r="I35" s="1">
        <v>45292</v>
      </c>
      <c r="J35" s="1">
        <v>45653</v>
      </c>
      <c r="K35" t="s">
        <v>15</v>
      </c>
      <c r="L35" t="s">
        <v>63</v>
      </c>
      <c r="M35">
        <v>16</v>
      </c>
    </row>
    <row r="36" spans="1:13" x14ac:dyDescent="0.2">
      <c r="A36" t="s">
        <v>38</v>
      </c>
      <c r="B36" t="s">
        <v>39</v>
      </c>
      <c r="C36">
        <v>8977234</v>
      </c>
      <c r="D36" t="s">
        <v>70</v>
      </c>
      <c r="E36" t="s">
        <v>65</v>
      </c>
      <c r="F36" t="str">
        <f>CONCATENATE(D36, " ",E36)</f>
        <v>Amber Gengler</v>
      </c>
      <c r="G36" t="s">
        <v>71</v>
      </c>
      <c r="H36" t="s">
        <v>71</v>
      </c>
      <c r="I36" s="1">
        <v>45292</v>
      </c>
      <c r="J36" s="1">
        <v>45653</v>
      </c>
      <c r="K36" t="s">
        <v>15</v>
      </c>
      <c r="L36" t="s">
        <v>63</v>
      </c>
      <c r="M36">
        <v>16</v>
      </c>
    </row>
    <row r="37" spans="1:13" x14ac:dyDescent="0.2">
      <c r="A37" t="s">
        <v>38</v>
      </c>
      <c r="B37" t="s">
        <v>39</v>
      </c>
      <c r="C37">
        <v>8977234</v>
      </c>
      <c r="D37" t="s">
        <v>75</v>
      </c>
      <c r="E37" t="s">
        <v>76</v>
      </c>
      <c r="F37" t="str">
        <f>CONCATENATE(D37, " ",E37)</f>
        <v>James Smith</v>
      </c>
      <c r="G37" t="s">
        <v>77</v>
      </c>
      <c r="H37" t="s">
        <v>77</v>
      </c>
      <c r="I37" s="1">
        <v>44835</v>
      </c>
      <c r="J37" s="1">
        <v>45653</v>
      </c>
      <c r="K37" t="s">
        <v>15</v>
      </c>
      <c r="L37" t="s">
        <v>78</v>
      </c>
      <c r="M37">
        <v>22</v>
      </c>
    </row>
    <row r="38" spans="1:13" x14ac:dyDescent="0.2">
      <c r="A38" t="s">
        <v>38</v>
      </c>
      <c r="B38" t="s">
        <v>39</v>
      </c>
      <c r="C38">
        <v>8977234</v>
      </c>
      <c r="D38" t="s">
        <v>85</v>
      </c>
      <c r="E38" t="s">
        <v>86</v>
      </c>
      <c r="F38" t="str">
        <f>CONCATENATE(D38, " ",E38)</f>
        <v>Boden Woodard</v>
      </c>
      <c r="G38" t="s">
        <v>87</v>
      </c>
      <c r="H38" t="s">
        <v>87</v>
      </c>
      <c r="I38" s="1">
        <v>45292</v>
      </c>
      <c r="J38" s="1">
        <v>45653</v>
      </c>
      <c r="K38" t="s">
        <v>15</v>
      </c>
      <c r="L38" t="s">
        <v>88</v>
      </c>
      <c r="M38">
        <v>19</v>
      </c>
    </row>
    <row r="39" spans="1:13" x14ac:dyDescent="0.2">
      <c r="A39" t="s">
        <v>38</v>
      </c>
      <c r="B39" t="s">
        <v>39</v>
      </c>
      <c r="C39">
        <v>8977234</v>
      </c>
      <c r="D39" t="s">
        <v>89</v>
      </c>
      <c r="E39" t="s">
        <v>86</v>
      </c>
      <c r="F39" t="str">
        <f>CONCATENATE(D39, " ",E39)</f>
        <v>Douglas Woodard</v>
      </c>
      <c r="G39" t="s">
        <v>90</v>
      </c>
      <c r="H39" t="s">
        <v>90</v>
      </c>
      <c r="I39" s="1">
        <v>45292</v>
      </c>
      <c r="J39" s="1">
        <v>45653</v>
      </c>
      <c r="K39" t="s">
        <v>15</v>
      </c>
      <c r="L39" t="s">
        <v>88</v>
      </c>
      <c r="M39">
        <v>19</v>
      </c>
    </row>
    <row r="40" spans="1:13" x14ac:dyDescent="0.2">
      <c r="A40" t="s">
        <v>38</v>
      </c>
      <c r="B40" t="s">
        <v>39</v>
      </c>
      <c r="C40">
        <v>8977234</v>
      </c>
      <c r="D40" t="s">
        <v>91</v>
      </c>
      <c r="E40" t="s">
        <v>92</v>
      </c>
      <c r="F40" t="str">
        <f>CONCATENATE(D40, " ",E40)</f>
        <v>Lisa Biagi Woodard</v>
      </c>
      <c r="G40" t="s">
        <v>93</v>
      </c>
      <c r="H40" t="s">
        <v>93</v>
      </c>
      <c r="I40" s="1">
        <v>45292</v>
      </c>
      <c r="J40" s="1">
        <v>45653</v>
      </c>
      <c r="K40" t="s">
        <v>15</v>
      </c>
      <c r="L40" t="s">
        <v>88</v>
      </c>
      <c r="M40">
        <v>19</v>
      </c>
    </row>
    <row r="41" spans="1:13" x14ac:dyDescent="0.2">
      <c r="A41" t="s">
        <v>11</v>
      </c>
      <c r="C41">
        <v>19396223</v>
      </c>
      <c r="D41" t="s">
        <v>12</v>
      </c>
      <c r="E41" t="s">
        <v>13</v>
      </c>
      <c r="F41" t="str">
        <f>CONCATENATE(D41, " ",E41)</f>
        <v>Rebecca Bocock</v>
      </c>
      <c r="G41" t="s">
        <v>14</v>
      </c>
      <c r="H41" t="s">
        <v>14</v>
      </c>
      <c r="I41" s="1">
        <v>45566</v>
      </c>
      <c r="J41" s="1">
        <v>45653</v>
      </c>
      <c r="K41" t="s">
        <v>15</v>
      </c>
      <c r="L41" t="s">
        <v>16</v>
      </c>
      <c r="M41">
        <v>20</v>
      </c>
    </row>
    <row r="42" spans="1:13" x14ac:dyDescent="0.2">
      <c r="A42" t="s">
        <v>11</v>
      </c>
      <c r="C42">
        <v>19396223</v>
      </c>
      <c r="D42" t="s">
        <v>23</v>
      </c>
      <c r="E42" t="s">
        <v>24</v>
      </c>
      <c r="F42" t="str">
        <f>CONCATENATE(D42, " ",E42)</f>
        <v>Miguel Peralta</v>
      </c>
      <c r="G42" t="s">
        <v>25</v>
      </c>
      <c r="H42" t="s">
        <v>25</v>
      </c>
      <c r="I42" s="1">
        <v>45566</v>
      </c>
      <c r="J42" s="1">
        <v>45653</v>
      </c>
      <c r="K42" t="s">
        <v>15</v>
      </c>
      <c r="L42" t="s">
        <v>16</v>
      </c>
      <c r="M42">
        <v>20</v>
      </c>
    </row>
    <row r="43" spans="1:13" x14ac:dyDescent="0.2">
      <c r="A43" t="s">
        <v>46</v>
      </c>
      <c r="C43">
        <v>371819</v>
      </c>
      <c r="D43" t="s">
        <v>47</v>
      </c>
      <c r="E43" t="s">
        <v>48</v>
      </c>
      <c r="F43" t="str">
        <f>CONCATENATE(D43, " ",E43)</f>
        <v>Carrington Grissom</v>
      </c>
      <c r="G43" t="s">
        <v>49</v>
      </c>
      <c r="H43" t="s">
        <v>49</v>
      </c>
      <c r="I43" s="1">
        <v>45536</v>
      </c>
      <c r="J43" s="1">
        <v>45653</v>
      </c>
      <c r="K43" t="s">
        <v>15</v>
      </c>
      <c r="L43" t="s">
        <v>50</v>
      </c>
      <c r="M43">
        <v>18</v>
      </c>
    </row>
    <row r="44" spans="1:13" x14ac:dyDescent="0.2">
      <c r="A44" t="s">
        <v>46</v>
      </c>
      <c r="C44">
        <v>371819</v>
      </c>
      <c r="D44" t="s">
        <v>51</v>
      </c>
      <c r="E44" t="s">
        <v>52</v>
      </c>
      <c r="F44" t="str">
        <f>CONCATENATE(D44, " ",E44)</f>
        <v>Harmony Mcdonald</v>
      </c>
      <c r="G44" t="s">
        <v>53</v>
      </c>
      <c r="H44" t="s">
        <v>53</v>
      </c>
      <c r="I44" s="1">
        <v>45505</v>
      </c>
      <c r="J44" s="1">
        <v>45653</v>
      </c>
      <c r="K44" t="s">
        <v>15</v>
      </c>
      <c r="L44" t="s">
        <v>50</v>
      </c>
      <c r="M44">
        <v>18</v>
      </c>
    </row>
    <row r="45" spans="1:13" x14ac:dyDescent="0.2">
      <c r="A45" t="s">
        <v>46</v>
      </c>
      <c r="C45">
        <v>371819</v>
      </c>
      <c r="D45" t="s">
        <v>54</v>
      </c>
      <c r="E45" t="s">
        <v>48</v>
      </c>
      <c r="F45" t="str">
        <f>CONCATENATE(D45, " ",E45)</f>
        <v>Anthony Grissom</v>
      </c>
      <c r="G45" t="s">
        <v>55</v>
      </c>
      <c r="H45" t="s">
        <v>55</v>
      </c>
      <c r="I45" s="1">
        <v>45536</v>
      </c>
      <c r="J45" s="1">
        <v>45653</v>
      </c>
      <c r="K45" t="s">
        <v>15</v>
      </c>
      <c r="L45" t="s">
        <v>50</v>
      </c>
      <c r="M45">
        <v>18</v>
      </c>
    </row>
    <row r="46" spans="1:13" x14ac:dyDescent="0.2">
      <c r="A46" t="s">
        <v>46</v>
      </c>
      <c r="C46">
        <v>371819</v>
      </c>
      <c r="D46" t="s">
        <v>56</v>
      </c>
      <c r="E46" t="s">
        <v>52</v>
      </c>
      <c r="F46" t="str">
        <f>CONCATENATE(D46, " ",E46)</f>
        <v>Bralyn Mcdonald</v>
      </c>
      <c r="G46" t="s">
        <v>57</v>
      </c>
      <c r="H46" t="s">
        <v>57</v>
      </c>
      <c r="I46" s="1">
        <v>45505</v>
      </c>
      <c r="J46" s="1">
        <v>45653</v>
      </c>
      <c r="K46" t="s">
        <v>15</v>
      </c>
      <c r="L46" t="s">
        <v>50</v>
      </c>
      <c r="M46">
        <v>18</v>
      </c>
    </row>
    <row r="47" spans="1:13" x14ac:dyDescent="0.2">
      <c r="A47" t="s">
        <v>46</v>
      </c>
      <c r="C47">
        <v>371819</v>
      </c>
      <c r="D47" t="s">
        <v>58</v>
      </c>
      <c r="E47" t="s">
        <v>52</v>
      </c>
      <c r="F47" t="str">
        <f>CONCATENATE(D47, " ",E47)</f>
        <v>Christopher Mcdonald</v>
      </c>
      <c r="G47" t="s">
        <v>59</v>
      </c>
      <c r="H47" t="s">
        <v>59</v>
      </c>
      <c r="I47" s="1">
        <v>45505</v>
      </c>
      <c r="J47" s="1">
        <v>45653</v>
      </c>
      <c r="K47" t="s">
        <v>15</v>
      </c>
      <c r="L47" t="s">
        <v>50</v>
      </c>
      <c r="M47">
        <v>18</v>
      </c>
    </row>
    <row r="48" spans="1:13" x14ac:dyDescent="0.2">
      <c r="A48" t="s">
        <v>46</v>
      </c>
      <c r="C48" t="s">
        <v>97</v>
      </c>
      <c r="D48" t="s">
        <v>67</v>
      </c>
      <c r="E48" t="s">
        <v>68</v>
      </c>
      <c r="F48" t="str">
        <f>CONCATENATE(D48, " ",E48)</f>
        <v>Ryan Moore</v>
      </c>
      <c r="G48" t="s">
        <v>69</v>
      </c>
      <c r="H48" t="s">
        <v>69</v>
      </c>
      <c r="I48" s="1">
        <v>45292</v>
      </c>
      <c r="J48" s="1">
        <v>45653</v>
      </c>
      <c r="K48" t="s">
        <v>15</v>
      </c>
      <c r="L48" t="s">
        <v>63</v>
      </c>
      <c r="M48">
        <v>16</v>
      </c>
    </row>
    <row r="49" spans="1:13" x14ac:dyDescent="0.2">
      <c r="A49" t="s">
        <v>46</v>
      </c>
      <c r="C49">
        <v>371819</v>
      </c>
      <c r="D49" t="s">
        <v>72</v>
      </c>
      <c r="E49" t="s">
        <v>73</v>
      </c>
      <c r="F49" t="str">
        <f>CONCATENATE(D49, " ",E49)</f>
        <v>Dennis Pitts</v>
      </c>
      <c r="G49" t="s">
        <v>74</v>
      </c>
      <c r="H49" t="s">
        <v>74</v>
      </c>
      <c r="I49" s="1">
        <v>45597</v>
      </c>
      <c r="J49" s="1">
        <v>45653</v>
      </c>
      <c r="K49" t="s">
        <v>15</v>
      </c>
      <c r="L49" t="s">
        <v>63</v>
      </c>
      <c r="M49">
        <v>16</v>
      </c>
    </row>
    <row r="50" spans="1:13" x14ac:dyDescent="0.2">
      <c r="I50" s="1"/>
      <c r="J50" s="1"/>
    </row>
  </sheetData>
  <sortState xmlns:xlrd2="http://schemas.microsoft.com/office/spreadsheetml/2017/richdata2" ref="A2:M49">
    <sortCondition ref="A2:A4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2025-01-02T15:34:03Z</dcterms:created>
  <dcterms:modified xsi:type="dcterms:W3CDTF">2025-01-06T18:07:47Z</dcterms:modified>
</cp:coreProperties>
</file>