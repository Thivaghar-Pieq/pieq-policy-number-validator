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olina/Molina 12-6-24/"/>
    </mc:Choice>
  </mc:AlternateContent>
  <xr:revisionPtr revIDLastSave="0" documentId="13_ncr:1_{E30359A2-E4C7-014A-9593-EADEA5EE4DF6}" xr6:coauthVersionLast="47" xr6:coauthVersionMax="47" xr10:uidLastSave="{00000000-0000-0000-0000-000000000000}"/>
  <bookViews>
    <workbookView xWindow="0" yWindow="500" windowWidth="19200" windowHeight="19360" xr2:uid="{5B36C072-449B-D547-9B5F-42EC87223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2" i="1"/>
  <c r="F47" i="1"/>
  <c r="F48" i="1"/>
  <c r="F22" i="1"/>
  <c r="F23" i="1"/>
  <c r="F24" i="1"/>
  <c r="F5" i="1"/>
  <c r="F25" i="1"/>
  <c r="F8" i="1"/>
  <c r="F9" i="1"/>
  <c r="F10" i="1"/>
  <c r="F26" i="1"/>
  <c r="F27" i="1"/>
  <c r="F28" i="1"/>
  <c r="F11" i="1"/>
  <c r="F12" i="1"/>
  <c r="F13" i="1"/>
  <c r="F14" i="1"/>
  <c r="F49" i="1"/>
  <c r="F2" i="1"/>
  <c r="F3" i="1"/>
  <c r="F4" i="1"/>
  <c r="F29" i="1"/>
  <c r="F30" i="1"/>
  <c r="F31" i="1"/>
  <c r="F32" i="1"/>
  <c r="F33" i="1"/>
  <c r="F34" i="1"/>
  <c r="F35" i="1"/>
  <c r="F36" i="1"/>
  <c r="F6" i="1"/>
  <c r="F7" i="1"/>
  <c r="F37" i="1"/>
  <c r="F38" i="1"/>
  <c r="F17" i="1"/>
  <c r="F15" i="1"/>
  <c r="F39" i="1"/>
  <c r="F18" i="1"/>
  <c r="F40" i="1"/>
  <c r="F41" i="1"/>
  <c r="F19" i="1"/>
  <c r="F20" i="1"/>
  <c r="F21" i="1"/>
  <c r="F42" i="1"/>
  <c r="F43" i="1"/>
  <c r="F44" i="1"/>
  <c r="F16" i="1"/>
  <c r="F45" i="1"/>
  <c r="F46" i="1"/>
</calcChain>
</file>

<file path=xl/sharedStrings.xml><?xml version="1.0" encoding="utf-8"?>
<sst xmlns="http://schemas.openxmlformats.org/spreadsheetml/2006/main" count="353" uniqueCount="96">
  <si>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</si>
  <si>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</si>
  <si>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</si>
  <si>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</si>
  <si>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</si>
  <si>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</si>
  <si>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</si>
  <si>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</si>
  <si>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</si>
  <si>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</si>
  <si>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</si>
  <si>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Saadia Abdul</t>
  </si>
  <si>
    <t>Rebecca</t>
  </si>
  <si>
    <t>Bocock</t>
  </si>
  <si>
    <t>CA-629440219</t>
  </si>
  <si>
    <t>Molina Marketplace</t>
  </si>
  <si>
    <t>Molina Marketplace 2023-2024 OEP/SEP FL, Renewal CA IL KY NM TX, ST (ProRata: 1) Premium Period: 11/1/2024</t>
  </si>
  <si>
    <t>Adam Richter</t>
  </si>
  <si>
    <t>BD0787</t>
  </si>
  <si>
    <t>Floyd</t>
  </si>
  <si>
    <t>Adams</t>
  </si>
  <si>
    <t>FL-0016455763</t>
  </si>
  <si>
    <t>Molina Marketplace 2024 Renewal FL, ST (ProRata: 1) Premium Period: 11/1/2024</t>
  </si>
  <si>
    <t>Miguel</t>
  </si>
  <si>
    <t>Peralta</t>
  </si>
  <si>
    <t>IL-0004580991</t>
  </si>
  <si>
    <t>Jacob Yale</t>
  </si>
  <si>
    <t>Kim</t>
  </si>
  <si>
    <t>Morse</t>
  </si>
  <si>
    <t>IL-0005014578</t>
  </si>
  <si>
    <t>Katelenn Caltagirone</t>
  </si>
  <si>
    <t>BC7559</t>
  </si>
  <si>
    <t>Annette</t>
  </si>
  <si>
    <t>Brooks</t>
  </si>
  <si>
    <t>MI-0002665329</t>
  </si>
  <si>
    <t>Molina Marketplace 2023-2024 Renewal MI, ST (ProRata: 1) Premium Period: 11/1/2024</t>
  </si>
  <si>
    <t>Michael</t>
  </si>
  <si>
    <t>MI-0003273045</t>
  </si>
  <si>
    <t>Ryan Caltagirone</t>
  </si>
  <si>
    <t>BA2413</t>
  </si>
  <si>
    <t>Gale</t>
  </si>
  <si>
    <t>Wilkowski</t>
  </si>
  <si>
    <t>MI-0003811777</t>
  </si>
  <si>
    <t>Kyle</t>
  </si>
  <si>
    <t>Hoffman</t>
  </si>
  <si>
    <t>MI-0003825033</t>
  </si>
  <si>
    <t>Tom Pardue</t>
  </si>
  <si>
    <t>Carrington</t>
  </si>
  <si>
    <t>Grissom</t>
  </si>
  <si>
    <t>MS-0002357786</t>
  </si>
  <si>
    <t>Molina Marketplace 2024 OEP/SEP MS KY, ST (ProRata: 1) Premium Period: 11/1/2024</t>
  </si>
  <si>
    <t>Harmony</t>
  </si>
  <si>
    <t>Mcdonald</t>
  </si>
  <si>
    <t>MS-0002565033</t>
  </si>
  <si>
    <t>Anthony</t>
  </si>
  <si>
    <t>MS-0003001451</t>
  </si>
  <si>
    <t>Bralyn</t>
  </si>
  <si>
    <t>MS-0003191310</t>
  </si>
  <si>
    <t>Christopher</t>
  </si>
  <si>
    <t>MS-0003286420</t>
  </si>
  <si>
    <t>Bruce</t>
  </si>
  <si>
    <t>Kelley</t>
  </si>
  <si>
    <t>OH-0000065693</t>
  </si>
  <si>
    <t>Molina Marketplace 2023-2024 Renewal OH WI, ST (ProRata: 1) Premium Period: 11/1/2024</t>
  </si>
  <si>
    <t>Ronald</t>
  </si>
  <si>
    <t>Gengler</t>
  </si>
  <si>
    <t>OH-0002894856</t>
  </si>
  <si>
    <t>Ryan</t>
  </si>
  <si>
    <t>Moore</t>
  </si>
  <si>
    <t>OH-0003412458</t>
  </si>
  <si>
    <t>Amber</t>
  </si>
  <si>
    <t>OH-0003814368</t>
  </si>
  <si>
    <t>Dennis</t>
  </si>
  <si>
    <t>Pitts</t>
  </si>
  <si>
    <t>OH-0003975220</t>
  </si>
  <si>
    <t>James</t>
  </si>
  <si>
    <t>Smith</t>
  </si>
  <si>
    <t>TX-0012033259</t>
  </si>
  <si>
    <t>Molina Marketplace 2024 Renewal TX, ST (ProRata: 1) Premium Period: 11/1/2024</t>
  </si>
  <si>
    <t>Nayan</t>
  </si>
  <si>
    <t>Patel</t>
  </si>
  <si>
    <t>TX-0013047512</t>
  </si>
  <si>
    <t>Vanessa</t>
  </si>
  <si>
    <t>Delappe</t>
  </si>
  <si>
    <t>TX-0013514902</t>
  </si>
  <si>
    <t>Boden</t>
  </si>
  <si>
    <t>Woodard</t>
  </si>
  <si>
    <t>UT-0002457940</t>
  </si>
  <si>
    <t>Molina Marketplace 2023-2024 OEP/SEP CA IL KY TX, Renewal SC UT, ST (ProRata: 1) Premium Period: 11/1/2024</t>
  </si>
  <si>
    <t>Douglas</t>
  </si>
  <si>
    <t>UT-0002943631</t>
  </si>
  <si>
    <t>Lisa</t>
  </si>
  <si>
    <t>Biagi Woodard</t>
  </si>
  <si>
    <t>UT-0003053615</t>
  </si>
  <si>
    <t>Molina Marketplace 2024 OEP/SEP Renewal OR (ProRata: 1) Premium Period: 11/1/2024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</si>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</sst>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6BE9-208C-3648-AC11-B6B4F54E5BC7}">
  <dimension ref="A1:M49"/>
  <sheetViews>
    <sheetView tabSelected="1" topLeftCell="I1" workbookViewId="0">
      <selection activeCell="I7" sqref="I7"/>
    </sheetView>
  </sheetViews>
  <sheetFormatPr baseColWidth="10" defaultRowHeight="16" x14ac:dyDescent="0.2"/>
  <cols>
    <col min="1" max="1" width="18.33203125" style="1" bestFit="1" customWidth="1"/>
    <col min="2" max="5" width="10.83203125" style="1"/>
    <col min="6" max="6" width="19.33203125" style="1" bestFit="1" customWidth="1"/>
    <col min="7" max="7" width="14.5" style="1" bestFit="1" customWidth="1"/>
    <col min="8" max="8" width="14.5" style="1" customWidth="1"/>
    <col min="9" max="10" width="10.83203125" style="1"/>
    <col min="11" max="11" width="17.33203125" style="1" bestFit="1" customWidth="1"/>
    <col min="12" max="12" width="92.83203125" style="1" bestFit="1" customWidth="1"/>
    <col min="13" max="16384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s="1" t="s">
        <v>38</v>
      </c>
      <c r="B2" s="1" t="s">
        <v>39</v>
      </c>
      <c r="C2" s="1">
        <v>8977234</v>
      </c>
      <c r="D2" s="1" t="s">
        <v>85</v>
      </c>
      <c r="E2" s="1" t="s">
        <v>86</v>
      </c>
      <c r="F2" s="1" t="str">
        <f>CONCATENATE(D2, " ", E2)</f>
        <v>Boden Woodard</v>
      </c>
      <c r="G2" s="1" t="s">
        <v>87</v>
      </c>
      <c r="H2" s="1" t="s">
        <v>87</v>
      </c>
      <c r="I2" s="2">
        <v>45292</v>
      </c>
      <c r="J2" s="2">
        <v>45632</v>
      </c>
      <c r="K2" s="1" t="s">
        <v>15</v>
      </c>
      <c r="L2" s="1" t="s">
        <v>88</v>
      </c>
      <c r="M2" s="1">
        <v>19</v>
      </c>
    </row>
    <row r="3" spans="1:13" x14ac:dyDescent="0.2">
      <c r="A3" s="1" t="s">
        <v>38</v>
      </c>
      <c r="B3" s="1" t="s">
        <v>39</v>
      </c>
      <c r="C3" s="1">
        <v>8977234</v>
      </c>
      <c r="D3" s="1" t="s">
        <v>89</v>
      </c>
      <c r="E3" s="1" t="s">
        <v>86</v>
      </c>
      <c r="F3" s="1" t="str">
        <f>CONCATENATE(D3, " ", E3)</f>
        <v>Douglas Woodard</v>
      </c>
      <c r="G3" s="1" t="s">
        <v>90</v>
      </c>
      <c r="H3" s="1" t="s">
        <v>90</v>
      </c>
      <c r="I3" s="2">
        <v>45292</v>
      </c>
      <c r="J3" s="2">
        <v>45632</v>
      </c>
      <c r="K3" s="1" t="s">
        <v>15</v>
      </c>
      <c r="L3" s="1" t="s">
        <v>88</v>
      </c>
      <c r="M3" s="1">
        <v>19</v>
      </c>
    </row>
    <row r="4" spans="1:13" x14ac:dyDescent="0.2">
      <c r="A4" s="1" t="s">
        <v>38</v>
      </c>
      <c r="B4" s="1" t="s">
        <v>39</v>
      </c>
      <c r="C4" s="1">
        <v>8977234</v>
      </c>
      <c r="D4" s="1" t="s">
        <v>91</v>
      </c>
      <c r="E4" s="1" t="s">
        <v>92</v>
      </c>
      <c r="F4" s="1" t="str">
        <f>CONCATENATE(D4, " ", E4)</f>
        <v>Lisa Biagi Woodard</v>
      </c>
      <c r="G4" s="1" t="s">
        <v>93</v>
      </c>
      <c r="H4" s="1" t="s">
        <v>93</v>
      </c>
      <c r="I4" s="2">
        <v>45292</v>
      </c>
      <c r="J4" s="2">
        <v>45632</v>
      </c>
      <c r="K4" s="1" t="s">
        <v>15</v>
      </c>
      <c r="L4" s="1" t="s">
        <v>88</v>
      </c>
      <c r="M4" s="1">
        <v>19</v>
      </c>
    </row>
    <row r="5" spans="1:13" x14ac:dyDescent="0.2">
      <c r="A5" s="1" t="s">
        <v>26</v>
      </c>
      <c r="C5" s="1">
        <v>18754354</v>
      </c>
      <c r="D5" s="1" t="s">
        <v>27</v>
      </c>
      <c r="E5" s="1" t="s">
        <v>28</v>
      </c>
      <c r="F5" s="1" t="str">
        <f>CONCATENATE(D5, " ", E5)</f>
        <v>Kim Morse</v>
      </c>
      <c r="G5" s="1" t="s">
        <v>29</v>
      </c>
      <c r="H5" s="1" t="s">
        <v>29</v>
      </c>
      <c r="I5" s="2">
        <v>45597</v>
      </c>
      <c r="J5" s="2">
        <v>45632</v>
      </c>
      <c r="K5" s="1" t="s">
        <v>15</v>
      </c>
      <c r="L5" s="1" t="s">
        <v>16</v>
      </c>
      <c r="M5" s="1">
        <v>20</v>
      </c>
    </row>
    <row r="6" spans="1:13" x14ac:dyDescent="0.2">
      <c r="A6" s="1" t="s">
        <v>11</v>
      </c>
      <c r="C6" s="1">
        <v>19396223</v>
      </c>
      <c r="D6" s="1" t="s">
        <v>12</v>
      </c>
      <c r="E6" s="1" t="s">
        <v>13</v>
      </c>
      <c r="F6" s="1" t="str">
        <f>CONCATENATE(D6, " ", E6)</f>
        <v>Rebecca Bocock</v>
      </c>
      <c r="G6" s="1" t="s">
        <v>14</v>
      </c>
      <c r="H6" s="1" t="s">
        <v>14</v>
      </c>
      <c r="I6" s="2">
        <v>45566</v>
      </c>
      <c r="J6" s="2">
        <v>45632</v>
      </c>
      <c r="K6" s="1" t="s">
        <v>15</v>
      </c>
      <c r="L6" s="1" t="s">
        <v>16</v>
      </c>
      <c r="M6" s="1">
        <v>20</v>
      </c>
    </row>
    <row r="7" spans="1:13" x14ac:dyDescent="0.2">
      <c r="A7" s="1" t="s">
        <v>11</v>
      </c>
      <c r="C7" s="1">
        <v>19396223</v>
      </c>
      <c r="D7" s="1" t="s">
        <v>23</v>
      </c>
      <c r="E7" s="1" t="s">
        <v>24</v>
      </c>
      <c r="F7" s="1" t="str">
        <f>CONCATENATE(D7, " ", E7)</f>
        <v>Miguel Peralta</v>
      </c>
      <c r="G7" s="1" t="s">
        <v>25</v>
      </c>
      <c r="H7" s="1" t="s">
        <v>25</v>
      </c>
      <c r="I7" s="2">
        <v>45566</v>
      </c>
      <c r="J7" s="2">
        <v>45632</v>
      </c>
      <c r="K7" s="1" t="s">
        <v>15</v>
      </c>
      <c r="L7" s="1" t="s">
        <v>16</v>
      </c>
      <c r="M7" s="1">
        <v>20</v>
      </c>
    </row>
    <row r="8" spans="1:13" x14ac:dyDescent="0.2">
      <c r="A8" s="1" t="s">
        <v>30</v>
      </c>
      <c r="B8" s="1" t="s">
        <v>31</v>
      </c>
      <c r="C8" s="1">
        <v>20436896</v>
      </c>
      <c r="D8" s="1" t="s">
        <v>32</v>
      </c>
      <c r="E8" s="1" t="s">
        <v>33</v>
      </c>
      <c r="F8" s="1" t="str">
        <f>CONCATENATE(D8, " ", E8)</f>
        <v>Annette Brooks</v>
      </c>
      <c r="G8" s="1" t="s">
        <v>34</v>
      </c>
      <c r="H8" s="1" t="s">
        <v>34</v>
      </c>
      <c r="I8" s="2">
        <v>44927</v>
      </c>
      <c r="J8" s="2">
        <v>45632</v>
      </c>
      <c r="K8" s="1" t="s">
        <v>15</v>
      </c>
      <c r="L8" s="1" t="s">
        <v>35</v>
      </c>
      <c r="M8" s="1">
        <v>24</v>
      </c>
    </row>
    <row r="9" spans="1:13" x14ac:dyDescent="0.2">
      <c r="A9" s="1" t="s">
        <v>30</v>
      </c>
      <c r="B9" s="1" t="s">
        <v>31</v>
      </c>
      <c r="C9" s="1">
        <v>20436896</v>
      </c>
      <c r="D9" s="1" t="s">
        <v>36</v>
      </c>
      <c r="E9" s="1" t="s">
        <v>33</v>
      </c>
      <c r="F9" s="1" t="str">
        <f>CONCATENATE(D9, " ", E9)</f>
        <v>Michael Brooks</v>
      </c>
      <c r="G9" s="1" t="s">
        <v>37</v>
      </c>
      <c r="H9" s="1" t="s">
        <v>37</v>
      </c>
      <c r="I9" s="2">
        <v>44927</v>
      </c>
      <c r="J9" s="2">
        <v>45632</v>
      </c>
      <c r="K9" s="1" t="s">
        <v>15</v>
      </c>
      <c r="L9" s="1" t="s">
        <v>35</v>
      </c>
      <c r="M9" s="1">
        <v>24</v>
      </c>
    </row>
    <row r="10" spans="1:13" x14ac:dyDescent="0.2">
      <c r="A10" s="1" t="s">
        <v>30</v>
      </c>
      <c r="B10" s="1" t="s">
        <v>31</v>
      </c>
      <c r="C10" s="1">
        <v>20436896</v>
      </c>
      <c r="D10" s="1" t="s">
        <v>43</v>
      </c>
      <c r="E10" s="1" t="s">
        <v>44</v>
      </c>
      <c r="F10" s="1" t="str">
        <f>CONCATENATE(D10, " ", E10)</f>
        <v>Kyle Hoffman</v>
      </c>
      <c r="G10" s="1" t="s">
        <v>45</v>
      </c>
      <c r="H10" s="1" t="s">
        <v>45</v>
      </c>
      <c r="I10" s="2">
        <v>44197</v>
      </c>
      <c r="J10" s="2">
        <v>45632</v>
      </c>
      <c r="K10" s="1" t="s">
        <v>15</v>
      </c>
      <c r="L10" s="1" t="s">
        <v>35</v>
      </c>
      <c r="M10" s="1">
        <v>24</v>
      </c>
    </row>
    <row r="11" spans="1:13" x14ac:dyDescent="0.2">
      <c r="A11" s="1" t="s">
        <v>38</v>
      </c>
      <c r="B11" s="1" t="s">
        <v>39</v>
      </c>
      <c r="C11" s="1">
        <v>8977234</v>
      </c>
      <c r="D11" s="1" t="s">
        <v>40</v>
      </c>
      <c r="E11" s="1" t="s">
        <v>41</v>
      </c>
      <c r="F11" s="1" t="str">
        <f>CONCATENATE(D11, " ", E11)</f>
        <v>Gale Wilkowski</v>
      </c>
      <c r="G11" s="1" t="s">
        <v>42</v>
      </c>
      <c r="H11" s="1" t="s">
        <v>42</v>
      </c>
      <c r="I11" s="2">
        <v>45474</v>
      </c>
      <c r="J11" s="2">
        <v>45632</v>
      </c>
      <c r="K11" s="1" t="s">
        <v>15</v>
      </c>
      <c r="L11" s="1" t="s">
        <v>35</v>
      </c>
      <c r="M11" s="1">
        <v>24</v>
      </c>
    </row>
    <row r="12" spans="1:13" x14ac:dyDescent="0.2">
      <c r="A12" s="1" t="s">
        <v>38</v>
      </c>
      <c r="B12" s="1" t="s">
        <v>39</v>
      </c>
      <c r="C12" s="1">
        <v>8977234</v>
      </c>
      <c r="D12" s="1" t="s">
        <v>60</v>
      </c>
      <c r="E12" s="1" t="s">
        <v>61</v>
      </c>
      <c r="F12" s="1" t="str">
        <f>CONCATENATE(D12, " ", E12)</f>
        <v>Bruce Kelley</v>
      </c>
      <c r="G12" s="1" t="s">
        <v>62</v>
      </c>
      <c r="H12" s="1" t="s">
        <v>62</v>
      </c>
      <c r="I12" s="2">
        <v>45292</v>
      </c>
      <c r="J12" s="2">
        <v>45632</v>
      </c>
      <c r="K12" s="1" t="s">
        <v>15</v>
      </c>
      <c r="L12" s="1" t="s">
        <v>63</v>
      </c>
      <c r="M12" s="1">
        <v>16</v>
      </c>
    </row>
    <row r="13" spans="1:13" x14ac:dyDescent="0.2">
      <c r="A13" s="1" t="s">
        <v>38</v>
      </c>
      <c r="B13" s="1" t="s">
        <v>39</v>
      </c>
      <c r="C13" s="1">
        <v>8977234</v>
      </c>
      <c r="D13" s="1" t="s">
        <v>64</v>
      </c>
      <c r="E13" s="1" t="s">
        <v>65</v>
      </c>
      <c r="F13" s="1" t="str">
        <f>CONCATENATE(D13, " ", E13)</f>
        <v>Ronald Gengler</v>
      </c>
      <c r="G13" s="1" t="s">
        <v>66</v>
      </c>
      <c r="H13" s="1" t="s">
        <v>66</v>
      </c>
      <c r="I13" s="2">
        <v>45292</v>
      </c>
      <c r="J13" s="2">
        <v>45632</v>
      </c>
      <c r="K13" s="1" t="s">
        <v>15</v>
      </c>
      <c r="L13" s="1" t="s">
        <v>63</v>
      </c>
      <c r="M13" s="1">
        <v>16</v>
      </c>
    </row>
    <row r="14" spans="1:13" x14ac:dyDescent="0.2">
      <c r="A14" s="1" t="s">
        <v>38</v>
      </c>
      <c r="B14" s="1" t="s">
        <v>39</v>
      </c>
      <c r="C14" s="1">
        <v>8977234</v>
      </c>
      <c r="D14" s="1" t="s">
        <v>70</v>
      </c>
      <c r="E14" s="1" t="s">
        <v>65</v>
      </c>
      <c r="F14" s="1" t="str">
        <f>CONCATENATE(D14, " ", E14)</f>
        <v>Amber Gengler</v>
      </c>
      <c r="G14" s="1" t="s">
        <v>71</v>
      </c>
      <c r="H14" s="1" t="s">
        <v>71</v>
      </c>
      <c r="I14" s="2">
        <v>45292</v>
      </c>
      <c r="J14" s="2">
        <v>45632</v>
      </c>
      <c r="K14" s="1" t="s">
        <v>15</v>
      </c>
      <c r="L14" s="1" t="s">
        <v>63</v>
      </c>
      <c r="M14" s="1">
        <v>16</v>
      </c>
    </row>
    <row r="15" spans="1:13" x14ac:dyDescent="0.2">
      <c r="A15" s="1" t="s">
        <v>46</v>
      </c>
      <c r="C15" s="1">
        <v>371819</v>
      </c>
      <c r="D15" s="1" t="s">
        <v>72</v>
      </c>
      <c r="E15" s="1" t="s">
        <v>73</v>
      </c>
      <c r="F15" s="1" t="str">
        <f>CONCATENATE(D15, " ", E15)</f>
        <v>Dennis Pitts</v>
      </c>
      <c r="G15" s="1" t="s">
        <v>74</v>
      </c>
      <c r="H15" s="1" t="s">
        <v>74</v>
      </c>
      <c r="I15" s="2">
        <v>45597</v>
      </c>
      <c r="J15" s="2">
        <v>45632</v>
      </c>
      <c r="K15" s="1" t="s">
        <v>15</v>
      </c>
      <c r="L15" s="1" t="s">
        <v>63</v>
      </c>
      <c r="M15" s="1">
        <v>16</v>
      </c>
    </row>
    <row r="16" spans="1:13" x14ac:dyDescent="0.2">
      <c r="A16" s="1" t="s">
        <v>46</v>
      </c>
      <c r="C16" s="1" t="s">
        <v>95</v>
      </c>
      <c r="D16" s="1" t="s">
        <v>67</v>
      </c>
      <c r="E16" s="1" t="s">
        <v>68</v>
      </c>
      <c r="F16" s="1" t="str">
        <f>CONCATENATE(D16, " ", E16)</f>
        <v>Ryan Moore</v>
      </c>
      <c r="G16" s="1" t="s">
        <v>69</v>
      </c>
      <c r="H16" s="1" t="s">
        <v>69</v>
      </c>
      <c r="I16" s="2">
        <v>45292</v>
      </c>
      <c r="J16" s="2">
        <v>45632</v>
      </c>
      <c r="K16" s="1" t="s">
        <v>15</v>
      </c>
      <c r="L16" s="1" t="s">
        <v>63</v>
      </c>
      <c r="M16" s="1">
        <v>16</v>
      </c>
    </row>
    <row r="17" spans="1:13" x14ac:dyDescent="0.2">
      <c r="A17" s="1" t="s">
        <v>46</v>
      </c>
      <c r="C17" s="1">
        <v>371819</v>
      </c>
      <c r="D17" s="1" t="s">
        <v>47</v>
      </c>
      <c r="E17" s="1" t="s">
        <v>48</v>
      </c>
      <c r="F17" s="1" t="str">
        <f>CONCATENATE(D17, " ", E17)</f>
        <v>Carrington Grissom</v>
      </c>
      <c r="G17" s="1" t="s">
        <v>49</v>
      </c>
      <c r="H17" s="1" t="s">
        <v>49</v>
      </c>
      <c r="I17" s="2">
        <v>45536</v>
      </c>
      <c r="J17" s="2">
        <v>45632</v>
      </c>
      <c r="K17" s="1" t="s">
        <v>15</v>
      </c>
      <c r="L17" s="1" t="s">
        <v>50</v>
      </c>
      <c r="M17" s="1">
        <v>18</v>
      </c>
    </row>
    <row r="18" spans="1:13" x14ac:dyDescent="0.2">
      <c r="A18" s="1" t="s">
        <v>46</v>
      </c>
      <c r="C18" s="1">
        <v>371819</v>
      </c>
      <c r="D18" s="1" t="s">
        <v>54</v>
      </c>
      <c r="E18" s="1" t="s">
        <v>48</v>
      </c>
      <c r="F18" s="1" t="str">
        <f>CONCATENATE(D18, " ", E18)</f>
        <v>Anthony Grissom</v>
      </c>
      <c r="G18" s="1" t="s">
        <v>55</v>
      </c>
      <c r="H18" s="1" t="s">
        <v>55</v>
      </c>
      <c r="I18" s="2">
        <v>45536</v>
      </c>
      <c r="J18" s="2">
        <v>45632</v>
      </c>
      <c r="K18" s="1" t="s">
        <v>15</v>
      </c>
      <c r="L18" s="1" t="s">
        <v>50</v>
      </c>
      <c r="M18" s="1">
        <v>18</v>
      </c>
    </row>
    <row r="19" spans="1:13" x14ac:dyDescent="0.2">
      <c r="A19" s="1" t="s">
        <v>46</v>
      </c>
      <c r="C19" s="1">
        <v>371819</v>
      </c>
      <c r="D19" s="1" t="s">
        <v>51</v>
      </c>
      <c r="E19" s="1" t="s">
        <v>52</v>
      </c>
      <c r="F19" s="1" t="str">
        <f>CONCATENATE(D19, " ", E19)</f>
        <v>Harmony Mcdonald</v>
      </c>
      <c r="G19" s="1" t="s">
        <v>53</v>
      </c>
      <c r="H19" s="1" t="s">
        <v>53</v>
      </c>
      <c r="I19" s="2">
        <v>45505</v>
      </c>
      <c r="J19" s="2">
        <v>45632</v>
      </c>
      <c r="K19" s="1" t="s">
        <v>15</v>
      </c>
      <c r="L19" s="1" t="s">
        <v>50</v>
      </c>
      <c r="M19" s="1">
        <v>18</v>
      </c>
    </row>
    <row r="20" spans="1:13" x14ac:dyDescent="0.2">
      <c r="A20" s="1" t="s">
        <v>46</v>
      </c>
      <c r="C20" s="1">
        <v>371819</v>
      </c>
      <c r="D20" s="1" t="s">
        <v>56</v>
      </c>
      <c r="E20" s="1" t="s">
        <v>52</v>
      </c>
      <c r="F20" s="1" t="str">
        <f>CONCATENATE(D20, " ", E20)</f>
        <v>Bralyn Mcdonald</v>
      </c>
      <c r="G20" s="1" t="s">
        <v>57</v>
      </c>
      <c r="H20" s="1" t="s">
        <v>57</v>
      </c>
      <c r="I20" s="2">
        <v>45505</v>
      </c>
      <c r="J20" s="2">
        <v>45632</v>
      </c>
      <c r="K20" s="1" t="s">
        <v>15</v>
      </c>
      <c r="L20" s="1" t="s">
        <v>50</v>
      </c>
      <c r="M20" s="1">
        <v>18</v>
      </c>
    </row>
    <row r="21" spans="1:13" x14ac:dyDescent="0.2">
      <c r="A21" s="1" t="s">
        <v>46</v>
      </c>
      <c r="C21" s="1">
        <v>371819</v>
      </c>
      <c r="D21" s="1" t="s">
        <v>58</v>
      </c>
      <c r="E21" s="1" t="s">
        <v>52</v>
      </c>
      <c r="F21" s="1" t="str">
        <f>CONCATENATE(D21, " ", E21)</f>
        <v>Christopher Mcdonald</v>
      </c>
      <c r="G21" s="1" t="s">
        <v>59</v>
      </c>
      <c r="H21" s="1" t="s">
        <v>59</v>
      </c>
      <c r="I21" s="2">
        <v>45505</v>
      </c>
      <c r="J21" s="2">
        <v>45632</v>
      </c>
      <c r="K21" s="1" t="s">
        <v>15</v>
      </c>
      <c r="L21" s="1" t="s">
        <v>50</v>
      </c>
      <c r="M21" s="1">
        <v>18</v>
      </c>
    </row>
    <row r="22" spans="1:13" x14ac:dyDescent="0.2">
      <c r="A22" s="1" t="s">
        <v>17</v>
      </c>
      <c r="B22" s="1" t="s">
        <v>18</v>
      </c>
      <c r="C22" s="1">
        <v>9079571</v>
      </c>
      <c r="D22" s="1" t="s">
        <v>19</v>
      </c>
      <c r="E22" s="1" t="s">
        <v>20</v>
      </c>
      <c r="F22" s="1" t="str">
        <f>CONCATENATE(D22, " ", E22)</f>
        <v>Floyd Adams</v>
      </c>
      <c r="G22" s="1" t="s">
        <v>21</v>
      </c>
      <c r="H22" s="1" t="str">
        <f>CONCATENATE(G22,1)</f>
        <v>FL-00164557631</v>
      </c>
      <c r="I22" s="2">
        <v>44927</v>
      </c>
      <c r="J22" s="2">
        <v>45632</v>
      </c>
      <c r="K22" s="1" t="s">
        <v>15</v>
      </c>
      <c r="L22" s="1" t="s">
        <v>94</v>
      </c>
      <c r="M22" s="1">
        <v>2.5</v>
      </c>
    </row>
    <row r="23" spans="1:13" x14ac:dyDescent="0.2">
      <c r="A23" s="1" t="s">
        <v>17</v>
      </c>
      <c r="B23" s="1" t="s">
        <v>18</v>
      </c>
      <c r="C23" s="1">
        <v>9079571</v>
      </c>
      <c r="D23" s="1" t="s">
        <v>79</v>
      </c>
      <c r="E23" s="1" t="s">
        <v>80</v>
      </c>
      <c r="F23" s="1" t="str">
        <f>CONCATENATE(D23, " ", E23)</f>
        <v>Nayan Patel</v>
      </c>
      <c r="G23" s="1" t="s">
        <v>81</v>
      </c>
      <c r="H23" s="1" t="str">
        <f t="shared" ref="H23:H45" si="0">CONCATENATE(G23,1)</f>
        <v>TX-00130475121</v>
      </c>
      <c r="I23" s="2">
        <v>44927</v>
      </c>
      <c r="J23" s="2">
        <v>45632</v>
      </c>
      <c r="K23" s="1" t="s">
        <v>15</v>
      </c>
      <c r="L23" s="1" t="s">
        <v>94</v>
      </c>
      <c r="M23" s="1">
        <v>2.5</v>
      </c>
    </row>
    <row r="24" spans="1:13" x14ac:dyDescent="0.2">
      <c r="A24" s="1" t="s">
        <v>17</v>
      </c>
      <c r="B24" s="1" t="s">
        <v>18</v>
      </c>
      <c r="C24" s="1">
        <v>9079571</v>
      </c>
      <c r="D24" s="1" t="s">
        <v>82</v>
      </c>
      <c r="E24" s="1" t="s">
        <v>83</v>
      </c>
      <c r="F24" s="1" t="str">
        <f>CONCATENATE(D24, " ", E24)</f>
        <v>Vanessa Delappe</v>
      </c>
      <c r="G24" s="1" t="s">
        <v>84</v>
      </c>
      <c r="H24" s="1" t="str">
        <f t="shared" si="0"/>
        <v>TX-00135149021</v>
      </c>
      <c r="I24" s="2">
        <v>44927</v>
      </c>
      <c r="J24" s="2">
        <v>45632</v>
      </c>
      <c r="K24" s="1" t="s">
        <v>15</v>
      </c>
      <c r="L24" s="1" t="s">
        <v>94</v>
      </c>
      <c r="M24" s="1">
        <v>2.5</v>
      </c>
    </row>
    <row r="25" spans="1:13" x14ac:dyDescent="0.2">
      <c r="A25" s="1" t="s">
        <v>26</v>
      </c>
      <c r="C25" s="1">
        <v>18754354</v>
      </c>
      <c r="D25" s="1" t="s">
        <v>27</v>
      </c>
      <c r="E25" s="1" t="s">
        <v>28</v>
      </c>
      <c r="F25" s="1" t="str">
        <f>CONCATENATE(D25, " ", E25)</f>
        <v>Kim Morse</v>
      </c>
      <c r="G25" s="1" t="s">
        <v>29</v>
      </c>
      <c r="H25" s="1" t="str">
        <f t="shared" si="0"/>
        <v>IL-00050145781</v>
      </c>
      <c r="I25" s="2">
        <v>45597</v>
      </c>
      <c r="J25" s="2">
        <v>45632</v>
      </c>
      <c r="K25" s="1" t="s">
        <v>15</v>
      </c>
      <c r="L25" s="1" t="s">
        <v>94</v>
      </c>
      <c r="M25" s="1">
        <v>2.5</v>
      </c>
    </row>
    <row r="26" spans="1:13" x14ac:dyDescent="0.2">
      <c r="A26" s="1" t="s">
        <v>30</v>
      </c>
      <c r="B26" s="1" t="s">
        <v>31</v>
      </c>
      <c r="C26" s="1">
        <v>20436896</v>
      </c>
      <c r="D26" s="1" t="s">
        <v>32</v>
      </c>
      <c r="E26" s="1" t="s">
        <v>33</v>
      </c>
      <c r="F26" s="1" t="str">
        <f>CONCATENATE(D26, " ", E26)</f>
        <v>Annette Brooks</v>
      </c>
      <c r="G26" s="1" t="s">
        <v>34</v>
      </c>
      <c r="H26" s="1" t="str">
        <f t="shared" si="0"/>
        <v>MI-00026653291</v>
      </c>
      <c r="I26" s="2">
        <v>44927</v>
      </c>
      <c r="J26" s="2">
        <v>45632</v>
      </c>
      <c r="K26" s="1" t="s">
        <v>15</v>
      </c>
      <c r="L26" s="1" t="s">
        <v>94</v>
      </c>
      <c r="M26" s="1">
        <v>2.5</v>
      </c>
    </row>
    <row r="27" spans="1:13" x14ac:dyDescent="0.2">
      <c r="A27" s="1" t="s">
        <v>30</v>
      </c>
      <c r="B27" s="1" t="s">
        <v>31</v>
      </c>
      <c r="C27" s="1">
        <v>20436896</v>
      </c>
      <c r="D27" s="1" t="s">
        <v>36</v>
      </c>
      <c r="E27" s="1" t="s">
        <v>33</v>
      </c>
      <c r="F27" s="1" t="str">
        <f>CONCATENATE(D27, " ", E27)</f>
        <v>Michael Brooks</v>
      </c>
      <c r="G27" s="1" t="s">
        <v>37</v>
      </c>
      <c r="H27" s="1" t="str">
        <f t="shared" si="0"/>
        <v>MI-00032730451</v>
      </c>
      <c r="I27" s="2">
        <v>44927</v>
      </c>
      <c r="J27" s="2">
        <v>45632</v>
      </c>
      <c r="K27" s="1" t="s">
        <v>15</v>
      </c>
      <c r="L27" s="1" t="s">
        <v>94</v>
      </c>
      <c r="M27" s="1">
        <v>2.5</v>
      </c>
    </row>
    <row r="28" spans="1:13" x14ac:dyDescent="0.2">
      <c r="A28" s="1" t="s">
        <v>30</v>
      </c>
      <c r="B28" s="1" t="s">
        <v>31</v>
      </c>
      <c r="C28" s="1">
        <v>20436896</v>
      </c>
      <c r="D28" s="1" t="s">
        <v>43</v>
      </c>
      <c r="E28" s="1" t="s">
        <v>44</v>
      </c>
      <c r="F28" s="1" t="str">
        <f>CONCATENATE(D28, " ", E28)</f>
        <v>Kyle Hoffman</v>
      </c>
      <c r="G28" s="1" t="s">
        <v>45</v>
      </c>
      <c r="H28" s="1" t="str">
        <f t="shared" si="0"/>
        <v>MI-00038250331</v>
      </c>
      <c r="I28" s="2">
        <v>44197</v>
      </c>
      <c r="J28" s="2">
        <v>45632</v>
      </c>
      <c r="K28" s="1" t="s">
        <v>15</v>
      </c>
      <c r="L28" s="1" t="s">
        <v>94</v>
      </c>
      <c r="M28" s="1">
        <v>2.5</v>
      </c>
    </row>
    <row r="29" spans="1:13" x14ac:dyDescent="0.2">
      <c r="A29" s="1" t="s">
        <v>38</v>
      </c>
      <c r="B29" s="1" t="s">
        <v>39</v>
      </c>
      <c r="C29" s="1">
        <v>8977234</v>
      </c>
      <c r="D29" s="1" t="s">
        <v>40</v>
      </c>
      <c r="E29" s="1" t="s">
        <v>41</v>
      </c>
      <c r="F29" s="1" t="str">
        <f>CONCATENATE(D29, " ", E29)</f>
        <v>Gale Wilkowski</v>
      </c>
      <c r="G29" s="1" t="s">
        <v>42</v>
      </c>
      <c r="H29" s="1" t="str">
        <f t="shared" si="0"/>
        <v>MI-00038117771</v>
      </c>
      <c r="I29" s="2">
        <v>45474</v>
      </c>
      <c r="J29" s="2">
        <v>45632</v>
      </c>
      <c r="K29" s="1" t="s">
        <v>15</v>
      </c>
      <c r="L29" s="1" t="s">
        <v>94</v>
      </c>
      <c r="M29" s="1">
        <v>2.5</v>
      </c>
    </row>
    <row r="30" spans="1:13" x14ac:dyDescent="0.2">
      <c r="A30" s="1" t="s">
        <v>38</v>
      </c>
      <c r="B30" s="1" t="s">
        <v>39</v>
      </c>
      <c r="C30" s="1">
        <v>8977234</v>
      </c>
      <c r="D30" s="1" t="s">
        <v>60</v>
      </c>
      <c r="E30" s="1" t="s">
        <v>61</v>
      </c>
      <c r="F30" s="1" t="str">
        <f>CONCATENATE(D30, " ", E30)</f>
        <v>Bruce Kelley</v>
      </c>
      <c r="G30" s="1" t="s">
        <v>62</v>
      </c>
      <c r="H30" s="1" t="str">
        <f t="shared" si="0"/>
        <v>OH-00000656931</v>
      </c>
      <c r="I30" s="2">
        <v>45292</v>
      </c>
      <c r="J30" s="2">
        <v>45632</v>
      </c>
      <c r="K30" s="1" t="s">
        <v>15</v>
      </c>
      <c r="L30" s="1" t="s">
        <v>94</v>
      </c>
      <c r="M30" s="1">
        <v>2.5</v>
      </c>
    </row>
    <row r="31" spans="1:13" x14ac:dyDescent="0.2">
      <c r="A31" s="1" t="s">
        <v>38</v>
      </c>
      <c r="B31" s="1" t="s">
        <v>39</v>
      </c>
      <c r="C31" s="1">
        <v>8977234</v>
      </c>
      <c r="D31" s="1" t="s">
        <v>64</v>
      </c>
      <c r="E31" s="1" t="s">
        <v>65</v>
      </c>
      <c r="F31" s="1" t="str">
        <f>CONCATENATE(D31, " ", E31)</f>
        <v>Ronald Gengler</v>
      </c>
      <c r="G31" s="1" t="s">
        <v>66</v>
      </c>
      <c r="H31" s="1" t="str">
        <f t="shared" si="0"/>
        <v>OH-00028948561</v>
      </c>
      <c r="I31" s="2">
        <v>45292</v>
      </c>
      <c r="J31" s="2">
        <v>45632</v>
      </c>
      <c r="K31" s="1" t="s">
        <v>15</v>
      </c>
      <c r="L31" s="1" t="s">
        <v>94</v>
      </c>
      <c r="M31" s="1">
        <v>2.5</v>
      </c>
    </row>
    <row r="32" spans="1:13" x14ac:dyDescent="0.2">
      <c r="A32" s="1" t="s">
        <v>38</v>
      </c>
      <c r="B32" s="1" t="s">
        <v>39</v>
      </c>
      <c r="C32" s="1">
        <v>8977234</v>
      </c>
      <c r="D32" s="1" t="s">
        <v>70</v>
      </c>
      <c r="E32" s="1" t="s">
        <v>65</v>
      </c>
      <c r="F32" s="1" t="str">
        <f>CONCATENATE(D32, " ", E32)</f>
        <v>Amber Gengler</v>
      </c>
      <c r="G32" s="1" t="s">
        <v>71</v>
      </c>
      <c r="H32" s="1" t="str">
        <f t="shared" si="0"/>
        <v>OH-00038143681</v>
      </c>
      <c r="I32" s="2">
        <v>45292</v>
      </c>
      <c r="J32" s="2">
        <v>45632</v>
      </c>
      <c r="K32" s="1" t="s">
        <v>15</v>
      </c>
      <c r="L32" s="1" t="s">
        <v>94</v>
      </c>
      <c r="M32" s="1">
        <v>2.5</v>
      </c>
    </row>
    <row r="33" spans="1:13" x14ac:dyDescent="0.2">
      <c r="A33" s="1" t="s">
        <v>38</v>
      </c>
      <c r="B33" s="1" t="s">
        <v>39</v>
      </c>
      <c r="C33" s="1">
        <v>8977234</v>
      </c>
      <c r="D33" s="1" t="s">
        <v>75</v>
      </c>
      <c r="E33" s="1" t="s">
        <v>76</v>
      </c>
      <c r="F33" s="1" t="str">
        <f>CONCATENATE(D33, " ", E33)</f>
        <v>James Smith</v>
      </c>
      <c r="G33" s="1" t="s">
        <v>77</v>
      </c>
      <c r="H33" s="1" t="str">
        <f t="shared" si="0"/>
        <v>TX-00120332591</v>
      </c>
      <c r="I33" s="2">
        <v>44835</v>
      </c>
      <c r="J33" s="2">
        <v>45632</v>
      </c>
      <c r="K33" s="1" t="s">
        <v>15</v>
      </c>
      <c r="L33" s="1" t="s">
        <v>94</v>
      </c>
      <c r="M33" s="1">
        <v>2.5</v>
      </c>
    </row>
    <row r="34" spans="1:13" x14ac:dyDescent="0.2">
      <c r="A34" s="1" t="s">
        <v>38</v>
      </c>
      <c r="B34" s="1" t="s">
        <v>39</v>
      </c>
      <c r="C34" s="1">
        <v>8977234</v>
      </c>
      <c r="D34" s="1" t="s">
        <v>85</v>
      </c>
      <c r="E34" s="1" t="s">
        <v>86</v>
      </c>
      <c r="F34" s="1" t="str">
        <f>CONCATENATE(D34, " ", E34)</f>
        <v>Boden Woodard</v>
      </c>
      <c r="G34" s="1" t="s">
        <v>87</v>
      </c>
      <c r="H34" s="1" t="str">
        <f t="shared" si="0"/>
        <v>UT-00024579401</v>
      </c>
      <c r="I34" s="2">
        <v>45292</v>
      </c>
      <c r="J34" s="2">
        <v>45632</v>
      </c>
      <c r="K34" s="1" t="s">
        <v>15</v>
      </c>
      <c r="L34" s="1" t="s">
        <v>94</v>
      </c>
      <c r="M34" s="1">
        <v>2.5</v>
      </c>
    </row>
    <row r="35" spans="1:13" x14ac:dyDescent="0.2">
      <c r="A35" s="1" t="s">
        <v>38</v>
      </c>
      <c r="B35" s="1" t="s">
        <v>39</v>
      </c>
      <c r="C35" s="1">
        <v>8977234</v>
      </c>
      <c r="D35" s="1" t="s">
        <v>89</v>
      </c>
      <c r="E35" s="1" t="s">
        <v>86</v>
      </c>
      <c r="F35" s="1" t="str">
        <f>CONCATENATE(D35, " ", E35)</f>
        <v>Douglas Woodard</v>
      </c>
      <c r="G35" s="1" t="s">
        <v>90</v>
      </c>
      <c r="H35" s="1" t="str">
        <f t="shared" si="0"/>
        <v>UT-00029436311</v>
      </c>
      <c r="I35" s="2">
        <v>45292</v>
      </c>
      <c r="J35" s="2">
        <v>45632</v>
      </c>
      <c r="K35" s="1" t="s">
        <v>15</v>
      </c>
      <c r="L35" s="1" t="s">
        <v>94</v>
      </c>
      <c r="M35" s="1">
        <v>2.5</v>
      </c>
    </row>
    <row r="36" spans="1:13" x14ac:dyDescent="0.2">
      <c r="A36" s="1" t="s">
        <v>38</v>
      </c>
      <c r="B36" s="1" t="s">
        <v>39</v>
      </c>
      <c r="C36" s="1">
        <v>8977234</v>
      </c>
      <c r="D36" s="1" t="s">
        <v>91</v>
      </c>
      <c r="E36" s="1" t="s">
        <v>92</v>
      </c>
      <c r="F36" s="1" t="str">
        <f>CONCATENATE(D36, " ", E36)</f>
        <v>Lisa Biagi Woodard</v>
      </c>
      <c r="G36" s="1" t="s">
        <v>93</v>
      </c>
      <c r="H36" s="1" t="str">
        <f t="shared" si="0"/>
        <v>UT-00030536151</v>
      </c>
      <c r="I36" s="2">
        <v>45292</v>
      </c>
      <c r="J36" s="2">
        <v>45632</v>
      </c>
      <c r="K36" s="1" t="s">
        <v>15</v>
      </c>
      <c r="L36" s="1" t="s">
        <v>94</v>
      </c>
      <c r="M36" s="1">
        <v>2.5</v>
      </c>
    </row>
    <row r="37" spans="1:13" x14ac:dyDescent="0.2">
      <c r="A37" s="1" t="s">
        <v>11</v>
      </c>
      <c r="C37" s="1">
        <v>19396223</v>
      </c>
      <c r="D37" s="1" t="s">
        <v>12</v>
      </c>
      <c r="E37" s="1" t="s">
        <v>13</v>
      </c>
      <c r="F37" s="1" t="str">
        <f>CONCATENATE(D37, " ", E37)</f>
        <v>Rebecca Bocock</v>
      </c>
      <c r="G37" s="1" t="s">
        <v>14</v>
      </c>
      <c r="H37" s="1" t="str">
        <f t="shared" si="0"/>
        <v>CA-6294402191</v>
      </c>
      <c r="I37" s="2">
        <v>45566</v>
      </c>
      <c r="J37" s="2">
        <v>45632</v>
      </c>
      <c r="K37" s="1" t="s">
        <v>15</v>
      </c>
      <c r="L37" s="1" t="s">
        <v>94</v>
      </c>
      <c r="M37" s="1">
        <v>2.5</v>
      </c>
    </row>
    <row r="38" spans="1:13" x14ac:dyDescent="0.2">
      <c r="A38" s="1" t="s">
        <v>11</v>
      </c>
      <c r="C38" s="1">
        <v>19396223</v>
      </c>
      <c r="D38" s="1" t="s">
        <v>23</v>
      </c>
      <c r="E38" s="1" t="s">
        <v>24</v>
      </c>
      <c r="F38" s="1" t="str">
        <f>CONCATENATE(D38, " ", E38)</f>
        <v>Miguel Peralta</v>
      </c>
      <c r="G38" s="1" t="s">
        <v>25</v>
      </c>
      <c r="H38" s="1" t="str">
        <f t="shared" si="0"/>
        <v>IL-00045809911</v>
      </c>
      <c r="I38" s="2">
        <v>45566</v>
      </c>
      <c r="J38" s="2">
        <v>45632</v>
      </c>
      <c r="K38" s="1" t="s">
        <v>15</v>
      </c>
      <c r="L38" s="1" t="s">
        <v>94</v>
      </c>
      <c r="M38" s="1">
        <v>2.5</v>
      </c>
    </row>
    <row r="39" spans="1:13" x14ac:dyDescent="0.2">
      <c r="A39" s="1" t="s">
        <v>46</v>
      </c>
      <c r="C39" s="1">
        <v>371819</v>
      </c>
      <c r="D39" s="1" t="s">
        <v>72</v>
      </c>
      <c r="E39" s="1" t="s">
        <v>73</v>
      </c>
      <c r="F39" s="1" t="str">
        <f>CONCATENATE(D39, " ", E39)</f>
        <v>Dennis Pitts</v>
      </c>
      <c r="G39" s="1" t="s">
        <v>74</v>
      </c>
      <c r="H39" s="1" t="str">
        <f t="shared" si="0"/>
        <v>OH-00039752201</v>
      </c>
      <c r="I39" s="2">
        <v>45597</v>
      </c>
      <c r="J39" s="2">
        <v>45632</v>
      </c>
      <c r="K39" s="1" t="s">
        <v>15</v>
      </c>
      <c r="L39" s="1" t="s">
        <v>94</v>
      </c>
      <c r="M39" s="1">
        <v>2.5</v>
      </c>
    </row>
    <row r="40" spans="1:13" x14ac:dyDescent="0.2">
      <c r="A40" s="1" t="s">
        <v>46</v>
      </c>
      <c r="C40" s="1">
        <v>371819</v>
      </c>
      <c r="D40" s="1" t="s">
        <v>47</v>
      </c>
      <c r="E40" s="1" t="s">
        <v>48</v>
      </c>
      <c r="F40" s="1" t="str">
        <f>CONCATENATE(D40, " ", E40)</f>
        <v>Carrington Grissom</v>
      </c>
      <c r="G40" s="1" t="s">
        <v>49</v>
      </c>
      <c r="H40" s="1" t="str">
        <f t="shared" si="0"/>
        <v>MS-00023577861</v>
      </c>
      <c r="I40" s="2">
        <v>45536</v>
      </c>
      <c r="J40" s="2">
        <v>45632</v>
      </c>
      <c r="K40" s="1" t="s">
        <v>15</v>
      </c>
      <c r="L40" s="1" t="s">
        <v>94</v>
      </c>
      <c r="M40" s="1">
        <v>2.5</v>
      </c>
    </row>
    <row r="41" spans="1:13" x14ac:dyDescent="0.2">
      <c r="A41" s="1" t="s">
        <v>46</v>
      </c>
      <c r="C41" s="1">
        <v>371819</v>
      </c>
      <c r="D41" s="1" t="s">
        <v>54</v>
      </c>
      <c r="E41" s="1" t="s">
        <v>48</v>
      </c>
      <c r="F41" s="1" t="str">
        <f>CONCATENATE(D41, " ", E41)</f>
        <v>Anthony Grissom</v>
      </c>
      <c r="G41" s="1" t="s">
        <v>55</v>
      </c>
      <c r="H41" s="1" t="str">
        <f t="shared" si="0"/>
        <v>MS-00030014511</v>
      </c>
      <c r="I41" s="2">
        <v>45536</v>
      </c>
      <c r="J41" s="2">
        <v>45632</v>
      </c>
      <c r="K41" s="1" t="s">
        <v>15</v>
      </c>
      <c r="L41" s="1" t="s">
        <v>94</v>
      </c>
      <c r="M41" s="1">
        <v>2.5</v>
      </c>
    </row>
    <row r="42" spans="1:13" x14ac:dyDescent="0.2">
      <c r="A42" s="1" t="s">
        <v>46</v>
      </c>
      <c r="C42" s="1">
        <v>371819</v>
      </c>
      <c r="D42" s="1" t="s">
        <v>51</v>
      </c>
      <c r="E42" s="1" t="s">
        <v>52</v>
      </c>
      <c r="F42" s="1" t="str">
        <f>CONCATENATE(D42, " ", E42)</f>
        <v>Harmony Mcdonald</v>
      </c>
      <c r="G42" s="1" t="s">
        <v>53</v>
      </c>
      <c r="H42" s="1" t="str">
        <f t="shared" si="0"/>
        <v>MS-00025650331</v>
      </c>
      <c r="I42" s="2">
        <v>45505</v>
      </c>
      <c r="J42" s="2">
        <v>45632</v>
      </c>
      <c r="K42" s="1" t="s">
        <v>15</v>
      </c>
      <c r="L42" s="1" t="s">
        <v>94</v>
      </c>
      <c r="M42" s="1">
        <v>2.5</v>
      </c>
    </row>
    <row r="43" spans="1:13" x14ac:dyDescent="0.2">
      <c r="A43" s="1" t="s">
        <v>46</v>
      </c>
      <c r="C43" s="1">
        <v>371819</v>
      </c>
      <c r="D43" s="1" t="s">
        <v>56</v>
      </c>
      <c r="E43" s="1" t="s">
        <v>52</v>
      </c>
      <c r="F43" s="1" t="str">
        <f>CONCATENATE(D43, " ", E43)</f>
        <v>Bralyn Mcdonald</v>
      </c>
      <c r="G43" s="1" t="s">
        <v>57</v>
      </c>
      <c r="H43" s="1" t="str">
        <f t="shared" si="0"/>
        <v>MS-00031913101</v>
      </c>
      <c r="I43" s="2">
        <v>45505</v>
      </c>
      <c r="J43" s="2">
        <v>45632</v>
      </c>
      <c r="K43" s="1" t="s">
        <v>15</v>
      </c>
      <c r="L43" s="1" t="s">
        <v>94</v>
      </c>
      <c r="M43" s="1">
        <v>2.5</v>
      </c>
    </row>
    <row r="44" spans="1:13" x14ac:dyDescent="0.2">
      <c r="A44" s="1" t="s">
        <v>46</v>
      </c>
      <c r="C44" s="1">
        <v>371819</v>
      </c>
      <c r="D44" s="1" t="s">
        <v>58</v>
      </c>
      <c r="E44" s="1" t="s">
        <v>52</v>
      </c>
      <c r="F44" s="1" t="str">
        <f>CONCATENATE(D44, " ", E44)</f>
        <v>Christopher Mcdonald</v>
      </c>
      <c r="G44" s="1" t="s">
        <v>59</v>
      </c>
      <c r="H44" s="1" t="str">
        <f t="shared" si="0"/>
        <v>MS-00032864201</v>
      </c>
      <c r="I44" s="2">
        <v>45505</v>
      </c>
      <c r="J44" s="2">
        <v>45632</v>
      </c>
      <c r="K44" s="1" t="s">
        <v>15</v>
      </c>
      <c r="L44" s="1" t="s">
        <v>94</v>
      </c>
      <c r="M44" s="1">
        <v>2.5</v>
      </c>
    </row>
    <row r="45" spans="1:13" x14ac:dyDescent="0.2">
      <c r="A45" s="1" t="s">
        <v>46</v>
      </c>
      <c r="C45" s="1" t="s">
        <v>95</v>
      </c>
      <c r="D45" s="1" t="s">
        <v>67</v>
      </c>
      <c r="E45" s="1" t="s">
        <v>68</v>
      </c>
      <c r="F45" s="1" t="str">
        <f>CONCATENATE(D45, " ", E45)</f>
        <v>Ryan Moore</v>
      </c>
      <c r="G45" s="1" t="s">
        <v>69</v>
      </c>
      <c r="H45" s="1" t="str">
        <f t="shared" si="0"/>
        <v>OH-00034124581</v>
      </c>
      <c r="I45" s="2">
        <v>45292</v>
      </c>
      <c r="J45" s="2">
        <v>45632</v>
      </c>
      <c r="K45" s="1" t="s">
        <v>15</v>
      </c>
      <c r="L45" s="1" t="s">
        <v>94</v>
      </c>
      <c r="M45" s="1">
        <v>2.5</v>
      </c>
    </row>
    <row r="46" spans="1:13" x14ac:dyDescent="0.2">
      <c r="A46" s="1" t="s">
        <v>17</v>
      </c>
      <c r="B46" s="1" t="s">
        <v>18</v>
      </c>
      <c r="C46" s="1">
        <v>9079571</v>
      </c>
      <c r="D46" s="1" t="s">
        <v>19</v>
      </c>
      <c r="E46" s="1" t="s">
        <v>20</v>
      </c>
      <c r="F46" s="1" t="str">
        <f>CONCATENATE(D46, " ", E46)</f>
        <v>Floyd Adams</v>
      </c>
      <c r="G46" s="1" t="s">
        <v>21</v>
      </c>
      <c r="H46" s="1" t="s">
        <v>21</v>
      </c>
      <c r="I46" s="2">
        <v>44927</v>
      </c>
      <c r="J46" s="2">
        <v>45632</v>
      </c>
      <c r="K46" s="1" t="s">
        <v>15</v>
      </c>
      <c r="L46" s="1" t="s">
        <v>22</v>
      </c>
      <c r="M46" s="1">
        <v>25</v>
      </c>
    </row>
    <row r="47" spans="1:13" x14ac:dyDescent="0.2">
      <c r="A47" s="1" t="s">
        <v>17</v>
      </c>
      <c r="B47" s="1" t="s">
        <v>18</v>
      </c>
      <c r="C47" s="1">
        <v>9079571</v>
      </c>
      <c r="D47" s="1" t="s">
        <v>79</v>
      </c>
      <c r="E47" s="1" t="s">
        <v>80</v>
      </c>
      <c r="F47" s="1" t="str">
        <f>CONCATENATE(D47, " ", E47)</f>
        <v>Nayan Patel</v>
      </c>
      <c r="G47" s="1" t="s">
        <v>81</v>
      </c>
      <c r="H47" s="1" t="s">
        <v>81</v>
      </c>
      <c r="I47" s="2">
        <v>44927</v>
      </c>
      <c r="J47" s="2">
        <v>45632</v>
      </c>
      <c r="K47" s="1" t="s">
        <v>15</v>
      </c>
      <c r="L47" s="1" t="s">
        <v>78</v>
      </c>
      <c r="M47" s="1">
        <v>22</v>
      </c>
    </row>
    <row r="48" spans="1:13" x14ac:dyDescent="0.2">
      <c r="A48" s="1" t="s">
        <v>17</v>
      </c>
      <c r="B48" s="1" t="s">
        <v>18</v>
      </c>
      <c r="C48" s="1">
        <v>9079571</v>
      </c>
      <c r="D48" s="1" t="s">
        <v>82</v>
      </c>
      <c r="E48" s="1" t="s">
        <v>83</v>
      </c>
      <c r="F48" s="1" t="str">
        <f>CONCATENATE(D48, " ", E48)</f>
        <v>Vanessa Delappe</v>
      </c>
      <c r="G48" s="1" t="s">
        <v>84</v>
      </c>
      <c r="H48" s="1" t="s">
        <v>84</v>
      </c>
      <c r="I48" s="2">
        <v>44927</v>
      </c>
      <c r="J48" s="2">
        <v>45632</v>
      </c>
      <c r="K48" s="1" t="s">
        <v>15</v>
      </c>
      <c r="L48" s="1" t="s">
        <v>78</v>
      </c>
      <c r="M48" s="1">
        <v>22</v>
      </c>
    </row>
    <row r="49" spans="1:13" x14ac:dyDescent="0.2">
      <c r="A49" s="1" t="s">
        <v>38</v>
      </c>
      <c r="B49" s="1" t="s">
        <v>39</v>
      </c>
      <c r="C49" s="1">
        <v>8977234</v>
      </c>
      <c r="D49" s="1" t="s">
        <v>75</v>
      </c>
      <c r="E49" s="1" t="s">
        <v>76</v>
      </c>
      <c r="F49" s="1" t="str">
        <f>CONCATENATE(D49, " ", E49)</f>
        <v>James Smith</v>
      </c>
      <c r="G49" s="1" t="s">
        <v>77</v>
      </c>
      <c r="H49" s="1" t="s">
        <v>77</v>
      </c>
      <c r="I49" s="2">
        <v>44835</v>
      </c>
      <c r="J49" s="2">
        <v>45632</v>
      </c>
      <c r="K49" s="1" t="s">
        <v>15</v>
      </c>
      <c r="L49" s="1" t="s">
        <v>78</v>
      </c>
      <c r="M49" s="1">
        <v>22</v>
      </c>
    </row>
  </sheetData>
  <sortState xmlns:xlrd2="http://schemas.microsoft.com/office/spreadsheetml/2017/richdata2" ref="A2:M49">
    <sortCondition ref="L2:L4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2024-12-06T21:16:12Z</dcterms:created>
  <dcterms:modified xsi:type="dcterms:W3CDTF">2024-12-09T18:40:46Z</dcterms:modified>
</cp:coreProperties>
</file>