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lbenefitsco-my.sharepoint.com/personal/jpatel_mlbenefitsco_com/Documents/Desktop/commissions/Molina/"/>
    </mc:Choice>
  </mc:AlternateContent>
  <xr:revisionPtr revIDLastSave="16" documentId="8_{F36A94BC-6C2A-439E-A585-6CB602A9701C}" xr6:coauthVersionLast="47" xr6:coauthVersionMax="47" xr10:uidLastSave="{30883B66-00FE-4A37-887B-B55D372D75CB}"/>
  <bookViews>
    <workbookView xWindow="-120" yWindow="-120" windowWidth="29040" windowHeight="15720" xr2:uid="{8F978D78-1D0B-499F-B8AC-AC0326BC6C76}"/>
  </bookViews>
  <sheets>
    <sheet name="Commissions_Main Line Benefits,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" i="1" l="1"/>
  <c r="F9" i="1"/>
  <c r="F28" i="1"/>
  <c r="F2" i="1"/>
  <c r="F7" i="1"/>
  <c r="F11" i="1"/>
  <c r="F20" i="1"/>
  <c r="F10" i="1"/>
  <c r="F29" i="1"/>
  <c r="F3" i="1"/>
  <c r="F8" i="1"/>
  <c r="F12" i="1"/>
  <c r="F21" i="1"/>
  <c r="F6" i="1"/>
  <c r="F27" i="1"/>
  <c r="F17" i="1"/>
  <c r="F25" i="1"/>
  <c r="F30" i="1"/>
  <c r="F4" i="1"/>
  <c r="F23" i="1"/>
  <c r="F13" i="1"/>
  <c r="F14" i="1"/>
  <c r="F5" i="1"/>
  <c r="F24" i="1"/>
  <c r="F26" i="1"/>
  <c r="F31" i="1"/>
  <c r="F15" i="1"/>
  <c r="F16" i="1"/>
  <c r="F18" i="1"/>
  <c r="F19" i="1"/>
</calcChain>
</file>

<file path=xl/sharedStrings.xml><?xml version="1.0" encoding="utf-8"?>
<sst xmlns="http://schemas.openxmlformats.org/spreadsheetml/2006/main" count="218" uniqueCount="79">
  <si>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</si>
  <si>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</si>
  <si>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</si>
  <si>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</si>
  <si>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</si>
  <si>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</si>
  <si>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</si>
  <si>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</si>
  <si>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</si>
  <si>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</si>
  <si>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</si>
  <si>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Margaret Smith</t>
  </si>
  <si>
    <t>John</t>
  </si>
  <si>
    <t>Beachem</t>
  </si>
  <si>
    <t>1024804210010-01</t>
  </si>
  <si>
    <t>Highmark U65</t>
  </si>
  <si>
    <t>Highmark U65 2022-2024 IVL Override (ProRata: 3) Premium Period: 1/1/2024</t>
  </si>
  <si>
    <t>Ryan Caltagirone</t>
  </si>
  <si>
    <t>BA2413</t>
  </si>
  <si>
    <t>Bruce</t>
  </si>
  <si>
    <t>Kelley</t>
  </si>
  <si>
    <t>OH-0000065693</t>
  </si>
  <si>
    <t>Molina Marketplace</t>
  </si>
  <si>
    <t>Molina Marketplace 2023-2024 Renewal OH WI, ST (ProRata: 1) Premium Period: 4/1/2024</t>
  </si>
  <si>
    <t>Ronald</t>
  </si>
  <si>
    <t>Gengler</t>
  </si>
  <si>
    <t>OH-0002894856</t>
  </si>
  <si>
    <t>Amber</t>
  </si>
  <si>
    <t>OH-0003814368</t>
  </si>
  <si>
    <t>Boden</t>
  </si>
  <si>
    <t>Woodard</t>
  </si>
  <si>
    <t>UT-0002457940</t>
  </si>
  <si>
    <t>Molina Marketplace 2023-2024 OEP/SEP CA IL KY TX, Renewal SC UT, ST (ProRata: 1) Premium Period: 4/1/2024</t>
  </si>
  <si>
    <t>Douglas</t>
  </si>
  <si>
    <t>UT-0002943631</t>
  </si>
  <si>
    <t>Lisa</t>
  </si>
  <si>
    <t>Biagi Woodard</t>
  </si>
  <si>
    <t>UT-0003053615</t>
  </si>
  <si>
    <t>James</t>
  </si>
  <si>
    <t>Smith</t>
  </si>
  <si>
    <t>TX-0012033259</t>
  </si>
  <si>
    <t>Molina Marketplace 2024 Renewal TX, ST (ProRata: 1) Premium Period: 4/1/2024</t>
  </si>
  <si>
    <t>Adam Richter</t>
  </si>
  <si>
    <t>BD0787</t>
  </si>
  <si>
    <t>Nayan</t>
  </si>
  <si>
    <t>Patel</t>
  </si>
  <si>
    <t>TX-0013047512</t>
  </si>
  <si>
    <t>Vanessa</t>
  </si>
  <si>
    <t>Delappe</t>
  </si>
  <si>
    <t>TX-0013514902</t>
  </si>
  <si>
    <t>Katelenn Caltagirone</t>
  </si>
  <si>
    <t>BC7559</t>
  </si>
  <si>
    <t>Annette</t>
  </si>
  <si>
    <t>Brooks</t>
  </si>
  <si>
    <t>MI-0002665329</t>
  </si>
  <si>
    <t>Molina Marketplace 2023-2024 Renewal MI, ST (ProRata: 1) Premium Period: 4/1/2024</t>
  </si>
  <si>
    <t>Michael</t>
  </si>
  <si>
    <t>MI-0003273045</t>
  </si>
  <si>
    <t>Kyle</t>
  </si>
  <si>
    <t>Hoffman</t>
  </si>
  <si>
    <t>MI-0003825033</t>
  </si>
  <si>
    <t>Floyd</t>
  </si>
  <si>
    <t>Adams</t>
  </si>
  <si>
    <t>FL-0016455763</t>
  </si>
  <si>
    <t>Molina Marketplace 2024 Renewal FL, ST (ProRata: 1) Premium Period: 4/1/2024</t>
  </si>
  <si>
    <t>Molina Marketplace 2024 OEP/SEP Renewal OR (ProRata: 1) Premium Period: 4/1/2024</t>
  </si>
  <si>
    <t>Michelle McCorkle</t>
  </si>
  <si>
    <t>Schnur</t>
  </si>
  <si>
    <t>J000004782</t>
  </si>
  <si>
    <t>Jefferson Health Plans U65</t>
  </si>
  <si>
    <t>Jefferson Health U65 2024 Full (ProRata: 1)</t>
  </si>
  <si>
    <t>Carol Foley</t>
  </si>
  <si>
    <t>Robert</t>
  </si>
  <si>
    <t>Papile</t>
  </si>
  <si>
    <t>J000004844</t>
  </si>
  <si>
    <t>Marybeth</t>
  </si>
  <si>
    <t>Hucker</t>
  </si>
  <si>
    <t>J000008552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</si>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</sst>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8" fontId="0" fillId="0" borderId="0" xfId="0" applyNumberFormat="1"/>
    <xf numFmtId="0" fontId="0" fillId="33" borderId="0" xfId="0" applyFill="1"/>
    <xf numFmtId="14" fontId="0" fillId="33" borderId="0" xfId="0" applyNumberFormat="1" applyFill="1"/>
    <xf numFmtId="8" fontId="0" fillId="33" borderId="0" xfId="0" applyNumberFormat="1" applyFill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81A7B-0443-41E8-8AF2-62221C1FC3E6}">
  <dimension ref="A1:L31"/>
  <sheetViews>
    <sheetView tabSelected="1" workbookViewId="0">
      <selection activeCell="H20" sqref="A1:L31"/>
    </sheetView>
  </sheetViews>
  <sheetFormatPr defaultRowHeight="15" x14ac:dyDescent="0.25"/>
  <cols>
    <col min="1" max="1" width="19.5703125" bestFit="1" customWidth="1"/>
    <col min="2" max="2" width="15" bestFit="1" customWidth="1"/>
    <col min="3" max="3" width="10.28515625" bestFit="1" customWidth="1"/>
    <col min="4" max="4" width="10.5703125" bestFit="1" customWidth="1"/>
    <col min="5" max="5" width="14.140625" bestFit="1" customWidth="1"/>
    <col min="6" max="6" width="14.140625" customWidth="1"/>
    <col min="7" max="7" width="16.85546875" bestFit="1" customWidth="1"/>
    <col min="8" max="8" width="11.5703125" bestFit="1" customWidth="1"/>
    <col min="9" max="9" width="14.7109375" bestFit="1" customWidth="1"/>
    <col min="10" max="10" width="24.5703125" bestFit="1" customWidth="1"/>
    <col min="11" max="11" width="98.7109375" bestFit="1" customWidth="1"/>
    <col min="12" max="12" width="15.71093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78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s="3" customFormat="1" x14ac:dyDescent="0.25">
      <c r="A2" t="s">
        <v>17</v>
      </c>
      <c r="B2" t="s">
        <v>18</v>
      </c>
      <c r="C2">
        <v>8977234</v>
      </c>
      <c r="D2" t="s">
        <v>27</v>
      </c>
      <c r="E2" t="s">
        <v>25</v>
      </c>
      <c r="F2" s="6" t="str">
        <f>CONCATENATE(D2," ",E2)</f>
        <v>Amber Gengler</v>
      </c>
      <c r="G2" t="s">
        <v>28</v>
      </c>
      <c r="H2" s="1">
        <v>45292</v>
      </c>
      <c r="I2" s="1">
        <v>45408</v>
      </c>
      <c r="J2" t="s">
        <v>22</v>
      </c>
      <c r="K2" t="s">
        <v>23</v>
      </c>
      <c r="L2" s="2">
        <v>16</v>
      </c>
    </row>
    <row r="3" spans="1:12" x14ac:dyDescent="0.25">
      <c r="A3" t="s">
        <v>17</v>
      </c>
      <c r="B3" t="s">
        <v>18</v>
      </c>
      <c r="C3">
        <v>8977234</v>
      </c>
      <c r="D3" t="s">
        <v>27</v>
      </c>
      <c r="E3" t="s">
        <v>25</v>
      </c>
      <c r="F3" s="6" t="str">
        <f>CONCATENATE(D3," ",E3)</f>
        <v>Amber Gengler</v>
      </c>
      <c r="G3" t="s">
        <v>28</v>
      </c>
      <c r="H3" s="1">
        <v>45292</v>
      </c>
      <c r="I3" s="1">
        <v>45408</v>
      </c>
      <c r="J3" t="s">
        <v>22</v>
      </c>
      <c r="K3" t="s">
        <v>65</v>
      </c>
      <c r="L3" s="2">
        <v>2.5</v>
      </c>
    </row>
    <row r="4" spans="1:12" x14ac:dyDescent="0.25">
      <c r="A4" t="s">
        <v>50</v>
      </c>
      <c r="B4" t="s">
        <v>51</v>
      </c>
      <c r="C4">
        <v>20436896</v>
      </c>
      <c r="D4" t="s">
        <v>52</v>
      </c>
      <c r="E4" t="s">
        <v>53</v>
      </c>
      <c r="F4" s="6" t="str">
        <f>CONCATENATE(D4," ",E4)</f>
        <v>Annette Brooks</v>
      </c>
      <c r="G4" t="s">
        <v>54</v>
      </c>
      <c r="H4" s="1">
        <v>44927</v>
      </c>
      <c r="I4" s="1">
        <v>45408</v>
      </c>
      <c r="J4" t="s">
        <v>22</v>
      </c>
      <c r="K4" t="s">
        <v>55</v>
      </c>
      <c r="L4" s="2">
        <v>24</v>
      </c>
    </row>
    <row r="5" spans="1:12" x14ac:dyDescent="0.25">
      <c r="A5" t="s">
        <v>50</v>
      </c>
      <c r="B5" t="s">
        <v>51</v>
      </c>
      <c r="C5">
        <v>20436896</v>
      </c>
      <c r="D5" t="s">
        <v>52</v>
      </c>
      <c r="E5" t="s">
        <v>53</v>
      </c>
      <c r="F5" s="6" t="str">
        <f>CONCATENATE(D5," ",E5)</f>
        <v>Annette Brooks</v>
      </c>
      <c r="G5" t="s">
        <v>54</v>
      </c>
      <c r="H5" s="1">
        <v>44927</v>
      </c>
      <c r="I5" s="1">
        <v>45408</v>
      </c>
      <c r="J5" t="s">
        <v>22</v>
      </c>
      <c r="K5" t="s">
        <v>65</v>
      </c>
      <c r="L5" s="2">
        <v>2.5</v>
      </c>
    </row>
    <row r="6" spans="1:12" x14ac:dyDescent="0.25">
      <c r="A6" s="3" t="s">
        <v>66</v>
      </c>
      <c r="B6" s="3">
        <v>18710070</v>
      </c>
      <c r="C6" s="3">
        <v>18710070</v>
      </c>
      <c r="D6" s="3" t="s">
        <v>52</v>
      </c>
      <c r="E6" s="3" t="s">
        <v>67</v>
      </c>
      <c r="F6" s="6" t="str">
        <f>CONCATENATE(D6," ",E6)</f>
        <v>Annette Schnur</v>
      </c>
      <c r="G6" s="3" t="s">
        <v>68</v>
      </c>
      <c r="H6" s="4">
        <v>45292</v>
      </c>
      <c r="I6" s="4">
        <v>45408</v>
      </c>
      <c r="J6" s="3" t="s">
        <v>69</v>
      </c>
      <c r="K6" s="3" t="s">
        <v>70</v>
      </c>
      <c r="L6" s="5">
        <v>23</v>
      </c>
    </row>
    <row r="7" spans="1:12" x14ac:dyDescent="0.25">
      <c r="A7" t="s">
        <v>17</v>
      </c>
      <c r="B7" t="s">
        <v>18</v>
      </c>
      <c r="C7">
        <v>8977234</v>
      </c>
      <c r="D7" t="s">
        <v>29</v>
      </c>
      <c r="E7" t="s">
        <v>30</v>
      </c>
      <c r="F7" s="6" t="str">
        <f>CONCATENATE(D7," ",E7)</f>
        <v>Boden Woodard</v>
      </c>
      <c r="G7" t="s">
        <v>31</v>
      </c>
      <c r="H7" s="1">
        <v>45292</v>
      </c>
      <c r="I7" s="1">
        <v>45408</v>
      </c>
      <c r="J7" t="s">
        <v>22</v>
      </c>
      <c r="K7" t="s">
        <v>32</v>
      </c>
      <c r="L7" s="2">
        <v>19</v>
      </c>
    </row>
    <row r="8" spans="1:12" x14ac:dyDescent="0.25">
      <c r="A8" t="s">
        <v>17</v>
      </c>
      <c r="B8" t="s">
        <v>18</v>
      </c>
      <c r="C8">
        <v>8977234</v>
      </c>
      <c r="D8" t="s">
        <v>29</v>
      </c>
      <c r="E8" t="s">
        <v>30</v>
      </c>
      <c r="F8" s="6" t="str">
        <f>CONCATENATE(D8," ",E8)</f>
        <v>Boden Woodard</v>
      </c>
      <c r="G8" t="s">
        <v>31</v>
      </c>
      <c r="H8" s="1">
        <v>45292</v>
      </c>
      <c r="I8" s="1">
        <v>45408</v>
      </c>
      <c r="J8" t="s">
        <v>22</v>
      </c>
      <c r="K8" t="s">
        <v>65</v>
      </c>
      <c r="L8" s="2">
        <v>2.5</v>
      </c>
    </row>
    <row r="9" spans="1:12" x14ac:dyDescent="0.25">
      <c r="A9" t="s">
        <v>17</v>
      </c>
      <c r="B9" t="s">
        <v>18</v>
      </c>
      <c r="C9">
        <v>8977234</v>
      </c>
      <c r="D9" t="s">
        <v>19</v>
      </c>
      <c r="E9" t="s">
        <v>20</v>
      </c>
      <c r="F9" s="6" t="str">
        <f>CONCATENATE(D9," ",E9)</f>
        <v>Bruce Kelley</v>
      </c>
      <c r="G9" t="s">
        <v>21</v>
      </c>
      <c r="H9" s="1">
        <v>45292</v>
      </c>
      <c r="I9" s="1">
        <v>45408</v>
      </c>
      <c r="J9" t="s">
        <v>22</v>
      </c>
      <c r="K9" t="s">
        <v>23</v>
      </c>
      <c r="L9" s="2">
        <v>16</v>
      </c>
    </row>
    <row r="10" spans="1:12" x14ac:dyDescent="0.25">
      <c r="A10" t="s">
        <v>17</v>
      </c>
      <c r="B10" t="s">
        <v>18</v>
      </c>
      <c r="C10">
        <v>8977234</v>
      </c>
      <c r="D10" t="s">
        <v>19</v>
      </c>
      <c r="E10" t="s">
        <v>20</v>
      </c>
      <c r="F10" s="6" t="str">
        <f>CONCATENATE(D10," ",E10)</f>
        <v>Bruce Kelley</v>
      </c>
      <c r="G10" t="s">
        <v>21</v>
      </c>
      <c r="H10" s="1">
        <v>45292</v>
      </c>
      <c r="I10" s="1">
        <v>45408</v>
      </c>
      <c r="J10" t="s">
        <v>22</v>
      </c>
      <c r="K10" t="s">
        <v>65</v>
      </c>
      <c r="L10" s="2">
        <v>2.5</v>
      </c>
    </row>
    <row r="11" spans="1:12" x14ac:dyDescent="0.25">
      <c r="A11" t="s">
        <v>17</v>
      </c>
      <c r="B11" t="s">
        <v>18</v>
      </c>
      <c r="C11">
        <v>8977234</v>
      </c>
      <c r="D11" t="s">
        <v>33</v>
      </c>
      <c r="E11" t="s">
        <v>30</v>
      </c>
      <c r="F11" s="6" t="str">
        <f>CONCATENATE(D11," ",E11)</f>
        <v>Douglas Woodard</v>
      </c>
      <c r="G11" t="s">
        <v>34</v>
      </c>
      <c r="H11" s="1">
        <v>45292</v>
      </c>
      <c r="I11" s="1">
        <v>45408</v>
      </c>
      <c r="J11" t="s">
        <v>22</v>
      </c>
      <c r="K11" t="s">
        <v>32</v>
      </c>
      <c r="L11" s="2">
        <v>19</v>
      </c>
    </row>
    <row r="12" spans="1:12" x14ac:dyDescent="0.25">
      <c r="A12" t="s">
        <v>17</v>
      </c>
      <c r="B12" t="s">
        <v>18</v>
      </c>
      <c r="C12">
        <v>8977234</v>
      </c>
      <c r="D12" t="s">
        <v>33</v>
      </c>
      <c r="E12" t="s">
        <v>30</v>
      </c>
      <c r="F12" s="6" t="str">
        <f>CONCATENATE(D12," ",E12)</f>
        <v>Douglas Woodard</v>
      </c>
      <c r="G12" t="s">
        <v>34</v>
      </c>
      <c r="H12" s="1">
        <v>45292</v>
      </c>
      <c r="I12" s="1">
        <v>45408</v>
      </c>
      <c r="J12" t="s">
        <v>22</v>
      </c>
      <c r="K12" t="s">
        <v>65</v>
      </c>
      <c r="L12" s="2">
        <v>2.5</v>
      </c>
    </row>
    <row r="13" spans="1:12" x14ac:dyDescent="0.25">
      <c r="A13" t="s">
        <v>42</v>
      </c>
      <c r="B13" t="s">
        <v>43</v>
      </c>
      <c r="C13">
        <v>9079571</v>
      </c>
      <c r="D13" t="s">
        <v>61</v>
      </c>
      <c r="E13" t="s">
        <v>62</v>
      </c>
      <c r="F13" s="6" t="str">
        <f>CONCATENATE(D13," ",E13)</f>
        <v>Floyd Adams</v>
      </c>
      <c r="G13" t="s">
        <v>63</v>
      </c>
      <c r="H13" s="1">
        <v>44927</v>
      </c>
      <c r="I13" s="1">
        <v>45408</v>
      </c>
      <c r="J13" t="s">
        <v>22</v>
      </c>
      <c r="K13" t="s">
        <v>64</v>
      </c>
      <c r="L13" s="2">
        <v>25</v>
      </c>
    </row>
    <row r="14" spans="1:12" x14ac:dyDescent="0.25">
      <c r="A14" t="s">
        <v>42</v>
      </c>
      <c r="B14" t="s">
        <v>43</v>
      </c>
      <c r="C14">
        <v>9079571</v>
      </c>
      <c r="D14" t="s">
        <v>61</v>
      </c>
      <c r="E14" t="s">
        <v>62</v>
      </c>
      <c r="F14" s="6" t="str">
        <f>CONCATENATE(D14," ",E14)</f>
        <v>Floyd Adams</v>
      </c>
      <c r="G14" t="s">
        <v>63</v>
      </c>
      <c r="H14" s="1">
        <v>44927</v>
      </c>
      <c r="I14" s="1">
        <v>45408</v>
      </c>
      <c r="J14" t="s">
        <v>22</v>
      </c>
      <c r="K14" t="s">
        <v>65</v>
      </c>
      <c r="L14" s="2">
        <v>2.5</v>
      </c>
    </row>
    <row r="15" spans="1:12" x14ac:dyDescent="0.25">
      <c r="A15" t="s">
        <v>17</v>
      </c>
      <c r="B15" t="s">
        <v>18</v>
      </c>
      <c r="C15">
        <v>8977234</v>
      </c>
      <c r="D15" t="s">
        <v>38</v>
      </c>
      <c r="E15" t="s">
        <v>39</v>
      </c>
      <c r="F15" s="6" t="str">
        <f>CONCATENATE(D15," ",E15)</f>
        <v>James Smith</v>
      </c>
      <c r="G15" t="s">
        <v>40</v>
      </c>
      <c r="H15" s="1">
        <v>44835</v>
      </c>
      <c r="I15" s="1">
        <v>45408</v>
      </c>
      <c r="J15" t="s">
        <v>22</v>
      </c>
      <c r="K15" t="s">
        <v>41</v>
      </c>
      <c r="L15" s="2">
        <v>22</v>
      </c>
    </row>
    <row r="16" spans="1:12" x14ac:dyDescent="0.25">
      <c r="A16" t="s">
        <v>17</v>
      </c>
      <c r="B16" t="s">
        <v>18</v>
      </c>
      <c r="C16">
        <v>8977234</v>
      </c>
      <c r="D16" t="s">
        <v>38</v>
      </c>
      <c r="E16" t="s">
        <v>39</v>
      </c>
      <c r="F16" s="6" t="str">
        <f>CONCATENATE(D16," ",E16)</f>
        <v>James Smith</v>
      </c>
      <c r="G16" t="s">
        <v>40</v>
      </c>
      <c r="H16" s="1">
        <v>44835</v>
      </c>
      <c r="I16" s="1">
        <v>45408</v>
      </c>
      <c r="J16" t="s">
        <v>22</v>
      </c>
      <c r="K16" t="s">
        <v>65</v>
      </c>
      <c r="L16" s="2">
        <v>2.5</v>
      </c>
    </row>
    <row r="17" spans="1:12" x14ac:dyDescent="0.25">
      <c r="A17" s="3" t="s">
        <v>11</v>
      </c>
      <c r="B17" s="3">
        <v>20253958</v>
      </c>
      <c r="C17" s="3">
        <v>20253958</v>
      </c>
      <c r="D17" s="3" t="s">
        <v>12</v>
      </c>
      <c r="E17" s="3" t="s">
        <v>13</v>
      </c>
      <c r="F17" s="6" t="str">
        <f>CONCATENATE(D17," ",E17)</f>
        <v>John Beachem</v>
      </c>
      <c r="G17" s="3" t="s">
        <v>14</v>
      </c>
      <c r="H17" s="4">
        <v>44927</v>
      </c>
      <c r="I17" s="4">
        <v>45408</v>
      </c>
      <c r="J17" s="3" t="s">
        <v>15</v>
      </c>
      <c r="K17" s="3" t="s">
        <v>16</v>
      </c>
      <c r="L17" s="5">
        <v>3</v>
      </c>
    </row>
    <row r="18" spans="1:12" x14ac:dyDescent="0.25">
      <c r="A18" t="s">
        <v>50</v>
      </c>
      <c r="B18" t="s">
        <v>51</v>
      </c>
      <c r="C18">
        <v>20436896</v>
      </c>
      <c r="D18" t="s">
        <v>58</v>
      </c>
      <c r="E18" t="s">
        <v>59</v>
      </c>
      <c r="F18" s="6" t="str">
        <f>CONCATENATE(D18," ",E18)</f>
        <v>Kyle Hoffman</v>
      </c>
      <c r="G18" t="s">
        <v>60</v>
      </c>
      <c r="H18" s="1">
        <v>44197</v>
      </c>
      <c r="I18" s="1">
        <v>45408</v>
      </c>
      <c r="J18" t="s">
        <v>22</v>
      </c>
      <c r="K18" t="s">
        <v>55</v>
      </c>
      <c r="L18" s="2">
        <v>24</v>
      </c>
    </row>
    <row r="19" spans="1:12" x14ac:dyDescent="0.25">
      <c r="A19" t="s">
        <v>50</v>
      </c>
      <c r="B19" t="s">
        <v>51</v>
      </c>
      <c r="C19">
        <v>20436896</v>
      </c>
      <c r="D19" t="s">
        <v>58</v>
      </c>
      <c r="E19" t="s">
        <v>59</v>
      </c>
      <c r="F19" s="6" t="str">
        <f>CONCATENATE(D19," ",E19)</f>
        <v>Kyle Hoffman</v>
      </c>
      <c r="G19" t="s">
        <v>60</v>
      </c>
      <c r="H19" s="1">
        <v>44197</v>
      </c>
      <c r="I19" s="1">
        <v>45408</v>
      </c>
      <c r="J19" t="s">
        <v>22</v>
      </c>
      <c r="K19" t="s">
        <v>65</v>
      </c>
      <c r="L19" s="2">
        <v>2.5</v>
      </c>
    </row>
    <row r="20" spans="1:12" x14ac:dyDescent="0.25">
      <c r="A20" t="s">
        <v>17</v>
      </c>
      <c r="B20" t="s">
        <v>18</v>
      </c>
      <c r="C20">
        <v>8977234</v>
      </c>
      <c r="D20" t="s">
        <v>35</v>
      </c>
      <c r="E20" t="s">
        <v>36</v>
      </c>
      <c r="F20" s="6" t="str">
        <f>CONCATENATE(D20," ",E20)</f>
        <v>Lisa Biagi Woodard</v>
      </c>
      <c r="G20" t="s">
        <v>37</v>
      </c>
      <c r="H20" s="1">
        <v>45292</v>
      </c>
      <c r="I20" s="1">
        <v>45408</v>
      </c>
      <c r="J20" t="s">
        <v>22</v>
      </c>
      <c r="K20" t="s">
        <v>32</v>
      </c>
      <c r="L20" s="2">
        <v>19</v>
      </c>
    </row>
    <row r="21" spans="1:12" x14ac:dyDescent="0.25">
      <c r="A21" t="s">
        <v>17</v>
      </c>
      <c r="B21" t="s">
        <v>18</v>
      </c>
      <c r="C21">
        <v>8977234</v>
      </c>
      <c r="D21" t="s">
        <v>35</v>
      </c>
      <c r="E21" t="s">
        <v>36</v>
      </c>
      <c r="F21" s="6" t="str">
        <f>CONCATENATE(D21," ",E21)</f>
        <v>Lisa Biagi Woodard</v>
      </c>
      <c r="G21" t="s">
        <v>37</v>
      </c>
      <c r="H21" s="1">
        <v>45292</v>
      </c>
      <c r="I21" s="1">
        <v>45408</v>
      </c>
      <c r="J21" t="s">
        <v>22</v>
      </c>
      <c r="K21" t="s">
        <v>65</v>
      </c>
      <c r="L21" s="2">
        <v>2.5</v>
      </c>
    </row>
    <row r="22" spans="1:12" x14ac:dyDescent="0.25">
      <c r="A22" s="3" t="s">
        <v>71</v>
      </c>
      <c r="B22" s="3"/>
      <c r="C22" s="3">
        <v>17425766</v>
      </c>
      <c r="D22" s="3" t="s">
        <v>75</v>
      </c>
      <c r="E22" s="3" t="s">
        <v>76</v>
      </c>
      <c r="F22" s="6" t="str">
        <f>CONCATENATE(D22,"  ",E22)</f>
        <v>Marybeth  Hucker</v>
      </c>
      <c r="G22" s="3" t="s">
        <v>77</v>
      </c>
      <c r="H22" s="4">
        <v>45383</v>
      </c>
      <c r="I22" s="4">
        <v>45408</v>
      </c>
      <c r="J22" s="3" t="s">
        <v>69</v>
      </c>
      <c r="K22" s="3" t="s">
        <v>70</v>
      </c>
      <c r="L22" s="5">
        <v>23</v>
      </c>
    </row>
    <row r="23" spans="1:12" x14ac:dyDescent="0.25">
      <c r="A23" t="s">
        <v>50</v>
      </c>
      <c r="B23" t="s">
        <v>51</v>
      </c>
      <c r="C23">
        <v>20436896</v>
      </c>
      <c r="D23" t="s">
        <v>56</v>
      </c>
      <c r="E23" t="s">
        <v>53</v>
      </c>
      <c r="F23" s="6" t="str">
        <f>CONCATENATE(D23," ",E23)</f>
        <v>Michael Brooks</v>
      </c>
      <c r="G23" t="s">
        <v>57</v>
      </c>
      <c r="H23" s="1">
        <v>44927</v>
      </c>
      <c r="I23" s="1">
        <v>45408</v>
      </c>
      <c r="J23" t="s">
        <v>22</v>
      </c>
      <c r="K23" t="s">
        <v>55</v>
      </c>
      <c r="L23" s="2">
        <v>24</v>
      </c>
    </row>
    <row r="24" spans="1:12" x14ac:dyDescent="0.25">
      <c r="A24" t="s">
        <v>50</v>
      </c>
      <c r="B24" t="s">
        <v>51</v>
      </c>
      <c r="C24">
        <v>20436896</v>
      </c>
      <c r="D24" t="s">
        <v>56</v>
      </c>
      <c r="E24" t="s">
        <v>53</v>
      </c>
      <c r="F24" s="6" t="str">
        <f>CONCATENATE(D24," ",E24)</f>
        <v>Michael Brooks</v>
      </c>
      <c r="G24" t="s">
        <v>57</v>
      </c>
      <c r="H24" s="1">
        <v>44927</v>
      </c>
      <c r="I24" s="1">
        <v>45408</v>
      </c>
      <c r="J24" t="s">
        <v>22</v>
      </c>
      <c r="K24" t="s">
        <v>65</v>
      </c>
      <c r="L24" s="2">
        <v>2.5</v>
      </c>
    </row>
    <row r="25" spans="1:12" x14ac:dyDescent="0.25">
      <c r="A25" t="s">
        <v>42</v>
      </c>
      <c r="B25" t="s">
        <v>43</v>
      </c>
      <c r="C25">
        <v>9079571</v>
      </c>
      <c r="D25" t="s">
        <v>44</v>
      </c>
      <c r="E25" t="s">
        <v>45</v>
      </c>
      <c r="F25" s="6" t="str">
        <f>CONCATENATE(D25," ",E25)</f>
        <v>Nayan Patel</v>
      </c>
      <c r="G25" t="s">
        <v>46</v>
      </c>
      <c r="H25" s="1">
        <v>44927</v>
      </c>
      <c r="I25" s="1">
        <v>45408</v>
      </c>
      <c r="J25" t="s">
        <v>22</v>
      </c>
      <c r="K25" t="s">
        <v>41</v>
      </c>
      <c r="L25" s="2">
        <v>22</v>
      </c>
    </row>
    <row r="26" spans="1:12" x14ac:dyDescent="0.25">
      <c r="A26" t="s">
        <v>42</v>
      </c>
      <c r="B26" t="s">
        <v>43</v>
      </c>
      <c r="C26">
        <v>9079571</v>
      </c>
      <c r="D26" t="s">
        <v>44</v>
      </c>
      <c r="E26" t="s">
        <v>45</v>
      </c>
      <c r="F26" s="6" t="str">
        <f>CONCATENATE(D26," ",E26)</f>
        <v>Nayan Patel</v>
      </c>
      <c r="G26" t="s">
        <v>46</v>
      </c>
      <c r="H26" s="1">
        <v>44927</v>
      </c>
      <c r="I26" s="1">
        <v>45408</v>
      </c>
      <c r="J26" t="s">
        <v>22</v>
      </c>
      <c r="K26" t="s">
        <v>65</v>
      </c>
      <c r="L26" s="2">
        <v>2.5</v>
      </c>
    </row>
    <row r="27" spans="1:12" x14ac:dyDescent="0.25">
      <c r="A27" s="3" t="s">
        <v>71</v>
      </c>
      <c r="B27" s="3"/>
      <c r="C27" s="3">
        <v>17425766</v>
      </c>
      <c r="D27" s="3" t="s">
        <v>72</v>
      </c>
      <c r="E27" s="3" t="s">
        <v>73</v>
      </c>
      <c r="F27" s="6" t="str">
        <f>CONCATENATE(D27," ",E27)</f>
        <v>Robert Papile</v>
      </c>
      <c r="G27" s="3" t="s">
        <v>74</v>
      </c>
      <c r="H27" s="4">
        <v>45292</v>
      </c>
      <c r="I27" s="4">
        <v>45408</v>
      </c>
      <c r="J27" s="3" t="s">
        <v>69</v>
      </c>
      <c r="K27" s="3" t="s">
        <v>70</v>
      </c>
      <c r="L27" s="5">
        <v>23</v>
      </c>
    </row>
    <row r="28" spans="1:12" x14ac:dyDescent="0.25">
      <c r="A28" t="s">
        <v>17</v>
      </c>
      <c r="B28" t="s">
        <v>18</v>
      </c>
      <c r="C28">
        <v>8977234</v>
      </c>
      <c r="D28" t="s">
        <v>24</v>
      </c>
      <c r="E28" t="s">
        <v>25</v>
      </c>
      <c r="F28" s="6" t="str">
        <f>CONCATENATE(D28," ",E28)</f>
        <v>Ronald Gengler</v>
      </c>
      <c r="G28" t="s">
        <v>26</v>
      </c>
      <c r="H28" s="1">
        <v>45292</v>
      </c>
      <c r="I28" s="1">
        <v>45408</v>
      </c>
      <c r="J28" t="s">
        <v>22</v>
      </c>
      <c r="K28" t="s">
        <v>23</v>
      </c>
      <c r="L28" s="2">
        <v>16</v>
      </c>
    </row>
    <row r="29" spans="1:12" s="3" customFormat="1" x14ac:dyDescent="0.25">
      <c r="A29" t="s">
        <v>17</v>
      </c>
      <c r="B29" t="s">
        <v>18</v>
      </c>
      <c r="C29">
        <v>8977234</v>
      </c>
      <c r="D29" t="s">
        <v>24</v>
      </c>
      <c r="E29" t="s">
        <v>25</v>
      </c>
      <c r="F29" s="6" t="str">
        <f>CONCATENATE(D29," ",E29)</f>
        <v>Ronald Gengler</v>
      </c>
      <c r="G29" t="s">
        <v>26</v>
      </c>
      <c r="H29" s="1">
        <v>45292</v>
      </c>
      <c r="I29" s="1">
        <v>45408</v>
      </c>
      <c r="J29" t="s">
        <v>22</v>
      </c>
      <c r="K29" t="s">
        <v>65</v>
      </c>
      <c r="L29" s="2">
        <v>2.5</v>
      </c>
    </row>
    <row r="30" spans="1:12" s="3" customFormat="1" x14ac:dyDescent="0.25">
      <c r="A30" t="s">
        <v>42</v>
      </c>
      <c r="B30" t="s">
        <v>43</v>
      </c>
      <c r="C30">
        <v>9079571</v>
      </c>
      <c r="D30" t="s">
        <v>47</v>
      </c>
      <c r="E30" t="s">
        <v>48</v>
      </c>
      <c r="F30" s="6" t="str">
        <f>CONCATENATE(D30," ",E30)</f>
        <v>Vanessa Delappe</v>
      </c>
      <c r="G30" t="s">
        <v>49</v>
      </c>
      <c r="H30" s="1">
        <v>44927</v>
      </c>
      <c r="I30" s="1">
        <v>45408</v>
      </c>
      <c r="J30" t="s">
        <v>22</v>
      </c>
      <c r="K30" t="s">
        <v>41</v>
      </c>
      <c r="L30" s="2">
        <v>22</v>
      </c>
    </row>
    <row r="31" spans="1:12" s="3" customFormat="1" x14ac:dyDescent="0.25">
      <c r="A31" t="s">
        <v>42</v>
      </c>
      <c r="B31" t="s">
        <v>43</v>
      </c>
      <c r="C31">
        <v>9079571</v>
      </c>
      <c r="D31" t="s">
        <v>47</v>
      </c>
      <c r="E31" t="s">
        <v>48</v>
      </c>
      <c r="F31" s="6" t="str">
        <f>CONCATENATE(D31," ",E31)</f>
        <v>Vanessa Delappe</v>
      </c>
      <c r="G31" t="s">
        <v>49</v>
      </c>
      <c r="H31" s="1">
        <v>44927</v>
      </c>
      <c r="I31" s="1">
        <v>45408</v>
      </c>
      <c r="J31" t="s">
        <v>22</v>
      </c>
      <c r="K31" t="s">
        <v>65</v>
      </c>
      <c r="L31" s="2">
        <v>2.5</v>
      </c>
    </row>
  </sheetData>
  <sortState xmlns:xlrd2="http://schemas.microsoft.com/office/spreadsheetml/2017/richdata2" ref="A2:L31">
    <sortCondition ref="F2:F3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Commissions_Main Line Benefits,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2024-05-29T14:59:13Z</dcterms:created>
  <dcterms:modified xsi:type="dcterms:W3CDTF">2024-05-29T16:29:58Z</dcterms:modified>
</cp:coreProperties>
</file>