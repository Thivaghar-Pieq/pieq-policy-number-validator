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R4Bcb/5363IinlQVzPjySM+a+v4ltQLUwqP17kyAqi0="/>
    </ext>
  </extLst>
</workbook>
</file>

<file path=xl/sharedStrings.xml><?xml version="1.0" encoding="utf-8"?>
<sst xmlns="http://schemas.openxmlformats.org/spreadsheetml/2006/main" count="501" uniqueCount="82">
  <si>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</si>
  <si>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</si>
  <si>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</si>
  <si>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</si>
  <si>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</si>
  <si>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</si>
  <si>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</si>
  <si>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</si>
  <si>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</si>
  <si>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</si>
  <si>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</si>
  <si>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Saadia Abdul</t>
  </si>
  <si>
    <t>Miguel</t>
  </si>
  <si>
    <t>Peralta</t>
  </si>
  <si>
    <t>IL-1000144545</t>
  </si>
  <si>
    <t>Molina Marketplace</t>
  </si>
  <si>
    <t>Molina Marketplace 2026 OEP/SEP Renewal / Initial OR (ProRata: 1) Premium Period: 4/1/2026</t>
  </si>
  <si>
    <t>Ryan Caltagirone</t>
  </si>
  <si>
    <t>BA2413</t>
  </si>
  <si>
    <t>Tommy</t>
  </si>
  <si>
    <t>Harber</t>
  </si>
  <si>
    <t>FL-0016532146</t>
  </si>
  <si>
    <t>Richard</t>
  </si>
  <si>
    <t>Jarvis</t>
  </si>
  <si>
    <t>FL-0023640428</t>
  </si>
  <si>
    <t>Bruce</t>
  </si>
  <si>
    <t>Kelley</t>
  </si>
  <si>
    <t>OH-0000065693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</si>
  <si>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</si>
  <si>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</si>
  <si>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</si>
  <si>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</si>
  <si>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</si>
  <si>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</si>
  <si>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</si>
  <si>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</si>
  <si>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</si>
  <si>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</si>
  <si>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</si>
  <si>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Jace</t>
  </si>
  <si>
    <t>Harris</t>
  </si>
  <si>
    <t>UT-0002368301</t>
  </si>
  <si>
    <t>Toni</t>
  </si>
  <si>
    <t>Charter</t>
  </si>
  <si>
    <t>UT-0002516451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</si>
  <si>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</si>
  <si>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</si>
  <si>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</si>
  <si>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</si>
  <si>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</si>
  <si>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</si>
  <si>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</si>
  <si>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</si>
  <si>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Richard Yale</t>
  </si>
  <si>
    <t>Lazaros</t>
  </si>
  <si>
    <t>Bolis</t>
  </si>
  <si>
    <t>IL-1000092469</t>
  </si>
  <si>
    <t>Sebastiana</t>
  </si>
  <si>
    <t>Bonafede</t>
  </si>
  <si>
    <t>IL-1000494836</t>
  </si>
  <si>
    <t>Jonathan Aloff</t>
  </si>
  <si>
    <t>Jean</t>
  </si>
  <si>
    <t>Williams</t>
  </si>
  <si>
    <t>FL-0020265408</t>
  </si>
  <si>
    <t>Gary Portugal</t>
  </si>
  <si>
    <t>Patrick</t>
  </si>
  <si>
    <t>Matsuda</t>
  </si>
  <si>
    <t>IL-1000101370</t>
  </si>
  <si>
    <t>Marco</t>
  </si>
  <si>
    <t>Flores</t>
  </si>
  <si>
    <t>IL-1000524629</t>
  </si>
  <si>
    <t>Molina Marketplace 2025-26 CA, KY, OH / 2026 WA UT ST (ProRata: 1) Premium Period: 4/1/2026</t>
  </si>
  <si>
    <t>Molina Marketplace 2025 OEP/SEP MS / OH Renewal (ProRata: 1) Premium Period: 4/1/2026</t>
  </si>
  <si>
    <t>Molina Marketplace 2025 IL, SC, TX ST (ProRata: 1) Premium Period: 4/1/2026</t>
  </si>
  <si>
    <t>Molina Marketplace 2025 Renewal FL/SC, ST (ProRata: 1) Premium Period: 4/1/2026</t>
  </si>
  <si>
    <t>pro</t>
  </si>
  <si>
    <t>Main Line Benefits</t>
  </si>
  <si>
    <t>Molina Ovr</t>
  </si>
  <si>
    <t>Molina - WA KY UT 2026</t>
  </si>
  <si>
    <t>Molina OH 2026</t>
  </si>
  <si>
    <t>Molina 2025 IL, SC, TX</t>
  </si>
  <si>
    <t>Molina - FL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</si>
</sst>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4.57"/>
    <col customWidth="1" min="7" max="7" width="11.86"/>
    <col customWidth="1" min="8" max="8" width="14.71"/>
    <col customWidth="1" min="9" max="9" width="18.86"/>
    <col customWidth="1" min="10" max="10" width="86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1.9396223E7</v>
      </c>
      <c r="D2" s="1" t="s">
        <v>12</v>
      </c>
      <c r="E2" s="1" t="s">
        <v>13</v>
      </c>
      <c r="F2" s="1" t="s">
        <v>14</v>
      </c>
      <c r="G2" s="2">
        <v>45566.0</v>
      </c>
      <c r="H2" s="2">
        <v>46143.0</v>
      </c>
      <c r="I2" s="1" t="s">
        <v>15</v>
      </c>
      <c r="J2" s="1" t="s">
        <v>16</v>
      </c>
      <c r="K2" s="3">
        <v>3.0</v>
      </c>
    </row>
    <row r="3">
      <c r="A3" s="1" t="s">
        <v>17</v>
      </c>
      <c r="B3" s="1" t="s">
        <v>18</v>
      </c>
      <c r="C3" s="1">
        <v>8977234.0</v>
      </c>
      <c r="D3" s="1" t="s">
        <v>19</v>
      </c>
      <c r="E3" s="1" t="s">
        <v>20</v>
      </c>
      <c r="F3" s="1" t="s">
        <v>21</v>
      </c>
      <c r="G3" s="2">
        <v>44986.0</v>
      </c>
      <c r="H3" s="2">
        <v>46143.0</v>
      </c>
      <c r="I3" s="1" t="s">
        <v>15</v>
      </c>
      <c r="J3" s="1" t="s">
        <v>16</v>
      </c>
      <c r="K3" s="3">
        <v>3.0</v>
      </c>
    </row>
    <row r="4">
      <c r="A4" s="1" t="s">
        <v>17</v>
      </c>
      <c r="B4" s="1" t="s">
        <v>18</v>
      </c>
      <c r="C4" s="1">
        <v>8977234.0</v>
      </c>
      <c r="D4" s="1" t="s">
        <v>22</v>
      </c>
      <c r="E4" s="1" t="s">
        <v>23</v>
      </c>
      <c r="F4" s="1" t="s">
        <v>24</v>
      </c>
      <c r="G4" s="2">
        <v>45658.0</v>
      </c>
      <c r="H4" s="2">
        <v>46143.0</v>
      </c>
      <c r="I4" s="1" t="s">
        <v>15</v>
      </c>
      <c r="J4" s="1" t="s">
        <v>16</v>
      </c>
      <c r="K4" s="3">
        <v>3.0</v>
      </c>
    </row>
    <row r="5">
      <c r="A5" s="1" t="s">
        <v>17</v>
      </c>
      <c r="B5" s="1" t="s">
        <v>18</v>
      </c>
      <c r="C5" s="1">
        <v>8977234.0</v>
      </c>
      <c r="D5" s="1" t="s">
        <v>25</v>
      </c>
      <c r="E5" s="1" t="s">
        <v>26</v>
      </c>
      <c r="F5" s="1" t="s">
        <v>27</v>
      </c>
      <c r="G5" s="2">
        <v>45292.0</v>
      </c>
      <c r="H5" s="2">
        <v>46143.0</v>
      </c>
      <c r="I5" s="1" t="s">
        <v>15</v>
      </c>
      <c r="J5" s="1" t="s">
        <v>16</v>
      </c>
      <c r="K5" s="3">
        <v>3.0</v>
      </c>
    </row>
    <row r="6">
      <c r="A6" s="1" t="s">
        <v>17</v>
      </c>
      <c r="B6" s="1" t="s">
        <v>18</v>
      </c>
      <c r="C6" s="1">
        <v>8977234.0</v>
      </c>
      <c r="D6" s="1" t="s">
        <v>28</v>
      </c>
      <c r="E6" s="1" t="s">
        <v>29</v>
      </c>
      <c r="F6" s="1" t="s">
        <v>30</v>
      </c>
      <c r="G6" s="2">
        <v>45292.0</v>
      </c>
      <c r="H6" s="2">
        <v>46143.0</v>
      </c>
      <c r="I6" s="1" t="s">
        <v>15</v>
      </c>
      <c r="J6" s="1" t="s">
        <v>16</v>
      </c>
      <c r="K6" s="3">
        <v>3.0</v>
      </c>
    </row>
    <row r="7">
      <c r="A7" s="1" t="s">
        <v>17</v>
      </c>
      <c r="B7" s="1" t="s">
        <v>18</v>
      </c>
      <c r="C7" s="1">
        <v>8977234.0</v>
      </c>
      <c r="D7" s="1" t="s">
        <v>31</v>
      </c>
      <c r="E7" s="1" t="s">
        <v>29</v>
      </c>
      <c r="F7" s="1" t="s">
        <v>32</v>
      </c>
      <c r="G7" s="2">
        <v>45292.0</v>
      </c>
      <c r="H7" s="2">
        <v>46143.0</v>
      </c>
      <c r="I7" s="1" t="s">
        <v>15</v>
      </c>
      <c r="J7" s="1" t="s">
        <v>16</v>
      </c>
      <c r="K7" s="3">
        <v>3.0</v>
      </c>
    </row>
    <row r="8">
      <c r="A8" s="1" t="s">
        <v>17</v>
      </c>
      <c r="B8" s="1" t="s">
        <v>18</v>
      </c>
      <c r="C8" s="1">
        <v>8977234.0</v>
      </c>
      <c r="D8" s="1" t="s">
        <v>33</v>
      </c>
      <c r="E8" s="1" t="s">
        <v>34</v>
      </c>
      <c r="F8" s="1" t="s">
        <v>35</v>
      </c>
      <c r="G8" s="2">
        <v>45658.0</v>
      </c>
      <c r="H8" s="2">
        <v>46143.0</v>
      </c>
      <c r="I8" s="1" t="s">
        <v>15</v>
      </c>
      <c r="J8" s="1" t="s">
        <v>16</v>
      </c>
      <c r="K8" s="3">
        <v>3.0</v>
      </c>
    </row>
    <row r="9">
      <c r="A9" s="1" t="s">
        <v>17</v>
      </c>
      <c r="B9" s="1" t="s">
        <v>18</v>
      </c>
      <c r="C9" s="1">
        <v>8977234.0</v>
      </c>
      <c r="D9" s="1" t="s">
        <v>36</v>
      </c>
      <c r="E9" s="1" t="s">
        <v>37</v>
      </c>
      <c r="F9" s="1" t="s">
        <v>38</v>
      </c>
      <c r="G9" s="2">
        <v>45658.0</v>
      </c>
      <c r="H9" s="2">
        <v>46143.0</v>
      </c>
      <c r="I9" s="1" t="s">
        <v>15</v>
      </c>
      <c r="J9" s="1" t="s">
        <v>16</v>
      </c>
      <c r="K9" s="3">
        <v>3.0</v>
      </c>
    </row>
    <row r="10">
      <c r="A10" s="1" t="s">
        <v>17</v>
      </c>
      <c r="B10" s="1" t="s">
        <v>18</v>
      </c>
      <c r="C10" s="1">
        <v>8977234.0</v>
      </c>
      <c r="D10" s="1" t="s">
        <v>39</v>
      </c>
      <c r="E10" s="1" t="s">
        <v>40</v>
      </c>
      <c r="F10" s="1" t="s">
        <v>41</v>
      </c>
      <c r="G10" s="2">
        <v>45778.0</v>
      </c>
      <c r="H10" s="2">
        <v>46143.0</v>
      </c>
      <c r="I10" s="1" t="s">
        <v>15</v>
      </c>
      <c r="J10" s="1" t="s">
        <v>16</v>
      </c>
      <c r="K10" s="3">
        <v>3.0</v>
      </c>
    </row>
    <row r="11">
      <c r="A11" s="1" t="s">
        <v>17</v>
      </c>
      <c r="B11" s="1" t="s">
        <v>18</v>
      </c>
      <c r="C11" s="1">
        <v>8977234.0</v>
      </c>
      <c r="D11" s="1" t="s">
        <v>42</v>
      </c>
      <c r="E11" s="1" t="s">
        <v>43</v>
      </c>
      <c r="F11" s="1" t="s">
        <v>44</v>
      </c>
      <c r="G11" s="2">
        <v>45658.0</v>
      </c>
      <c r="H11" s="2">
        <v>46143.0</v>
      </c>
      <c r="I11" s="1" t="s">
        <v>15</v>
      </c>
      <c r="J11" s="1" t="s">
        <v>16</v>
      </c>
      <c r="K11" s="3">
        <v>3.0</v>
      </c>
    </row>
    <row r="12">
      <c r="A12" s="1" t="s">
        <v>17</v>
      </c>
      <c r="B12" s="1" t="s">
        <v>18</v>
      </c>
      <c r="C12" s="1">
        <v>8977234.0</v>
      </c>
      <c r="D12" s="1" t="s">
        <v>45</v>
      </c>
      <c r="E12" s="1" t="s">
        <v>40</v>
      </c>
      <c r="F12" s="1" t="s">
        <v>46</v>
      </c>
      <c r="G12" s="2">
        <v>45778.0</v>
      </c>
      <c r="H12" s="2">
        <v>46143.0</v>
      </c>
      <c r="I12" s="1" t="s">
        <v>15</v>
      </c>
      <c r="J12" s="1" t="s">
        <v>16</v>
      </c>
      <c r="K12" s="3">
        <v>3.0</v>
      </c>
    </row>
    <row r="13">
      <c r="A13" s="1" t="s">
        <v>17</v>
      </c>
      <c r="B13" s="1" t="s">
        <v>18</v>
      </c>
      <c r="C13" s="1">
        <v>8977234.0</v>
      </c>
      <c r="D13" s="1" t="s">
        <v>47</v>
      </c>
      <c r="E13" s="1" t="s">
        <v>40</v>
      </c>
      <c r="F13" s="1" t="s">
        <v>48</v>
      </c>
      <c r="G13" s="2">
        <v>45778.0</v>
      </c>
      <c r="H13" s="2">
        <v>46143.0</v>
      </c>
      <c r="I13" s="1" t="s">
        <v>15</v>
      </c>
      <c r="J13" s="1" t="s">
        <v>16</v>
      </c>
      <c r="K13" s="3">
        <v>3.0</v>
      </c>
    </row>
    <row r="14">
      <c r="A14" s="1" t="s">
        <v>17</v>
      </c>
      <c r="B14" s="1" t="s">
        <v>18</v>
      </c>
      <c r="C14" s="1">
        <v>8977234.0</v>
      </c>
      <c r="D14" s="1" t="s">
        <v>49</v>
      </c>
      <c r="E14" s="1" t="s">
        <v>40</v>
      </c>
      <c r="F14" s="1" t="s">
        <v>50</v>
      </c>
      <c r="G14" s="2">
        <v>45778.0</v>
      </c>
      <c r="H14" s="2">
        <v>46143.0</v>
      </c>
      <c r="I14" s="1" t="s">
        <v>15</v>
      </c>
      <c r="J14" s="1" t="s">
        <v>16</v>
      </c>
      <c r="K14" s="3">
        <v>3.0</v>
      </c>
    </row>
    <row r="15">
      <c r="A15" s="1" t="s">
        <v>17</v>
      </c>
      <c r="B15" s="1" t="s">
        <v>18</v>
      </c>
      <c r="C15" s="1">
        <v>8977234.0</v>
      </c>
      <c r="D15" s="1" t="s">
        <v>51</v>
      </c>
      <c r="E15" s="1" t="s">
        <v>40</v>
      </c>
      <c r="F15" s="1" t="s">
        <v>52</v>
      </c>
      <c r="G15" s="2">
        <v>45778.0</v>
      </c>
      <c r="H15" s="2">
        <v>46143.0</v>
      </c>
      <c r="I15" s="1" t="s">
        <v>15</v>
      </c>
      <c r="J15" s="1" t="s">
        <v>16</v>
      </c>
      <c r="K15" s="3">
        <v>3.0</v>
      </c>
    </row>
    <row r="16">
      <c r="A16" s="1" t="s">
        <v>53</v>
      </c>
      <c r="C16" s="1">
        <v>1.6633294E7</v>
      </c>
      <c r="D16" s="1" t="s">
        <v>54</v>
      </c>
      <c r="E16" s="1" t="s">
        <v>55</v>
      </c>
      <c r="F16" s="1" t="s">
        <v>56</v>
      </c>
      <c r="G16" s="2">
        <v>45717.0</v>
      </c>
      <c r="H16" s="2">
        <v>46143.0</v>
      </c>
      <c r="I16" s="1" t="s">
        <v>15</v>
      </c>
      <c r="J16" s="1" t="s">
        <v>16</v>
      </c>
      <c r="K16" s="3">
        <v>3.0</v>
      </c>
    </row>
    <row r="17">
      <c r="A17" s="1" t="s">
        <v>53</v>
      </c>
      <c r="C17" s="1">
        <v>1.6633294E7</v>
      </c>
      <c r="D17" s="1" t="s">
        <v>57</v>
      </c>
      <c r="E17" s="1" t="s">
        <v>58</v>
      </c>
      <c r="F17" s="1" t="s">
        <v>59</v>
      </c>
      <c r="G17" s="2">
        <v>45689.0</v>
      </c>
      <c r="H17" s="2">
        <v>46143.0</v>
      </c>
      <c r="I17" s="1" t="s">
        <v>15</v>
      </c>
      <c r="J17" s="1" t="s">
        <v>16</v>
      </c>
      <c r="K17" s="3">
        <v>3.0</v>
      </c>
    </row>
    <row r="18">
      <c r="A18" s="1" t="s">
        <v>60</v>
      </c>
      <c r="C18" s="1">
        <v>1.6683808E7</v>
      </c>
      <c r="D18" s="1" t="s">
        <v>61</v>
      </c>
      <c r="E18" s="1" t="s">
        <v>62</v>
      </c>
      <c r="F18" s="1" t="s">
        <v>63</v>
      </c>
      <c r="G18" s="2">
        <v>45658.0</v>
      </c>
      <c r="H18" s="2">
        <v>46143.0</v>
      </c>
      <c r="I18" s="1" t="s">
        <v>15</v>
      </c>
      <c r="J18" s="1" t="s">
        <v>16</v>
      </c>
      <c r="K18" s="3">
        <v>3.0</v>
      </c>
    </row>
    <row r="19">
      <c r="A19" s="1" t="s">
        <v>64</v>
      </c>
      <c r="C19" s="1">
        <v>9213293.0</v>
      </c>
      <c r="D19" s="1" t="s">
        <v>65</v>
      </c>
      <c r="E19" s="1" t="s">
        <v>66</v>
      </c>
      <c r="F19" s="1" t="s">
        <v>67</v>
      </c>
      <c r="G19" s="2">
        <v>45658.0</v>
      </c>
      <c r="H19" s="2">
        <v>46143.0</v>
      </c>
      <c r="I19" s="1" t="s">
        <v>15</v>
      </c>
      <c r="J19" s="1" t="s">
        <v>16</v>
      </c>
      <c r="K19" s="3">
        <v>3.0</v>
      </c>
    </row>
    <row r="20">
      <c r="A20" s="1" t="s">
        <v>64</v>
      </c>
      <c r="C20" s="1">
        <v>9213293.0</v>
      </c>
      <c r="D20" s="1" t="s">
        <v>68</v>
      </c>
      <c r="E20" s="1" t="s">
        <v>69</v>
      </c>
      <c r="F20" s="1" t="s">
        <v>70</v>
      </c>
      <c r="G20" s="2">
        <v>45658.0</v>
      </c>
      <c r="H20" s="2">
        <v>46143.0</v>
      </c>
      <c r="I20" s="1" t="s">
        <v>15</v>
      </c>
      <c r="J20" s="1" t="s">
        <v>16</v>
      </c>
      <c r="K20" s="3">
        <v>3.0</v>
      </c>
    </row>
    <row r="21" ht="15.75" customHeight="1">
      <c r="A21" s="1" t="s">
        <v>17</v>
      </c>
      <c r="B21" s="1" t="s">
        <v>18</v>
      </c>
      <c r="C21" s="1">
        <v>8977234.0</v>
      </c>
      <c r="D21" s="1" t="s">
        <v>39</v>
      </c>
      <c r="E21" s="1" t="s">
        <v>40</v>
      </c>
      <c r="F21" s="1" t="s">
        <v>41</v>
      </c>
      <c r="G21" s="2">
        <v>45778.0</v>
      </c>
      <c r="H21" s="2">
        <v>46143.0</v>
      </c>
      <c r="I21" s="1" t="s">
        <v>15</v>
      </c>
      <c r="J21" s="1" t="s">
        <v>71</v>
      </c>
      <c r="K21" s="3">
        <v>20.0</v>
      </c>
    </row>
    <row r="22" ht="15.75" customHeight="1">
      <c r="A22" s="1" t="s">
        <v>17</v>
      </c>
      <c r="B22" s="1" t="s">
        <v>18</v>
      </c>
      <c r="C22" s="1">
        <v>8977234.0</v>
      </c>
      <c r="D22" s="1" t="s">
        <v>42</v>
      </c>
      <c r="E22" s="1" t="s">
        <v>43</v>
      </c>
      <c r="F22" s="1" t="s">
        <v>44</v>
      </c>
      <c r="G22" s="2">
        <v>45658.0</v>
      </c>
      <c r="H22" s="2">
        <v>46143.0</v>
      </c>
      <c r="I22" s="1" t="s">
        <v>15</v>
      </c>
      <c r="J22" s="1" t="s">
        <v>71</v>
      </c>
      <c r="K22" s="3">
        <v>20.0</v>
      </c>
    </row>
    <row r="23" ht="15.75" customHeight="1">
      <c r="A23" s="1" t="s">
        <v>17</v>
      </c>
      <c r="B23" s="1" t="s">
        <v>18</v>
      </c>
      <c r="C23" s="1">
        <v>8977234.0</v>
      </c>
      <c r="D23" s="1" t="s">
        <v>45</v>
      </c>
      <c r="E23" s="1" t="s">
        <v>40</v>
      </c>
      <c r="F23" s="1" t="s">
        <v>46</v>
      </c>
      <c r="G23" s="2">
        <v>45778.0</v>
      </c>
      <c r="H23" s="2">
        <v>46143.0</v>
      </c>
      <c r="I23" s="1" t="s">
        <v>15</v>
      </c>
      <c r="J23" s="1" t="s">
        <v>71</v>
      </c>
      <c r="K23" s="3">
        <v>20.0</v>
      </c>
    </row>
    <row r="24" ht="15.75" customHeight="1">
      <c r="A24" s="1" t="s">
        <v>17</v>
      </c>
      <c r="B24" s="1" t="s">
        <v>18</v>
      </c>
      <c r="C24" s="1">
        <v>8977234.0</v>
      </c>
      <c r="D24" s="1" t="s">
        <v>47</v>
      </c>
      <c r="E24" s="1" t="s">
        <v>40</v>
      </c>
      <c r="F24" s="1" t="s">
        <v>48</v>
      </c>
      <c r="G24" s="2">
        <v>45778.0</v>
      </c>
      <c r="H24" s="2">
        <v>46143.0</v>
      </c>
      <c r="I24" s="1" t="s">
        <v>15</v>
      </c>
      <c r="J24" s="1" t="s">
        <v>71</v>
      </c>
      <c r="K24" s="3">
        <v>20.0</v>
      </c>
    </row>
    <row r="25" ht="15.75" customHeight="1">
      <c r="A25" s="1" t="s">
        <v>17</v>
      </c>
      <c r="B25" s="1" t="s">
        <v>18</v>
      </c>
      <c r="C25" s="1">
        <v>8977234.0</v>
      </c>
      <c r="D25" s="1" t="s">
        <v>49</v>
      </c>
      <c r="E25" s="1" t="s">
        <v>40</v>
      </c>
      <c r="F25" s="1" t="s">
        <v>50</v>
      </c>
      <c r="G25" s="2">
        <v>45778.0</v>
      </c>
      <c r="H25" s="2">
        <v>46143.0</v>
      </c>
      <c r="I25" s="1" t="s">
        <v>15</v>
      </c>
      <c r="J25" s="1" t="s">
        <v>71</v>
      </c>
      <c r="K25" s="3">
        <v>20.0</v>
      </c>
    </row>
    <row r="26" ht="15.75" customHeight="1">
      <c r="A26" s="1" t="s">
        <v>17</v>
      </c>
      <c r="B26" s="1" t="s">
        <v>18</v>
      </c>
      <c r="C26" s="1">
        <v>8977234.0</v>
      </c>
      <c r="D26" s="1" t="s">
        <v>51</v>
      </c>
      <c r="E26" s="1" t="s">
        <v>40</v>
      </c>
      <c r="F26" s="1" t="s">
        <v>52</v>
      </c>
      <c r="G26" s="2">
        <v>45778.0</v>
      </c>
      <c r="H26" s="2">
        <v>46143.0</v>
      </c>
      <c r="I26" s="1" t="s">
        <v>15</v>
      </c>
      <c r="J26" s="1" t="s">
        <v>71</v>
      </c>
      <c r="K26" s="3">
        <v>20.0</v>
      </c>
    </row>
    <row r="27" ht="15.75" customHeight="1">
      <c r="A27" s="1" t="s">
        <v>17</v>
      </c>
      <c r="B27" s="1" t="s">
        <v>18</v>
      </c>
      <c r="C27" s="1">
        <v>8977234.0</v>
      </c>
      <c r="D27" s="1" t="s">
        <v>25</v>
      </c>
      <c r="E27" s="1" t="s">
        <v>26</v>
      </c>
      <c r="F27" s="1" t="s">
        <v>27</v>
      </c>
      <c r="G27" s="2">
        <v>45292.0</v>
      </c>
      <c r="H27" s="2">
        <v>46143.0</v>
      </c>
      <c r="I27" s="1" t="s">
        <v>15</v>
      </c>
      <c r="J27" s="1" t="s">
        <v>72</v>
      </c>
      <c r="K27" s="3">
        <v>22.0</v>
      </c>
    </row>
    <row r="28" ht="15.75" customHeight="1">
      <c r="A28" s="1" t="s">
        <v>17</v>
      </c>
      <c r="B28" s="1" t="s">
        <v>18</v>
      </c>
      <c r="C28" s="1">
        <v>8977234.0</v>
      </c>
      <c r="D28" s="1" t="s">
        <v>28</v>
      </c>
      <c r="E28" s="1" t="s">
        <v>29</v>
      </c>
      <c r="F28" s="1" t="s">
        <v>30</v>
      </c>
      <c r="G28" s="2">
        <v>45292.0</v>
      </c>
      <c r="H28" s="2">
        <v>46143.0</v>
      </c>
      <c r="I28" s="1" t="s">
        <v>15</v>
      </c>
      <c r="J28" s="1" t="s">
        <v>72</v>
      </c>
      <c r="K28" s="3">
        <v>22.0</v>
      </c>
    </row>
    <row r="29" ht="15.75" customHeight="1">
      <c r="A29" s="1" t="s">
        <v>17</v>
      </c>
      <c r="B29" s="1" t="s">
        <v>18</v>
      </c>
      <c r="C29" s="1">
        <v>8977234.0</v>
      </c>
      <c r="D29" s="1" t="s">
        <v>31</v>
      </c>
      <c r="E29" s="1" t="s">
        <v>29</v>
      </c>
      <c r="F29" s="1" t="s">
        <v>32</v>
      </c>
      <c r="G29" s="2">
        <v>45292.0</v>
      </c>
      <c r="H29" s="2">
        <v>46143.0</v>
      </c>
      <c r="I29" s="1" t="s">
        <v>15</v>
      </c>
      <c r="J29" s="1" t="s">
        <v>72</v>
      </c>
      <c r="K29" s="3">
        <v>22.0</v>
      </c>
    </row>
    <row r="30" ht="15.75" customHeight="1">
      <c r="A30" s="1" t="s">
        <v>17</v>
      </c>
      <c r="B30" s="1" t="s">
        <v>18</v>
      </c>
      <c r="C30" s="1">
        <v>8977234.0</v>
      </c>
      <c r="D30" s="1" t="s">
        <v>33</v>
      </c>
      <c r="E30" s="1" t="s">
        <v>34</v>
      </c>
      <c r="F30" s="1" t="s">
        <v>35</v>
      </c>
      <c r="G30" s="2">
        <v>45658.0</v>
      </c>
      <c r="H30" s="2">
        <v>46143.0</v>
      </c>
      <c r="I30" s="1" t="s">
        <v>15</v>
      </c>
      <c r="J30" s="1" t="s">
        <v>72</v>
      </c>
      <c r="K30" s="3">
        <v>22.0</v>
      </c>
    </row>
    <row r="31" ht="15.75" customHeight="1">
      <c r="A31" s="1" t="s">
        <v>17</v>
      </c>
      <c r="B31" s="1" t="s">
        <v>18</v>
      </c>
      <c r="C31" s="1">
        <v>8977234.0</v>
      </c>
      <c r="D31" s="1" t="s">
        <v>36</v>
      </c>
      <c r="E31" s="1" t="s">
        <v>37</v>
      </c>
      <c r="F31" s="1" t="s">
        <v>38</v>
      </c>
      <c r="G31" s="2">
        <v>45658.0</v>
      </c>
      <c r="H31" s="2">
        <v>46143.0</v>
      </c>
      <c r="I31" s="1" t="s">
        <v>15</v>
      </c>
      <c r="J31" s="1" t="s">
        <v>72</v>
      </c>
      <c r="K31" s="3">
        <v>22.0</v>
      </c>
    </row>
    <row r="32" ht="15.75" customHeight="1">
      <c r="A32" s="1" t="s">
        <v>11</v>
      </c>
      <c r="C32" s="1">
        <v>1.9396223E7</v>
      </c>
      <c r="D32" s="1" t="s">
        <v>12</v>
      </c>
      <c r="E32" s="1" t="s">
        <v>13</v>
      </c>
      <c r="F32" s="1" t="s">
        <v>14</v>
      </c>
      <c r="G32" s="2">
        <v>45566.0</v>
      </c>
      <c r="H32" s="2">
        <v>46143.0</v>
      </c>
      <c r="I32" s="1" t="s">
        <v>15</v>
      </c>
      <c r="J32" s="1" t="s">
        <v>73</v>
      </c>
      <c r="K32" s="3">
        <v>25.0</v>
      </c>
    </row>
    <row r="33" ht="15.75" customHeight="1">
      <c r="A33" s="1" t="s">
        <v>53</v>
      </c>
      <c r="C33" s="1">
        <v>1.6633294E7</v>
      </c>
      <c r="D33" s="1" t="s">
        <v>54</v>
      </c>
      <c r="E33" s="1" t="s">
        <v>55</v>
      </c>
      <c r="F33" s="1" t="s">
        <v>56</v>
      </c>
      <c r="G33" s="2">
        <v>45717.0</v>
      </c>
      <c r="H33" s="2">
        <v>46143.0</v>
      </c>
      <c r="I33" s="1" t="s">
        <v>15</v>
      </c>
      <c r="J33" s="1" t="s">
        <v>73</v>
      </c>
      <c r="K33" s="3">
        <v>25.0</v>
      </c>
    </row>
    <row r="34" ht="15.75" customHeight="1">
      <c r="A34" s="1" t="s">
        <v>53</v>
      </c>
      <c r="C34" s="1">
        <v>1.6633294E7</v>
      </c>
      <c r="D34" s="1" t="s">
        <v>57</v>
      </c>
      <c r="E34" s="1" t="s">
        <v>58</v>
      </c>
      <c r="F34" s="1" t="s">
        <v>59</v>
      </c>
      <c r="G34" s="2">
        <v>45689.0</v>
      </c>
      <c r="H34" s="2">
        <v>46143.0</v>
      </c>
      <c r="I34" s="1" t="s">
        <v>15</v>
      </c>
      <c r="J34" s="1" t="s">
        <v>73</v>
      </c>
      <c r="K34" s="3">
        <v>25.0</v>
      </c>
    </row>
    <row r="35" ht="15.75" customHeight="1">
      <c r="A35" s="1" t="s">
        <v>64</v>
      </c>
      <c r="C35" s="1">
        <v>9213293.0</v>
      </c>
      <c r="D35" s="1" t="s">
        <v>65</v>
      </c>
      <c r="E35" s="1" t="s">
        <v>66</v>
      </c>
      <c r="F35" s="1" t="s">
        <v>67</v>
      </c>
      <c r="G35" s="2">
        <v>45658.0</v>
      </c>
      <c r="H35" s="2">
        <v>46143.0</v>
      </c>
      <c r="I35" s="1" t="s">
        <v>15</v>
      </c>
      <c r="J35" s="1" t="s">
        <v>73</v>
      </c>
      <c r="K35" s="3">
        <v>25.0</v>
      </c>
    </row>
    <row r="36" ht="15.75" customHeight="1">
      <c r="A36" s="1" t="s">
        <v>64</v>
      </c>
      <c r="C36" s="1">
        <v>9213293.0</v>
      </c>
      <c r="D36" s="1" t="s">
        <v>68</v>
      </c>
      <c r="E36" s="1" t="s">
        <v>69</v>
      </c>
      <c r="F36" s="1" t="s">
        <v>70</v>
      </c>
      <c r="G36" s="2">
        <v>45658.0</v>
      </c>
      <c r="H36" s="2">
        <v>46143.0</v>
      </c>
      <c r="I36" s="1" t="s">
        <v>15</v>
      </c>
      <c r="J36" s="1" t="s">
        <v>73</v>
      </c>
      <c r="K36" s="3">
        <v>25.0</v>
      </c>
    </row>
    <row r="37" ht="15.75" customHeight="1">
      <c r="A37" s="1" t="s">
        <v>17</v>
      </c>
      <c r="B37" s="1" t="s">
        <v>18</v>
      </c>
      <c r="C37" s="1">
        <v>8977234.0</v>
      </c>
      <c r="D37" s="1" t="s">
        <v>19</v>
      </c>
      <c r="E37" s="1" t="s">
        <v>20</v>
      </c>
      <c r="F37" s="1" t="s">
        <v>21</v>
      </c>
      <c r="G37" s="2">
        <v>44986.0</v>
      </c>
      <c r="H37" s="2">
        <v>46143.0</v>
      </c>
      <c r="I37" s="1" t="s">
        <v>15</v>
      </c>
      <c r="J37" s="1" t="s">
        <v>74</v>
      </c>
      <c r="K37" s="3">
        <v>27.0</v>
      </c>
    </row>
    <row r="38" ht="15.75" customHeight="1">
      <c r="A38" s="1" t="s">
        <v>17</v>
      </c>
      <c r="B38" s="1" t="s">
        <v>18</v>
      </c>
      <c r="C38" s="1">
        <v>8977234.0</v>
      </c>
      <c r="D38" s="1" t="s">
        <v>22</v>
      </c>
      <c r="E38" s="1" t="s">
        <v>23</v>
      </c>
      <c r="F38" s="1" t="s">
        <v>24</v>
      </c>
      <c r="G38" s="2">
        <v>45658.0</v>
      </c>
      <c r="H38" s="2">
        <v>46143.0</v>
      </c>
      <c r="I38" s="1" t="s">
        <v>15</v>
      </c>
      <c r="J38" s="1" t="s">
        <v>74</v>
      </c>
      <c r="K38" s="3">
        <v>27.0</v>
      </c>
    </row>
    <row r="39" ht="15.75" customHeight="1">
      <c r="A39" s="1" t="s">
        <v>60</v>
      </c>
      <c r="C39" s="1">
        <v>1.6683808E7</v>
      </c>
      <c r="D39" s="1" t="s">
        <v>61</v>
      </c>
      <c r="E39" s="1" t="s">
        <v>62</v>
      </c>
      <c r="F39" s="1" t="s">
        <v>63</v>
      </c>
      <c r="G39" s="2">
        <v>45658.0</v>
      </c>
      <c r="H39" s="2">
        <v>46143.0</v>
      </c>
      <c r="I39" s="1" t="s">
        <v>15</v>
      </c>
      <c r="J39" s="1" t="s">
        <v>74</v>
      </c>
      <c r="K39" s="3">
        <v>27.0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6" max="6" width="17.43"/>
    <col customWidth="1" min="8" max="8" width="83.57"/>
    <col customWidth="1" min="11" max="11" width="15.29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K1" s="5" t="s">
        <v>75</v>
      </c>
    </row>
    <row r="2">
      <c r="A2" s="5" t="s">
        <v>76</v>
      </c>
      <c r="B2" s="1" t="s">
        <v>12</v>
      </c>
      <c r="C2" s="1" t="s">
        <v>13</v>
      </c>
      <c r="D2" s="1" t="str">
        <f t="shared" ref="D2:D39" si="1">concatenate(B2," ",C2)</f>
        <v>Miguel Peralta</v>
      </c>
      <c r="E2" s="1" t="s">
        <v>14</v>
      </c>
      <c r="F2" s="1" t="str">
        <f t="shared" ref="F2:F20" si="2">concat(E2,"OVR")</f>
        <v>IL-1000144545OVR</v>
      </c>
      <c r="G2" s="2">
        <v>45566.0</v>
      </c>
      <c r="H2" s="1" t="s">
        <v>16</v>
      </c>
      <c r="I2" s="6">
        <v>3.0</v>
      </c>
      <c r="J2" s="1" t="str">
        <f t="shared" ref="J2:J39" si="3">MID(H2, FIND("Premium Period: ", H2)+LEN("Premium Period: "), 10)</f>
        <v>4/1/2026</v>
      </c>
      <c r="K2" s="5" t="s">
        <v>77</v>
      </c>
    </row>
    <row r="3">
      <c r="A3" s="5" t="s">
        <v>76</v>
      </c>
      <c r="B3" s="1" t="s">
        <v>19</v>
      </c>
      <c r="C3" s="1" t="s">
        <v>20</v>
      </c>
      <c r="D3" s="1" t="str">
        <f t="shared" si="1"/>
        <v>Tommy Harber</v>
      </c>
      <c r="E3" s="1" t="s">
        <v>21</v>
      </c>
      <c r="F3" s="1" t="str">
        <f t="shared" si="2"/>
        <v>FL-0016532146OVR</v>
      </c>
      <c r="G3" s="2">
        <v>44986.0</v>
      </c>
      <c r="H3" s="1" t="s">
        <v>16</v>
      </c>
      <c r="I3" s="6">
        <v>3.0</v>
      </c>
      <c r="J3" s="1" t="str">
        <f t="shared" si="3"/>
        <v>4/1/2026</v>
      </c>
      <c r="K3" s="5" t="s">
        <v>77</v>
      </c>
    </row>
    <row r="4">
      <c r="A4" s="5" t="s">
        <v>76</v>
      </c>
      <c r="B4" s="1" t="s">
        <v>22</v>
      </c>
      <c r="C4" s="1" t="s">
        <v>23</v>
      </c>
      <c r="D4" s="1" t="str">
        <f t="shared" si="1"/>
        <v>Richard Jarvis</v>
      </c>
      <c r="E4" s="1" t="s">
        <v>24</v>
      </c>
      <c r="F4" s="1" t="str">
        <f t="shared" si="2"/>
        <v>FL-0023640428OVR</v>
      </c>
      <c r="G4" s="2">
        <v>45658.0</v>
      </c>
      <c r="H4" s="1" t="s">
        <v>16</v>
      </c>
      <c r="I4" s="6">
        <v>3.0</v>
      </c>
      <c r="J4" s="1" t="str">
        <f t="shared" si="3"/>
        <v>4/1/2026</v>
      </c>
      <c r="K4" s="5" t="s">
        <v>77</v>
      </c>
    </row>
    <row r="5">
      <c r="A5" s="5" t="s">
        <v>76</v>
      </c>
      <c r="B5" s="1" t="s">
        <v>25</v>
      </c>
      <c r="C5" s="1" t="s">
        <v>26</v>
      </c>
      <c r="D5" s="1" t="str">
        <f t="shared" si="1"/>
        <v>Bruce Kelley</v>
      </c>
      <c r="E5" s="1" t="s">
        <v>27</v>
      </c>
      <c r="F5" s="1" t="str">
        <f t="shared" si="2"/>
        <v>OH-0000065693OVR</v>
      </c>
      <c r="G5" s="2">
        <v>45292.0</v>
      </c>
      <c r="H5" s="1" t="s">
        <v>16</v>
      </c>
      <c r="I5" s="6">
        <v>3.0</v>
      </c>
      <c r="J5" s="1" t="str">
        <f t="shared" si="3"/>
        <v>4/1/2026</v>
      </c>
      <c r="K5" s="5" t="s">
        <v>77</v>
      </c>
    </row>
    <row r="6">
      <c r="A6" s="5" t="s">
        <v>76</v>
      </c>
      <c r="B6" s="1" t="s">
        <v>28</v>
      </c>
      <c r="C6" s="1" t="s">
        <v>29</v>
      </c>
      <c r="D6" s="1" t="str">
        <f t="shared" si="1"/>
        <v>Ronald Gengler</v>
      </c>
      <c r="E6" s="1" t="s">
        <v>30</v>
      </c>
      <c r="F6" s="1" t="str">
        <f t="shared" si="2"/>
        <v>OH-0002894856OVR</v>
      </c>
      <c r="G6" s="2">
        <v>45292.0</v>
      </c>
      <c r="H6" s="1" t="s">
        <v>16</v>
      </c>
      <c r="I6" s="6">
        <v>3.0</v>
      </c>
      <c r="J6" s="1" t="str">
        <f t="shared" si="3"/>
        <v>4/1/2026</v>
      </c>
      <c r="K6" s="5" t="s">
        <v>77</v>
      </c>
    </row>
    <row r="7">
      <c r="A7" s="5" t="s">
        <v>76</v>
      </c>
      <c r="B7" s="1" t="s">
        <v>31</v>
      </c>
      <c r="C7" s="1" t="s">
        <v>29</v>
      </c>
      <c r="D7" s="1" t="str">
        <f t="shared" si="1"/>
        <v>Amber Gengler</v>
      </c>
      <c r="E7" s="1" t="s">
        <v>32</v>
      </c>
      <c r="F7" s="1" t="str">
        <f t="shared" si="2"/>
        <v>OH-0003814368OVR</v>
      </c>
      <c r="G7" s="2">
        <v>45292.0</v>
      </c>
      <c r="H7" s="1" t="s">
        <v>16</v>
      </c>
      <c r="I7" s="6">
        <v>3.0</v>
      </c>
      <c r="J7" s="1" t="str">
        <f t="shared" si="3"/>
        <v>4/1/2026</v>
      </c>
      <c r="K7" s="5" t="s">
        <v>77</v>
      </c>
    </row>
    <row r="8">
      <c r="A8" s="5" t="s">
        <v>76</v>
      </c>
      <c r="B8" s="1" t="s">
        <v>33</v>
      </c>
      <c r="C8" s="1" t="s">
        <v>34</v>
      </c>
      <c r="D8" s="1" t="str">
        <f t="shared" si="1"/>
        <v>Allen Reinhart</v>
      </c>
      <c r="E8" s="1" t="s">
        <v>35</v>
      </c>
      <c r="F8" s="1" t="str">
        <f t="shared" si="2"/>
        <v>OH-0003967724OVR</v>
      </c>
      <c r="G8" s="2">
        <v>45658.0</v>
      </c>
      <c r="H8" s="1" t="s">
        <v>16</v>
      </c>
      <c r="I8" s="6">
        <v>3.0</v>
      </c>
      <c r="J8" s="1" t="str">
        <f t="shared" si="3"/>
        <v>4/1/2026</v>
      </c>
      <c r="K8" s="5" t="s">
        <v>77</v>
      </c>
    </row>
    <row r="9">
      <c r="A9" s="5" t="s">
        <v>76</v>
      </c>
      <c r="B9" s="1" t="s">
        <v>36</v>
      </c>
      <c r="C9" s="1" t="s">
        <v>37</v>
      </c>
      <c r="D9" s="1" t="str">
        <f t="shared" si="1"/>
        <v>Kimberly Smithson</v>
      </c>
      <c r="E9" s="1" t="s">
        <v>38</v>
      </c>
      <c r="F9" s="1" t="str">
        <f t="shared" si="2"/>
        <v>OH-0003991006OVR</v>
      </c>
      <c r="G9" s="2">
        <v>45658.0</v>
      </c>
      <c r="H9" s="1" t="s">
        <v>16</v>
      </c>
      <c r="I9" s="6">
        <v>3.0</v>
      </c>
      <c r="J9" s="1" t="str">
        <f t="shared" si="3"/>
        <v>4/1/2026</v>
      </c>
      <c r="K9" s="5" t="s">
        <v>77</v>
      </c>
    </row>
    <row r="10">
      <c r="A10" s="5" t="s">
        <v>76</v>
      </c>
      <c r="B10" s="1" t="s">
        <v>39</v>
      </c>
      <c r="C10" s="1" t="s">
        <v>40</v>
      </c>
      <c r="D10" s="1" t="str">
        <f t="shared" si="1"/>
        <v>Jace Harris</v>
      </c>
      <c r="E10" s="1" t="s">
        <v>41</v>
      </c>
      <c r="F10" s="1" t="str">
        <f t="shared" si="2"/>
        <v>UT-0002368301OVR</v>
      </c>
      <c r="G10" s="2">
        <v>45778.0</v>
      </c>
      <c r="H10" s="1" t="s">
        <v>16</v>
      </c>
      <c r="I10" s="6">
        <v>3.0</v>
      </c>
      <c r="J10" s="1" t="str">
        <f t="shared" si="3"/>
        <v>4/1/2026</v>
      </c>
      <c r="K10" s="5" t="s">
        <v>77</v>
      </c>
    </row>
    <row r="11">
      <c r="A11" s="5" t="s">
        <v>76</v>
      </c>
      <c r="B11" s="1" t="s">
        <v>42</v>
      </c>
      <c r="C11" s="1" t="s">
        <v>43</v>
      </c>
      <c r="D11" s="1" t="str">
        <f t="shared" si="1"/>
        <v>Toni Charter</v>
      </c>
      <c r="E11" s="1" t="s">
        <v>44</v>
      </c>
      <c r="F11" s="1" t="str">
        <f t="shared" si="2"/>
        <v>UT-0002516451OVR</v>
      </c>
      <c r="G11" s="2">
        <v>45658.0</v>
      </c>
      <c r="H11" s="1" t="s">
        <v>16</v>
      </c>
      <c r="I11" s="6">
        <v>3.0</v>
      </c>
      <c r="J11" s="1" t="str">
        <f t="shared" si="3"/>
        <v>4/1/2026</v>
      </c>
      <c r="K11" s="5" t="s">
        <v>77</v>
      </c>
    </row>
    <row r="12">
      <c r="A12" s="5" t="s">
        <v>76</v>
      </c>
      <c r="B12" s="1" t="s">
        <v>45</v>
      </c>
      <c r="C12" s="1" t="s">
        <v>40</v>
      </c>
      <c r="D12" s="1" t="str">
        <f t="shared" si="1"/>
        <v>Kelly Harris</v>
      </c>
      <c r="E12" s="1" t="s">
        <v>46</v>
      </c>
      <c r="F12" s="1" t="str">
        <f t="shared" si="2"/>
        <v>UT-0003149617OVR</v>
      </c>
      <c r="G12" s="2">
        <v>45778.0</v>
      </c>
      <c r="H12" s="1" t="s">
        <v>16</v>
      </c>
      <c r="I12" s="6">
        <v>3.0</v>
      </c>
      <c r="J12" s="1" t="str">
        <f t="shared" si="3"/>
        <v>4/1/2026</v>
      </c>
      <c r="K12" s="5" t="s">
        <v>77</v>
      </c>
    </row>
    <row r="13">
      <c r="A13" s="5" t="s">
        <v>76</v>
      </c>
      <c r="B13" s="1" t="s">
        <v>47</v>
      </c>
      <c r="C13" s="1" t="s">
        <v>40</v>
      </c>
      <c r="D13" s="1" t="str">
        <f t="shared" si="1"/>
        <v>Lance Harris</v>
      </c>
      <c r="E13" s="1" t="s">
        <v>48</v>
      </c>
      <c r="F13" s="1" t="str">
        <f t="shared" si="2"/>
        <v>UT-0003354560OVR</v>
      </c>
      <c r="G13" s="2">
        <v>45778.0</v>
      </c>
      <c r="H13" s="1" t="s">
        <v>16</v>
      </c>
      <c r="I13" s="6">
        <v>3.0</v>
      </c>
      <c r="J13" s="1" t="str">
        <f t="shared" si="3"/>
        <v>4/1/2026</v>
      </c>
      <c r="K13" s="5" t="s">
        <v>77</v>
      </c>
    </row>
    <row r="14">
      <c r="A14" s="5" t="s">
        <v>76</v>
      </c>
      <c r="B14" s="1" t="s">
        <v>49</v>
      </c>
      <c r="C14" s="1" t="s">
        <v>40</v>
      </c>
      <c r="D14" s="1" t="str">
        <f t="shared" si="1"/>
        <v>Hayden Harris</v>
      </c>
      <c r="E14" s="1" t="s">
        <v>50</v>
      </c>
      <c r="F14" s="1" t="str">
        <f t="shared" si="2"/>
        <v>UT-0003593049OVR</v>
      </c>
      <c r="G14" s="2">
        <v>45778.0</v>
      </c>
      <c r="H14" s="1" t="s">
        <v>16</v>
      </c>
      <c r="I14" s="6">
        <v>3.0</v>
      </c>
      <c r="J14" s="1" t="str">
        <f t="shared" si="3"/>
        <v>4/1/2026</v>
      </c>
      <c r="K14" s="5" t="s">
        <v>77</v>
      </c>
    </row>
    <row r="15">
      <c r="A15" s="5" t="s">
        <v>76</v>
      </c>
      <c r="B15" s="1" t="s">
        <v>51</v>
      </c>
      <c r="C15" s="1" t="s">
        <v>40</v>
      </c>
      <c r="D15" s="1" t="str">
        <f t="shared" si="1"/>
        <v>Hailee Harris</v>
      </c>
      <c r="E15" s="1" t="s">
        <v>52</v>
      </c>
      <c r="F15" s="1" t="str">
        <f t="shared" si="2"/>
        <v>UT-0003609841OVR</v>
      </c>
      <c r="G15" s="2">
        <v>45778.0</v>
      </c>
      <c r="H15" s="1" t="s">
        <v>16</v>
      </c>
      <c r="I15" s="6">
        <v>3.0</v>
      </c>
      <c r="J15" s="1" t="str">
        <f t="shared" si="3"/>
        <v>4/1/2026</v>
      </c>
      <c r="K15" s="5" t="s">
        <v>77</v>
      </c>
    </row>
    <row r="16">
      <c r="A16" s="5" t="s">
        <v>76</v>
      </c>
      <c r="B16" s="1" t="s">
        <v>54</v>
      </c>
      <c r="C16" s="1" t="s">
        <v>55</v>
      </c>
      <c r="D16" s="1" t="str">
        <f t="shared" si="1"/>
        <v>Lazaros Bolis</v>
      </c>
      <c r="E16" s="1" t="s">
        <v>56</v>
      </c>
      <c r="F16" s="1" t="str">
        <f t="shared" si="2"/>
        <v>IL-1000092469OVR</v>
      </c>
      <c r="G16" s="2">
        <v>45717.0</v>
      </c>
      <c r="H16" s="1" t="s">
        <v>16</v>
      </c>
      <c r="I16" s="6">
        <v>3.0</v>
      </c>
      <c r="J16" s="1" t="str">
        <f t="shared" si="3"/>
        <v>4/1/2026</v>
      </c>
      <c r="K16" s="5" t="s">
        <v>77</v>
      </c>
    </row>
    <row r="17">
      <c r="A17" s="5" t="s">
        <v>76</v>
      </c>
      <c r="B17" s="1" t="s">
        <v>57</v>
      </c>
      <c r="C17" s="1" t="s">
        <v>58</v>
      </c>
      <c r="D17" s="1" t="str">
        <f t="shared" si="1"/>
        <v>Sebastiana Bonafede</v>
      </c>
      <c r="E17" s="1" t="s">
        <v>59</v>
      </c>
      <c r="F17" s="1" t="str">
        <f t="shared" si="2"/>
        <v>IL-1000494836OVR</v>
      </c>
      <c r="G17" s="2">
        <v>45689.0</v>
      </c>
      <c r="H17" s="1" t="s">
        <v>16</v>
      </c>
      <c r="I17" s="6">
        <v>3.0</v>
      </c>
      <c r="J17" s="1" t="str">
        <f t="shared" si="3"/>
        <v>4/1/2026</v>
      </c>
      <c r="K17" s="5" t="s">
        <v>77</v>
      </c>
    </row>
    <row r="18">
      <c r="A18" s="5" t="s">
        <v>76</v>
      </c>
      <c r="B18" s="1" t="s">
        <v>61</v>
      </c>
      <c r="C18" s="1" t="s">
        <v>62</v>
      </c>
      <c r="D18" s="1" t="str">
        <f t="shared" si="1"/>
        <v>Jean Williams</v>
      </c>
      <c r="E18" s="1" t="s">
        <v>63</v>
      </c>
      <c r="F18" s="1" t="str">
        <f t="shared" si="2"/>
        <v>FL-0020265408OVR</v>
      </c>
      <c r="G18" s="2">
        <v>45658.0</v>
      </c>
      <c r="H18" s="1" t="s">
        <v>16</v>
      </c>
      <c r="I18" s="6">
        <v>3.0</v>
      </c>
      <c r="J18" s="1" t="str">
        <f t="shared" si="3"/>
        <v>4/1/2026</v>
      </c>
      <c r="K18" s="5" t="s">
        <v>77</v>
      </c>
    </row>
    <row r="19">
      <c r="A19" s="5" t="s">
        <v>76</v>
      </c>
      <c r="B19" s="1" t="s">
        <v>65</v>
      </c>
      <c r="C19" s="1" t="s">
        <v>66</v>
      </c>
      <c r="D19" s="1" t="str">
        <f t="shared" si="1"/>
        <v>Patrick Matsuda</v>
      </c>
      <c r="E19" s="1" t="s">
        <v>67</v>
      </c>
      <c r="F19" s="1" t="str">
        <f t="shared" si="2"/>
        <v>IL-1000101370OVR</v>
      </c>
      <c r="G19" s="2">
        <v>45658.0</v>
      </c>
      <c r="H19" s="1" t="s">
        <v>16</v>
      </c>
      <c r="I19" s="6">
        <v>3.0</v>
      </c>
      <c r="J19" s="1" t="str">
        <f t="shared" si="3"/>
        <v>4/1/2026</v>
      </c>
      <c r="K19" s="5" t="s">
        <v>77</v>
      </c>
    </row>
    <row r="20">
      <c r="A20" s="5" t="s">
        <v>76</v>
      </c>
      <c r="B20" s="1" t="s">
        <v>68</v>
      </c>
      <c r="C20" s="1" t="s">
        <v>69</v>
      </c>
      <c r="D20" s="1" t="str">
        <f t="shared" si="1"/>
        <v>Marco Flores</v>
      </c>
      <c r="E20" s="1" t="s">
        <v>70</v>
      </c>
      <c r="F20" s="1" t="str">
        <f t="shared" si="2"/>
        <v>IL-1000524629OVR</v>
      </c>
      <c r="G20" s="2">
        <v>45658.0</v>
      </c>
      <c r="H20" s="1" t="s">
        <v>16</v>
      </c>
      <c r="I20" s="6">
        <v>3.0</v>
      </c>
      <c r="J20" s="1" t="str">
        <f t="shared" si="3"/>
        <v>4/1/2026</v>
      </c>
      <c r="K20" s="5" t="s">
        <v>77</v>
      </c>
    </row>
    <row r="21">
      <c r="A21" s="1" t="s">
        <v>17</v>
      </c>
      <c r="B21" s="1" t="s">
        <v>39</v>
      </c>
      <c r="C21" s="1" t="s">
        <v>40</v>
      </c>
      <c r="D21" s="1" t="str">
        <f t="shared" si="1"/>
        <v>Jace Harris</v>
      </c>
      <c r="E21" s="1" t="s">
        <v>41</v>
      </c>
      <c r="F21" s="1" t="str">
        <f t="shared" ref="F21:F31" si="4">concat(E21,78)</f>
        <v>UT-000236830178</v>
      </c>
      <c r="G21" s="2">
        <v>45778.0</v>
      </c>
      <c r="H21" s="1" t="s">
        <v>71</v>
      </c>
      <c r="I21" s="6">
        <v>20.0</v>
      </c>
      <c r="J21" s="1" t="str">
        <f t="shared" si="3"/>
        <v>4/1/2026</v>
      </c>
      <c r="K21" s="5" t="s">
        <v>78</v>
      </c>
    </row>
    <row r="22">
      <c r="A22" s="1" t="s">
        <v>17</v>
      </c>
      <c r="B22" s="1" t="s">
        <v>42</v>
      </c>
      <c r="C22" s="1" t="s">
        <v>43</v>
      </c>
      <c r="D22" s="1" t="str">
        <f t="shared" si="1"/>
        <v>Toni Charter</v>
      </c>
      <c r="E22" s="1" t="s">
        <v>44</v>
      </c>
      <c r="F22" s="1" t="str">
        <f t="shared" si="4"/>
        <v>UT-000251645178</v>
      </c>
      <c r="G22" s="2">
        <v>45658.0</v>
      </c>
      <c r="H22" s="1" t="s">
        <v>71</v>
      </c>
      <c r="I22" s="6">
        <v>20.0</v>
      </c>
      <c r="J22" s="1" t="str">
        <f t="shared" si="3"/>
        <v>4/1/2026</v>
      </c>
      <c r="K22" s="5" t="s">
        <v>78</v>
      </c>
    </row>
    <row r="23">
      <c r="A23" s="1" t="s">
        <v>17</v>
      </c>
      <c r="B23" s="1" t="s">
        <v>45</v>
      </c>
      <c r="C23" s="1" t="s">
        <v>40</v>
      </c>
      <c r="D23" s="1" t="str">
        <f t="shared" si="1"/>
        <v>Kelly Harris</v>
      </c>
      <c r="E23" s="1" t="s">
        <v>46</v>
      </c>
      <c r="F23" s="1" t="str">
        <f t="shared" si="4"/>
        <v>UT-000314961778</v>
      </c>
      <c r="G23" s="2">
        <v>45778.0</v>
      </c>
      <c r="H23" s="1" t="s">
        <v>71</v>
      </c>
      <c r="I23" s="6">
        <v>20.0</v>
      </c>
      <c r="J23" s="1" t="str">
        <f t="shared" si="3"/>
        <v>4/1/2026</v>
      </c>
      <c r="K23" s="5" t="s">
        <v>78</v>
      </c>
    </row>
    <row r="24">
      <c r="A24" s="1" t="s">
        <v>17</v>
      </c>
      <c r="B24" s="1" t="s">
        <v>47</v>
      </c>
      <c r="C24" s="1" t="s">
        <v>40</v>
      </c>
      <c r="D24" s="1" t="str">
        <f t="shared" si="1"/>
        <v>Lance Harris</v>
      </c>
      <c r="E24" s="1" t="s">
        <v>48</v>
      </c>
      <c r="F24" s="1" t="str">
        <f t="shared" si="4"/>
        <v>UT-000335456078</v>
      </c>
      <c r="G24" s="2">
        <v>45778.0</v>
      </c>
      <c r="H24" s="1" t="s">
        <v>71</v>
      </c>
      <c r="I24" s="6">
        <v>20.0</v>
      </c>
      <c r="J24" s="1" t="str">
        <f t="shared" si="3"/>
        <v>4/1/2026</v>
      </c>
      <c r="K24" s="5" t="s">
        <v>78</v>
      </c>
    </row>
    <row r="25">
      <c r="A25" s="1" t="s">
        <v>17</v>
      </c>
      <c r="B25" s="1" t="s">
        <v>49</v>
      </c>
      <c r="C25" s="1" t="s">
        <v>40</v>
      </c>
      <c r="D25" s="1" t="str">
        <f t="shared" si="1"/>
        <v>Hayden Harris</v>
      </c>
      <c r="E25" s="1" t="s">
        <v>50</v>
      </c>
      <c r="F25" s="1" t="str">
        <f t="shared" si="4"/>
        <v>UT-000359304978</v>
      </c>
      <c r="G25" s="2">
        <v>45778.0</v>
      </c>
      <c r="H25" s="1" t="s">
        <v>71</v>
      </c>
      <c r="I25" s="6">
        <v>20.0</v>
      </c>
      <c r="J25" s="1" t="str">
        <f t="shared" si="3"/>
        <v>4/1/2026</v>
      </c>
      <c r="K25" s="5" t="s">
        <v>78</v>
      </c>
    </row>
    <row r="26">
      <c r="A26" s="1" t="s">
        <v>17</v>
      </c>
      <c r="B26" s="1" t="s">
        <v>51</v>
      </c>
      <c r="C26" s="1" t="s">
        <v>40</v>
      </c>
      <c r="D26" s="1" t="str">
        <f t="shared" si="1"/>
        <v>Hailee Harris</v>
      </c>
      <c r="E26" s="1" t="s">
        <v>52</v>
      </c>
      <c r="F26" s="1" t="str">
        <f t="shared" si="4"/>
        <v>UT-000360984178</v>
      </c>
      <c r="G26" s="2">
        <v>45778.0</v>
      </c>
      <c r="H26" s="1" t="s">
        <v>71</v>
      </c>
      <c r="I26" s="6">
        <v>20.0</v>
      </c>
      <c r="J26" s="1" t="str">
        <f t="shared" si="3"/>
        <v>4/1/2026</v>
      </c>
      <c r="K26" s="5" t="s">
        <v>78</v>
      </c>
    </row>
    <row r="27">
      <c r="A27" s="1" t="s">
        <v>17</v>
      </c>
      <c r="B27" s="1" t="s">
        <v>25</v>
      </c>
      <c r="C27" s="1" t="s">
        <v>26</v>
      </c>
      <c r="D27" s="1" t="str">
        <f t="shared" si="1"/>
        <v>Bruce Kelley</v>
      </c>
      <c r="E27" s="1" t="s">
        <v>27</v>
      </c>
      <c r="F27" s="1" t="str">
        <f t="shared" si="4"/>
        <v>OH-000006569378</v>
      </c>
      <c r="G27" s="2">
        <v>45292.0</v>
      </c>
      <c r="H27" s="1" t="s">
        <v>72</v>
      </c>
      <c r="I27" s="6">
        <v>22.0</v>
      </c>
      <c r="J27" s="1" t="str">
        <f t="shared" si="3"/>
        <v>4/1/2026</v>
      </c>
      <c r="K27" s="5" t="s">
        <v>79</v>
      </c>
    </row>
    <row r="28">
      <c r="A28" s="1" t="s">
        <v>17</v>
      </c>
      <c r="B28" s="1" t="s">
        <v>28</v>
      </c>
      <c r="C28" s="1" t="s">
        <v>29</v>
      </c>
      <c r="D28" s="1" t="str">
        <f t="shared" si="1"/>
        <v>Ronald Gengler</v>
      </c>
      <c r="E28" s="1" t="s">
        <v>30</v>
      </c>
      <c r="F28" s="1" t="str">
        <f t="shared" si="4"/>
        <v>OH-000289485678</v>
      </c>
      <c r="G28" s="2">
        <v>45292.0</v>
      </c>
      <c r="H28" s="1" t="s">
        <v>72</v>
      </c>
      <c r="I28" s="6">
        <v>22.0</v>
      </c>
      <c r="J28" s="1" t="str">
        <f t="shared" si="3"/>
        <v>4/1/2026</v>
      </c>
      <c r="K28" s="5" t="s">
        <v>79</v>
      </c>
    </row>
    <row r="29">
      <c r="A29" s="1" t="s">
        <v>17</v>
      </c>
      <c r="B29" s="1" t="s">
        <v>31</v>
      </c>
      <c r="C29" s="1" t="s">
        <v>29</v>
      </c>
      <c r="D29" s="1" t="str">
        <f t="shared" si="1"/>
        <v>Amber Gengler</v>
      </c>
      <c r="E29" s="1" t="s">
        <v>32</v>
      </c>
      <c r="F29" s="1" t="str">
        <f t="shared" si="4"/>
        <v>OH-000381436878</v>
      </c>
      <c r="G29" s="2">
        <v>45292.0</v>
      </c>
      <c r="H29" s="1" t="s">
        <v>72</v>
      </c>
      <c r="I29" s="6">
        <v>22.0</v>
      </c>
      <c r="J29" s="1" t="str">
        <f t="shared" si="3"/>
        <v>4/1/2026</v>
      </c>
      <c r="K29" s="5" t="s">
        <v>79</v>
      </c>
    </row>
    <row r="30">
      <c r="A30" s="1" t="s">
        <v>17</v>
      </c>
      <c r="B30" s="1" t="s">
        <v>33</v>
      </c>
      <c r="C30" s="1" t="s">
        <v>34</v>
      </c>
      <c r="D30" s="1" t="str">
        <f t="shared" si="1"/>
        <v>Allen Reinhart</v>
      </c>
      <c r="E30" s="1" t="s">
        <v>35</v>
      </c>
      <c r="F30" s="1" t="str">
        <f t="shared" si="4"/>
        <v>OH-000396772478</v>
      </c>
      <c r="G30" s="2">
        <v>45658.0</v>
      </c>
      <c r="H30" s="1" t="s">
        <v>72</v>
      </c>
      <c r="I30" s="6">
        <v>22.0</v>
      </c>
      <c r="J30" s="1" t="str">
        <f t="shared" si="3"/>
        <v>4/1/2026</v>
      </c>
      <c r="K30" s="5" t="s">
        <v>79</v>
      </c>
    </row>
    <row r="31">
      <c r="A31" s="1" t="s">
        <v>17</v>
      </c>
      <c r="B31" s="1" t="s">
        <v>36</v>
      </c>
      <c r="C31" s="1" t="s">
        <v>37</v>
      </c>
      <c r="D31" s="1" t="str">
        <f t="shared" si="1"/>
        <v>Kimberly Smithson</v>
      </c>
      <c r="E31" s="1" t="s">
        <v>38</v>
      </c>
      <c r="F31" s="1" t="str">
        <f t="shared" si="4"/>
        <v>OH-000399100678</v>
      </c>
      <c r="G31" s="2">
        <v>45658.0</v>
      </c>
      <c r="H31" s="1" t="s">
        <v>72</v>
      </c>
      <c r="I31" s="6">
        <v>22.0</v>
      </c>
      <c r="J31" s="1" t="str">
        <f t="shared" si="3"/>
        <v>4/1/2026</v>
      </c>
      <c r="K31" s="5" t="s">
        <v>79</v>
      </c>
    </row>
    <row r="32">
      <c r="A32" s="1" t="s">
        <v>11</v>
      </c>
      <c r="B32" s="1" t="s">
        <v>12</v>
      </c>
      <c r="C32" s="1" t="s">
        <v>13</v>
      </c>
      <c r="D32" s="1" t="str">
        <f t="shared" si="1"/>
        <v>Miguel Peralta</v>
      </c>
      <c r="E32" s="1" t="s">
        <v>14</v>
      </c>
      <c r="F32" s="1" t="str">
        <f t="shared" ref="F32:F39" si="5">concat(E32,77)</f>
        <v>IL-100014454577</v>
      </c>
      <c r="G32" s="2">
        <v>45566.0</v>
      </c>
      <c r="H32" s="1" t="s">
        <v>73</v>
      </c>
      <c r="I32" s="6">
        <v>25.0</v>
      </c>
      <c r="J32" s="1" t="str">
        <f t="shared" si="3"/>
        <v>4/1/2026</v>
      </c>
      <c r="K32" s="5" t="s">
        <v>80</v>
      </c>
    </row>
    <row r="33">
      <c r="A33" s="1" t="s">
        <v>53</v>
      </c>
      <c r="B33" s="1" t="s">
        <v>54</v>
      </c>
      <c r="C33" s="1" t="s">
        <v>55</v>
      </c>
      <c r="D33" s="1" t="str">
        <f t="shared" si="1"/>
        <v>Lazaros Bolis</v>
      </c>
      <c r="E33" s="1" t="s">
        <v>56</v>
      </c>
      <c r="F33" s="1" t="str">
        <f t="shared" si="5"/>
        <v>IL-100009246977</v>
      </c>
      <c r="G33" s="2">
        <v>45717.0</v>
      </c>
      <c r="H33" s="1" t="s">
        <v>73</v>
      </c>
      <c r="I33" s="6">
        <v>25.0</v>
      </c>
      <c r="J33" s="1" t="str">
        <f t="shared" si="3"/>
        <v>4/1/2026</v>
      </c>
      <c r="K33" s="5" t="s">
        <v>80</v>
      </c>
    </row>
    <row r="34">
      <c r="A34" s="1" t="s">
        <v>53</v>
      </c>
      <c r="B34" s="1" t="s">
        <v>57</v>
      </c>
      <c r="C34" s="1" t="s">
        <v>58</v>
      </c>
      <c r="D34" s="1" t="str">
        <f t="shared" si="1"/>
        <v>Sebastiana Bonafede</v>
      </c>
      <c r="E34" s="1" t="s">
        <v>59</v>
      </c>
      <c r="F34" s="1" t="str">
        <f t="shared" si="5"/>
        <v>IL-100049483677</v>
      </c>
      <c r="G34" s="2">
        <v>45689.0</v>
      </c>
      <c r="H34" s="1" t="s">
        <v>73</v>
      </c>
      <c r="I34" s="6">
        <v>25.0</v>
      </c>
      <c r="J34" s="1" t="str">
        <f t="shared" si="3"/>
        <v>4/1/2026</v>
      </c>
      <c r="K34" s="5" t="s">
        <v>80</v>
      </c>
    </row>
    <row r="35">
      <c r="A35" s="1" t="s">
        <v>64</v>
      </c>
      <c r="B35" s="1" t="s">
        <v>65</v>
      </c>
      <c r="C35" s="1" t="s">
        <v>66</v>
      </c>
      <c r="D35" s="1" t="str">
        <f t="shared" si="1"/>
        <v>Patrick Matsuda</v>
      </c>
      <c r="E35" s="1" t="s">
        <v>67</v>
      </c>
      <c r="F35" s="1" t="str">
        <f t="shared" si="5"/>
        <v>IL-100010137077</v>
      </c>
      <c r="G35" s="2">
        <v>45658.0</v>
      </c>
      <c r="H35" s="1" t="s">
        <v>73</v>
      </c>
      <c r="I35" s="6">
        <v>25.0</v>
      </c>
      <c r="J35" s="1" t="str">
        <f t="shared" si="3"/>
        <v>4/1/2026</v>
      </c>
      <c r="K35" s="5" t="s">
        <v>80</v>
      </c>
    </row>
    <row r="36">
      <c r="A36" s="1" t="s">
        <v>64</v>
      </c>
      <c r="B36" s="1" t="s">
        <v>68</v>
      </c>
      <c r="C36" s="1" t="s">
        <v>69</v>
      </c>
      <c r="D36" s="1" t="str">
        <f t="shared" si="1"/>
        <v>Marco Flores</v>
      </c>
      <c r="E36" s="1" t="s">
        <v>70</v>
      </c>
      <c r="F36" s="1" t="str">
        <f t="shared" si="5"/>
        <v>IL-100052462977</v>
      </c>
      <c r="G36" s="2">
        <v>45658.0</v>
      </c>
      <c r="H36" s="1" t="s">
        <v>73</v>
      </c>
      <c r="I36" s="6">
        <v>25.0</v>
      </c>
      <c r="J36" s="1" t="str">
        <f t="shared" si="3"/>
        <v>4/1/2026</v>
      </c>
      <c r="K36" s="5" t="s">
        <v>80</v>
      </c>
    </row>
    <row r="37">
      <c r="A37" s="1" t="s">
        <v>17</v>
      </c>
      <c r="B37" s="1" t="s">
        <v>19</v>
      </c>
      <c r="C37" s="1" t="s">
        <v>20</v>
      </c>
      <c r="D37" s="1" t="str">
        <f t="shared" si="1"/>
        <v>Tommy Harber</v>
      </c>
      <c r="E37" s="1" t="s">
        <v>21</v>
      </c>
      <c r="F37" s="1" t="str">
        <f t="shared" si="5"/>
        <v>FL-001653214677</v>
      </c>
      <c r="G37" s="2">
        <v>44986.0</v>
      </c>
      <c r="H37" s="1" t="s">
        <v>74</v>
      </c>
      <c r="I37" s="6">
        <v>27.0</v>
      </c>
      <c r="J37" s="1" t="str">
        <f t="shared" si="3"/>
        <v>4/1/2026</v>
      </c>
      <c r="K37" s="5" t="s">
        <v>81</v>
      </c>
    </row>
    <row r="38">
      <c r="A38" s="1" t="s">
        <v>17</v>
      </c>
      <c r="B38" s="1" t="s">
        <v>22</v>
      </c>
      <c r="C38" s="1" t="s">
        <v>23</v>
      </c>
      <c r="D38" s="1" t="str">
        <f t="shared" si="1"/>
        <v>Richard Jarvis</v>
      </c>
      <c r="E38" s="1" t="s">
        <v>24</v>
      </c>
      <c r="F38" s="1" t="str">
        <f t="shared" si="5"/>
        <v>FL-002364042877</v>
      </c>
      <c r="G38" s="2">
        <v>45658.0</v>
      </c>
      <c r="H38" s="1" t="s">
        <v>74</v>
      </c>
      <c r="I38" s="6">
        <v>27.0</v>
      </c>
      <c r="J38" s="1" t="str">
        <f t="shared" si="3"/>
        <v>4/1/2026</v>
      </c>
      <c r="K38" s="5" t="s">
        <v>81</v>
      </c>
    </row>
    <row r="39">
      <c r="A39" s="1" t="s">
        <v>60</v>
      </c>
      <c r="B39" s="1" t="s">
        <v>61</v>
      </c>
      <c r="C39" s="1" t="s">
        <v>62</v>
      </c>
      <c r="D39" s="1" t="str">
        <f t="shared" si="1"/>
        <v>Jean Williams</v>
      </c>
      <c r="E39" s="1" t="s">
        <v>63</v>
      </c>
      <c r="F39" s="1" t="str">
        <f t="shared" si="5"/>
        <v>FL-002026540877</v>
      </c>
      <c r="G39" s="2">
        <v>45658.0</v>
      </c>
      <c r="H39" s="1" t="s">
        <v>74</v>
      </c>
      <c r="I39" s="6">
        <v>27.0</v>
      </c>
      <c r="J39" s="1" t="str">
        <f t="shared" si="3"/>
        <v>4/1/2026</v>
      </c>
      <c r="K39" s="5" t="s">
        <v>81</v>
      </c>
    </row>
    <row r="40">
      <c r="I40" s="4"/>
    </row>
    <row r="41">
      <c r="I41" s="4"/>
    </row>
    <row r="42">
      <c r="I42" s="4"/>
    </row>
    <row r="43">
      <c r="I43" s="4"/>
    </row>
    <row r="44">
      <c r="I44" s="4"/>
    </row>
    <row r="45">
      <c r="I45" s="4"/>
    </row>
    <row r="46">
      <c r="I46" s="4"/>
    </row>
    <row r="47">
      <c r="I47" s="4"/>
    </row>
    <row r="48">
      <c r="I48" s="4"/>
    </row>
    <row r="49">
      <c r="I49" s="4"/>
    </row>
    <row r="50">
      <c r="I50" s="4"/>
    </row>
    <row r="51">
      <c r="I51" s="4"/>
    </row>
    <row r="52">
      <c r="I52" s="4"/>
    </row>
    <row r="53">
      <c r="I53" s="4"/>
    </row>
    <row r="54">
      <c r="I54" s="4"/>
    </row>
    <row r="55">
      <c r="I55" s="4"/>
    </row>
    <row r="56">
      <c r="I56" s="4"/>
    </row>
    <row r="57">
      <c r="I57" s="4"/>
    </row>
    <row r="58">
      <c r="I58" s="4"/>
    </row>
    <row r="59">
      <c r="I59" s="4"/>
    </row>
    <row r="60">
      <c r="I60" s="4"/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2026-05-01T14:45:26Z</dcterms:created>
  <dc:creator>Bhushan patil</dc:creator>
</cp:coreProperties>
</file>