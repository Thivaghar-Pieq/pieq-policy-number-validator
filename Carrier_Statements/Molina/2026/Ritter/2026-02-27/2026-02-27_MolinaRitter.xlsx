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hidden="1" localSheetId="1" name="_xlnm._FilterDatabase">Sheet2!$A$1:$AB$1000</definedName>
  </definedNames>
  <calcPr/>
  <extLst>
    <ext uri="GoogleSheetsCustomDataVersion2">
      <go:sheetsCustomData xmlns:go="http://customooxmlschemas.google.com/" r:id="rId6" roundtripDataChecksum="hOe3Q829Xe19bz6u+hHhr1J8VEAmitvkjvaDTKaUC90="/>
    </ext>
  </extLst>
</workbook>
</file>

<file path=xl/sharedStrings.xml><?xml version="1.0" encoding="utf-8"?>
<sst xmlns="http://schemas.openxmlformats.org/spreadsheetml/2006/main" count="572" uniqueCount="99">
  <si>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</si>
  <si>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</si>
  <si>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</si>
  <si>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</si>
  <si>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</si>
  <si>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</si>
  <si>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</si>
  <si>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</si>
  <si>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</si>
  <si>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</si>
  <si>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</si>
  <si>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Saadia Abdul</t>
  </si>
  <si>
    <t>Miguel</t>
  </si>
  <si>
    <t>Peralta</t>
  </si>
  <si>
    <t>IL-1000144545</t>
  </si>
  <si>
    <t>Molina Marketplace</t>
  </si>
  <si>
    <t>Molina Marketplace 2025 IL, SC, TX ST (ProRata: 1) Premium Period: 2/1/2026</t>
  </si>
  <si>
    <t>Richard Yale</t>
  </si>
  <si>
    <t>Lazaros</t>
  </si>
  <si>
    <t>Bolis</t>
  </si>
  <si>
    <t>IL-1000092469</t>
  </si>
  <si>
    <t>Sebastiana</t>
  </si>
  <si>
    <t>Bonafede</t>
  </si>
  <si>
    <t>IL-1000494836</t>
  </si>
  <si>
    <t>Gary Portugal</t>
  </si>
  <si>
    <t>Patrick</t>
  </si>
  <si>
    <t>Matsuda</t>
  </si>
  <si>
    <t>IL-1000101370</t>
  </si>
  <si>
    <t>Marco</t>
  </si>
  <si>
    <t>Flores</t>
  </si>
  <si>
    <t>IL-1000524629</t>
  </si>
  <si>
    <t>Ryan Caltagirone</t>
  </si>
  <si>
    <t>BA2413</t>
  </si>
  <si>
    <t>Bruce</t>
  </si>
  <si>
    <t>Kelley</t>
  </si>
  <si>
    <t>OH-0000065693</t>
  </si>
  <si>
    <t>Molina Marketplace 2025 OEP/SEP MS / OH Renewal (ProRata: 1) Premium Period: 2/1/2026</t>
  </si>
  <si>
    <t>Ronald</t>
  </si>
  <si>
    <t>Gengler</t>
  </si>
  <si>
    <t>OH-0002894856</t>
  </si>
  <si>
    <t>Amber</t>
  </si>
  <si>
    <t>OH-0003814368</t>
  </si>
  <si>
    <t>Allen</t>
  </si>
  <si>
    <t>Reinhart</t>
  </si>
  <si>
    <t>OH-0003967724</t>
  </si>
  <si>
    <t>Kimberly</t>
  </si>
  <si>
    <t>Smithson</t>
  </si>
  <si>
    <t>OH-0003991006</t>
  </si>
  <si>
    <t>Tommy</t>
  </si>
  <si>
    <t>Harber</t>
  </si>
  <si>
    <t>FL-0016532146</t>
  </si>
  <si>
    <t>Molina Marketplace 2025 Renewal FL/SC, ST (ProRata: 1) Premium Period: 2/1/2026</t>
  </si>
  <si>
    <t>Richard</t>
  </si>
  <si>
    <t>Jarvis</t>
  </si>
  <si>
    <t>FL-0023640428</t>
  </si>
  <si>
    <t>Jonathan Aloff</t>
  </si>
  <si>
    <t>Jean</t>
  </si>
  <si>
    <t>Williams</t>
  </si>
  <si>
    <t>FL-0020265408</t>
  </si>
  <si>
    <t>Jace</t>
  </si>
  <si>
    <t>Harris</t>
  </si>
  <si>
    <t>UT-0002368301</t>
  </si>
  <si>
    <t>Molina Marketplace 2025-26 CA, KY, OH / 2026 WA UT ST (ProRata: 1) Premium Period: 2/1/2026</t>
  </si>
  <si>
    <t>Toni</t>
  </si>
  <si>
    <t>Charter</t>
  </si>
  <si>
    <t>UT-0002516451</t>
  </si>
  <si>
    <t>Kelly</t>
  </si>
  <si>
    <t>UT-0003149617</t>
  </si>
  <si>
    <t>Lance</t>
  </si>
  <si>
    <t>UT-0003354560</t>
  </si>
  <si>
    <t>Hayden</t>
  </si>
  <si>
    <t>UT-0003593049</t>
  </si>
  <si>
    <t>Hailee</t>
  </si>
  <si>
    <t>UT-0003609841</t>
  </si>
  <si>
    <t>Charles</t>
  </si>
  <si>
    <t>Carspecken</t>
  </si>
  <si>
    <t>UT-0004132332</t>
  </si>
  <si>
    <t>Molina Marketplace 2026 OEP/SEP Renewal / Initial OR (ProRata: 1) Premium Period: 2/1/2026</t>
  </si>
  <si>
    <t>paid to dates</t>
  </si>
  <si>
    <t>pro</t>
  </si>
  <si>
    <t>premium'</t>
  </si>
  <si>
    <t>Molina 2025 IL, SC, TX</t>
  </si>
  <si>
    <t>Molina OH 2026</t>
  </si>
  <si>
    <t>Molina OH 2027</t>
  </si>
  <si>
    <t>Molina OH 2028</t>
  </si>
  <si>
    <t>Molina OH 2029</t>
  </si>
  <si>
    <t>Molina OH 2030</t>
  </si>
  <si>
    <t>Molina - FL 2025</t>
  </si>
  <si>
    <t>Molina - FL 2026</t>
  </si>
  <si>
    <t>Molina - FL 2027</t>
  </si>
  <si>
    <t>Molina - WA KY UT 2026</t>
  </si>
  <si>
    <t>Molina - WA KY UT 2027</t>
  </si>
  <si>
    <t>Molina - WA KY UT 2028</t>
  </si>
  <si>
    <t>Molina - WA KY UT 2029</t>
  </si>
  <si>
    <t>Molina - WA KY UT 2030</t>
  </si>
  <si>
    <t>Molina - WA KY UT 2031</t>
  </si>
  <si>
    <t>Molina - WA KY UT 2032</t>
  </si>
  <si>
    <t>Main Line Benefits</t>
  </si>
  <si>
    <t>Molina Ovr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</si>
</sst>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1" numFmtId="0" xfId="0" applyAlignment="1" applyFont="1">
      <alignment readingOrder="0"/>
    </xf>
    <xf borderId="0" fillId="0" fontId="2" numFmtId="4" xfId="0" applyFont="1" applyNumberForma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5.43"/>
    <col customWidth="1" min="3" max="3" width="10.71"/>
    <col customWidth="1" min="4" max="4" width="10.57"/>
    <col customWidth="1" min="5" max="5" width="11.14"/>
    <col customWidth="1" min="6" max="6" width="14.57"/>
    <col customWidth="1" min="7" max="7" width="11.86"/>
    <col customWidth="1" min="8" max="8" width="14.71"/>
    <col customWidth="1" min="9" max="9" width="18.86"/>
    <col customWidth="1" min="10" max="10" width="86.71"/>
    <col customWidth="1" min="11" max="11" width="15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1.9396223E7</v>
      </c>
      <c r="D2" s="1" t="s">
        <v>12</v>
      </c>
      <c r="E2" s="1" t="s">
        <v>13</v>
      </c>
      <c r="F2" s="1" t="s">
        <v>14</v>
      </c>
      <c r="G2" s="2">
        <v>45566.0</v>
      </c>
      <c r="H2" s="2">
        <v>46080.0</v>
      </c>
      <c r="I2" s="1" t="s">
        <v>15</v>
      </c>
      <c r="J2" s="1" t="s">
        <v>16</v>
      </c>
      <c r="K2" s="3">
        <v>25.0</v>
      </c>
    </row>
    <row r="3">
      <c r="A3" s="1" t="s">
        <v>17</v>
      </c>
      <c r="C3" s="1">
        <v>1.6633294E7</v>
      </c>
      <c r="D3" s="1" t="s">
        <v>18</v>
      </c>
      <c r="E3" s="1" t="s">
        <v>19</v>
      </c>
      <c r="F3" s="1" t="s">
        <v>20</v>
      </c>
      <c r="G3" s="2">
        <v>45717.0</v>
      </c>
      <c r="H3" s="2">
        <v>46080.0</v>
      </c>
      <c r="I3" s="1" t="s">
        <v>15</v>
      </c>
      <c r="J3" s="1" t="s">
        <v>16</v>
      </c>
      <c r="K3" s="3">
        <v>25.0</v>
      </c>
    </row>
    <row r="4">
      <c r="A4" s="1" t="s">
        <v>17</v>
      </c>
      <c r="C4" s="1">
        <v>1.6633294E7</v>
      </c>
      <c r="D4" s="1" t="s">
        <v>21</v>
      </c>
      <c r="E4" s="1" t="s">
        <v>22</v>
      </c>
      <c r="F4" s="1" t="s">
        <v>23</v>
      </c>
      <c r="G4" s="2">
        <v>45689.0</v>
      </c>
      <c r="H4" s="2">
        <v>46080.0</v>
      </c>
      <c r="I4" s="1" t="s">
        <v>15</v>
      </c>
      <c r="J4" s="1" t="s">
        <v>16</v>
      </c>
      <c r="K4" s="3">
        <v>25.0</v>
      </c>
    </row>
    <row r="5">
      <c r="A5" s="1" t="s">
        <v>24</v>
      </c>
      <c r="C5" s="1">
        <v>9213293.0</v>
      </c>
      <c r="D5" s="1" t="s">
        <v>25</v>
      </c>
      <c r="E5" s="1" t="s">
        <v>26</v>
      </c>
      <c r="F5" s="1" t="s">
        <v>27</v>
      </c>
      <c r="G5" s="2">
        <v>45658.0</v>
      </c>
      <c r="H5" s="2">
        <v>46080.0</v>
      </c>
      <c r="I5" s="1" t="s">
        <v>15</v>
      </c>
      <c r="J5" s="1" t="s">
        <v>16</v>
      </c>
      <c r="K5" s="3">
        <v>25.0</v>
      </c>
    </row>
    <row r="6">
      <c r="A6" s="1" t="s">
        <v>24</v>
      </c>
      <c r="C6" s="1">
        <v>9213293.0</v>
      </c>
      <c r="D6" s="1" t="s">
        <v>28</v>
      </c>
      <c r="E6" s="1" t="s">
        <v>29</v>
      </c>
      <c r="F6" s="1" t="s">
        <v>30</v>
      </c>
      <c r="G6" s="2">
        <v>45658.0</v>
      </c>
      <c r="H6" s="2">
        <v>46080.0</v>
      </c>
      <c r="I6" s="1" t="s">
        <v>15</v>
      </c>
      <c r="J6" s="1" t="s">
        <v>16</v>
      </c>
      <c r="K6" s="3">
        <v>25.0</v>
      </c>
    </row>
    <row r="7">
      <c r="A7" s="1" t="s">
        <v>31</v>
      </c>
      <c r="B7" s="1" t="s">
        <v>32</v>
      </c>
      <c r="C7" s="1">
        <v>8977234.0</v>
      </c>
      <c r="D7" s="1" t="s">
        <v>33</v>
      </c>
      <c r="E7" s="1" t="s">
        <v>34</v>
      </c>
      <c r="F7" s="1" t="s">
        <v>35</v>
      </c>
      <c r="G7" s="2">
        <v>45292.0</v>
      </c>
      <c r="H7" s="2">
        <v>46080.0</v>
      </c>
      <c r="I7" s="1" t="s">
        <v>15</v>
      </c>
      <c r="J7" s="1" t="s">
        <v>36</v>
      </c>
      <c r="K7" s="3">
        <v>22.0</v>
      </c>
    </row>
    <row r="8">
      <c r="A8" s="1" t="s">
        <v>31</v>
      </c>
      <c r="B8" s="1" t="s">
        <v>32</v>
      </c>
      <c r="C8" s="1">
        <v>8977234.0</v>
      </c>
      <c r="D8" s="1" t="s">
        <v>37</v>
      </c>
      <c r="E8" s="1" t="s">
        <v>38</v>
      </c>
      <c r="F8" s="1" t="s">
        <v>39</v>
      </c>
      <c r="G8" s="2">
        <v>45292.0</v>
      </c>
      <c r="H8" s="2">
        <v>46080.0</v>
      </c>
      <c r="I8" s="1" t="s">
        <v>15</v>
      </c>
      <c r="J8" s="1" t="s">
        <v>36</v>
      </c>
      <c r="K8" s="3">
        <v>22.0</v>
      </c>
    </row>
    <row r="9">
      <c r="A9" s="1" t="s">
        <v>31</v>
      </c>
      <c r="B9" s="1" t="s">
        <v>32</v>
      </c>
      <c r="C9" s="1">
        <v>8977234.0</v>
      </c>
      <c r="D9" s="1" t="s">
        <v>40</v>
      </c>
      <c r="E9" s="1" t="s">
        <v>38</v>
      </c>
      <c r="F9" s="1" t="s">
        <v>41</v>
      </c>
      <c r="G9" s="2">
        <v>45292.0</v>
      </c>
      <c r="H9" s="2">
        <v>46080.0</v>
      </c>
      <c r="I9" s="1" t="s">
        <v>15</v>
      </c>
      <c r="J9" s="1" t="s">
        <v>36</v>
      </c>
      <c r="K9" s="3">
        <v>22.0</v>
      </c>
    </row>
    <row r="10">
      <c r="A10" s="1" t="s">
        <v>31</v>
      </c>
      <c r="B10" s="1" t="s">
        <v>32</v>
      </c>
      <c r="C10" s="1">
        <v>8977234.0</v>
      </c>
      <c r="D10" s="1" t="s">
        <v>42</v>
      </c>
      <c r="E10" s="1" t="s">
        <v>43</v>
      </c>
      <c r="F10" s="1" t="s">
        <v>44</v>
      </c>
      <c r="G10" s="2">
        <v>45658.0</v>
      </c>
      <c r="H10" s="2">
        <v>46080.0</v>
      </c>
      <c r="I10" s="1" t="s">
        <v>15</v>
      </c>
      <c r="J10" s="1" t="s">
        <v>36</v>
      </c>
      <c r="K10" s="3">
        <v>22.0</v>
      </c>
    </row>
    <row r="11">
      <c r="A11" s="1" t="s">
        <v>31</v>
      </c>
      <c r="B11" s="1" t="s">
        <v>32</v>
      </c>
      <c r="C11" s="1">
        <v>8977234.0</v>
      </c>
      <c r="D11" s="1" t="s">
        <v>45</v>
      </c>
      <c r="E11" s="1" t="s">
        <v>46</v>
      </c>
      <c r="F11" s="1" t="s">
        <v>47</v>
      </c>
      <c r="G11" s="2">
        <v>45658.0</v>
      </c>
      <c r="H11" s="2">
        <v>46080.0</v>
      </c>
      <c r="I11" s="1" t="s">
        <v>15</v>
      </c>
      <c r="J11" s="1" t="s">
        <v>36</v>
      </c>
      <c r="K11" s="3">
        <v>22.0</v>
      </c>
    </row>
    <row r="12">
      <c r="A12" s="1" t="s">
        <v>31</v>
      </c>
      <c r="B12" s="1" t="s">
        <v>32</v>
      </c>
      <c r="C12" s="1">
        <v>8977234.0</v>
      </c>
      <c r="D12" s="1" t="s">
        <v>48</v>
      </c>
      <c r="E12" s="1" t="s">
        <v>49</v>
      </c>
      <c r="F12" s="1" t="s">
        <v>50</v>
      </c>
      <c r="G12" s="2">
        <v>44986.0</v>
      </c>
      <c r="H12" s="2">
        <v>46080.0</v>
      </c>
      <c r="I12" s="1" t="s">
        <v>15</v>
      </c>
      <c r="J12" s="1" t="s">
        <v>51</v>
      </c>
      <c r="K12" s="3">
        <v>27.0</v>
      </c>
    </row>
    <row r="13">
      <c r="A13" s="1" t="s">
        <v>31</v>
      </c>
      <c r="B13" s="1" t="s">
        <v>32</v>
      </c>
      <c r="C13" s="1">
        <v>8977234.0</v>
      </c>
      <c r="D13" s="1" t="s">
        <v>52</v>
      </c>
      <c r="E13" s="1" t="s">
        <v>53</v>
      </c>
      <c r="F13" s="1" t="s">
        <v>54</v>
      </c>
      <c r="G13" s="2">
        <v>45658.0</v>
      </c>
      <c r="H13" s="2">
        <v>46080.0</v>
      </c>
      <c r="I13" s="1" t="s">
        <v>15</v>
      </c>
      <c r="J13" s="1" t="s">
        <v>51</v>
      </c>
      <c r="K13" s="3">
        <v>27.0</v>
      </c>
    </row>
    <row r="14">
      <c r="A14" s="1" t="s">
        <v>55</v>
      </c>
      <c r="C14" s="1">
        <v>1.6683808E7</v>
      </c>
      <c r="D14" s="1" t="s">
        <v>56</v>
      </c>
      <c r="E14" s="1" t="s">
        <v>57</v>
      </c>
      <c r="F14" s="1" t="s">
        <v>58</v>
      </c>
      <c r="G14" s="2">
        <v>45658.0</v>
      </c>
      <c r="H14" s="2">
        <v>46080.0</v>
      </c>
      <c r="I14" s="1" t="s">
        <v>15</v>
      </c>
      <c r="J14" s="1" t="s">
        <v>51</v>
      </c>
      <c r="K14" s="3">
        <v>27.0</v>
      </c>
    </row>
    <row r="15">
      <c r="A15" s="1" t="s">
        <v>31</v>
      </c>
      <c r="B15" s="1" t="s">
        <v>32</v>
      </c>
      <c r="C15" s="1">
        <v>8977234.0</v>
      </c>
      <c r="D15" s="1" t="s">
        <v>59</v>
      </c>
      <c r="E15" s="1" t="s">
        <v>60</v>
      </c>
      <c r="F15" s="1" t="s">
        <v>61</v>
      </c>
      <c r="G15" s="2">
        <v>45778.0</v>
      </c>
      <c r="H15" s="2">
        <v>46080.0</v>
      </c>
      <c r="I15" s="1" t="s">
        <v>15</v>
      </c>
      <c r="J15" s="1" t="s">
        <v>62</v>
      </c>
      <c r="K15" s="3">
        <v>20.0</v>
      </c>
    </row>
    <row r="16">
      <c r="A16" s="1" t="s">
        <v>31</v>
      </c>
      <c r="B16" s="1" t="s">
        <v>32</v>
      </c>
      <c r="C16" s="1">
        <v>8977234.0</v>
      </c>
      <c r="D16" s="1" t="s">
        <v>63</v>
      </c>
      <c r="E16" s="1" t="s">
        <v>64</v>
      </c>
      <c r="F16" s="1" t="s">
        <v>65</v>
      </c>
      <c r="G16" s="2">
        <v>45658.0</v>
      </c>
      <c r="H16" s="2">
        <v>46080.0</v>
      </c>
      <c r="I16" s="1" t="s">
        <v>15</v>
      </c>
      <c r="J16" s="1" t="s">
        <v>62</v>
      </c>
      <c r="K16" s="3">
        <v>20.0</v>
      </c>
    </row>
    <row r="17">
      <c r="A17" s="1" t="s">
        <v>31</v>
      </c>
      <c r="B17" s="1" t="s">
        <v>32</v>
      </c>
      <c r="C17" s="1">
        <v>8977234.0</v>
      </c>
      <c r="D17" s="1" t="s">
        <v>66</v>
      </c>
      <c r="E17" s="1" t="s">
        <v>60</v>
      </c>
      <c r="F17" s="1" t="s">
        <v>67</v>
      </c>
      <c r="G17" s="2">
        <v>45778.0</v>
      </c>
      <c r="H17" s="2">
        <v>46080.0</v>
      </c>
      <c r="I17" s="1" t="s">
        <v>15</v>
      </c>
      <c r="J17" s="1" t="s">
        <v>62</v>
      </c>
      <c r="K17" s="3">
        <v>20.0</v>
      </c>
    </row>
    <row r="18">
      <c r="A18" s="1" t="s">
        <v>31</v>
      </c>
      <c r="B18" s="1" t="s">
        <v>32</v>
      </c>
      <c r="C18" s="1">
        <v>8977234.0</v>
      </c>
      <c r="D18" s="1" t="s">
        <v>68</v>
      </c>
      <c r="E18" s="1" t="s">
        <v>60</v>
      </c>
      <c r="F18" s="1" t="s">
        <v>69</v>
      </c>
      <c r="G18" s="2">
        <v>45778.0</v>
      </c>
      <c r="H18" s="2">
        <v>46080.0</v>
      </c>
      <c r="I18" s="1" t="s">
        <v>15</v>
      </c>
      <c r="J18" s="1" t="s">
        <v>62</v>
      </c>
      <c r="K18" s="3">
        <v>20.0</v>
      </c>
    </row>
    <row r="19">
      <c r="A19" s="1" t="s">
        <v>31</v>
      </c>
      <c r="B19" s="1" t="s">
        <v>32</v>
      </c>
      <c r="C19" s="1">
        <v>8977234.0</v>
      </c>
      <c r="D19" s="1" t="s">
        <v>70</v>
      </c>
      <c r="E19" s="1" t="s">
        <v>60</v>
      </c>
      <c r="F19" s="1" t="s">
        <v>71</v>
      </c>
      <c r="G19" s="2">
        <v>45778.0</v>
      </c>
      <c r="H19" s="2">
        <v>46080.0</v>
      </c>
      <c r="I19" s="1" t="s">
        <v>15</v>
      </c>
      <c r="J19" s="1" t="s">
        <v>62</v>
      </c>
      <c r="K19" s="3">
        <v>20.0</v>
      </c>
    </row>
    <row r="20">
      <c r="A20" s="1" t="s">
        <v>31</v>
      </c>
      <c r="B20" s="1" t="s">
        <v>32</v>
      </c>
      <c r="C20" s="1">
        <v>8977234.0</v>
      </c>
      <c r="D20" s="1" t="s">
        <v>72</v>
      </c>
      <c r="E20" s="1" t="s">
        <v>60</v>
      </c>
      <c r="F20" s="1" t="s">
        <v>73</v>
      </c>
      <c r="G20" s="2">
        <v>45778.0</v>
      </c>
      <c r="H20" s="2">
        <v>46080.0</v>
      </c>
      <c r="I20" s="1" t="s">
        <v>15</v>
      </c>
      <c r="J20" s="1" t="s">
        <v>62</v>
      </c>
      <c r="K20" s="3">
        <v>20.0</v>
      </c>
    </row>
    <row r="21" ht="15.75" customHeight="1">
      <c r="A21" s="1" t="s">
        <v>31</v>
      </c>
      <c r="B21" s="1" t="s">
        <v>32</v>
      </c>
      <c r="C21" s="1">
        <v>8977234.0</v>
      </c>
      <c r="D21" s="1" t="s">
        <v>74</v>
      </c>
      <c r="E21" s="1" t="s">
        <v>75</v>
      </c>
      <c r="F21" s="1" t="s">
        <v>76</v>
      </c>
      <c r="G21" s="2">
        <v>45839.0</v>
      </c>
      <c r="H21" s="2">
        <v>46080.0</v>
      </c>
      <c r="I21" s="1" t="s">
        <v>15</v>
      </c>
      <c r="J21" s="1" t="s">
        <v>62</v>
      </c>
      <c r="K21" s="3">
        <v>20.0</v>
      </c>
    </row>
    <row r="22" ht="15.75" customHeight="1">
      <c r="A22" s="1" t="s">
        <v>11</v>
      </c>
      <c r="C22" s="1">
        <v>1.9396223E7</v>
      </c>
      <c r="D22" s="1" t="s">
        <v>12</v>
      </c>
      <c r="E22" s="1" t="s">
        <v>13</v>
      </c>
      <c r="F22" s="1" t="s">
        <v>14</v>
      </c>
      <c r="G22" s="2">
        <v>45566.0</v>
      </c>
      <c r="H22" s="2">
        <v>46080.0</v>
      </c>
      <c r="I22" s="1" t="s">
        <v>15</v>
      </c>
      <c r="J22" s="1" t="s">
        <v>77</v>
      </c>
      <c r="K22" s="3">
        <v>3.0</v>
      </c>
    </row>
    <row r="23" ht="15.75" customHeight="1">
      <c r="A23" s="1" t="s">
        <v>31</v>
      </c>
      <c r="B23" s="1" t="s">
        <v>32</v>
      </c>
      <c r="C23" s="1">
        <v>8977234.0</v>
      </c>
      <c r="D23" s="1" t="s">
        <v>48</v>
      </c>
      <c r="E23" s="1" t="s">
        <v>49</v>
      </c>
      <c r="F23" s="1" t="s">
        <v>50</v>
      </c>
      <c r="G23" s="2">
        <v>44986.0</v>
      </c>
      <c r="H23" s="2">
        <v>46080.0</v>
      </c>
      <c r="I23" s="1" t="s">
        <v>15</v>
      </c>
      <c r="J23" s="1" t="s">
        <v>77</v>
      </c>
      <c r="K23" s="3">
        <v>3.0</v>
      </c>
    </row>
    <row r="24" ht="15.75" customHeight="1">
      <c r="A24" s="1" t="s">
        <v>31</v>
      </c>
      <c r="B24" s="1" t="s">
        <v>32</v>
      </c>
      <c r="C24" s="1">
        <v>8977234.0</v>
      </c>
      <c r="D24" s="1" t="s">
        <v>52</v>
      </c>
      <c r="E24" s="1" t="s">
        <v>53</v>
      </c>
      <c r="F24" s="1" t="s">
        <v>54</v>
      </c>
      <c r="G24" s="2">
        <v>45658.0</v>
      </c>
      <c r="H24" s="2">
        <v>46080.0</v>
      </c>
      <c r="I24" s="1" t="s">
        <v>15</v>
      </c>
      <c r="J24" s="1" t="s">
        <v>77</v>
      </c>
      <c r="K24" s="3">
        <v>3.0</v>
      </c>
    </row>
    <row r="25" ht="15.75" customHeight="1">
      <c r="A25" s="1" t="s">
        <v>31</v>
      </c>
      <c r="B25" s="1" t="s">
        <v>32</v>
      </c>
      <c r="C25" s="1">
        <v>8977234.0</v>
      </c>
      <c r="D25" s="1" t="s">
        <v>33</v>
      </c>
      <c r="E25" s="1" t="s">
        <v>34</v>
      </c>
      <c r="F25" s="1" t="s">
        <v>35</v>
      </c>
      <c r="G25" s="2">
        <v>45292.0</v>
      </c>
      <c r="H25" s="2">
        <v>46080.0</v>
      </c>
      <c r="I25" s="1" t="s">
        <v>15</v>
      </c>
      <c r="J25" s="1" t="s">
        <v>77</v>
      </c>
      <c r="K25" s="3">
        <v>3.0</v>
      </c>
    </row>
    <row r="26" ht="15.75" customHeight="1">
      <c r="A26" s="1" t="s">
        <v>31</v>
      </c>
      <c r="B26" s="1" t="s">
        <v>32</v>
      </c>
      <c r="C26" s="1">
        <v>8977234.0</v>
      </c>
      <c r="D26" s="1" t="s">
        <v>37</v>
      </c>
      <c r="E26" s="1" t="s">
        <v>38</v>
      </c>
      <c r="F26" s="1" t="s">
        <v>39</v>
      </c>
      <c r="G26" s="2">
        <v>45292.0</v>
      </c>
      <c r="H26" s="2">
        <v>46080.0</v>
      </c>
      <c r="I26" s="1" t="s">
        <v>15</v>
      </c>
      <c r="J26" s="1" t="s">
        <v>77</v>
      </c>
      <c r="K26" s="3">
        <v>3.0</v>
      </c>
    </row>
    <row r="27" ht="15.75" customHeight="1">
      <c r="A27" s="1" t="s">
        <v>31</v>
      </c>
      <c r="B27" s="1" t="s">
        <v>32</v>
      </c>
      <c r="C27" s="1">
        <v>8977234.0</v>
      </c>
      <c r="D27" s="1" t="s">
        <v>40</v>
      </c>
      <c r="E27" s="1" t="s">
        <v>38</v>
      </c>
      <c r="F27" s="1" t="s">
        <v>41</v>
      </c>
      <c r="G27" s="2">
        <v>45292.0</v>
      </c>
      <c r="H27" s="2">
        <v>46080.0</v>
      </c>
      <c r="I27" s="1" t="s">
        <v>15</v>
      </c>
      <c r="J27" s="1" t="s">
        <v>77</v>
      </c>
      <c r="K27" s="3">
        <v>3.0</v>
      </c>
    </row>
    <row r="28" ht="15.75" customHeight="1">
      <c r="A28" s="1" t="s">
        <v>31</v>
      </c>
      <c r="B28" s="1" t="s">
        <v>32</v>
      </c>
      <c r="C28" s="1">
        <v>8977234.0</v>
      </c>
      <c r="D28" s="1" t="s">
        <v>42</v>
      </c>
      <c r="E28" s="1" t="s">
        <v>43</v>
      </c>
      <c r="F28" s="1" t="s">
        <v>44</v>
      </c>
      <c r="G28" s="2">
        <v>45658.0</v>
      </c>
      <c r="H28" s="2">
        <v>46080.0</v>
      </c>
      <c r="I28" s="1" t="s">
        <v>15</v>
      </c>
      <c r="J28" s="1" t="s">
        <v>77</v>
      </c>
      <c r="K28" s="3">
        <v>3.0</v>
      </c>
    </row>
    <row r="29" ht="15.75" customHeight="1">
      <c r="A29" s="1" t="s">
        <v>31</v>
      </c>
      <c r="B29" s="1" t="s">
        <v>32</v>
      </c>
      <c r="C29" s="1">
        <v>8977234.0</v>
      </c>
      <c r="D29" s="1" t="s">
        <v>45</v>
      </c>
      <c r="E29" s="1" t="s">
        <v>46</v>
      </c>
      <c r="F29" s="1" t="s">
        <v>47</v>
      </c>
      <c r="G29" s="2">
        <v>45658.0</v>
      </c>
      <c r="H29" s="2">
        <v>46080.0</v>
      </c>
      <c r="I29" s="1" t="s">
        <v>15</v>
      </c>
      <c r="J29" s="1" t="s">
        <v>77</v>
      </c>
      <c r="K29" s="3">
        <v>3.0</v>
      </c>
    </row>
    <row r="30" ht="15.75" customHeight="1">
      <c r="A30" s="1" t="s">
        <v>31</v>
      </c>
      <c r="B30" s="1" t="s">
        <v>32</v>
      </c>
      <c r="C30" s="1">
        <v>8977234.0</v>
      </c>
      <c r="D30" s="1" t="s">
        <v>59</v>
      </c>
      <c r="E30" s="1" t="s">
        <v>60</v>
      </c>
      <c r="F30" s="1" t="s">
        <v>61</v>
      </c>
      <c r="G30" s="2">
        <v>45778.0</v>
      </c>
      <c r="H30" s="2">
        <v>46080.0</v>
      </c>
      <c r="I30" s="1" t="s">
        <v>15</v>
      </c>
      <c r="J30" s="1" t="s">
        <v>77</v>
      </c>
      <c r="K30" s="3">
        <v>3.0</v>
      </c>
    </row>
    <row r="31" ht="15.75" customHeight="1">
      <c r="A31" s="1" t="s">
        <v>31</v>
      </c>
      <c r="B31" s="1" t="s">
        <v>32</v>
      </c>
      <c r="C31" s="1">
        <v>8977234.0</v>
      </c>
      <c r="D31" s="1" t="s">
        <v>63</v>
      </c>
      <c r="E31" s="1" t="s">
        <v>64</v>
      </c>
      <c r="F31" s="1" t="s">
        <v>65</v>
      </c>
      <c r="G31" s="2">
        <v>45658.0</v>
      </c>
      <c r="H31" s="2">
        <v>46080.0</v>
      </c>
      <c r="I31" s="1" t="s">
        <v>15</v>
      </c>
      <c r="J31" s="1" t="s">
        <v>77</v>
      </c>
      <c r="K31" s="3">
        <v>3.0</v>
      </c>
    </row>
    <row r="32" ht="15.75" customHeight="1">
      <c r="A32" s="1" t="s">
        <v>31</v>
      </c>
      <c r="B32" s="1" t="s">
        <v>32</v>
      </c>
      <c r="C32" s="1">
        <v>8977234.0</v>
      </c>
      <c r="D32" s="1" t="s">
        <v>66</v>
      </c>
      <c r="E32" s="1" t="s">
        <v>60</v>
      </c>
      <c r="F32" s="1" t="s">
        <v>67</v>
      </c>
      <c r="G32" s="2">
        <v>45778.0</v>
      </c>
      <c r="H32" s="2">
        <v>46080.0</v>
      </c>
      <c r="I32" s="1" t="s">
        <v>15</v>
      </c>
      <c r="J32" s="1" t="s">
        <v>77</v>
      </c>
      <c r="K32" s="3">
        <v>3.0</v>
      </c>
    </row>
    <row r="33" ht="15.75" customHeight="1">
      <c r="A33" s="1" t="s">
        <v>31</v>
      </c>
      <c r="B33" s="1" t="s">
        <v>32</v>
      </c>
      <c r="C33" s="1">
        <v>8977234.0</v>
      </c>
      <c r="D33" s="1" t="s">
        <v>68</v>
      </c>
      <c r="E33" s="1" t="s">
        <v>60</v>
      </c>
      <c r="F33" s="1" t="s">
        <v>69</v>
      </c>
      <c r="G33" s="2">
        <v>45778.0</v>
      </c>
      <c r="H33" s="2">
        <v>46080.0</v>
      </c>
      <c r="I33" s="1" t="s">
        <v>15</v>
      </c>
      <c r="J33" s="1" t="s">
        <v>77</v>
      </c>
      <c r="K33" s="3">
        <v>3.0</v>
      </c>
    </row>
    <row r="34" ht="15.75" customHeight="1">
      <c r="A34" s="1" t="s">
        <v>31</v>
      </c>
      <c r="B34" s="1" t="s">
        <v>32</v>
      </c>
      <c r="C34" s="1">
        <v>8977234.0</v>
      </c>
      <c r="D34" s="1" t="s">
        <v>70</v>
      </c>
      <c r="E34" s="1" t="s">
        <v>60</v>
      </c>
      <c r="F34" s="1" t="s">
        <v>71</v>
      </c>
      <c r="G34" s="2">
        <v>45778.0</v>
      </c>
      <c r="H34" s="2">
        <v>46080.0</v>
      </c>
      <c r="I34" s="1" t="s">
        <v>15</v>
      </c>
      <c r="J34" s="1" t="s">
        <v>77</v>
      </c>
      <c r="K34" s="3">
        <v>3.0</v>
      </c>
    </row>
    <row r="35" ht="15.75" customHeight="1">
      <c r="A35" s="1" t="s">
        <v>31</v>
      </c>
      <c r="B35" s="1" t="s">
        <v>32</v>
      </c>
      <c r="C35" s="1">
        <v>8977234.0</v>
      </c>
      <c r="D35" s="1" t="s">
        <v>72</v>
      </c>
      <c r="E35" s="1" t="s">
        <v>60</v>
      </c>
      <c r="F35" s="1" t="s">
        <v>73</v>
      </c>
      <c r="G35" s="2">
        <v>45778.0</v>
      </c>
      <c r="H35" s="2">
        <v>46080.0</v>
      </c>
      <c r="I35" s="1" t="s">
        <v>15</v>
      </c>
      <c r="J35" s="1" t="s">
        <v>77</v>
      </c>
      <c r="K35" s="3">
        <v>3.0</v>
      </c>
    </row>
    <row r="36" ht="15.75" customHeight="1">
      <c r="A36" s="1" t="s">
        <v>31</v>
      </c>
      <c r="B36" s="1" t="s">
        <v>32</v>
      </c>
      <c r="C36" s="1">
        <v>8977234.0</v>
      </c>
      <c r="D36" s="1" t="s">
        <v>74</v>
      </c>
      <c r="E36" s="1" t="s">
        <v>75</v>
      </c>
      <c r="F36" s="1" t="s">
        <v>76</v>
      </c>
      <c r="G36" s="2">
        <v>45839.0</v>
      </c>
      <c r="H36" s="2">
        <v>46080.0</v>
      </c>
      <c r="I36" s="1" t="s">
        <v>15</v>
      </c>
      <c r="J36" s="1" t="s">
        <v>77</v>
      </c>
      <c r="K36" s="3">
        <v>3.0</v>
      </c>
    </row>
    <row r="37" ht="15.75" customHeight="1">
      <c r="A37" s="1" t="s">
        <v>17</v>
      </c>
      <c r="C37" s="1">
        <v>1.6633294E7</v>
      </c>
      <c r="D37" s="1" t="s">
        <v>18</v>
      </c>
      <c r="E37" s="1" t="s">
        <v>19</v>
      </c>
      <c r="F37" s="1" t="s">
        <v>20</v>
      </c>
      <c r="G37" s="2">
        <v>45717.0</v>
      </c>
      <c r="H37" s="2">
        <v>46080.0</v>
      </c>
      <c r="I37" s="1" t="s">
        <v>15</v>
      </c>
      <c r="J37" s="1" t="s">
        <v>77</v>
      </c>
      <c r="K37" s="3">
        <v>3.0</v>
      </c>
    </row>
    <row r="38" ht="15.75" customHeight="1">
      <c r="A38" s="1" t="s">
        <v>17</v>
      </c>
      <c r="C38" s="1">
        <v>1.6633294E7</v>
      </c>
      <c r="D38" s="1" t="s">
        <v>21</v>
      </c>
      <c r="E38" s="1" t="s">
        <v>22</v>
      </c>
      <c r="F38" s="1" t="s">
        <v>23</v>
      </c>
      <c r="G38" s="2">
        <v>45689.0</v>
      </c>
      <c r="H38" s="2">
        <v>46080.0</v>
      </c>
      <c r="I38" s="1" t="s">
        <v>15</v>
      </c>
      <c r="J38" s="1" t="s">
        <v>77</v>
      </c>
      <c r="K38" s="3">
        <v>3.0</v>
      </c>
    </row>
    <row r="39" ht="15.75" customHeight="1">
      <c r="A39" s="1" t="s">
        <v>55</v>
      </c>
      <c r="C39" s="1">
        <v>1.6683808E7</v>
      </c>
      <c r="D39" s="1" t="s">
        <v>56</v>
      </c>
      <c r="E39" s="1" t="s">
        <v>57</v>
      </c>
      <c r="F39" s="1" t="s">
        <v>58</v>
      </c>
      <c r="G39" s="2">
        <v>45658.0</v>
      </c>
      <c r="H39" s="2">
        <v>46080.0</v>
      </c>
      <c r="I39" s="1" t="s">
        <v>15</v>
      </c>
      <c r="J39" s="1" t="s">
        <v>77</v>
      </c>
      <c r="K39" s="3">
        <v>3.0</v>
      </c>
    </row>
    <row r="40" ht="15.75" customHeight="1">
      <c r="A40" s="1" t="s">
        <v>24</v>
      </c>
      <c r="C40" s="1">
        <v>9213293.0</v>
      </c>
      <c r="D40" s="1" t="s">
        <v>25</v>
      </c>
      <c r="E40" s="1" t="s">
        <v>26</v>
      </c>
      <c r="F40" s="1" t="s">
        <v>27</v>
      </c>
      <c r="G40" s="2">
        <v>45658.0</v>
      </c>
      <c r="H40" s="2">
        <v>46080.0</v>
      </c>
      <c r="I40" s="1" t="s">
        <v>15</v>
      </c>
      <c r="J40" s="1" t="s">
        <v>77</v>
      </c>
      <c r="K40" s="3">
        <v>3.0</v>
      </c>
    </row>
    <row r="41" ht="15.75" customHeight="1">
      <c r="A41" s="1" t="s">
        <v>24</v>
      </c>
      <c r="C41" s="1">
        <v>9213293.0</v>
      </c>
      <c r="D41" s="1" t="s">
        <v>28</v>
      </c>
      <c r="E41" s="1" t="s">
        <v>29</v>
      </c>
      <c r="F41" s="1" t="s">
        <v>30</v>
      </c>
      <c r="G41" s="2">
        <v>45658.0</v>
      </c>
      <c r="H41" s="2">
        <v>46080.0</v>
      </c>
      <c r="I41" s="1" t="s">
        <v>15</v>
      </c>
      <c r="J41" s="1" t="s">
        <v>77</v>
      </c>
      <c r="K41" s="3">
        <v>3.0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86"/>
    <col customWidth="1" min="2" max="3" width="13.43"/>
    <col customWidth="1" min="4" max="4" width="13.14"/>
    <col customWidth="1" min="5" max="5" width="18.86"/>
    <col customWidth="1" min="6" max="6" width="15.14"/>
    <col customWidth="1" min="7" max="7" width="18.71"/>
    <col customWidth="1" min="8" max="8" width="3.86"/>
    <col customWidth="1" min="9" max="9" width="14.71"/>
    <col customWidth="1" min="10" max="10" width="17.29"/>
    <col customWidth="1" min="11" max="11" width="18.29"/>
    <col customWidth="1" min="12" max="12" width="83.57"/>
    <col customWidth="1" min="13" max="13" width="18.14"/>
    <col customWidth="1" min="14" max="14" width="9.14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F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4" t="s">
        <v>78</v>
      </c>
      <c r="O1" s="4" t="s">
        <v>79</v>
      </c>
      <c r="P1" s="4" t="s">
        <v>80</v>
      </c>
    </row>
    <row r="2">
      <c r="A2" s="1" t="s">
        <v>11</v>
      </c>
      <c r="B2" s="1">
        <v>1.9396223E7</v>
      </c>
      <c r="C2" s="1" t="s">
        <v>12</v>
      </c>
      <c r="D2" s="1" t="s">
        <v>13</v>
      </c>
      <c r="E2" s="1" t="str">
        <f t="shared" ref="E2:E41" si="1">concatenate(C2," ",D2)</f>
        <v>Miguel Peralta</v>
      </c>
      <c r="F2" s="1" t="s">
        <v>14</v>
      </c>
      <c r="G2" s="1" t="str">
        <f t="shared" ref="G2:G6" si="2">concat(F2,77)</f>
        <v>IL-100014454577</v>
      </c>
      <c r="H2" s="1" t="str">
        <f t="shared" ref="H2:H41" si="3">left(F2,2)</f>
        <v>IL</v>
      </c>
      <c r="I2" s="2">
        <v>45566.0</v>
      </c>
      <c r="J2" s="2">
        <v>46080.0</v>
      </c>
      <c r="K2" s="1" t="s">
        <v>15</v>
      </c>
      <c r="L2" s="1" t="s">
        <v>16</v>
      </c>
      <c r="M2" s="5">
        <v>25.0</v>
      </c>
      <c r="N2" s="1" t="str">
        <f t="shared" ref="N2:N41" si="4">MID(L2, FIND("Premium Period: ", L2)+LEN("Premium Period: "), 10)</f>
        <v>2/1/2026</v>
      </c>
      <c r="O2" s="4" t="s">
        <v>81</v>
      </c>
      <c r="P2" s="4">
        <v>1.0</v>
      </c>
    </row>
    <row r="3">
      <c r="A3" s="1" t="s">
        <v>17</v>
      </c>
      <c r="B3" s="1">
        <v>1.6633294E7</v>
      </c>
      <c r="C3" s="1" t="s">
        <v>18</v>
      </c>
      <c r="D3" s="1" t="s">
        <v>19</v>
      </c>
      <c r="E3" s="1" t="str">
        <f t="shared" si="1"/>
        <v>Lazaros Bolis</v>
      </c>
      <c r="F3" s="1" t="s">
        <v>20</v>
      </c>
      <c r="G3" s="1" t="str">
        <f t="shared" si="2"/>
        <v>IL-100009246977</v>
      </c>
      <c r="H3" s="1" t="str">
        <f t="shared" si="3"/>
        <v>IL</v>
      </c>
      <c r="I3" s="2">
        <v>45717.0</v>
      </c>
      <c r="J3" s="2">
        <v>46080.0</v>
      </c>
      <c r="K3" s="1" t="s">
        <v>15</v>
      </c>
      <c r="L3" s="1" t="s">
        <v>16</v>
      </c>
      <c r="M3" s="5">
        <v>25.0</v>
      </c>
      <c r="N3" s="1" t="str">
        <f t="shared" si="4"/>
        <v>2/1/2026</v>
      </c>
      <c r="O3" s="4" t="s">
        <v>81</v>
      </c>
      <c r="P3" s="4">
        <v>1.0</v>
      </c>
    </row>
    <row r="4">
      <c r="A4" s="1" t="s">
        <v>17</v>
      </c>
      <c r="B4" s="1">
        <v>1.6633294E7</v>
      </c>
      <c r="C4" s="1" t="s">
        <v>21</v>
      </c>
      <c r="D4" s="1" t="s">
        <v>22</v>
      </c>
      <c r="E4" s="1" t="str">
        <f t="shared" si="1"/>
        <v>Sebastiana Bonafede</v>
      </c>
      <c r="F4" s="1" t="s">
        <v>23</v>
      </c>
      <c r="G4" s="1" t="str">
        <f t="shared" si="2"/>
        <v>IL-100049483677</v>
      </c>
      <c r="H4" s="1" t="str">
        <f t="shared" si="3"/>
        <v>IL</v>
      </c>
      <c r="I4" s="2">
        <v>45689.0</v>
      </c>
      <c r="J4" s="2">
        <v>46080.0</v>
      </c>
      <c r="K4" s="1" t="s">
        <v>15</v>
      </c>
      <c r="L4" s="1" t="s">
        <v>16</v>
      </c>
      <c r="M4" s="5">
        <v>25.0</v>
      </c>
      <c r="N4" s="1" t="str">
        <f t="shared" si="4"/>
        <v>2/1/2026</v>
      </c>
      <c r="O4" s="4" t="s">
        <v>81</v>
      </c>
      <c r="P4" s="4">
        <v>1.0</v>
      </c>
    </row>
    <row r="5">
      <c r="A5" s="1" t="s">
        <v>24</v>
      </c>
      <c r="B5" s="1">
        <v>9213293.0</v>
      </c>
      <c r="C5" s="1" t="s">
        <v>25</v>
      </c>
      <c r="D5" s="1" t="s">
        <v>26</v>
      </c>
      <c r="E5" s="1" t="str">
        <f t="shared" si="1"/>
        <v>Patrick Matsuda</v>
      </c>
      <c r="F5" s="1" t="s">
        <v>27</v>
      </c>
      <c r="G5" s="1" t="str">
        <f t="shared" si="2"/>
        <v>IL-100010137077</v>
      </c>
      <c r="H5" s="1" t="str">
        <f t="shared" si="3"/>
        <v>IL</v>
      </c>
      <c r="I5" s="2">
        <v>45658.0</v>
      </c>
      <c r="J5" s="2">
        <v>46080.0</v>
      </c>
      <c r="K5" s="1" t="s">
        <v>15</v>
      </c>
      <c r="L5" s="1" t="s">
        <v>16</v>
      </c>
      <c r="M5" s="5">
        <v>25.0</v>
      </c>
      <c r="N5" s="1" t="str">
        <f t="shared" si="4"/>
        <v>2/1/2026</v>
      </c>
      <c r="O5" s="4" t="s">
        <v>81</v>
      </c>
      <c r="P5" s="4">
        <v>1.0</v>
      </c>
    </row>
    <row r="6">
      <c r="A6" s="1" t="s">
        <v>24</v>
      </c>
      <c r="B6" s="1">
        <v>9213293.0</v>
      </c>
      <c r="C6" s="1" t="s">
        <v>28</v>
      </c>
      <c r="D6" s="1" t="s">
        <v>29</v>
      </c>
      <c r="E6" s="1" t="str">
        <f t="shared" si="1"/>
        <v>Marco Flores</v>
      </c>
      <c r="F6" s="1" t="s">
        <v>30</v>
      </c>
      <c r="G6" s="1" t="str">
        <f t="shared" si="2"/>
        <v>IL-100052462977</v>
      </c>
      <c r="H6" s="1" t="str">
        <f t="shared" si="3"/>
        <v>IL</v>
      </c>
      <c r="I6" s="2">
        <v>45658.0</v>
      </c>
      <c r="J6" s="2">
        <v>46080.0</v>
      </c>
      <c r="K6" s="1" t="s">
        <v>15</v>
      </c>
      <c r="L6" s="1" t="s">
        <v>16</v>
      </c>
      <c r="M6" s="5">
        <v>25.0</v>
      </c>
      <c r="N6" s="1" t="str">
        <f t="shared" si="4"/>
        <v>2/1/2026</v>
      </c>
      <c r="O6" s="4" t="s">
        <v>81</v>
      </c>
      <c r="P6" s="4">
        <v>1.0</v>
      </c>
    </row>
    <row r="7">
      <c r="A7" s="1" t="s">
        <v>31</v>
      </c>
      <c r="B7" s="1">
        <v>8977234.0</v>
      </c>
      <c r="C7" s="1" t="s">
        <v>33</v>
      </c>
      <c r="D7" s="1" t="s">
        <v>34</v>
      </c>
      <c r="E7" s="1" t="str">
        <f t="shared" si="1"/>
        <v>Bruce Kelley</v>
      </c>
      <c r="F7" s="1" t="s">
        <v>35</v>
      </c>
      <c r="G7" s="1" t="str">
        <f t="shared" ref="G7:G11" si="5">concat(F7,78)</f>
        <v>OH-000006569378</v>
      </c>
      <c r="H7" s="1" t="str">
        <f t="shared" si="3"/>
        <v>OH</v>
      </c>
      <c r="I7" s="2">
        <v>45292.0</v>
      </c>
      <c r="J7" s="2">
        <v>46080.0</v>
      </c>
      <c r="K7" s="1" t="s">
        <v>15</v>
      </c>
      <c r="L7" s="1" t="s">
        <v>36</v>
      </c>
      <c r="M7" s="5">
        <v>22.0</v>
      </c>
      <c r="N7" s="1" t="str">
        <f t="shared" si="4"/>
        <v>2/1/2026</v>
      </c>
      <c r="O7" s="4" t="s">
        <v>82</v>
      </c>
      <c r="P7" s="4">
        <v>1.0</v>
      </c>
    </row>
    <row r="8">
      <c r="A8" s="1" t="s">
        <v>31</v>
      </c>
      <c r="B8" s="1">
        <v>8977234.0</v>
      </c>
      <c r="C8" s="1" t="s">
        <v>37</v>
      </c>
      <c r="D8" s="1" t="s">
        <v>38</v>
      </c>
      <c r="E8" s="1" t="str">
        <f t="shared" si="1"/>
        <v>Ronald Gengler</v>
      </c>
      <c r="F8" s="1" t="s">
        <v>39</v>
      </c>
      <c r="G8" s="1" t="str">
        <f t="shared" si="5"/>
        <v>OH-000289485678</v>
      </c>
      <c r="H8" s="1" t="str">
        <f t="shared" si="3"/>
        <v>OH</v>
      </c>
      <c r="I8" s="2">
        <v>45292.0</v>
      </c>
      <c r="J8" s="2">
        <v>46080.0</v>
      </c>
      <c r="K8" s="1" t="s">
        <v>15</v>
      </c>
      <c r="L8" s="1" t="s">
        <v>36</v>
      </c>
      <c r="M8" s="5">
        <v>22.0</v>
      </c>
      <c r="N8" s="1" t="str">
        <f t="shared" si="4"/>
        <v>2/1/2026</v>
      </c>
      <c r="O8" s="4" t="s">
        <v>83</v>
      </c>
      <c r="P8" s="4">
        <v>1.0</v>
      </c>
    </row>
    <row r="9">
      <c r="A9" s="1" t="s">
        <v>31</v>
      </c>
      <c r="B9" s="1">
        <v>8977234.0</v>
      </c>
      <c r="C9" s="1" t="s">
        <v>40</v>
      </c>
      <c r="D9" s="1" t="s">
        <v>38</v>
      </c>
      <c r="E9" s="1" t="str">
        <f t="shared" si="1"/>
        <v>Amber Gengler</v>
      </c>
      <c r="F9" s="1" t="s">
        <v>41</v>
      </c>
      <c r="G9" s="1" t="str">
        <f t="shared" si="5"/>
        <v>OH-000381436878</v>
      </c>
      <c r="H9" s="1" t="str">
        <f t="shared" si="3"/>
        <v>OH</v>
      </c>
      <c r="I9" s="2">
        <v>45292.0</v>
      </c>
      <c r="J9" s="2">
        <v>46080.0</v>
      </c>
      <c r="K9" s="1" t="s">
        <v>15</v>
      </c>
      <c r="L9" s="1" t="s">
        <v>36</v>
      </c>
      <c r="M9" s="5">
        <v>22.0</v>
      </c>
      <c r="N9" s="1" t="str">
        <f t="shared" si="4"/>
        <v>2/1/2026</v>
      </c>
      <c r="O9" s="4" t="s">
        <v>84</v>
      </c>
      <c r="P9" s="4">
        <v>1.0</v>
      </c>
    </row>
    <row r="10">
      <c r="A10" s="1" t="s">
        <v>31</v>
      </c>
      <c r="B10" s="1">
        <v>8977234.0</v>
      </c>
      <c r="C10" s="1" t="s">
        <v>42</v>
      </c>
      <c r="D10" s="1" t="s">
        <v>43</v>
      </c>
      <c r="E10" s="1" t="str">
        <f t="shared" si="1"/>
        <v>Allen Reinhart</v>
      </c>
      <c r="F10" s="1" t="s">
        <v>44</v>
      </c>
      <c r="G10" s="1" t="str">
        <f t="shared" si="5"/>
        <v>OH-000396772478</v>
      </c>
      <c r="H10" s="1" t="str">
        <f t="shared" si="3"/>
        <v>OH</v>
      </c>
      <c r="I10" s="2">
        <v>45658.0</v>
      </c>
      <c r="J10" s="2">
        <v>46080.0</v>
      </c>
      <c r="K10" s="1" t="s">
        <v>15</v>
      </c>
      <c r="L10" s="1" t="s">
        <v>36</v>
      </c>
      <c r="M10" s="5">
        <v>22.0</v>
      </c>
      <c r="N10" s="1" t="str">
        <f t="shared" si="4"/>
        <v>2/1/2026</v>
      </c>
      <c r="O10" s="4" t="s">
        <v>85</v>
      </c>
      <c r="P10" s="4">
        <v>1.0</v>
      </c>
    </row>
    <row r="11">
      <c r="A11" s="1" t="s">
        <v>31</v>
      </c>
      <c r="B11" s="1">
        <v>8977234.0</v>
      </c>
      <c r="C11" s="1" t="s">
        <v>45</v>
      </c>
      <c r="D11" s="1" t="s">
        <v>46</v>
      </c>
      <c r="E11" s="1" t="str">
        <f t="shared" si="1"/>
        <v>Kimberly Smithson</v>
      </c>
      <c r="F11" s="1" t="s">
        <v>47</v>
      </c>
      <c r="G11" s="1" t="str">
        <f t="shared" si="5"/>
        <v>OH-000399100678</v>
      </c>
      <c r="H11" s="1" t="str">
        <f t="shared" si="3"/>
        <v>OH</v>
      </c>
      <c r="I11" s="2">
        <v>45658.0</v>
      </c>
      <c r="J11" s="2">
        <v>46080.0</v>
      </c>
      <c r="K11" s="1" t="s">
        <v>15</v>
      </c>
      <c r="L11" s="1" t="s">
        <v>36</v>
      </c>
      <c r="M11" s="5">
        <v>22.0</v>
      </c>
      <c r="N11" s="1" t="str">
        <f t="shared" si="4"/>
        <v>2/1/2026</v>
      </c>
      <c r="O11" s="4" t="s">
        <v>86</v>
      </c>
      <c r="P11" s="4">
        <v>1.0</v>
      </c>
    </row>
    <row r="12">
      <c r="A12" s="1" t="s">
        <v>31</v>
      </c>
      <c r="B12" s="1">
        <v>8977234.0</v>
      </c>
      <c r="C12" s="1" t="s">
        <v>48</v>
      </c>
      <c r="D12" s="1" t="s">
        <v>49</v>
      </c>
      <c r="E12" s="1" t="str">
        <f t="shared" si="1"/>
        <v>Tommy Harber</v>
      </c>
      <c r="F12" s="1" t="s">
        <v>50</v>
      </c>
      <c r="G12" s="1" t="str">
        <f t="shared" ref="G12:G14" si="6">concat(F12,77)</f>
        <v>FL-001653214677</v>
      </c>
      <c r="H12" s="1" t="str">
        <f t="shared" si="3"/>
        <v>FL</v>
      </c>
      <c r="I12" s="2">
        <v>44986.0</v>
      </c>
      <c r="J12" s="2">
        <v>46080.0</v>
      </c>
      <c r="K12" s="1" t="s">
        <v>15</v>
      </c>
      <c r="L12" s="1" t="s">
        <v>51</v>
      </c>
      <c r="M12" s="5">
        <v>27.0</v>
      </c>
      <c r="N12" s="1" t="str">
        <f t="shared" si="4"/>
        <v>2/1/2026</v>
      </c>
      <c r="O12" s="4" t="s">
        <v>87</v>
      </c>
      <c r="P12" s="4">
        <v>1.0</v>
      </c>
    </row>
    <row r="13">
      <c r="A13" s="1" t="s">
        <v>31</v>
      </c>
      <c r="B13" s="1">
        <v>8977234.0</v>
      </c>
      <c r="C13" s="1" t="s">
        <v>52</v>
      </c>
      <c r="D13" s="1" t="s">
        <v>53</v>
      </c>
      <c r="E13" s="1" t="str">
        <f t="shared" si="1"/>
        <v>Richard Jarvis</v>
      </c>
      <c r="F13" s="1" t="s">
        <v>54</v>
      </c>
      <c r="G13" s="1" t="str">
        <f t="shared" si="6"/>
        <v>FL-002364042877</v>
      </c>
      <c r="H13" s="1" t="str">
        <f t="shared" si="3"/>
        <v>FL</v>
      </c>
      <c r="I13" s="2">
        <v>45658.0</v>
      </c>
      <c r="J13" s="2">
        <v>46080.0</v>
      </c>
      <c r="K13" s="1" t="s">
        <v>15</v>
      </c>
      <c r="L13" s="1" t="s">
        <v>51</v>
      </c>
      <c r="M13" s="5">
        <v>27.0</v>
      </c>
      <c r="N13" s="1" t="str">
        <f t="shared" si="4"/>
        <v>2/1/2026</v>
      </c>
      <c r="O13" s="4" t="s">
        <v>88</v>
      </c>
      <c r="P13" s="4">
        <v>1.0</v>
      </c>
    </row>
    <row r="14">
      <c r="A14" s="1" t="s">
        <v>55</v>
      </c>
      <c r="B14" s="1">
        <v>1.6683808E7</v>
      </c>
      <c r="C14" s="1" t="s">
        <v>56</v>
      </c>
      <c r="D14" s="1" t="s">
        <v>57</v>
      </c>
      <c r="E14" s="1" t="str">
        <f t="shared" si="1"/>
        <v>Jean Williams</v>
      </c>
      <c r="F14" s="1" t="s">
        <v>58</v>
      </c>
      <c r="G14" s="1" t="str">
        <f t="shared" si="6"/>
        <v>FL-002026540877</v>
      </c>
      <c r="H14" s="1" t="str">
        <f t="shared" si="3"/>
        <v>FL</v>
      </c>
      <c r="I14" s="2">
        <v>45658.0</v>
      </c>
      <c r="J14" s="2">
        <v>46080.0</v>
      </c>
      <c r="K14" s="1" t="s">
        <v>15</v>
      </c>
      <c r="L14" s="1" t="s">
        <v>51</v>
      </c>
      <c r="M14" s="5">
        <v>27.0</v>
      </c>
      <c r="N14" s="1" t="str">
        <f t="shared" si="4"/>
        <v>2/1/2026</v>
      </c>
      <c r="O14" s="4" t="s">
        <v>89</v>
      </c>
      <c r="P14" s="4">
        <v>1.0</v>
      </c>
    </row>
    <row r="15">
      <c r="A15" s="1" t="s">
        <v>31</v>
      </c>
      <c r="B15" s="1">
        <v>8977234.0</v>
      </c>
      <c r="C15" s="1" t="s">
        <v>59</v>
      </c>
      <c r="D15" s="1" t="s">
        <v>60</v>
      </c>
      <c r="E15" s="1" t="str">
        <f t="shared" si="1"/>
        <v>Jace Harris</v>
      </c>
      <c r="F15" s="1" t="s">
        <v>61</v>
      </c>
      <c r="G15" s="1" t="str">
        <f t="shared" ref="G15:G21" si="7">concat(F15,78)</f>
        <v>UT-000236830178</v>
      </c>
      <c r="H15" s="1" t="str">
        <f t="shared" si="3"/>
        <v>UT</v>
      </c>
      <c r="I15" s="2">
        <v>45778.0</v>
      </c>
      <c r="J15" s="2">
        <v>46080.0</v>
      </c>
      <c r="K15" s="1" t="s">
        <v>15</v>
      </c>
      <c r="L15" s="1" t="s">
        <v>62</v>
      </c>
      <c r="M15" s="5">
        <v>20.0</v>
      </c>
      <c r="N15" s="1" t="str">
        <f t="shared" si="4"/>
        <v>2/1/2026</v>
      </c>
      <c r="O15" s="4" t="s">
        <v>90</v>
      </c>
      <c r="P15" s="4">
        <v>1.0</v>
      </c>
    </row>
    <row r="16">
      <c r="A16" s="1" t="s">
        <v>31</v>
      </c>
      <c r="B16" s="1">
        <v>8977234.0</v>
      </c>
      <c r="C16" s="1" t="s">
        <v>63</v>
      </c>
      <c r="D16" s="1" t="s">
        <v>64</v>
      </c>
      <c r="E16" s="1" t="str">
        <f t="shared" si="1"/>
        <v>Toni Charter</v>
      </c>
      <c r="F16" s="1" t="s">
        <v>65</v>
      </c>
      <c r="G16" s="1" t="str">
        <f t="shared" si="7"/>
        <v>UT-000251645178</v>
      </c>
      <c r="H16" s="1" t="str">
        <f t="shared" si="3"/>
        <v>UT</v>
      </c>
      <c r="I16" s="2">
        <v>45658.0</v>
      </c>
      <c r="J16" s="2">
        <v>46080.0</v>
      </c>
      <c r="K16" s="1" t="s">
        <v>15</v>
      </c>
      <c r="L16" s="1" t="s">
        <v>62</v>
      </c>
      <c r="M16" s="5">
        <v>20.0</v>
      </c>
      <c r="N16" s="1" t="str">
        <f t="shared" si="4"/>
        <v>2/1/2026</v>
      </c>
      <c r="O16" s="4" t="s">
        <v>91</v>
      </c>
      <c r="P16" s="4">
        <v>1.0</v>
      </c>
    </row>
    <row r="17">
      <c r="A17" s="1" t="s">
        <v>31</v>
      </c>
      <c r="B17" s="1">
        <v>8977234.0</v>
      </c>
      <c r="C17" s="1" t="s">
        <v>66</v>
      </c>
      <c r="D17" s="1" t="s">
        <v>60</v>
      </c>
      <c r="E17" s="1" t="str">
        <f t="shared" si="1"/>
        <v>Kelly Harris</v>
      </c>
      <c r="F17" s="1" t="s">
        <v>67</v>
      </c>
      <c r="G17" s="1" t="str">
        <f t="shared" si="7"/>
        <v>UT-000314961778</v>
      </c>
      <c r="H17" s="1" t="str">
        <f t="shared" si="3"/>
        <v>UT</v>
      </c>
      <c r="I17" s="2">
        <v>45778.0</v>
      </c>
      <c r="J17" s="2">
        <v>46080.0</v>
      </c>
      <c r="K17" s="1" t="s">
        <v>15</v>
      </c>
      <c r="L17" s="1" t="s">
        <v>62</v>
      </c>
      <c r="M17" s="5">
        <v>20.0</v>
      </c>
      <c r="N17" s="1" t="str">
        <f t="shared" si="4"/>
        <v>2/1/2026</v>
      </c>
      <c r="O17" s="4" t="s">
        <v>92</v>
      </c>
      <c r="P17" s="4">
        <v>1.0</v>
      </c>
    </row>
    <row r="18">
      <c r="A18" s="1" t="s">
        <v>31</v>
      </c>
      <c r="B18" s="1">
        <v>8977234.0</v>
      </c>
      <c r="C18" s="1" t="s">
        <v>68</v>
      </c>
      <c r="D18" s="1" t="s">
        <v>60</v>
      </c>
      <c r="E18" s="1" t="str">
        <f t="shared" si="1"/>
        <v>Lance Harris</v>
      </c>
      <c r="F18" s="1" t="s">
        <v>69</v>
      </c>
      <c r="G18" s="1" t="str">
        <f t="shared" si="7"/>
        <v>UT-000335456078</v>
      </c>
      <c r="H18" s="1" t="str">
        <f t="shared" si="3"/>
        <v>UT</v>
      </c>
      <c r="I18" s="2">
        <v>45778.0</v>
      </c>
      <c r="J18" s="2">
        <v>46080.0</v>
      </c>
      <c r="K18" s="1" t="s">
        <v>15</v>
      </c>
      <c r="L18" s="1" t="s">
        <v>62</v>
      </c>
      <c r="M18" s="5">
        <v>20.0</v>
      </c>
      <c r="N18" s="1" t="str">
        <f t="shared" si="4"/>
        <v>2/1/2026</v>
      </c>
      <c r="O18" s="4" t="s">
        <v>93</v>
      </c>
      <c r="P18" s="4">
        <v>1.0</v>
      </c>
    </row>
    <row r="19">
      <c r="A19" s="1" t="s">
        <v>31</v>
      </c>
      <c r="B19" s="1">
        <v>8977234.0</v>
      </c>
      <c r="C19" s="1" t="s">
        <v>70</v>
      </c>
      <c r="D19" s="1" t="s">
        <v>60</v>
      </c>
      <c r="E19" s="1" t="str">
        <f t="shared" si="1"/>
        <v>Hayden Harris</v>
      </c>
      <c r="F19" s="1" t="s">
        <v>71</v>
      </c>
      <c r="G19" s="1" t="str">
        <f t="shared" si="7"/>
        <v>UT-000359304978</v>
      </c>
      <c r="H19" s="1" t="str">
        <f t="shared" si="3"/>
        <v>UT</v>
      </c>
      <c r="I19" s="2">
        <v>45778.0</v>
      </c>
      <c r="J19" s="2">
        <v>46080.0</v>
      </c>
      <c r="K19" s="1" t="s">
        <v>15</v>
      </c>
      <c r="L19" s="1" t="s">
        <v>62</v>
      </c>
      <c r="M19" s="5">
        <v>20.0</v>
      </c>
      <c r="N19" s="1" t="str">
        <f t="shared" si="4"/>
        <v>2/1/2026</v>
      </c>
      <c r="O19" s="4" t="s">
        <v>94</v>
      </c>
      <c r="P19" s="4">
        <v>1.0</v>
      </c>
    </row>
    <row r="20">
      <c r="A20" s="1" t="s">
        <v>31</v>
      </c>
      <c r="B20" s="1">
        <v>8977234.0</v>
      </c>
      <c r="C20" s="1" t="s">
        <v>72</v>
      </c>
      <c r="D20" s="1" t="s">
        <v>60</v>
      </c>
      <c r="E20" s="1" t="str">
        <f t="shared" si="1"/>
        <v>Hailee Harris</v>
      </c>
      <c r="F20" s="1" t="s">
        <v>73</v>
      </c>
      <c r="G20" s="1" t="str">
        <f t="shared" si="7"/>
        <v>UT-000360984178</v>
      </c>
      <c r="H20" s="1" t="str">
        <f t="shared" si="3"/>
        <v>UT</v>
      </c>
      <c r="I20" s="2">
        <v>45778.0</v>
      </c>
      <c r="J20" s="2">
        <v>46080.0</v>
      </c>
      <c r="K20" s="1" t="s">
        <v>15</v>
      </c>
      <c r="L20" s="1" t="s">
        <v>62</v>
      </c>
      <c r="M20" s="5">
        <v>20.0</v>
      </c>
      <c r="N20" s="1" t="str">
        <f t="shared" si="4"/>
        <v>2/1/2026</v>
      </c>
      <c r="O20" s="4" t="s">
        <v>95</v>
      </c>
      <c r="P20" s="4">
        <v>1.0</v>
      </c>
    </row>
    <row r="21">
      <c r="A21" s="1" t="s">
        <v>31</v>
      </c>
      <c r="B21" s="1">
        <v>8977234.0</v>
      </c>
      <c r="C21" s="1" t="s">
        <v>74</v>
      </c>
      <c r="D21" s="1" t="s">
        <v>75</v>
      </c>
      <c r="E21" s="1" t="str">
        <f t="shared" si="1"/>
        <v>Charles Carspecken</v>
      </c>
      <c r="F21" s="1" t="s">
        <v>76</v>
      </c>
      <c r="G21" s="1" t="str">
        <f t="shared" si="7"/>
        <v>UT-000413233278</v>
      </c>
      <c r="H21" s="1" t="str">
        <f t="shared" si="3"/>
        <v>UT</v>
      </c>
      <c r="I21" s="2">
        <v>45839.0</v>
      </c>
      <c r="J21" s="2">
        <v>46080.0</v>
      </c>
      <c r="K21" s="1" t="s">
        <v>15</v>
      </c>
      <c r="L21" s="1" t="s">
        <v>62</v>
      </c>
      <c r="M21" s="5">
        <v>20.0</v>
      </c>
      <c r="N21" s="1" t="str">
        <f t="shared" si="4"/>
        <v>2/1/2026</v>
      </c>
      <c r="O21" s="4" t="s">
        <v>96</v>
      </c>
      <c r="P21" s="4">
        <v>1.0</v>
      </c>
    </row>
    <row r="22">
      <c r="A22" s="4" t="s">
        <v>97</v>
      </c>
      <c r="B22" s="1">
        <v>1.9396223E7</v>
      </c>
      <c r="C22" s="1" t="s">
        <v>12</v>
      </c>
      <c r="D22" s="1" t="s">
        <v>13</v>
      </c>
      <c r="E22" s="1" t="str">
        <f t="shared" si="1"/>
        <v>Miguel Peralta</v>
      </c>
      <c r="F22" s="1" t="s">
        <v>14</v>
      </c>
      <c r="G22" s="1" t="str">
        <f t="shared" ref="G22:G41" si="8">concat(F22,"OVR")</f>
        <v>IL-1000144545OVR</v>
      </c>
      <c r="H22" s="1" t="str">
        <f t="shared" si="3"/>
        <v>IL</v>
      </c>
      <c r="I22" s="2">
        <v>45566.0</v>
      </c>
      <c r="J22" s="2">
        <v>46080.0</v>
      </c>
      <c r="K22" s="1" t="s">
        <v>15</v>
      </c>
      <c r="L22" s="1" t="s">
        <v>77</v>
      </c>
      <c r="M22" s="5">
        <v>3.0</v>
      </c>
      <c r="N22" s="1" t="str">
        <f t="shared" si="4"/>
        <v>2/1/2026</v>
      </c>
      <c r="O22" s="4" t="s">
        <v>98</v>
      </c>
      <c r="P22" s="6">
        <v>3.0</v>
      </c>
    </row>
    <row r="23">
      <c r="A23" s="4" t="s">
        <v>97</v>
      </c>
      <c r="B23" s="1">
        <v>8977234.0</v>
      </c>
      <c r="C23" s="1" t="s">
        <v>48</v>
      </c>
      <c r="D23" s="1" t="s">
        <v>49</v>
      </c>
      <c r="E23" s="1" t="str">
        <f t="shared" si="1"/>
        <v>Tommy Harber</v>
      </c>
      <c r="F23" s="1" t="s">
        <v>50</v>
      </c>
      <c r="G23" s="1" t="str">
        <f t="shared" si="8"/>
        <v>FL-0016532146OVR</v>
      </c>
      <c r="H23" s="1" t="str">
        <f t="shared" si="3"/>
        <v>FL</v>
      </c>
      <c r="I23" s="2">
        <v>44986.0</v>
      </c>
      <c r="J23" s="2">
        <v>46080.0</v>
      </c>
      <c r="K23" s="1" t="s">
        <v>15</v>
      </c>
      <c r="L23" s="1" t="s">
        <v>77</v>
      </c>
      <c r="M23" s="5">
        <v>3.0</v>
      </c>
      <c r="N23" s="1" t="str">
        <f t="shared" si="4"/>
        <v>2/1/2026</v>
      </c>
      <c r="O23" s="4" t="s">
        <v>98</v>
      </c>
      <c r="P23" s="6">
        <v>3.0</v>
      </c>
    </row>
    <row r="24">
      <c r="A24" s="4" t="s">
        <v>97</v>
      </c>
      <c r="B24" s="1">
        <v>8977234.0</v>
      </c>
      <c r="C24" s="1" t="s">
        <v>52</v>
      </c>
      <c r="D24" s="1" t="s">
        <v>53</v>
      </c>
      <c r="E24" s="1" t="str">
        <f t="shared" si="1"/>
        <v>Richard Jarvis</v>
      </c>
      <c r="F24" s="1" t="s">
        <v>54</v>
      </c>
      <c r="G24" s="1" t="str">
        <f t="shared" si="8"/>
        <v>FL-0023640428OVR</v>
      </c>
      <c r="H24" s="1" t="str">
        <f t="shared" si="3"/>
        <v>FL</v>
      </c>
      <c r="I24" s="2">
        <v>45658.0</v>
      </c>
      <c r="J24" s="2">
        <v>46080.0</v>
      </c>
      <c r="K24" s="1" t="s">
        <v>15</v>
      </c>
      <c r="L24" s="1" t="s">
        <v>77</v>
      </c>
      <c r="M24" s="5">
        <v>3.0</v>
      </c>
      <c r="N24" s="1" t="str">
        <f t="shared" si="4"/>
        <v>2/1/2026</v>
      </c>
      <c r="O24" s="4" t="s">
        <v>98</v>
      </c>
      <c r="P24" s="6">
        <v>3.0</v>
      </c>
    </row>
    <row r="25">
      <c r="A25" s="4" t="s">
        <v>97</v>
      </c>
      <c r="B25" s="1">
        <v>8977234.0</v>
      </c>
      <c r="C25" s="1" t="s">
        <v>33</v>
      </c>
      <c r="D25" s="1" t="s">
        <v>34</v>
      </c>
      <c r="E25" s="1" t="str">
        <f t="shared" si="1"/>
        <v>Bruce Kelley</v>
      </c>
      <c r="F25" s="1" t="s">
        <v>35</v>
      </c>
      <c r="G25" s="1" t="str">
        <f t="shared" si="8"/>
        <v>OH-0000065693OVR</v>
      </c>
      <c r="H25" s="1" t="str">
        <f t="shared" si="3"/>
        <v>OH</v>
      </c>
      <c r="I25" s="2">
        <v>45292.0</v>
      </c>
      <c r="J25" s="2">
        <v>46080.0</v>
      </c>
      <c r="K25" s="1" t="s">
        <v>15</v>
      </c>
      <c r="L25" s="1" t="s">
        <v>77</v>
      </c>
      <c r="M25" s="5">
        <v>3.0</v>
      </c>
      <c r="N25" s="1" t="str">
        <f t="shared" si="4"/>
        <v>2/1/2026</v>
      </c>
      <c r="O25" s="4" t="s">
        <v>98</v>
      </c>
      <c r="P25" s="6">
        <v>3.0</v>
      </c>
    </row>
    <row r="26">
      <c r="A26" s="4" t="s">
        <v>97</v>
      </c>
      <c r="B26" s="1">
        <v>8977234.0</v>
      </c>
      <c r="C26" s="1" t="s">
        <v>37</v>
      </c>
      <c r="D26" s="1" t="s">
        <v>38</v>
      </c>
      <c r="E26" s="1" t="str">
        <f t="shared" si="1"/>
        <v>Ronald Gengler</v>
      </c>
      <c r="F26" s="1" t="s">
        <v>39</v>
      </c>
      <c r="G26" s="1" t="str">
        <f t="shared" si="8"/>
        <v>OH-0002894856OVR</v>
      </c>
      <c r="H26" s="1" t="str">
        <f t="shared" si="3"/>
        <v>OH</v>
      </c>
      <c r="I26" s="2">
        <v>45292.0</v>
      </c>
      <c r="J26" s="2">
        <v>46080.0</v>
      </c>
      <c r="K26" s="1" t="s">
        <v>15</v>
      </c>
      <c r="L26" s="1" t="s">
        <v>77</v>
      </c>
      <c r="M26" s="5">
        <v>3.0</v>
      </c>
      <c r="N26" s="1" t="str">
        <f t="shared" si="4"/>
        <v>2/1/2026</v>
      </c>
      <c r="O26" s="4" t="s">
        <v>98</v>
      </c>
      <c r="P26" s="6">
        <v>3.0</v>
      </c>
    </row>
    <row r="27">
      <c r="A27" s="4" t="s">
        <v>97</v>
      </c>
      <c r="B27" s="1">
        <v>8977234.0</v>
      </c>
      <c r="C27" s="1" t="s">
        <v>40</v>
      </c>
      <c r="D27" s="1" t="s">
        <v>38</v>
      </c>
      <c r="E27" s="1" t="str">
        <f t="shared" si="1"/>
        <v>Amber Gengler</v>
      </c>
      <c r="F27" s="1" t="s">
        <v>41</v>
      </c>
      <c r="G27" s="1" t="str">
        <f t="shared" si="8"/>
        <v>OH-0003814368OVR</v>
      </c>
      <c r="H27" s="1" t="str">
        <f t="shared" si="3"/>
        <v>OH</v>
      </c>
      <c r="I27" s="2">
        <v>45292.0</v>
      </c>
      <c r="J27" s="2">
        <v>46080.0</v>
      </c>
      <c r="K27" s="1" t="s">
        <v>15</v>
      </c>
      <c r="L27" s="1" t="s">
        <v>77</v>
      </c>
      <c r="M27" s="5">
        <v>3.0</v>
      </c>
      <c r="N27" s="1" t="str">
        <f t="shared" si="4"/>
        <v>2/1/2026</v>
      </c>
      <c r="O27" s="4" t="s">
        <v>98</v>
      </c>
      <c r="P27" s="6">
        <v>3.0</v>
      </c>
    </row>
    <row r="28">
      <c r="A28" s="4" t="s">
        <v>97</v>
      </c>
      <c r="B28" s="1">
        <v>8977234.0</v>
      </c>
      <c r="C28" s="1" t="s">
        <v>42</v>
      </c>
      <c r="D28" s="1" t="s">
        <v>43</v>
      </c>
      <c r="E28" s="1" t="str">
        <f t="shared" si="1"/>
        <v>Allen Reinhart</v>
      </c>
      <c r="F28" s="1" t="s">
        <v>44</v>
      </c>
      <c r="G28" s="1" t="str">
        <f t="shared" si="8"/>
        <v>OH-0003967724OVR</v>
      </c>
      <c r="H28" s="1" t="str">
        <f t="shared" si="3"/>
        <v>OH</v>
      </c>
      <c r="I28" s="2">
        <v>45658.0</v>
      </c>
      <c r="J28" s="2">
        <v>46080.0</v>
      </c>
      <c r="K28" s="1" t="s">
        <v>15</v>
      </c>
      <c r="L28" s="1" t="s">
        <v>77</v>
      </c>
      <c r="M28" s="5">
        <v>3.0</v>
      </c>
      <c r="N28" s="1" t="str">
        <f t="shared" si="4"/>
        <v>2/1/2026</v>
      </c>
      <c r="O28" s="4" t="s">
        <v>98</v>
      </c>
      <c r="P28" s="6">
        <v>3.0</v>
      </c>
    </row>
    <row r="29">
      <c r="A29" s="4" t="s">
        <v>97</v>
      </c>
      <c r="B29" s="1">
        <v>8977234.0</v>
      </c>
      <c r="C29" s="1" t="s">
        <v>45</v>
      </c>
      <c r="D29" s="1" t="s">
        <v>46</v>
      </c>
      <c r="E29" s="1" t="str">
        <f t="shared" si="1"/>
        <v>Kimberly Smithson</v>
      </c>
      <c r="F29" s="1" t="s">
        <v>47</v>
      </c>
      <c r="G29" s="1" t="str">
        <f t="shared" si="8"/>
        <v>OH-0003991006OVR</v>
      </c>
      <c r="H29" s="1" t="str">
        <f t="shared" si="3"/>
        <v>OH</v>
      </c>
      <c r="I29" s="2">
        <v>45658.0</v>
      </c>
      <c r="J29" s="2">
        <v>46080.0</v>
      </c>
      <c r="K29" s="1" t="s">
        <v>15</v>
      </c>
      <c r="L29" s="1" t="s">
        <v>77</v>
      </c>
      <c r="M29" s="5">
        <v>3.0</v>
      </c>
      <c r="N29" s="1" t="str">
        <f t="shared" si="4"/>
        <v>2/1/2026</v>
      </c>
      <c r="O29" s="4" t="s">
        <v>98</v>
      </c>
      <c r="P29" s="6">
        <v>3.0</v>
      </c>
    </row>
    <row r="30">
      <c r="A30" s="4" t="s">
        <v>97</v>
      </c>
      <c r="B30" s="1">
        <v>8977234.0</v>
      </c>
      <c r="C30" s="1" t="s">
        <v>59</v>
      </c>
      <c r="D30" s="1" t="s">
        <v>60</v>
      </c>
      <c r="E30" s="1" t="str">
        <f t="shared" si="1"/>
        <v>Jace Harris</v>
      </c>
      <c r="F30" s="1" t="s">
        <v>61</v>
      </c>
      <c r="G30" s="1" t="str">
        <f t="shared" si="8"/>
        <v>UT-0002368301OVR</v>
      </c>
      <c r="H30" s="1" t="str">
        <f t="shared" si="3"/>
        <v>UT</v>
      </c>
      <c r="I30" s="2">
        <v>45778.0</v>
      </c>
      <c r="J30" s="2">
        <v>46080.0</v>
      </c>
      <c r="K30" s="1" t="s">
        <v>15</v>
      </c>
      <c r="L30" s="1" t="s">
        <v>77</v>
      </c>
      <c r="M30" s="5">
        <v>3.0</v>
      </c>
      <c r="N30" s="1" t="str">
        <f t="shared" si="4"/>
        <v>2/1/2026</v>
      </c>
      <c r="O30" s="4" t="s">
        <v>98</v>
      </c>
      <c r="P30" s="6">
        <v>3.0</v>
      </c>
    </row>
    <row r="31">
      <c r="A31" s="4" t="s">
        <v>97</v>
      </c>
      <c r="B31" s="1">
        <v>8977234.0</v>
      </c>
      <c r="C31" s="1" t="s">
        <v>63</v>
      </c>
      <c r="D31" s="1" t="s">
        <v>64</v>
      </c>
      <c r="E31" s="1" t="str">
        <f t="shared" si="1"/>
        <v>Toni Charter</v>
      </c>
      <c r="F31" s="1" t="s">
        <v>65</v>
      </c>
      <c r="G31" s="1" t="str">
        <f t="shared" si="8"/>
        <v>UT-0002516451OVR</v>
      </c>
      <c r="H31" s="1" t="str">
        <f t="shared" si="3"/>
        <v>UT</v>
      </c>
      <c r="I31" s="2">
        <v>45658.0</v>
      </c>
      <c r="J31" s="2">
        <v>46080.0</v>
      </c>
      <c r="K31" s="1" t="s">
        <v>15</v>
      </c>
      <c r="L31" s="1" t="s">
        <v>77</v>
      </c>
      <c r="M31" s="5">
        <v>3.0</v>
      </c>
      <c r="N31" s="1" t="str">
        <f t="shared" si="4"/>
        <v>2/1/2026</v>
      </c>
      <c r="O31" s="4" t="s">
        <v>98</v>
      </c>
      <c r="P31" s="6">
        <v>3.0</v>
      </c>
    </row>
    <row r="32">
      <c r="A32" s="4" t="s">
        <v>97</v>
      </c>
      <c r="B32" s="1">
        <v>8977234.0</v>
      </c>
      <c r="C32" s="1" t="s">
        <v>66</v>
      </c>
      <c r="D32" s="1" t="s">
        <v>60</v>
      </c>
      <c r="E32" s="1" t="str">
        <f t="shared" si="1"/>
        <v>Kelly Harris</v>
      </c>
      <c r="F32" s="1" t="s">
        <v>67</v>
      </c>
      <c r="G32" s="1" t="str">
        <f t="shared" si="8"/>
        <v>UT-0003149617OVR</v>
      </c>
      <c r="H32" s="1" t="str">
        <f t="shared" si="3"/>
        <v>UT</v>
      </c>
      <c r="I32" s="2">
        <v>45778.0</v>
      </c>
      <c r="J32" s="2">
        <v>46080.0</v>
      </c>
      <c r="K32" s="1" t="s">
        <v>15</v>
      </c>
      <c r="L32" s="1" t="s">
        <v>77</v>
      </c>
      <c r="M32" s="5">
        <v>3.0</v>
      </c>
      <c r="N32" s="1" t="str">
        <f t="shared" si="4"/>
        <v>2/1/2026</v>
      </c>
      <c r="O32" s="4" t="s">
        <v>98</v>
      </c>
      <c r="P32" s="6">
        <v>3.0</v>
      </c>
    </row>
    <row r="33">
      <c r="A33" s="4" t="s">
        <v>97</v>
      </c>
      <c r="B33" s="1">
        <v>8977234.0</v>
      </c>
      <c r="C33" s="1" t="s">
        <v>68</v>
      </c>
      <c r="D33" s="1" t="s">
        <v>60</v>
      </c>
      <c r="E33" s="1" t="str">
        <f t="shared" si="1"/>
        <v>Lance Harris</v>
      </c>
      <c r="F33" s="1" t="s">
        <v>69</v>
      </c>
      <c r="G33" s="1" t="str">
        <f t="shared" si="8"/>
        <v>UT-0003354560OVR</v>
      </c>
      <c r="H33" s="1" t="str">
        <f t="shared" si="3"/>
        <v>UT</v>
      </c>
      <c r="I33" s="2">
        <v>45778.0</v>
      </c>
      <c r="J33" s="2">
        <v>46080.0</v>
      </c>
      <c r="K33" s="1" t="s">
        <v>15</v>
      </c>
      <c r="L33" s="1" t="s">
        <v>77</v>
      </c>
      <c r="M33" s="5">
        <v>3.0</v>
      </c>
      <c r="N33" s="1" t="str">
        <f t="shared" si="4"/>
        <v>2/1/2026</v>
      </c>
      <c r="O33" s="4" t="s">
        <v>98</v>
      </c>
      <c r="P33" s="6">
        <v>3.0</v>
      </c>
    </row>
    <row r="34">
      <c r="A34" s="4" t="s">
        <v>97</v>
      </c>
      <c r="B34" s="1">
        <v>8977234.0</v>
      </c>
      <c r="C34" s="1" t="s">
        <v>70</v>
      </c>
      <c r="D34" s="1" t="s">
        <v>60</v>
      </c>
      <c r="E34" s="1" t="str">
        <f t="shared" si="1"/>
        <v>Hayden Harris</v>
      </c>
      <c r="F34" s="1" t="s">
        <v>71</v>
      </c>
      <c r="G34" s="1" t="str">
        <f t="shared" si="8"/>
        <v>UT-0003593049OVR</v>
      </c>
      <c r="H34" s="1" t="str">
        <f t="shared" si="3"/>
        <v>UT</v>
      </c>
      <c r="I34" s="2">
        <v>45778.0</v>
      </c>
      <c r="J34" s="2">
        <v>46080.0</v>
      </c>
      <c r="K34" s="1" t="s">
        <v>15</v>
      </c>
      <c r="L34" s="1" t="s">
        <v>77</v>
      </c>
      <c r="M34" s="5">
        <v>3.0</v>
      </c>
      <c r="N34" s="1" t="str">
        <f t="shared" si="4"/>
        <v>2/1/2026</v>
      </c>
      <c r="O34" s="4" t="s">
        <v>98</v>
      </c>
      <c r="P34" s="6">
        <v>3.0</v>
      </c>
    </row>
    <row r="35">
      <c r="A35" s="4" t="s">
        <v>97</v>
      </c>
      <c r="B35" s="1">
        <v>8977234.0</v>
      </c>
      <c r="C35" s="1" t="s">
        <v>72</v>
      </c>
      <c r="D35" s="1" t="s">
        <v>60</v>
      </c>
      <c r="E35" s="1" t="str">
        <f t="shared" si="1"/>
        <v>Hailee Harris</v>
      </c>
      <c r="F35" s="1" t="s">
        <v>73</v>
      </c>
      <c r="G35" s="1" t="str">
        <f t="shared" si="8"/>
        <v>UT-0003609841OVR</v>
      </c>
      <c r="H35" s="1" t="str">
        <f t="shared" si="3"/>
        <v>UT</v>
      </c>
      <c r="I35" s="2">
        <v>45778.0</v>
      </c>
      <c r="J35" s="2">
        <v>46080.0</v>
      </c>
      <c r="K35" s="1" t="s">
        <v>15</v>
      </c>
      <c r="L35" s="1" t="s">
        <v>77</v>
      </c>
      <c r="M35" s="5">
        <v>3.0</v>
      </c>
      <c r="N35" s="1" t="str">
        <f t="shared" si="4"/>
        <v>2/1/2026</v>
      </c>
      <c r="O35" s="4" t="s">
        <v>98</v>
      </c>
      <c r="P35" s="6">
        <v>3.0</v>
      </c>
    </row>
    <row r="36">
      <c r="A36" s="4" t="s">
        <v>97</v>
      </c>
      <c r="B36" s="1">
        <v>8977234.0</v>
      </c>
      <c r="C36" s="1" t="s">
        <v>74</v>
      </c>
      <c r="D36" s="1" t="s">
        <v>75</v>
      </c>
      <c r="E36" s="1" t="str">
        <f t="shared" si="1"/>
        <v>Charles Carspecken</v>
      </c>
      <c r="F36" s="1" t="s">
        <v>76</v>
      </c>
      <c r="G36" s="1" t="str">
        <f t="shared" si="8"/>
        <v>UT-0004132332OVR</v>
      </c>
      <c r="H36" s="1" t="str">
        <f t="shared" si="3"/>
        <v>UT</v>
      </c>
      <c r="I36" s="2">
        <v>45839.0</v>
      </c>
      <c r="J36" s="2">
        <v>46080.0</v>
      </c>
      <c r="K36" s="1" t="s">
        <v>15</v>
      </c>
      <c r="L36" s="1" t="s">
        <v>77</v>
      </c>
      <c r="M36" s="5">
        <v>3.0</v>
      </c>
      <c r="N36" s="1" t="str">
        <f t="shared" si="4"/>
        <v>2/1/2026</v>
      </c>
      <c r="O36" s="4" t="s">
        <v>98</v>
      </c>
      <c r="P36" s="6">
        <v>3.0</v>
      </c>
    </row>
    <row r="37">
      <c r="A37" s="4" t="s">
        <v>97</v>
      </c>
      <c r="B37" s="1">
        <v>1.6633294E7</v>
      </c>
      <c r="C37" s="1" t="s">
        <v>18</v>
      </c>
      <c r="D37" s="1" t="s">
        <v>19</v>
      </c>
      <c r="E37" s="1" t="str">
        <f t="shared" si="1"/>
        <v>Lazaros Bolis</v>
      </c>
      <c r="F37" s="1" t="s">
        <v>20</v>
      </c>
      <c r="G37" s="1" t="str">
        <f t="shared" si="8"/>
        <v>IL-1000092469OVR</v>
      </c>
      <c r="H37" s="1" t="str">
        <f t="shared" si="3"/>
        <v>IL</v>
      </c>
      <c r="I37" s="2">
        <v>45717.0</v>
      </c>
      <c r="J37" s="2">
        <v>46080.0</v>
      </c>
      <c r="K37" s="1" t="s">
        <v>15</v>
      </c>
      <c r="L37" s="1" t="s">
        <v>77</v>
      </c>
      <c r="M37" s="5">
        <v>3.0</v>
      </c>
      <c r="N37" s="1" t="str">
        <f t="shared" si="4"/>
        <v>2/1/2026</v>
      </c>
      <c r="O37" s="4" t="s">
        <v>98</v>
      </c>
      <c r="P37" s="6">
        <v>3.0</v>
      </c>
    </row>
    <row r="38">
      <c r="A38" s="4" t="s">
        <v>97</v>
      </c>
      <c r="B38" s="1">
        <v>1.6633294E7</v>
      </c>
      <c r="C38" s="1" t="s">
        <v>21</v>
      </c>
      <c r="D38" s="1" t="s">
        <v>22</v>
      </c>
      <c r="E38" s="1" t="str">
        <f t="shared" si="1"/>
        <v>Sebastiana Bonafede</v>
      </c>
      <c r="F38" s="1" t="s">
        <v>23</v>
      </c>
      <c r="G38" s="1" t="str">
        <f t="shared" si="8"/>
        <v>IL-1000494836OVR</v>
      </c>
      <c r="H38" s="1" t="str">
        <f t="shared" si="3"/>
        <v>IL</v>
      </c>
      <c r="I38" s="2">
        <v>45689.0</v>
      </c>
      <c r="J38" s="2">
        <v>46080.0</v>
      </c>
      <c r="K38" s="1" t="s">
        <v>15</v>
      </c>
      <c r="L38" s="1" t="s">
        <v>77</v>
      </c>
      <c r="M38" s="5">
        <v>3.0</v>
      </c>
      <c r="N38" s="1" t="str">
        <f t="shared" si="4"/>
        <v>2/1/2026</v>
      </c>
      <c r="O38" s="4" t="s">
        <v>98</v>
      </c>
      <c r="P38" s="6">
        <v>3.0</v>
      </c>
    </row>
    <row r="39">
      <c r="A39" s="4" t="s">
        <v>97</v>
      </c>
      <c r="B39" s="1">
        <v>1.6683808E7</v>
      </c>
      <c r="C39" s="1" t="s">
        <v>56</v>
      </c>
      <c r="D39" s="1" t="s">
        <v>57</v>
      </c>
      <c r="E39" s="1" t="str">
        <f t="shared" si="1"/>
        <v>Jean Williams</v>
      </c>
      <c r="F39" s="1" t="s">
        <v>58</v>
      </c>
      <c r="G39" s="1" t="str">
        <f t="shared" si="8"/>
        <v>FL-0020265408OVR</v>
      </c>
      <c r="H39" s="1" t="str">
        <f t="shared" si="3"/>
        <v>FL</v>
      </c>
      <c r="I39" s="2">
        <v>45658.0</v>
      </c>
      <c r="J39" s="2">
        <v>46080.0</v>
      </c>
      <c r="K39" s="1" t="s">
        <v>15</v>
      </c>
      <c r="L39" s="1" t="s">
        <v>77</v>
      </c>
      <c r="M39" s="5">
        <v>3.0</v>
      </c>
      <c r="N39" s="1" t="str">
        <f t="shared" si="4"/>
        <v>2/1/2026</v>
      </c>
      <c r="O39" s="4" t="s">
        <v>98</v>
      </c>
      <c r="P39" s="6">
        <v>3.0</v>
      </c>
    </row>
    <row r="40">
      <c r="A40" s="4" t="s">
        <v>97</v>
      </c>
      <c r="B40" s="1">
        <v>9213293.0</v>
      </c>
      <c r="C40" s="1" t="s">
        <v>25</v>
      </c>
      <c r="D40" s="1" t="s">
        <v>26</v>
      </c>
      <c r="E40" s="1" t="str">
        <f t="shared" si="1"/>
        <v>Patrick Matsuda</v>
      </c>
      <c r="F40" s="1" t="s">
        <v>27</v>
      </c>
      <c r="G40" s="1" t="str">
        <f t="shared" si="8"/>
        <v>IL-1000101370OVR</v>
      </c>
      <c r="H40" s="1" t="str">
        <f t="shared" si="3"/>
        <v>IL</v>
      </c>
      <c r="I40" s="2">
        <v>45658.0</v>
      </c>
      <c r="J40" s="2">
        <v>46080.0</v>
      </c>
      <c r="K40" s="1" t="s">
        <v>15</v>
      </c>
      <c r="L40" s="1" t="s">
        <v>77</v>
      </c>
      <c r="M40" s="5">
        <v>3.0</v>
      </c>
      <c r="N40" s="1" t="str">
        <f t="shared" si="4"/>
        <v>2/1/2026</v>
      </c>
      <c r="O40" s="4" t="s">
        <v>98</v>
      </c>
      <c r="P40" s="6">
        <v>3.0</v>
      </c>
    </row>
    <row r="41">
      <c r="A41" s="4" t="s">
        <v>97</v>
      </c>
      <c r="B41" s="1">
        <v>9213293.0</v>
      </c>
      <c r="C41" s="1" t="s">
        <v>28</v>
      </c>
      <c r="D41" s="1" t="s">
        <v>29</v>
      </c>
      <c r="E41" s="1" t="str">
        <f t="shared" si="1"/>
        <v>Marco Flores</v>
      </c>
      <c r="F41" s="1" t="s">
        <v>30</v>
      </c>
      <c r="G41" s="1" t="str">
        <f t="shared" si="8"/>
        <v>IL-1000524629OVR</v>
      </c>
      <c r="H41" s="1" t="str">
        <f t="shared" si="3"/>
        <v>IL</v>
      </c>
      <c r="I41" s="2">
        <v>45658.0</v>
      </c>
      <c r="J41" s="2">
        <v>46080.0</v>
      </c>
      <c r="K41" s="1" t="s">
        <v>15</v>
      </c>
      <c r="L41" s="1" t="s">
        <v>77</v>
      </c>
      <c r="M41" s="5">
        <v>3.0</v>
      </c>
      <c r="N41" s="1" t="str">
        <f t="shared" si="4"/>
        <v>2/1/2026</v>
      </c>
      <c r="O41" s="4" t="s">
        <v>98</v>
      </c>
      <c r="P41" s="6">
        <v>3.0</v>
      </c>
    </row>
  </sheetData>
  <autoFilter ref="$A$1:$AB$1000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2026-02-28T09:11:20Z</dcterms:created>
  <dc:creator>paras69</dc:creator>
</cp:coreProperties>
</file>