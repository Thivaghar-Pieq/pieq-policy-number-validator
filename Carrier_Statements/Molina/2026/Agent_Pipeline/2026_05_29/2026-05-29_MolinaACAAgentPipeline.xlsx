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UViP2hifHRivQV58/RjDeWqzxPehOdxziskRxybn2Y="/>
    </ext>
  </extLst>
</workbook>
</file>

<file path=xl/sharedStrings.xml><?xml version="1.0" encoding="utf-8"?>
<sst xmlns="http://schemas.openxmlformats.org/spreadsheetml/2006/main" count="533" uniqueCount="90">
  <si>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</si>
  <si>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</si>
  <si>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</si>
  <si>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</si>
  <si>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</si>
  <si>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</si>
  <si>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</si>
  <si>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</si>
  <si>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</si>
  <si>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</si>
  <si>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</si>
  <si>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</si>
  <si>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</si>
  <si>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</si>
  <si>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</si>
  <si>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</si>
  <si>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</si>
  <si>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</si>
  <si>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</si>
  <si>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</si>
  <si>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</si>
  <si>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</si>
  <si>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</si>
  <si>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</si>
  <si>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05/29/2026</t>
  </si>
  <si>
    <t>Main Line Benefits LLC</t>
  </si>
  <si>
    <t>20411454</t>
  </si>
  <si>
    <t>05/01/2026</t>
  </si>
  <si>
    <t>Molina ACA</t>
  </si>
  <si>
    <t>ACA</t>
  </si>
  <si>
    <t/>
  </si>
  <si>
    <t>CA-598782832</t>
  </si>
  <si>
    <t>HARTZELL, DALE</t>
  </si>
  <si>
    <t>01/01/2026</t>
  </si>
  <si>
    <t>First Year</t>
  </si>
  <si>
    <t>Jacob Yale</t>
  </si>
  <si>
    <t>18754354</t>
  </si>
  <si>
    <t>Commission</t>
  </si>
  <si>
    <t>No</t>
  </si>
  <si>
    <t>Agent</t>
  </si>
  <si>
    <t>HARTZELL, AMANDA</t>
  </si>
  <si>
    <t>WA-1542223</t>
  </si>
  <si>
    <t>SHINDEL, JOAN</t>
  </si>
  <si>
    <t>Jake Shulman</t>
  </si>
  <si>
    <t>18201929</t>
  </si>
  <si>
    <t>WA-6092065</t>
  </si>
  <si>
    <t>COOMBS, STEVEN</t>
  </si>
  <si>
    <t>WA-6628017</t>
  </si>
  <si>
    <t>CURULLA, JOHN</t>
  </si>
  <si>
    <t>WA-6568620</t>
  </si>
  <si>
    <t>KRATZER, EVANS</t>
  </si>
  <si>
    <t>WA-470048</t>
  </si>
  <si>
    <t>BOWSER, LISA</t>
  </si>
  <si>
    <t>WA-6629572</t>
  </si>
  <si>
    <t>MANZANO, DARRAH</t>
  </si>
  <si>
    <t>POLLICH, JEFFERY</t>
  </si>
  <si>
    <t>WA-4686746</t>
  </si>
  <si>
    <t>FINCH, MAUREEN</t>
  </si>
  <si>
    <t>Jared Kinyua</t>
  </si>
  <si>
    <t>19279958</t>
  </si>
  <si>
    <t>WA-5981887</t>
  </si>
  <si>
    <t>WOLL, STEPHEN</t>
  </si>
  <si>
    <t>ZARTMAN, AMANDA</t>
  </si>
  <si>
    <t>KRATZER, KARLEE</t>
  </si>
  <si>
    <t>WA-6654612</t>
  </si>
  <si>
    <t>CHAPMAN, GARY</t>
  </si>
  <si>
    <t>04/01/2026</t>
  </si>
  <si>
    <t>FINCH, GARRISON</t>
  </si>
  <si>
    <t>COOMBS, KIMBERLEY</t>
  </si>
  <si>
    <t>OH-0003631230</t>
  </si>
  <si>
    <t>KRUPP, LORIE</t>
  </si>
  <si>
    <t>TX-0020687737</t>
  </si>
  <si>
    <t>SUTTON, RAUN</t>
  </si>
  <si>
    <t>Barry Brenner</t>
  </si>
  <si>
    <t>21348299</t>
  </si>
  <si>
    <t>IL-1000550266</t>
  </si>
  <si>
    <t>RIVAS, JESUS</t>
  </si>
  <si>
    <t>Victor Fuentes</t>
  </si>
  <si>
    <t>21283956</t>
  </si>
  <si>
    <t>RIVAS, MONICA</t>
  </si>
  <si>
    <t>SC-0003690986</t>
  </si>
  <si>
    <t>RIVERA, SARA</t>
  </si>
  <si>
    <t>Kirk Tigue</t>
  </si>
  <si>
    <t>21421111</t>
  </si>
  <si>
    <t>pro</t>
  </si>
  <si>
    <t>Molina CA 2026</t>
  </si>
  <si>
    <t>Molina - WA KY UT 2026</t>
  </si>
  <si>
    <t>Molina OH 2026</t>
  </si>
  <si>
    <t>Molina 2025 IL, SC, TX</t>
  </si>
  <si>
    <t>Molina - FL SC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</si>
</sst>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11.29"/>
    <col customWidth="1" min="9" max="9" width="19.43"/>
    <col customWidth="1" min="10" max="10" width="7.86"/>
    <col customWidth="1" min="11" max="11" width="14.57"/>
    <col customWidth="1" min="12" max="12" width="19.71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2706219.0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1.0</v>
      </c>
      <c r="W2" s="3">
        <v>10.0</v>
      </c>
    </row>
    <row r="3">
      <c r="A3" s="2" t="s">
        <v>23</v>
      </c>
      <c r="B3" s="2" t="s">
        <v>24</v>
      </c>
      <c r="C3" s="3">
        <v>2706219.0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30</v>
      </c>
      <c r="V3" s="3">
        <v>1.0</v>
      </c>
      <c r="W3" s="3">
        <v>10.0</v>
      </c>
    </row>
    <row r="4">
      <c r="A4" s="2" t="s">
        <v>23</v>
      </c>
      <c r="B4" s="2" t="s">
        <v>24</v>
      </c>
      <c r="C4" s="3">
        <v>2756833.0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27</v>
      </c>
      <c r="O4" s="2" t="s">
        <v>34</v>
      </c>
      <c r="P4" s="2" t="s">
        <v>43</v>
      </c>
      <c r="Q4" s="2" t="s">
        <v>44</v>
      </c>
      <c r="R4" s="2" t="s">
        <v>37</v>
      </c>
      <c r="S4" s="2" t="s">
        <v>38</v>
      </c>
      <c r="T4" s="2" t="s">
        <v>39</v>
      </c>
      <c r="U4" s="2" t="s">
        <v>30</v>
      </c>
      <c r="V4" s="3">
        <v>1.0</v>
      </c>
      <c r="W4" s="3">
        <v>20.0</v>
      </c>
    </row>
    <row r="5">
      <c r="A5" s="2" t="s">
        <v>23</v>
      </c>
      <c r="B5" s="2" t="s">
        <v>24</v>
      </c>
      <c r="C5" s="3">
        <v>2756833.0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45</v>
      </c>
      <c r="L5" s="2" t="s">
        <v>46</v>
      </c>
      <c r="M5" s="2" t="s">
        <v>30</v>
      </c>
      <c r="N5" s="2" t="s">
        <v>33</v>
      </c>
      <c r="O5" s="2" t="s">
        <v>34</v>
      </c>
      <c r="P5" s="2" t="s">
        <v>43</v>
      </c>
      <c r="Q5" s="2" t="s">
        <v>44</v>
      </c>
      <c r="R5" s="2" t="s">
        <v>37</v>
      </c>
      <c r="S5" s="2" t="s">
        <v>38</v>
      </c>
      <c r="T5" s="2" t="s">
        <v>39</v>
      </c>
      <c r="U5" s="2" t="s">
        <v>30</v>
      </c>
      <c r="V5" s="3">
        <v>1.0</v>
      </c>
      <c r="W5" s="3">
        <v>20.0</v>
      </c>
    </row>
    <row r="6">
      <c r="A6" s="2" t="s">
        <v>23</v>
      </c>
      <c r="B6" s="2" t="s">
        <v>24</v>
      </c>
      <c r="C6" s="3">
        <v>2756833.0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47</v>
      </c>
      <c r="L6" s="2" t="s">
        <v>48</v>
      </c>
      <c r="M6" s="2" t="s">
        <v>30</v>
      </c>
      <c r="N6" s="2" t="s">
        <v>33</v>
      </c>
      <c r="O6" s="2" t="s">
        <v>34</v>
      </c>
      <c r="P6" s="2" t="s">
        <v>43</v>
      </c>
      <c r="Q6" s="2" t="s">
        <v>44</v>
      </c>
      <c r="R6" s="2" t="s">
        <v>37</v>
      </c>
      <c r="S6" s="2" t="s">
        <v>38</v>
      </c>
      <c r="T6" s="2" t="s">
        <v>39</v>
      </c>
      <c r="U6" s="2" t="s">
        <v>30</v>
      </c>
      <c r="V6" s="3">
        <v>1.0</v>
      </c>
      <c r="W6" s="3">
        <v>20.0</v>
      </c>
    </row>
    <row r="7">
      <c r="A7" s="2" t="s">
        <v>23</v>
      </c>
      <c r="B7" s="2" t="s">
        <v>24</v>
      </c>
      <c r="C7" s="3">
        <v>2756833.0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49</v>
      </c>
      <c r="L7" s="2" t="s">
        <v>50</v>
      </c>
      <c r="M7" s="2" t="s">
        <v>30</v>
      </c>
      <c r="N7" s="2" t="s">
        <v>33</v>
      </c>
      <c r="O7" s="2" t="s">
        <v>34</v>
      </c>
      <c r="P7" s="2" t="s">
        <v>43</v>
      </c>
      <c r="Q7" s="2" t="s">
        <v>44</v>
      </c>
      <c r="R7" s="2" t="s">
        <v>37</v>
      </c>
      <c r="S7" s="2" t="s">
        <v>38</v>
      </c>
      <c r="T7" s="2" t="s">
        <v>39</v>
      </c>
      <c r="U7" s="2" t="s">
        <v>30</v>
      </c>
      <c r="V7" s="3">
        <v>1.0</v>
      </c>
      <c r="W7" s="3">
        <v>20.0</v>
      </c>
    </row>
    <row r="8">
      <c r="A8" s="2" t="s">
        <v>23</v>
      </c>
      <c r="B8" s="2" t="s">
        <v>24</v>
      </c>
      <c r="C8" s="3">
        <v>2756833.0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51</v>
      </c>
      <c r="L8" s="2" t="s">
        <v>52</v>
      </c>
      <c r="M8" s="2" t="s">
        <v>30</v>
      </c>
      <c r="N8" s="2" t="s">
        <v>33</v>
      </c>
      <c r="O8" s="2" t="s">
        <v>34</v>
      </c>
      <c r="P8" s="2" t="s">
        <v>43</v>
      </c>
      <c r="Q8" s="2" t="s">
        <v>44</v>
      </c>
      <c r="R8" s="2" t="s">
        <v>37</v>
      </c>
      <c r="S8" s="2" t="s">
        <v>38</v>
      </c>
      <c r="T8" s="2" t="s">
        <v>39</v>
      </c>
      <c r="U8" s="2" t="s">
        <v>30</v>
      </c>
      <c r="V8" s="3">
        <v>1.0</v>
      </c>
      <c r="W8" s="3">
        <v>20.0</v>
      </c>
    </row>
    <row r="9">
      <c r="A9" s="2" t="s">
        <v>23</v>
      </c>
      <c r="B9" s="2" t="s">
        <v>24</v>
      </c>
      <c r="C9" s="3">
        <v>2756833.0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53</v>
      </c>
      <c r="L9" s="2" t="s">
        <v>54</v>
      </c>
      <c r="M9" s="2" t="s">
        <v>30</v>
      </c>
      <c r="N9" s="2" t="s">
        <v>33</v>
      </c>
      <c r="O9" s="2" t="s">
        <v>34</v>
      </c>
      <c r="P9" s="2" t="s">
        <v>43</v>
      </c>
      <c r="Q9" s="2" t="s">
        <v>44</v>
      </c>
      <c r="R9" s="2" t="s">
        <v>37</v>
      </c>
      <c r="S9" s="2" t="s">
        <v>38</v>
      </c>
      <c r="T9" s="2" t="s">
        <v>39</v>
      </c>
      <c r="U9" s="2" t="s">
        <v>30</v>
      </c>
      <c r="V9" s="3">
        <v>1.0</v>
      </c>
      <c r="W9" s="3">
        <v>20.0</v>
      </c>
    </row>
    <row r="10">
      <c r="A10" s="2" t="s">
        <v>23</v>
      </c>
      <c r="B10" s="2" t="s">
        <v>24</v>
      </c>
      <c r="C10" s="3">
        <v>2756833.0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41</v>
      </c>
      <c r="L10" s="2" t="s">
        <v>55</v>
      </c>
      <c r="M10" s="2" t="s">
        <v>30</v>
      </c>
      <c r="N10" s="2" t="s">
        <v>27</v>
      </c>
      <c r="O10" s="2" t="s">
        <v>34</v>
      </c>
      <c r="P10" s="2" t="s">
        <v>43</v>
      </c>
      <c r="Q10" s="2" t="s">
        <v>44</v>
      </c>
      <c r="R10" s="2" t="s">
        <v>37</v>
      </c>
      <c r="S10" s="2" t="s">
        <v>38</v>
      </c>
      <c r="T10" s="2" t="s">
        <v>39</v>
      </c>
      <c r="U10" s="2" t="s">
        <v>30</v>
      </c>
      <c r="V10" s="3">
        <v>1.0</v>
      </c>
      <c r="W10" s="3">
        <v>20.0</v>
      </c>
    </row>
    <row r="11">
      <c r="A11" s="2" t="s">
        <v>23</v>
      </c>
      <c r="B11" s="2" t="s">
        <v>24</v>
      </c>
      <c r="C11" s="3">
        <v>2700221.0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56</v>
      </c>
      <c r="L11" s="2" t="s">
        <v>57</v>
      </c>
      <c r="M11" s="2" t="s">
        <v>30</v>
      </c>
      <c r="N11" s="2" t="s">
        <v>33</v>
      </c>
      <c r="O11" s="2" t="s">
        <v>34</v>
      </c>
      <c r="P11" s="2" t="s">
        <v>58</v>
      </c>
      <c r="Q11" s="2" t="s">
        <v>59</v>
      </c>
      <c r="R11" s="2" t="s">
        <v>37</v>
      </c>
      <c r="S11" s="2" t="s">
        <v>38</v>
      </c>
      <c r="T11" s="2" t="s">
        <v>39</v>
      </c>
      <c r="U11" s="2" t="s">
        <v>30</v>
      </c>
      <c r="V11" s="3">
        <v>1.0</v>
      </c>
      <c r="W11" s="3">
        <v>20.0</v>
      </c>
    </row>
    <row r="12">
      <c r="A12" s="2" t="s">
        <v>23</v>
      </c>
      <c r="B12" s="2" t="s">
        <v>24</v>
      </c>
      <c r="C12" s="3">
        <v>2756833.0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60</v>
      </c>
      <c r="L12" s="2" t="s">
        <v>61</v>
      </c>
      <c r="M12" s="2" t="s">
        <v>30</v>
      </c>
      <c r="N12" s="2" t="s">
        <v>33</v>
      </c>
      <c r="O12" s="2" t="s">
        <v>34</v>
      </c>
      <c r="P12" s="2" t="s">
        <v>43</v>
      </c>
      <c r="Q12" s="2" t="s">
        <v>44</v>
      </c>
      <c r="R12" s="2" t="s">
        <v>37</v>
      </c>
      <c r="S12" s="2" t="s">
        <v>38</v>
      </c>
      <c r="T12" s="2" t="s">
        <v>39</v>
      </c>
      <c r="U12" s="2" t="s">
        <v>30</v>
      </c>
      <c r="V12" s="3">
        <v>1.0</v>
      </c>
      <c r="W12" s="3">
        <v>20.0</v>
      </c>
    </row>
    <row r="13">
      <c r="A13" s="2" t="s">
        <v>23</v>
      </c>
      <c r="B13" s="2" t="s">
        <v>24</v>
      </c>
      <c r="C13" s="3">
        <v>2756833.0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49</v>
      </c>
      <c r="L13" s="2" t="s">
        <v>62</v>
      </c>
      <c r="M13" s="2" t="s">
        <v>30</v>
      </c>
      <c r="N13" s="2" t="s">
        <v>33</v>
      </c>
      <c r="O13" s="2" t="s">
        <v>34</v>
      </c>
      <c r="P13" s="2" t="s">
        <v>43</v>
      </c>
      <c r="Q13" s="2" t="s">
        <v>44</v>
      </c>
      <c r="R13" s="2" t="s">
        <v>37</v>
      </c>
      <c r="S13" s="2" t="s">
        <v>38</v>
      </c>
      <c r="T13" s="2" t="s">
        <v>39</v>
      </c>
      <c r="U13" s="2" t="s">
        <v>30</v>
      </c>
      <c r="V13" s="3">
        <v>1.0</v>
      </c>
      <c r="W13" s="3">
        <v>20.0</v>
      </c>
    </row>
    <row r="14">
      <c r="A14" s="2" t="s">
        <v>23</v>
      </c>
      <c r="B14" s="2" t="s">
        <v>24</v>
      </c>
      <c r="C14" s="3">
        <v>2756833.0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49</v>
      </c>
      <c r="L14" s="2" t="s">
        <v>63</v>
      </c>
      <c r="M14" s="2" t="s">
        <v>30</v>
      </c>
      <c r="N14" s="2" t="s">
        <v>33</v>
      </c>
      <c r="O14" s="2" t="s">
        <v>34</v>
      </c>
      <c r="P14" s="2" t="s">
        <v>43</v>
      </c>
      <c r="Q14" s="2" t="s">
        <v>44</v>
      </c>
      <c r="R14" s="2" t="s">
        <v>37</v>
      </c>
      <c r="S14" s="2" t="s">
        <v>38</v>
      </c>
      <c r="T14" s="2" t="s">
        <v>39</v>
      </c>
      <c r="U14" s="2" t="s">
        <v>30</v>
      </c>
      <c r="V14" s="3">
        <v>1.0</v>
      </c>
      <c r="W14" s="3">
        <v>20.0</v>
      </c>
    </row>
    <row r="15">
      <c r="A15" s="2" t="s">
        <v>23</v>
      </c>
      <c r="B15" s="2" t="s">
        <v>24</v>
      </c>
      <c r="C15" s="3">
        <v>2700221.0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64</v>
      </c>
      <c r="L15" s="2" t="s">
        <v>65</v>
      </c>
      <c r="M15" s="2" t="s">
        <v>30</v>
      </c>
      <c r="N15" s="2" t="s">
        <v>66</v>
      </c>
      <c r="O15" s="2" t="s">
        <v>34</v>
      </c>
      <c r="P15" s="2" t="s">
        <v>58</v>
      </c>
      <c r="Q15" s="2" t="s">
        <v>59</v>
      </c>
      <c r="R15" s="2" t="s">
        <v>37</v>
      </c>
      <c r="S15" s="2" t="s">
        <v>38</v>
      </c>
      <c r="T15" s="2" t="s">
        <v>39</v>
      </c>
      <c r="U15" s="2" t="s">
        <v>30</v>
      </c>
      <c r="V15" s="3">
        <v>1.0</v>
      </c>
      <c r="W15" s="3">
        <v>20.0</v>
      </c>
    </row>
    <row r="16">
      <c r="A16" s="2" t="s">
        <v>23</v>
      </c>
      <c r="B16" s="2" t="s">
        <v>24</v>
      </c>
      <c r="C16" s="3">
        <v>2700221.0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56</v>
      </c>
      <c r="L16" s="2" t="s">
        <v>67</v>
      </c>
      <c r="M16" s="2" t="s">
        <v>30</v>
      </c>
      <c r="N16" s="2" t="s">
        <v>33</v>
      </c>
      <c r="O16" s="2" t="s">
        <v>34</v>
      </c>
      <c r="P16" s="2" t="s">
        <v>58</v>
      </c>
      <c r="Q16" s="2" t="s">
        <v>59</v>
      </c>
      <c r="R16" s="2" t="s">
        <v>37</v>
      </c>
      <c r="S16" s="2" t="s">
        <v>38</v>
      </c>
      <c r="T16" s="2" t="s">
        <v>39</v>
      </c>
      <c r="U16" s="2" t="s">
        <v>30</v>
      </c>
      <c r="V16" s="3">
        <v>1.0</v>
      </c>
      <c r="W16" s="3">
        <v>20.0</v>
      </c>
    </row>
    <row r="17">
      <c r="A17" s="2" t="s">
        <v>23</v>
      </c>
      <c r="B17" s="2" t="s">
        <v>24</v>
      </c>
      <c r="C17" s="3">
        <v>2756833.0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45</v>
      </c>
      <c r="L17" s="2" t="s">
        <v>68</v>
      </c>
      <c r="M17" s="2" t="s">
        <v>30</v>
      </c>
      <c r="N17" s="2" t="s">
        <v>33</v>
      </c>
      <c r="O17" s="2" t="s">
        <v>34</v>
      </c>
      <c r="P17" s="2" t="s">
        <v>43</v>
      </c>
      <c r="Q17" s="2" t="s">
        <v>44</v>
      </c>
      <c r="R17" s="2" t="s">
        <v>37</v>
      </c>
      <c r="S17" s="2" t="s">
        <v>38</v>
      </c>
      <c r="T17" s="2" t="s">
        <v>39</v>
      </c>
      <c r="U17" s="2" t="s">
        <v>30</v>
      </c>
      <c r="V17" s="3">
        <v>1.0</v>
      </c>
      <c r="W17" s="3">
        <v>20.0</v>
      </c>
    </row>
    <row r="18">
      <c r="A18" s="2" t="s">
        <v>23</v>
      </c>
      <c r="B18" s="2" t="s">
        <v>24</v>
      </c>
      <c r="C18" s="3">
        <v>2756833.0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69</v>
      </c>
      <c r="L18" s="2" t="s">
        <v>70</v>
      </c>
      <c r="M18" s="2" t="s">
        <v>30</v>
      </c>
      <c r="N18" s="2" t="s">
        <v>33</v>
      </c>
      <c r="O18" s="2" t="s">
        <v>34</v>
      </c>
      <c r="P18" s="2" t="s">
        <v>43</v>
      </c>
      <c r="Q18" s="2" t="s">
        <v>44</v>
      </c>
      <c r="R18" s="2" t="s">
        <v>37</v>
      </c>
      <c r="S18" s="2" t="s">
        <v>38</v>
      </c>
      <c r="T18" s="2" t="s">
        <v>39</v>
      </c>
      <c r="U18" s="2" t="s">
        <v>30</v>
      </c>
      <c r="V18" s="3">
        <v>1.0</v>
      </c>
      <c r="W18" s="3">
        <v>22.0</v>
      </c>
    </row>
    <row r="19">
      <c r="A19" s="2" t="s">
        <v>23</v>
      </c>
      <c r="B19" s="2" t="s">
        <v>24</v>
      </c>
      <c r="C19" s="3">
        <v>2736779.0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71</v>
      </c>
      <c r="L19" s="2" t="s">
        <v>72</v>
      </c>
      <c r="M19" s="2" t="s">
        <v>30</v>
      </c>
      <c r="N19" s="2" t="s">
        <v>33</v>
      </c>
      <c r="O19" s="2" t="s">
        <v>34</v>
      </c>
      <c r="P19" s="2" t="s">
        <v>73</v>
      </c>
      <c r="Q19" s="2" t="s">
        <v>74</v>
      </c>
      <c r="R19" s="2" t="s">
        <v>37</v>
      </c>
      <c r="S19" s="2" t="s">
        <v>38</v>
      </c>
      <c r="T19" s="2" t="s">
        <v>39</v>
      </c>
      <c r="U19" s="2" t="s">
        <v>30</v>
      </c>
      <c r="V19" s="3">
        <v>1.0</v>
      </c>
      <c r="W19" s="3">
        <v>25.0</v>
      </c>
    </row>
    <row r="20">
      <c r="A20" s="2" t="s">
        <v>23</v>
      </c>
      <c r="B20" s="2" t="s">
        <v>24</v>
      </c>
      <c r="C20" s="3">
        <v>2724321.0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75</v>
      </c>
      <c r="L20" s="2" t="s">
        <v>76</v>
      </c>
      <c r="M20" s="2" t="s">
        <v>30</v>
      </c>
      <c r="N20" s="2" t="s">
        <v>33</v>
      </c>
      <c r="O20" s="2" t="s">
        <v>34</v>
      </c>
      <c r="P20" s="2" t="s">
        <v>77</v>
      </c>
      <c r="Q20" s="2" t="s">
        <v>78</v>
      </c>
      <c r="R20" s="2" t="s">
        <v>37</v>
      </c>
      <c r="S20" s="2" t="s">
        <v>38</v>
      </c>
      <c r="T20" s="2" t="s">
        <v>39</v>
      </c>
      <c r="U20" s="2" t="s">
        <v>30</v>
      </c>
      <c r="V20" s="3">
        <v>1.0</v>
      </c>
      <c r="W20" s="3">
        <v>25.0</v>
      </c>
    </row>
    <row r="21" ht="15.75" customHeight="1">
      <c r="A21" s="2" t="s">
        <v>23</v>
      </c>
      <c r="B21" s="2" t="s">
        <v>24</v>
      </c>
      <c r="C21" s="3">
        <v>2724321.0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75</v>
      </c>
      <c r="L21" s="2" t="s">
        <v>79</v>
      </c>
      <c r="M21" s="2" t="s">
        <v>30</v>
      </c>
      <c r="N21" s="2" t="s">
        <v>33</v>
      </c>
      <c r="O21" s="2" t="s">
        <v>34</v>
      </c>
      <c r="P21" s="2" t="s">
        <v>77</v>
      </c>
      <c r="Q21" s="2" t="s">
        <v>78</v>
      </c>
      <c r="R21" s="2" t="s">
        <v>37</v>
      </c>
      <c r="S21" s="2" t="s">
        <v>38</v>
      </c>
      <c r="T21" s="2" t="s">
        <v>39</v>
      </c>
      <c r="U21" s="2" t="s">
        <v>30</v>
      </c>
      <c r="V21" s="3">
        <v>1.0</v>
      </c>
      <c r="W21" s="3">
        <v>25.0</v>
      </c>
    </row>
    <row r="22" ht="15.75" customHeight="1">
      <c r="A22" s="2" t="s">
        <v>23</v>
      </c>
      <c r="B22" s="2" t="s">
        <v>24</v>
      </c>
      <c r="C22" s="3">
        <v>2752614.0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80</v>
      </c>
      <c r="L22" s="2" t="s">
        <v>81</v>
      </c>
      <c r="M22" s="2" t="s">
        <v>30</v>
      </c>
      <c r="N22" s="2" t="s">
        <v>33</v>
      </c>
      <c r="O22" s="2" t="s">
        <v>34</v>
      </c>
      <c r="P22" s="2" t="s">
        <v>82</v>
      </c>
      <c r="Q22" s="2" t="s">
        <v>83</v>
      </c>
      <c r="R22" s="2" t="s">
        <v>37</v>
      </c>
      <c r="S22" s="2" t="s">
        <v>38</v>
      </c>
      <c r="T22" s="2" t="s">
        <v>39</v>
      </c>
      <c r="U22" s="2" t="s">
        <v>30</v>
      </c>
      <c r="V22" s="3">
        <v>1.0</v>
      </c>
      <c r="W22" s="3">
        <v>27.0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14"/>
    <col customWidth="1" min="2" max="3" width="16.57"/>
    <col customWidth="1" min="4" max="4" width="19.57"/>
    <col customWidth="1" min="5" max="5" width="13.14"/>
    <col customWidth="1" min="6" max="6" width="18.86"/>
    <col customWidth="1" min="7" max="7" width="8.14"/>
  </cols>
  <sheetData>
    <row r="1">
      <c r="A1" s="1" t="s">
        <v>10</v>
      </c>
      <c r="B1" s="1"/>
      <c r="C1" s="1"/>
      <c r="D1" s="1" t="s">
        <v>11</v>
      </c>
      <c r="E1" s="1" t="s">
        <v>13</v>
      </c>
      <c r="F1" s="1" t="s">
        <v>15</v>
      </c>
      <c r="G1" s="1" t="s">
        <v>22</v>
      </c>
      <c r="H1" s="4" t="s">
        <v>84</v>
      </c>
    </row>
    <row r="2">
      <c r="A2" s="2" t="s">
        <v>31</v>
      </c>
      <c r="B2" s="2" t="str">
        <f t="shared" ref="B2:B18" si="1">concat(A2,78)</f>
        <v>CA-59878283278</v>
      </c>
      <c r="C2" s="2" t="str">
        <f t="shared" ref="C2:C22" si="2">left(B2,2)</f>
        <v>CA</v>
      </c>
      <c r="D2" s="2" t="s">
        <v>32</v>
      </c>
      <c r="E2" s="2" t="s">
        <v>33</v>
      </c>
      <c r="F2" s="2" t="s">
        <v>35</v>
      </c>
      <c r="G2" s="3">
        <v>10.0</v>
      </c>
      <c r="H2" s="4" t="s">
        <v>85</v>
      </c>
    </row>
    <row r="3">
      <c r="A3" s="2" t="s">
        <v>31</v>
      </c>
      <c r="B3" s="2" t="str">
        <f t="shared" si="1"/>
        <v>CA-59878283278</v>
      </c>
      <c r="C3" s="2" t="str">
        <f t="shared" si="2"/>
        <v>CA</v>
      </c>
      <c r="D3" s="2" t="s">
        <v>40</v>
      </c>
      <c r="E3" s="2" t="s">
        <v>33</v>
      </c>
      <c r="F3" s="2" t="s">
        <v>35</v>
      </c>
      <c r="G3" s="3">
        <v>10.0</v>
      </c>
      <c r="H3" s="4" t="s">
        <v>85</v>
      </c>
    </row>
    <row r="4">
      <c r="A4" s="2" t="s">
        <v>41</v>
      </c>
      <c r="B4" s="2" t="str">
        <f t="shared" si="1"/>
        <v>WA-154222378</v>
      </c>
      <c r="C4" s="2" t="str">
        <f t="shared" si="2"/>
        <v>WA</v>
      </c>
      <c r="D4" s="2" t="s">
        <v>42</v>
      </c>
      <c r="E4" s="2" t="s">
        <v>27</v>
      </c>
      <c r="F4" s="2" t="s">
        <v>43</v>
      </c>
      <c r="G4" s="3">
        <v>20.0</v>
      </c>
      <c r="H4" s="4" t="s">
        <v>86</v>
      </c>
    </row>
    <row r="5">
      <c r="A5" s="2" t="s">
        <v>45</v>
      </c>
      <c r="B5" s="2" t="str">
        <f t="shared" si="1"/>
        <v>WA-609206578</v>
      </c>
      <c r="C5" s="2" t="str">
        <f t="shared" si="2"/>
        <v>WA</v>
      </c>
      <c r="D5" s="2" t="s">
        <v>46</v>
      </c>
      <c r="E5" s="2" t="s">
        <v>33</v>
      </c>
      <c r="F5" s="2" t="s">
        <v>43</v>
      </c>
      <c r="G5" s="3">
        <v>20.0</v>
      </c>
      <c r="H5" s="4" t="s">
        <v>86</v>
      </c>
    </row>
    <row r="6">
      <c r="A6" s="2" t="s">
        <v>47</v>
      </c>
      <c r="B6" s="2" t="str">
        <f t="shared" si="1"/>
        <v>WA-662801778</v>
      </c>
      <c r="C6" s="2" t="str">
        <f t="shared" si="2"/>
        <v>WA</v>
      </c>
      <c r="D6" s="2" t="s">
        <v>48</v>
      </c>
      <c r="E6" s="2" t="s">
        <v>33</v>
      </c>
      <c r="F6" s="2" t="s">
        <v>43</v>
      </c>
      <c r="G6" s="3">
        <v>20.0</v>
      </c>
      <c r="H6" s="4" t="s">
        <v>86</v>
      </c>
    </row>
    <row r="7">
      <c r="A7" s="2" t="s">
        <v>49</v>
      </c>
      <c r="B7" s="2" t="str">
        <f t="shared" si="1"/>
        <v>WA-656862078</v>
      </c>
      <c r="C7" s="2" t="str">
        <f t="shared" si="2"/>
        <v>WA</v>
      </c>
      <c r="D7" s="2" t="s">
        <v>50</v>
      </c>
      <c r="E7" s="2" t="s">
        <v>33</v>
      </c>
      <c r="F7" s="2" t="s">
        <v>43</v>
      </c>
      <c r="G7" s="3">
        <v>20.0</v>
      </c>
      <c r="H7" s="4" t="s">
        <v>86</v>
      </c>
    </row>
    <row r="8">
      <c r="A8" s="2" t="s">
        <v>51</v>
      </c>
      <c r="B8" s="2" t="str">
        <f t="shared" si="1"/>
        <v>WA-47004878</v>
      </c>
      <c r="C8" s="2" t="str">
        <f t="shared" si="2"/>
        <v>WA</v>
      </c>
      <c r="D8" s="2" t="s">
        <v>52</v>
      </c>
      <c r="E8" s="2" t="s">
        <v>33</v>
      </c>
      <c r="F8" s="2" t="s">
        <v>43</v>
      </c>
      <c r="G8" s="3">
        <v>20.0</v>
      </c>
      <c r="H8" s="4" t="s">
        <v>86</v>
      </c>
    </row>
    <row r="9">
      <c r="A9" s="2" t="s">
        <v>53</v>
      </c>
      <c r="B9" s="2" t="str">
        <f t="shared" si="1"/>
        <v>WA-662957278</v>
      </c>
      <c r="C9" s="2" t="str">
        <f t="shared" si="2"/>
        <v>WA</v>
      </c>
      <c r="D9" s="2" t="s">
        <v>54</v>
      </c>
      <c r="E9" s="2" t="s">
        <v>33</v>
      </c>
      <c r="F9" s="2" t="s">
        <v>43</v>
      </c>
      <c r="G9" s="3">
        <v>20.0</v>
      </c>
      <c r="H9" s="4" t="s">
        <v>86</v>
      </c>
    </row>
    <row r="10">
      <c r="A10" s="2" t="s">
        <v>41</v>
      </c>
      <c r="B10" s="2" t="str">
        <f t="shared" si="1"/>
        <v>WA-154222378</v>
      </c>
      <c r="C10" s="2" t="str">
        <f t="shared" si="2"/>
        <v>WA</v>
      </c>
      <c r="D10" s="2" t="s">
        <v>55</v>
      </c>
      <c r="E10" s="2" t="s">
        <v>27</v>
      </c>
      <c r="F10" s="2" t="s">
        <v>43</v>
      </c>
      <c r="G10" s="3">
        <v>20.0</v>
      </c>
      <c r="H10" s="4" t="s">
        <v>86</v>
      </c>
    </row>
    <row r="11">
      <c r="A11" s="2" t="s">
        <v>56</v>
      </c>
      <c r="B11" s="2" t="str">
        <f t="shared" si="1"/>
        <v>WA-468674678</v>
      </c>
      <c r="C11" s="2" t="str">
        <f t="shared" si="2"/>
        <v>WA</v>
      </c>
      <c r="D11" s="2" t="s">
        <v>57</v>
      </c>
      <c r="E11" s="2" t="s">
        <v>33</v>
      </c>
      <c r="F11" s="2" t="s">
        <v>58</v>
      </c>
      <c r="G11" s="3">
        <v>20.0</v>
      </c>
      <c r="H11" s="4" t="s">
        <v>86</v>
      </c>
    </row>
    <row r="12">
      <c r="A12" s="2" t="s">
        <v>60</v>
      </c>
      <c r="B12" s="2" t="str">
        <f t="shared" si="1"/>
        <v>WA-598188778</v>
      </c>
      <c r="C12" s="2" t="str">
        <f t="shared" si="2"/>
        <v>WA</v>
      </c>
      <c r="D12" s="2" t="s">
        <v>61</v>
      </c>
      <c r="E12" s="2" t="s">
        <v>33</v>
      </c>
      <c r="F12" s="2" t="s">
        <v>43</v>
      </c>
      <c r="G12" s="3">
        <v>20.0</v>
      </c>
      <c r="H12" s="4" t="s">
        <v>86</v>
      </c>
    </row>
    <row r="13">
      <c r="A13" s="2" t="s">
        <v>49</v>
      </c>
      <c r="B13" s="2" t="str">
        <f t="shared" si="1"/>
        <v>WA-656862078</v>
      </c>
      <c r="C13" s="2" t="str">
        <f t="shared" si="2"/>
        <v>WA</v>
      </c>
      <c r="D13" s="2" t="s">
        <v>62</v>
      </c>
      <c r="E13" s="2" t="s">
        <v>33</v>
      </c>
      <c r="F13" s="2" t="s">
        <v>43</v>
      </c>
      <c r="G13" s="3">
        <v>20.0</v>
      </c>
      <c r="H13" s="4" t="s">
        <v>86</v>
      </c>
    </row>
    <row r="14">
      <c r="A14" s="2" t="s">
        <v>49</v>
      </c>
      <c r="B14" s="2" t="str">
        <f t="shared" si="1"/>
        <v>WA-656862078</v>
      </c>
      <c r="C14" s="2" t="str">
        <f t="shared" si="2"/>
        <v>WA</v>
      </c>
      <c r="D14" s="2" t="s">
        <v>63</v>
      </c>
      <c r="E14" s="2" t="s">
        <v>33</v>
      </c>
      <c r="F14" s="2" t="s">
        <v>43</v>
      </c>
      <c r="G14" s="3">
        <v>20.0</v>
      </c>
      <c r="H14" s="4" t="s">
        <v>86</v>
      </c>
    </row>
    <row r="15">
      <c r="A15" s="2" t="s">
        <v>64</v>
      </c>
      <c r="B15" s="2" t="str">
        <f t="shared" si="1"/>
        <v>WA-665461278</v>
      </c>
      <c r="C15" s="2" t="str">
        <f t="shared" si="2"/>
        <v>WA</v>
      </c>
      <c r="D15" s="2" t="s">
        <v>65</v>
      </c>
      <c r="E15" s="2" t="s">
        <v>66</v>
      </c>
      <c r="F15" s="2" t="s">
        <v>58</v>
      </c>
      <c r="G15" s="3">
        <v>20.0</v>
      </c>
      <c r="H15" s="4" t="s">
        <v>86</v>
      </c>
    </row>
    <row r="16">
      <c r="A16" s="2" t="s">
        <v>56</v>
      </c>
      <c r="B16" s="2" t="str">
        <f t="shared" si="1"/>
        <v>WA-468674678</v>
      </c>
      <c r="C16" s="2" t="str">
        <f t="shared" si="2"/>
        <v>WA</v>
      </c>
      <c r="D16" s="2" t="s">
        <v>67</v>
      </c>
      <c r="E16" s="2" t="s">
        <v>33</v>
      </c>
      <c r="F16" s="2" t="s">
        <v>58</v>
      </c>
      <c r="G16" s="3">
        <v>20.0</v>
      </c>
      <c r="H16" s="4" t="s">
        <v>86</v>
      </c>
    </row>
    <row r="17">
      <c r="A17" s="2" t="s">
        <v>45</v>
      </c>
      <c r="B17" s="2" t="str">
        <f t="shared" si="1"/>
        <v>WA-609206578</v>
      </c>
      <c r="C17" s="2" t="str">
        <f t="shared" si="2"/>
        <v>WA</v>
      </c>
      <c r="D17" s="2" t="s">
        <v>68</v>
      </c>
      <c r="E17" s="2" t="s">
        <v>33</v>
      </c>
      <c r="F17" s="2" t="s">
        <v>43</v>
      </c>
      <c r="G17" s="3">
        <v>20.0</v>
      </c>
      <c r="H17" s="4" t="s">
        <v>86</v>
      </c>
    </row>
    <row r="18">
      <c r="A18" s="2" t="s">
        <v>69</v>
      </c>
      <c r="B18" s="2" t="str">
        <f t="shared" si="1"/>
        <v>OH-000363123078</v>
      </c>
      <c r="C18" s="2" t="str">
        <f t="shared" si="2"/>
        <v>OH</v>
      </c>
      <c r="D18" s="2" t="s">
        <v>70</v>
      </c>
      <c r="E18" s="2" t="s">
        <v>33</v>
      </c>
      <c r="F18" s="2" t="s">
        <v>43</v>
      </c>
      <c r="G18" s="3">
        <v>22.0</v>
      </c>
      <c r="H18" s="4" t="s">
        <v>87</v>
      </c>
    </row>
    <row r="19">
      <c r="A19" s="2" t="s">
        <v>71</v>
      </c>
      <c r="B19" s="2" t="str">
        <f t="shared" ref="B19:B21" si="3">concat(A19,77)</f>
        <v>TX-002068773777</v>
      </c>
      <c r="C19" s="2" t="str">
        <f t="shared" si="2"/>
        <v>TX</v>
      </c>
      <c r="D19" s="2" t="s">
        <v>72</v>
      </c>
      <c r="E19" s="2" t="s">
        <v>33</v>
      </c>
      <c r="F19" s="2" t="s">
        <v>73</v>
      </c>
      <c r="G19" s="3">
        <v>25.0</v>
      </c>
      <c r="H19" s="4" t="s">
        <v>88</v>
      </c>
    </row>
    <row r="20">
      <c r="A20" s="2" t="s">
        <v>75</v>
      </c>
      <c r="B20" s="2" t="str">
        <f t="shared" si="3"/>
        <v>IL-100055026677</v>
      </c>
      <c r="C20" s="2" t="str">
        <f t="shared" si="2"/>
        <v>IL</v>
      </c>
      <c r="D20" s="2" t="s">
        <v>76</v>
      </c>
      <c r="E20" s="2" t="s">
        <v>33</v>
      </c>
      <c r="F20" s="2" t="s">
        <v>77</v>
      </c>
      <c r="G20" s="3">
        <v>25.0</v>
      </c>
      <c r="H20" s="4" t="s">
        <v>88</v>
      </c>
    </row>
    <row r="21">
      <c r="A21" s="2" t="s">
        <v>75</v>
      </c>
      <c r="B21" s="2" t="str">
        <f t="shared" si="3"/>
        <v>IL-100055026677</v>
      </c>
      <c r="C21" s="2" t="str">
        <f t="shared" si="2"/>
        <v>IL</v>
      </c>
      <c r="D21" s="2" t="s">
        <v>79</v>
      </c>
      <c r="E21" s="2" t="s">
        <v>33</v>
      </c>
      <c r="F21" s="2" t="s">
        <v>77</v>
      </c>
      <c r="G21" s="3">
        <v>25.0</v>
      </c>
      <c r="H21" s="4" t="s">
        <v>88</v>
      </c>
    </row>
    <row r="22">
      <c r="A22" s="2" t="s">
        <v>80</v>
      </c>
      <c r="B22" s="2" t="str">
        <f>concat(A22,78)</f>
        <v>SC-000369098678</v>
      </c>
      <c r="C22" s="2" t="str">
        <f t="shared" si="2"/>
        <v>SC</v>
      </c>
      <c r="D22" s="2" t="s">
        <v>81</v>
      </c>
      <c r="E22" s="2" t="s">
        <v>33</v>
      </c>
      <c r="F22" s="2" t="s">
        <v>82</v>
      </c>
      <c r="G22" s="3">
        <v>27.0</v>
      </c>
      <c r="H22" s="4" t="s">
        <v>89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2026-05-29T13:47:05Z</dcterms:created>
  <dc:creator>Bhushan patil</dc:creator>
</cp:coreProperties>
</file>