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2025\John Hopkins 02-28-25 from Ritter\"/>
    </mc:Choice>
  </mc:AlternateContent>
  <xr:revisionPtr revIDLastSave="0" documentId="13_ncr:1_{11E6466B-C61E-4446-BFAD-48B14619D19A}" xr6:coauthVersionLast="47" xr6:coauthVersionMax="47" xr10:uidLastSave="{00000000-0000-0000-0000-000000000000}"/>
  <bookViews>
    <workbookView xWindow="-120" yWindow="-120" windowWidth="29040" windowHeight="16440" activeTab="1" xr2:uid="{4DCB6544-9C17-476D-AAC6-7C119DD1598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2" i="2"/>
  <c r="G7" i="2"/>
  <c r="G8" i="2"/>
  <c r="XFD8" i="2" s="1"/>
  <c r="G9" i="2"/>
  <c r="G6" i="2"/>
  <c r="XFD6" i="2" s="1"/>
  <c r="XFD2" i="2"/>
  <c r="XFD3" i="2"/>
  <c r="XFD7" i="2"/>
  <c r="XFD4" i="2"/>
  <c r="XFD5" i="2"/>
  <c r="XFD9" i="2"/>
</calcChain>
</file>

<file path=xl/sharedStrings.xml><?xml version="1.0" encoding="utf-8"?>
<sst xmlns="http://schemas.openxmlformats.org/spreadsheetml/2006/main" count="90" uniqueCount="27">
  <si>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</si>
  <si>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</si>
  <si>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</si>
  <si>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</si>
  <si>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</si>
  <si>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</si>
  <si>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</si>
  <si>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</si>
  <si>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</si>
  <si>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</si>
  <si>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</si>
  <si>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Cathy Lemon</t>
  </si>
  <si>
    <t>Sharon</t>
  </si>
  <si>
    <t>Kennedy</t>
  </si>
  <si>
    <t>Johns Hopkins</t>
  </si>
  <si>
    <t xml:space="preserve">Johns Hopkins 2025Renewal +2 Years (ProRata: 1) Premium Period: </t>
  </si>
  <si>
    <t>Jason Hoffmann</t>
  </si>
  <si>
    <t>Linda</t>
  </si>
  <si>
    <t>Bailey</t>
  </si>
  <si>
    <t>Thomas Kucan</t>
  </si>
  <si>
    <t>James</t>
  </si>
  <si>
    <t>Burns Sr</t>
  </si>
  <si>
    <t>John</t>
  </si>
  <si>
    <t>Brown</t>
  </si>
  <si>
    <t>JH MAPD 2025*</t>
  </si>
  <si>
    <t>JH MAPD OVR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</si>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</sst>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8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3F995-7FEA-478A-9830-B0E1878D4B25}">
  <dimension ref="A1:K5"/>
  <sheetViews>
    <sheetView workbookViewId="0">
      <selection activeCell="K5" sqref="K5"/>
    </sheetView>
  </sheetViews>
  <sheetFormatPr defaultRowHeight="15" x14ac:dyDescent="0.25"/>
  <cols>
    <col min="9" max="9" width="13.7109375" bestFit="1" customWidth="1"/>
    <col min="10" max="10" width="61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17195620</v>
      </c>
      <c r="D2" t="s">
        <v>12</v>
      </c>
      <c r="E2" t="s">
        <v>13</v>
      </c>
      <c r="F2">
        <v>100558051</v>
      </c>
      <c r="G2" s="1">
        <v>45597</v>
      </c>
      <c r="H2" s="1">
        <v>45716</v>
      </c>
      <c r="I2" t="s">
        <v>14</v>
      </c>
      <c r="J2" t="s">
        <v>15</v>
      </c>
      <c r="K2" s="2">
        <v>30.25</v>
      </c>
    </row>
    <row r="3" spans="1:11" x14ac:dyDescent="0.25">
      <c r="A3" t="s">
        <v>16</v>
      </c>
      <c r="C3">
        <v>15278437</v>
      </c>
      <c r="D3" t="s">
        <v>17</v>
      </c>
      <c r="E3" t="s">
        <v>18</v>
      </c>
      <c r="F3">
        <v>100559212</v>
      </c>
      <c r="G3" s="1">
        <v>45627</v>
      </c>
      <c r="H3" s="1">
        <v>45716</v>
      </c>
      <c r="I3" t="s">
        <v>14</v>
      </c>
      <c r="J3" t="s">
        <v>15</v>
      </c>
      <c r="K3" s="2">
        <v>30.25</v>
      </c>
    </row>
    <row r="4" spans="1:11" x14ac:dyDescent="0.25">
      <c r="A4" t="s">
        <v>19</v>
      </c>
      <c r="C4">
        <v>16202925</v>
      </c>
      <c r="D4" t="s">
        <v>20</v>
      </c>
      <c r="E4" t="s">
        <v>21</v>
      </c>
      <c r="F4">
        <v>100558072</v>
      </c>
      <c r="G4" s="1">
        <v>45597</v>
      </c>
      <c r="H4" s="1">
        <v>45716</v>
      </c>
      <c r="I4" t="s">
        <v>14</v>
      </c>
      <c r="J4" t="s">
        <v>15</v>
      </c>
      <c r="K4" s="2">
        <v>30.25</v>
      </c>
    </row>
    <row r="5" spans="1:11" x14ac:dyDescent="0.25">
      <c r="A5" t="s">
        <v>19</v>
      </c>
      <c r="C5">
        <v>16202925</v>
      </c>
      <c r="D5" t="s">
        <v>22</v>
      </c>
      <c r="E5" t="s">
        <v>23</v>
      </c>
      <c r="F5">
        <v>100051930</v>
      </c>
      <c r="G5" s="1">
        <v>45658</v>
      </c>
      <c r="H5" s="1">
        <v>45716</v>
      </c>
      <c r="I5" t="s">
        <v>14</v>
      </c>
      <c r="J5" t="s">
        <v>15</v>
      </c>
      <c r="K5" s="2">
        <v>30.25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23213-90E5-49D0-B050-B1442C6636FE}">
  <dimension ref="A1:XFD9"/>
  <sheetViews>
    <sheetView tabSelected="1" workbookViewId="0">
      <selection activeCell="M2" sqref="M2:M9"/>
    </sheetView>
  </sheetViews>
  <sheetFormatPr defaultRowHeight="15" x14ac:dyDescent="0.25"/>
  <cols>
    <col min="1" max="1" width="17.7109375" bestFit="1" customWidth="1"/>
    <col min="2" max="2" width="15.42578125" bestFit="1" customWidth="1"/>
    <col min="6" max="6" width="12.5703125" style="3" bestFit="1" customWidth="1"/>
    <col min="7" max="7" width="12.5703125" style="3" customWidth="1"/>
    <col min="8" max="8" width="11.85546875" bestFit="1" customWidth="1"/>
    <col min="9" max="9" width="14.7109375" bestFit="1" customWidth="1"/>
    <col min="10" max="10" width="13.7109375" bestFit="1" customWidth="1"/>
    <col min="11" max="11" width="61.5703125" bestFit="1" customWidth="1"/>
  </cols>
  <sheetData>
    <row r="1" spans="1:14 16384:16384" customForma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3"/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4 16384:16384" customFormat="1" x14ac:dyDescent="0.25">
      <c r="A2" t="s">
        <v>19</v>
      </c>
      <c r="B2" t="str">
        <f>CONCATENATE(D2, " ", E2)</f>
        <v>John Brown</v>
      </c>
      <c r="C2">
        <v>16202925</v>
      </c>
      <c r="D2" t="s">
        <v>22</v>
      </c>
      <c r="E2" t="s">
        <v>23</v>
      </c>
      <c r="F2" s="3">
        <v>100051930</v>
      </c>
      <c r="G2" s="4">
        <v>100051930</v>
      </c>
      <c r="H2" s="1">
        <v>45658</v>
      </c>
      <c r="I2" s="1">
        <v>45716</v>
      </c>
      <c r="J2" t="s">
        <v>14</v>
      </c>
      <c r="K2" t="s">
        <v>15</v>
      </c>
      <c r="L2" s="2">
        <v>30.25</v>
      </c>
      <c r="M2">
        <v>26.08</v>
      </c>
      <c r="N2" t="s">
        <v>24</v>
      </c>
      <c r="XFD2">
        <f>SUM(C2:XFC2)</f>
        <v>216398215.33000001</v>
      </c>
    </row>
    <row r="3" spans="1:14 16384:16384" customFormat="1" x14ac:dyDescent="0.25">
      <c r="A3" t="s">
        <v>11</v>
      </c>
      <c r="B3" t="str">
        <f t="shared" ref="B3:B9" si="0">CONCATENATE(D3, " ", E3)</f>
        <v>Sharon Kennedy</v>
      </c>
      <c r="C3">
        <v>17195620</v>
      </c>
      <c r="D3" t="s">
        <v>12</v>
      </c>
      <c r="E3" t="s">
        <v>13</v>
      </c>
      <c r="F3" s="3">
        <v>100558051</v>
      </c>
      <c r="G3" s="4">
        <v>100558051</v>
      </c>
      <c r="H3" s="1">
        <v>45597</v>
      </c>
      <c r="I3" s="1">
        <v>45716</v>
      </c>
      <c r="J3" t="s">
        <v>14</v>
      </c>
      <c r="K3" t="s">
        <v>15</v>
      </c>
      <c r="L3" s="2">
        <v>30.25</v>
      </c>
      <c r="M3">
        <v>26.08</v>
      </c>
      <c r="N3" t="s">
        <v>24</v>
      </c>
      <c r="XFD3">
        <f>SUM(C3:XFC3)</f>
        <v>218403091.33000001</v>
      </c>
    </row>
    <row r="4" spans="1:14 16384:16384" customFormat="1" x14ac:dyDescent="0.25">
      <c r="A4" t="s">
        <v>19</v>
      </c>
      <c r="B4" t="str">
        <f t="shared" si="0"/>
        <v>James Burns Sr</v>
      </c>
      <c r="C4">
        <v>16202925</v>
      </c>
      <c r="D4" t="s">
        <v>20</v>
      </c>
      <c r="E4" t="s">
        <v>21</v>
      </c>
      <c r="F4" s="3">
        <v>100558072</v>
      </c>
      <c r="G4" s="4">
        <v>100558072</v>
      </c>
      <c r="H4" s="1">
        <v>45597</v>
      </c>
      <c r="I4" s="1">
        <v>45716</v>
      </c>
      <c r="J4" t="s">
        <v>14</v>
      </c>
      <c r="K4" t="s">
        <v>15</v>
      </c>
      <c r="L4" s="2">
        <v>30.25</v>
      </c>
      <c r="M4">
        <v>26.08</v>
      </c>
      <c r="N4" t="s">
        <v>24</v>
      </c>
      <c r="XFD4">
        <f>SUM(C4:XFC4)</f>
        <v>217410438.33000001</v>
      </c>
    </row>
    <row r="5" spans="1:14 16384:16384" customFormat="1" x14ac:dyDescent="0.25">
      <c r="A5" t="s">
        <v>16</v>
      </c>
      <c r="B5" t="str">
        <f t="shared" si="0"/>
        <v>Linda Bailey</v>
      </c>
      <c r="C5">
        <v>15278437</v>
      </c>
      <c r="D5" t="s">
        <v>17</v>
      </c>
      <c r="E5" t="s">
        <v>18</v>
      </c>
      <c r="F5" s="3">
        <v>100559212</v>
      </c>
      <c r="G5" s="4">
        <v>100559212</v>
      </c>
      <c r="H5" s="1">
        <v>45627</v>
      </c>
      <c r="I5" s="1">
        <v>45716</v>
      </c>
      <c r="J5" t="s">
        <v>14</v>
      </c>
      <c r="K5" t="s">
        <v>15</v>
      </c>
      <c r="L5" s="2">
        <v>30.25</v>
      </c>
      <c r="M5">
        <v>26.08</v>
      </c>
      <c r="N5" t="s">
        <v>24</v>
      </c>
      <c r="XFD5">
        <f>SUM(C5:XFC5)</f>
        <v>216488260.33000001</v>
      </c>
    </row>
    <row r="6" spans="1:14 16384:16384" customFormat="1" x14ac:dyDescent="0.25">
      <c r="A6" t="s">
        <v>26</v>
      </c>
      <c r="B6" t="str">
        <f t="shared" si="0"/>
        <v>John Brown</v>
      </c>
      <c r="C6">
        <v>20411454</v>
      </c>
      <c r="D6" t="s">
        <v>22</v>
      </c>
      <c r="E6" t="s">
        <v>23</v>
      </c>
      <c r="F6" s="3">
        <v>100051930</v>
      </c>
      <c r="G6" s="4" t="str">
        <f>CONCATENATE(F6,1)</f>
        <v>1000519301</v>
      </c>
      <c r="H6" s="1">
        <v>45658</v>
      </c>
      <c r="I6" s="1">
        <v>45716</v>
      </c>
      <c r="J6" t="s">
        <v>14</v>
      </c>
      <c r="K6" t="s">
        <v>15</v>
      </c>
      <c r="L6" s="2">
        <v>30.25</v>
      </c>
      <c r="M6">
        <v>4.17</v>
      </c>
      <c r="N6" t="s">
        <v>25</v>
      </c>
      <c r="XFD6">
        <f>SUM(C6:XFC6)</f>
        <v>120554792.42</v>
      </c>
    </row>
    <row r="7" spans="1:14 16384:16384" customFormat="1" x14ac:dyDescent="0.25">
      <c r="A7" t="s">
        <v>26</v>
      </c>
      <c r="B7" t="str">
        <f t="shared" si="0"/>
        <v>Sharon Kennedy</v>
      </c>
      <c r="C7">
        <v>20411454</v>
      </c>
      <c r="D7" t="s">
        <v>12</v>
      </c>
      <c r="E7" t="s">
        <v>13</v>
      </c>
      <c r="F7" s="3">
        <v>100558051</v>
      </c>
      <c r="G7" s="4" t="str">
        <f t="shared" ref="G7:G9" si="1">CONCATENATE(F7,1)</f>
        <v>1005580511</v>
      </c>
      <c r="H7" s="1">
        <v>45597</v>
      </c>
      <c r="I7" s="1">
        <v>45716</v>
      </c>
      <c r="J7" t="s">
        <v>14</v>
      </c>
      <c r="K7" t="s">
        <v>15</v>
      </c>
      <c r="L7" s="2">
        <v>30.25</v>
      </c>
      <c r="M7">
        <v>4.17</v>
      </c>
      <c r="N7" t="s">
        <v>25</v>
      </c>
      <c r="XFD7">
        <f>SUM(C7:XFC7)</f>
        <v>121060852.42</v>
      </c>
    </row>
    <row r="8" spans="1:14 16384:16384" customFormat="1" x14ac:dyDescent="0.25">
      <c r="A8" t="s">
        <v>26</v>
      </c>
      <c r="B8" t="str">
        <f t="shared" si="0"/>
        <v>James Burns Sr</v>
      </c>
      <c r="C8">
        <v>20411454</v>
      </c>
      <c r="D8" t="s">
        <v>20</v>
      </c>
      <c r="E8" t="s">
        <v>21</v>
      </c>
      <c r="F8" s="3">
        <v>100558072</v>
      </c>
      <c r="G8" s="4" t="str">
        <f t="shared" si="1"/>
        <v>1005580721</v>
      </c>
      <c r="H8" s="1">
        <v>45597</v>
      </c>
      <c r="I8" s="1">
        <v>45716</v>
      </c>
      <c r="J8" t="s">
        <v>14</v>
      </c>
      <c r="K8" t="s">
        <v>15</v>
      </c>
      <c r="L8" s="2">
        <v>30.25</v>
      </c>
      <c r="M8">
        <v>4.17</v>
      </c>
      <c r="N8" t="s">
        <v>25</v>
      </c>
      <c r="XFD8">
        <f>SUM(C8:XFC8)</f>
        <v>121060873.42</v>
      </c>
    </row>
    <row r="9" spans="1:14 16384:16384" customFormat="1" x14ac:dyDescent="0.25">
      <c r="A9" t="s">
        <v>26</v>
      </c>
      <c r="B9" t="str">
        <f t="shared" si="0"/>
        <v>Linda Bailey</v>
      </c>
      <c r="C9">
        <v>20411454</v>
      </c>
      <c r="D9" t="s">
        <v>17</v>
      </c>
      <c r="E9" t="s">
        <v>18</v>
      </c>
      <c r="F9" s="3">
        <v>100559212</v>
      </c>
      <c r="G9" s="4" t="str">
        <f t="shared" si="1"/>
        <v>1005592121</v>
      </c>
      <c r="H9" s="1">
        <v>45627</v>
      </c>
      <c r="I9" s="1">
        <v>45716</v>
      </c>
      <c r="J9" t="s">
        <v>14</v>
      </c>
      <c r="K9" t="s">
        <v>15</v>
      </c>
      <c r="L9" s="2">
        <v>30.25</v>
      </c>
      <c r="M9">
        <v>4.17</v>
      </c>
      <c r="N9" t="s">
        <v>25</v>
      </c>
      <c r="XFD9">
        <f>SUM(C9:XFC9)</f>
        <v>121062043.42</v>
      </c>
    </row>
  </sheetData>
  <sortState xmlns:xlrd2="http://schemas.microsoft.com/office/spreadsheetml/2017/richdata2" ref="A3:XFD9">
    <sortCondition ref="N3:N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2025-02-28T19:51:43Z</dcterms:created>
  <dcterms:modified xsi:type="dcterms:W3CDTF">2025-03-03T15:29:10Z</dcterms:modified>
</cp:coreProperties>
</file>