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07-03-25 Ritter\"/>
    </mc:Choice>
  </mc:AlternateContent>
  <xr:revisionPtr revIDLastSave="0" documentId="13_ncr:1_{6133165D-C44D-48BE-A9F9-A04CAE1E2E1C}" xr6:coauthVersionLast="47" xr6:coauthVersionMax="47" xr10:uidLastSave="{00000000-0000-0000-0000-000000000000}"/>
  <bookViews>
    <workbookView xWindow="28680" yWindow="-120" windowWidth="29040" windowHeight="16440" activeTab="1" xr2:uid="{208C2B9E-D205-4364-BAEB-53B164BD8A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2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5" i="2"/>
  <c r="N9" i="2"/>
  <c r="N4" i="2"/>
</calcChain>
</file>

<file path=xl/sharedStrings.xml><?xml version="1.0" encoding="utf-8"?>
<sst xmlns="http://schemas.openxmlformats.org/spreadsheetml/2006/main" count="148" uniqueCount="42">
  <si>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</si>
  <si>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</si>
  <si>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</si>
  <si>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</si>
  <si>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</si>
  <si>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</si>
  <si>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</si>
  <si>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</si>
  <si>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</si>
  <si>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</si>
  <si>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</si>
  <si>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</si>
  <si>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</si>
  <si>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</si>
  <si>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</si>
  <si>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 Renewal +2 Years (ProRata: 6) Premium Period: </t>
  </si>
  <si>
    <t>Jason Hoffmann</t>
  </si>
  <si>
    <t>Linda</t>
  </si>
  <si>
    <t>Bailey</t>
  </si>
  <si>
    <t xml:space="preserve">Johns Hopkins 2025 Renewal +2 Years (ProRata: 1) Premium Period: </t>
  </si>
  <si>
    <t>Thomas Kucan</t>
  </si>
  <si>
    <t>James</t>
  </si>
  <si>
    <t>Burns Sr</t>
  </si>
  <si>
    <t xml:space="preserve">Johns Hopkins 2025 Renewal +2 Years (ProRata: -5) Premium Period: </t>
  </si>
  <si>
    <t>Adam Richter</t>
  </si>
  <si>
    <t>Judith</t>
  </si>
  <si>
    <t>Bradley Ray</t>
  </si>
  <si>
    <t xml:space="preserve">Johns Hopkins 2025 Full (ProRata: 7) Premium Period: </t>
  </si>
  <si>
    <t>Robert</t>
  </si>
  <si>
    <t>Ray</t>
  </si>
  <si>
    <t>Emma</t>
  </si>
  <si>
    <t>Mcphail</t>
  </si>
  <si>
    <t xml:space="preserve">Johns Hopkins 2025 Replace (ProRata: 7) Premium Period: </t>
  </si>
  <si>
    <t>JH MAPD OVR</t>
  </si>
  <si>
    <t>JH MAPD 2025</t>
  </si>
  <si>
    <t>JH MAPD 2025*</t>
  </si>
  <si>
    <t>[%/$=313][prorate=6/12]</t>
  </si>
  <si>
    <t>[%/$=313][prorate=1/12]</t>
  </si>
  <si>
    <t>[%/$=313][prorate=5/12]</t>
  </si>
  <si>
    <t>[%/$=313][prorate=7/12]</t>
  </si>
  <si>
    <t>[%/$=626][prorate=7/12]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</si>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</sst>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6680-9C42-41CC-888F-2D82CDF814F2}">
  <dimension ref="A1:K8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45658</v>
      </c>
      <c r="H2" s="1">
        <v>45841</v>
      </c>
      <c r="I2" t="s">
        <v>14</v>
      </c>
      <c r="J2" t="s">
        <v>15</v>
      </c>
      <c r="K2" s="2">
        <v>181.5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45841</v>
      </c>
      <c r="I3" t="s">
        <v>14</v>
      </c>
      <c r="J3" t="s">
        <v>19</v>
      </c>
      <c r="K3" s="2">
        <v>30.25</v>
      </c>
    </row>
    <row r="4" spans="1:11" x14ac:dyDescent="0.25">
      <c r="A4" t="s">
        <v>20</v>
      </c>
      <c r="C4">
        <v>16202925</v>
      </c>
      <c r="D4" t="s">
        <v>21</v>
      </c>
      <c r="E4" t="s">
        <v>22</v>
      </c>
      <c r="F4">
        <v>100558072</v>
      </c>
      <c r="G4" s="1">
        <v>45597</v>
      </c>
      <c r="H4" s="1">
        <v>45841</v>
      </c>
      <c r="I4" t="s">
        <v>14</v>
      </c>
      <c r="J4" t="s">
        <v>19</v>
      </c>
      <c r="K4" s="2">
        <v>30.25</v>
      </c>
    </row>
    <row r="5" spans="1:11" x14ac:dyDescent="0.25">
      <c r="A5" t="s">
        <v>11</v>
      </c>
      <c r="C5">
        <v>17195620</v>
      </c>
      <c r="D5" t="s">
        <v>12</v>
      </c>
      <c r="E5" t="s">
        <v>13</v>
      </c>
      <c r="F5">
        <v>100558051</v>
      </c>
      <c r="G5" s="1">
        <v>45597</v>
      </c>
      <c r="H5" s="1">
        <v>45841</v>
      </c>
      <c r="I5" t="s">
        <v>14</v>
      </c>
      <c r="J5" t="s">
        <v>23</v>
      </c>
      <c r="K5" s="2">
        <v>-151.25</v>
      </c>
    </row>
    <row r="6" spans="1:11" x14ac:dyDescent="0.25">
      <c r="A6" t="s">
        <v>24</v>
      </c>
      <c r="C6">
        <v>9079571</v>
      </c>
      <c r="D6" t="s">
        <v>25</v>
      </c>
      <c r="E6" t="s">
        <v>26</v>
      </c>
      <c r="F6">
        <v>100578063</v>
      </c>
      <c r="G6" s="1">
        <v>45809</v>
      </c>
      <c r="H6" s="1">
        <v>45841</v>
      </c>
      <c r="I6" t="s">
        <v>14</v>
      </c>
      <c r="J6" t="s">
        <v>27</v>
      </c>
      <c r="K6" s="2">
        <v>408.91</v>
      </c>
    </row>
    <row r="7" spans="1:11" x14ac:dyDescent="0.25">
      <c r="A7" t="s">
        <v>24</v>
      </c>
      <c r="C7">
        <v>9079571</v>
      </c>
      <c r="D7" t="s">
        <v>28</v>
      </c>
      <c r="E7" t="s">
        <v>29</v>
      </c>
      <c r="F7">
        <v>100578062</v>
      </c>
      <c r="G7" s="1">
        <v>45809</v>
      </c>
      <c r="H7" s="1">
        <v>45841</v>
      </c>
      <c r="I7" t="s">
        <v>14</v>
      </c>
      <c r="J7" t="s">
        <v>27</v>
      </c>
      <c r="K7" s="2">
        <v>408.91</v>
      </c>
    </row>
    <row r="8" spans="1:11" x14ac:dyDescent="0.25">
      <c r="A8" t="s">
        <v>24</v>
      </c>
      <c r="C8">
        <v>9079571</v>
      </c>
      <c r="D8" t="s">
        <v>30</v>
      </c>
      <c r="E8" t="s">
        <v>31</v>
      </c>
      <c r="F8">
        <v>100578061</v>
      </c>
      <c r="G8" s="1">
        <v>45809</v>
      </c>
      <c r="H8" s="1">
        <v>45841</v>
      </c>
      <c r="I8" t="s">
        <v>14</v>
      </c>
      <c r="J8" t="s">
        <v>32</v>
      </c>
      <c r="K8" s="2">
        <v>226.33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FC83-3103-407C-A39A-25D5A456A8AE}">
  <dimension ref="A1:P15"/>
  <sheetViews>
    <sheetView tabSelected="1" workbookViewId="0">
      <selection activeCell="P2" sqref="P2:P15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28515625" bestFit="1" customWidth="1"/>
    <col min="6" max="6" width="11.28515625" customWidth="1"/>
    <col min="7" max="7" width="10.85546875" bestFit="1" customWidth="1"/>
    <col min="8" max="8" width="10.85546875" customWidth="1"/>
    <col min="9" max="9" width="11.85546875" bestFit="1" customWidth="1"/>
    <col min="10" max="10" width="14.7109375" bestFit="1" customWidth="1"/>
    <col min="11" max="11" width="13.7109375" bestFit="1" customWidth="1"/>
    <col min="12" max="12" width="62.85546875" bestFit="1" customWidth="1"/>
    <col min="13" max="13" width="15.7109375" bestFit="1" customWidth="1"/>
    <col min="14" max="14" width="7.7109375" bestFit="1" customWidth="1"/>
    <col min="15" max="15" width="1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6" s="3" customFormat="1" x14ac:dyDescent="0.25">
      <c r="A2" s="3" t="s">
        <v>24</v>
      </c>
      <c r="C2" s="3">
        <v>9079571</v>
      </c>
      <c r="D2" s="3" t="s">
        <v>25</v>
      </c>
      <c r="E2" s="3" t="s">
        <v>26</v>
      </c>
      <c r="F2" s="3" t="str">
        <f>CONCATENATE(D2, " ",E2)</f>
        <v>Judith Bradley Ray</v>
      </c>
      <c r="G2" s="3">
        <v>100578063</v>
      </c>
      <c r="H2" s="3" t="str">
        <f>CONCATENATE(G2,3)</f>
        <v>1005780633</v>
      </c>
      <c r="I2" s="4">
        <v>45809</v>
      </c>
      <c r="J2" s="4">
        <v>45841</v>
      </c>
      <c r="K2" s="3" t="s">
        <v>14</v>
      </c>
      <c r="L2" s="3" t="s">
        <v>27</v>
      </c>
      <c r="M2" s="5">
        <v>408.91</v>
      </c>
      <c r="N2" s="3">
        <v>365.16</v>
      </c>
      <c r="O2" s="3" t="s">
        <v>34</v>
      </c>
      <c r="P2" s="3" t="s">
        <v>40</v>
      </c>
    </row>
    <row r="3" spans="1:16" s="3" customFormat="1" x14ac:dyDescent="0.25">
      <c r="A3" s="3" t="s">
        <v>24</v>
      </c>
      <c r="C3" s="3">
        <v>9079571</v>
      </c>
      <c r="D3" s="3" t="s">
        <v>28</v>
      </c>
      <c r="E3" s="3" t="s">
        <v>29</v>
      </c>
      <c r="F3" s="3" t="str">
        <f t="shared" ref="F3:F15" si="0">CONCATENATE(D3, " ",E3)</f>
        <v>Robert Ray</v>
      </c>
      <c r="G3" s="3">
        <v>100578062</v>
      </c>
      <c r="H3" s="3" t="str">
        <f>CONCATENATE(G3,3)</f>
        <v>1005780623</v>
      </c>
      <c r="I3" s="4">
        <v>45809</v>
      </c>
      <c r="J3" s="4">
        <v>45841</v>
      </c>
      <c r="K3" s="3" t="s">
        <v>14</v>
      </c>
      <c r="L3" s="3" t="s">
        <v>27</v>
      </c>
      <c r="M3" s="5">
        <v>408.91</v>
      </c>
      <c r="N3" s="3">
        <v>365.16</v>
      </c>
      <c r="O3" s="3" t="s">
        <v>34</v>
      </c>
      <c r="P3" s="3" t="s">
        <v>40</v>
      </c>
    </row>
    <row r="4" spans="1:16" s="3" customFormat="1" x14ac:dyDescent="0.25">
      <c r="A4" s="3" t="s">
        <v>11</v>
      </c>
      <c r="C4" s="3">
        <v>17195620</v>
      </c>
      <c r="D4" s="3" t="s">
        <v>12</v>
      </c>
      <c r="E4" s="3" t="s">
        <v>13</v>
      </c>
      <c r="F4" s="3" t="str">
        <f t="shared" si="0"/>
        <v>Sharon Kennedy</v>
      </c>
      <c r="G4" s="3">
        <v>100558051</v>
      </c>
      <c r="H4" s="3" t="str">
        <f>CONCATENATE(G4,2)</f>
        <v>1005580512</v>
      </c>
      <c r="I4" s="4">
        <v>45658</v>
      </c>
      <c r="J4" s="4">
        <v>45841</v>
      </c>
      <c r="K4" s="3" t="s">
        <v>14</v>
      </c>
      <c r="L4" s="3" t="s">
        <v>15</v>
      </c>
      <c r="M4" s="5">
        <v>181.5</v>
      </c>
      <c r="N4" s="3">
        <f>313/12*6</f>
        <v>156.5</v>
      </c>
      <c r="O4" s="3" t="s">
        <v>35</v>
      </c>
      <c r="P4" s="3" t="s">
        <v>36</v>
      </c>
    </row>
    <row r="5" spans="1:16" s="3" customFormat="1" x14ac:dyDescent="0.25">
      <c r="A5" s="3" t="s">
        <v>16</v>
      </c>
      <c r="C5" s="3">
        <v>15278437</v>
      </c>
      <c r="D5" s="3" t="s">
        <v>17</v>
      </c>
      <c r="E5" s="3" t="s">
        <v>18</v>
      </c>
      <c r="F5" s="3" t="str">
        <f t="shared" si="0"/>
        <v>Linda Bailey</v>
      </c>
      <c r="G5" s="3">
        <v>100559212</v>
      </c>
      <c r="H5" s="3" t="str">
        <f t="shared" ref="H5:H8" si="1">CONCATENATE(G5,2)</f>
        <v>1005592122</v>
      </c>
      <c r="I5" s="4">
        <v>45627</v>
      </c>
      <c r="J5" s="4">
        <v>45841</v>
      </c>
      <c r="K5" s="3" t="s">
        <v>14</v>
      </c>
      <c r="L5" s="3" t="s">
        <v>19</v>
      </c>
      <c r="M5" s="5">
        <v>30.25</v>
      </c>
      <c r="N5" s="3">
        <v>26.08</v>
      </c>
      <c r="O5" s="3" t="s">
        <v>35</v>
      </c>
      <c r="P5" s="3" t="s">
        <v>37</v>
      </c>
    </row>
    <row r="6" spans="1:16" s="3" customFormat="1" x14ac:dyDescent="0.25">
      <c r="A6" s="3" t="s">
        <v>20</v>
      </c>
      <c r="C6" s="3">
        <v>16202925</v>
      </c>
      <c r="D6" s="3" t="s">
        <v>21</v>
      </c>
      <c r="E6" s="3" t="s">
        <v>22</v>
      </c>
      <c r="F6" s="3" t="str">
        <f t="shared" si="0"/>
        <v>James Burns Sr</v>
      </c>
      <c r="G6" s="3">
        <v>100558072</v>
      </c>
      <c r="H6" s="3" t="str">
        <f t="shared" si="1"/>
        <v>1005580722</v>
      </c>
      <c r="I6" s="4">
        <v>45597</v>
      </c>
      <c r="J6" s="4">
        <v>45841</v>
      </c>
      <c r="K6" s="3" t="s">
        <v>14</v>
      </c>
      <c r="L6" s="3" t="s">
        <v>19</v>
      </c>
      <c r="M6" s="5">
        <v>30.25</v>
      </c>
      <c r="N6" s="3">
        <v>26.08</v>
      </c>
      <c r="O6" s="3" t="s">
        <v>35</v>
      </c>
      <c r="P6" s="3" t="s">
        <v>37</v>
      </c>
    </row>
    <row r="7" spans="1:16" s="3" customFormat="1" x14ac:dyDescent="0.25">
      <c r="A7" s="3" t="s">
        <v>11</v>
      </c>
      <c r="C7" s="3">
        <v>17195620</v>
      </c>
      <c r="D7" s="3" t="s">
        <v>12</v>
      </c>
      <c r="E7" s="3" t="s">
        <v>13</v>
      </c>
      <c r="F7" s="3" t="str">
        <f t="shared" si="0"/>
        <v>Sharon Kennedy</v>
      </c>
      <c r="G7" s="3">
        <v>100558051</v>
      </c>
      <c r="H7" s="3" t="str">
        <f t="shared" si="1"/>
        <v>1005580512</v>
      </c>
      <c r="I7" s="4">
        <v>45597</v>
      </c>
      <c r="J7" s="4">
        <v>45841</v>
      </c>
      <c r="K7" s="3" t="s">
        <v>14</v>
      </c>
      <c r="L7" s="3" t="s">
        <v>23</v>
      </c>
      <c r="M7" s="5">
        <v>-151.25</v>
      </c>
      <c r="N7" s="3">
        <v>-130.41</v>
      </c>
      <c r="O7" s="3" t="s">
        <v>35</v>
      </c>
      <c r="P7" s="3" t="s">
        <v>38</v>
      </c>
    </row>
    <row r="8" spans="1:16" s="3" customFormat="1" x14ac:dyDescent="0.25">
      <c r="A8" s="3" t="s">
        <v>24</v>
      </c>
      <c r="C8" s="3">
        <v>9079571</v>
      </c>
      <c r="D8" s="3" t="s">
        <v>30</v>
      </c>
      <c r="E8" s="3" t="s">
        <v>31</v>
      </c>
      <c r="F8" s="3" t="str">
        <f t="shared" si="0"/>
        <v>Emma Mcphail</v>
      </c>
      <c r="G8" s="3">
        <v>100578061</v>
      </c>
      <c r="H8" s="3" t="str">
        <f t="shared" si="1"/>
        <v>1005780612</v>
      </c>
      <c r="I8" s="4">
        <v>45809</v>
      </c>
      <c r="J8" s="4">
        <v>45841</v>
      </c>
      <c r="K8" s="3" t="s">
        <v>14</v>
      </c>
      <c r="L8" s="3" t="s">
        <v>32</v>
      </c>
      <c r="M8" s="5">
        <v>226.33</v>
      </c>
      <c r="N8" s="3">
        <v>182.58</v>
      </c>
      <c r="O8" s="3" t="s">
        <v>35</v>
      </c>
      <c r="P8" s="3" t="s">
        <v>39</v>
      </c>
    </row>
    <row r="9" spans="1:16" s="3" customFormat="1" x14ac:dyDescent="0.25">
      <c r="A9" s="3" t="s">
        <v>41</v>
      </c>
      <c r="C9" s="3">
        <v>20411454</v>
      </c>
      <c r="D9" s="3" t="s">
        <v>12</v>
      </c>
      <c r="E9" s="3" t="s">
        <v>13</v>
      </c>
      <c r="F9" s="3" t="str">
        <f t="shared" si="0"/>
        <v>Sharon Kennedy</v>
      </c>
      <c r="G9" s="3">
        <v>100558051</v>
      </c>
      <c r="H9" s="3" t="str">
        <f>CONCATENATE(G9,1)</f>
        <v>1005580511</v>
      </c>
      <c r="I9" s="4">
        <v>45658</v>
      </c>
      <c r="J9" s="4">
        <v>45841</v>
      </c>
      <c r="K9" s="3" t="s">
        <v>14</v>
      </c>
      <c r="L9" s="3" t="s">
        <v>15</v>
      </c>
      <c r="M9" s="5">
        <v>181.5</v>
      </c>
      <c r="N9" s="3">
        <f>50.04/12*6</f>
        <v>25.02</v>
      </c>
      <c r="O9" s="3" t="s">
        <v>33</v>
      </c>
    </row>
    <row r="10" spans="1:16" s="3" customFormat="1" x14ac:dyDescent="0.25">
      <c r="A10" s="3" t="s">
        <v>41</v>
      </c>
      <c r="C10" s="3">
        <v>20411454</v>
      </c>
      <c r="D10" s="3" t="s">
        <v>17</v>
      </c>
      <c r="E10" s="3" t="s">
        <v>18</v>
      </c>
      <c r="F10" s="3" t="str">
        <f t="shared" si="0"/>
        <v>Linda Bailey</v>
      </c>
      <c r="G10" s="3">
        <v>100559212</v>
      </c>
      <c r="H10" s="3" t="str">
        <f t="shared" ref="H10:H15" si="2">CONCATENATE(G10,1)</f>
        <v>1005592121</v>
      </c>
      <c r="I10" s="4">
        <v>45627</v>
      </c>
      <c r="J10" s="4">
        <v>45841</v>
      </c>
      <c r="K10" s="3" t="s">
        <v>14</v>
      </c>
      <c r="L10" s="3" t="s">
        <v>19</v>
      </c>
      <c r="M10" s="5">
        <v>30.25</v>
      </c>
      <c r="N10" s="3">
        <v>4.17</v>
      </c>
      <c r="O10" s="3" t="s">
        <v>33</v>
      </c>
    </row>
    <row r="11" spans="1:16" s="3" customFormat="1" x14ac:dyDescent="0.25">
      <c r="A11" s="3" t="s">
        <v>41</v>
      </c>
      <c r="C11" s="3">
        <v>20411454</v>
      </c>
      <c r="D11" s="3" t="s">
        <v>21</v>
      </c>
      <c r="E11" s="3" t="s">
        <v>22</v>
      </c>
      <c r="F11" s="3" t="str">
        <f t="shared" si="0"/>
        <v>James Burns Sr</v>
      </c>
      <c r="G11" s="3">
        <v>100558072</v>
      </c>
      <c r="H11" s="3" t="str">
        <f t="shared" si="2"/>
        <v>1005580721</v>
      </c>
      <c r="I11" s="4">
        <v>45597</v>
      </c>
      <c r="J11" s="4">
        <v>45841</v>
      </c>
      <c r="K11" s="3" t="s">
        <v>14</v>
      </c>
      <c r="L11" s="3" t="s">
        <v>19</v>
      </c>
      <c r="M11" s="5">
        <v>30.25</v>
      </c>
      <c r="N11" s="3">
        <v>4.17</v>
      </c>
      <c r="O11" s="3" t="s">
        <v>33</v>
      </c>
    </row>
    <row r="12" spans="1:16" s="3" customFormat="1" x14ac:dyDescent="0.25">
      <c r="A12" s="3" t="s">
        <v>41</v>
      </c>
      <c r="C12" s="3">
        <v>20411454</v>
      </c>
      <c r="D12" s="3" t="s">
        <v>12</v>
      </c>
      <c r="E12" s="3" t="s">
        <v>13</v>
      </c>
      <c r="F12" s="3" t="str">
        <f t="shared" si="0"/>
        <v>Sharon Kennedy</v>
      </c>
      <c r="G12" s="3">
        <v>100558051</v>
      </c>
      <c r="H12" s="3" t="str">
        <f t="shared" si="2"/>
        <v>1005580511</v>
      </c>
      <c r="I12" s="4">
        <v>45597</v>
      </c>
      <c r="J12" s="4">
        <v>45841</v>
      </c>
      <c r="K12" s="3" t="s">
        <v>14</v>
      </c>
      <c r="L12" s="3" t="s">
        <v>23</v>
      </c>
      <c r="M12" s="5">
        <v>-151.25</v>
      </c>
      <c r="N12" s="3">
        <v>-20.85</v>
      </c>
      <c r="O12" s="3" t="s">
        <v>33</v>
      </c>
    </row>
    <row r="13" spans="1:16" s="3" customFormat="1" x14ac:dyDescent="0.25">
      <c r="A13" s="3" t="s">
        <v>41</v>
      </c>
      <c r="C13" s="3">
        <v>20411454</v>
      </c>
      <c r="D13" s="3" t="s">
        <v>25</v>
      </c>
      <c r="E13" s="3" t="s">
        <v>26</v>
      </c>
      <c r="F13" s="3" t="str">
        <f t="shared" si="0"/>
        <v>Judith Bradley Ray</v>
      </c>
      <c r="G13" s="3">
        <v>100578063</v>
      </c>
      <c r="H13" s="3" t="str">
        <f t="shared" si="2"/>
        <v>1005780631</v>
      </c>
      <c r="I13" s="4">
        <v>45809</v>
      </c>
      <c r="J13" s="4">
        <v>45841</v>
      </c>
      <c r="K13" s="3" t="s">
        <v>14</v>
      </c>
      <c r="L13" s="3" t="s">
        <v>27</v>
      </c>
      <c r="M13" s="5">
        <v>408.91</v>
      </c>
      <c r="N13" s="3">
        <v>43.75</v>
      </c>
      <c r="O13" s="3" t="s">
        <v>33</v>
      </c>
    </row>
    <row r="14" spans="1:16" s="3" customFormat="1" x14ac:dyDescent="0.25">
      <c r="A14" s="3" t="s">
        <v>41</v>
      </c>
      <c r="C14" s="3">
        <v>20411454</v>
      </c>
      <c r="D14" s="3" t="s">
        <v>28</v>
      </c>
      <c r="E14" s="3" t="s">
        <v>29</v>
      </c>
      <c r="F14" s="3" t="str">
        <f t="shared" si="0"/>
        <v>Robert Ray</v>
      </c>
      <c r="G14" s="3">
        <v>100578062</v>
      </c>
      <c r="H14" s="3" t="str">
        <f t="shared" si="2"/>
        <v>1005780621</v>
      </c>
      <c r="I14" s="4">
        <v>45809</v>
      </c>
      <c r="J14" s="4">
        <v>45841</v>
      </c>
      <c r="K14" s="3" t="s">
        <v>14</v>
      </c>
      <c r="L14" s="3" t="s">
        <v>27</v>
      </c>
      <c r="M14" s="5">
        <v>408.91</v>
      </c>
      <c r="N14" s="3">
        <v>43.75</v>
      </c>
      <c r="O14" s="3" t="s">
        <v>33</v>
      </c>
    </row>
    <row r="15" spans="1:16" s="3" customFormat="1" x14ac:dyDescent="0.25">
      <c r="A15" s="3" t="s">
        <v>41</v>
      </c>
      <c r="C15" s="3">
        <v>20411454</v>
      </c>
      <c r="D15" s="3" t="s">
        <v>30</v>
      </c>
      <c r="E15" s="3" t="s">
        <v>31</v>
      </c>
      <c r="F15" s="3" t="str">
        <f t="shared" si="0"/>
        <v>Emma Mcphail</v>
      </c>
      <c r="G15" s="3">
        <v>100578061</v>
      </c>
      <c r="H15" s="3" t="str">
        <f t="shared" si="2"/>
        <v>1005780611</v>
      </c>
      <c r="I15" s="4">
        <v>45809</v>
      </c>
      <c r="J15" s="4">
        <v>45841</v>
      </c>
      <c r="K15" s="3" t="s">
        <v>14</v>
      </c>
      <c r="L15" s="3" t="s">
        <v>32</v>
      </c>
      <c r="M15" s="5">
        <v>226.33</v>
      </c>
      <c r="N15" s="3">
        <f>75/12*7</f>
        <v>43.75</v>
      </c>
      <c r="O15" s="3" t="s">
        <v>33</v>
      </c>
    </row>
  </sheetData>
  <sortState xmlns:xlrd2="http://schemas.microsoft.com/office/spreadsheetml/2017/richdata2" ref="A2:S15">
    <sortCondition ref="O2:O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2025-07-03T17:38:43Z</dcterms:created>
  <dcterms:modified xsi:type="dcterms:W3CDTF">2025-07-03T20:21:37Z</dcterms:modified>
</cp:coreProperties>
</file>