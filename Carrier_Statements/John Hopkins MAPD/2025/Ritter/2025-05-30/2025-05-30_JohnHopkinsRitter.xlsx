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Ritter\John Hopkins 05-30-25 Ritter\"/>
    </mc:Choice>
  </mc:AlternateContent>
  <xr:revisionPtr revIDLastSave="0" documentId="13_ncr:1_{FCE84EBD-35FF-44C1-A06F-04E935D1D20E}" xr6:coauthVersionLast="47" xr6:coauthVersionMax="47" xr10:uidLastSave="{00000000-0000-0000-0000-000000000000}"/>
  <bookViews>
    <workbookView xWindow="28680" yWindow="-120" windowWidth="29040" windowHeight="16440" activeTab="1" xr2:uid="{6BD25953-5DBB-48C8-B0D2-5ABD5753AEE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G8" i="2"/>
  <c r="G7" i="2"/>
  <c r="G6" i="2"/>
  <c r="G5" i="2"/>
  <c r="G4" i="2"/>
  <c r="G3" i="2"/>
  <c r="G2" i="2"/>
  <c r="E9" i="2"/>
  <c r="E8" i="2"/>
  <c r="E7" i="2"/>
  <c r="E6" i="2"/>
  <c r="E3" i="2"/>
  <c r="E4" i="2"/>
  <c r="E5" i="2"/>
  <c r="E2" i="2"/>
</calcChain>
</file>

<file path=xl/sharedStrings.xml><?xml version="1.0" encoding="utf-8"?>
<sst xmlns="http://schemas.openxmlformats.org/spreadsheetml/2006/main" count="93" uniqueCount="28">
  <si>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</si>
  <si>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</si>
  <si>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</si>
  <si>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</si>
  <si>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</si>
  <si>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</si>
  <si>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</si>
  <si>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</si>
  <si>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</si>
  <si>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</si>
  <si>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</si>
  <si>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Cathy Lemon</t>
  </si>
  <si>
    <t>Sharon</t>
  </si>
  <si>
    <t>Kennedy</t>
  </si>
  <si>
    <t>Johns Hopkins</t>
  </si>
  <si>
    <t xml:space="preserve">Johns Hopkins 2025 Renewal +2 Years (ProRata: 1) Premium Period: </t>
  </si>
  <si>
    <t>Jason Hoffmann</t>
  </si>
  <si>
    <t>Linda</t>
  </si>
  <si>
    <t>Bailey</t>
  </si>
  <si>
    <t>Thomas Kucan</t>
  </si>
  <si>
    <t>James</t>
  </si>
  <si>
    <t>Burns Sr</t>
  </si>
  <si>
    <t>John</t>
  </si>
  <si>
    <t>Brown</t>
  </si>
  <si>
    <t>JH MAPD 2025*</t>
  </si>
  <si>
    <t>Main Line Benefits</t>
  </si>
  <si>
    <t>JH MAPD OVR</t>
  </si>
  <si>
    <t>[%/$=313][prorate=1/12]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</si>
</sst>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DCC8-9E9B-4E5A-B840-9D634A2FB8A8}">
  <dimension ref="A1:K5"/>
  <sheetViews>
    <sheetView workbookViewId="0">
      <selection sqref="A1:XFD1048576"/>
    </sheetView>
  </sheetViews>
  <sheetFormatPr defaultRowHeight="15" x14ac:dyDescent="0.25"/>
  <cols>
    <col min="6" max="6" width="10.85546875" bestFit="1" customWidth="1"/>
    <col min="7" max="7" width="11.85546875" bestFit="1" customWidth="1"/>
    <col min="8" max="8" width="14.7109375" bestFit="1" customWidth="1"/>
    <col min="9" max="9" width="13.7109375" bestFit="1" customWidth="1"/>
    <col min="10" max="10" width="6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17195620</v>
      </c>
      <c r="D2" t="s">
        <v>12</v>
      </c>
      <c r="E2" t="s">
        <v>13</v>
      </c>
      <c r="F2">
        <v>100558051</v>
      </c>
      <c r="G2" s="1">
        <v>45597</v>
      </c>
      <c r="H2" s="1">
        <v>45807</v>
      </c>
      <c r="I2" t="s">
        <v>14</v>
      </c>
      <c r="J2" t="s">
        <v>15</v>
      </c>
      <c r="K2" s="2">
        <v>30.25</v>
      </c>
    </row>
    <row r="3" spans="1:11" x14ac:dyDescent="0.25">
      <c r="A3" t="s">
        <v>16</v>
      </c>
      <c r="C3">
        <v>15278437</v>
      </c>
      <c r="D3" t="s">
        <v>17</v>
      </c>
      <c r="E3" t="s">
        <v>18</v>
      </c>
      <c r="F3">
        <v>100559212</v>
      </c>
      <c r="G3" s="1">
        <v>45627</v>
      </c>
      <c r="H3" s="1">
        <v>45807</v>
      </c>
      <c r="I3" t="s">
        <v>14</v>
      </c>
      <c r="J3" t="s">
        <v>15</v>
      </c>
      <c r="K3" s="2">
        <v>30.25</v>
      </c>
    </row>
    <row r="4" spans="1:11" x14ac:dyDescent="0.25">
      <c r="A4" t="s">
        <v>19</v>
      </c>
      <c r="C4">
        <v>16202925</v>
      </c>
      <c r="D4" t="s">
        <v>20</v>
      </c>
      <c r="E4" t="s">
        <v>21</v>
      </c>
      <c r="F4">
        <v>100558072</v>
      </c>
      <c r="G4" s="1">
        <v>45597</v>
      </c>
      <c r="H4" s="1">
        <v>45807</v>
      </c>
      <c r="I4" t="s">
        <v>14</v>
      </c>
      <c r="J4" t="s">
        <v>15</v>
      </c>
      <c r="K4" s="2">
        <v>30.25</v>
      </c>
    </row>
    <row r="5" spans="1:11" x14ac:dyDescent="0.25">
      <c r="A5" t="s">
        <v>19</v>
      </c>
      <c r="C5">
        <v>16202925</v>
      </c>
      <c r="D5" t="s">
        <v>22</v>
      </c>
      <c r="E5" t="s">
        <v>23</v>
      </c>
      <c r="F5">
        <v>100051930</v>
      </c>
      <c r="G5" s="1">
        <v>45658</v>
      </c>
      <c r="H5" s="1">
        <v>45807</v>
      </c>
      <c r="I5" t="s">
        <v>14</v>
      </c>
      <c r="J5" t="s">
        <v>15</v>
      </c>
      <c r="K5" s="2">
        <v>30.25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6F10-84C1-4205-9E06-BC75F837048D}">
  <dimension ref="A1:N9"/>
  <sheetViews>
    <sheetView tabSelected="1" workbookViewId="0">
      <selection activeCell="N2" sqref="N2:N9"/>
    </sheetView>
  </sheetViews>
  <sheetFormatPr defaultRowHeight="15" x14ac:dyDescent="0.25"/>
  <cols>
    <col min="1" max="1" width="15.2851562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5.5703125" bestFit="1" customWidth="1"/>
    <col min="6" max="6" width="10.85546875" bestFit="1" customWidth="1"/>
    <col min="7" max="7" width="10.85546875" customWidth="1"/>
    <col min="8" max="8" width="11.85546875" bestFit="1" customWidth="1"/>
    <col min="9" max="9" width="14.7109375" bestFit="1" customWidth="1"/>
    <col min="10" max="10" width="13.7109375" bestFit="1" customWidth="1"/>
    <col min="11" max="11" width="62" bestFit="1" customWidth="1"/>
    <col min="12" max="12" width="15.7109375" bestFit="1" customWidth="1"/>
    <col min="13" max="13" width="14.4257812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11</v>
      </c>
      <c r="B2">
        <v>17195620</v>
      </c>
      <c r="C2" t="s">
        <v>12</v>
      </c>
      <c r="D2" t="s">
        <v>13</v>
      </c>
      <c r="E2" t="str">
        <f>CONCATENATE(C2, " ",D2)</f>
        <v>Sharon Kennedy</v>
      </c>
      <c r="F2">
        <v>100558051</v>
      </c>
      <c r="G2" t="str">
        <f>CONCATENATE(F2,2)</f>
        <v>1005580512</v>
      </c>
      <c r="H2" s="1">
        <v>45597</v>
      </c>
      <c r="I2" s="1">
        <v>45807</v>
      </c>
      <c r="J2" t="s">
        <v>14</v>
      </c>
      <c r="K2" t="s">
        <v>15</v>
      </c>
      <c r="L2" s="2">
        <v>26.08</v>
      </c>
      <c r="M2" t="s">
        <v>24</v>
      </c>
      <c r="N2" t="s">
        <v>27</v>
      </c>
    </row>
    <row r="3" spans="1:14" x14ac:dyDescent="0.25">
      <c r="A3" t="s">
        <v>16</v>
      </c>
      <c r="B3">
        <v>15278437</v>
      </c>
      <c r="C3" t="s">
        <v>17</v>
      </c>
      <c r="D3" t="s">
        <v>18</v>
      </c>
      <c r="E3" t="str">
        <f t="shared" ref="E3:E5" si="0">CONCATENATE(C3, " ",D3)</f>
        <v>Linda Bailey</v>
      </c>
      <c r="F3">
        <v>100559212</v>
      </c>
      <c r="G3" t="str">
        <f t="shared" ref="G3:G5" si="1">CONCATENATE(F3,2)</f>
        <v>1005592122</v>
      </c>
      <c r="H3" s="1">
        <v>45627</v>
      </c>
      <c r="I3" s="1">
        <v>45807</v>
      </c>
      <c r="J3" t="s">
        <v>14</v>
      </c>
      <c r="K3" t="s">
        <v>15</v>
      </c>
      <c r="L3" s="2">
        <v>26.08</v>
      </c>
      <c r="M3" t="s">
        <v>24</v>
      </c>
      <c r="N3" t="s">
        <v>27</v>
      </c>
    </row>
    <row r="4" spans="1:14" x14ac:dyDescent="0.25">
      <c r="A4" t="s">
        <v>19</v>
      </c>
      <c r="B4">
        <v>16202925</v>
      </c>
      <c r="C4" t="s">
        <v>20</v>
      </c>
      <c r="D4" t="s">
        <v>21</v>
      </c>
      <c r="E4" t="str">
        <f t="shared" si="0"/>
        <v>James Burns Sr</v>
      </c>
      <c r="F4">
        <v>100558072</v>
      </c>
      <c r="G4" t="str">
        <f t="shared" si="1"/>
        <v>1005580722</v>
      </c>
      <c r="H4" s="1">
        <v>45597</v>
      </c>
      <c r="I4" s="1">
        <v>45807</v>
      </c>
      <c r="J4" t="s">
        <v>14</v>
      </c>
      <c r="K4" t="s">
        <v>15</v>
      </c>
      <c r="L4" s="2">
        <v>26.08</v>
      </c>
      <c r="M4" t="s">
        <v>24</v>
      </c>
      <c r="N4" t="s">
        <v>27</v>
      </c>
    </row>
    <row r="5" spans="1:14" x14ac:dyDescent="0.25">
      <c r="A5" t="s">
        <v>19</v>
      </c>
      <c r="B5">
        <v>16202925</v>
      </c>
      <c r="C5" t="s">
        <v>22</v>
      </c>
      <c r="D5" t="s">
        <v>23</v>
      </c>
      <c r="E5" t="str">
        <f t="shared" si="0"/>
        <v>John Brown</v>
      </c>
      <c r="F5">
        <v>100051930</v>
      </c>
      <c r="G5" t="str">
        <f t="shared" si="1"/>
        <v>1000519302</v>
      </c>
      <c r="H5" s="1">
        <v>45658</v>
      </c>
      <c r="I5" s="1">
        <v>45807</v>
      </c>
      <c r="J5" t="s">
        <v>14</v>
      </c>
      <c r="K5" t="s">
        <v>15</v>
      </c>
      <c r="L5" s="2">
        <v>26.08</v>
      </c>
      <c r="M5" t="s">
        <v>24</v>
      </c>
      <c r="N5" t="s">
        <v>27</v>
      </c>
    </row>
    <row r="6" spans="1:14" x14ac:dyDescent="0.25">
      <c r="A6" t="s">
        <v>25</v>
      </c>
      <c r="B6">
        <v>20411454</v>
      </c>
      <c r="C6" t="s">
        <v>12</v>
      </c>
      <c r="D6" t="s">
        <v>13</v>
      </c>
      <c r="E6" t="str">
        <f>CONCATENATE(C6, " ",D6)</f>
        <v>Sharon Kennedy</v>
      </c>
      <c r="F6">
        <v>100558051</v>
      </c>
      <c r="G6" t="str">
        <f>CONCATENATE(F6,1)</f>
        <v>1005580511</v>
      </c>
      <c r="H6" s="1">
        <v>45597</v>
      </c>
      <c r="I6" s="1">
        <v>45807</v>
      </c>
      <c r="J6" t="s">
        <v>14</v>
      </c>
      <c r="K6" t="s">
        <v>15</v>
      </c>
      <c r="L6" s="2">
        <v>4.17</v>
      </c>
      <c r="M6" t="s">
        <v>26</v>
      </c>
    </row>
    <row r="7" spans="1:14" x14ac:dyDescent="0.25">
      <c r="A7" t="s">
        <v>25</v>
      </c>
      <c r="B7">
        <v>20411454</v>
      </c>
      <c r="C7" t="s">
        <v>17</v>
      </c>
      <c r="D7" t="s">
        <v>18</v>
      </c>
      <c r="E7" t="str">
        <f t="shared" ref="E7:E9" si="2">CONCATENATE(C7, " ",D7)</f>
        <v>Linda Bailey</v>
      </c>
      <c r="F7">
        <v>100559212</v>
      </c>
      <c r="G7" t="str">
        <f t="shared" ref="G7:G9" si="3">CONCATENATE(F7,1)</f>
        <v>1005592121</v>
      </c>
      <c r="H7" s="1">
        <v>45627</v>
      </c>
      <c r="I7" s="1">
        <v>45807</v>
      </c>
      <c r="J7" t="s">
        <v>14</v>
      </c>
      <c r="K7" t="s">
        <v>15</v>
      </c>
      <c r="L7" s="2">
        <v>4.17</v>
      </c>
      <c r="M7" t="s">
        <v>26</v>
      </c>
    </row>
    <row r="8" spans="1:14" x14ac:dyDescent="0.25">
      <c r="A8" t="s">
        <v>25</v>
      </c>
      <c r="B8">
        <v>20411454</v>
      </c>
      <c r="C8" t="s">
        <v>20</v>
      </c>
      <c r="D8" t="s">
        <v>21</v>
      </c>
      <c r="E8" t="str">
        <f t="shared" si="2"/>
        <v>James Burns Sr</v>
      </c>
      <c r="F8">
        <v>100558072</v>
      </c>
      <c r="G8" t="str">
        <f t="shared" si="3"/>
        <v>1005580721</v>
      </c>
      <c r="H8" s="1">
        <v>45597</v>
      </c>
      <c r="I8" s="1">
        <v>45807</v>
      </c>
      <c r="J8" t="s">
        <v>14</v>
      </c>
      <c r="K8" t="s">
        <v>15</v>
      </c>
      <c r="L8" s="2">
        <v>4.17</v>
      </c>
      <c r="M8" t="s">
        <v>26</v>
      </c>
    </row>
    <row r="9" spans="1:14" x14ac:dyDescent="0.25">
      <c r="A9" t="s">
        <v>25</v>
      </c>
      <c r="B9">
        <v>20411454</v>
      </c>
      <c r="C9" t="s">
        <v>22</v>
      </c>
      <c r="D9" t="s">
        <v>23</v>
      </c>
      <c r="E9" t="str">
        <f t="shared" si="2"/>
        <v>John Brown</v>
      </c>
      <c r="F9">
        <v>100051930</v>
      </c>
      <c r="G9" t="str">
        <f t="shared" si="3"/>
        <v>1000519301</v>
      </c>
      <c r="H9" s="1">
        <v>45658</v>
      </c>
      <c r="I9" s="1">
        <v>45807</v>
      </c>
      <c r="J9" t="s">
        <v>14</v>
      </c>
      <c r="K9" t="s">
        <v>15</v>
      </c>
      <c r="L9" s="2">
        <v>4.17</v>
      </c>
      <c r="M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2025-05-30T15:58:30Z</dcterms:created>
  <dcterms:modified xsi:type="dcterms:W3CDTF">2025-05-30T20:00:15Z</dcterms:modified>
</cp:coreProperties>
</file>