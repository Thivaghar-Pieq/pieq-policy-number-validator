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ohn Hopkins MAPD\2025\John Hopkins 03-27-25 GS\"/>
    </mc:Choice>
  </mc:AlternateContent>
  <xr:revisionPtr revIDLastSave="0" documentId="13_ncr:9_{608A3185-8566-43D1-83BB-A7A0E35C3DA4}" xr6:coauthVersionLast="47" xr6:coauthVersionMax="47" xr10:uidLastSave="{00000000-0000-0000-0000-000000000000}"/>
  <bookViews>
    <workbookView minimized="1" xWindow="31185" yWindow="3000" windowWidth="21600" windowHeight="13230" firstSheet="1" activeTab="1" xr2:uid="{0F6322CC-1C37-4423-8361-B2BFB8AB69A7}"/>
  </bookViews>
  <sheets>
    <sheet name="Renewal Agent Statement - 2025-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B10" i="2" l="1"/>
  <c r="B9" i="2"/>
  <c r="B6" i="2"/>
  <c r="B4" i="2"/>
  <c r="B2" i="2"/>
</calcChain>
</file>

<file path=xl/sharedStrings.xml><?xml version="1.0" encoding="utf-8"?>
<sst xmlns="http://schemas.openxmlformats.org/spreadsheetml/2006/main" count="259" uniqueCount="75">
  <si>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</si>
  <si>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</si>
  <si>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</si>
  <si>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</si>
  <si>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</si>
  <si>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</si>
  <si>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</si>
  <si>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</si>
  <si>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</si>
  <si>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</si>
  <si>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</si>
  <si>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</si>
  <si>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</si>
  <si>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</si>
  <si>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</si>
  <si>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</si>
  <si>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</si>
  <si>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</si>
  <si>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</si>
  <si>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</si>
  <si>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</si>
  <si>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</si>
  <si>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</si>
  <si>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</si>
  <si>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</si>
  <si>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</si>
  <si>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</si>
  <si>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</si>
  <si>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</si>
  <si>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</si>
  <si>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</si>
  <si>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</si>
  <si>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</si>
  <si>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</si>
  <si>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</si>
  <si>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</si>
  <si>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</si>
  <si>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</si>
  <si>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'20411454-A-JHH</t>
  </si>
  <si>
    <t>'20411454-A</t>
  </si>
  <si>
    <t>MAIN LINE BENEFITS LLC</t>
  </si>
  <si>
    <t>'100476830</t>
  </si>
  <si>
    <t>MARYANN SCHESTAG</t>
  </si>
  <si>
    <t>'9079571-JHH</t>
  </si>
  <si>
    <t>ADAM RICHTER</t>
  </si>
  <si>
    <t>Active</t>
  </si>
  <si>
    <t>JHH MAPD</t>
  </si>
  <si>
    <t>Monthly</t>
  </si>
  <si>
    <t>AE</t>
  </si>
  <si>
    <t>RY</t>
  </si>
  <si>
    <t>'100476830-ADM</t>
  </si>
  <si>
    <t>JHH MAPD INIT OVR</t>
  </si>
  <si>
    <t>'100478731</t>
  </si>
  <si>
    <t>FRANK GRIMES</t>
  </si>
  <si>
    <t>'100478731-ADM</t>
  </si>
  <si>
    <t>'100518161</t>
  </si>
  <si>
    <t>WANDA CROWELL</t>
  </si>
  <si>
    <t>'17195620-JHH</t>
  </si>
  <si>
    <t>CATHY LEMON</t>
  </si>
  <si>
    <t>'100518161-ADM</t>
  </si>
  <si>
    <t>'100526808-ADM-T</t>
  </si>
  <si>
    <t>SHARON HILL</t>
  </si>
  <si>
    <t>'100526808-T</t>
  </si>
  <si>
    <t>'100533792</t>
  </si>
  <si>
    <t>GEORGE RIPPEL</t>
  </si>
  <si>
    <t>'100533792-ADM</t>
  </si>
  <si>
    <t>100476830-ADM</t>
  </si>
  <si>
    <t>100478731-ADM</t>
  </si>
  <si>
    <t>100518161-ADM</t>
  </si>
  <si>
    <t>100533792-ADM</t>
  </si>
  <si>
    <t>100526808-ADM</t>
  </si>
  <si>
    <t>JH MAPD OVR</t>
  </si>
  <si>
    <t>JH MAPD 2025*</t>
  </si>
  <si>
    <t>[%/$=313][prorate=1/12]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</si>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</sst>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quotePrefix="1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1B83A-8BE1-44B6-92DE-3D8145CBB7BB}">
  <dimension ref="A1:AI11"/>
  <sheetViews>
    <sheetView workbookViewId="0">
      <selection sqref="A1:XFD1048576"/>
    </sheetView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45743</v>
      </c>
      <c r="B2" s="1">
        <v>45743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O2" t="s">
        <v>43</v>
      </c>
      <c r="P2" t="s">
        <v>44</v>
      </c>
      <c r="Q2" t="s">
        <v>45</v>
      </c>
      <c r="R2" t="s">
        <v>46</v>
      </c>
      <c r="S2" s="1">
        <v>44927</v>
      </c>
      <c r="T2" s="1">
        <v>45717</v>
      </c>
      <c r="U2" t="s">
        <v>47</v>
      </c>
      <c r="V2">
        <v>1</v>
      </c>
      <c r="W2" s="1">
        <v>45742</v>
      </c>
      <c r="X2" t="s">
        <v>48</v>
      </c>
      <c r="Z2" s="2">
        <v>26.08</v>
      </c>
      <c r="AD2" s="2">
        <v>26.08</v>
      </c>
      <c r="AE2" s="2">
        <v>0</v>
      </c>
      <c r="AF2" s="2">
        <v>0</v>
      </c>
      <c r="AH2">
        <v>3758388</v>
      </c>
      <c r="AI2" t="s">
        <v>49</v>
      </c>
    </row>
    <row r="3" spans="1:35" x14ac:dyDescent="0.25">
      <c r="A3" s="1">
        <v>45743</v>
      </c>
      <c r="B3" s="1">
        <v>45743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50</v>
      </c>
      <c r="J3" t="s">
        <v>42</v>
      </c>
      <c r="O3" t="s">
        <v>43</v>
      </c>
      <c r="P3" t="s">
        <v>44</v>
      </c>
      <c r="Q3" t="s">
        <v>45</v>
      </c>
      <c r="R3" t="s">
        <v>51</v>
      </c>
      <c r="S3" s="1">
        <v>44927</v>
      </c>
      <c r="T3" s="1">
        <v>45717</v>
      </c>
      <c r="U3" t="s">
        <v>47</v>
      </c>
      <c r="V3">
        <v>1</v>
      </c>
      <c r="W3" s="1">
        <v>45742</v>
      </c>
      <c r="X3" t="s">
        <v>48</v>
      </c>
      <c r="Z3" s="2">
        <v>2.92</v>
      </c>
      <c r="AD3" s="2">
        <v>2.92</v>
      </c>
      <c r="AE3" s="2">
        <v>0</v>
      </c>
      <c r="AF3" s="2">
        <v>0</v>
      </c>
      <c r="AH3">
        <v>3760028</v>
      </c>
      <c r="AI3" t="s">
        <v>49</v>
      </c>
    </row>
    <row r="4" spans="1:35" x14ac:dyDescent="0.25">
      <c r="A4" s="1">
        <v>45743</v>
      </c>
      <c r="B4" s="1">
        <v>45743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52</v>
      </c>
      <c r="J4" t="s">
        <v>53</v>
      </c>
      <c r="O4" t="s">
        <v>43</v>
      </c>
      <c r="P4" t="s">
        <v>44</v>
      </c>
      <c r="Q4" t="s">
        <v>45</v>
      </c>
      <c r="R4" t="s">
        <v>46</v>
      </c>
      <c r="S4" s="1">
        <v>44927</v>
      </c>
      <c r="T4" s="1">
        <v>45717</v>
      </c>
      <c r="U4" t="s">
        <v>47</v>
      </c>
      <c r="V4">
        <v>1</v>
      </c>
      <c r="W4" s="1">
        <v>45742</v>
      </c>
      <c r="X4" t="s">
        <v>48</v>
      </c>
      <c r="Z4" s="2">
        <v>26.08</v>
      </c>
      <c r="AD4" s="2">
        <v>26.08</v>
      </c>
      <c r="AE4" s="2">
        <v>0</v>
      </c>
      <c r="AF4" s="2">
        <v>0</v>
      </c>
      <c r="AH4">
        <v>3758387</v>
      </c>
      <c r="AI4" t="s">
        <v>49</v>
      </c>
    </row>
    <row r="5" spans="1:35" x14ac:dyDescent="0.25">
      <c r="A5" s="1">
        <v>45743</v>
      </c>
      <c r="B5" s="1">
        <v>45743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54</v>
      </c>
      <c r="J5" t="s">
        <v>53</v>
      </c>
      <c r="O5" t="s">
        <v>43</v>
      </c>
      <c r="P5" t="s">
        <v>44</v>
      </c>
      <c r="Q5" t="s">
        <v>45</v>
      </c>
      <c r="R5" t="s">
        <v>51</v>
      </c>
      <c r="S5" s="1">
        <v>44927</v>
      </c>
      <c r="T5" s="1">
        <v>45717</v>
      </c>
      <c r="U5" t="s">
        <v>47</v>
      </c>
      <c r="V5">
        <v>1</v>
      </c>
      <c r="W5" s="1">
        <v>45742</v>
      </c>
      <c r="X5" t="s">
        <v>48</v>
      </c>
      <c r="Z5" s="2">
        <v>2.92</v>
      </c>
      <c r="AD5" s="2">
        <v>2.92</v>
      </c>
      <c r="AE5" s="2">
        <v>0</v>
      </c>
      <c r="AF5" s="2">
        <v>0</v>
      </c>
      <c r="AH5">
        <v>3760027</v>
      </c>
      <c r="AI5" t="s">
        <v>49</v>
      </c>
    </row>
    <row r="6" spans="1:35" x14ac:dyDescent="0.25">
      <c r="A6" s="1">
        <v>45743</v>
      </c>
      <c r="B6" s="1">
        <v>45743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55</v>
      </c>
      <c r="J6" t="s">
        <v>56</v>
      </c>
      <c r="O6" t="s">
        <v>57</v>
      </c>
      <c r="P6" t="s">
        <v>58</v>
      </c>
      <c r="Q6" t="s">
        <v>45</v>
      </c>
      <c r="R6" t="s">
        <v>46</v>
      </c>
      <c r="S6" s="1">
        <v>45261</v>
      </c>
      <c r="T6" s="1">
        <v>45717</v>
      </c>
      <c r="U6" t="s">
        <v>47</v>
      </c>
      <c r="V6">
        <v>1</v>
      </c>
      <c r="W6" s="1">
        <v>45742</v>
      </c>
      <c r="X6" t="s">
        <v>48</v>
      </c>
      <c r="Z6" s="2">
        <v>26.08</v>
      </c>
      <c r="AD6" s="2">
        <v>26.08</v>
      </c>
      <c r="AE6" s="2">
        <v>0</v>
      </c>
      <c r="AF6" s="2">
        <v>0</v>
      </c>
      <c r="AH6">
        <v>3758770</v>
      </c>
      <c r="AI6" t="s">
        <v>49</v>
      </c>
    </row>
    <row r="7" spans="1:35" x14ac:dyDescent="0.25">
      <c r="A7" s="1">
        <v>45743</v>
      </c>
      <c r="B7" s="1">
        <v>45743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59</v>
      </c>
      <c r="J7" t="s">
        <v>56</v>
      </c>
      <c r="O7" t="s">
        <v>57</v>
      </c>
      <c r="P7" t="s">
        <v>58</v>
      </c>
      <c r="Q7" t="s">
        <v>45</v>
      </c>
      <c r="R7" t="s">
        <v>51</v>
      </c>
      <c r="S7" s="1">
        <v>45261</v>
      </c>
      <c r="T7" s="1">
        <v>45717</v>
      </c>
      <c r="U7" t="s">
        <v>47</v>
      </c>
      <c r="V7">
        <v>1</v>
      </c>
      <c r="W7" s="1">
        <v>45742</v>
      </c>
      <c r="X7" t="s">
        <v>48</v>
      </c>
      <c r="Z7" s="2">
        <v>2.92</v>
      </c>
      <c r="AD7" s="2">
        <v>2.92</v>
      </c>
      <c r="AE7" s="2">
        <v>0</v>
      </c>
      <c r="AF7" s="2">
        <v>0</v>
      </c>
      <c r="AH7">
        <v>3760410</v>
      </c>
      <c r="AI7" t="s">
        <v>49</v>
      </c>
    </row>
    <row r="8" spans="1:35" x14ac:dyDescent="0.25">
      <c r="A8" s="1">
        <v>45743</v>
      </c>
      <c r="B8" s="1">
        <v>45743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60</v>
      </c>
      <c r="J8" t="s">
        <v>61</v>
      </c>
      <c r="O8" t="s">
        <v>43</v>
      </c>
      <c r="P8" t="s">
        <v>44</v>
      </c>
      <c r="Q8" t="s">
        <v>32</v>
      </c>
      <c r="R8" t="s">
        <v>51</v>
      </c>
      <c r="S8" s="1">
        <v>45323</v>
      </c>
      <c r="T8" s="1">
        <v>45717</v>
      </c>
      <c r="U8" t="s">
        <v>47</v>
      </c>
      <c r="V8">
        <v>1</v>
      </c>
      <c r="W8" s="1">
        <v>45742</v>
      </c>
      <c r="X8" t="s">
        <v>48</v>
      </c>
      <c r="Z8" s="2">
        <v>2.92</v>
      </c>
      <c r="AD8" s="2">
        <v>2.92</v>
      </c>
      <c r="AE8" s="2">
        <v>0</v>
      </c>
      <c r="AF8" s="2">
        <v>0</v>
      </c>
      <c r="AH8">
        <v>3760029</v>
      </c>
      <c r="AI8" t="s">
        <v>49</v>
      </c>
    </row>
    <row r="9" spans="1:35" x14ac:dyDescent="0.25">
      <c r="A9" s="1">
        <v>45743</v>
      </c>
      <c r="B9" s="1">
        <v>45743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62</v>
      </c>
      <c r="J9" t="s">
        <v>61</v>
      </c>
      <c r="O9" t="s">
        <v>43</v>
      </c>
      <c r="P9" t="s">
        <v>44</v>
      </c>
      <c r="Q9" t="s">
        <v>32</v>
      </c>
      <c r="R9" t="s">
        <v>46</v>
      </c>
      <c r="S9" s="1">
        <v>45323</v>
      </c>
      <c r="T9" s="1">
        <v>45717</v>
      </c>
      <c r="U9" t="s">
        <v>47</v>
      </c>
      <c r="V9">
        <v>1</v>
      </c>
      <c r="W9" s="1">
        <v>45742</v>
      </c>
      <c r="X9" t="s">
        <v>48</v>
      </c>
      <c r="Z9" s="2">
        <v>26.08</v>
      </c>
      <c r="AD9" s="2">
        <v>26.08</v>
      </c>
      <c r="AE9" s="2">
        <v>0</v>
      </c>
      <c r="AF9" s="2">
        <v>0</v>
      </c>
      <c r="AH9">
        <v>3758389</v>
      </c>
      <c r="AI9" t="s">
        <v>49</v>
      </c>
    </row>
    <row r="10" spans="1:35" x14ac:dyDescent="0.25">
      <c r="A10" s="1">
        <v>45743</v>
      </c>
      <c r="B10" s="1">
        <v>45743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63</v>
      </c>
      <c r="J10" t="s">
        <v>64</v>
      </c>
      <c r="O10" t="s">
        <v>57</v>
      </c>
      <c r="P10" t="s">
        <v>58</v>
      </c>
      <c r="Q10" t="s">
        <v>45</v>
      </c>
      <c r="R10" t="s">
        <v>46</v>
      </c>
      <c r="S10" s="1">
        <v>45383</v>
      </c>
      <c r="T10" s="1">
        <v>45717</v>
      </c>
      <c r="U10" t="s">
        <v>47</v>
      </c>
      <c r="V10">
        <v>1</v>
      </c>
      <c r="W10" s="1">
        <v>45742</v>
      </c>
      <c r="X10" t="s">
        <v>48</v>
      </c>
      <c r="Z10" s="2">
        <v>26.08</v>
      </c>
      <c r="AD10" s="2">
        <v>26.08</v>
      </c>
      <c r="AE10" s="2">
        <v>0</v>
      </c>
      <c r="AF10" s="2">
        <v>0</v>
      </c>
      <c r="AH10">
        <v>3758769</v>
      </c>
      <c r="AI10" t="s">
        <v>49</v>
      </c>
    </row>
    <row r="11" spans="1:35" x14ac:dyDescent="0.25">
      <c r="A11" s="1">
        <v>45743</v>
      </c>
      <c r="B11" s="1">
        <v>45743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65</v>
      </c>
      <c r="J11" t="s">
        <v>64</v>
      </c>
      <c r="O11" t="s">
        <v>57</v>
      </c>
      <c r="P11" t="s">
        <v>58</v>
      </c>
      <c r="Q11" t="s">
        <v>45</v>
      </c>
      <c r="R11" t="s">
        <v>51</v>
      </c>
      <c r="S11" s="1">
        <v>45383</v>
      </c>
      <c r="T11" s="1">
        <v>45717</v>
      </c>
      <c r="U11" t="s">
        <v>47</v>
      </c>
      <c r="V11">
        <v>1</v>
      </c>
      <c r="W11" s="1">
        <v>45742</v>
      </c>
      <c r="X11" t="s">
        <v>48</v>
      </c>
      <c r="Z11" s="2">
        <v>2.92</v>
      </c>
      <c r="AD11" s="2">
        <v>2.92</v>
      </c>
      <c r="AE11" s="2">
        <v>0</v>
      </c>
      <c r="AF11" s="2">
        <v>0</v>
      </c>
      <c r="AH11">
        <v>3760409</v>
      </c>
      <c r="AI11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4A2C9-0E57-4A5C-B7B2-2067629B0471}">
  <dimension ref="A1:L11"/>
  <sheetViews>
    <sheetView tabSelected="1" workbookViewId="0">
      <selection activeCell="L2" sqref="L2:L11"/>
    </sheetView>
  </sheetViews>
  <sheetFormatPr defaultRowHeight="15" x14ac:dyDescent="0.25"/>
  <cols>
    <col min="1" max="1" width="17.42578125" style="4" bestFit="1" customWidth="1"/>
    <col min="2" max="2" width="17.42578125" style="4" customWidth="1"/>
    <col min="3" max="3" width="20" bestFit="1" customWidth="1"/>
    <col min="4" max="4" width="15.7109375" bestFit="1" customWidth="1"/>
    <col min="5" max="5" width="19.28515625" bestFit="1" customWidth="1"/>
    <col min="6" max="6" width="12.140625" bestFit="1" customWidth="1"/>
    <col min="7" max="7" width="18.7109375" bestFit="1" customWidth="1"/>
    <col min="8" max="8" width="10.140625" bestFit="1" customWidth="1"/>
    <col min="9" max="9" width="12.28515625" bestFit="1" customWidth="1"/>
    <col min="10" max="10" width="17.42578125" bestFit="1" customWidth="1"/>
    <col min="11" max="11" width="14.42578125" bestFit="1" customWidth="1"/>
  </cols>
  <sheetData>
    <row r="1" spans="1:12" x14ac:dyDescent="0.25">
      <c r="A1" s="4" t="s">
        <v>8</v>
      </c>
      <c r="C1" t="s">
        <v>9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25</v>
      </c>
    </row>
    <row r="2" spans="1:12" x14ac:dyDescent="0.25">
      <c r="A2" s="4">
        <v>100476830</v>
      </c>
      <c r="B2" s="4" t="str">
        <f>CONCATENATE(A2,2)</f>
        <v>1004768302</v>
      </c>
      <c r="C2" t="s">
        <v>42</v>
      </c>
      <c r="D2" s="3">
        <v>9079571</v>
      </c>
      <c r="E2" t="s">
        <v>44</v>
      </c>
      <c r="F2" t="s">
        <v>45</v>
      </c>
      <c r="G2" t="s">
        <v>46</v>
      </c>
      <c r="H2" s="1">
        <v>44927</v>
      </c>
      <c r="I2" s="1">
        <v>45717</v>
      </c>
      <c r="J2" s="2">
        <v>26.08</v>
      </c>
      <c r="K2" t="s">
        <v>72</v>
      </c>
      <c r="L2" t="s">
        <v>73</v>
      </c>
    </row>
    <row r="3" spans="1:12" x14ac:dyDescent="0.25">
      <c r="A3" s="4" t="s">
        <v>66</v>
      </c>
      <c r="B3" s="4" t="s">
        <v>66</v>
      </c>
      <c r="C3" t="s">
        <v>42</v>
      </c>
      <c r="D3">
        <v>20411454</v>
      </c>
      <c r="E3" t="s">
        <v>74</v>
      </c>
      <c r="F3" t="s">
        <v>45</v>
      </c>
      <c r="G3" t="s">
        <v>51</v>
      </c>
      <c r="H3" s="1">
        <v>44927</v>
      </c>
      <c r="I3" s="1">
        <v>45717</v>
      </c>
      <c r="J3" s="2">
        <v>2.92</v>
      </c>
      <c r="K3" t="s">
        <v>71</v>
      </c>
    </row>
    <row r="4" spans="1:12" x14ac:dyDescent="0.25">
      <c r="A4" s="4">
        <v>100478731</v>
      </c>
      <c r="B4" s="4" t="str">
        <f>CONCATENATE(A4,2)</f>
        <v>1004787312</v>
      </c>
      <c r="C4" t="s">
        <v>53</v>
      </c>
      <c r="D4" s="3">
        <v>9079571</v>
      </c>
      <c r="E4" t="s">
        <v>44</v>
      </c>
      <c r="F4" t="s">
        <v>45</v>
      </c>
      <c r="G4" t="s">
        <v>46</v>
      </c>
      <c r="H4" s="1">
        <v>44927</v>
      </c>
      <c r="I4" s="1">
        <v>45717</v>
      </c>
      <c r="J4" s="2">
        <v>26.08</v>
      </c>
      <c r="K4" t="s">
        <v>72</v>
      </c>
      <c r="L4" t="s">
        <v>73</v>
      </c>
    </row>
    <row r="5" spans="1:12" x14ac:dyDescent="0.25">
      <c r="A5" s="4" t="s">
        <v>67</v>
      </c>
      <c r="B5" s="4" t="s">
        <v>67</v>
      </c>
      <c r="C5" t="s">
        <v>53</v>
      </c>
      <c r="D5">
        <v>20411454</v>
      </c>
      <c r="E5" t="s">
        <v>74</v>
      </c>
      <c r="F5" t="s">
        <v>45</v>
      </c>
      <c r="G5" t="s">
        <v>51</v>
      </c>
      <c r="H5" s="1">
        <v>44927</v>
      </c>
      <c r="I5" s="1">
        <v>45717</v>
      </c>
      <c r="J5" s="2">
        <v>2.92</v>
      </c>
      <c r="K5" t="s">
        <v>71</v>
      </c>
    </row>
    <row r="6" spans="1:12" x14ac:dyDescent="0.25">
      <c r="A6" s="4">
        <v>100518161</v>
      </c>
      <c r="B6" s="4" t="str">
        <f>CONCATENATE(A6,2)</f>
        <v>1005181612</v>
      </c>
      <c r="C6" t="s">
        <v>56</v>
      </c>
      <c r="D6" s="3">
        <v>17195620</v>
      </c>
      <c r="E6" t="s">
        <v>58</v>
      </c>
      <c r="F6" t="s">
        <v>45</v>
      </c>
      <c r="G6" t="s">
        <v>46</v>
      </c>
      <c r="H6" s="1">
        <v>45261</v>
      </c>
      <c r="I6" s="1">
        <v>45717</v>
      </c>
      <c r="J6" s="2">
        <v>26.08</v>
      </c>
      <c r="K6" t="s">
        <v>72</v>
      </c>
      <c r="L6" t="s">
        <v>73</v>
      </c>
    </row>
    <row r="7" spans="1:12" x14ac:dyDescent="0.25">
      <c r="A7" s="4" t="s">
        <v>68</v>
      </c>
      <c r="B7" s="4" t="s">
        <v>68</v>
      </c>
      <c r="C7" t="s">
        <v>56</v>
      </c>
      <c r="D7">
        <v>20411454</v>
      </c>
      <c r="E7" t="s">
        <v>74</v>
      </c>
      <c r="F7" t="s">
        <v>45</v>
      </c>
      <c r="G7" t="s">
        <v>51</v>
      </c>
      <c r="H7" s="1">
        <v>45261</v>
      </c>
      <c r="I7" s="1">
        <v>45717</v>
      </c>
      <c r="J7" s="2">
        <v>2.92</v>
      </c>
      <c r="K7" t="s">
        <v>71</v>
      </c>
    </row>
    <row r="8" spans="1:12" x14ac:dyDescent="0.25">
      <c r="A8" s="4" t="s">
        <v>70</v>
      </c>
      <c r="B8" s="4" t="s">
        <v>70</v>
      </c>
      <c r="C8" t="s">
        <v>61</v>
      </c>
      <c r="D8">
        <v>20411454</v>
      </c>
      <c r="E8" t="s">
        <v>74</v>
      </c>
      <c r="F8" t="s">
        <v>32</v>
      </c>
      <c r="G8" t="s">
        <v>51</v>
      </c>
      <c r="H8" s="1">
        <v>45323</v>
      </c>
      <c r="I8" s="1">
        <v>45717</v>
      </c>
      <c r="J8" s="2">
        <v>2.92</v>
      </c>
      <c r="K8" t="s">
        <v>71</v>
      </c>
    </row>
    <row r="9" spans="1:12" x14ac:dyDescent="0.25">
      <c r="A9" s="4">
        <v>100526808</v>
      </c>
      <c r="B9" s="4" t="str">
        <f t="shared" ref="B9:B10" si="0">CONCATENATE(A9,2)</f>
        <v>1005268082</v>
      </c>
      <c r="C9" t="s">
        <v>61</v>
      </c>
      <c r="D9" s="3">
        <v>9079571</v>
      </c>
      <c r="E9" t="s">
        <v>44</v>
      </c>
      <c r="F9" t="s">
        <v>32</v>
      </c>
      <c r="G9" t="s">
        <v>46</v>
      </c>
      <c r="H9" s="1">
        <v>45323</v>
      </c>
      <c r="I9" s="1">
        <v>45717</v>
      </c>
      <c r="J9" s="2">
        <v>26.08</v>
      </c>
      <c r="K9" t="s">
        <v>72</v>
      </c>
      <c r="L9" t="s">
        <v>73</v>
      </c>
    </row>
    <row r="10" spans="1:12" x14ac:dyDescent="0.25">
      <c r="A10" s="4">
        <v>100533792</v>
      </c>
      <c r="B10" s="4" t="str">
        <f t="shared" si="0"/>
        <v>1005337922</v>
      </c>
      <c r="C10" t="s">
        <v>64</v>
      </c>
      <c r="D10" s="3">
        <v>17195620</v>
      </c>
      <c r="E10" t="s">
        <v>58</v>
      </c>
      <c r="F10" t="s">
        <v>45</v>
      </c>
      <c r="G10" t="s">
        <v>46</v>
      </c>
      <c r="H10" s="1">
        <v>45383</v>
      </c>
      <c r="I10" s="1">
        <v>45717</v>
      </c>
      <c r="J10" s="2">
        <v>26.08</v>
      </c>
      <c r="K10" t="s">
        <v>72</v>
      </c>
      <c r="L10" t="s">
        <v>73</v>
      </c>
    </row>
    <row r="11" spans="1:12" x14ac:dyDescent="0.25">
      <c r="A11" s="4" t="s">
        <v>69</v>
      </c>
      <c r="B11" s="4" t="s">
        <v>69</v>
      </c>
      <c r="C11" t="s">
        <v>64</v>
      </c>
      <c r="D11">
        <v>20411454</v>
      </c>
      <c r="E11" t="s">
        <v>74</v>
      </c>
      <c r="F11" t="s">
        <v>45</v>
      </c>
      <c r="G11" t="s">
        <v>51</v>
      </c>
      <c r="H11" s="1">
        <v>45383</v>
      </c>
      <c r="I11" s="1">
        <v>45717</v>
      </c>
      <c r="J11" s="2">
        <v>2.92</v>
      </c>
      <c r="K1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 Agent Statement - 2025-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2025-04-02T14:20:47Z</dcterms:created>
  <dcterms:modified xsi:type="dcterms:W3CDTF">2025-04-02T14:56:19Z</dcterms:modified>
</cp:coreProperties>
</file>