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10-02-25 GS\"/>
    </mc:Choice>
  </mc:AlternateContent>
  <xr:revisionPtr revIDLastSave="0" documentId="13_ncr:1_{C05FD55C-1532-40C9-9F4D-E4398CC957CC}" xr6:coauthVersionLast="47" xr6:coauthVersionMax="47" xr10:uidLastSave="{00000000-0000-0000-0000-000000000000}"/>
  <bookViews>
    <workbookView xWindow="28680" yWindow="-120" windowWidth="29040" windowHeight="16440" activeTab="1" xr2:uid="{693657EA-958B-49AE-A7A0-9FB731F94DD4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7" i="2" l="1"/>
  <c r="D8" i="2"/>
  <c r="D9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<sst xmlns="http://schemas.openxmlformats.org/spreadsheetml/2006/main" count="209" uniqueCount="66">
  <si>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</si>
  <si>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</si>
  <si>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</si>
  <si>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</si>
  <si>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</si>
  <si>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</si>
  <si>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</si>
  <si>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</si>
  <si>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</si>
  <si>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</si>
  <si>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</si>
  <si>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</si>
  <si>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</si>
  <si>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</si>
  <si>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</si>
  <si>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</si>
  <si>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</si>
  <si>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</si>
  <si>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</si>
  <si>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</si>
  <si>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</si>
  <si>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</si>
  <si>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</si>
  <si>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</si>
  <si>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</si>
  <si>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</si>
  <si>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</si>
  <si>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</si>
  <si>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</si>
  <si>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</si>
  <si>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</si>
  <si>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</si>
  <si>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</si>
  <si>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</si>
  <si>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</si>
  <si>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</si>
  <si>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</si>
  <si>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</si>
  <si>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</si>
  <si>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</si>
  <si>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</si>
  <si>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</si>
  <si>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</si>
  <si>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</si>
  <si>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</si>
  <si>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</si>
  <si>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</si>
  <si>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</si>
  <si>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</si>
  <si>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</si>
  <si>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</si>
  <si>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</si>
  <si>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</si>
  <si>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</si>
  <si>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</si>
  <si>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</si>
  <si>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</si>
  <si>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</si>
  <si>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</si>
  <si>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</si>
  <si>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'100533792</t>
  </si>
  <si>
    <t>GEORGE RIPPEL</t>
  </si>
  <si>
    <t>'100533792-ADM</t>
  </si>
  <si>
    <t>JH MAPD OVR</t>
  </si>
  <si>
    <t>JH MAPD 2025*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</si>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</sst>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3505-EACD-411C-B73F-25A8E861BC18}">
  <dimension ref="A1:AI9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45932</v>
      </c>
      <c r="B2" s="1">
        <v>45932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45901</v>
      </c>
      <c r="U2" t="s">
        <v>47</v>
      </c>
      <c r="V2">
        <v>1</v>
      </c>
      <c r="W2" s="1">
        <v>45931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4229833</v>
      </c>
      <c r="AI2" t="s">
        <v>49</v>
      </c>
    </row>
    <row r="3" spans="1:35" x14ac:dyDescent="0.25">
      <c r="A3" s="1">
        <v>45932</v>
      </c>
      <c r="B3" s="1">
        <v>45932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45901</v>
      </c>
      <c r="U3" t="s">
        <v>47</v>
      </c>
      <c r="V3">
        <v>1</v>
      </c>
      <c r="W3" s="1">
        <v>45931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4231351</v>
      </c>
      <c r="AI3" t="s">
        <v>49</v>
      </c>
    </row>
    <row r="4" spans="1:35" x14ac:dyDescent="0.25">
      <c r="A4" s="1">
        <v>45932</v>
      </c>
      <c r="B4" s="1">
        <v>45932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45901</v>
      </c>
      <c r="U4" t="s">
        <v>47</v>
      </c>
      <c r="V4">
        <v>1</v>
      </c>
      <c r="W4" s="1">
        <v>45931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4229832</v>
      </c>
      <c r="AI4" t="s">
        <v>49</v>
      </c>
    </row>
    <row r="5" spans="1:35" x14ac:dyDescent="0.25">
      <c r="A5" s="1">
        <v>45932</v>
      </c>
      <c r="B5" s="1">
        <v>45932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45901</v>
      </c>
      <c r="U5" t="s">
        <v>47</v>
      </c>
      <c r="V5">
        <v>1</v>
      </c>
      <c r="W5" s="1">
        <v>45931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4231350</v>
      </c>
      <c r="AI5" t="s">
        <v>49</v>
      </c>
    </row>
    <row r="6" spans="1:35" x14ac:dyDescent="0.25">
      <c r="A6" s="1">
        <v>45932</v>
      </c>
      <c r="B6" s="1">
        <v>45932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45901</v>
      </c>
      <c r="U6" t="s">
        <v>47</v>
      </c>
      <c r="V6">
        <v>1</v>
      </c>
      <c r="W6" s="1">
        <v>45931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4230197</v>
      </c>
      <c r="AI6" t="s">
        <v>49</v>
      </c>
    </row>
    <row r="7" spans="1:35" x14ac:dyDescent="0.25">
      <c r="A7" s="1">
        <v>45932</v>
      </c>
      <c r="B7" s="1">
        <v>45932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45901</v>
      </c>
      <c r="U7" t="s">
        <v>47</v>
      </c>
      <c r="V7">
        <v>1</v>
      </c>
      <c r="W7" s="1">
        <v>45931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4231715</v>
      </c>
      <c r="AI7" t="s">
        <v>49</v>
      </c>
    </row>
    <row r="8" spans="1:35" x14ac:dyDescent="0.25">
      <c r="A8" s="1">
        <v>45932</v>
      </c>
      <c r="B8" s="1">
        <v>45932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57</v>
      </c>
      <c r="P8" t="s">
        <v>58</v>
      </c>
      <c r="Q8" t="s">
        <v>45</v>
      </c>
      <c r="R8" t="s">
        <v>46</v>
      </c>
      <c r="S8" s="1">
        <v>45383</v>
      </c>
      <c r="T8" s="1">
        <v>45901</v>
      </c>
      <c r="U8" t="s">
        <v>47</v>
      </c>
      <c r="V8">
        <v>1</v>
      </c>
      <c r="W8" s="1">
        <v>45931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4230196</v>
      </c>
      <c r="AI8" t="s">
        <v>49</v>
      </c>
    </row>
    <row r="9" spans="1:35" x14ac:dyDescent="0.25">
      <c r="A9" s="1">
        <v>45932</v>
      </c>
      <c r="B9" s="1">
        <v>45932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57</v>
      </c>
      <c r="P9" t="s">
        <v>58</v>
      </c>
      <c r="Q9" t="s">
        <v>45</v>
      </c>
      <c r="R9" t="s">
        <v>51</v>
      </c>
      <c r="S9" s="1">
        <v>45383</v>
      </c>
      <c r="T9" s="1">
        <v>45901</v>
      </c>
      <c r="U9" t="s">
        <v>47</v>
      </c>
      <c r="V9">
        <v>1</v>
      </c>
      <c r="W9" s="1">
        <v>45931</v>
      </c>
      <c r="X9" t="s">
        <v>48</v>
      </c>
      <c r="Z9" s="2">
        <v>2.92</v>
      </c>
      <c r="AD9" s="2">
        <v>2.92</v>
      </c>
      <c r="AE9" s="2">
        <v>0</v>
      </c>
      <c r="AF9" s="2">
        <v>0</v>
      </c>
      <c r="AH9">
        <v>4231714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CB6D-9246-42F1-813A-330C3EA7CB6F}">
  <dimension ref="A1:M9"/>
  <sheetViews>
    <sheetView tabSelected="1" workbookViewId="0">
      <selection activeCell="M2" sqref="M2:M9"/>
    </sheetView>
  </sheetViews>
  <sheetFormatPr defaultRowHeight="15" x14ac:dyDescent="0.25"/>
  <cols>
    <col min="1" max="1" width="11.42578125" bestFit="1" customWidth="1"/>
    <col min="2" max="2" width="22.5703125" bestFit="1" customWidth="1"/>
    <col min="3" max="3" width="15.5703125" bestFit="1" customWidth="1"/>
    <col min="4" max="4" width="15.5703125" customWidth="1"/>
    <col min="5" max="5" width="20" bestFit="1" customWidth="1"/>
    <col min="6" max="6" width="15.7109375" bestFit="1" customWidth="1"/>
    <col min="7" max="7" width="19.28515625" bestFit="1" customWidth="1"/>
    <col min="8" max="8" width="18.7109375" bestFit="1" customWidth="1"/>
    <col min="9" max="9" width="10.140625" bestFit="1" customWidth="1"/>
    <col min="12" max="12" width="14.42578125" bestFit="1" customWidth="1"/>
  </cols>
  <sheetData>
    <row r="1" spans="1:13" x14ac:dyDescent="0.25">
      <c r="A1" t="s">
        <v>6</v>
      </c>
      <c r="B1" t="s">
        <v>7</v>
      </c>
      <c r="C1" t="s">
        <v>8</v>
      </c>
      <c r="E1" t="s">
        <v>9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25</v>
      </c>
    </row>
    <row r="2" spans="1:13" x14ac:dyDescent="0.25">
      <c r="A2">
        <v>20411454</v>
      </c>
      <c r="B2" t="s">
        <v>40</v>
      </c>
      <c r="C2">
        <v>100476830</v>
      </c>
      <c r="D2" t="str">
        <f>CONCATENATE(C2,2)</f>
        <v>1004768302</v>
      </c>
      <c r="E2" t="s">
        <v>42</v>
      </c>
      <c r="F2">
        <v>9079571</v>
      </c>
      <c r="G2" t="s">
        <v>44</v>
      </c>
      <c r="H2" t="s">
        <v>46</v>
      </c>
      <c r="I2" s="1">
        <v>44927</v>
      </c>
      <c r="J2" s="1">
        <v>45901</v>
      </c>
      <c r="K2" s="2">
        <v>26.08</v>
      </c>
      <c r="L2" t="s">
        <v>64</v>
      </c>
      <c r="M2" t="s">
        <v>65</v>
      </c>
    </row>
    <row r="3" spans="1:13" x14ac:dyDescent="0.25">
      <c r="A3">
        <v>20411454</v>
      </c>
      <c r="B3" t="s">
        <v>40</v>
      </c>
      <c r="C3">
        <v>100478731</v>
      </c>
      <c r="D3" t="str">
        <f t="shared" ref="D3:D5" si="0">CONCATENATE(C3,2)</f>
        <v>1004787312</v>
      </c>
      <c r="E3" t="s">
        <v>53</v>
      </c>
      <c r="F3">
        <v>9079571</v>
      </c>
      <c r="G3" t="s">
        <v>44</v>
      </c>
      <c r="H3" t="s">
        <v>46</v>
      </c>
      <c r="I3" s="1">
        <v>44927</v>
      </c>
      <c r="J3" s="1">
        <v>45901</v>
      </c>
      <c r="K3" s="2">
        <v>26.08</v>
      </c>
      <c r="L3" t="s">
        <v>64</v>
      </c>
      <c r="M3" t="s">
        <v>65</v>
      </c>
    </row>
    <row r="4" spans="1:13" x14ac:dyDescent="0.25">
      <c r="A4">
        <v>20411454</v>
      </c>
      <c r="B4" t="s">
        <v>40</v>
      </c>
      <c r="C4">
        <v>100518161</v>
      </c>
      <c r="D4" t="str">
        <f t="shared" si="0"/>
        <v>1005181612</v>
      </c>
      <c r="E4" t="s">
        <v>56</v>
      </c>
      <c r="F4">
        <v>17195620</v>
      </c>
      <c r="G4" t="s">
        <v>58</v>
      </c>
      <c r="H4" t="s">
        <v>46</v>
      </c>
      <c r="I4" s="1">
        <v>45261</v>
      </c>
      <c r="J4" s="1">
        <v>45901</v>
      </c>
      <c r="K4" s="2">
        <v>26.08</v>
      </c>
      <c r="L4" t="s">
        <v>64</v>
      </c>
      <c r="M4" t="s">
        <v>65</v>
      </c>
    </row>
    <row r="5" spans="1:13" x14ac:dyDescent="0.25">
      <c r="A5">
        <v>20411454</v>
      </c>
      <c r="B5" t="s">
        <v>40</v>
      </c>
      <c r="C5">
        <v>100533792</v>
      </c>
      <c r="D5" t="str">
        <f t="shared" si="0"/>
        <v>1005337922</v>
      </c>
      <c r="E5" t="s">
        <v>61</v>
      </c>
      <c r="F5">
        <v>17195620</v>
      </c>
      <c r="G5" t="s">
        <v>58</v>
      </c>
      <c r="H5" t="s">
        <v>46</v>
      </c>
      <c r="I5" s="1">
        <v>45383</v>
      </c>
      <c r="J5" s="1">
        <v>45901</v>
      </c>
      <c r="K5" s="2">
        <v>26.08</v>
      </c>
      <c r="L5" t="s">
        <v>64</v>
      </c>
      <c r="M5" t="s">
        <v>65</v>
      </c>
    </row>
    <row r="6" spans="1:13" x14ac:dyDescent="0.25">
      <c r="A6">
        <v>20411454</v>
      </c>
      <c r="B6" t="s">
        <v>40</v>
      </c>
      <c r="C6">
        <v>100476830</v>
      </c>
      <c r="D6" t="str">
        <f>CONCATENATE(C6,"OVR")</f>
        <v>100476830OVR</v>
      </c>
      <c r="E6" t="s">
        <v>42</v>
      </c>
      <c r="F6">
        <v>20411454</v>
      </c>
      <c r="G6" t="s">
        <v>40</v>
      </c>
      <c r="H6" t="s">
        <v>51</v>
      </c>
      <c r="I6" s="1">
        <v>44927</v>
      </c>
      <c r="J6" s="1">
        <v>45901</v>
      </c>
      <c r="K6" s="2">
        <v>2.92</v>
      </c>
      <c r="L6" t="s">
        <v>63</v>
      </c>
    </row>
    <row r="7" spans="1:13" x14ac:dyDescent="0.25">
      <c r="A7">
        <v>20411454</v>
      </c>
      <c r="B7" t="s">
        <v>40</v>
      </c>
      <c r="C7">
        <v>100478731</v>
      </c>
      <c r="D7" t="str">
        <f t="shared" ref="D7:D9" si="1">CONCATENATE(C7,"OVR")</f>
        <v>100478731OVR</v>
      </c>
      <c r="E7" t="s">
        <v>53</v>
      </c>
      <c r="F7">
        <v>20411454</v>
      </c>
      <c r="G7" t="s">
        <v>40</v>
      </c>
      <c r="H7" t="s">
        <v>51</v>
      </c>
      <c r="I7" s="1">
        <v>44927</v>
      </c>
      <c r="J7" s="1">
        <v>45901</v>
      </c>
      <c r="K7" s="2">
        <v>2.92</v>
      </c>
      <c r="L7" t="s">
        <v>63</v>
      </c>
    </row>
    <row r="8" spans="1:13" x14ac:dyDescent="0.25">
      <c r="A8">
        <v>20411454</v>
      </c>
      <c r="B8" t="s">
        <v>40</v>
      </c>
      <c r="C8">
        <v>100518161</v>
      </c>
      <c r="D8" t="str">
        <f t="shared" si="1"/>
        <v>100518161OVR</v>
      </c>
      <c r="E8" t="s">
        <v>56</v>
      </c>
      <c r="F8">
        <v>20411454</v>
      </c>
      <c r="G8" t="s">
        <v>40</v>
      </c>
      <c r="H8" t="s">
        <v>51</v>
      </c>
      <c r="I8" s="1">
        <v>45261</v>
      </c>
      <c r="J8" s="1">
        <v>45901</v>
      </c>
      <c r="K8" s="2">
        <v>2.92</v>
      </c>
      <c r="L8" t="s">
        <v>63</v>
      </c>
    </row>
    <row r="9" spans="1:13" x14ac:dyDescent="0.25">
      <c r="A9">
        <v>20411454</v>
      </c>
      <c r="B9" t="s">
        <v>40</v>
      </c>
      <c r="C9">
        <v>100533792</v>
      </c>
      <c r="D9" t="str">
        <f t="shared" si="1"/>
        <v>100533792OVR</v>
      </c>
      <c r="E9" t="s">
        <v>61</v>
      </c>
      <c r="F9">
        <v>20411454</v>
      </c>
      <c r="G9" t="s">
        <v>40</v>
      </c>
      <c r="H9" t="s">
        <v>51</v>
      </c>
      <c r="I9" s="1">
        <v>45383</v>
      </c>
      <c r="J9" s="1">
        <v>45901</v>
      </c>
      <c r="K9" s="2">
        <v>2.92</v>
      </c>
      <c r="L9" t="s">
        <v>63</v>
      </c>
    </row>
  </sheetData>
  <sortState xmlns:xlrd2="http://schemas.microsoft.com/office/spreadsheetml/2017/richdata2" ref="A2:AJ9">
    <sortCondition ref="L2:L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2025-10-02T18:04:16Z</dcterms:created>
  <dcterms:modified xsi:type="dcterms:W3CDTF">2025-10-04T18:47:18Z</dcterms:modified>
</cp:coreProperties>
</file>