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6\GS National\3-5-26\"/>
    </mc:Choice>
  </mc:AlternateContent>
  <xr:revisionPtr revIDLastSave="0" documentId="13_ncr:1_{A13DFD03-F38B-43AA-B434-D088CC73A305}" xr6:coauthVersionLast="47" xr6:coauthVersionMax="47" xr10:uidLastSave="{00000000-0000-0000-0000-000000000000}"/>
  <bookViews>
    <workbookView xWindow="-120" yWindow="-120" windowWidth="29040" windowHeight="16440" activeTab="1" xr2:uid="{F7BB5802-2810-42CD-8D93-E1A678D162E1}"/>
  </bookViews>
  <sheets>
    <sheet name="Renewal Agent Statement - 2026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<sst xmlns="http://schemas.openxmlformats.org/spreadsheetml/2006/main" count="492" uniqueCount="85">
  <si>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</si>
  <si>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</si>
  <si>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</si>
  <si>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</si>
  <si>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</si>
  <si>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</si>
  <si>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</si>
  <si>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</si>
  <si>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</si>
  <si>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</si>
  <si>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</si>
  <si>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</si>
  <si>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</si>
  <si>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</si>
  <si>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</si>
  <si>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</si>
  <si>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</si>
  <si>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</si>
  <si>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</si>
  <si>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</si>
  <si>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</si>
  <si>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</si>
  <si>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</si>
  <si>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</si>
  <si>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</si>
  <si>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</si>
  <si>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</si>
  <si>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</si>
  <si>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</si>
  <si>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</si>
  <si>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</si>
  <si>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</si>
  <si>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</si>
  <si>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</si>
  <si>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</si>
  <si>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</si>
  <si>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</si>
  <si>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</si>
  <si>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</si>
  <si>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</si>
  <si>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</si>
  <si>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'100476830-ADM</t>
  </si>
  <si>
    <t>MARYANN SCHESTAG</t>
  </si>
  <si>
    <t>'9079571-JHH</t>
  </si>
  <si>
    <t>ADAM RICHTER</t>
  </si>
  <si>
    <t>Active</t>
  </si>
  <si>
    <t>JHH MAPD INIT OVR</t>
  </si>
  <si>
    <t>Monthly</t>
  </si>
  <si>
    <t>AE</t>
  </si>
  <si>
    <t>RY</t>
  </si>
  <si>
    <t>'100478731-ADM</t>
  </si>
  <si>
    <t>FRANK GRIMES</t>
  </si>
  <si>
    <t>'100533792-ADM</t>
  </si>
  <si>
    <t>GEORGE RIPPEL</t>
  </si>
  <si>
    <t>'17195620-JHH</t>
  </si>
  <si>
    <t>CATHY LEMON</t>
  </si>
  <si>
    <t>'100587378-ADM</t>
  </si>
  <si>
    <t>JAMES NAECKER</t>
  </si>
  <si>
    <t>MD</t>
  </si>
  <si>
    <t>'16751785-JHH</t>
  </si>
  <si>
    <t>MICHAEL LUTZ</t>
  </si>
  <si>
    <t>FY</t>
  </si>
  <si>
    <t>'100592181-ADM</t>
  </si>
  <si>
    <t>PATRICK HUHN</t>
  </si>
  <si>
    <t>'5442438-JHH</t>
  </si>
  <si>
    <t>RONALD MAX</t>
  </si>
  <si>
    <t>'100050783</t>
  </si>
  <si>
    <t>ELIZABETH EDWARDS</t>
  </si>
  <si>
    <t>JHH MAPD</t>
  </si>
  <si>
    <t>'100050783-ADM</t>
  </si>
  <si>
    <t>'100476830</t>
  </si>
  <si>
    <t>'100478731</t>
  </si>
  <si>
    <t>'100533792</t>
  </si>
  <si>
    <t>'100587378</t>
  </si>
  <si>
    <t>100476830OVR</t>
  </si>
  <si>
    <t>100478731OVR</t>
  </si>
  <si>
    <t>100533792OVR</t>
  </si>
  <si>
    <t>100587378OVR</t>
  </si>
  <si>
    <t>100592181OVR</t>
  </si>
  <si>
    <t>100050783OVR</t>
  </si>
  <si>
    <t>JH MAPD OVR</t>
  </si>
  <si>
    <t>JH MAPD 2026*</t>
  </si>
  <si>
    <t>[%/$=347][prorate=1/12]</t>
  </si>
  <si>
    <t>[%/$=347][prorate=12/12]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</si>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</sst>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B0C6-FE66-4948-A034-7A9C2898FAE6}">
  <dimension ref="A1:AI20"/>
  <sheetViews>
    <sheetView topLeftCell="H1" workbookViewId="0">
      <selection activeCell="Z1" sqref="Z1:Z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5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0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8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46085</v>
      </c>
      <c r="B2" s="1">
        <v>46085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46023</v>
      </c>
      <c r="U2" t="s">
        <v>47</v>
      </c>
      <c r="V2">
        <v>1</v>
      </c>
      <c r="W2" s="1">
        <v>46084</v>
      </c>
      <c r="X2" t="s">
        <v>48</v>
      </c>
      <c r="Z2" s="2">
        <v>-4.38</v>
      </c>
      <c r="AD2" s="2">
        <v>0</v>
      </c>
      <c r="AE2" s="2">
        <v>-4.38</v>
      </c>
      <c r="AF2" s="2">
        <v>0</v>
      </c>
      <c r="AH2">
        <v>4692250</v>
      </c>
      <c r="AI2" t="s">
        <v>49</v>
      </c>
    </row>
    <row r="3" spans="1:35" x14ac:dyDescent="0.25">
      <c r="A3" s="1">
        <v>46085</v>
      </c>
      <c r="B3" s="1">
        <v>46085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51</v>
      </c>
      <c r="O3" t="s">
        <v>43</v>
      </c>
      <c r="P3" t="s">
        <v>44</v>
      </c>
      <c r="Q3" t="s">
        <v>45</v>
      </c>
      <c r="R3" t="s">
        <v>46</v>
      </c>
      <c r="S3" s="1">
        <v>44927</v>
      </c>
      <c r="T3" s="1">
        <v>46023</v>
      </c>
      <c r="U3" t="s">
        <v>47</v>
      </c>
      <c r="V3">
        <v>1</v>
      </c>
      <c r="W3" s="1">
        <v>46084</v>
      </c>
      <c r="X3" t="s">
        <v>48</v>
      </c>
      <c r="Z3" s="2">
        <v>-4.38</v>
      </c>
      <c r="AD3" s="2">
        <v>0</v>
      </c>
      <c r="AE3" s="2">
        <v>-4.38</v>
      </c>
      <c r="AF3" s="2">
        <v>0</v>
      </c>
      <c r="AH3">
        <v>4692249</v>
      </c>
      <c r="AI3" t="s">
        <v>49</v>
      </c>
    </row>
    <row r="4" spans="1:35" x14ac:dyDescent="0.25">
      <c r="A4" s="1">
        <v>46085</v>
      </c>
      <c r="B4" s="1">
        <v>46085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54</v>
      </c>
      <c r="P4" t="s">
        <v>55</v>
      </c>
      <c r="Q4" t="s">
        <v>45</v>
      </c>
      <c r="R4" t="s">
        <v>46</v>
      </c>
      <c r="S4" s="1">
        <v>45383</v>
      </c>
      <c r="T4" s="1">
        <v>46023</v>
      </c>
      <c r="U4" t="s">
        <v>47</v>
      </c>
      <c r="V4">
        <v>1</v>
      </c>
      <c r="W4" s="1">
        <v>46084</v>
      </c>
      <c r="X4" t="s">
        <v>48</v>
      </c>
      <c r="Z4" s="2">
        <v>-4.38</v>
      </c>
      <c r="AD4" s="2">
        <v>0</v>
      </c>
      <c r="AE4" s="2">
        <v>-4.38</v>
      </c>
      <c r="AF4" s="2">
        <v>0</v>
      </c>
      <c r="AH4">
        <v>4692595</v>
      </c>
      <c r="AI4" t="s">
        <v>49</v>
      </c>
    </row>
    <row r="5" spans="1:35" x14ac:dyDescent="0.25">
      <c r="A5" s="1">
        <v>46085</v>
      </c>
      <c r="B5" s="1">
        <v>46085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56</v>
      </c>
      <c r="J5" t="s">
        <v>57</v>
      </c>
      <c r="K5" t="s">
        <v>58</v>
      </c>
      <c r="O5" t="s">
        <v>59</v>
      </c>
      <c r="P5" t="s">
        <v>60</v>
      </c>
      <c r="Q5" t="s">
        <v>45</v>
      </c>
      <c r="R5" t="s">
        <v>46</v>
      </c>
      <c r="S5" s="1">
        <v>46023</v>
      </c>
      <c r="T5" s="1">
        <v>46023</v>
      </c>
      <c r="U5" t="s">
        <v>47</v>
      </c>
      <c r="V5">
        <v>1</v>
      </c>
      <c r="W5" s="1">
        <v>46084</v>
      </c>
      <c r="X5" t="s">
        <v>48</v>
      </c>
      <c r="Z5" s="2">
        <v>-78.75</v>
      </c>
      <c r="AD5" s="2">
        <v>0</v>
      </c>
      <c r="AE5" s="2">
        <v>-78.75</v>
      </c>
      <c r="AF5" s="2">
        <v>0</v>
      </c>
      <c r="AH5">
        <v>4693515</v>
      </c>
      <c r="AI5" t="s">
        <v>61</v>
      </c>
    </row>
    <row r="6" spans="1:35" x14ac:dyDescent="0.25">
      <c r="A6" s="1">
        <v>46085</v>
      </c>
      <c r="B6" s="1">
        <v>46085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62</v>
      </c>
      <c r="J6" t="s">
        <v>63</v>
      </c>
      <c r="K6" t="s">
        <v>58</v>
      </c>
      <c r="O6" t="s">
        <v>64</v>
      </c>
      <c r="P6" t="s">
        <v>65</v>
      </c>
      <c r="Q6" t="s">
        <v>45</v>
      </c>
      <c r="R6" t="s">
        <v>46</v>
      </c>
      <c r="S6" s="1">
        <v>46023</v>
      </c>
      <c r="T6" s="1">
        <v>46023</v>
      </c>
      <c r="U6" t="s">
        <v>47</v>
      </c>
      <c r="V6">
        <v>1</v>
      </c>
      <c r="W6" s="1">
        <v>46084</v>
      </c>
      <c r="X6" t="s">
        <v>48</v>
      </c>
      <c r="Z6" s="2">
        <v>-78.75</v>
      </c>
      <c r="AD6" s="2">
        <v>0</v>
      </c>
      <c r="AE6" s="2">
        <v>-78.75</v>
      </c>
      <c r="AF6" s="2">
        <v>0</v>
      </c>
      <c r="AH6">
        <v>4693774</v>
      </c>
      <c r="AI6" t="s">
        <v>61</v>
      </c>
    </row>
    <row r="7" spans="1:35" x14ac:dyDescent="0.25">
      <c r="A7" s="1">
        <v>46086</v>
      </c>
      <c r="B7" s="1">
        <v>46086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66</v>
      </c>
      <c r="J7" t="s">
        <v>67</v>
      </c>
      <c r="K7" t="s">
        <v>58</v>
      </c>
      <c r="O7" t="s">
        <v>64</v>
      </c>
      <c r="P7" t="s">
        <v>65</v>
      </c>
      <c r="Q7" t="s">
        <v>45</v>
      </c>
      <c r="R7" t="s">
        <v>68</v>
      </c>
      <c r="S7" s="1">
        <v>46054</v>
      </c>
      <c r="T7" s="1">
        <v>46054</v>
      </c>
      <c r="U7" t="s">
        <v>47</v>
      </c>
      <c r="V7">
        <v>1</v>
      </c>
      <c r="W7" s="1">
        <v>46085</v>
      </c>
      <c r="X7" t="s">
        <v>48</v>
      </c>
      <c r="Z7" s="2">
        <v>28.92</v>
      </c>
      <c r="AD7" s="2">
        <v>28.92</v>
      </c>
      <c r="AE7" s="2">
        <v>0</v>
      </c>
      <c r="AF7" s="2">
        <v>0</v>
      </c>
      <c r="AH7">
        <v>4704586</v>
      </c>
      <c r="AI7" t="s">
        <v>49</v>
      </c>
    </row>
    <row r="8" spans="1:35" x14ac:dyDescent="0.25">
      <c r="A8" s="1">
        <v>46086</v>
      </c>
      <c r="B8" s="1">
        <v>46086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69</v>
      </c>
      <c r="J8" t="s">
        <v>67</v>
      </c>
      <c r="K8" t="s">
        <v>58</v>
      </c>
      <c r="O8" t="s">
        <v>64</v>
      </c>
      <c r="P8" t="s">
        <v>65</v>
      </c>
      <c r="Q8" t="s">
        <v>45</v>
      </c>
      <c r="R8" t="s">
        <v>46</v>
      </c>
      <c r="S8" s="1">
        <v>45658</v>
      </c>
      <c r="T8" s="1">
        <v>46054</v>
      </c>
      <c r="U8" t="s">
        <v>47</v>
      </c>
      <c r="V8">
        <v>1</v>
      </c>
      <c r="W8" s="1">
        <v>46085</v>
      </c>
      <c r="X8" t="s">
        <v>48</v>
      </c>
      <c r="Z8" s="2">
        <v>2.92</v>
      </c>
      <c r="AD8" s="2">
        <v>2.92</v>
      </c>
      <c r="AE8" s="2">
        <v>0</v>
      </c>
      <c r="AF8" s="2">
        <v>0</v>
      </c>
      <c r="AH8">
        <v>4704585</v>
      </c>
      <c r="AI8" t="s">
        <v>49</v>
      </c>
    </row>
    <row r="9" spans="1:35" x14ac:dyDescent="0.25">
      <c r="A9" s="1">
        <v>46086</v>
      </c>
      <c r="B9" s="1">
        <v>46086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70</v>
      </c>
      <c r="J9" t="s">
        <v>42</v>
      </c>
      <c r="O9" t="s">
        <v>43</v>
      </c>
      <c r="P9" t="s">
        <v>44</v>
      </c>
      <c r="Q9" t="s">
        <v>45</v>
      </c>
      <c r="R9" t="s">
        <v>68</v>
      </c>
      <c r="S9" s="1">
        <v>44927</v>
      </c>
      <c r="T9" s="1">
        <v>46054</v>
      </c>
      <c r="U9" t="s">
        <v>47</v>
      </c>
      <c r="V9">
        <v>1</v>
      </c>
      <c r="W9" s="1">
        <v>46085</v>
      </c>
      <c r="X9" t="s">
        <v>48</v>
      </c>
      <c r="Z9" s="2">
        <v>28.92</v>
      </c>
      <c r="AD9" s="2">
        <v>28.92</v>
      </c>
      <c r="AE9" s="2">
        <v>0</v>
      </c>
      <c r="AF9" s="2">
        <v>0</v>
      </c>
      <c r="AH9">
        <v>4701938</v>
      </c>
      <c r="AI9" t="s">
        <v>49</v>
      </c>
    </row>
    <row r="10" spans="1:35" x14ac:dyDescent="0.25">
      <c r="A10" s="1">
        <v>46086</v>
      </c>
      <c r="B10" s="1">
        <v>46086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O10" t="s">
        <v>43</v>
      </c>
      <c r="P10" t="s">
        <v>44</v>
      </c>
      <c r="Q10" t="s">
        <v>45</v>
      </c>
      <c r="R10" t="s">
        <v>46</v>
      </c>
      <c r="S10" s="1">
        <v>44927</v>
      </c>
      <c r="T10" s="1">
        <v>46023</v>
      </c>
      <c r="U10" t="s">
        <v>47</v>
      </c>
      <c r="V10">
        <v>1</v>
      </c>
      <c r="W10" s="1">
        <v>46085</v>
      </c>
      <c r="X10" t="s">
        <v>48</v>
      </c>
      <c r="Z10" s="2">
        <v>2.92</v>
      </c>
      <c r="AD10" s="2">
        <v>2.92</v>
      </c>
      <c r="AE10" s="2">
        <v>0</v>
      </c>
      <c r="AF10" s="2">
        <v>0</v>
      </c>
      <c r="AH10">
        <v>4700209</v>
      </c>
      <c r="AI10" t="s">
        <v>49</v>
      </c>
    </row>
    <row r="11" spans="1:35" x14ac:dyDescent="0.25">
      <c r="A11" s="1">
        <v>46086</v>
      </c>
      <c r="B11" s="1">
        <v>46086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O11" t="s">
        <v>43</v>
      </c>
      <c r="P11" t="s">
        <v>44</v>
      </c>
      <c r="Q11" t="s">
        <v>45</v>
      </c>
      <c r="R11" t="s">
        <v>46</v>
      </c>
      <c r="S11" s="1">
        <v>44927</v>
      </c>
      <c r="T11" s="1">
        <v>46054</v>
      </c>
      <c r="U11" t="s">
        <v>47</v>
      </c>
      <c r="V11">
        <v>1</v>
      </c>
      <c r="W11" s="1">
        <v>46085</v>
      </c>
      <c r="X11" t="s">
        <v>48</v>
      </c>
      <c r="Z11" s="2">
        <v>2.92</v>
      </c>
      <c r="AD11" s="2">
        <v>2.92</v>
      </c>
      <c r="AE11" s="2">
        <v>0</v>
      </c>
      <c r="AF11" s="2">
        <v>0</v>
      </c>
      <c r="AH11">
        <v>4701937</v>
      </c>
      <c r="AI11" t="s">
        <v>49</v>
      </c>
    </row>
    <row r="12" spans="1:35" x14ac:dyDescent="0.25">
      <c r="A12" s="1">
        <v>46086</v>
      </c>
      <c r="B12" s="1">
        <v>46086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71</v>
      </c>
      <c r="J12" t="s">
        <v>51</v>
      </c>
      <c r="O12" t="s">
        <v>43</v>
      </c>
      <c r="P12" t="s">
        <v>44</v>
      </c>
      <c r="Q12" t="s">
        <v>45</v>
      </c>
      <c r="R12" t="s">
        <v>68</v>
      </c>
      <c r="S12" s="1">
        <v>44927</v>
      </c>
      <c r="T12" s="1">
        <v>46054</v>
      </c>
      <c r="U12" t="s">
        <v>47</v>
      </c>
      <c r="V12">
        <v>1</v>
      </c>
      <c r="W12" s="1">
        <v>46085</v>
      </c>
      <c r="X12" t="s">
        <v>48</v>
      </c>
      <c r="Z12" s="2">
        <v>28.92</v>
      </c>
      <c r="AD12" s="2">
        <v>28.92</v>
      </c>
      <c r="AE12" s="2">
        <v>0</v>
      </c>
      <c r="AF12" s="2">
        <v>0</v>
      </c>
      <c r="AH12">
        <v>4701936</v>
      </c>
      <c r="AI12" t="s">
        <v>49</v>
      </c>
    </row>
    <row r="13" spans="1:35" x14ac:dyDescent="0.25">
      <c r="A13" s="1">
        <v>46086</v>
      </c>
      <c r="B13" s="1">
        <v>46086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50</v>
      </c>
      <c r="J13" t="s">
        <v>51</v>
      </c>
      <c r="O13" t="s">
        <v>43</v>
      </c>
      <c r="P13" t="s">
        <v>44</v>
      </c>
      <c r="Q13" t="s">
        <v>45</v>
      </c>
      <c r="R13" t="s">
        <v>46</v>
      </c>
      <c r="S13" s="1">
        <v>44927</v>
      </c>
      <c r="T13" s="1">
        <v>46023</v>
      </c>
      <c r="U13" t="s">
        <v>47</v>
      </c>
      <c r="V13">
        <v>1</v>
      </c>
      <c r="W13" s="1">
        <v>46085</v>
      </c>
      <c r="X13" t="s">
        <v>48</v>
      </c>
      <c r="Z13" s="2">
        <v>2.92</v>
      </c>
      <c r="AD13" s="2">
        <v>2.92</v>
      </c>
      <c r="AE13" s="2">
        <v>0</v>
      </c>
      <c r="AF13" s="2">
        <v>0</v>
      </c>
      <c r="AH13">
        <v>4700208</v>
      </c>
      <c r="AI13" t="s">
        <v>49</v>
      </c>
    </row>
    <row r="14" spans="1:35" x14ac:dyDescent="0.25">
      <c r="A14" s="1">
        <v>46086</v>
      </c>
      <c r="B14" s="1">
        <v>46086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50</v>
      </c>
      <c r="J14" t="s">
        <v>51</v>
      </c>
      <c r="O14" t="s">
        <v>43</v>
      </c>
      <c r="P14" t="s">
        <v>44</v>
      </c>
      <c r="Q14" t="s">
        <v>45</v>
      </c>
      <c r="R14" t="s">
        <v>46</v>
      </c>
      <c r="S14" s="1">
        <v>44927</v>
      </c>
      <c r="T14" s="1">
        <v>46054</v>
      </c>
      <c r="U14" t="s">
        <v>47</v>
      </c>
      <c r="V14">
        <v>1</v>
      </c>
      <c r="W14" s="1">
        <v>46085</v>
      </c>
      <c r="X14" t="s">
        <v>48</v>
      </c>
      <c r="Z14" s="2">
        <v>2.92</v>
      </c>
      <c r="AD14" s="2">
        <v>2.92</v>
      </c>
      <c r="AE14" s="2">
        <v>0</v>
      </c>
      <c r="AF14" s="2">
        <v>0</v>
      </c>
      <c r="AH14">
        <v>4701935</v>
      </c>
      <c r="AI14" t="s">
        <v>49</v>
      </c>
    </row>
    <row r="15" spans="1:35" x14ac:dyDescent="0.25">
      <c r="A15" s="1">
        <v>46086</v>
      </c>
      <c r="B15" s="1">
        <v>46086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72</v>
      </c>
      <c r="J15" t="s">
        <v>53</v>
      </c>
      <c r="O15" t="s">
        <v>54</v>
      </c>
      <c r="P15" t="s">
        <v>55</v>
      </c>
      <c r="Q15" t="s">
        <v>45</v>
      </c>
      <c r="R15" t="s">
        <v>68</v>
      </c>
      <c r="S15" s="1">
        <v>45383</v>
      </c>
      <c r="T15" s="1">
        <v>46054</v>
      </c>
      <c r="U15" t="s">
        <v>47</v>
      </c>
      <c r="V15">
        <v>1</v>
      </c>
      <c r="W15" s="1">
        <v>46085</v>
      </c>
      <c r="X15" t="s">
        <v>48</v>
      </c>
      <c r="Z15" s="2">
        <v>28.92</v>
      </c>
      <c r="AD15" s="2">
        <v>28.92</v>
      </c>
      <c r="AE15" s="2">
        <v>0</v>
      </c>
      <c r="AF15" s="2">
        <v>0</v>
      </c>
      <c r="AH15">
        <v>4702573</v>
      </c>
      <c r="AI15" t="s">
        <v>49</v>
      </c>
    </row>
    <row r="16" spans="1:35" x14ac:dyDescent="0.25">
      <c r="A16" s="1">
        <v>46086</v>
      </c>
      <c r="B16" s="1">
        <v>46086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52</v>
      </c>
      <c r="J16" t="s">
        <v>53</v>
      </c>
      <c r="O16" t="s">
        <v>54</v>
      </c>
      <c r="P16" t="s">
        <v>55</v>
      </c>
      <c r="Q16" t="s">
        <v>45</v>
      </c>
      <c r="R16" t="s">
        <v>46</v>
      </c>
      <c r="S16" s="1">
        <v>45383</v>
      </c>
      <c r="T16" s="1">
        <v>46023</v>
      </c>
      <c r="U16" t="s">
        <v>47</v>
      </c>
      <c r="V16">
        <v>1</v>
      </c>
      <c r="W16" s="1">
        <v>46085</v>
      </c>
      <c r="X16" t="s">
        <v>48</v>
      </c>
      <c r="Z16" s="2">
        <v>2.92</v>
      </c>
      <c r="AD16" s="2">
        <v>2.92</v>
      </c>
      <c r="AE16" s="2">
        <v>0</v>
      </c>
      <c r="AF16" s="2">
        <v>0</v>
      </c>
      <c r="AH16">
        <v>4700554</v>
      </c>
      <c r="AI16" t="s">
        <v>49</v>
      </c>
    </row>
    <row r="17" spans="1:35" x14ac:dyDescent="0.25">
      <c r="A17" s="1">
        <v>46086</v>
      </c>
      <c r="B17" s="1">
        <v>46086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52</v>
      </c>
      <c r="J17" t="s">
        <v>53</v>
      </c>
      <c r="O17" t="s">
        <v>54</v>
      </c>
      <c r="P17" t="s">
        <v>55</v>
      </c>
      <c r="Q17" t="s">
        <v>45</v>
      </c>
      <c r="R17" t="s">
        <v>46</v>
      </c>
      <c r="S17" s="1">
        <v>45383</v>
      </c>
      <c r="T17" s="1">
        <v>46054</v>
      </c>
      <c r="U17" t="s">
        <v>47</v>
      </c>
      <c r="V17">
        <v>1</v>
      </c>
      <c r="W17" s="1">
        <v>46085</v>
      </c>
      <c r="X17" t="s">
        <v>48</v>
      </c>
      <c r="Z17" s="2">
        <v>2.92</v>
      </c>
      <c r="AD17" s="2">
        <v>2.92</v>
      </c>
      <c r="AE17" s="2">
        <v>0</v>
      </c>
      <c r="AF17" s="2">
        <v>0</v>
      </c>
      <c r="AH17">
        <v>4702572</v>
      </c>
      <c r="AI17" t="s">
        <v>49</v>
      </c>
    </row>
    <row r="18" spans="1:35" x14ac:dyDescent="0.25">
      <c r="A18" s="1">
        <v>46086</v>
      </c>
      <c r="B18" s="1">
        <v>46086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73</v>
      </c>
      <c r="J18" t="s">
        <v>57</v>
      </c>
      <c r="K18" t="s">
        <v>58</v>
      </c>
      <c r="O18" t="s">
        <v>59</v>
      </c>
      <c r="P18" t="s">
        <v>60</v>
      </c>
      <c r="Q18" t="s">
        <v>45</v>
      </c>
      <c r="R18" t="s">
        <v>68</v>
      </c>
      <c r="S18" s="1">
        <v>46023</v>
      </c>
      <c r="T18" s="1">
        <v>46023</v>
      </c>
      <c r="U18" t="s">
        <v>47</v>
      </c>
      <c r="V18">
        <v>1</v>
      </c>
      <c r="W18" s="1">
        <v>46085</v>
      </c>
      <c r="X18" t="s">
        <v>48</v>
      </c>
      <c r="Z18" s="2">
        <v>347</v>
      </c>
      <c r="AD18" s="2">
        <v>347</v>
      </c>
      <c r="AE18" s="2">
        <v>0</v>
      </c>
      <c r="AF18" s="2">
        <v>0</v>
      </c>
      <c r="AH18">
        <v>4704150</v>
      </c>
      <c r="AI18" t="s">
        <v>61</v>
      </c>
    </row>
    <row r="19" spans="1:35" x14ac:dyDescent="0.25">
      <c r="A19" s="1">
        <v>46086</v>
      </c>
      <c r="B19" s="1">
        <v>46086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56</v>
      </c>
      <c r="J19" t="s">
        <v>57</v>
      </c>
      <c r="K19" t="s">
        <v>58</v>
      </c>
      <c r="O19" t="s">
        <v>59</v>
      </c>
      <c r="P19" t="s">
        <v>60</v>
      </c>
      <c r="Q19" t="s">
        <v>45</v>
      </c>
      <c r="R19" t="s">
        <v>46</v>
      </c>
      <c r="S19" s="1">
        <v>46023</v>
      </c>
      <c r="T19" s="1">
        <v>46023</v>
      </c>
      <c r="U19" t="s">
        <v>47</v>
      </c>
      <c r="V19">
        <v>1</v>
      </c>
      <c r="W19" s="1">
        <v>46085</v>
      </c>
      <c r="X19" t="s">
        <v>48</v>
      </c>
      <c r="Z19" s="2">
        <v>61.25</v>
      </c>
      <c r="AD19" s="2">
        <v>61.25</v>
      </c>
      <c r="AE19" s="2">
        <v>0</v>
      </c>
      <c r="AF19" s="2">
        <v>0</v>
      </c>
      <c r="AH19">
        <v>4701474</v>
      </c>
      <c r="AI19" t="s">
        <v>61</v>
      </c>
    </row>
    <row r="20" spans="1:35" x14ac:dyDescent="0.25">
      <c r="A20" s="1">
        <v>46086</v>
      </c>
      <c r="B20" s="1">
        <v>46086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62</v>
      </c>
      <c r="J20" t="s">
        <v>63</v>
      </c>
      <c r="K20" t="s">
        <v>58</v>
      </c>
      <c r="O20" t="s">
        <v>64</v>
      </c>
      <c r="P20" t="s">
        <v>65</v>
      </c>
      <c r="Q20" t="s">
        <v>45</v>
      </c>
      <c r="R20" t="s">
        <v>46</v>
      </c>
      <c r="S20" s="1">
        <v>46023</v>
      </c>
      <c r="T20" s="1">
        <v>46023</v>
      </c>
      <c r="U20" t="s">
        <v>47</v>
      </c>
      <c r="V20">
        <v>1</v>
      </c>
      <c r="W20" s="1">
        <v>46085</v>
      </c>
      <c r="X20" t="s">
        <v>48</v>
      </c>
      <c r="Z20" s="2">
        <v>61.25</v>
      </c>
      <c r="AD20" s="2">
        <v>61.25</v>
      </c>
      <c r="AE20" s="2">
        <v>0</v>
      </c>
      <c r="AF20" s="2">
        <v>0</v>
      </c>
      <c r="AH20">
        <v>4701733</v>
      </c>
      <c r="AI2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E174-7997-452C-8DCA-C4402DFFF42D}">
  <dimension ref="A1:N20"/>
  <sheetViews>
    <sheetView tabSelected="1" workbookViewId="0">
      <selection activeCell="N2" sqref="N2:N6"/>
    </sheetView>
  </sheetViews>
  <sheetFormatPr defaultRowHeight="15" x14ac:dyDescent="0.25"/>
  <cols>
    <col min="1" max="1" width="15.5703125" bestFit="1" customWidth="1"/>
    <col min="2" max="2" width="15.5703125" customWidth="1"/>
    <col min="3" max="3" width="20" bestFit="1" customWidth="1"/>
    <col min="4" max="4" width="8.140625" bestFit="1" customWidth="1"/>
    <col min="5" max="5" width="15.7109375" bestFit="1" customWidth="1"/>
    <col min="6" max="6" width="19.28515625" bestFit="1" customWidth="1"/>
    <col min="7" max="7" width="12.140625" bestFit="1" customWidth="1"/>
    <col min="8" max="8" width="18.7109375" bestFit="1" customWidth="1"/>
    <col min="9" max="9" width="10.140625" bestFit="1" customWidth="1"/>
    <col min="10" max="10" width="12.28515625" bestFit="1" customWidth="1"/>
    <col min="11" max="11" width="6.140625" customWidth="1"/>
    <col min="12" max="12" width="11" customWidth="1"/>
    <col min="13" max="13" width="14.42578125" bestFit="1" customWidth="1"/>
    <col min="14" max="14" width="23.140625" bestFit="1" customWidth="1"/>
  </cols>
  <sheetData>
    <row r="1" spans="1:14" x14ac:dyDescent="0.25">
      <c r="A1" t="s">
        <v>8</v>
      </c>
      <c r="C1" t="s">
        <v>9</v>
      </c>
      <c r="D1" t="s">
        <v>10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23</v>
      </c>
      <c r="L1" t="s">
        <v>25</v>
      </c>
    </row>
    <row r="2" spans="1:14" x14ac:dyDescent="0.25">
      <c r="A2" s="3">
        <v>100050783</v>
      </c>
      <c r="B2" s="3" t="str">
        <f>CONCATENATE(A2,22)</f>
        <v>10005078322</v>
      </c>
      <c r="C2" t="s">
        <v>67</v>
      </c>
      <c r="D2" t="s">
        <v>58</v>
      </c>
      <c r="E2" s="3">
        <v>5442438</v>
      </c>
      <c r="F2" t="s">
        <v>65</v>
      </c>
      <c r="G2" t="s">
        <v>45</v>
      </c>
      <c r="H2" t="s">
        <v>68</v>
      </c>
      <c r="I2" s="1">
        <v>46054</v>
      </c>
      <c r="J2" s="1">
        <v>46054</v>
      </c>
      <c r="K2" t="s">
        <v>48</v>
      </c>
      <c r="L2" s="2">
        <v>28.92</v>
      </c>
      <c r="M2" t="s">
        <v>81</v>
      </c>
      <c r="N2" t="s">
        <v>82</v>
      </c>
    </row>
    <row r="3" spans="1:14" x14ac:dyDescent="0.25">
      <c r="A3" s="3">
        <v>100476830</v>
      </c>
      <c r="B3" s="3" t="str">
        <f t="shared" ref="B3:B6" si="0">CONCATENATE(A3,22)</f>
        <v>10047683022</v>
      </c>
      <c r="C3" t="s">
        <v>42</v>
      </c>
      <c r="E3" s="3">
        <v>9079571</v>
      </c>
      <c r="F3" t="s">
        <v>44</v>
      </c>
      <c r="G3" t="s">
        <v>45</v>
      </c>
      <c r="H3" t="s">
        <v>68</v>
      </c>
      <c r="I3" s="1">
        <v>44927</v>
      </c>
      <c r="J3" s="1">
        <v>46054</v>
      </c>
      <c r="K3" t="s">
        <v>48</v>
      </c>
      <c r="L3" s="2">
        <v>28.92</v>
      </c>
      <c r="M3" t="s">
        <v>81</v>
      </c>
      <c r="N3" t="s">
        <v>82</v>
      </c>
    </row>
    <row r="4" spans="1:14" x14ac:dyDescent="0.25">
      <c r="A4" s="3">
        <v>100478731</v>
      </c>
      <c r="B4" s="3" t="str">
        <f t="shared" si="0"/>
        <v>10047873122</v>
      </c>
      <c r="C4" t="s">
        <v>51</v>
      </c>
      <c r="E4" s="3">
        <v>9079571</v>
      </c>
      <c r="F4" t="s">
        <v>44</v>
      </c>
      <c r="G4" t="s">
        <v>45</v>
      </c>
      <c r="H4" t="s">
        <v>68</v>
      </c>
      <c r="I4" s="1">
        <v>44927</v>
      </c>
      <c r="J4" s="1">
        <v>46054</v>
      </c>
      <c r="K4" t="s">
        <v>48</v>
      </c>
      <c r="L4" s="2">
        <v>28.92</v>
      </c>
      <c r="M4" t="s">
        <v>81</v>
      </c>
      <c r="N4" t="s">
        <v>82</v>
      </c>
    </row>
    <row r="5" spans="1:14" x14ac:dyDescent="0.25">
      <c r="A5" s="3">
        <v>100533792</v>
      </c>
      <c r="B5" s="3" t="str">
        <f t="shared" si="0"/>
        <v>10053379222</v>
      </c>
      <c r="C5" t="s">
        <v>53</v>
      </c>
      <c r="E5" s="3">
        <v>17195620</v>
      </c>
      <c r="F5" t="s">
        <v>55</v>
      </c>
      <c r="G5" t="s">
        <v>45</v>
      </c>
      <c r="H5" t="s">
        <v>68</v>
      </c>
      <c r="I5" s="1">
        <v>45383</v>
      </c>
      <c r="J5" s="1">
        <v>46054</v>
      </c>
      <c r="K5" t="s">
        <v>48</v>
      </c>
      <c r="L5" s="2">
        <v>28.92</v>
      </c>
      <c r="M5" t="s">
        <v>81</v>
      </c>
      <c r="N5" t="s">
        <v>82</v>
      </c>
    </row>
    <row r="6" spans="1:14" x14ac:dyDescent="0.25">
      <c r="A6" s="3">
        <v>100587378</v>
      </c>
      <c r="B6" s="3" t="str">
        <f t="shared" si="0"/>
        <v>10058737822</v>
      </c>
      <c r="C6" t="s">
        <v>57</v>
      </c>
      <c r="D6" t="s">
        <v>58</v>
      </c>
      <c r="E6" s="3">
        <v>16751785</v>
      </c>
      <c r="F6" t="s">
        <v>60</v>
      </c>
      <c r="G6" t="s">
        <v>45</v>
      </c>
      <c r="H6" t="s">
        <v>68</v>
      </c>
      <c r="I6" s="1">
        <v>46023</v>
      </c>
      <c r="J6" s="1">
        <v>46023</v>
      </c>
      <c r="K6" t="s">
        <v>48</v>
      </c>
      <c r="L6" s="2">
        <v>347</v>
      </c>
      <c r="M6" t="s">
        <v>81</v>
      </c>
      <c r="N6" t="s">
        <v>83</v>
      </c>
    </row>
    <row r="7" spans="1:14" x14ac:dyDescent="0.25">
      <c r="A7" s="3" t="s">
        <v>74</v>
      </c>
      <c r="B7" s="3" t="s">
        <v>74</v>
      </c>
      <c r="C7" t="s">
        <v>42</v>
      </c>
      <c r="E7" s="3">
        <v>20411454</v>
      </c>
      <c r="F7" t="s">
        <v>84</v>
      </c>
      <c r="G7" t="s">
        <v>45</v>
      </c>
      <c r="H7" t="s">
        <v>46</v>
      </c>
      <c r="I7" s="1">
        <v>44927</v>
      </c>
      <c r="J7" s="1">
        <v>46023</v>
      </c>
      <c r="K7" t="s">
        <v>48</v>
      </c>
      <c r="L7" s="2">
        <v>-4.38</v>
      </c>
      <c r="M7" t="s">
        <v>80</v>
      </c>
    </row>
    <row r="8" spans="1:14" x14ac:dyDescent="0.25">
      <c r="A8" s="3" t="s">
        <v>75</v>
      </c>
      <c r="B8" s="3" t="s">
        <v>75</v>
      </c>
      <c r="C8" t="s">
        <v>51</v>
      </c>
      <c r="E8" s="3">
        <v>20411454</v>
      </c>
      <c r="F8" t="s">
        <v>84</v>
      </c>
      <c r="G8" t="s">
        <v>45</v>
      </c>
      <c r="H8" t="s">
        <v>46</v>
      </c>
      <c r="I8" s="1">
        <v>44927</v>
      </c>
      <c r="J8" s="1">
        <v>46023</v>
      </c>
      <c r="K8" t="s">
        <v>48</v>
      </c>
      <c r="L8" s="2">
        <v>-4.38</v>
      </c>
      <c r="M8" t="s">
        <v>80</v>
      </c>
    </row>
    <row r="9" spans="1:14" x14ac:dyDescent="0.25">
      <c r="A9" s="3" t="s">
        <v>76</v>
      </c>
      <c r="B9" s="3" t="s">
        <v>76</v>
      </c>
      <c r="C9" t="s">
        <v>53</v>
      </c>
      <c r="E9" s="3">
        <v>20411454</v>
      </c>
      <c r="F9" t="s">
        <v>84</v>
      </c>
      <c r="G9" t="s">
        <v>45</v>
      </c>
      <c r="H9" t="s">
        <v>46</v>
      </c>
      <c r="I9" s="1">
        <v>45383</v>
      </c>
      <c r="J9" s="1">
        <v>46023</v>
      </c>
      <c r="K9" t="s">
        <v>48</v>
      </c>
      <c r="L9" s="2">
        <v>-4.38</v>
      </c>
      <c r="M9" t="s">
        <v>80</v>
      </c>
    </row>
    <row r="10" spans="1:14" x14ac:dyDescent="0.25">
      <c r="A10" s="3" t="s">
        <v>77</v>
      </c>
      <c r="B10" s="3" t="s">
        <v>77</v>
      </c>
      <c r="C10" t="s">
        <v>57</v>
      </c>
      <c r="D10" t="s">
        <v>58</v>
      </c>
      <c r="E10" s="3">
        <v>20411454</v>
      </c>
      <c r="F10" t="s">
        <v>84</v>
      </c>
      <c r="G10" t="s">
        <v>45</v>
      </c>
      <c r="H10" t="s">
        <v>46</v>
      </c>
      <c r="I10" s="1">
        <v>46023</v>
      </c>
      <c r="J10" s="1">
        <v>46023</v>
      </c>
      <c r="K10" t="s">
        <v>48</v>
      </c>
      <c r="L10" s="2">
        <v>-78.75</v>
      </c>
      <c r="M10" t="s">
        <v>80</v>
      </c>
    </row>
    <row r="11" spans="1:14" x14ac:dyDescent="0.25">
      <c r="A11" s="3" t="s">
        <v>78</v>
      </c>
      <c r="B11" s="3" t="s">
        <v>78</v>
      </c>
      <c r="C11" t="s">
        <v>63</v>
      </c>
      <c r="D11" t="s">
        <v>58</v>
      </c>
      <c r="E11" s="3">
        <v>20411454</v>
      </c>
      <c r="F11" t="s">
        <v>84</v>
      </c>
      <c r="G11" t="s">
        <v>45</v>
      </c>
      <c r="H11" t="s">
        <v>46</v>
      </c>
      <c r="I11" s="1">
        <v>46023</v>
      </c>
      <c r="J11" s="1">
        <v>46023</v>
      </c>
      <c r="K11" t="s">
        <v>48</v>
      </c>
      <c r="L11" s="2">
        <v>-78.75</v>
      </c>
      <c r="M11" t="s">
        <v>80</v>
      </c>
    </row>
    <row r="12" spans="1:14" x14ac:dyDescent="0.25">
      <c r="A12" s="3" t="s">
        <v>79</v>
      </c>
      <c r="B12" s="3" t="s">
        <v>79</v>
      </c>
      <c r="C12" t="s">
        <v>67</v>
      </c>
      <c r="D12" t="s">
        <v>58</v>
      </c>
      <c r="E12" s="3">
        <v>20411454</v>
      </c>
      <c r="F12" t="s">
        <v>84</v>
      </c>
      <c r="G12" t="s">
        <v>45</v>
      </c>
      <c r="H12" t="s">
        <v>46</v>
      </c>
      <c r="I12" s="1">
        <v>45658</v>
      </c>
      <c r="J12" s="1">
        <v>46054</v>
      </c>
      <c r="K12" t="s">
        <v>48</v>
      </c>
      <c r="L12" s="2">
        <v>2.92</v>
      </c>
      <c r="M12" t="s">
        <v>80</v>
      </c>
    </row>
    <row r="13" spans="1:14" x14ac:dyDescent="0.25">
      <c r="A13" s="3" t="s">
        <v>74</v>
      </c>
      <c r="B13" s="3" t="s">
        <v>74</v>
      </c>
      <c r="C13" t="s">
        <v>42</v>
      </c>
      <c r="E13" s="3">
        <v>20411454</v>
      </c>
      <c r="F13" t="s">
        <v>84</v>
      </c>
      <c r="G13" t="s">
        <v>45</v>
      </c>
      <c r="H13" t="s">
        <v>46</v>
      </c>
      <c r="I13" s="1">
        <v>44927</v>
      </c>
      <c r="J13" s="1">
        <v>46023</v>
      </c>
      <c r="K13" t="s">
        <v>48</v>
      </c>
      <c r="L13" s="2">
        <v>2.92</v>
      </c>
      <c r="M13" t="s">
        <v>80</v>
      </c>
    </row>
    <row r="14" spans="1:14" x14ac:dyDescent="0.25">
      <c r="A14" s="3" t="s">
        <v>74</v>
      </c>
      <c r="B14" s="3" t="s">
        <v>74</v>
      </c>
      <c r="C14" t="s">
        <v>42</v>
      </c>
      <c r="E14" s="3">
        <v>20411454</v>
      </c>
      <c r="F14" t="s">
        <v>84</v>
      </c>
      <c r="G14" t="s">
        <v>45</v>
      </c>
      <c r="H14" t="s">
        <v>46</v>
      </c>
      <c r="I14" s="1">
        <v>44927</v>
      </c>
      <c r="J14" s="1">
        <v>46054</v>
      </c>
      <c r="K14" t="s">
        <v>48</v>
      </c>
      <c r="L14" s="2">
        <v>2.92</v>
      </c>
      <c r="M14" t="s">
        <v>80</v>
      </c>
    </row>
    <row r="15" spans="1:14" x14ac:dyDescent="0.25">
      <c r="A15" s="3" t="s">
        <v>75</v>
      </c>
      <c r="B15" s="3" t="s">
        <v>75</v>
      </c>
      <c r="C15" t="s">
        <v>51</v>
      </c>
      <c r="E15" s="3">
        <v>20411454</v>
      </c>
      <c r="F15" t="s">
        <v>84</v>
      </c>
      <c r="G15" t="s">
        <v>45</v>
      </c>
      <c r="H15" t="s">
        <v>46</v>
      </c>
      <c r="I15" s="1">
        <v>44927</v>
      </c>
      <c r="J15" s="1">
        <v>46023</v>
      </c>
      <c r="K15" t="s">
        <v>48</v>
      </c>
      <c r="L15" s="2">
        <v>2.92</v>
      </c>
      <c r="M15" t="s">
        <v>80</v>
      </c>
    </row>
    <row r="16" spans="1:14" x14ac:dyDescent="0.25">
      <c r="A16" s="3" t="s">
        <v>75</v>
      </c>
      <c r="B16" s="3" t="s">
        <v>75</v>
      </c>
      <c r="C16" t="s">
        <v>51</v>
      </c>
      <c r="E16" s="3">
        <v>20411454</v>
      </c>
      <c r="F16" t="s">
        <v>84</v>
      </c>
      <c r="G16" t="s">
        <v>45</v>
      </c>
      <c r="H16" t="s">
        <v>46</v>
      </c>
      <c r="I16" s="1">
        <v>44927</v>
      </c>
      <c r="J16" s="1">
        <v>46054</v>
      </c>
      <c r="K16" t="s">
        <v>48</v>
      </c>
      <c r="L16" s="2">
        <v>2.92</v>
      </c>
      <c r="M16" t="s">
        <v>80</v>
      </c>
    </row>
    <row r="17" spans="1:13" x14ac:dyDescent="0.25">
      <c r="A17" s="3" t="s">
        <v>76</v>
      </c>
      <c r="B17" s="3" t="s">
        <v>76</v>
      </c>
      <c r="C17" t="s">
        <v>53</v>
      </c>
      <c r="E17" s="3">
        <v>20411454</v>
      </c>
      <c r="F17" t="s">
        <v>84</v>
      </c>
      <c r="G17" t="s">
        <v>45</v>
      </c>
      <c r="H17" t="s">
        <v>46</v>
      </c>
      <c r="I17" s="1">
        <v>45383</v>
      </c>
      <c r="J17" s="1">
        <v>46023</v>
      </c>
      <c r="K17" t="s">
        <v>48</v>
      </c>
      <c r="L17" s="2">
        <v>2.92</v>
      </c>
      <c r="M17" t="s">
        <v>80</v>
      </c>
    </row>
    <row r="18" spans="1:13" x14ac:dyDescent="0.25">
      <c r="A18" s="3" t="s">
        <v>76</v>
      </c>
      <c r="B18" s="3" t="s">
        <v>76</v>
      </c>
      <c r="C18" t="s">
        <v>53</v>
      </c>
      <c r="E18" s="3">
        <v>20411454</v>
      </c>
      <c r="F18" t="s">
        <v>84</v>
      </c>
      <c r="G18" t="s">
        <v>45</v>
      </c>
      <c r="H18" t="s">
        <v>46</v>
      </c>
      <c r="I18" s="1">
        <v>45383</v>
      </c>
      <c r="J18" s="1">
        <v>46054</v>
      </c>
      <c r="K18" t="s">
        <v>48</v>
      </c>
      <c r="L18" s="2">
        <v>2.92</v>
      </c>
      <c r="M18" t="s">
        <v>80</v>
      </c>
    </row>
    <row r="19" spans="1:13" x14ac:dyDescent="0.25">
      <c r="A19" s="3" t="s">
        <v>77</v>
      </c>
      <c r="B19" s="3" t="s">
        <v>77</v>
      </c>
      <c r="C19" t="s">
        <v>57</v>
      </c>
      <c r="D19" t="s">
        <v>58</v>
      </c>
      <c r="E19" s="3">
        <v>20411454</v>
      </c>
      <c r="F19" t="s">
        <v>84</v>
      </c>
      <c r="G19" t="s">
        <v>45</v>
      </c>
      <c r="H19" t="s">
        <v>46</v>
      </c>
      <c r="I19" s="1">
        <v>46023</v>
      </c>
      <c r="J19" s="1">
        <v>46023</v>
      </c>
      <c r="K19" t="s">
        <v>48</v>
      </c>
      <c r="L19" s="2">
        <v>61.25</v>
      </c>
      <c r="M19" t="s">
        <v>80</v>
      </c>
    </row>
    <row r="20" spans="1:13" x14ac:dyDescent="0.25">
      <c r="A20" s="3" t="s">
        <v>78</v>
      </c>
      <c r="B20" s="3" t="s">
        <v>78</v>
      </c>
      <c r="C20" t="s">
        <v>63</v>
      </c>
      <c r="D20" t="s">
        <v>58</v>
      </c>
      <c r="E20" s="3">
        <v>20411454</v>
      </c>
      <c r="F20" t="s">
        <v>84</v>
      </c>
      <c r="G20" t="s">
        <v>45</v>
      </c>
      <c r="H20" t="s">
        <v>46</v>
      </c>
      <c r="I20" s="1">
        <v>46023</v>
      </c>
      <c r="J20" s="1">
        <v>46023</v>
      </c>
      <c r="K20" t="s">
        <v>48</v>
      </c>
      <c r="L20" s="2">
        <v>61.25</v>
      </c>
      <c r="M20" t="s">
        <v>80</v>
      </c>
    </row>
  </sheetData>
  <sortState xmlns:xlrd2="http://schemas.microsoft.com/office/spreadsheetml/2017/richdata2" ref="A2:AK20">
    <sortCondition ref="H2:H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2026-03-06T10:15:13Z</dcterms:created>
  <dcterms:modified xsi:type="dcterms:W3CDTF">2026-03-06T16:25:24Z</dcterms:modified>
</cp:coreProperties>
</file>