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Sheet1!$A$1:$O$61</definedName>
  </definedNames>
  <calcPr/>
  <extLst>
    <ext uri="GoogleSheetsCustomDataVersion2">
      <go:sheetsCustomData xmlns:go="http://customooxmlschemas.google.com/" r:id="rId5" roundtripDataChecksum="Ks8MBWAQ3XhcdSMsqe16fnF/sOsEwc0wLmJ9S1MzgiA="/>
    </ext>
  </extLst>
</workbook>
</file>

<file path=xl/sharedStrings.xml><?xml version="1.0" encoding="utf-8"?>
<sst xmlns="http://schemas.openxmlformats.org/spreadsheetml/2006/main" count="400" uniqueCount="78">
  <si>
    <t>Writing Agent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</si>
  <si>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</si>
  <si>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</si>
  <si>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</si>
  <si>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</si>
  <si>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</si>
  <si>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</si>
  <si>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</si>
  <si>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</si>
  <si>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</si>
  <si>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Cathy Lemon</t>
  </si>
  <si>
    <t>Daisy</t>
  </si>
  <si>
    <t>Nelson</t>
  </si>
  <si>
    <t>Johns Hopkins</t>
  </si>
  <si>
    <t>Johns Hopkins 2026 Renewal +2 Years (ProRata: 1)</t>
  </si>
  <si>
    <t>JH MAPD 2026*</t>
  </si>
  <si>
    <t>[%/$=347][prorate=1/12]</t>
  </si>
  <si>
    <t>Adam Richter</t>
  </si>
  <si>
    <t>Kathleen</t>
  </si>
  <si>
    <t>Galliano Dignan</t>
  </si>
  <si>
    <t>Dolores</t>
  </si>
  <si>
    <t>Peterson</t>
  </si>
  <si>
    <t>Laura</t>
  </si>
  <si>
    <t>Yli Piipari</t>
  </si>
  <si>
    <t>Edward</t>
  </si>
  <si>
    <t>West</t>
  </si>
  <si>
    <t>Thomas Kucan</t>
  </si>
  <si>
    <t>Antonio</t>
  </si>
  <si>
    <t>Johnson</t>
  </si>
  <si>
    <t>Audrey</t>
  </si>
  <si>
    <t>Layton</t>
  </si>
  <si>
    <t>Dennis</t>
  </si>
  <si>
    <t>John</t>
  </si>
  <si>
    <t>Brown</t>
  </si>
  <si>
    <t>Wanda</t>
  </si>
  <si>
    <t>Crowell</t>
  </si>
  <si>
    <t>James</t>
  </si>
  <si>
    <t>Burns Sr</t>
  </si>
  <si>
    <t>Jason Hoffmann</t>
  </si>
  <si>
    <t>Linda</t>
  </si>
  <si>
    <t>Bailey</t>
  </si>
  <si>
    <t>Emma</t>
  </si>
  <si>
    <t>Mcphail</t>
  </si>
  <si>
    <t>Robert</t>
  </si>
  <si>
    <t>Ray</t>
  </si>
  <si>
    <t>Judith</t>
  </si>
  <si>
    <t>Bradley Ray</t>
  </si>
  <si>
    <t>Marcella</t>
  </si>
  <si>
    <t>Ryckman</t>
  </si>
  <si>
    <t>Deborah</t>
  </si>
  <si>
    <t>Liberto</t>
  </si>
  <si>
    <t>Johns Hopkins 2026 Replace</t>
  </si>
  <si>
    <t>[%/$=347][prorate=12/12]</t>
  </si>
  <si>
    <t>Victoria</t>
  </si>
  <si>
    <t>Greene</t>
  </si>
  <si>
    <t>Paul</t>
  </si>
  <si>
    <t>Schneider</t>
  </si>
  <si>
    <t>Albert</t>
  </si>
  <si>
    <t>Wheeler</t>
  </si>
  <si>
    <t>Rebecca</t>
  </si>
  <si>
    <t>Deroy</t>
  </si>
  <si>
    <t>Hervey</t>
  </si>
  <si>
    <t>Juliana</t>
  </si>
  <si>
    <t>Moraldo Hervey</t>
  </si>
  <si>
    <t>Patricia</t>
  </si>
  <si>
    <t>Summers</t>
  </si>
  <si>
    <t>Gerard</t>
  </si>
  <si>
    <t>Croft</t>
  </si>
  <si>
    <t>Roberts</t>
  </si>
  <si>
    <t>Bryan</t>
  </si>
  <si>
    <t>Ralph</t>
  </si>
  <si>
    <t>Dick</t>
  </si>
  <si>
    <t>George</t>
  </si>
  <si>
    <t>Condon Ii</t>
  </si>
  <si>
    <t>Aisha</t>
  </si>
  <si>
    <t>Jackson</t>
  </si>
  <si>
    <t>Main Line Benefits</t>
  </si>
  <si>
    <t>JH MAPD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</si>
</sst>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2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0.71"/>
    <col customWidth="1" min="3" max="3" width="10.57"/>
    <col customWidth="1" min="4" max="5" width="15.29"/>
    <col customWidth="1" min="6" max="6" width="10.86"/>
    <col customWidth="1" min="7" max="7" width="14.0"/>
    <col customWidth="1" min="8" max="8" width="11.86"/>
    <col customWidth="1" min="9" max="9" width="14.71"/>
    <col customWidth="1" min="10" max="10" width="13.71"/>
    <col customWidth="1" min="11" max="11" width="45.57"/>
    <col customWidth="1" min="12" max="12" width="15.71"/>
    <col customWidth="1" min="13" max="13" width="8.71"/>
    <col customWidth="1" min="14" max="14" width="14.43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1">
        <v>1.719562E7</v>
      </c>
      <c r="C2" s="1" t="s">
        <v>11</v>
      </c>
      <c r="D2" s="1" t="s">
        <v>12</v>
      </c>
      <c r="E2" s="1" t="str">
        <f t="shared" ref="E2:E61" si="1">CONCATENATE(C2," ",D2)</f>
        <v>Daisy Nelson</v>
      </c>
      <c r="F2" s="1">
        <v>1.00002926E8</v>
      </c>
      <c r="G2" s="1" t="str">
        <f t="shared" ref="G2:G17" si="2">CONCATENATE(F2,22)</f>
        <v>10000292622</v>
      </c>
      <c r="H2" s="2">
        <v>46023.0</v>
      </c>
      <c r="I2" s="2">
        <v>46059.0</v>
      </c>
      <c r="J2" s="1" t="s">
        <v>13</v>
      </c>
      <c r="K2" s="1" t="s">
        <v>14</v>
      </c>
      <c r="L2" s="3">
        <v>35.16</v>
      </c>
      <c r="M2" s="4">
        <f t="shared" ref="M2:M17" si="3">347/12</f>
        <v>28.91666667</v>
      </c>
      <c r="N2" s="1" t="s">
        <v>15</v>
      </c>
      <c r="O2" s="1" t="s">
        <v>16</v>
      </c>
    </row>
    <row r="3">
      <c r="A3" s="1" t="s">
        <v>17</v>
      </c>
      <c r="B3" s="1">
        <v>9079571.0</v>
      </c>
      <c r="C3" s="1" t="s">
        <v>18</v>
      </c>
      <c r="D3" s="1" t="s">
        <v>19</v>
      </c>
      <c r="E3" s="1" t="str">
        <f t="shared" si="1"/>
        <v>Kathleen Galliano Dignan</v>
      </c>
      <c r="F3" s="1">
        <v>1.00013086E8</v>
      </c>
      <c r="G3" s="1" t="str">
        <f t="shared" si="2"/>
        <v>10001308622</v>
      </c>
      <c r="H3" s="2">
        <v>46023.0</v>
      </c>
      <c r="I3" s="2">
        <v>46059.0</v>
      </c>
      <c r="J3" s="1" t="s">
        <v>13</v>
      </c>
      <c r="K3" s="1" t="s">
        <v>14</v>
      </c>
      <c r="L3" s="3">
        <v>35.16</v>
      </c>
      <c r="M3" s="4">
        <f t="shared" si="3"/>
        <v>28.91666667</v>
      </c>
      <c r="N3" s="1" t="s">
        <v>15</v>
      </c>
      <c r="O3" s="1" t="s">
        <v>16</v>
      </c>
    </row>
    <row r="4">
      <c r="A4" s="1" t="s">
        <v>10</v>
      </c>
      <c r="B4" s="1">
        <v>1.719562E7</v>
      </c>
      <c r="C4" s="1" t="s">
        <v>20</v>
      </c>
      <c r="D4" s="1" t="s">
        <v>21</v>
      </c>
      <c r="E4" s="1" t="str">
        <f t="shared" si="1"/>
        <v>Dolores Peterson</v>
      </c>
      <c r="F4" s="1">
        <v>1.00013428E8</v>
      </c>
      <c r="G4" s="1" t="str">
        <f t="shared" si="2"/>
        <v>10001342822</v>
      </c>
      <c r="H4" s="2">
        <v>46023.0</v>
      </c>
      <c r="I4" s="2">
        <v>46059.0</v>
      </c>
      <c r="J4" s="1" t="s">
        <v>13</v>
      </c>
      <c r="K4" s="1" t="s">
        <v>14</v>
      </c>
      <c r="L4" s="3">
        <v>35.16</v>
      </c>
      <c r="M4" s="4">
        <f t="shared" si="3"/>
        <v>28.91666667</v>
      </c>
      <c r="N4" s="1" t="s">
        <v>15</v>
      </c>
      <c r="O4" s="1" t="s">
        <v>16</v>
      </c>
    </row>
    <row r="5">
      <c r="A5" s="1" t="s">
        <v>17</v>
      </c>
      <c r="B5" s="1">
        <v>9079571.0</v>
      </c>
      <c r="C5" s="1" t="s">
        <v>22</v>
      </c>
      <c r="D5" s="1" t="s">
        <v>23</v>
      </c>
      <c r="E5" s="1" t="str">
        <f t="shared" si="1"/>
        <v>Laura Yli Piipari</v>
      </c>
      <c r="F5" s="1">
        <v>1.00025676E8</v>
      </c>
      <c r="G5" s="1" t="str">
        <f t="shared" si="2"/>
        <v>10002567622</v>
      </c>
      <c r="H5" s="2">
        <v>46023.0</v>
      </c>
      <c r="I5" s="2">
        <v>46059.0</v>
      </c>
      <c r="J5" s="1" t="s">
        <v>13</v>
      </c>
      <c r="K5" s="1" t="s">
        <v>14</v>
      </c>
      <c r="L5" s="3">
        <v>35.16</v>
      </c>
      <c r="M5" s="4">
        <f t="shared" si="3"/>
        <v>28.91666667</v>
      </c>
      <c r="N5" s="1" t="s">
        <v>15</v>
      </c>
      <c r="O5" s="1" t="s">
        <v>16</v>
      </c>
    </row>
    <row r="6">
      <c r="A6" s="1" t="s">
        <v>17</v>
      </c>
      <c r="B6" s="1">
        <v>9079571.0</v>
      </c>
      <c r="C6" s="1" t="s">
        <v>24</v>
      </c>
      <c r="D6" s="1" t="s">
        <v>25</v>
      </c>
      <c r="E6" s="1" t="str">
        <f t="shared" si="1"/>
        <v>Edward West</v>
      </c>
      <c r="F6" s="1">
        <v>1.00047864E8</v>
      </c>
      <c r="G6" s="1" t="str">
        <f t="shared" si="2"/>
        <v>10004786422</v>
      </c>
      <c r="H6" s="2">
        <v>46023.0</v>
      </c>
      <c r="I6" s="2">
        <v>46059.0</v>
      </c>
      <c r="J6" s="1" t="s">
        <v>13</v>
      </c>
      <c r="K6" s="1" t="s">
        <v>14</v>
      </c>
      <c r="L6" s="3">
        <v>35.16</v>
      </c>
      <c r="M6" s="4">
        <f t="shared" si="3"/>
        <v>28.91666667</v>
      </c>
      <c r="N6" s="1" t="s">
        <v>15</v>
      </c>
      <c r="O6" s="1" t="s">
        <v>16</v>
      </c>
    </row>
    <row r="7">
      <c r="A7" s="1" t="s">
        <v>26</v>
      </c>
      <c r="B7" s="1">
        <v>1.6202925E7</v>
      </c>
      <c r="C7" s="1" t="s">
        <v>27</v>
      </c>
      <c r="D7" s="1" t="s">
        <v>28</v>
      </c>
      <c r="E7" s="1" t="str">
        <f t="shared" si="1"/>
        <v>Antonio Johnson</v>
      </c>
      <c r="F7" s="1">
        <v>1.00050126E8</v>
      </c>
      <c r="G7" s="1" t="str">
        <f t="shared" si="2"/>
        <v>10005012622</v>
      </c>
      <c r="H7" s="2">
        <v>46023.0</v>
      </c>
      <c r="I7" s="2">
        <v>46059.0</v>
      </c>
      <c r="J7" s="1" t="s">
        <v>13</v>
      </c>
      <c r="K7" s="1" t="s">
        <v>14</v>
      </c>
      <c r="L7" s="3">
        <v>35.16</v>
      </c>
      <c r="M7" s="4">
        <f t="shared" si="3"/>
        <v>28.91666667</v>
      </c>
      <c r="N7" s="1" t="s">
        <v>15</v>
      </c>
      <c r="O7" s="1" t="s">
        <v>16</v>
      </c>
    </row>
    <row r="8">
      <c r="A8" s="1" t="s">
        <v>26</v>
      </c>
      <c r="B8" s="1">
        <v>1.6202925E7</v>
      </c>
      <c r="C8" s="1" t="s">
        <v>29</v>
      </c>
      <c r="D8" s="1" t="s">
        <v>30</v>
      </c>
      <c r="E8" s="1" t="str">
        <f t="shared" si="1"/>
        <v>Audrey Layton</v>
      </c>
      <c r="F8" s="1">
        <v>1.00050552E8</v>
      </c>
      <c r="G8" s="1" t="str">
        <f t="shared" si="2"/>
        <v>10005055222</v>
      </c>
      <c r="H8" s="2">
        <v>46023.0</v>
      </c>
      <c r="I8" s="2">
        <v>46059.0</v>
      </c>
      <c r="J8" s="1" t="s">
        <v>13</v>
      </c>
      <c r="K8" s="1" t="s">
        <v>14</v>
      </c>
      <c r="L8" s="3">
        <v>35.16</v>
      </c>
      <c r="M8" s="4">
        <f t="shared" si="3"/>
        <v>28.91666667</v>
      </c>
      <c r="N8" s="1" t="s">
        <v>15</v>
      </c>
      <c r="O8" s="1" t="s">
        <v>16</v>
      </c>
    </row>
    <row r="9">
      <c r="A9" s="1" t="s">
        <v>17</v>
      </c>
      <c r="B9" s="1">
        <v>9079571.0</v>
      </c>
      <c r="C9" s="1" t="s">
        <v>31</v>
      </c>
      <c r="D9" s="1" t="s">
        <v>21</v>
      </c>
      <c r="E9" s="1" t="str">
        <f t="shared" si="1"/>
        <v>Dennis Peterson</v>
      </c>
      <c r="F9" s="1">
        <v>1.0005183E8</v>
      </c>
      <c r="G9" s="1" t="str">
        <f t="shared" si="2"/>
        <v>10005183022</v>
      </c>
      <c r="H9" s="2">
        <v>46023.0</v>
      </c>
      <c r="I9" s="2">
        <v>46059.0</v>
      </c>
      <c r="J9" s="1" t="s">
        <v>13</v>
      </c>
      <c r="K9" s="1" t="s">
        <v>14</v>
      </c>
      <c r="L9" s="3">
        <v>35.16</v>
      </c>
      <c r="M9" s="4">
        <f t="shared" si="3"/>
        <v>28.91666667</v>
      </c>
      <c r="N9" s="1" t="s">
        <v>15</v>
      </c>
      <c r="O9" s="1" t="s">
        <v>16</v>
      </c>
    </row>
    <row r="10">
      <c r="A10" s="1" t="s">
        <v>26</v>
      </c>
      <c r="B10" s="1">
        <v>1.6202925E7</v>
      </c>
      <c r="C10" s="1" t="s">
        <v>32</v>
      </c>
      <c r="D10" s="1" t="s">
        <v>33</v>
      </c>
      <c r="E10" s="1" t="str">
        <f t="shared" si="1"/>
        <v>John Brown</v>
      </c>
      <c r="F10" s="1">
        <v>1.0005193E8</v>
      </c>
      <c r="G10" s="1" t="str">
        <f t="shared" si="2"/>
        <v>10005193022</v>
      </c>
      <c r="H10" s="2">
        <v>46023.0</v>
      </c>
      <c r="I10" s="2">
        <v>46059.0</v>
      </c>
      <c r="J10" s="1" t="s">
        <v>13</v>
      </c>
      <c r="K10" s="1" t="s">
        <v>14</v>
      </c>
      <c r="L10" s="3">
        <v>35.16</v>
      </c>
      <c r="M10" s="4">
        <f t="shared" si="3"/>
        <v>28.91666667</v>
      </c>
      <c r="N10" s="1" t="s">
        <v>15</v>
      </c>
      <c r="O10" s="1" t="s">
        <v>16</v>
      </c>
    </row>
    <row r="11">
      <c r="A11" s="1" t="s">
        <v>10</v>
      </c>
      <c r="B11" s="1">
        <v>1.719562E7</v>
      </c>
      <c r="C11" s="1" t="s">
        <v>34</v>
      </c>
      <c r="D11" s="1" t="s">
        <v>35</v>
      </c>
      <c r="E11" s="1" t="str">
        <f t="shared" si="1"/>
        <v>Wanda Crowell</v>
      </c>
      <c r="F11" s="1">
        <v>1.00518161E8</v>
      </c>
      <c r="G11" s="1" t="str">
        <f t="shared" si="2"/>
        <v>10051816122</v>
      </c>
      <c r="H11" s="2">
        <v>46023.0</v>
      </c>
      <c r="I11" s="2">
        <v>46059.0</v>
      </c>
      <c r="J11" s="1" t="s">
        <v>13</v>
      </c>
      <c r="K11" s="1" t="s">
        <v>14</v>
      </c>
      <c r="L11" s="3">
        <v>35.16</v>
      </c>
      <c r="M11" s="4">
        <f t="shared" si="3"/>
        <v>28.91666667</v>
      </c>
      <c r="N11" s="1" t="s">
        <v>15</v>
      </c>
      <c r="O11" s="1" t="s">
        <v>16</v>
      </c>
    </row>
    <row r="12">
      <c r="A12" s="1" t="s">
        <v>26</v>
      </c>
      <c r="B12" s="1">
        <v>1.6202925E7</v>
      </c>
      <c r="C12" s="1" t="s">
        <v>36</v>
      </c>
      <c r="D12" s="1" t="s">
        <v>37</v>
      </c>
      <c r="E12" s="1" t="str">
        <f t="shared" si="1"/>
        <v>James Burns Sr</v>
      </c>
      <c r="F12" s="1">
        <v>1.00558072E8</v>
      </c>
      <c r="G12" s="1" t="str">
        <f t="shared" si="2"/>
        <v>10055807222</v>
      </c>
      <c r="H12" s="2">
        <v>45597.0</v>
      </c>
      <c r="I12" s="2">
        <v>46059.0</v>
      </c>
      <c r="J12" s="1" t="s">
        <v>13</v>
      </c>
      <c r="K12" s="1" t="s">
        <v>14</v>
      </c>
      <c r="L12" s="3">
        <v>35.16</v>
      </c>
      <c r="M12" s="4">
        <f t="shared" si="3"/>
        <v>28.91666667</v>
      </c>
      <c r="N12" s="1" t="s">
        <v>15</v>
      </c>
      <c r="O12" s="1" t="s">
        <v>16</v>
      </c>
    </row>
    <row r="13">
      <c r="A13" s="1" t="s">
        <v>38</v>
      </c>
      <c r="B13" s="1">
        <v>1.5278437E7</v>
      </c>
      <c r="C13" s="1" t="s">
        <v>39</v>
      </c>
      <c r="D13" s="1" t="s">
        <v>40</v>
      </c>
      <c r="E13" s="1" t="str">
        <f t="shared" si="1"/>
        <v>Linda Bailey</v>
      </c>
      <c r="F13" s="1">
        <v>1.00559212E8</v>
      </c>
      <c r="G13" s="1" t="str">
        <f t="shared" si="2"/>
        <v>10055921222</v>
      </c>
      <c r="H13" s="2">
        <v>45627.0</v>
      </c>
      <c r="I13" s="2">
        <v>46059.0</v>
      </c>
      <c r="J13" s="1" t="s">
        <v>13</v>
      </c>
      <c r="K13" s="1" t="s">
        <v>14</v>
      </c>
      <c r="L13" s="3">
        <v>35.16</v>
      </c>
      <c r="M13" s="4">
        <f t="shared" si="3"/>
        <v>28.91666667</v>
      </c>
      <c r="N13" s="1" t="s">
        <v>15</v>
      </c>
      <c r="O13" s="1" t="s">
        <v>16</v>
      </c>
    </row>
    <row r="14">
      <c r="A14" s="1" t="s">
        <v>17</v>
      </c>
      <c r="B14" s="1">
        <v>9079571.0</v>
      </c>
      <c r="C14" s="1" t="s">
        <v>41</v>
      </c>
      <c r="D14" s="1" t="s">
        <v>42</v>
      </c>
      <c r="E14" s="1" t="str">
        <f t="shared" si="1"/>
        <v>Emma Mcphail</v>
      </c>
      <c r="F14" s="1">
        <v>1.00578061E8</v>
      </c>
      <c r="G14" s="1" t="str">
        <f t="shared" si="2"/>
        <v>10057806122</v>
      </c>
      <c r="H14" s="2">
        <v>45809.0</v>
      </c>
      <c r="I14" s="2">
        <v>46059.0</v>
      </c>
      <c r="J14" s="1" t="s">
        <v>13</v>
      </c>
      <c r="K14" s="1" t="s">
        <v>14</v>
      </c>
      <c r="L14" s="3">
        <v>35.16</v>
      </c>
      <c r="M14" s="4">
        <f t="shared" si="3"/>
        <v>28.91666667</v>
      </c>
      <c r="N14" s="1" t="s">
        <v>15</v>
      </c>
      <c r="O14" s="1" t="s">
        <v>16</v>
      </c>
    </row>
    <row r="15">
      <c r="A15" s="1" t="s">
        <v>17</v>
      </c>
      <c r="B15" s="1">
        <v>9079571.0</v>
      </c>
      <c r="C15" s="1" t="s">
        <v>43</v>
      </c>
      <c r="D15" s="1" t="s">
        <v>44</v>
      </c>
      <c r="E15" s="1" t="str">
        <f t="shared" si="1"/>
        <v>Robert Ray</v>
      </c>
      <c r="F15" s="1">
        <v>1.00578062E8</v>
      </c>
      <c r="G15" s="1" t="str">
        <f t="shared" si="2"/>
        <v>10057806222</v>
      </c>
      <c r="H15" s="2">
        <v>45809.0</v>
      </c>
      <c r="I15" s="2">
        <v>46059.0</v>
      </c>
      <c r="J15" s="1" t="s">
        <v>13</v>
      </c>
      <c r="K15" s="1" t="s">
        <v>14</v>
      </c>
      <c r="L15" s="3">
        <v>35.16</v>
      </c>
      <c r="M15" s="4">
        <f t="shared" si="3"/>
        <v>28.91666667</v>
      </c>
      <c r="N15" s="1" t="s">
        <v>15</v>
      </c>
      <c r="O15" s="1" t="s">
        <v>16</v>
      </c>
    </row>
    <row r="16">
      <c r="A16" s="1" t="s">
        <v>17</v>
      </c>
      <c r="B16" s="1">
        <v>9079571.0</v>
      </c>
      <c r="C16" s="1" t="s">
        <v>45</v>
      </c>
      <c r="D16" s="1" t="s">
        <v>46</v>
      </c>
      <c r="E16" s="1" t="str">
        <f t="shared" si="1"/>
        <v>Judith Bradley Ray</v>
      </c>
      <c r="F16" s="1">
        <v>1.00578063E8</v>
      </c>
      <c r="G16" s="1" t="str">
        <f t="shared" si="2"/>
        <v>10057806322</v>
      </c>
      <c r="H16" s="2">
        <v>45809.0</v>
      </c>
      <c r="I16" s="2">
        <v>46059.0</v>
      </c>
      <c r="J16" s="1" t="s">
        <v>13</v>
      </c>
      <c r="K16" s="1" t="s">
        <v>14</v>
      </c>
      <c r="L16" s="3">
        <v>35.16</v>
      </c>
      <c r="M16" s="4">
        <f t="shared" si="3"/>
        <v>28.91666667</v>
      </c>
      <c r="N16" s="1" t="s">
        <v>15</v>
      </c>
      <c r="O16" s="1" t="s">
        <v>16</v>
      </c>
    </row>
    <row r="17">
      <c r="A17" s="1" t="s">
        <v>17</v>
      </c>
      <c r="B17" s="1">
        <v>9079571.0</v>
      </c>
      <c r="C17" s="1" t="s">
        <v>47</v>
      </c>
      <c r="D17" s="1" t="s">
        <v>48</v>
      </c>
      <c r="E17" s="1" t="str">
        <f t="shared" si="1"/>
        <v>Marcella Ryckman</v>
      </c>
      <c r="F17" s="1">
        <v>1.00582352E8</v>
      </c>
      <c r="G17" s="1" t="str">
        <f t="shared" si="2"/>
        <v>10058235222</v>
      </c>
      <c r="H17" s="2">
        <v>45962.0</v>
      </c>
      <c r="I17" s="2">
        <v>46059.0</v>
      </c>
      <c r="J17" s="1" t="s">
        <v>13</v>
      </c>
      <c r="K17" s="1" t="s">
        <v>14</v>
      </c>
      <c r="L17" s="3">
        <v>35.16</v>
      </c>
      <c r="M17" s="4">
        <f t="shared" si="3"/>
        <v>28.91666667</v>
      </c>
      <c r="N17" s="1" t="s">
        <v>15</v>
      </c>
      <c r="O17" s="1" t="s">
        <v>16</v>
      </c>
    </row>
    <row r="18">
      <c r="A18" s="1" t="s">
        <v>26</v>
      </c>
      <c r="B18" s="1">
        <v>1.6202925E7</v>
      </c>
      <c r="C18" s="1" t="s">
        <v>49</v>
      </c>
      <c r="D18" s="1" t="s">
        <v>50</v>
      </c>
      <c r="E18" s="1" t="str">
        <f t="shared" si="1"/>
        <v>Deborah Liberto</v>
      </c>
      <c r="F18" s="1">
        <v>1.00510112E8</v>
      </c>
      <c r="G18" s="1" t="str">
        <f t="shared" ref="G18:G31" si="4">CONCATENATE(F18,33)</f>
        <v>10051011233</v>
      </c>
      <c r="H18" s="2">
        <v>46023.0</v>
      </c>
      <c r="I18" s="2">
        <v>46059.0</v>
      </c>
      <c r="J18" s="1" t="s">
        <v>13</v>
      </c>
      <c r="K18" s="1" t="s">
        <v>51</v>
      </c>
      <c r="L18" s="3">
        <v>487.0</v>
      </c>
      <c r="M18" s="1">
        <v>347.0</v>
      </c>
      <c r="N18" s="1" t="s">
        <v>15</v>
      </c>
      <c r="O18" s="1" t="s">
        <v>52</v>
      </c>
    </row>
    <row r="19">
      <c r="A19" s="1" t="s">
        <v>26</v>
      </c>
      <c r="B19" s="1">
        <v>1.6202925E7</v>
      </c>
      <c r="C19" s="1" t="s">
        <v>53</v>
      </c>
      <c r="D19" s="1" t="s">
        <v>54</v>
      </c>
      <c r="E19" s="1" t="str">
        <f t="shared" si="1"/>
        <v>Victoria Greene</v>
      </c>
      <c r="F19" s="1">
        <v>1.00583805E8</v>
      </c>
      <c r="G19" s="1" t="str">
        <f t="shared" si="4"/>
        <v>10058380533</v>
      </c>
      <c r="H19" s="2">
        <v>46023.0</v>
      </c>
      <c r="I19" s="2">
        <v>46059.0</v>
      </c>
      <c r="J19" s="1" t="s">
        <v>13</v>
      </c>
      <c r="K19" s="1" t="s">
        <v>51</v>
      </c>
      <c r="L19" s="3">
        <v>487.0</v>
      </c>
      <c r="M19" s="1">
        <v>347.0</v>
      </c>
      <c r="N19" s="1" t="s">
        <v>15</v>
      </c>
      <c r="O19" s="1" t="s">
        <v>52</v>
      </c>
    </row>
    <row r="20">
      <c r="A20" s="1" t="s">
        <v>17</v>
      </c>
      <c r="B20" s="1">
        <v>9079571.0</v>
      </c>
      <c r="C20" s="1" t="s">
        <v>55</v>
      </c>
      <c r="D20" s="1" t="s">
        <v>56</v>
      </c>
      <c r="E20" s="1" t="str">
        <f t="shared" si="1"/>
        <v>Paul Schneider</v>
      </c>
      <c r="F20" s="1">
        <v>1.00583885E8</v>
      </c>
      <c r="G20" s="1" t="str">
        <f t="shared" si="4"/>
        <v>10058388533</v>
      </c>
      <c r="H20" s="2">
        <v>46023.0</v>
      </c>
      <c r="I20" s="2">
        <v>46059.0</v>
      </c>
      <c r="J20" s="1" t="s">
        <v>13</v>
      </c>
      <c r="K20" s="1" t="s">
        <v>51</v>
      </c>
      <c r="L20" s="3">
        <v>487.0</v>
      </c>
      <c r="M20" s="1">
        <v>347.0</v>
      </c>
      <c r="N20" s="1" t="s">
        <v>15</v>
      </c>
      <c r="O20" s="1" t="s">
        <v>52</v>
      </c>
    </row>
    <row r="21" ht="15.75" customHeight="1">
      <c r="A21" s="1" t="s">
        <v>26</v>
      </c>
      <c r="B21" s="1">
        <v>1.6202925E7</v>
      </c>
      <c r="C21" s="1" t="s">
        <v>57</v>
      </c>
      <c r="D21" s="1" t="s">
        <v>58</v>
      </c>
      <c r="E21" s="1" t="str">
        <f t="shared" si="1"/>
        <v>Albert Wheeler</v>
      </c>
      <c r="F21" s="1">
        <v>1.00583894E8</v>
      </c>
      <c r="G21" s="1" t="str">
        <f t="shared" si="4"/>
        <v>10058389433</v>
      </c>
      <c r="H21" s="2">
        <v>46023.0</v>
      </c>
      <c r="I21" s="2">
        <v>46059.0</v>
      </c>
      <c r="J21" s="1" t="s">
        <v>13</v>
      </c>
      <c r="K21" s="1" t="s">
        <v>51</v>
      </c>
      <c r="L21" s="3">
        <v>487.0</v>
      </c>
      <c r="M21" s="1">
        <v>347.0</v>
      </c>
      <c r="N21" s="1" t="s">
        <v>15</v>
      </c>
      <c r="O21" s="1" t="s">
        <v>52</v>
      </c>
    </row>
    <row r="22" ht="15.75" customHeight="1">
      <c r="A22" s="1" t="s">
        <v>26</v>
      </c>
      <c r="B22" s="1">
        <v>1.6202925E7</v>
      </c>
      <c r="C22" s="1" t="s">
        <v>59</v>
      </c>
      <c r="D22" s="1" t="s">
        <v>58</v>
      </c>
      <c r="E22" s="1" t="str">
        <f t="shared" si="1"/>
        <v>Rebecca Wheeler</v>
      </c>
      <c r="F22" s="1">
        <v>1.00583926E8</v>
      </c>
      <c r="G22" s="1" t="str">
        <f t="shared" si="4"/>
        <v>10058392633</v>
      </c>
      <c r="H22" s="2">
        <v>46023.0</v>
      </c>
      <c r="I22" s="2">
        <v>46059.0</v>
      </c>
      <c r="J22" s="1" t="s">
        <v>13</v>
      </c>
      <c r="K22" s="1" t="s">
        <v>51</v>
      </c>
      <c r="L22" s="3">
        <v>487.0</v>
      </c>
      <c r="M22" s="1">
        <v>347.0</v>
      </c>
      <c r="N22" s="1" t="s">
        <v>15</v>
      </c>
      <c r="O22" s="1" t="s">
        <v>52</v>
      </c>
    </row>
    <row r="23" ht="15.75" customHeight="1">
      <c r="A23" s="1" t="s">
        <v>26</v>
      </c>
      <c r="B23" s="1">
        <v>1.6202925E7</v>
      </c>
      <c r="C23" s="1" t="s">
        <v>60</v>
      </c>
      <c r="D23" s="1" t="s">
        <v>61</v>
      </c>
      <c r="E23" s="1" t="str">
        <f t="shared" si="1"/>
        <v>Deroy Hervey</v>
      </c>
      <c r="F23" s="1">
        <v>1.00584156E8</v>
      </c>
      <c r="G23" s="1" t="str">
        <f t="shared" si="4"/>
        <v>10058415633</v>
      </c>
      <c r="H23" s="2">
        <v>46023.0</v>
      </c>
      <c r="I23" s="2">
        <v>46059.0</v>
      </c>
      <c r="J23" s="1" t="s">
        <v>13</v>
      </c>
      <c r="K23" s="1" t="s">
        <v>51</v>
      </c>
      <c r="L23" s="3">
        <v>487.0</v>
      </c>
      <c r="M23" s="1">
        <v>347.0</v>
      </c>
      <c r="N23" s="1" t="s">
        <v>15</v>
      </c>
      <c r="O23" s="1" t="s">
        <v>52</v>
      </c>
    </row>
    <row r="24" ht="15.75" customHeight="1">
      <c r="A24" s="1" t="s">
        <v>26</v>
      </c>
      <c r="B24" s="1">
        <v>1.6202925E7</v>
      </c>
      <c r="C24" s="1" t="s">
        <v>62</v>
      </c>
      <c r="D24" s="1" t="s">
        <v>63</v>
      </c>
      <c r="E24" s="1" t="str">
        <f t="shared" si="1"/>
        <v>Juliana Moraldo Hervey</v>
      </c>
      <c r="F24" s="1">
        <v>1.00584162E8</v>
      </c>
      <c r="G24" s="1" t="str">
        <f t="shared" si="4"/>
        <v>10058416233</v>
      </c>
      <c r="H24" s="2">
        <v>46023.0</v>
      </c>
      <c r="I24" s="2">
        <v>46059.0</v>
      </c>
      <c r="J24" s="1" t="s">
        <v>13</v>
      </c>
      <c r="K24" s="1" t="s">
        <v>51</v>
      </c>
      <c r="L24" s="3">
        <v>487.0</v>
      </c>
      <c r="M24" s="1">
        <v>347.0</v>
      </c>
      <c r="N24" s="1" t="s">
        <v>15</v>
      </c>
      <c r="O24" s="1" t="s">
        <v>52</v>
      </c>
    </row>
    <row r="25" ht="15.75" customHeight="1">
      <c r="A25" s="1" t="s">
        <v>26</v>
      </c>
      <c r="B25" s="1">
        <v>1.6202925E7</v>
      </c>
      <c r="C25" s="1" t="s">
        <v>64</v>
      </c>
      <c r="D25" s="1" t="s">
        <v>65</v>
      </c>
      <c r="E25" s="1" t="str">
        <f t="shared" si="1"/>
        <v>Patricia Summers</v>
      </c>
      <c r="F25" s="1">
        <v>1.00586681E8</v>
      </c>
      <c r="G25" s="1" t="str">
        <f t="shared" si="4"/>
        <v>10058668133</v>
      </c>
      <c r="H25" s="2">
        <v>46023.0</v>
      </c>
      <c r="I25" s="2">
        <v>46059.0</v>
      </c>
      <c r="J25" s="1" t="s">
        <v>13</v>
      </c>
      <c r="K25" s="1" t="s">
        <v>51</v>
      </c>
      <c r="L25" s="3">
        <v>487.0</v>
      </c>
      <c r="M25" s="1">
        <v>347.0</v>
      </c>
      <c r="N25" s="1" t="s">
        <v>15</v>
      </c>
      <c r="O25" s="1" t="s">
        <v>52</v>
      </c>
    </row>
    <row r="26" ht="15.75" customHeight="1">
      <c r="A26" s="1" t="s">
        <v>26</v>
      </c>
      <c r="B26" s="1">
        <v>1.6202925E7</v>
      </c>
      <c r="C26" s="1" t="s">
        <v>66</v>
      </c>
      <c r="D26" s="1" t="s">
        <v>67</v>
      </c>
      <c r="E26" s="1" t="str">
        <f t="shared" si="1"/>
        <v>Gerard Croft</v>
      </c>
      <c r="F26" s="1">
        <v>1.00587069E8</v>
      </c>
      <c r="G26" s="1" t="str">
        <f t="shared" si="4"/>
        <v>10058706933</v>
      </c>
      <c r="H26" s="2">
        <v>46023.0</v>
      </c>
      <c r="I26" s="2">
        <v>46059.0</v>
      </c>
      <c r="J26" s="1" t="s">
        <v>13</v>
      </c>
      <c r="K26" s="1" t="s">
        <v>51</v>
      </c>
      <c r="L26" s="3">
        <v>487.0</v>
      </c>
      <c r="M26" s="1">
        <v>347.0</v>
      </c>
      <c r="N26" s="1" t="s">
        <v>15</v>
      </c>
      <c r="O26" s="1" t="s">
        <v>52</v>
      </c>
    </row>
    <row r="27" ht="15.75" customHeight="1">
      <c r="A27" s="1" t="s">
        <v>17</v>
      </c>
      <c r="B27" s="1">
        <v>9079571.0</v>
      </c>
      <c r="C27" s="1" t="s">
        <v>39</v>
      </c>
      <c r="D27" s="1" t="s">
        <v>68</v>
      </c>
      <c r="E27" s="1" t="str">
        <f t="shared" si="1"/>
        <v>Linda Roberts</v>
      </c>
      <c r="F27" s="1">
        <v>1.00587724E8</v>
      </c>
      <c r="G27" s="1" t="str">
        <f t="shared" si="4"/>
        <v>10058772433</v>
      </c>
      <c r="H27" s="2">
        <v>46023.0</v>
      </c>
      <c r="I27" s="2">
        <v>46059.0</v>
      </c>
      <c r="J27" s="1" t="s">
        <v>13</v>
      </c>
      <c r="K27" s="1" t="s">
        <v>51</v>
      </c>
      <c r="L27" s="3">
        <v>487.0</v>
      </c>
      <c r="M27" s="1">
        <v>347.0</v>
      </c>
      <c r="N27" s="1" t="s">
        <v>15</v>
      </c>
      <c r="O27" s="1" t="s">
        <v>52</v>
      </c>
    </row>
    <row r="28" ht="15.75" customHeight="1">
      <c r="A28" s="1" t="s">
        <v>17</v>
      </c>
      <c r="B28" s="1">
        <v>9079571.0</v>
      </c>
      <c r="C28" s="1" t="s">
        <v>69</v>
      </c>
      <c r="D28" s="1" t="s">
        <v>68</v>
      </c>
      <c r="E28" s="1" t="str">
        <f t="shared" si="1"/>
        <v>Bryan Roberts</v>
      </c>
      <c r="F28" s="1">
        <v>1.00587728E8</v>
      </c>
      <c r="G28" s="1" t="str">
        <f t="shared" si="4"/>
        <v>10058772833</v>
      </c>
      <c r="H28" s="2">
        <v>46023.0</v>
      </c>
      <c r="I28" s="2">
        <v>46059.0</v>
      </c>
      <c r="J28" s="1" t="s">
        <v>13</v>
      </c>
      <c r="K28" s="1" t="s">
        <v>51</v>
      </c>
      <c r="L28" s="3">
        <v>487.0</v>
      </c>
      <c r="M28" s="1">
        <v>347.0</v>
      </c>
      <c r="N28" s="1" t="s">
        <v>15</v>
      </c>
      <c r="O28" s="1" t="s">
        <v>52</v>
      </c>
    </row>
    <row r="29" ht="15.75" customHeight="1">
      <c r="A29" s="1" t="s">
        <v>17</v>
      </c>
      <c r="B29" s="1">
        <v>9079571.0</v>
      </c>
      <c r="C29" s="1" t="s">
        <v>70</v>
      </c>
      <c r="D29" s="1" t="s">
        <v>71</v>
      </c>
      <c r="E29" s="1" t="str">
        <f t="shared" si="1"/>
        <v>Ralph Dick</v>
      </c>
      <c r="F29" s="1">
        <v>1.0058778E8</v>
      </c>
      <c r="G29" s="1" t="str">
        <f t="shared" si="4"/>
        <v>10058778033</v>
      </c>
      <c r="H29" s="2">
        <v>46023.0</v>
      </c>
      <c r="I29" s="2">
        <v>46059.0</v>
      </c>
      <c r="J29" s="1" t="s">
        <v>13</v>
      </c>
      <c r="K29" s="1" t="s">
        <v>51</v>
      </c>
      <c r="L29" s="3">
        <v>487.0</v>
      </c>
      <c r="M29" s="1">
        <v>347.0</v>
      </c>
      <c r="N29" s="1" t="s">
        <v>15</v>
      </c>
      <c r="O29" s="1" t="s">
        <v>52</v>
      </c>
    </row>
    <row r="30" ht="15.75" customHeight="1">
      <c r="A30" s="1" t="s">
        <v>26</v>
      </c>
      <c r="B30" s="1">
        <v>1.6202925E7</v>
      </c>
      <c r="C30" s="1" t="s">
        <v>72</v>
      </c>
      <c r="D30" s="1" t="s">
        <v>73</v>
      </c>
      <c r="E30" s="1" t="str">
        <f t="shared" si="1"/>
        <v>George Condon Ii</v>
      </c>
      <c r="F30" s="1">
        <v>1.0059208E8</v>
      </c>
      <c r="G30" s="1" t="str">
        <f t="shared" si="4"/>
        <v>10059208033</v>
      </c>
      <c r="H30" s="2">
        <v>46023.0</v>
      </c>
      <c r="I30" s="2">
        <v>46059.0</v>
      </c>
      <c r="J30" s="1" t="s">
        <v>13</v>
      </c>
      <c r="K30" s="1" t="s">
        <v>51</v>
      </c>
      <c r="L30" s="3">
        <v>487.0</v>
      </c>
      <c r="M30" s="1">
        <v>347.0</v>
      </c>
      <c r="N30" s="1" t="s">
        <v>15</v>
      </c>
      <c r="O30" s="1" t="s">
        <v>52</v>
      </c>
    </row>
    <row r="31" ht="15.75" customHeight="1">
      <c r="A31" s="1" t="s">
        <v>17</v>
      </c>
      <c r="B31" s="1">
        <v>9079571.0</v>
      </c>
      <c r="C31" s="1" t="s">
        <v>74</v>
      </c>
      <c r="D31" s="1" t="s">
        <v>75</v>
      </c>
      <c r="E31" s="1" t="str">
        <f t="shared" si="1"/>
        <v>Aisha Jackson</v>
      </c>
      <c r="F31" s="1">
        <v>1.0059224E8</v>
      </c>
      <c r="G31" s="1" t="str">
        <f t="shared" si="4"/>
        <v>10059224033</v>
      </c>
      <c r="H31" s="2">
        <v>46023.0</v>
      </c>
      <c r="I31" s="2">
        <v>46059.0</v>
      </c>
      <c r="J31" s="1" t="s">
        <v>13</v>
      </c>
      <c r="K31" s="1" t="s">
        <v>51</v>
      </c>
      <c r="L31" s="3">
        <v>487.0</v>
      </c>
      <c r="M31" s="1">
        <v>347.0</v>
      </c>
      <c r="N31" s="1" t="s">
        <v>15</v>
      </c>
      <c r="O31" s="1" t="s">
        <v>52</v>
      </c>
    </row>
    <row r="32" ht="15.75" customHeight="1">
      <c r="A32" s="5" t="s">
        <v>76</v>
      </c>
      <c r="B32" s="5">
        <v>2.0411454E7</v>
      </c>
      <c r="C32" s="5" t="s">
        <v>11</v>
      </c>
      <c r="D32" s="5" t="s">
        <v>12</v>
      </c>
      <c r="E32" s="1" t="str">
        <f t="shared" si="1"/>
        <v>Daisy Nelson</v>
      </c>
      <c r="F32" s="5">
        <v>1.00002926E8</v>
      </c>
      <c r="G32" s="5" t="str">
        <f t="shared" ref="G32:G61" si="5">CONCATENATE(F32,"OVR")</f>
        <v>100002926OVR</v>
      </c>
      <c r="H32" s="6">
        <v>46023.0</v>
      </c>
      <c r="I32" s="6">
        <v>46059.0</v>
      </c>
      <c r="J32" s="5" t="s">
        <v>13</v>
      </c>
      <c r="K32" s="5" t="s">
        <v>14</v>
      </c>
      <c r="L32" s="7">
        <v>35.16</v>
      </c>
      <c r="M32" s="5">
        <f t="shared" ref="M32:M47" si="6">35.16-28.92</f>
        <v>6.24</v>
      </c>
      <c r="N32" s="5" t="s">
        <v>77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 t="s">
        <v>76</v>
      </c>
      <c r="B33" s="5">
        <v>2.0411454E7</v>
      </c>
      <c r="C33" s="5" t="s">
        <v>18</v>
      </c>
      <c r="D33" s="5" t="s">
        <v>19</v>
      </c>
      <c r="E33" s="1" t="str">
        <f t="shared" si="1"/>
        <v>Kathleen Galliano Dignan</v>
      </c>
      <c r="F33" s="5">
        <v>1.00013086E8</v>
      </c>
      <c r="G33" s="5" t="str">
        <f t="shared" si="5"/>
        <v>100013086OVR</v>
      </c>
      <c r="H33" s="6">
        <v>46023.0</v>
      </c>
      <c r="I33" s="6">
        <v>46059.0</v>
      </c>
      <c r="J33" s="5" t="s">
        <v>13</v>
      </c>
      <c r="K33" s="5" t="s">
        <v>14</v>
      </c>
      <c r="L33" s="7">
        <v>35.16</v>
      </c>
      <c r="M33" s="5">
        <f t="shared" si="6"/>
        <v>6.24</v>
      </c>
      <c r="N33" s="5" t="s">
        <v>77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 t="s">
        <v>76</v>
      </c>
      <c r="B34" s="5">
        <v>2.0411454E7</v>
      </c>
      <c r="C34" s="5" t="s">
        <v>20</v>
      </c>
      <c r="D34" s="5" t="s">
        <v>21</v>
      </c>
      <c r="E34" s="1" t="str">
        <f t="shared" si="1"/>
        <v>Dolores Peterson</v>
      </c>
      <c r="F34" s="5">
        <v>1.00013428E8</v>
      </c>
      <c r="G34" s="5" t="str">
        <f t="shared" si="5"/>
        <v>100013428OVR</v>
      </c>
      <c r="H34" s="6">
        <v>46023.0</v>
      </c>
      <c r="I34" s="6">
        <v>46059.0</v>
      </c>
      <c r="J34" s="5" t="s">
        <v>13</v>
      </c>
      <c r="K34" s="5" t="s">
        <v>14</v>
      </c>
      <c r="L34" s="7">
        <v>35.16</v>
      </c>
      <c r="M34" s="5">
        <f t="shared" si="6"/>
        <v>6.24</v>
      </c>
      <c r="N34" s="5" t="s">
        <v>77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 t="s">
        <v>76</v>
      </c>
      <c r="B35" s="5">
        <v>2.0411454E7</v>
      </c>
      <c r="C35" s="5" t="s">
        <v>22</v>
      </c>
      <c r="D35" s="5" t="s">
        <v>23</v>
      </c>
      <c r="E35" s="1" t="str">
        <f t="shared" si="1"/>
        <v>Laura Yli Piipari</v>
      </c>
      <c r="F35" s="5">
        <v>1.00025676E8</v>
      </c>
      <c r="G35" s="5" t="str">
        <f t="shared" si="5"/>
        <v>100025676OVR</v>
      </c>
      <c r="H35" s="6">
        <v>46023.0</v>
      </c>
      <c r="I35" s="6">
        <v>46059.0</v>
      </c>
      <c r="J35" s="5" t="s">
        <v>13</v>
      </c>
      <c r="K35" s="5" t="s">
        <v>14</v>
      </c>
      <c r="L35" s="7">
        <v>35.16</v>
      </c>
      <c r="M35" s="5">
        <f t="shared" si="6"/>
        <v>6.24</v>
      </c>
      <c r="N35" s="5" t="s">
        <v>77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 t="s">
        <v>76</v>
      </c>
      <c r="B36" s="5">
        <v>2.0411454E7</v>
      </c>
      <c r="C36" s="5" t="s">
        <v>24</v>
      </c>
      <c r="D36" s="5" t="s">
        <v>25</v>
      </c>
      <c r="E36" s="1" t="str">
        <f t="shared" si="1"/>
        <v>Edward West</v>
      </c>
      <c r="F36" s="5">
        <v>1.00047864E8</v>
      </c>
      <c r="G36" s="5" t="str">
        <f t="shared" si="5"/>
        <v>100047864OVR</v>
      </c>
      <c r="H36" s="6">
        <v>46023.0</v>
      </c>
      <c r="I36" s="6">
        <v>46059.0</v>
      </c>
      <c r="J36" s="5" t="s">
        <v>13</v>
      </c>
      <c r="K36" s="5" t="s">
        <v>14</v>
      </c>
      <c r="L36" s="7">
        <v>35.16</v>
      </c>
      <c r="M36" s="5">
        <f t="shared" si="6"/>
        <v>6.24</v>
      </c>
      <c r="N36" s="5" t="s">
        <v>77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 t="s">
        <v>76</v>
      </c>
      <c r="B37" s="5">
        <v>2.0411454E7</v>
      </c>
      <c r="C37" s="5" t="s">
        <v>27</v>
      </c>
      <c r="D37" s="5" t="s">
        <v>28</v>
      </c>
      <c r="E37" s="1" t="str">
        <f t="shared" si="1"/>
        <v>Antonio Johnson</v>
      </c>
      <c r="F37" s="5">
        <v>1.00050126E8</v>
      </c>
      <c r="G37" s="5" t="str">
        <f t="shared" si="5"/>
        <v>100050126OVR</v>
      </c>
      <c r="H37" s="6">
        <v>46023.0</v>
      </c>
      <c r="I37" s="6">
        <v>46059.0</v>
      </c>
      <c r="J37" s="5" t="s">
        <v>13</v>
      </c>
      <c r="K37" s="5" t="s">
        <v>14</v>
      </c>
      <c r="L37" s="7">
        <v>35.16</v>
      </c>
      <c r="M37" s="5">
        <f t="shared" si="6"/>
        <v>6.24</v>
      </c>
      <c r="N37" s="5" t="s">
        <v>77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 t="s">
        <v>76</v>
      </c>
      <c r="B38" s="5">
        <v>2.0411454E7</v>
      </c>
      <c r="C38" s="5" t="s">
        <v>29</v>
      </c>
      <c r="D38" s="5" t="s">
        <v>30</v>
      </c>
      <c r="E38" s="1" t="str">
        <f t="shared" si="1"/>
        <v>Audrey Layton</v>
      </c>
      <c r="F38" s="5">
        <v>1.00050552E8</v>
      </c>
      <c r="G38" s="5" t="str">
        <f t="shared" si="5"/>
        <v>100050552OVR</v>
      </c>
      <c r="H38" s="6">
        <v>46023.0</v>
      </c>
      <c r="I38" s="6">
        <v>46059.0</v>
      </c>
      <c r="J38" s="5" t="s">
        <v>13</v>
      </c>
      <c r="K38" s="5" t="s">
        <v>14</v>
      </c>
      <c r="L38" s="7">
        <v>35.16</v>
      </c>
      <c r="M38" s="5">
        <f t="shared" si="6"/>
        <v>6.24</v>
      </c>
      <c r="N38" s="5" t="s">
        <v>77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 t="s">
        <v>76</v>
      </c>
      <c r="B39" s="5">
        <v>2.0411454E7</v>
      </c>
      <c r="C39" s="5" t="s">
        <v>31</v>
      </c>
      <c r="D39" s="5" t="s">
        <v>21</v>
      </c>
      <c r="E39" s="1" t="str">
        <f t="shared" si="1"/>
        <v>Dennis Peterson</v>
      </c>
      <c r="F39" s="5">
        <v>1.0005183E8</v>
      </c>
      <c r="G39" s="5" t="str">
        <f t="shared" si="5"/>
        <v>100051830OVR</v>
      </c>
      <c r="H39" s="6">
        <v>46023.0</v>
      </c>
      <c r="I39" s="6">
        <v>46059.0</v>
      </c>
      <c r="J39" s="5" t="s">
        <v>13</v>
      </c>
      <c r="K39" s="5" t="s">
        <v>14</v>
      </c>
      <c r="L39" s="7">
        <v>35.16</v>
      </c>
      <c r="M39" s="5">
        <f t="shared" si="6"/>
        <v>6.24</v>
      </c>
      <c r="N39" s="5" t="s">
        <v>77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 t="s">
        <v>76</v>
      </c>
      <c r="B40" s="5">
        <v>2.0411454E7</v>
      </c>
      <c r="C40" s="5" t="s">
        <v>32</v>
      </c>
      <c r="D40" s="5" t="s">
        <v>33</v>
      </c>
      <c r="E40" s="1" t="str">
        <f t="shared" si="1"/>
        <v>John Brown</v>
      </c>
      <c r="F40" s="5">
        <v>1.0005193E8</v>
      </c>
      <c r="G40" s="5" t="str">
        <f t="shared" si="5"/>
        <v>100051930OVR</v>
      </c>
      <c r="H40" s="6">
        <v>46023.0</v>
      </c>
      <c r="I40" s="6">
        <v>46059.0</v>
      </c>
      <c r="J40" s="5" t="s">
        <v>13</v>
      </c>
      <c r="K40" s="5" t="s">
        <v>14</v>
      </c>
      <c r="L40" s="7">
        <v>35.16</v>
      </c>
      <c r="M40" s="5">
        <f t="shared" si="6"/>
        <v>6.24</v>
      </c>
      <c r="N40" s="5" t="s">
        <v>77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 t="s">
        <v>76</v>
      </c>
      <c r="B41" s="5">
        <v>2.0411454E7</v>
      </c>
      <c r="C41" s="5" t="s">
        <v>34</v>
      </c>
      <c r="D41" s="5" t="s">
        <v>35</v>
      </c>
      <c r="E41" s="1" t="str">
        <f t="shared" si="1"/>
        <v>Wanda Crowell</v>
      </c>
      <c r="F41" s="5">
        <v>1.00518161E8</v>
      </c>
      <c r="G41" s="5" t="str">
        <f t="shared" si="5"/>
        <v>100518161OVR</v>
      </c>
      <c r="H41" s="6">
        <v>46023.0</v>
      </c>
      <c r="I41" s="6">
        <v>46059.0</v>
      </c>
      <c r="J41" s="5" t="s">
        <v>13</v>
      </c>
      <c r="K41" s="5" t="s">
        <v>14</v>
      </c>
      <c r="L41" s="7">
        <v>35.16</v>
      </c>
      <c r="M41" s="5">
        <f t="shared" si="6"/>
        <v>6.24</v>
      </c>
      <c r="N41" s="5" t="s">
        <v>77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 t="s">
        <v>76</v>
      </c>
      <c r="B42" s="5">
        <v>2.0411454E7</v>
      </c>
      <c r="C42" s="5" t="s">
        <v>36</v>
      </c>
      <c r="D42" s="5" t="s">
        <v>37</v>
      </c>
      <c r="E42" s="1" t="str">
        <f t="shared" si="1"/>
        <v>James Burns Sr</v>
      </c>
      <c r="F42" s="5">
        <v>1.00558072E8</v>
      </c>
      <c r="G42" s="5" t="str">
        <f t="shared" si="5"/>
        <v>100558072OVR</v>
      </c>
      <c r="H42" s="6">
        <v>45597.0</v>
      </c>
      <c r="I42" s="6">
        <v>46059.0</v>
      </c>
      <c r="J42" s="5" t="s">
        <v>13</v>
      </c>
      <c r="K42" s="5" t="s">
        <v>14</v>
      </c>
      <c r="L42" s="7">
        <v>35.16</v>
      </c>
      <c r="M42" s="5">
        <f t="shared" si="6"/>
        <v>6.24</v>
      </c>
      <c r="N42" s="5" t="s">
        <v>77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 t="s">
        <v>76</v>
      </c>
      <c r="B43" s="5">
        <v>2.0411454E7</v>
      </c>
      <c r="C43" s="5" t="s">
        <v>39</v>
      </c>
      <c r="D43" s="5" t="s">
        <v>40</v>
      </c>
      <c r="E43" s="1" t="str">
        <f t="shared" si="1"/>
        <v>Linda Bailey</v>
      </c>
      <c r="F43" s="5">
        <v>1.00559212E8</v>
      </c>
      <c r="G43" s="5" t="str">
        <f t="shared" si="5"/>
        <v>100559212OVR</v>
      </c>
      <c r="H43" s="6">
        <v>45627.0</v>
      </c>
      <c r="I43" s="6">
        <v>46059.0</v>
      </c>
      <c r="J43" s="5" t="s">
        <v>13</v>
      </c>
      <c r="K43" s="5" t="s">
        <v>14</v>
      </c>
      <c r="L43" s="7">
        <v>35.16</v>
      </c>
      <c r="M43" s="5">
        <f t="shared" si="6"/>
        <v>6.24</v>
      </c>
      <c r="N43" s="5" t="s">
        <v>77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 t="s">
        <v>76</v>
      </c>
      <c r="B44" s="5">
        <v>2.0411454E7</v>
      </c>
      <c r="C44" s="5" t="s">
        <v>41</v>
      </c>
      <c r="D44" s="5" t="s">
        <v>42</v>
      </c>
      <c r="E44" s="1" t="str">
        <f t="shared" si="1"/>
        <v>Emma Mcphail</v>
      </c>
      <c r="F44" s="5">
        <v>1.00578061E8</v>
      </c>
      <c r="G44" s="5" t="str">
        <f t="shared" si="5"/>
        <v>100578061OVR</v>
      </c>
      <c r="H44" s="6">
        <v>45809.0</v>
      </c>
      <c r="I44" s="6">
        <v>46059.0</v>
      </c>
      <c r="J44" s="5" t="s">
        <v>13</v>
      </c>
      <c r="K44" s="5" t="s">
        <v>14</v>
      </c>
      <c r="L44" s="7">
        <v>35.16</v>
      </c>
      <c r="M44" s="5">
        <f t="shared" si="6"/>
        <v>6.24</v>
      </c>
      <c r="N44" s="5" t="s">
        <v>77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 t="s">
        <v>76</v>
      </c>
      <c r="B45" s="5">
        <v>2.0411454E7</v>
      </c>
      <c r="C45" s="5" t="s">
        <v>43</v>
      </c>
      <c r="D45" s="5" t="s">
        <v>44</v>
      </c>
      <c r="E45" s="1" t="str">
        <f t="shared" si="1"/>
        <v>Robert Ray</v>
      </c>
      <c r="F45" s="5">
        <v>1.00578062E8</v>
      </c>
      <c r="G45" s="5" t="str">
        <f t="shared" si="5"/>
        <v>100578062OVR</v>
      </c>
      <c r="H45" s="6">
        <v>45809.0</v>
      </c>
      <c r="I45" s="6">
        <v>46059.0</v>
      </c>
      <c r="J45" s="5" t="s">
        <v>13</v>
      </c>
      <c r="K45" s="5" t="s">
        <v>14</v>
      </c>
      <c r="L45" s="7">
        <v>35.16</v>
      </c>
      <c r="M45" s="5">
        <f t="shared" si="6"/>
        <v>6.24</v>
      </c>
      <c r="N45" s="5" t="s">
        <v>77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 t="s">
        <v>76</v>
      </c>
      <c r="B46" s="5">
        <v>2.0411454E7</v>
      </c>
      <c r="C46" s="5" t="s">
        <v>45</v>
      </c>
      <c r="D46" s="5" t="s">
        <v>46</v>
      </c>
      <c r="E46" s="1" t="str">
        <f t="shared" si="1"/>
        <v>Judith Bradley Ray</v>
      </c>
      <c r="F46" s="5">
        <v>1.00578063E8</v>
      </c>
      <c r="G46" s="5" t="str">
        <f t="shared" si="5"/>
        <v>100578063OVR</v>
      </c>
      <c r="H46" s="6">
        <v>45809.0</v>
      </c>
      <c r="I46" s="6">
        <v>46059.0</v>
      </c>
      <c r="J46" s="5" t="s">
        <v>13</v>
      </c>
      <c r="K46" s="5" t="s">
        <v>14</v>
      </c>
      <c r="L46" s="7">
        <v>35.16</v>
      </c>
      <c r="M46" s="5">
        <f t="shared" si="6"/>
        <v>6.24</v>
      </c>
      <c r="N46" s="5" t="s">
        <v>77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 t="s">
        <v>76</v>
      </c>
      <c r="B47" s="5">
        <v>2.0411454E7</v>
      </c>
      <c r="C47" s="5" t="s">
        <v>47</v>
      </c>
      <c r="D47" s="5" t="s">
        <v>48</v>
      </c>
      <c r="E47" s="1" t="str">
        <f t="shared" si="1"/>
        <v>Marcella Ryckman</v>
      </c>
      <c r="F47" s="5">
        <v>1.00582352E8</v>
      </c>
      <c r="G47" s="5" t="str">
        <f t="shared" si="5"/>
        <v>100582352OVR</v>
      </c>
      <c r="H47" s="6">
        <v>45962.0</v>
      </c>
      <c r="I47" s="6">
        <v>46059.0</v>
      </c>
      <c r="J47" s="5" t="s">
        <v>13</v>
      </c>
      <c r="K47" s="5" t="s">
        <v>14</v>
      </c>
      <c r="L47" s="7">
        <v>35.16</v>
      </c>
      <c r="M47" s="5">
        <f t="shared" si="6"/>
        <v>6.24</v>
      </c>
      <c r="N47" s="5" t="s">
        <v>77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 t="s">
        <v>76</v>
      </c>
      <c r="B48" s="5">
        <v>2.0411454E7</v>
      </c>
      <c r="C48" s="5" t="s">
        <v>49</v>
      </c>
      <c r="D48" s="5" t="s">
        <v>50</v>
      </c>
      <c r="E48" s="1" t="str">
        <f t="shared" si="1"/>
        <v>Deborah Liberto</v>
      </c>
      <c r="F48" s="5">
        <v>1.00510112E8</v>
      </c>
      <c r="G48" s="5" t="str">
        <f t="shared" si="5"/>
        <v>100510112OVR</v>
      </c>
      <c r="H48" s="6">
        <v>46023.0</v>
      </c>
      <c r="I48" s="6">
        <v>46059.0</v>
      </c>
      <c r="J48" s="5" t="s">
        <v>13</v>
      </c>
      <c r="K48" s="5" t="s">
        <v>51</v>
      </c>
      <c r="L48" s="7">
        <v>487.0</v>
      </c>
      <c r="M48" s="5">
        <f t="shared" ref="M48:M61" si="7">487-347</f>
        <v>140</v>
      </c>
      <c r="N48" s="5" t="s">
        <v>77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 t="s">
        <v>76</v>
      </c>
      <c r="B49" s="5">
        <v>2.0411454E7</v>
      </c>
      <c r="C49" s="5" t="s">
        <v>53</v>
      </c>
      <c r="D49" s="5" t="s">
        <v>54</v>
      </c>
      <c r="E49" s="1" t="str">
        <f t="shared" si="1"/>
        <v>Victoria Greene</v>
      </c>
      <c r="F49" s="5">
        <v>1.00583805E8</v>
      </c>
      <c r="G49" s="5" t="str">
        <f t="shared" si="5"/>
        <v>100583805OVR</v>
      </c>
      <c r="H49" s="6">
        <v>46023.0</v>
      </c>
      <c r="I49" s="6">
        <v>46059.0</v>
      </c>
      <c r="J49" s="5" t="s">
        <v>13</v>
      </c>
      <c r="K49" s="5" t="s">
        <v>51</v>
      </c>
      <c r="L49" s="7">
        <v>487.0</v>
      </c>
      <c r="M49" s="5">
        <f t="shared" si="7"/>
        <v>140</v>
      </c>
      <c r="N49" s="5" t="s">
        <v>77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 t="s">
        <v>76</v>
      </c>
      <c r="B50" s="5">
        <v>2.0411454E7</v>
      </c>
      <c r="C50" s="5" t="s">
        <v>55</v>
      </c>
      <c r="D50" s="5" t="s">
        <v>56</v>
      </c>
      <c r="E50" s="1" t="str">
        <f t="shared" si="1"/>
        <v>Paul Schneider</v>
      </c>
      <c r="F50" s="5">
        <v>1.00583885E8</v>
      </c>
      <c r="G50" s="5" t="str">
        <f t="shared" si="5"/>
        <v>100583885OVR</v>
      </c>
      <c r="H50" s="6">
        <v>46023.0</v>
      </c>
      <c r="I50" s="6">
        <v>46059.0</v>
      </c>
      <c r="J50" s="5" t="s">
        <v>13</v>
      </c>
      <c r="K50" s="5" t="s">
        <v>51</v>
      </c>
      <c r="L50" s="7">
        <v>487.0</v>
      </c>
      <c r="M50" s="5">
        <f t="shared" si="7"/>
        <v>140</v>
      </c>
      <c r="N50" s="5" t="s">
        <v>77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 t="s">
        <v>76</v>
      </c>
      <c r="B51" s="5">
        <v>2.0411454E7</v>
      </c>
      <c r="C51" s="5" t="s">
        <v>57</v>
      </c>
      <c r="D51" s="5" t="s">
        <v>58</v>
      </c>
      <c r="E51" s="1" t="str">
        <f t="shared" si="1"/>
        <v>Albert Wheeler</v>
      </c>
      <c r="F51" s="5">
        <v>1.00583894E8</v>
      </c>
      <c r="G51" s="5" t="str">
        <f t="shared" si="5"/>
        <v>100583894OVR</v>
      </c>
      <c r="H51" s="6">
        <v>46023.0</v>
      </c>
      <c r="I51" s="6">
        <v>46059.0</v>
      </c>
      <c r="J51" s="5" t="s">
        <v>13</v>
      </c>
      <c r="K51" s="5" t="s">
        <v>51</v>
      </c>
      <c r="L51" s="7">
        <v>487.0</v>
      </c>
      <c r="M51" s="5">
        <f t="shared" si="7"/>
        <v>140</v>
      </c>
      <c r="N51" s="5" t="s">
        <v>77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 t="s">
        <v>76</v>
      </c>
      <c r="B52" s="5">
        <v>2.0411454E7</v>
      </c>
      <c r="C52" s="5" t="s">
        <v>59</v>
      </c>
      <c r="D52" s="5" t="s">
        <v>58</v>
      </c>
      <c r="E52" s="1" t="str">
        <f t="shared" si="1"/>
        <v>Rebecca Wheeler</v>
      </c>
      <c r="F52" s="5">
        <v>1.00583926E8</v>
      </c>
      <c r="G52" s="5" t="str">
        <f t="shared" si="5"/>
        <v>100583926OVR</v>
      </c>
      <c r="H52" s="6">
        <v>46023.0</v>
      </c>
      <c r="I52" s="6">
        <v>46059.0</v>
      </c>
      <c r="J52" s="5" t="s">
        <v>13</v>
      </c>
      <c r="K52" s="5" t="s">
        <v>51</v>
      </c>
      <c r="L52" s="7">
        <v>487.0</v>
      </c>
      <c r="M52" s="5">
        <f t="shared" si="7"/>
        <v>140</v>
      </c>
      <c r="N52" s="5" t="s">
        <v>77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 t="s">
        <v>76</v>
      </c>
      <c r="B53" s="5">
        <v>2.0411454E7</v>
      </c>
      <c r="C53" s="5" t="s">
        <v>60</v>
      </c>
      <c r="D53" s="5" t="s">
        <v>61</v>
      </c>
      <c r="E53" s="1" t="str">
        <f t="shared" si="1"/>
        <v>Deroy Hervey</v>
      </c>
      <c r="F53" s="5">
        <v>1.00584156E8</v>
      </c>
      <c r="G53" s="5" t="str">
        <f t="shared" si="5"/>
        <v>100584156OVR</v>
      </c>
      <c r="H53" s="6">
        <v>46023.0</v>
      </c>
      <c r="I53" s="6">
        <v>46059.0</v>
      </c>
      <c r="J53" s="5" t="s">
        <v>13</v>
      </c>
      <c r="K53" s="5" t="s">
        <v>51</v>
      </c>
      <c r="L53" s="7">
        <v>487.0</v>
      </c>
      <c r="M53" s="5">
        <f t="shared" si="7"/>
        <v>140</v>
      </c>
      <c r="N53" s="5" t="s">
        <v>77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 t="s">
        <v>76</v>
      </c>
      <c r="B54" s="5">
        <v>2.0411454E7</v>
      </c>
      <c r="C54" s="5" t="s">
        <v>62</v>
      </c>
      <c r="D54" s="5" t="s">
        <v>63</v>
      </c>
      <c r="E54" s="1" t="str">
        <f t="shared" si="1"/>
        <v>Juliana Moraldo Hervey</v>
      </c>
      <c r="F54" s="5">
        <v>1.00584162E8</v>
      </c>
      <c r="G54" s="5" t="str">
        <f t="shared" si="5"/>
        <v>100584162OVR</v>
      </c>
      <c r="H54" s="6">
        <v>46023.0</v>
      </c>
      <c r="I54" s="6">
        <v>46059.0</v>
      </c>
      <c r="J54" s="5" t="s">
        <v>13</v>
      </c>
      <c r="K54" s="5" t="s">
        <v>51</v>
      </c>
      <c r="L54" s="7">
        <v>487.0</v>
      </c>
      <c r="M54" s="5">
        <f t="shared" si="7"/>
        <v>140</v>
      </c>
      <c r="N54" s="5" t="s">
        <v>77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 t="s">
        <v>76</v>
      </c>
      <c r="B55" s="5">
        <v>2.0411454E7</v>
      </c>
      <c r="C55" s="5" t="s">
        <v>64</v>
      </c>
      <c r="D55" s="5" t="s">
        <v>65</v>
      </c>
      <c r="E55" s="1" t="str">
        <f t="shared" si="1"/>
        <v>Patricia Summers</v>
      </c>
      <c r="F55" s="5">
        <v>1.00586681E8</v>
      </c>
      <c r="G55" s="5" t="str">
        <f t="shared" si="5"/>
        <v>100586681OVR</v>
      </c>
      <c r="H55" s="6">
        <v>46023.0</v>
      </c>
      <c r="I55" s="6">
        <v>46059.0</v>
      </c>
      <c r="J55" s="5" t="s">
        <v>13</v>
      </c>
      <c r="K55" s="5" t="s">
        <v>51</v>
      </c>
      <c r="L55" s="7">
        <v>487.0</v>
      </c>
      <c r="M55" s="5">
        <f t="shared" si="7"/>
        <v>140</v>
      </c>
      <c r="N55" s="5" t="s">
        <v>77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 t="s">
        <v>76</v>
      </c>
      <c r="B56" s="5">
        <v>2.0411454E7</v>
      </c>
      <c r="C56" s="5" t="s">
        <v>66</v>
      </c>
      <c r="D56" s="5" t="s">
        <v>67</v>
      </c>
      <c r="E56" s="1" t="str">
        <f t="shared" si="1"/>
        <v>Gerard Croft</v>
      </c>
      <c r="F56" s="5">
        <v>1.00587069E8</v>
      </c>
      <c r="G56" s="5" t="str">
        <f t="shared" si="5"/>
        <v>100587069OVR</v>
      </c>
      <c r="H56" s="6">
        <v>46023.0</v>
      </c>
      <c r="I56" s="6">
        <v>46059.0</v>
      </c>
      <c r="J56" s="5" t="s">
        <v>13</v>
      </c>
      <c r="K56" s="5" t="s">
        <v>51</v>
      </c>
      <c r="L56" s="7">
        <v>487.0</v>
      </c>
      <c r="M56" s="5">
        <f t="shared" si="7"/>
        <v>140</v>
      </c>
      <c r="N56" s="5" t="s">
        <v>77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 t="s">
        <v>76</v>
      </c>
      <c r="B57" s="5">
        <v>2.0411454E7</v>
      </c>
      <c r="C57" s="5" t="s">
        <v>39</v>
      </c>
      <c r="D57" s="5" t="s">
        <v>68</v>
      </c>
      <c r="E57" s="1" t="str">
        <f t="shared" si="1"/>
        <v>Linda Roberts</v>
      </c>
      <c r="F57" s="5">
        <v>1.00587724E8</v>
      </c>
      <c r="G57" s="5" t="str">
        <f t="shared" si="5"/>
        <v>100587724OVR</v>
      </c>
      <c r="H57" s="6">
        <v>46023.0</v>
      </c>
      <c r="I57" s="6">
        <v>46059.0</v>
      </c>
      <c r="J57" s="5" t="s">
        <v>13</v>
      </c>
      <c r="K57" s="5" t="s">
        <v>51</v>
      </c>
      <c r="L57" s="7">
        <v>487.0</v>
      </c>
      <c r="M57" s="5">
        <f t="shared" si="7"/>
        <v>140</v>
      </c>
      <c r="N57" s="5" t="s">
        <v>77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 t="s">
        <v>76</v>
      </c>
      <c r="B58" s="5">
        <v>2.0411454E7</v>
      </c>
      <c r="C58" s="5" t="s">
        <v>69</v>
      </c>
      <c r="D58" s="5" t="s">
        <v>68</v>
      </c>
      <c r="E58" s="1" t="str">
        <f t="shared" si="1"/>
        <v>Bryan Roberts</v>
      </c>
      <c r="F58" s="5">
        <v>1.00587728E8</v>
      </c>
      <c r="G58" s="5" t="str">
        <f t="shared" si="5"/>
        <v>100587728OVR</v>
      </c>
      <c r="H58" s="6">
        <v>46023.0</v>
      </c>
      <c r="I58" s="6">
        <v>46059.0</v>
      </c>
      <c r="J58" s="5" t="s">
        <v>13</v>
      </c>
      <c r="K58" s="5" t="s">
        <v>51</v>
      </c>
      <c r="L58" s="7">
        <v>487.0</v>
      </c>
      <c r="M58" s="5">
        <f t="shared" si="7"/>
        <v>140</v>
      </c>
      <c r="N58" s="5" t="s">
        <v>77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 t="s">
        <v>76</v>
      </c>
      <c r="B59" s="5">
        <v>2.0411454E7</v>
      </c>
      <c r="C59" s="5" t="s">
        <v>70</v>
      </c>
      <c r="D59" s="5" t="s">
        <v>71</v>
      </c>
      <c r="E59" s="1" t="str">
        <f t="shared" si="1"/>
        <v>Ralph Dick</v>
      </c>
      <c r="F59" s="5">
        <v>1.0058778E8</v>
      </c>
      <c r="G59" s="5" t="str">
        <f t="shared" si="5"/>
        <v>100587780OVR</v>
      </c>
      <c r="H59" s="6">
        <v>46023.0</v>
      </c>
      <c r="I59" s="6">
        <v>46059.0</v>
      </c>
      <c r="J59" s="5" t="s">
        <v>13</v>
      </c>
      <c r="K59" s="5" t="s">
        <v>51</v>
      </c>
      <c r="L59" s="7">
        <v>487.0</v>
      </c>
      <c r="M59" s="5">
        <f t="shared" si="7"/>
        <v>140</v>
      </c>
      <c r="N59" s="5" t="s">
        <v>77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 t="s">
        <v>76</v>
      </c>
      <c r="B60" s="5">
        <v>2.0411454E7</v>
      </c>
      <c r="C60" s="5" t="s">
        <v>72</v>
      </c>
      <c r="D60" s="5" t="s">
        <v>73</v>
      </c>
      <c r="E60" s="1" t="str">
        <f t="shared" si="1"/>
        <v>George Condon Ii</v>
      </c>
      <c r="F60" s="5">
        <v>1.0059208E8</v>
      </c>
      <c r="G60" s="5" t="str">
        <f t="shared" si="5"/>
        <v>100592080OVR</v>
      </c>
      <c r="H60" s="6">
        <v>46023.0</v>
      </c>
      <c r="I60" s="6">
        <v>46059.0</v>
      </c>
      <c r="J60" s="5" t="s">
        <v>13</v>
      </c>
      <c r="K60" s="5" t="s">
        <v>51</v>
      </c>
      <c r="L60" s="7">
        <v>487.0</v>
      </c>
      <c r="M60" s="5">
        <f t="shared" si="7"/>
        <v>140</v>
      </c>
      <c r="N60" s="5" t="s">
        <v>77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 t="s">
        <v>76</v>
      </c>
      <c r="B61" s="5">
        <v>2.0411454E7</v>
      </c>
      <c r="C61" s="5" t="s">
        <v>74</v>
      </c>
      <c r="D61" s="5" t="s">
        <v>75</v>
      </c>
      <c r="E61" s="1" t="str">
        <f t="shared" si="1"/>
        <v>Aisha Jackson</v>
      </c>
      <c r="F61" s="5">
        <v>1.0059224E8</v>
      </c>
      <c r="G61" s="5" t="str">
        <f t="shared" si="5"/>
        <v>100592240OVR</v>
      </c>
      <c r="H61" s="6">
        <v>46023.0</v>
      </c>
      <c r="I61" s="6">
        <v>46059.0</v>
      </c>
      <c r="J61" s="5" t="s">
        <v>13</v>
      </c>
      <c r="K61" s="5" t="s">
        <v>51</v>
      </c>
      <c r="L61" s="7">
        <v>487.0</v>
      </c>
      <c r="M61" s="5">
        <f t="shared" si="7"/>
        <v>140</v>
      </c>
      <c r="N61" s="5" t="s">
        <v>77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6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2026-02-06T17:02:52Z</dcterms:created>
  <dc:creator>paras69</dc:creator>
</cp:coreProperties>
</file>