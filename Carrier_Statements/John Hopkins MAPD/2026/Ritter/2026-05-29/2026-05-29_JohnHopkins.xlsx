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John Hopkins MAPD\2026\Ritter\2026-05-29\"/>
    </mc:Choice>
  </mc:AlternateContent>
  <xr:revisionPtr revIDLastSave="0" documentId="13_ncr:1_{27B29CFE-B1AA-4FA6-88C9-DC5CA0E19292}" xr6:coauthVersionLast="47" xr6:coauthVersionMax="47" xr10:uidLastSave="{00000000-0000-0000-0000-000000000000}"/>
  <bookViews>
    <workbookView xWindow="-120" yWindow="-120" windowWidth="29040" windowHeight="15720" activeTab="1" xr2:uid="{E43AB80C-B52D-44E7-9A70-0938381B8A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2" i="2"/>
  <c r="G35" i="2"/>
  <c r="G34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33" i="2"/>
  <c r="G32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<sst xmlns="http://schemas.openxmlformats.org/spreadsheetml/2006/main" count="412" uniqueCount="59">
  <si>
    <t>Adam Richter</t>
  </si>
  <si>
    <t>Dennis</t>
  </si>
  <si>
    <t>Peterson</t>
  </si>
  <si>
    <t>Johns Hopkins</t>
  </si>
  <si>
    <t>Johns Hopkins 2026 Renewal OR +2 Years (ProRata: 1)</t>
  </si>
  <si>
    <t>Edward</t>
  </si>
  <si>
    <t>West</t>
  </si>
  <si>
    <t>Emma</t>
  </si>
  <si>
    <t>Mcphail</t>
  </si>
  <si>
    <t>Judith</t>
  </si>
  <si>
    <t>Bradley Ray</t>
  </si>
  <si>
    <t>Kathleen</t>
  </si>
  <si>
    <t>Galliano Dignan</t>
  </si>
  <si>
    <t>Laura</t>
  </si>
  <si>
    <t>Yli Piipari</t>
  </si>
  <si>
    <t>Marcella</t>
  </si>
  <si>
    <t>Ryckman</t>
  </si>
  <si>
    <t>Robert</t>
  </si>
  <si>
    <t>Ray</t>
  </si>
  <si>
    <t>Cathy Lemon</t>
  </si>
  <si>
    <t>Daisy</t>
  </si>
  <si>
    <t>Nelson</t>
  </si>
  <si>
    <t>Dolores</t>
  </si>
  <si>
    <t>Jason Hoffmann</t>
  </si>
  <si>
    <t>Linda</t>
  </si>
  <si>
    <t>Bailey</t>
  </si>
  <si>
    <t>Thomas Kucan</t>
  </si>
  <si>
    <t>Antonio</t>
  </si>
  <si>
    <t>Johnson</t>
  </si>
  <si>
    <t>Audrey</t>
  </si>
  <si>
    <t>Layton</t>
  </si>
  <si>
    <t>James</t>
  </si>
  <si>
    <t>Burns Sr</t>
  </si>
  <si>
    <t>John</t>
  </si>
  <si>
    <t>Brown</t>
  </si>
  <si>
    <t>Johns Hopkins 2026 Renewal ST (ProRata: 1)</t>
  </si>
  <si>
    <t>Marisa</t>
  </si>
  <si>
    <t>Mcrae</t>
  </si>
  <si>
    <t>Johns Hopkins 2026 OR</t>
  </si>
  <si>
    <t>Michael</t>
  </si>
  <si>
    <t>Garrett</t>
  </si>
  <si>
    <t>Johns Hopkins 2026 ST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</si>
  <si>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</si>
  <si>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</si>
  <si>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</si>
  <si>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</si>
  <si>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</si>
  <si>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</si>
  <si>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</si>
  <si>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</si>
  <si>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</si>
  <si>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</si>
  <si>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</si>
  <si>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JH MAPD 2026*</t>
  </si>
  <si>
    <t>[%/$=347][prorate=1/12]</t>
  </si>
  <si>
    <t>JH MAPD OVR</t>
  </si>
  <si>
    <t>John Hopkins 2026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</si>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</sst>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7BCB-F0DF-4083-BD8C-89E5CA349974}">
  <dimension ref="A1:K3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25">
      <c r="A2" t="s">
        <v>0</v>
      </c>
      <c r="C2">
        <v>9079571</v>
      </c>
      <c r="D2" t="s">
        <v>1</v>
      </c>
      <c r="E2" t="s">
        <v>2</v>
      </c>
      <c r="F2">
        <v>100051830</v>
      </c>
      <c r="G2" s="1">
        <v>46023</v>
      </c>
      <c r="H2" s="1">
        <v>46171</v>
      </c>
      <c r="I2" t="s">
        <v>3</v>
      </c>
      <c r="J2" t="s">
        <v>4</v>
      </c>
      <c r="K2" s="2">
        <v>6.25</v>
      </c>
    </row>
    <row r="3" spans="1:11" x14ac:dyDescent="0.25">
      <c r="A3" t="s">
        <v>0</v>
      </c>
      <c r="C3">
        <v>9079571</v>
      </c>
      <c r="D3" t="s">
        <v>5</v>
      </c>
      <c r="E3" t="s">
        <v>6</v>
      </c>
      <c r="F3">
        <v>100047864</v>
      </c>
      <c r="G3" s="1">
        <v>46023</v>
      </c>
      <c r="H3" s="1">
        <v>46171</v>
      </c>
      <c r="I3" t="s">
        <v>3</v>
      </c>
      <c r="J3" t="s">
        <v>4</v>
      </c>
      <c r="K3" s="2">
        <v>6.25</v>
      </c>
    </row>
    <row r="4" spans="1:11" x14ac:dyDescent="0.25">
      <c r="A4" t="s">
        <v>0</v>
      </c>
      <c r="C4">
        <v>9079571</v>
      </c>
      <c r="D4" t="s">
        <v>7</v>
      </c>
      <c r="E4" t="s">
        <v>8</v>
      </c>
      <c r="F4">
        <v>100578061</v>
      </c>
      <c r="G4" s="1">
        <v>46113</v>
      </c>
      <c r="H4" s="1">
        <v>46171</v>
      </c>
      <c r="I4" t="s">
        <v>3</v>
      </c>
      <c r="J4" t="s">
        <v>4</v>
      </c>
      <c r="K4" s="2">
        <v>6.25</v>
      </c>
    </row>
    <row r="5" spans="1:11" x14ac:dyDescent="0.25">
      <c r="A5" t="s">
        <v>0</v>
      </c>
      <c r="C5">
        <v>9079571</v>
      </c>
      <c r="D5" t="s">
        <v>9</v>
      </c>
      <c r="E5" t="s">
        <v>10</v>
      </c>
      <c r="F5">
        <v>100578063</v>
      </c>
      <c r="G5" s="1">
        <v>45809</v>
      </c>
      <c r="H5" s="1">
        <v>46171</v>
      </c>
      <c r="I5" t="s">
        <v>3</v>
      </c>
      <c r="J5" t="s">
        <v>4</v>
      </c>
      <c r="K5" s="2">
        <v>6.25</v>
      </c>
    </row>
    <row r="6" spans="1:11" x14ac:dyDescent="0.25">
      <c r="A6" t="s">
        <v>0</v>
      </c>
      <c r="C6">
        <v>9079571</v>
      </c>
      <c r="D6" t="s">
        <v>11</v>
      </c>
      <c r="E6" t="s">
        <v>12</v>
      </c>
      <c r="F6">
        <v>100013086</v>
      </c>
      <c r="G6" s="1">
        <v>46023</v>
      </c>
      <c r="H6" s="1">
        <v>46171</v>
      </c>
      <c r="I6" t="s">
        <v>3</v>
      </c>
      <c r="J6" t="s">
        <v>4</v>
      </c>
      <c r="K6" s="2">
        <v>6.25</v>
      </c>
    </row>
    <row r="7" spans="1:11" x14ac:dyDescent="0.25">
      <c r="A7" t="s">
        <v>0</v>
      </c>
      <c r="C7">
        <v>9079571</v>
      </c>
      <c r="D7" t="s">
        <v>13</v>
      </c>
      <c r="E7" t="s">
        <v>14</v>
      </c>
      <c r="F7">
        <v>100025676</v>
      </c>
      <c r="G7" s="1">
        <v>46023</v>
      </c>
      <c r="H7" s="1">
        <v>46171</v>
      </c>
      <c r="I7" t="s">
        <v>3</v>
      </c>
      <c r="J7" t="s">
        <v>4</v>
      </c>
      <c r="K7" s="2">
        <v>6.25</v>
      </c>
    </row>
    <row r="8" spans="1:11" x14ac:dyDescent="0.25">
      <c r="A8" t="s">
        <v>0</v>
      </c>
      <c r="C8">
        <v>9079571</v>
      </c>
      <c r="D8" t="s">
        <v>15</v>
      </c>
      <c r="E8" t="s">
        <v>16</v>
      </c>
      <c r="F8">
        <v>100582352</v>
      </c>
      <c r="G8" s="1">
        <v>45962</v>
      </c>
      <c r="H8" s="1">
        <v>46171</v>
      </c>
      <c r="I8" t="s">
        <v>3</v>
      </c>
      <c r="J8" t="s">
        <v>4</v>
      </c>
      <c r="K8" s="2">
        <v>6.25</v>
      </c>
    </row>
    <row r="9" spans="1:11" x14ac:dyDescent="0.25">
      <c r="A9" t="s">
        <v>0</v>
      </c>
      <c r="C9">
        <v>9079571</v>
      </c>
      <c r="D9" t="s">
        <v>17</v>
      </c>
      <c r="E9" t="s">
        <v>18</v>
      </c>
      <c r="F9">
        <v>100578062</v>
      </c>
      <c r="G9" s="1">
        <v>45809</v>
      </c>
      <c r="H9" s="1">
        <v>46171</v>
      </c>
      <c r="I9" t="s">
        <v>3</v>
      </c>
      <c r="J9" t="s">
        <v>4</v>
      </c>
      <c r="K9" s="2">
        <v>6.25</v>
      </c>
    </row>
    <row r="10" spans="1:11" x14ac:dyDescent="0.25">
      <c r="A10" t="s">
        <v>19</v>
      </c>
      <c r="C10">
        <v>17195620</v>
      </c>
      <c r="D10" t="s">
        <v>20</v>
      </c>
      <c r="E10" t="s">
        <v>21</v>
      </c>
      <c r="F10">
        <v>100002926</v>
      </c>
      <c r="G10" s="1">
        <v>46023</v>
      </c>
      <c r="H10" s="1">
        <v>46171</v>
      </c>
      <c r="I10" t="s">
        <v>3</v>
      </c>
      <c r="J10" t="s">
        <v>4</v>
      </c>
      <c r="K10" s="2">
        <v>6.25</v>
      </c>
    </row>
    <row r="11" spans="1:11" x14ac:dyDescent="0.25">
      <c r="A11" t="s">
        <v>19</v>
      </c>
      <c r="C11">
        <v>17195620</v>
      </c>
      <c r="D11" t="s">
        <v>22</v>
      </c>
      <c r="E11" t="s">
        <v>2</v>
      </c>
      <c r="F11">
        <v>100013428</v>
      </c>
      <c r="G11" s="1">
        <v>46023</v>
      </c>
      <c r="H11" s="1">
        <v>46171</v>
      </c>
      <c r="I11" t="s">
        <v>3</v>
      </c>
      <c r="J11" t="s">
        <v>4</v>
      </c>
      <c r="K11" s="2">
        <v>6.25</v>
      </c>
    </row>
    <row r="12" spans="1:11" x14ac:dyDescent="0.25">
      <c r="A12" t="s">
        <v>23</v>
      </c>
      <c r="C12">
        <v>15278437</v>
      </c>
      <c r="D12" t="s">
        <v>24</v>
      </c>
      <c r="E12" t="s">
        <v>25</v>
      </c>
      <c r="F12">
        <v>100559212</v>
      </c>
      <c r="G12" s="1">
        <v>45627</v>
      </c>
      <c r="H12" s="1">
        <v>46171</v>
      </c>
      <c r="I12" t="s">
        <v>3</v>
      </c>
      <c r="J12" t="s">
        <v>4</v>
      </c>
      <c r="K12" s="2">
        <v>6.25</v>
      </c>
    </row>
    <row r="13" spans="1:11" x14ac:dyDescent="0.25">
      <c r="A13" t="s">
        <v>26</v>
      </c>
      <c r="C13">
        <v>16202925</v>
      </c>
      <c r="D13" t="s">
        <v>27</v>
      </c>
      <c r="E13" t="s">
        <v>28</v>
      </c>
      <c r="F13">
        <v>100050126</v>
      </c>
      <c r="G13" s="1">
        <v>46023</v>
      </c>
      <c r="H13" s="1">
        <v>46171</v>
      </c>
      <c r="I13" t="s">
        <v>3</v>
      </c>
      <c r="J13" t="s">
        <v>4</v>
      </c>
      <c r="K13" s="2">
        <v>6.25</v>
      </c>
    </row>
    <row r="14" spans="1:11" x14ac:dyDescent="0.25">
      <c r="A14" t="s">
        <v>26</v>
      </c>
      <c r="C14">
        <v>16202925</v>
      </c>
      <c r="D14" t="s">
        <v>29</v>
      </c>
      <c r="E14" t="s">
        <v>30</v>
      </c>
      <c r="F14">
        <v>100050552</v>
      </c>
      <c r="G14" s="1">
        <v>46023</v>
      </c>
      <c r="H14" s="1">
        <v>46171</v>
      </c>
      <c r="I14" t="s">
        <v>3</v>
      </c>
      <c r="J14" t="s">
        <v>4</v>
      </c>
      <c r="K14" s="2">
        <v>6.25</v>
      </c>
    </row>
    <row r="15" spans="1:11" x14ac:dyDescent="0.25">
      <c r="A15" t="s">
        <v>26</v>
      </c>
      <c r="C15">
        <v>16202925</v>
      </c>
      <c r="D15" t="s">
        <v>31</v>
      </c>
      <c r="E15" t="s">
        <v>32</v>
      </c>
      <c r="F15">
        <v>100558072</v>
      </c>
      <c r="G15" s="1">
        <v>45597</v>
      </c>
      <c r="H15" s="1">
        <v>46171</v>
      </c>
      <c r="I15" t="s">
        <v>3</v>
      </c>
      <c r="J15" t="s">
        <v>4</v>
      </c>
      <c r="K15" s="2">
        <v>6.25</v>
      </c>
    </row>
    <row r="16" spans="1:11" x14ac:dyDescent="0.25">
      <c r="A16" t="s">
        <v>26</v>
      </c>
      <c r="C16">
        <v>16202925</v>
      </c>
      <c r="D16" t="s">
        <v>33</v>
      </c>
      <c r="E16" t="s">
        <v>34</v>
      </c>
      <c r="F16">
        <v>100051930</v>
      </c>
      <c r="G16" s="1">
        <v>46023</v>
      </c>
      <c r="H16" s="1">
        <v>46171</v>
      </c>
      <c r="I16" t="s">
        <v>3</v>
      </c>
      <c r="J16" t="s">
        <v>4</v>
      </c>
      <c r="K16" s="2">
        <v>6.25</v>
      </c>
    </row>
    <row r="17" spans="1:11" x14ac:dyDescent="0.25">
      <c r="A17" t="s">
        <v>0</v>
      </c>
      <c r="C17">
        <v>9079571</v>
      </c>
      <c r="D17" t="s">
        <v>1</v>
      </c>
      <c r="E17" t="s">
        <v>2</v>
      </c>
      <c r="F17">
        <v>100051830</v>
      </c>
      <c r="G17" s="1">
        <v>46023</v>
      </c>
      <c r="H17" s="1">
        <v>46171</v>
      </c>
      <c r="I17" t="s">
        <v>3</v>
      </c>
      <c r="J17" t="s">
        <v>35</v>
      </c>
      <c r="K17" s="2">
        <v>28.91</v>
      </c>
    </row>
    <row r="18" spans="1:11" x14ac:dyDescent="0.25">
      <c r="A18" t="s">
        <v>0</v>
      </c>
      <c r="C18">
        <v>9079571</v>
      </c>
      <c r="D18" t="s">
        <v>5</v>
      </c>
      <c r="E18" t="s">
        <v>6</v>
      </c>
      <c r="F18">
        <v>100047864</v>
      </c>
      <c r="G18" s="1">
        <v>46023</v>
      </c>
      <c r="H18" s="1">
        <v>46171</v>
      </c>
      <c r="I18" t="s">
        <v>3</v>
      </c>
      <c r="J18" t="s">
        <v>35</v>
      </c>
      <c r="K18" s="2">
        <v>28.91</v>
      </c>
    </row>
    <row r="19" spans="1:11" x14ac:dyDescent="0.25">
      <c r="A19" t="s">
        <v>0</v>
      </c>
      <c r="C19">
        <v>9079571</v>
      </c>
      <c r="D19" t="s">
        <v>7</v>
      </c>
      <c r="E19" t="s">
        <v>8</v>
      </c>
      <c r="F19">
        <v>100578061</v>
      </c>
      <c r="G19" s="1">
        <v>46113</v>
      </c>
      <c r="H19" s="1">
        <v>46171</v>
      </c>
      <c r="I19" t="s">
        <v>3</v>
      </c>
      <c r="J19" t="s">
        <v>35</v>
      </c>
      <c r="K19" s="2">
        <v>28.91</v>
      </c>
    </row>
    <row r="20" spans="1:11" x14ac:dyDescent="0.25">
      <c r="A20" t="s">
        <v>0</v>
      </c>
      <c r="C20">
        <v>9079571</v>
      </c>
      <c r="D20" t="s">
        <v>9</v>
      </c>
      <c r="E20" t="s">
        <v>10</v>
      </c>
      <c r="F20">
        <v>100578063</v>
      </c>
      <c r="G20" s="1">
        <v>45809</v>
      </c>
      <c r="H20" s="1">
        <v>46171</v>
      </c>
      <c r="I20" t="s">
        <v>3</v>
      </c>
      <c r="J20" t="s">
        <v>35</v>
      </c>
      <c r="K20" s="2">
        <v>28.91</v>
      </c>
    </row>
    <row r="21" spans="1:11" x14ac:dyDescent="0.25">
      <c r="A21" t="s">
        <v>0</v>
      </c>
      <c r="C21">
        <v>9079571</v>
      </c>
      <c r="D21" t="s">
        <v>11</v>
      </c>
      <c r="E21" t="s">
        <v>12</v>
      </c>
      <c r="F21">
        <v>100013086</v>
      </c>
      <c r="G21" s="1">
        <v>46023</v>
      </c>
      <c r="H21" s="1">
        <v>46171</v>
      </c>
      <c r="I21" t="s">
        <v>3</v>
      </c>
      <c r="J21" t="s">
        <v>35</v>
      </c>
      <c r="K21" s="2">
        <v>28.91</v>
      </c>
    </row>
    <row r="22" spans="1:11" x14ac:dyDescent="0.25">
      <c r="A22" t="s">
        <v>0</v>
      </c>
      <c r="C22">
        <v>9079571</v>
      </c>
      <c r="D22" t="s">
        <v>13</v>
      </c>
      <c r="E22" t="s">
        <v>14</v>
      </c>
      <c r="F22">
        <v>100025676</v>
      </c>
      <c r="G22" s="1">
        <v>46023</v>
      </c>
      <c r="H22" s="1">
        <v>46171</v>
      </c>
      <c r="I22" t="s">
        <v>3</v>
      </c>
      <c r="J22" t="s">
        <v>35</v>
      </c>
      <c r="K22" s="2">
        <v>28.91</v>
      </c>
    </row>
    <row r="23" spans="1:11" x14ac:dyDescent="0.25">
      <c r="A23" t="s">
        <v>0</v>
      </c>
      <c r="C23">
        <v>9079571</v>
      </c>
      <c r="D23" t="s">
        <v>15</v>
      </c>
      <c r="E23" t="s">
        <v>16</v>
      </c>
      <c r="F23">
        <v>100582352</v>
      </c>
      <c r="G23" s="1">
        <v>45962</v>
      </c>
      <c r="H23" s="1">
        <v>46171</v>
      </c>
      <c r="I23" t="s">
        <v>3</v>
      </c>
      <c r="J23" t="s">
        <v>35</v>
      </c>
      <c r="K23" s="2">
        <v>28.91</v>
      </c>
    </row>
    <row r="24" spans="1:11" x14ac:dyDescent="0.25">
      <c r="A24" t="s">
        <v>0</v>
      </c>
      <c r="C24">
        <v>9079571</v>
      </c>
      <c r="D24" t="s">
        <v>17</v>
      </c>
      <c r="E24" t="s">
        <v>18</v>
      </c>
      <c r="F24">
        <v>100578062</v>
      </c>
      <c r="G24" s="1">
        <v>45809</v>
      </c>
      <c r="H24" s="1">
        <v>46171</v>
      </c>
      <c r="I24" t="s">
        <v>3</v>
      </c>
      <c r="J24" t="s">
        <v>35</v>
      </c>
      <c r="K24" s="2">
        <v>28.91</v>
      </c>
    </row>
    <row r="25" spans="1:11" x14ac:dyDescent="0.25">
      <c r="A25" t="s">
        <v>19</v>
      </c>
      <c r="C25">
        <v>17195620</v>
      </c>
      <c r="D25" t="s">
        <v>20</v>
      </c>
      <c r="E25" t="s">
        <v>21</v>
      </c>
      <c r="F25">
        <v>100002926</v>
      </c>
      <c r="G25" s="1">
        <v>46023</v>
      </c>
      <c r="H25" s="1">
        <v>46171</v>
      </c>
      <c r="I25" t="s">
        <v>3</v>
      </c>
      <c r="J25" t="s">
        <v>35</v>
      </c>
      <c r="K25" s="2">
        <v>28.91</v>
      </c>
    </row>
    <row r="26" spans="1:11" x14ac:dyDescent="0.25">
      <c r="A26" t="s">
        <v>19</v>
      </c>
      <c r="C26">
        <v>17195620</v>
      </c>
      <c r="D26" t="s">
        <v>22</v>
      </c>
      <c r="E26" t="s">
        <v>2</v>
      </c>
      <c r="F26">
        <v>100013428</v>
      </c>
      <c r="G26" s="1">
        <v>46023</v>
      </c>
      <c r="H26" s="1">
        <v>46171</v>
      </c>
      <c r="I26" t="s">
        <v>3</v>
      </c>
      <c r="J26" t="s">
        <v>35</v>
      </c>
      <c r="K26" s="2">
        <v>28.91</v>
      </c>
    </row>
    <row r="27" spans="1:11" x14ac:dyDescent="0.25">
      <c r="A27" t="s">
        <v>23</v>
      </c>
      <c r="C27">
        <v>15278437</v>
      </c>
      <c r="D27" t="s">
        <v>24</v>
      </c>
      <c r="E27" t="s">
        <v>25</v>
      </c>
      <c r="F27">
        <v>100559212</v>
      </c>
      <c r="G27" s="1">
        <v>45627</v>
      </c>
      <c r="H27" s="1">
        <v>46171</v>
      </c>
      <c r="I27" t="s">
        <v>3</v>
      </c>
      <c r="J27" t="s">
        <v>35</v>
      </c>
      <c r="K27" s="2">
        <v>28.91</v>
      </c>
    </row>
    <row r="28" spans="1:11" x14ac:dyDescent="0.25">
      <c r="A28" t="s">
        <v>26</v>
      </c>
      <c r="C28">
        <v>16202925</v>
      </c>
      <c r="D28" t="s">
        <v>27</v>
      </c>
      <c r="E28" t="s">
        <v>28</v>
      </c>
      <c r="F28">
        <v>100050126</v>
      </c>
      <c r="G28" s="1">
        <v>46023</v>
      </c>
      <c r="H28" s="1">
        <v>46171</v>
      </c>
      <c r="I28" t="s">
        <v>3</v>
      </c>
      <c r="J28" t="s">
        <v>35</v>
      </c>
      <c r="K28" s="2">
        <v>28.91</v>
      </c>
    </row>
    <row r="29" spans="1:11" x14ac:dyDescent="0.25">
      <c r="A29" t="s">
        <v>26</v>
      </c>
      <c r="C29">
        <v>16202925</v>
      </c>
      <c r="D29" t="s">
        <v>29</v>
      </c>
      <c r="E29" t="s">
        <v>30</v>
      </c>
      <c r="F29">
        <v>100050552</v>
      </c>
      <c r="G29" s="1">
        <v>46023</v>
      </c>
      <c r="H29" s="1">
        <v>46171</v>
      </c>
      <c r="I29" t="s">
        <v>3</v>
      </c>
      <c r="J29" t="s">
        <v>35</v>
      </c>
      <c r="K29" s="2">
        <v>28.91</v>
      </c>
    </row>
    <row r="30" spans="1:11" x14ac:dyDescent="0.25">
      <c r="A30" t="s">
        <v>26</v>
      </c>
      <c r="C30">
        <v>16202925</v>
      </c>
      <c r="D30" t="s">
        <v>31</v>
      </c>
      <c r="E30" t="s">
        <v>32</v>
      </c>
      <c r="F30">
        <v>100558072</v>
      </c>
      <c r="G30" s="1">
        <v>45597</v>
      </c>
      <c r="H30" s="1">
        <v>46171</v>
      </c>
      <c r="I30" t="s">
        <v>3</v>
      </c>
      <c r="J30" t="s">
        <v>35</v>
      </c>
      <c r="K30" s="2">
        <v>28.91</v>
      </c>
    </row>
    <row r="31" spans="1:11" x14ac:dyDescent="0.25">
      <c r="A31" t="s">
        <v>26</v>
      </c>
      <c r="C31">
        <v>16202925</v>
      </c>
      <c r="D31" t="s">
        <v>33</v>
      </c>
      <c r="E31" t="s">
        <v>34</v>
      </c>
      <c r="F31">
        <v>100051930</v>
      </c>
      <c r="G31" s="1">
        <v>46023</v>
      </c>
      <c r="H31" s="1">
        <v>46171</v>
      </c>
      <c r="I31" t="s">
        <v>3</v>
      </c>
      <c r="J31" t="s">
        <v>35</v>
      </c>
      <c r="K31" s="2">
        <v>28.91</v>
      </c>
    </row>
    <row r="32" spans="1:11" x14ac:dyDescent="0.25">
      <c r="A32" t="s">
        <v>0</v>
      </c>
      <c r="C32">
        <v>9079571</v>
      </c>
      <c r="D32" t="s">
        <v>36</v>
      </c>
      <c r="E32" t="s">
        <v>37</v>
      </c>
      <c r="F32">
        <v>100598832</v>
      </c>
      <c r="G32" s="1">
        <v>46143</v>
      </c>
      <c r="H32" s="1">
        <v>46171</v>
      </c>
      <c r="I32" t="s">
        <v>3</v>
      </c>
      <c r="J32" t="s">
        <v>38</v>
      </c>
      <c r="K32" s="2">
        <v>140</v>
      </c>
    </row>
    <row r="33" spans="1:11" x14ac:dyDescent="0.25">
      <c r="A33" t="s">
        <v>0</v>
      </c>
      <c r="C33">
        <v>9079571</v>
      </c>
      <c r="D33" t="s">
        <v>39</v>
      </c>
      <c r="E33" t="s">
        <v>40</v>
      </c>
      <c r="F33">
        <v>100598625</v>
      </c>
      <c r="G33" s="1">
        <v>46143</v>
      </c>
      <c r="H33" s="1">
        <v>46171</v>
      </c>
      <c r="I33" t="s">
        <v>3</v>
      </c>
      <c r="J33" t="s">
        <v>38</v>
      </c>
      <c r="K33" s="2">
        <v>140</v>
      </c>
    </row>
    <row r="34" spans="1:11" x14ac:dyDescent="0.25">
      <c r="A34" t="s">
        <v>0</v>
      </c>
      <c r="C34">
        <v>9079571</v>
      </c>
      <c r="D34" t="s">
        <v>36</v>
      </c>
      <c r="E34" t="s">
        <v>37</v>
      </c>
      <c r="F34">
        <v>100598832</v>
      </c>
      <c r="G34" s="1">
        <v>46143</v>
      </c>
      <c r="H34" s="1">
        <v>46171</v>
      </c>
      <c r="I34" t="s">
        <v>3</v>
      </c>
      <c r="J34" t="s">
        <v>41</v>
      </c>
      <c r="K34" s="2">
        <v>694</v>
      </c>
    </row>
    <row r="35" spans="1:11" x14ac:dyDescent="0.25">
      <c r="A35" t="s">
        <v>0</v>
      </c>
      <c r="C35">
        <v>9079571</v>
      </c>
      <c r="D35" t="s">
        <v>39</v>
      </c>
      <c r="E35" t="s">
        <v>40</v>
      </c>
      <c r="F35">
        <v>100598625</v>
      </c>
      <c r="G35" s="1">
        <v>46143</v>
      </c>
      <c r="H35" s="1">
        <v>46171</v>
      </c>
      <c r="I35" t="s">
        <v>3</v>
      </c>
      <c r="J35" t="s">
        <v>41</v>
      </c>
      <c r="K35" s="2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3F22-22C5-458F-82F0-2FF0DC53EEF9}">
  <dimension ref="A1:N35"/>
  <sheetViews>
    <sheetView tabSelected="1" topLeftCell="A10" workbookViewId="0">
      <selection activeCell="F29" sqref="F29"/>
    </sheetView>
  </sheetViews>
  <sheetFormatPr defaultRowHeight="15" x14ac:dyDescent="0.25"/>
  <cols>
    <col min="1" max="1" width="17.7109375" bestFit="1" customWidth="1"/>
    <col min="5" max="5" width="15.7109375" bestFit="1" customWidth="1"/>
    <col min="6" max="7" width="13.42578125" customWidth="1"/>
    <col min="8" max="8" width="11.85546875" bestFit="1" customWidth="1"/>
    <col min="9" max="9" width="14.7109375" bestFit="1" customWidth="1"/>
    <col min="11" max="11" width="48.7109375" bestFit="1" customWidth="1"/>
    <col min="13" max="13" width="14.42578125" bestFit="1" customWidth="1"/>
  </cols>
  <sheetData>
    <row r="1" spans="1:13" x14ac:dyDescent="0.25">
      <c r="A1" t="s">
        <v>42</v>
      </c>
      <c r="B1" t="s">
        <v>44</v>
      </c>
      <c r="C1" t="s">
        <v>45</v>
      </c>
      <c r="D1" t="s">
        <v>46</v>
      </c>
      <c r="F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3" s="3" customFormat="1" x14ac:dyDescent="0.25">
      <c r="A2" s="3" t="s">
        <v>58</v>
      </c>
      <c r="B2" s="3">
        <v>20411454</v>
      </c>
      <c r="C2" s="3" t="s">
        <v>1</v>
      </c>
      <c r="D2" s="3" t="s">
        <v>2</v>
      </c>
      <c r="E2" s="3" t="str">
        <f>CONCATENATE(C2," ",D2)</f>
        <v>Dennis Peterson</v>
      </c>
      <c r="F2" s="3">
        <v>100051830</v>
      </c>
      <c r="G2" s="3" t="str">
        <f>CONCATENATE(F2,"OVR")</f>
        <v>100051830OVR</v>
      </c>
      <c r="H2" s="4">
        <v>46023</v>
      </c>
      <c r="I2" s="4">
        <v>46171</v>
      </c>
      <c r="J2" s="3" t="s">
        <v>3</v>
      </c>
      <c r="K2" s="3" t="s">
        <v>4</v>
      </c>
      <c r="L2" s="5">
        <v>6.25</v>
      </c>
      <c r="M2" s="3" t="s">
        <v>55</v>
      </c>
    </row>
    <row r="3" spans="1:13" s="3" customFormat="1" x14ac:dyDescent="0.25">
      <c r="A3" s="3" t="s">
        <v>58</v>
      </c>
      <c r="B3" s="3">
        <v>20411454</v>
      </c>
      <c r="C3" s="3" t="s">
        <v>5</v>
      </c>
      <c r="D3" s="3" t="s">
        <v>6</v>
      </c>
      <c r="E3" s="3" t="str">
        <f t="shared" ref="E3:E35" si="0">CONCATENATE(C3," ",D3)</f>
        <v>Edward West</v>
      </c>
      <c r="F3" s="3">
        <v>100047864</v>
      </c>
      <c r="G3" s="3" t="str">
        <f t="shared" ref="G3:G16" si="1">CONCATENATE(F3,"OVR")</f>
        <v>100047864OVR</v>
      </c>
      <c r="H3" s="4">
        <v>46023</v>
      </c>
      <c r="I3" s="4">
        <v>46171</v>
      </c>
      <c r="J3" s="3" t="s">
        <v>3</v>
      </c>
      <c r="K3" s="3" t="s">
        <v>4</v>
      </c>
      <c r="L3" s="5">
        <v>6.25</v>
      </c>
      <c r="M3" s="3" t="s">
        <v>55</v>
      </c>
    </row>
    <row r="4" spans="1:13" s="3" customFormat="1" x14ac:dyDescent="0.25">
      <c r="A4" s="3" t="s">
        <v>58</v>
      </c>
      <c r="B4" s="3">
        <v>20411454</v>
      </c>
      <c r="C4" s="3" t="s">
        <v>7</v>
      </c>
      <c r="D4" s="3" t="s">
        <v>8</v>
      </c>
      <c r="E4" s="3" t="str">
        <f t="shared" si="0"/>
        <v>Emma Mcphail</v>
      </c>
      <c r="F4" s="3">
        <v>100578061</v>
      </c>
      <c r="G4" s="3" t="str">
        <f t="shared" si="1"/>
        <v>100578061OVR</v>
      </c>
      <c r="H4" s="4">
        <v>46113</v>
      </c>
      <c r="I4" s="4">
        <v>46171</v>
      </c>
      <c r="J4" s="3" t="s">
        <v>3</v>
      </c>
      <c r="K4" s="3" t="s">
        <v>4</v>
      </c>
      <c r="L4" s="5">
        <v>6.25</v>
      </c>
      <c r="M4" s="3" t="s">
        <v>55</v>
      </c>
    </row>
    <row r="5" spans="1:13" s="3" customFormat="1" x14ac:dyDescent="0.25">
      <c r="A5" s="3" t="s">
        <v>58</v>
      </c>
      <c r="B5" s="3">
        <v>20411454</v>
      </c>
      <c r="C5" s="3" t="s">
        <v>9</v>
      </c>
      <c r="D5" s="3" t="s">
        <v>10</v>
      </c>
      <c r="E5" s="3" t="str">
        <f t="shared" si="0"/>
        <v>Judith Bradley Ray</v>
      </c>
      <c r="F5" s="3">
        <v>100578063</v>
      </c>
      <c r="G5" s="3" t="str">
        <f t="shared" si="1"/>
        <v>100578063OVR</v>
      </c>
      <c r="H5" s="4">
        <v>45809</v>
      </c>
      <c r="I5" s="4">
        <v>46171</v>
      </c>
      <c r="J5" s="3" t="s">
        <v>3</v>
      </c>
      <c r="K5" s="3" t="s">
        <v>4</v>
      </c>
      <c r="L5" s="5">
        <v>6.25</v>
      </c>
      <c r="M5" s="3" t="s">
        <v>55</v>
      </c>
    </row>
    <row r="6" spans="1:13" s="3" customFormat="1" x14ac:dyDescent="0.25">
      <c r="A6" s="3" t="s">
        <v>58</v>
      </c>
      <c r="B6" s="3">
        <v>20411454</v>
      </c>
      <c r="C6" s="3" t="s">
        <v>11</v>
      </c>
      <c r="D6" s="3" t="s">
        <v>12</v>
      </c>
      <c r="E6" s="3" t="str">
        <f t="shared" si="0"/>
        <v>Kathleen Galliano Dignan</v>
      </c>
      <c r="F6" s="3">
        <v>100013086</v>
      </c>
      <c r="G6" s="3" t="str">
        <f t="shared" si="1"/>
        <v>100013086OVR</v>
      </c>
      <c r="H6" s="4">
        <v>46023</v>
      </c>
      <c r="I6" s="4">
        <v>46171</v>
      </c>
      <c r="J6" s="3" t="s">
        <v>3</v>
      </c>
      <c r="K6" s="3" t="s">
        <v>4</v>
      </c>
      <c r="L6" s="5">
        <v>6.25</v>
      </c>
      <c r="M6" s="3" t="s">
        <v>55</v>
      </c>
    </row>
    <row r="7" spans="1:13" s="3" customFormat="1" x14ac:dyDescent="0.25">
      <c r="A7" s="3" t="s">
        <v>58</v>
      </c>
      <c r="B7" s="3">
        <v>20411454</v>
      </c>
      <c r="C7" s="3" t="s">
        <v>13</v>
      </c>
      <c r="D7" s="3" t="s">
        <v>14</v>
      </c>
      <c r="E7" s="3" t="str">
        <f t="shared" si="0"/>
        <v>Laura Yli Piipari</v>
      </c>
      <c r="F7" s="3">
        <v>100025676</v>
      </c>
      <c r="G7" s="3" t="str">
        <f t="shared" si="1"/>
        <v>100025676OVR</v>
      </c>
      <c r="H7" s="4">
        <v>46023</v>
      </c>
      <c r="I7" s="4">
        <v>46171</v>
      </c>
      <c r="J7" s="3" t="s">
        <v>3</v>
      </c>
      <c r="K7" s="3" t="s">
        <v>4</v>
      </c>
      <c r="L7" s="5">
        <v>6.25</v>
      </c>
      <c r="M7" s="3" t="s">
        <v>55</v>
      </c>
    </row>
    <row r="8" spans="1:13" s="3" customFormat="1" x14ac:dyDescent="0.25">
      <c r="A8" s="3" t="s">
        <v>58</v>
      </c>
      <c r="B8" s="3">
        <v>20411454</v>
      </c>
      <c r="C8" s="3" t="s">
        <v>15</v>
      </c>
      <c r="D8" s="3" t="s">
        <v>16</v>
      </c>
      <c r="E8" s="3" t="str">
        <f t="shared" si="0"/>
        <v>Marcella Ryckman</v>
      </c>
      <c r="F8" s="3">
        <v>100582352</v>
      </c>
      <c r="G8" s="3" t="str">
        <f t="shared" si="1"/>
        <v>100582352OVR</v>
      </c>
      <c r="H8" s="4">
        <v>45962</v>
      </c>
      <c r="I8" s="4">
        <v>46171</v>
      </c>
      <c r="J8" s="3" t="s">
        <v>3</v>
      </c>
      <c r="K8" s="3" t="s">
        <v>4</v>
      </c>
      <c r="L8" s="5">
        <v>6.25</v>
      </c>
      <c r="M8" s="3" t="s">
        <v>55</v>
      </c>
    </row>
    <row r="9" spans="1:13" s="3" customFormat="1" x14ac:dyDescent="0.25">
      <c r="A9" s="3" t="s">
        <v>58</v>
      </c>
      <c r="B9" s="3">
        <v>20411454</v>
      </c>
      <c r="C9" s="3" t="s">
        <v>17</v>
      </c>
      <c r="D9" s="3" t="s">
        <v>18</v>
      </c>
      <c r="E9" s="3" t="str">
        <f t="shared" si="0"/>
        <v>Robert Ray</v>
      </c>
      <c r="F9" s="3">
        <v>100578062</v>
      </c>
      <c r="G9" s="3" t="str">
        <f t="shared" si="1"/>
        <v>100578062OVR</v>
      </c>
      <c r="H9" s="4">
        <v>45809</v>
      </c>
      <c r="I9" s="4">
        <v>46171</v>
      </c>
      <c r="J9" s="3" t="s">
        <v>3</v>
      </c>
      <c r="K9" s="3" t="s">
        <v>4</v>
      </c>
      <c r="L9" s="5">
        <v>6.25</v>
      </c>
      <c r="M9" s="3" t="s">
        <v>55</v>
      </c>
    </row>
    <row r="10" spans="1:13" s="3" customFormat="1" x14ac:dyDescent="0.25">
      <c r="A10" s="3" t="s">
        <v>58</v>
      </c>
      <c r="B10" s="3">
        <v>20411454</v>
      </c>
      <c r="C10" s="3" t="s">
        <v>20</v>
      </c>
      <c r="D10" s="3" t="s">
        <v>21</v>
      </c>
      <c r="E10" s="3" t="str">
        <f t="shared" si="0"/>
        <v>Daisy Nelson</v>
      </c>
      <c r="F10" s="3">
        <v>100002926</v>
      </c>
      <c r="G10" s="3" t="str">
        <f t="shared" si="1"/>
        <v>100002926OVR</v>
      </c>
      <c r="H10" s="4">
        <v>46023</v>
      </c>
      <c r="I10" s="4">
        <v>46171</v>
      </c>
      <c r="J10" s="3" t="s">
        <v>3</v>
      </c>
      <c r="K10" s="3" t="s">
        <v>4</v>
      </c>
      <c r="L10" s="5">
        <v>6.25</v>
      </c>
      <c r="M10" s="3" t="s">
        <v>55</v>
      </c>
    </row>
    <row r="11" spans="1:13" s="3" customFormat="1" x14ac:dyDescent="0.25">
      <c r="A11" s="3" t="s">
        <v>58</v>
      </c>
      <c r="B11" s="3">
        <v>20411454</v>
      </c>
      <c r="C11" s="3" t="s">
        <v>22</v>
      </c>
      <c r="D11" s="3" t="s">
        <v>2</v>
      </c>
      <c r="E11" s="3" t="str">
        <f t="shared" si="0"/>
        <v>Dolores Peterson</v>
      </c>
      <c r="F11" s="3">
        <v>100013428</v>
      </c>
      <c r="G11" s="3" t="str">
        <f t="shared" si="1"/>
        <v>100013428OVR</v>
      </c>
      <c r="H11" s="4">
        <v>46023</v>
      </c>
      <c r="I11" s="4">
        <v>46171</v>
      </c>
      <c r="J11" s="3" t="s">
        <v>3</v>
      </c>
      <c r="K11" s="3" t="s">
        <v>4</v>
      </c>
      <c r="L11" s="5">
        <v>6.25</v>
      </c>
      <c r="M11" s="3" t="s">
        <v>55</v>
      </c>
    </row>
    <row r="12" spans="1:13" s="3" customFormat="1" x14ac:dyDescent="0.25">
      <c r="A12" s="3" t="s">
        <v>58</v>
      </c>
      <c r="B12" s="3">
        <v>20411454</v>
      </c>
      <c r="C12" s="3" t="s">
        <v>24</v>
      </c>
      <c r="D12" s="3" t="s">
        <v>25</v>
      </c>
      <c r="E12" s="3" t="str">
        <f t="shared" si="0"/>
        <v>Linda Bailey</v>
      </c>
      <c r="F12" s="3">
        <v>100559212</v>
      </c>
      <c r="G12" s="3" t="str">
        <f t="shared" si="1"/>
        <v>100559212OVR</v>
      </c>
      <c r="H12" s="4">
        <v>45627</v>
      </c>
      <c r="I12" s="4">
        <v>46171</v>
      </c>
      <c r="J12" s="3" t="s">
        <v>3</v>
      </c>
      <c r="K12" s="3" t="s">
        <v>4</v>
      </c>
      <c r="L12" s="5">
        <v>6.25</v>
      </c>
      <c r="M12" s="3" t="s">
        <v>55</v>
      </c>
    </row>
    <row r="13" spans="1:13" s="3" customFormat="1" x14ac:dyDescent="0.25">
      <c r="A13" s="3" t="s">
        <v>58</v>
      </c>
      <c r="B13" s="3">
        <v>20411454</v>
      </c>
      <c r="C13" s="3" t="s">
        <v>27</v>
      </c>
      <c r="D13" s="3" t="s">
        <v>28</v>
      </c>
      <c r="E13" s="3" t="str">
        <f t="shared" si="0"/>
        <v>Antonio Johnson</v>
      </c>
      <c r="F13" s="3">
        <v>100050126</v>
      </c>
      <c r="G13" s="3" t="str">
        <f t="shared" si="1"/>
        <v>100050126OVR</v>
      </c>
      <c r="H13" s="4">
        <v>46023</v>
      </c>
      <c r="I13" s="4">
        <v>46171</v>
      </c>
      <c r="J13" s="3" t="s">
        <v>3</v>
      </c>
      <c r="K13" s="3" t="s">
        <v>4</v>
      </c>
      <c r="L13" s="5">
        <v>6.25</v>
      </c>
      <c r="M13" s="3" t="s">
        <v>55</v>
      </c>
    </row>
    <row r="14" spans="1:13" s="3" customFormat="1" x14ac:dyDescent="0.25">
      <c r="A14" s="3" t="s">
        <v>58</v>
      </c>
      <c r="B14" s="3">
        <v>20411454</v>
      </c>
      <c r="C14" s="3" t="s">
        <v>29</v>
      </c>
      <c r="D14" s="3" t="s">
        <v>30</v>
      </c>
      <c r="E14" s="3" t="str">
        <f t="shared" si="0"/>
        <v>Audrey Layton</v>
      </c>
      <c r="F14" s="3">
        <v>100050552</v>
      </c>
      <c r="G14" s="3" t="str">
        <f t="shared" si="1"/>
        <v>100050552OVR</v>
      </c>
      <c r="H14" s="4">
        <v>46023</v>
      </c>
      <c r="I14" s="4">
        <v>46171</v>
      </c>
      <c r="J14" s="3" t="s">
        <v>3</v>
      </c>
      <c r="K14" s="3" t="s">
        <v>4</v>
      </c>
      <c r="L14" s="5">
        <v>6.25</v>
      </c>
      <c r="M14" s="3" t="s">
        <v>55</v>
      </c>
    </row>
    <row r="15" spans="1:13" s="3" customFormat="1" x14ac:dyDescent="0.25">
      <c r="A15" s="3" t="s">
        <v>58</v>
      </c>
      <c r="B15" s="3">
        <v>20411454</v>
      </c>
      <c r="C15" s="3" t="s">
        <v>31</v>
      </c>
      <c r="D15" s="3" t="s">
        <v>32</v>
      </c>
      <c r="E15" s="3" t="str">
        <f t="shared" si="0"/>
        <v>James Burns Sr</v>
      </c>
      <c r="F15" s="3">
        <v>100558072</v>
      </c>
      <c r="G15" s="3" t="str">
        <f t="shared" si="1"/>
        <v>100558072OVR</v>
      </c>
      <c r="H15" s="4">
        <v>45597</v>
      </c>
      <c r="I15" s="4">
        <v>46171</v>
      </c>
      <c r="J15" s="3" t="s">
        <v>3</v>
      </c>
      <c r="K15" s="3" t="s">
        <v>4</v>
      </c>
      <c r="L15" s="5">
        <v>6.25</v>
      </c>
      <c r="M15" s="3" t="s">
        <v>55</v>
      </c>
    </row>
    <row r="16" spans="1:13" s="3" customFormat="1" x14ac:dyDescent="0.25">
      <c r="A16" s="3" t="s">
        <v>58</v>
      </c>
      <c r="B16" s="3">
        <v>20411454</v>
      </c>
      <c r="C16" s="3" t="s">
        <v>33</v>
      </c>
      <c r="D16" s="3" t="s">
        <v>34</v>
      </c>
      <c r="E16" s="3" t="str">
        <f t="shared" si="0"/>
        <v>John Brown</v>
      </c>
      <c r="F16" s="3">
        <v>100051930</v>
      </c>
      <c r="G16" s="3" t="str">
        <f t="shared" si="1"/>
        <v>100051930OVR</v>
      </c>
      <c r="H16" s="4">
        <v>46023</v>
      </c>
      <c r="I16" s="4">
        <v>46171</v>
      </c>
      <c r="J16" s="3" t="s">
        <v>3</v>
      </c>
      <c r="K16" s="3" t="s">
        <v>4</v>
      </c>
      <c r="L16" s="5">
        <v>6.25</v>
      </c>
      <c r="M16" s="3" t="s">
        <v>55</v>
      </c>
    </row>
    <row r="17" spans="1:14" s="6" customFormat="1" x14ac:dyDescent="0.25">
      <c r="A17" s="6" t="s">
        <v>0</v>
      </c>
      <c r="B17" s="6">
        <v>9079571</v>
      </c>
      <c r="C17" s="6" t="s">
        <v>1</v>
      </c>
      <c r="D17" s="6" t="s">
        <v>2</v>
      </c>
      <c r="E17" s="3" t="str">
        <f t="shared" si="0"/>
        <v>Dennis Peterson</v>
      </c>
      <c r="F17" s="6">
        <v>100051830</v>
      </c>
      <c r="G17" s="6" t="str">
        <f>CONCATENATE(F17,22)</f>
        <v>10005183022</v>
      </c>
      <c r="H17" s="7">
        <v>46023</v>
      </c>
      <c r="I17" s="7">
        <v>46171</v>
      </c>
      <c r="J17" s="6" t="s">
        <v>3</v>
      </c>
      <c r="K17" s="6" t="s">
        <v>35</v>
      </c>
      <c r="L17" s="8">
        <v>28.91</v>
      </c>
      <c r="M17" s="6" t="s">
        <v>53</v>
      </c>
      <c r="N17" s="6" t="s">
        <v>54</v>
      </c>
    </row>
    <row r="18" spans="1:14" x14ac:dyDescent="0.25">
      <c r="A18" t="s">
        <v>0</v>
      </c>
      <c r="B18">
        <v>9079571</v>
      </c>
      <c r="C18" t="s">
        <v>5</v>
      </c>
      <c r="D18" t="s">
        <v>6</v>
      </c>
      <c r="E18" s="3" t="str">
        <f t="shared" si="0"/>
        <v>Edward West</v>
      </c>
      <c r="F18">
        <v>100047864</v>
      </c>
      <c r="G18" s="6" t="str">
        <f t="shared" ref="G18:G31" si="2">CONCATENATE(F18,22)</f>
        <v>10004786422</v>
      </c>
      <c r="H18" s="1">
        <v>46023</v>
      </c>
      <c r="I18" s="1">
        <v>46171</v>
      </c>
      <c r="J18" t="s">
        <v>3</v>
      </c>
      <c r="K18" t="s">
        <v>35</v>
      </c>
      <c r="L18" s="2">
        <v>28.91</v>
      </c>
      <c r="M18" t="s">
        <v>53</v>
      </c>
      <c r="N18" t="s">
        <v>54</v>
      </c>
    </row>
    <row r="19" spans="1:14" x14ac:dyDescent="0.25">
      <c r="A19" t="s">
        <v>0</v>
      </c>
      <c r="B19">
        <v>9079571</v>
      </c>
      <c r="C19" t="s">
        <v>7</v>
      </c>
      <c r="D19" t="s">
        <v>8</v>
      </c>
      <c r="E19" s="3" t="str">
        <f t="shared" si="0"/>
        <v>Emma Mcphail</v>
      </c>
      <c r="F19">
        <v>100578061</v>
      </c>
      <c r="G19" s="6" t="str">
        <f t="shared" si="2"/>
        <v>10057806122</v>
      </c>
      <c r="H19" s="1">
        <v>46113</v>
      </c>
      <c r="I19" s="1">
        <v>46171</v>
      </c>
      <c r="J19" t="s">
        <v>3</v>
      </c>
      <c r="K19" t="s">
        <v>35</v>
      </c>
      <c r="L19" s="2">
        <v>28.91</v>
      </c>
      <c r="M19" t="s">
        <v>53</v>
      </c>
      <c r="N19" t="s">
        <v>54</v>
      </c>
    </row>
    <row r="20" spans="1:14" x14ac:dyDescent="0.25">
      <c r="A20" t="s">
        <v>0</v>
      </c>
      <c r="B20">
        <v>9079571</v>
      </c>
      <c r="C20" t="s">
        <v>9</v>
      </c>
      <c r="D20" t="s">
        <v>10</v>
      </c>
      <c r="E20" s="3" t="str">
        <f t="shared" si="0"/>
        <v>Judith Bradley Ray</v>
      </c>
      <c r="F20">
        <v>100578063</v>
      </c>
      <c r="G20" s="6" t="str">
        <f t="shared" si="2"/>
        <v>10057806322</v>
      </c>
      <c r="H20" s="1">
        <v>45809</v>
      </c>
      <c r="I20" s="1">
        <v>46171</v>
      </c>
      <c r="J20" t="s">
        <v>3</v>
      </c>
      <c r="K20" t="s">
        <v>35</v>
      </c>
      <c r="L20" s="2">
        <v>28.91</v>
      </c>
      <c r="M20" t="s">
        <v>53</v>
      </c>
      <c r="N20" t="s">
        <v>54</v>
      </c>
    </row>
    <row r="21" spans="1:14" x14ac:dyDescent="0.25">
      <c r="A21" t="s">
        <v>0</v>
      </c>
      <c r="B21">
        <v>9079571</v>
      </c>
      <c r="C21" t="s">
        <v>11</v>
      </c>
      <c r="D21" t="s">
        <v>12</v>
      </c>
      <c r="E21" s="3" t="str">
        <f t="shared" si="0"/>
        <v>Kathleen Galliano Dignan</v>
      </c>
      <c r="F21">
        <v>100013086</v>
      </c>
      <c r="G21" s="6" t="str">
        <f t="shared" si="2"/>
        <v>10001308622</v>
      </c>
      <c r="H21" s="1">
        <v>46023</v>
      </c>
      <c r="I21" s="1">
        <v>46171</v>
      </c>
      <c r="J21" t="s">
        <v>3</v>
      </c>
      <c r="K21" t="s">
        <v>35</v>
      </c>
      <c r="L21" s="2">
        <v>28.91</v>
      </c>
      <c r="M21" t="s">
        <v>53</v>
      </c>
      <c r="N21" t="s">
        <v>54</v>
      </c>
    </row>
    <row r="22" spans="1:14" x14ac:dyDescent="0.25">
      <c r="A22" t="s">
        <v>0</v>
      </c>
      <c r="B22">
        <v>9079571</v>
      </c>
      <c r="C22" t="s">
        <v>13</v>
      </c>
      <c r="D22" t="s">
        <v>14</v>
      </c>
      <c r="E22" s="3" t="str">
        <f t="shared" si="0"/>
        <v>Laura Yli Piipari</v>
      </c>
      <c r="F22">
        <v>100025676</v>
      </c>
      <c r="G22" s="6" t="str">
        <f t="shared" si="2"/>
        <v>10002567622</v>
      </c>
      <c r="H22" s="1">
        <v>46023</v>
      </c>
      <c r="I22" s="1">
        <v>46171</v>
      </c>
      <c r="J22" t="s">
        <v>3</v>
      </c>
      <c r="K22" t="s">
        <v>35</v>
      </c>
      <c r="L22" s="2">
        <v>28.91</v>
      </c>
      <c r="M22" t="s">
        <v>53</v>
      </c>
      <c r="N22" t="s">
        <v>54</v>
      </c>
    </row>
    <row r="23" spans="1:14" x14ac:dyDescent="0.25">
      <c r="A23" t="s">
        <v>0</v>
      </c>
      <c r="B23">
        <v>9079571</v>
      </c>
      <c r="C23" t="s">
        <v>15</v>
      </c>
      <c r="D23" t="s">
        <v>16</v>
      </c>
      <c r="E23" s="3" t="str">
        <f t="shared" si="0"/>
        <v>Marcella Ryckman</v>
      </c>
      <c r="F23">
        <v>100582352</v>
      </c>
      <c r="G23" s="6" t="str">
        <f t="shared" si="2"/>
        <v>10058235222</v>
      </c>
      <c r="H23" s="1">
        <v>45962</v>
      </c>
      <c r="I23" s="1">
        <v>46171</v>
      </c>
      <c r="J23" t="s">
        <v>3</v>
      </c>
      <c r="K23" t="s">
        <v>35</v>
      </c>
      <c r="L23" s="2">
        <v>28.91</v>
      </c>
      <c r="M23" t="s">
        <v>53</v>
      </c>
      <c r="N23" t="s">
        <v>54</v>
      </c>
    </row>
    <row r="24" spans="1:14" x14ac:dyDescent="0.25">
      <c r="A24" t="s">
        <v>0</v>
      </c>
      <c r="B24">
        <v>9079571</v>
      </c>
      <c r="C24" t="s">
        <v>17</v>
      </c>
      <c r="D24" t="s">
        <v>18</v>
      </c>
      <c r="E24" s="3" t="str">
        <f t="shared" si="0"/>
        <v>Robert Ray</v>
      </c>
      <c r="F24">
        <v>100578062</v>
      </c>
      <c r="G24" s="6" t="str">
        <f t="shared" si="2"/>
        <v>10057806222</v>
      </c>
      <c r="H24" s="1">
        <v>45809</v>
      </c>
      <c r="I24" s="1">
        <v>46171</v>
      </c>
      <c r="J24" t="s">
        <v>3</v>
      </c>
      <c r="K24" t="s">
        <v>35</v>
      </c>
      <c r="L24" s="2">
        <v>28.91</v>
      </c>
      <c r="M24" t="s">
        <v>53</v>
      </c>
      <c r="N24" t="s">
        <v>54</v>
      </c>
    </row>
    <row r="25" spans="1:14" x14ac:dyDescent="0.25">
      <c r="A25" t="s">
        <v>19</v>
      </c>
      <c r="B25">
        <v>17195620</v>
      </c>
      <c r="C25" t="s">
        <v>20</v>
      </c>
      <c r="D25" t="s">
        <v>21</v>
      </c>
      <c r="E25" s="3" t="str">
        <f t="shared" si="0"/>
        <v>Daisy Nelson</v>
      </c>
      <c r="F25">
        <v>100002926</v>
      </c>
      <c r="G25" s="6" t="str">
        <f t="shared" si="2"/>
        <v>10000292622</v>
      </c>
      <c r="H25" s="1">
        <v>46023</v>
      </c>
      <c r="I25" s="1">
        <v>46171</v>
      </c>
      <c r="J25" t="s">
        <v>3</v>
      </c>
      <c r="K25" t="s">
        <v>35</v>
      </c>
      <c r="L25" s="2">
        <v>28.91</v>
      </c>
      <c r="M25" t="s">
        <v>53</v>
      </c>
      <c r="N25" t="s">
        <v>54</v>
      </c>
    </row>
    <row r="26" spans="1:14" x14ac:dyDescent="0.25">
      <c r="A26" t="s">
        <v>19</v>
      </c>
      <c r="B26">
        <v>17195620</v>
      </c>
      <c r="C26" t="s">
        <v>22</v>
      </c>
      <c r="D26" t="s">
        <v>2</v>
      </c>
      <c r="E26" s="3" t="str">
        <f t="shared" si="0"/>
        <v>Dolores Peterson</v>
      </c>
      <c r="F26">
        <v>100013428</v>
      </c>
      <c r="G26" s="6" t="str">
        <f t="shared" si="2"/>
        <v>10001342822</v>
      </c>
      <c r="H26" s="1">
        <v>46023</v>
      </c>
      <c r="I26" s="1">
        <v>46171</v>
      </c>
      <c r="J26" t="s">
        <v>3</v>
      </c>
      <c r="K26" t="s">
        <v>35</v>
      </c>
      <c r="L26" s="2">
        <v>28.91</v>
      </c>
      <c r="M26" t="s">
        <v>53</v>
      </c>
      <c r="N26" t="s">
        <v>54</v>
      </c>
    </row>
    <row r="27" spans="1:14" x14ac:dyDescent="0.25">
      <c r="A27" t="s">
        <v>23</v>
      </c>
      <c r="B27">
        <v>15278437</v>
      </c>
      <c r="C27" t="s">
        <v>24</v>
      </c>
      <c r="D27" t="s">
        <v>25</v>
      </c>
      <c r="E27" s="3" t="str">
        <f t="shared" si="0"/>
        <v>Linda Bailey</v>
      </c>
      <c r="F27">
        <v>100559212</v>
      </c>
      <c r="G27" s="6" t="str">
        <f t="shared" si="2"/>
        <v>10055921222</v>
      </c>
      <c r="H27" s="1">
        <v>45627</v>
      </c>
      <c r="I27" s="1">
        <v>46171</v>
      </c>
      <c r="J27" t="s">
        <v>3</v>
      </c>
      <c r="K27" t="s">
        <v>35</v>
      </c>
      <c r="L27" s="2">
        <v>28.91</v>
      </c>
      <c r="M27" t="s">
        <v>53</v>
      </c>
      <c r="N27" t="s">
        <v>54</v>
      </c>
    </row>
    <row r="28" spans="1:14" x14ac:dyDescent="0.25">
      <c r="A28" t="s">
        <v>26</v>
      </c>
      <c r="B28">
        <v>16202925</v>
      </c>
      <c r="C28" t="s">
        <v>27</v>
      </c>
      <c r="D28" t="s">
        <v>28</v>
      </c>
      <c r="E28" s="3" t="str">
        <f t="shared" si="0"/>
        <v>Antonio Johnson</v>
      </c>
      <c r="F28">
        <v>100050126</v>
      </c>
      <c r="G28" s="6" t="str">
        <f t="shared" si="2"/>
        <v>10005012622</v>
      </c>
      <c r="H28" s="1">
        <v>46023</v>
      </c>
      <c r="I28" s="1">
        <v>46171</v>
      </c>
      <c r="J28" t="s">
        <v>3</v>
      </c>
      <c r="K28" t="s">
        <v>35</v>
      </c>
      <c r="L28" s="2">
        <v>28.91</v>
      </c>
      <c r="M28" t="s">
        <v>53</v>
      </c>
      <c r="N28" t="s">
        <v>54</v>
      </c>
    </row>
    <row r="29" spans="1:14" x14ac:dyDescent="0.25">
      <c r="A29" t="s">
        <v>26</v>
      </c>
      <c r="B29">
        <v>16202925</v>
      </c>
      <c r="C29" t="s">
        <v>29</v>
      </c>
      <c r="D29" t="s">
        <v>30</v>
      </c>
      <c r="E29" s="3" t="str">
        <f t="shared" si="0"/>
        <v>Audrey Layton</v>
      </c>
      <c r="F29">
        <v>100050552</v>
      </c>
      <c r="G29" s="6" t="str">
        <f t="shared" si="2"/>
        <v>10005055222</v>
      </c>
      <c r="H29" s="1">
        <v>46023</v>
      </c>
      <c r="I29" s="1">
        <v>46171</v>
      </c>
      <c r="J29" t="s">
        <v>3</v>
      </c>
      <c r="K29" t="s">
        <v>35</v>
      </c>
      <c r="L29" s="2">
        <v>28.91</v>
      </c>
      <c r="M29" t="s">
        <v>53</v>
      </c>
      <c r="N29" t="s">
        <v>54</v>
      </c>
    </row>
    <row r="30" spans="1:14" x14ac:dyDescent="0.25">
      <c r="A30" t="s">
        <v>26</v>
      </c>
      <c r="B30">
        <v>16202925</v>
      </c>
      <c r="C30" t="s">
        <v>31</v>
      </c>
      <c r="D30" t="s">
        <v>32</v>
      </c>
      <c r="E30" s="3" t="str">
        <f t="shared" si="0"/>
        <v>James Burns Sr</v>
      </c>
      <c r="F30">
        <v>100558072</v>
      </c>
      <c r="G30" s="6" t="str">
        <f t="shared" si="2"/>
        <v>10055807222</v>
      </c>
      <c r="H30" s="1">
        <v>45597</v>
      </c>
      <c r="I30" s="1">
        <v>46171</v>
      </c>
      <c r="J30" t="s">
        <v>3</v>
      </c>
      <c r="K30" t="s">
        <v>35</v>
      </c>
      <c r="L30" s="2">
        <v>28.91</v>
      </c>
      <c r="M30" t="s">
        <v>53</v>
      </c>
      <c r="N30" t="s">
        <v>54</v>
      </c>
    </row>
    <row r="31" spans="1:14" x14ac:dyDescent="0.25">
      <c r="A31" t="s">
        <v>26</v>
      </c>
      <c r="B31">
        <v>16202925</v>
      </c>
      <c r="C31" t="s">
        <v>33</v>
      </c>
      <c r="D31" t="s">
        <v>34</v>
      </c>
      <c r="E31" s="3" t="str">
        <f t="shared" si="0"/>
        <v>John Brown</v>
      </c>
      <c r="F31">
        <v>100051930</v>
      </c>
      <c r="G31" s="6" t="str">
        <f t="shared" si="2"/>
        <v>10005193022</v>
      </c>
      <c r="H31" s="1">
        <v>46023</v>
      </c>
      <c r="I31" s="1">
        <v>46171</v>
      </c>
      <c r="J31" t="s">
        <v>3</v>
      </c>
      <c r="K31" t="s">
        <v>35</v>
      </c>
      <c r="L31" s="2">
        <v>28.91</v>
      </c>
      <c r="M31" t="s">
        <v>53</v>
      </c>
      <c r="N31" t="s">
        <v>54</v>
      </c>
    </row>
    <row r="32" spans="1:14" s="3" customFormat="1" x14ac:dyDescent="0.25">
      <c r="A32" s="3" t="s">
        <v>58</v>
      </c>
      <c r="B32" s="3">
        <v>20411454</v>
      </c>
      <c r="C32" s="3" t="s">
        <v>36</v>
      </c>
      <c r="D32" s="3" t="s">
        <v>37</v>
      </c>
      <c r="E32" s="3" t="str">
        <f t="shared" si="0"/>
        <v>Marisa Mcrae</v>
      </c>
      <c r="F32" s="3">
        <v>100598832</v>
      </c>
      <c r="G32" s="3" t="str">
        <f t="shared" ref="G32:G33" si="3">CONCATENATE(F32,"OVR")</f>
        <v>100598832OVR</v>
      </c>
      <c r="H32" s="4">
        <v>46143</v>
      </c>
      <c r="I32" s="4">
        <v>46171</v>
      </c>
      <c r="J32" s="3" t="s">
        <v>3</v>
      </c>
      <c r="K32" s="3" t="s">
        <v>38</v>
      </c>
      <c r="L32" s="5">
        <v>140</v>
      </c>
      <c r="M32" s="3" t="s">
        <v>55</v>
      </c>
    </row>
    <row r="33" spans="1:14" s="3" customFormat="1" x14ac:dyDescent="0.25">
      <c r="A33" s="3" t="s">
        <v>58</v>
      </c>
      <c r="B33" s="3">
        <v>20411454</v>
      </c>
      <c r="C33" s="3" t="s">
        <v>39</v>
      </c>
      <c r="D33" s="3" t="s">
        <v>40</v>
      </c>
      <c r="E33" s="3" t="str">
        <f t="shared" si="0"/>
        <v>Michael Garrett</v>
      </c>
      <c r="F33" s="3">
        <v>100598625</v>
      </c>
      <c r="G33" s="3" t="str">
        <f t="shared" si="3"/>
        <v>100598625OVR</v>
      </c>
      <c r="H33" s="4">
        <v>46143</v>
      </c>
      <c r="I33" s="4">
        <v>46171</v>
      </c>
      <c r="J33" s="3" t="s">
        <v>3</v>
      </c>
      <c r="K33" s="3" t="s">
        <v>38</v>
      </c>
      <c r="L33" s="5">
        <v>140</v>
      </c>
      <c r="M33" s="3" t="s">
        <v>55</v>
      </c>
    </row>
    <row r="34" spans="1:14" x14ac:dyDescent="0.25">
      <c r="A34" t="s">
        <v>0</v>
      </c>
      <c r="B34">
        <v>9079571</v>
      </c>
      <c r="C34" t="s">
        <v>36</v>
      </c>
      <c r="D34" t="s">
        <v>37</v>
      </c>
      <c r="E34" s="3" t="str">
        <f t="shared" si="0"/>
        <v>Marisa Mcrae</v>
      </c>
      <c r="F34">
        <v>100598832</v>
      </c>
      <c r="G34" s="6" t="str">
        <f>CONCATENATE(F34,33)</f>
        <v>10059883233</v>
      </c>
      <c r="H34" s="1">
        <v>46143</v>
      </c>
      <c r="I34" s="1">
        <v>46171</v>
      </c>
      <c r="J34" t="s">
        <v>3</v>
      </c>
      <c r="K34" t="s">
        <v>41</v>
      </c>
      <c r="L34" s="2">
        <v>694</v>
      </c>
      <c r="M34" t="s">
        <v>56</v>
      </c>
      <c r="N34" t="s">
        <v>57</v>
      </c>
    </row>
    <row r="35" spans="1:14" x14ac:dyDescent="0.25">
      <c r="A35" t="s">
        <v>0</v>
      </c>
      <c r="B35">
        <v>9079571</v>
      </c>
      <c r="C35" t="s">
        <v>39</v>
      </c>
      <c r="D35" t="s">
        <v>40</v>
      </c>
      <c r="E35" s="3" t="str">
        <f t="shared" si="0"/>
        <v>Michael Garrett</v>
      </c>
      <c r="F35">
        <v>100598625</v>
      </c>
      <c r="G35" s="6" t="str">
        <f>CONCATENATE(F35,33)</f>
        <v>10059862533</v>
      </c>
      <c r="H35" s="1">
        <v>46143</v>
      </c>
      <c r="I35" s="1">
        <v>46171</v>
      </c>
      <c r="J35" t="s">
        <v>3</v>
      </c>
      <c r="K35" t="s">
        <v>41</v>
      </c>
      <c r="L35" s="2">
        <v>694</v>
      </c>
      <c r="M35" t="s">
        <v>56</v>
      </c>
      <c r="N3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Loula Irene Cabel</cp:lastModifiedBy>
  <dcterms:created xsi:type="dcterms:W3CDTF">2026-05-29T16:02:21Z</dcterms:created>
  <dcterms:modified xsi:type="dcterms:W3CDTF">2026-06-01T17:13:33Z</dcterms:modified>
</cp:coreProperties>
</file>