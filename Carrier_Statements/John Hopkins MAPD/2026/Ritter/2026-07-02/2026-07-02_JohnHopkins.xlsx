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iyo830jO6c0aPXMkOv6ifsrxf9iiNzKhCd3HcvgSt+4="/>
    </ext>
  </extLst>
</workbook>
</file>

<file path=xl/sharedStrings.xml><?xml version="1.0" encoding="utf-8"?>
<sst xmlns="http://schemas.openxmlformats.org/spreadsheetml/2006/main" count="435" uniqueCount="65">
  <si>
    <t>Writing Agent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</si>
  <si>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</si>
  <si>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</si>
  <si>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</si>
  <si>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</si>
  <si>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</si>
  <si>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</si>
  <si>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</si>
  <si>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</si>
  <si>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</si>
  <si>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Thomas Kucan</t>
  </si>
  <si>
    <t>George</t>
  </si>
  <si>
    <t>Condon Ii</t>
  </si>
  <si>
    <t>Writing Number</t>
  </si>
  <si>
    <t>Johns Hopkins</t>
  </si>
  <si>
    <t>Johns Hopkins 2026 Renewal ST (ProRata: -7)</t>
  </si>
  <si>
    <t>JH MAPD 2026*</t>
  </si>
  <si>
    <t>[%/$=347][prorate=7/12]</t>
  </si>
  <si>
    <t>Adam Richter</t>
  </si>
  <si>
    <t>Dennis</t>
  </si>
  <si>
    <t>Peterson</t>
  </si>
  <si>
    <t>Johns Hopkins 2026 Renewal OR +2 Years (ProRata: 1)</t>
  </si>
  <si>
    <t>Johns Hopkins 2026 Renewal ST (ProRata: 1)</t>
  </si>
  <si>
    <t>Emma</t>
  </si>
  <si>
    <t>Mcphail</t>
  </si>
  <si>
    <t>Judith</t>
  </si>
  <si>
    <t>Bradley Ray</t>
  </si>
  <si>
    <t>[%/$=347][prorate=1/12]</t>
  </si>
  <si>
    <t>Kathleen</t>
  </si>
  <si>
    <t>Galliano Dignan</t>
  </si>
  <si>
    <t>Laura</t>
  </si>
  <si>
    <t>Yli Piipari</t>
  </si>
  <si>
    <t>Marcella</t>
  </si>
  <si>
    <t>Ryckman</t>
  </si>
  <si>
    <t>Patricia</t>
  </si>
  <si>
    <t>Jones</t>
  </si>
  <si>
    <t>Johns Hopkins 2026 OR</t>
  </si>
  <si>
    <t>Johns Hopkins 2026 Renewal ST (ProRata: 7)</t>
  </si>
  <si>
    <t>Robert</t>
  </si>
  <si>
    <t>Ray</t>
  </si>
  <si>
    <t>Ronald</t>
  </si>
  <si>
    <t>Disaia</t>
  </si>
  <si>
    <t>Johns Hopkins 2026 ST</t>
  </si>
  <si>
    <t>Cathy Lemon</t>
  </si>
  <si>
    <t>Daisy</t>
  </si>
  <si>
    <t>Nelson</t>
  </si>
  <si>
    <t>Dolores</t>
  </si>
  <si>
    <t>Jason Hoffmann</t>
  </si>
  <si>
    <t>Linda</t>
  </si>
  <si>
    <t>Bailey</t>
  </si>
  <si>
    <t>Kendall Gillespie</t>
  </si>
  <si>
    <t>Julia</t>
  </si>
  <si>
    <t>Bosworth</t>
  </si>
  <si>
    <t>Antonio</t>
  </si>
  <si>
    <t>Johnson</t>
  </si>
  <si>
    <t>Audrey</t>
  </si>
  <si>
    <t>Layton</t>
  </si>
  <si>
    <t>Johns Hopkins 2026 OR (ProRata: -7)</t>
  </si>
  <si>
    <t>James</t>
  </si>
  <si>
    <t>Burns Sr</t>
  </si>
  <si>
    <t>John</t>
  </si>
  <si>
    <t>Brown</t>
  </si>
  <si>
    <t>JH MAPD OVR</t>
  </si>
  <si>
    <t>John Hopkins 2026</t>
  </si>
  <si>
    <t>[%/$=694]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</si>
</sst>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1" fillId="2" fontId="2" numFmtId="0" xfId="0" applyBorder="1" applyFill="1" applyFont="1"/>
    <xf borderId="1" fillId="2" fontId="2" numFmtId="14" xfId="0" applyBorder="1" applyFont="1" applyNumberFormat="1"/>
    <xf borderId="1" fillId="2" fontId="2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14.86"/>
    <col customWidth="1" min="3" max="3" width="10.43"/>
    <col customWidth="1" min="4" max="4" width="10.29"/>
    <col customWidth="1" min="5" max="5" width="14.57"/>
    <col customWidth="1" min="6" max="6" width="10.86"/>
    <col customWidth="1" min="7" max="7" width="11.57"/>
    <col customWidth="1" min="8" max="8" width="14.14"/>
    <col customWidth="1" min="9" max="9" width="13.29"/>
    <col customWidth="1" min="10" max="10" width="46.71"/>
    <col customWidth="1" min="11" max="11" width="15.14"/>
    <col customWidth="1" min="12" max="26" width="8.71"/>
  </cols>
  <sheetData>
    <row r="1">
      <c r="A1" s="1" t="s">
        <v>0</v>
      </c>
      <c r="B1" s="1" t="s">
        <v>13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>
      <c r="A2" s="1" t="s">
        <v>18</v>
      </c>
      <c r="C2" s="1">
        <v>9079571.0</v>
      </c>
      <c r="D2" s="1" t="s">
        <v>19</v>
      </c>
      <c r="E2" s="1" t="s">
        <v>20</v>
      </c>
      <c r="F2" s="1">
        <v>1.0005183E8</v>
      </c>
      <c r="G2" s="2">
        <v>46023.0</v>
      </c>
      <c r="H2" s="2">
        <v>46205.0</v>
      </c>
      <c r="I2" s="1" t="s">
        <v>14</v>
      </c>
      <c r="J2" s="1" t="s">
        <v>21</v>
      </c>
      <c r="K2" s="3">
        <v>6.25</v>
      </c>
    </row>
    <row r="3">
      <c r="A3" s="1" t="s">
        <v>18</v>
      </c>
      <c r="C3" s="1">
        <v>9079571.0</v>
      </c>
      <c r="D3" s="1" t="s">
        <v>19</v>
      </c>
      <c r="E3" s="1" t="s">
        <v>20</v>
      </c>
      <c r="F3" s="1">
        <v>1.0005183E8</v>
      </c>
      <c r="G3" s="2">
        <v>46023.0</v>
      </c>
      <c r="H3" s="2">
        <v>46205.0</v>
      </c>
      <c r="I3" s="1" t="s">
        <v>14</v>
      </c>
      <c r="J3" s="1" t="s">
        <v>22</v>
      </c>
      <c r="K3" s="3">
        <v>28.91</v>
      </c>
    </row>
    <row r="4">
      <c r="A4" s="1" t="s">
        <v>18</v>
      </c>
      <c r="C4" s="1">
        <v>9079571.0</v>
      </c>
      <c r="D4" s="1" t="s">
        <v>23</v>
      </c>
      <c r="E4" s="1" t="s">
        <v>24</v>
      </c>
      <c r="F4" s="1">
        <v>1.00578061E8</v>
      </c>
      <c r="G4" s="2">
        <v>46113.0</v>
      </c>
      <c r="H4" s="2">
        <v>46205.0</v>
      </c>
      <c r="I4" s="1" t="s">
        <v>14</v>
      </c>
      <c r="J4" s="1" t="s">
        <v>21</v>
      </c>
      <c r="K4" s="3">
        <v>6.25</v>
      </c>
    </row>
    <row r="5">
      <c r="A5" s="1" t="s">
        <v>18</v>
      </c>
      <c r="C5" s="1">
        <v>9079571.0</v>
      </c>
      <c r="D5" s="1" t="s">
        <v>23</v>
      </c>
      <c r="E5" s="1" t="s">
        <v>24</v>
      </c>
      <c r="F5" s="1">
        <v>1.00578061E8</v>
      </c>
      <c r="G5" s="2">
        <v>46113.0</v>
      </c>
      <c r="H5" s="2">
        <v>46205.0</v>
      </c>
      <c r="I5" s="1" t="s">
        <v>14</v>
      </c>
      <c r="J5" s="1" t="s">
        <v>22</v>
      </c>
      <c r="K5" s="3">
        <v>28.91</v>
      </c>
    </row>
    <row r="6">
      <c r="A6" s="1" t="s">
        <v>18</v>
      </c>
      <c r="C6" s="1">
        <v>9079571.0</v>
      </c>
      <c r="D6" s="1" t="s">
        <v>25</v>
      </c>
      <c r="E6" s="1" t="s">
        <v>26</v>
      </c>
      <c r="F6" s="1">
        <v>1.00578063E8</v>
      </c>
      <c r="G6" s="2">
        <v>45809.0</v>
      </c>
      <c r="H6" s="2">
        <v>46205.0</v>
      </c>
      <c r="I6" s="1" t="s">
        <v>14</v>
      </c>
      <c r="J6" s="1" t="s">
        <v>21</v>
      </c>
      <c r="K6" s="3">
        <v>6.25</v>
      </c>
    </row>
    <row r="7">
      <c r="A7" s="1" t="s">
        <v>18</v>
      </c>
      <c r="C7" s="1">
        <v>9079571.0</v>
      </c>
      <c r="D7" s="1" t="s">
        <v>25</v>
      </c>
      <c r="E7" s="1" t="s">
        <v>26</v>
      </c>
      <c r="F7" s="1">
        <v>1.00578063E8</v>
      </c>
      <c r="G7" s="2">
        <v>45809.0</v>
      </c>
      <c r="H7" s="2">
        <v>46205.0</v>
      </c>
      <c r="I7" s="1" t="s">
        <v>14</v>
      </c>
      <c r="J7" s="1" t="s">
        <v>22</v>
      </c>
      <c r="K7" s="3">
        <v>28.91</v>
      </c>
    </row>
    <row r="8">
      <c r="A8" s="1" t="s">
        <v>18</v>
      </c>
      <c r="C8" s="1">
        <v>9079571.0</v>
      </c>
      <c r="D8" s="1" t="s">
        <v>28</v>
      </c>
      <c r="E8" s="1" t="s">
        <v>29</v>
      </c>
      <c r="F8" s="1">
        <v>1.00013086E8</v>
      </c>
      <c r="G8" s="2">
        <v>46023.0</v>
      </c>
      <c r="H8" s="2">
        <v>46205.0</v>
      </c>
      <c r="I8" s="1" t="s">
        <v>14</v>
      </c>
      <c r="J8" s="1" t="s">
        <v>21</v>
      </c>
      <c r="K8" s="3">
        <v>6.25</v>
      </c>
    </row>
    <row r="9">
      <c r="A9" s="1" t="s">
        <v>18</v>
      </c>
      <c r="C9" s="1">
        <v>9079571.0</v>
      </c>
      <c r="D9" s="1" t="s">
        <v>28</v>
      </c>
      <c r="E9" s="1" t="s">
        <v>29</v>
      </c>
      <c r="F9" s="1">
        <v>1.00013086E8</v>
      </c>
      <c r="G9" s="2">
        <v>46023.0</v>
      </c>
      <c r="H9" s="2">
        <v>46205.0</v>
      </c>
      <c r="I9" s="1" t="s">
        <v>14</v>
      </c>
      <c r="J9" s="1" t="s">
        <v>22</v>
      </c>
      <c r="K9" s="3">
        <v>28.91</v>
      </c>
    </row>
    <row r="10">
      <c r="A10" s="1" t="s">
        <v>18</v>
      </c>
      <c r="C10" s="1">
        <v>9079571.0</v>
      </c>
      <c r="D10" s="1" t="s">
        <v>30</v>
      </c>
      <c r="E10" s="1" t="s">
        <v>31</v>
      </c>
      <c r="F10" s="1">
        <v>1.00025676E8</v>
      </c>
      <c r="G10" s="2">
        <v>46023.0</v>
      </c>
      <c r="H10" s="2">
        <v>46205.0</v>
      </c>
      <c r="I10" s="1" t="s">
        <v>14</v>
      </c>
      <c r="J10" s="1" t="s">
        <v>21</v>
      </c>
      <c r="K10" s="3">
        <v>6.25</v>
      </c>
    </row>
    <row r="11">
      <c r="A11" s="1" t="s">
        <v>18</v>
      </c>
      <c r="C11" s="1">
        <v>9079571.0</v>
      </c>
      <c r="D11" s="1" t="s">
        <v>30</v>
      </c>
      <c r="E11" s="1" t="s">
        <v>31</v>
      </c>
      <c r="F11" s="1">
        <v>1.00025676E8</v>
      </c>
      <c r="G11" s="2">
        <v>46023.0</v>
      </c>
      <c r="H11" s="2">
        <v>46205.0</v>
      </c>
      <c r="I11" s="1" t="s">
        <v>14</v>
      </c>
      <c r="J11" s="1" t="s">
        <v>22</v>
      </c>
      <c r="K11" s="3">
        <v>28.91</v>
      </c>
    </row>
    <row r="12">
      <c r="A12" s="1" t="s">
        <v>18</v>
      </c>
      <c r="C12" s="1">
        <v>9079571.0</v>
      </c>
      <c r="D12" s="1" t="s">
        <v>32</v>
      </c>
      <c r="E12" s="1" t="s">
        <v>33</v>
      </c>
      <c r="F12" s="1">
        <v>1.00582352E8</v>
      </c>
      <c r="G12" s="2">
        <v>45962.0</v>
      </c>
      <c r="H12" s="2">
        <v>46205.0</v>
      </c>
      <c r="I12" s="1" t="s">
        <v>14</v>
      </c>
      <c r="J12" s="1" t="s">
        <v>21</v>
      </c>
      <c r="K12" s="3">
        <v>6.25</v>
      </c>
    </row>
    <row r="13">
      <c r="A13" s="1" t="s">
        <v>18</v>
      </c>
      <c r="C13" s="1">
        <v>9079571.0</v>
      </c>
      <c r="D13" s="1" t="s">
        <v>32</v>
      </c>
      <c r="E13" s="1" t="s">
        <v>33</v>
      </c>
      <c r="F13" s="1">
        <v>1.00582352E8</v>
      </c>
      <c r="G13" s="2">
        <v>45962.0</v>
      </c>
      <c r="H13" s="2">
        <v>46205.0</v>
      </c>
      <c r="I13" s="1" t="s">
        <v>14</v>
      </c>
      <c r="J13" s="1" t="s">
        <v>22</v>
      </c>
      <c r="K13" s="3">
        <v>28.91</v>
      </c>
    </row>
    <row r="14">
      <c r="A14" s="1" t="s">
        <v>18</v>
      </c>
      <c r="C14" s="1">
        <v>9079571.0</v>
      </c>
      <c r="D14" s="1" t="s">
        <v>34</v>
      </c>
      <c r="E14" s="1" t="s">
        <v>35</v>
      </c>
      <c r="F14" s="1">
        <v>1.00602428E8</v>
      </c>
      <c r="G14" s="2">
        <v>46174.0</v>
      </c>
      <c r="H14" s="2">
        <v>46205.0</v>
      </c>
      <c r="I14" s="1" t="s">
        <v>14</v>
      </c>
      <c r="J14" s="1" t="s">
        <v>36</v>
      </c>
      <c r="K14" s="3">
        <v>140.0</v>
      </c>
    </row>
    <row r="15">
      <c r="A15" s="1" t="s">
        <v>18</v>
      </c>
      <c r="C15" s="1">
        <v>9079571.0</v>
      </c>
      <c r="D15" s="1" t="s">
        <v>34</v>
      </c>
      <c r="E15" s="1" t="s">
        <v>35</v>
      </c>
      <c r="F15" s="1">
        <v>1.00602428E8</v>
      </c>
      <c r="G15" s="2">
        <v>46174.0</v>
      </c>
      <c r="H15" s="2">
        <v>46205.0</v>
      </c>
      <c r="I15" s="1" t="s">
        <v>14</v>
      </c>
      <c r="J15" s="1" t="s">
        <v>37</v>
      </c>
      <c r="K15" s="3">
        <v>202.41</v>
      </c>
    </row>
    <row r="16">
      <c r="A16" s="1" t="s">
        <v>18</v>
      </c>
      <c r="C16" s="1">
        <v>9079571.0</v>
      </c>
      <c r="D16" s="1" t="s">
        <v>38</v>
      </c>
      <c r="E16" s="1" t="s">
        <v>39</v>
      </c>
      <c r="F16" s="1">
        <v>1.00578062E8</v>
      </c>
      <c r="G16" s="2">
        <v>45809.0</v>
      </c>
      <c r="H16" s="2">
        <v>46205.0</v>
      </c>
      <c r="I16" s="1" t="s">
        <v>14</v>
      </c>
      <c r="J16" s="1" t="s">
        <v>21</v>
      </c>
      <c r="K16" s="3">
        <v>6.25</v>
      </c>
    </row>
    <row r="17">
      <c r="A17" s="1" t="s">
        <v>18</v>
      </c>
      <c r="C17" s="1">
        <v>9079571.0</v>
      </c>
      <c r="D17" s="1" t="s">
        <v>38</v>
      </c>
      <c r="E17" s="1" t="s">
        <v>39</v>
      </c>
      <c r="F17" s="1">
        <v>1.00578062E8</v>
      </c>
      <c r="G17" s="2">
        <v>45809.0</v>
      </c>
      <c r="H17" s="2">
        <v>46205.0</v>
      </c>
      <c r="I17" s="1" t="s">
        <v>14</v>
      </c>
      <c r="J17" s="1" t="s">
        <v>22</v>
      </c>
      <c r="K17" s="3">
        <v>28.91</v>
      </c>
    </row>
    <row r="18">
      <c r="A18" s="1" t="s">
        <v>18</v>
      </c>
      <c r="C18" s="1">
        <v>9079571.0</v>
      </c>
      <c r="D18" s="1" t="s">
        <v>40</v>
      </c>
      <c r="E18" s="1" t="s">
        <v>41</v>
      </c>
      <c r="F18" s="1">
        <v>1.00602291E8</v>
      </c>
      <c r="G18" s="2">
        <v>46174.0</v>
      </c>
      <c r="H18" s="2">
        <v>46205.0</v>
      </c>
      <c r="I18" s="1" t="s">
        <v>14</v>
      </c>
      <c r="J18" s="1" t="s">
        <v>36</v>
      </c>
      <c r="K18" s="3">
        <v>140.0</v>
      </c>
    </row>
    <row r="19">
      <c r="A19" s="1" t="s">
        <v>18</v>
      </c>
      <c r="C19" s="1">
        <v>9079571.0</v>
      </c>
      <c r="D19" s="1" t="s">
        <v>40</v>
      </c>
      <c r="E19" s="1" t="s">
        <v>41</v>
      </c>
      <c r="F19" s="1">
        <v>1.00602291E8</v>
      </c>
      <c r="G19" s="2">
        <v>46174.0</v>
      </c>
      <c r="H19" s="2">
        <v>46205.0</v>
      </c>
      <c r="I19" s="1" t="s">
        <v>14</v>
      </c>
      <c r="J19" s="1" t="s">
        <v>42</v>
      </c>
      <c r="K19" s="3">
        <v>694.0</v>
      </c>
    </row>
    <row r="20">
      <c r="A20" s="1" t="s">
        <v>43</v>
      </c>
      <c r="C20" s="1">
        <v>1.719562E7</v>
      </c>
      <c r="D20" s="1" t="s">
        <v>44</v>
      </c>
      <c r="E20" s="1" t="s">
        <v>45</v>
      </c>
      <c r="F20" s="1">
        <v>1.00002926E8</v>
      </c>
      <c r="G20" s="2">
        <v>46023.0</v>
      </c>
      <c r="H20" s="2">
        <v>46205.0</v>
      </c>
      <c r="I20" s="1" t="s">
        <v>14</v>
      </c>
      <c r="J20" s="1" t="s">
        <v>21</v>
      </c>
      <c r="K20" s="3">
        <v>6.25</v>
      </c>
    </row>
    <row r="21" ht="15.75" customHeight="1">
      <c r="A21" s="1" t="s">
        <v>43</v>
      </c>
      <c r="C21" s="1">
        <v>1.719562E7</v>
      </c>
      <c r="D21" s="1" t="s">
        <v>44</v>
      </c>
      <c r="E21" s="1" t="s">
        <v>45</v>
      </c>
      <c r="F21" s="1">
        <v>1.00002926E8</v>
      </c>
      <c r="G21" s="2">
        <v>46023.0</v>
      </c>
      <c r="H21" s="2">
        <v>46205.0</v>
      </c>
      <c r="I21" s="1" t="s">
        <v>14</v>
      </c>
      <c r="J21" s="1" t="s">
        <v>22</v>
      </c>
      <c r="K21" s="3">
        <v>28.91</v>
      </c>
    </row>
    <row r="22" ht="15.75" customHeight="1">
      <c r="A22" s="1" t="s">
        <v>43</v>
      </c>
      <c r="C22" s="1">
        <v>1.719562E7</v>
      </c>
      <c r="D22" s="1" t="s">
        <v>46</v>
      </c>
      <c r="E22" s="1" t="s">
        <v>20</v>
      </c>
      <c r="F22" s="1">
        <v>1.00013428E8</v>
      </c>
      <c r="G22" s="2">
        <v>46023.0</v>
      </c>
      <c r="H22" s="2">
        <v>46205.0</v>
      </c>
      <c r="I22" s="1" t="s">
        <v>14</v>
      </c>
      <c r="J22" s="1" t="s">
        <v>21</v>
      </c>
      <c r="K22" s="3">
        <v>6.25</v>
      </c>
    </row>
    <row r="23" ht="15.75" customHeight="1">
      <c r="A23" s="1" t="s">
        <v>43</v>
      </c>
      <c r="C23" s="1">
        <v>1.719562E7</v>
      </c>
      <c r="D23" s="1" t="s">
        <v>46</v>
      </c>
      <c r="E23" s="1" t="s">
        <v>20</v>
      </c>
      <c r="F23" s="1">
        <v>1.00013428E8</v>
      </c>
      <c r="G23" s="2">
        <v>46023.0</v>
      </c>
      <c r="H23" s="2">
        <v>46205.0</v>
      </c>
      <c r="I23" s="1" t="s">
        <v>14</v>
      </c>
      <c r="J23" s="1" t="s">
        <v>22</v>
      </c>
      <c r="K23" s="3">
        <v>28.91</v>
      </c>
    </row>
    <row r="24" ht="15.75" customHeight="1">
      <c r="A24" s="1" t="s">
        <v>47</v>
      </c>
      <c r="C24" s="1">
        <v>1.5278437E7</v>
      </c>
      <c r="D24" s="1" t="s">
        <v>48</v>
      </c>
      <c r="E24" s="1" t="s">
        <v>49</v>
      </c>
      <c r="F24" s="1">
        <v>1.00559212E8</v>
      </c>
      <c r="G24" s="2">
        <v>45627.0</v>
      </c>
      <c r="H24" s="2">
        <v>46205.0</v>
      </c>
      <c r="I24" s="1" t="s">
        <v>14</v>
      </c>
      <c r="J24" s="1" t="s">
        <v>21</v>
      </c>
      <c r="K24" s="3">
        <v>6.25</v>
      </c>
    </row>
    <row r="25" ht="15.75" customHeight="1">
      <c r="A25" s="1" t="s">
        <v>47</v>
      </c>
      <c r="C25" s="1">
        <v>1.5278437E7</v>
      </c>
      <c r="D25" s="1" t="s">
        <v>48</v>
      </c>
      <c r="E25" s="1" t="s">
        <v>49</v>
      </c>
      <c r="F25" s="1">
        <v>1.00559212E8</v>
      </c>
      <c r="G25" s="2">
        <v>45627.0</v>
      </c>
      <c r="H25" s="2">
        <v>46205.0</v>
      </c>
      <c r="I25" s="1" t="s">
        <v>14</v>
      </c>
      <c r="J25" s="1" t="s">
        <v>22</v>
      </c>
      <c r="K25" s="3">
        <v>28.91</v>
      </c>
    </row>
    <row r="26" ht="15.75" customHeight="1">
      <c r="A26" s="1" t="s">
        <v>50</v>
      </c>
      <c r="C26" s="1">
        <v>2.1645031E7</v>
      </c>
      <c r="D26" s="1" t="s">
        <v>51</v>
      </c>
      <c r="E26" s="1" t="s">
        <v>52</v>
      </c>
      <c r="F26" s="1">
        <v>1.00602426E8</v>
      </c>
      <c r="G26" s="2">
        <v>46174.0</v>
      </c>
      <c r="H26" s="2">
        <v>46205.0</v>
      </c>
      <c r="I26" s="1" t="s">
        <v>14</v>
      </c>
      <c r="J26" s="1" t="s">
        <v>36</v>
      </c>
      <c r="K26" s="3">
        <v>140.0</v>
      </c>
    </row>
    <row r="27" ht="15.75" customHeight="1">
      <c r="A27" s="1" t="s">
        <v>50</v>
      </c>
      <c r="C27" s="1">
        <v>2.1645031E7</v>
      </c>
      <c r="D27" s="1" t="s">
        <v>51</v>
      </c>
      <c r="E27" s="1" t="s">
        <v>52</v>
      </c>
      <c r="F27" s="1">
        <v>1.00602426E8</v>
      </c>
      <c r="G27" s="2">
        <v>46174.0</v>
      </c>
      <c r="H27" s="2">
        <v>46205.0</v>
      </c>
      <c r="I27" s="1" t="s">
        <v>14</v>
      </c>
      <c r="J27" s="1" t="s">
        <v>37</v>
      </c>
      <c r="K27" s="3">
        <v>202.41</v>
      </c>
    </row>
    <row r="28" ht="15.75" customHeight="1">
      <c r="A28" s="1" t="s">
        <v>10</v>
      </c>
      <c r="C28" s="1">
        <v>1.6202925E7</v>
      </c>
      <c r="D28" s="1" t="s">
        <v>53</v>
      </c>
      <c r="E28" s="1" t="s">
        <v>54</v>
      </c>
      <c r="F28" s="1">
        <v>1.00050126E8</v>
      </c>
      <c r="G28" s="2">
        <v>46023.0</v>
      </c>
      <c r="H28" s="2">
        <v>46205.0</v>
      </c>
      <c r="I28" s="1" t="s">
        <v>14</v>
      </c>
      <c r="J28" s="1" t="s">
        <v>21</v>
      </c>
      <c r="K28" s="3">
        <v>6.25</v>
      </c>
    </row>
    <row r="29" ht="15.75" customHeight="1">
      <c r="A29" s="1" t="s">
        <v>10</v>
      </c>
      <c r="C29" s="1">
        <v>1.6202925E7</v>
      </c>
      <c r="D29" s="1" t="s">
        <v>53</v>
      </c>
      <c r="E29" s="1" t="s">
        <v>54</v>
      </c>
      <c r="F29" s="1">
        <v>1.00050126E8</v>
      </c>
      <c r="G29" s="2">
        <v>46023.0</v>
      </c>
      <c r="H29" s="2">
        <v>46205.0</v>
      </c>
      <c r="I29" s="1" t="s">
        <v>14</v>
      </c>
      <c r="J29" s="1" t="s">
        <v>22</v>
      </c>
      <c r="K29" s="3">
        <v>28.91</v>
      </c>
    </row>
    <row r="30" ht="15.75" customHeight="1">
      <c r="A30" s="1" t="s">
        <v>10</v>
      </c>
      <c r="C30" s="1">
        <v>1.6202925E7</v>
      </c>
      <c r="D30" s="1" t="s">
        <v>55</v>
      </c>
      <c r="E30" s="1" t="s">
        <v>56</v>
      </c>
      <c r="F30" s="1">
        <v>1.00050552E8</v>
      </c>
      <c r="G30" s="2">
        <v>46023.0</v>
      </c>
      <c r="H30" s="2">
        <v>46205.0</v>
      </c>
      <c r="I30" s="1" t="s">
        <v>14</v>
      </c>
      <c r="J30" s="1" t="s">
        <v>21</v>
      </c>
      <c r="K30" s="3">
        <v>6.25</v>
      </c>
    </row>
    <row r="31" ht="15.75" customHeight="1">
      <c r="A31" s="1" t="s">
        <v>10</v>
      </c>
      <c r="C31" s="1">
        <v>1.6202925E7</v>
      </c>
      <c r="D31" s="1" t="s">
        <v>55</v>
      </c>
      <c r="E31" s="1" t="s">
        <v>56</v>
      </c>
      <c r="F31" s="1">
        <v>1.00050552E8</v>
      </c>
      <c r="G31" s="2">
        <v>46023.0</v>
      </c>
      <c r="H31" s="2">
        <v>46205.0</v>
      </c>
      <c r="I31" s="1" t="s">
        <v>14</v>
      </c>
      <c r="J31" s="1" t="s">
        <v>22</v>
      </c>
      <c r="K31" s="3">
        <v>28.91</v>
      </c>
    </row>
    <row r="32" ht="15.75" customHeight="1">
      <c r="A32" s="1" t="s">
        <v>10</v>
      </c>
      <c r="C32" s="1">
        <v>1.6202925E7</v>
      </c>
      <c r="D32" s="1" t="s">
        <v>11</v>
      </c>
      <c r="E32" s="1" t="s">
        <v>12</v>
      </c>
      <c r="F32" s="1">
        <v>1.0059208E8</v>
      </c>
      <c r="G32" s="2">
        <v>46023.0</v>
      </c>
      <c r="H32" s="2">
        <v>46205.0</v>
      </c>
      <c r="I32" s="1" t="s">
        <v>14</v>
      </c>
      <c r="J32" s="1" t="s">
        <v>57</v>
      </c>
      <c r="K32" s="3">
        <v>-81.66</v>
      </c>
    </row>
    <row r="33" ht="15.75" customHeight="1">
      <c r="A33" s="1" t="s">
        <v>10</v>
      </c>
      <c r="C33" s="1">
        <v>1.6202925E7</v>
      </c>
      <c r="D33" s="1" t="s">
        <v>11</v>
      </c>
      <c r="E33" s="1" t="s">
        <v>12</v>
      </c>
      <c r="F33" s="1">
        <v>1.0059208E8</v>
      </c>
      <c r="G33" s="2">
        <v>46023.0</v>
      </c>
      <c r="H33" s="2">
        <v>46205.0</v>
      </c>
      <c r="I33" s="1" t="s">
        <v>14</v>
      </c>
      <c r="J33" s="1" t="s">
        <v>15</v>
      </c>
      <c r="K33" s="3">
        <v>-202.41</v>
      </c>
    </row>
    <row r="34" ht="15.75" customHeight="1">
      <c r="A34" s="1" t="s">
        <v>10</v>
      </c>
      <c r="C34" s="1">
        <v>1.6202925E7</v>
      </c>
      <c r="D34" s="1" t="s">
        <v>58</v>
      </c>
      <c r="E34" s="1" t="s">
        <v>59</v>
      </c>
      <c r="F34" s="1">
        <v>1.00558072E8</v>
      </c>
      <c r="G34" s="2">
        <v>45597.0</v>
      </c>
      <c r="H34" s="2">
        <v>46205.0</v>
      </c>
      <c r="I34" s="1" t="s">
        <v>14</v>
      </c>
      <c r="J34" s="1" t="s">
        <v>21</v>
      </c>
      <c r="K34" s="3">
        <v>6.25</v>
      </c>
    </row>
    <row r="35" ht="15.75" customHeight="1">
      <c r="A35" s="1" t="s">
        <v>10</v>
      </c>
      <c r="C35" s="1">
        <v>1.6202925E7</v>
      </c>
      <c r="D35" s="1" t="s">
        <v>58</v>
      </c>
      <c r="E35" s="1" t="s">
        <v>59</v>
      </c>
      <c r="F35" s="1">
        <v>1.00558072E8</v>
      </c>
      <c r="G35" s="2">
        <v>45597.0</v>
      </c>
      <c r="H35" s="2">
        <v>46205.0</v>
      </c>
      <c r="I35" s="1" t="s">
        <v>14</v>
      </c>
      <c r="J35" s="1" t="s">
        <v>22</v>
      </c>
      <c r="K35" s="3">
        <v>28.91</v>
      </c>
    </row>
    <row r="36" ht="15.75" customHeight="1">
      <c r="A36" s="1" t="s">
        <v>10</v>
      </c>
      <c r="C36" s="1">
        <v>1.6202925E7</v>
      </c>
      <c r="D36" s="1" t="s">
        <v>60</v>
      </c>
      <c r="E36" s="1" t="s">
        <v>61</v>
      </c>
      <c r="F36" s="1">
        <v>1.0005193E8</v>
      </c>
      <c r="G36" s="2">
        <v>46023.0</v>
      </c>
      <c r="H36" s="2">
        <v>46205.0</v>
      </c>
      <c r="I36" s="1" t="s">
        <v>14</v>
      </c>
      <c r="J36" s="1" t="s">
        <v>21</v>
      </c>
      <c r="K36" s="3">
        <v>6.25</v>
      </c>
    </row>
    <row r="37" ht="15.75" customHeight="1">
      <c r="A37" s="1" t="s">
        <v>10</v>
      </c>
      <c r="C37" s="1">
        <v>1.6202925E7</v>
      </c>
      <c r="D37" s="1" t="s">
        <v>60</v>
      </c>
      <c r="E37" s="1" t="s">
        <v>61</v>
      </c>
      <c r="F37" s="1">
        <v>1.0005193E8</v>
      </c>
      <c r="G37" s="2">
        <v>46023.0</v>
      </c>
      <c r="H37" s="2">
        <v>46205.0</v>
      </c>
      <c r="I37" s="1" t="s">
        <v>14</v>
      </c>
      <c r="J37" s="1" t="s">
        <v>22</v>
      </c>
      <c r="K37" s="3">
        <v>28.91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10.71"/>
    <col customWidth="1" min="3" max="3" width="12.86"/>
    <col customWidth="1" min="4" max="4" width="10.57"/>
    <col customWidth="1" min="5" max="6" width="15.0"/>
    <col customWidth="1" min="7" max="7" width="10.86"/>
    <col customWidth="1" min="8" max="8" width="12.0"/>
    <col customWidth="1" min="9" max="9" width="11.86"/>
    <col customWidth="1" min="10" max="10" width="10.71"/>
    <col customWidth="1" min="11" max="11" width="14.71"/>
    <col customWidth="1" min="12" max="12" width="13.71"/>
    <col customWidth="1" min="13" max="13" width="48.71"/>
    <col customWidth="1" min="14" max="14" width="15.71"/>
    <col customWidth="1" min="15" max="15" width="17.43"/>
    <col customWidth="1" min="16" max="16" width="23.14"/>
    <col customWidth="1" min="17" max="17" width="12.0"/>
    <col customWidth="1" min="18" max="26" width="8.71"/>
  </cols>
  <sheetData>
    <row r="1">
      <c r="A1" s="1" t="s">
        <v>0</v>
      </c>
      <c r="B1" s="1" t="s">
        <v>1</v>
      </c>
      <c r="D1" s="1" t="s">
        <v>2</v>
      </c>
      <c r="E1" s="1" t="s">
        <v>3</v>
      </c>
      <c r="G1" s="1" t="s">
        <v>4</v>
      </c>
      <c r="I1" s="1" t="s">
        <v>5</v>
      </c>
      <c r="K1" s="1" t="s">
        <v>6</v>
      </c>
      <c r="L1" s="1" t="s">
        <v>7</v>
      </c>
      <c r="M1" s="1" t="s">
        <v>8</v>
      </c>
      <c r="N1" s="1" t="s">
        <v>9</v>
      </c>
    </row>
    <row r="2">
      <c r="A2" s="1" t="s">
        <v>10</v>
      </c>
      <c r="B2" s="1">
        <v>1.6202925E7</v>
      </c>
      <c r="C2" s="1">
        <v>1.6202925E7</v>
      </c>
      <c r="D2" s="1" t="s">
        <v>11</v>
      </c>
      <c r="E2" s="1" t="s">
        <v>12</v>
      </c>
      <c r="F2" s="1" t="str">
        <f t="shared" ref="F2:F37" si="1">CONCATENATE(D2," ",E2)</f>
        <v>George Condon Ii</v>
      </c>
      <c r="G2" s="1">
        <v>1.0059208E8</v>
      </c>
      <c r="H2" s="1" t="str">
        <f t="shared" ref="H2:H18" si="2">CONCATENATE(G2,22)</f>
        <v>10059208022</v>
      </c>
      <c r="I2" s="2">
        <v>46023.0</v>
      </c>
      <c r="J2" s="2">
        <v>46204.0</v>
      </c>
      <c r="K2" s="2">
        <v>46205.0</v>
      </c>
      <c r="L2" s="1" t="s">
        <v>14</v>
      </c>
      <c r="M2" s="1" t="s">
        <v>15</v>
      </c>
      <c r="N2" s="3">
        <v>-202.41</v>
      </c>
      <c r="O2" s="1" t="s">
        <v>16</v>
      </c>
      <c r="P2" s="1" t="s">
        <v>17</v>
      </c>
      <c r="Q2" s="1">
        <f>347/12*7</f>
        <v>202.4166667</v>
      </c>
    </row>
    <row r="3">
      <c r="A3" s="1" t="s">
        <v>18</v>
      </c>
      <c r="B3" s="1">
        <v>9079571.0</v>
      </c>
      <c r="C3" s="1">
        <v>9079571.0</v>
      </c>
      <c r="D3" s="1" t="s">
        <v>19</v>
      </c>
      <c r="E3" s="1" t="s">
        <v>20</v>
      </c>
      <c r="F3" s="1" t="str">
        <f t="shared" si="1"/>
        <v>Dennis Peterson</v>
      </c>
      <c r="G3" s="1">
        <v>1.0005183E8</v>
      </c>
      <c r="H3" s="1" t="str">
        <f t="shared" si="2"/>
        <v>10005183022</v>
      </c>
      <c r="I3" s="2">
        <v>46023.0</v>
      </c>
      <c r="J3" s="2">
        <v>46204.0</v>
      </c>
      <c r="K3" s="2">
        <v>46205.0</v>
      </c>
      <c r="L3" s="1" t="s">
        <v>14</v>
      </c>
      <c r="M3" s="1" t="s">
        <v>22</v>
      </c>
      <c r="N3" s="3">
        <v>28.91</v>
      </c>
      <c r="O3" s="1" t="s">
        <v>16</v>
      </c>
      <c r="P3" s="1" t="s">
        <v>27</v>
      </c>
      <c r="R3" s="4"/>
      <c r="S3" s="4"/>
      <c r="T3" s="4"/>
      <c r="U3" s="4"/>
      <c r="V3" s="4"/>
      <c r="W3" s="4"/>
      <c r="X3" s="4"/>
      <c r="Y3" s="4"/>
      <c r="Z3" s="4"/>
    </row>
    <row r="4">
      <c r="A4" s="1" t="s">
        <v>18</v>
      </c>
      <c r="B4" s="1">
        <v>9079571.0</v>
      </c>
      <c r="C4" s="1">
        <v>9079571.0</v>
      </c>
      <c r="D4" s="1" t="s">
        <v>23</v>
      </c>
      <c r="E4" s="1" t="s">
        <v>24</v>
      </c>
      <c r="F4" s="1" t="str">
        <f t="shared" si="1"/>
        <v>Emma Mcphail</v>
      </c>
      <c r="G4" s="1">
        <v>1.00578061E8</v>
      </c>
      <c r="H4" s="1" t="str">
        <f t="shared" si="2"/>
        <v>10057806122</v>
      </c>
      <c r="I4" s="2">
        <v>46113.0</v>
      </c>
      <c r="J4" s="2">
        <v>46204.0</v>
      </c>
      <c r="K4" s="2">
        <v>46205.0</v>
      </c>
      <c r="L4" s="1" t="s">
        <v>14</v>
      </c>
      <c r="M4" s="1" t="s">
        <v>22</v>
      </c>
      <c r="N4" s="3">
        <v>28.91</v>
      </c>
      <c r="O4" s="1" t="s">
        <v>16</v>
      </c>
      <c r="P4" s="1" t="s">
        <v>27</v>
      </c>
      <c r="R4" s="4"/>
      <c r="S4" s="4"/>
      <c r="T4" s="4"/>
      <c r="U4" s="4"/>
      <c r="V4" s="4"/>
      <c r="W4" s="4"/>
      <c r="X4" s="4"/>
      <c r="Y4" s="4"/>
      <c r="Z4" s="4"/>
    </row>
    <row r="5">
      <c r="A5" s="1" t="s">
        <v>18</v>
      </c>
      <c r="B5" s="1">
        <v>9079571.0</v>
      </c>
      <c r="C5" s="1">
        <v>9079571.0</v>
      </c>
      <c r="D5" s="1" t="s">
        <v>25</v>
      </c>
      <c r="E5" s="1" t="s">
        <v>26</v>
      </c>
      <c r="F5" s="1" t="str">
        <f t="shared" si="1"/>
        <v>Judith Bradley Ray</v>
      </c>
      <c r="G5" s="1">
        <v>1.00578063E8</v>
      </c>
      <c r="H5" s="1" t="str">
        <f t="shared" si="2"/>
        <v>10057806322</v>
      </c>
      <c r="I5" s="2">
        <v>45809.0</v>
      </c>
      <c r="J5" s="2">
        <v>46204.0</v>
      </c>
      <c r="K5" s="2">
        <v>46205.0</v>
      </c>
      <c r="L5" s="1" t="s">
        <v>14</v>
      </c>
      <c r="M5" s="1" t="s">
        <v>22</v>
      </c>
      <c r="N5" s="3">
        <v>28.91</v>
      </c>
      <c r="O5" s="1" t="s">
        <v>16</v>
      </c>
      <c r="P5" s="1" t="s">
        <v>27</v>
      </c>
      <c r="R5" s="4"/>
      <c r="S5" s="4"/>
      <c r="T5" s="4"/>
      <c r="U5" s="4"/>
      <c r="V5" s="4"/>
      <c r="W5" s="4"/>
      <c r="X5" s="4"/>
      <c r="Y5" s="4"/>
      <c r="Z5" s="4"/>
    </row>
    <row r="6">
      <c r="A6" s="1" t="s">
        <v>18</v>
      </c>
      <c r="B6" s="1">
        <v>9079571.0</v>
      </c>
      <c r="C6" s="1">
        <v>9079571.0</v>
      </c>
      <c r="D6" s="1" t="s">
        <v>28</v>
      </c>
      <c r="E6" s="1" t="s">
        <v>29</v>
      </c>
      <c r="F6" s="1" t="str">
        <f t="shared" si="1"/>
        <v>Kathleen Galliano Dignan</v>
      </c>
      <c r="G6" s="1">
        <v>1.00013086E8</v>
      </c>
      <c r="H6" s="1" t="str">
        <f t="shared" si="2"/>
        <v>10001308622</v>
      </c>
      <c r="I6" s="2">
        <v>46023.0</v>
      </c>
      <c r="J6" s="2">
        <v>46204.0</v>
      </c>
      <c r="K6" s="2">
        <v>46205.0</v>
      </c>
      <c r="L6" s="1" t="s">
        <v>14</v>
      </c>
      <c r="M6" s="1" t="s">
        <v>22</v>
      </c>
      <c r="N6" s="3">
        <v>28.91</v>
      </c>
      <c r="O6" s="1" t="s">
        <v>16</v>
      </c>
      <c r="P6" s="1" t="s">
        <v>27</v>
      </c>
      <c r="R6" s="4"/>
      <c r="S6" s="4"/>
      <c r="T6" s="4"/>
      <c r="U6" s="4"/>
      <c r="V6" s="4"/>
      <c r="W6" s="4"/>
      <c r="X6" s="4"/>
      <c r="Y6" s="4"/>
      <c r="Z6" s="4"/>
    </row>
    <row r="7">
      <c r="A7" s="1" t="s">
        <v>18</v>
      </c>
      <c r="B7" s="1">
        <v>9079571.0</v>
      </c>
      <c r="C7" s="1">
        <v>9079571.0</v>
      </c>
      <c r="D7" s="1" t="s">
        <v>30</v>
      </c>
      <c r="E7" s="1" t="s">
        <v>31</v>
      </c>
      <c r="F7" s="1" t="str">
        <f t="shared" si="1"/>
        <v>Laura Yli Piipari</v>
      </c>
      <c r="G7" s="1">
        <v>1.00025676E8</v>
      </c>
      <c r="H7" s="1" t="str">
        <f t="shared" si="2"/>
        <v>10002567622</v>
      </c>
      <c r="I7" s="2">
        <v>46023.0</v>
      </c>
      <c r="J7" s="2">
        <v>46204.0</v>
      </c>
      <c r="K7" s="2">
        <v>46205.0</v>
      </c>
      <c r="L7" s="1" t="s">
        <v>14</v>
      </c>
      <c r="M7" s="1" t="s">
        <v>22</v>
      </c>
      <c r="N7" s="3">
        <v>28.91</v>
      </c>
      <c r="O7" s="1" t="s">
        <v>16</v>
      </c>
      <c r="P7" s="1" t="s">
        <v>27</v>
      </c>
      <c r="R7" s="4"/>
      <c r="S7" s="4"/>
      <c r="T7" s="4"/>
      <c r="U7" s="4"/>
      <c r="V7" s="4"/>
      <c r="W7" s="4"/>
      <c r="X7" s="4"/>
      <c r="Y7" s="4"/>
      <c r="Z7" s="4"/>
    </row>
    <row r="8">
      <c r="A8" s="1" t="s">
        <v>18</v>
      </c>
      <c r="B8" s="1">
        <v>9079571.0</v>
      </c>
      <c r="C8" s="1">
        <v>9079571.0</v>
      </c>
      <c r="D8" s="1" t="s">
        <v>32</v>
      </c>
      <c r="E8" s="1" t="s">
        <v>33</v>
      </c>
      <c r="F8" s="1" t="str">
        <f t="shared" si="1"/>
        <v>Marcella Ryckman</v>
      </c>
      <c r="G8" s="1">
        <v>1.00582352E8</v>
      </c>
      <c r="H8" s="1" t="str">
        <f t="shared" si="2"/>
        <v>10058235222</v>
      </c>
      <c r="I8" s="2">
        <v>45962.0</v>
      </c>
      <c r="J8" s="2">
        <v>46204.0</v>
      </c>
      <c r="K8" s="2">
        <v>46205.0</v>
      </c>
      <c r="L8" s="1" t="s">
        <v>14</v>
      </c>
      <c r="M8" s="1" t="s">
        <v>22</v>
      </c>
      <c r="N8" s="3">
        <v>28.91</v>
      </c>
      <c r="O8" s="1" t="s">
        <v>16</v>
      </c>
      <c r="P8" s="1" t="s">
        <v>27</v>
      </c>
      <c r="R8" s="4"/>
      <c r="S8" s="4"/>
      <c r="T8" s="4"/>
      <c r="U8" s="4"/>
      <c r="V8" s="4"/>
      <c r="W8" s="4"/>
      <c r="X8" s="4"/>
      <c r="Y8" s="4"/>
      <c r="Z8" s="4"/>
    </row>
    <row r="9">
      <c r="A9" s="1" t="s">
        <v>18</v>
      </c>
      <c r="B9" s="1">
        <v>9079571.0</v>
      </c>
      <c r="C9" s="1">
        <v>9079571.0</v>
      </c>
      <c r="D9" s="1" t="s">
        <v>38</v>
      </c>
      <c r="E9" s="1" t="s">
        <v>39</v>
      </c>
      <c r="F9" s="1" t="str">
        <f t="shared" si="1"/>
        <v>Robert Ray</v>
      </c>
      <c r="G9" s="1">
        <v>1.00578062E8</v>
      </c>
      <c r="H9" s="1" t="str">
        <f t="shared" si="2"/>
        <v>10057806222</v>
      </c>
      <c r="I9" s="2">
        <v>45809.0</v>
      </c>
      <c r="J9" s="2">
        <v>46204.0</v>
      </c>
      <c r="K9" s="2">
        <v>46205.0</v>
      </c>
      <c r="L9" s="1" t="s">
        <v>14</v>
      </c>
      <c r="M9" s="1" t="s">
        <v>22</v>
      </c>
      <c r="N9" s="3">
        <v>28.91</v>
      </c>
      <c r="O9" s="1" t="s">
        <v>16</v>
      </c>
      <c r="P9" s="1" t="s">
        <v>27</v>
      </c>
      <c r="R9" s="4"/>
      <c r="S9" s="4"/>
      <c r="T9" s="4"/>
      <c r="U9" s="4"/>
      <c r="V9" s="4"/>
      <c r="W9" s="4"/>
      <c r="X9" s="4"/>
      <c r="Y9" s="4"/>
      <c r="Z9" s="4"/>
    </row>
    <row r="10">
      <c r="A10" s="1" t="s">
        <v>43</v>
      </c>
      <c r="B10" s="1">
        <v>1.719562E7</v>
      </c>
      <c r="C10" s="1">
        <v>1.719562E7</v>
      </c>
      <c r="D10" s="1" t="s">
        <v>44</v>
      </c>
      <c r="E10" s="1" t="s">
        <v>45</v>
      </c>
      <c r="F10" s="1" t="str">
        <f t="shared" si="1"/>
        <v>Daisy Nelson</v>
      </c>
      <c r="G10" s="1">
        <v>1.00002926E8</v>
      </c>
      <c r="H10" s="1" t="str">
        <f t="shared" si="2"/>
        <v>10000292622</v>
      </c>
      <c r="I10" s="2">
        <v>46023.0</v>
      </c>
      <c r="J10" s="2">
        <v>46204.0</v>
      </c>
      <c r="K10" s="2">
        <v>46205.0</v>
      </c>
      <c r="L10" s="1" t="s">
        <v>14</v>
      </c>
      <c r="M10" s="1" t="s">
        <v>22</v>
      </c>
      <c r="N10" s="3">
        <v>28.91</v>
      </c>
      <c r="O10" s="1" t="s">
        <v>16</v>
      </c>
      <c r="P10" s="1" t="s">
        <v>27</v>
      </c>
      <c r="R10" s="4"/>
      <c r="S10" s="4"/>
      <c r="T10" s="4"/>
      <c r="U10" s="4"/>
      <c r="V10" s="4"/>
      <c r="W10" s="4"/>
      <c r="X10" s="4"/>
      <c r="Y10" s="4"/>
      <c r="Z10" s="4"/>
    </row>
    <row r="11">
      <c r="A11" s="1" t="s">
        <v>43</v>
      </c>
      <c r="B11" s="1">
        <v>1.719562E7</v>
      </c>
      <c r="C11" s="1">
        <v>1.719562E7</v>
      </c>
      <c r="D11" s="1" t="s">
        <v>46</v>
      </c>
      <c r="E11" s="1" t="s">
        <v>20</v>
      </c>
      <c r="F11" s="1" t="str">
        <f t="shared" si="1"/>
        <v>Dolores Peterson</v>
      </c>
      <c r="G11" s="1">
        <v>1.00013428E8</v>
      </c>
      <c r="H11" s="1" t="str">
        <f t="shared" si="2"/>
        <v>10001342822</v>
      </c>
      <c r="I11" s="2">
        <v>46023.0</v>
      </c>
      <c r="J11" s="2">
        <v>46204.0</v>
      </c>
      <c r="K11" s="2">
        <v>46205.0</v>
      </c>
      <c r="L11" s="1" t="s">
        <v>14</v>
      </c>
      <c r="M11" s="1" t="s">
        <v>22</v>
      </c>
      <c r="N11" s="3">
        <v>28.91</v>
      </c>
      <c r="O11" s="1" t="s">
        <v>16</v>
      </c>
      <c r="P11" s="1" t="s">
        <v>27</v>
      </c>
      <c r="R11" s="4"/>
      <c r="S11" s="4"/>
      <c r="T11" s="4"/>
      <c r="U11" s="4"/>
      <c r="V11" s="4"/>
      <c r="W11" s="4"/>
      <c r="X11" s="4"/>
      <c r="Y11" s="4"/>
      <c r="Z11" s="4"/>
    </row>
    <row r="12">
      <c r="A12" s="1" t="s">
        <v>47</v>
      </c>
      <c r="B12" s="1">
        <v>1.5278437E7</v>
      </c>
      <c r="C12" s="1">
        <v>1.5278437E7</v>
      </c>
      <c r="D12" s="1" t="s">
        <v>48</v>
      </c>
      <c r="E12" s="1" t="s">
        <v>49</v>
      </c>
      <c r="F12" s="1" t="str">
        <f t="shared" si="1"/>
        <v>Linda Bailey</v>
      </c>
      <c r="G12" s="1">
        <v>1.00559212E8</v>
      </c>
      <c r="H12" s="1" t="str">
        <f t="shared" si="2"/>
        <v>10055921222</v>
      </c>
      <c r="I12" s="2">
        <v>45627.0</v>
      </c>
      <c r="J12" s="2">
        <v>46204.0</v>
      </c>
      <c r="K12" s="2">
        <v>46205.0</v>
      </c>
      <c r="L12" s="1" t="s">
        <v>14</v>
      </c>
      <c r="M12" s="1" t="s">
        <v>22</v>
      </c>
      <c r="N12" s="3">
        <v>28.91</v>
      </c>
      <c r="O12" s="1" t="s">
        <v>16</v>
      </c>
      <c r="P12" s="1" t="s">
        <v>27</v>
      </c>
      <c r="R12" s="4"/>
      <c r="S12" s="4"/>
      <c r="T12" s="4"/>
      <c r="U12" s="4"/>
      <c r="V12" s="4"/>
      <c r="W12" s="4"/>
      <c r="X12" s="4"/>
      <c r="Y12" s="4"/>
      <c r="Z12" s="4"/>
    </row>
    <row r="13">
      <c r="A13" s="1" t="s">
        <v>10</v>
      </c>
      <c r="B13" s="1">
        <v>1.6202925E7</v>
      </c>
      <c r="C13" s="1">
        <v>1.6202925E7</v>
      </c>
      <c r="D13" s="1" t="s">
        <v>53</v>
      </c>
      <c r="E13" s="1" t="s">
        <v>54</v>
      </c>
      <c r="F13" s="1" t="str">
        <f t="shared" si="1"/>
        <v>Antonio Johnson</v>
      </c>
      <c r="G13" s="1">
        <v>1.00050126E8</v>
      </c>
      <c r="H13" s="1" t="str">
        <f t="shared" si="2"/>
        <v>10005012622</v>
      </c>
      <c r="I13" s="2">
        <v>46023.0</v>
      </c>
      <c r="J13" s="2">
        <v>46204.0</v>
      </c>
      <c r="K13" s="2">
        <v>46205.0</v>
      </c>
      <c r="L13" s="1" t="s">
        <v>14</v>
      </c>
      <c r="M13" s="1" t="s">
        <v>22</v>
      </c>
      <c r="N13" s="3">
        <v>28.91</v>
      </c>
      <c r="O13" s="1" t="s">
        <v>16</v>
      </c>
      <c r="P13" s="1" t="s">
        <v>27</v>
      </c>
      <c r="R13" s="4"/>
      <c r="S13" s="4"/>
      <c r="T13" s="4"/>
      <c r="U13" s="4"/>
      <c r="V13" s="4"/>
      <c r="W13" s="4"/>
      <c r="X13" s="4"/>
      <c r="Y13" s="4"/>
      <c r="Z13" s="4"/>
    </row>
    <row r="14">
      <c r="A14" s="1" t="s">
        <v>10</v>
      </c>
      <c r="B14" s="1">
        <v>1.6202925E7</v>
      </c>
      <c r="C14" s="1">
        <v>1.6202925E7</v>
      </c>
      <c r="D14" s="1" t="s">
        <v>55</v>
      </c>
      <c r="E14" s="1" t="s">
        <v>56</v>
      </c>
      <c r="F14" s="1" t="str">
        <f t="shared" si="1"/>
        <v>Audrey Layton</v>
      </c>
      <c r="G14" s="1">
        <v>1.00050552E8</v>
      </c>
      <c r="H14" s="1" t="str">
        <f t="shared" si="2"/>
        <v>10005055222</v>
      </c>
      <c r="I14" s="2">
        <v>46023.0</v>
      </c>
      <c r="J14" s="2">
        <v>46204.0</v>
      </c>
      <c r="K14" s="2">
        <v>46205.0</v>
      </c>
      <c r="L14" s="1" t="s">
        <v>14</v>
      </c>
      <c r="M14" s="1" t="s">
        <v>22</v>
      </c>
      <c r="N14" s="3">
        <v>28.91</v>
      </c>
      <c r="O14" s="1" t="s">
        <v>16</v>
      </c>
      <c r="P14" s="1" t="s">
        <v>27</v>
      </c>
      <c r="R14" s="4"/>
      <c r="S14" s="4"/>
      <c r="T14" s="4"/>
      <c r="U14" s="4"/>
      <c r="V14" s="4"/>
      <c r="W14" s="4"/>
      <c r="X14" s="4"/>
      <c r="Y14" s="4"/>
      <c r="Z14" s="4"/>
    </row>
    <row r="15">
      <c r="A15" s="1" t="s">
        <v>10</v>
      </c>
      <c r="B15" s="1">
        <v>1.6202925E7</v>
      </c>
      <c r="C15" s="1">
        <v>1.6202925E7</v>
      </c>
      <c r="D15" s="1" t="s">
        <v>58</v>
      </c>
      <c r="E15" s="1" t="s">
        <v>59</v>
      </c>
      <c r="F15" s="1" t="str">
        <f t="shared" si="1"/>
        <v>James Burns Sr</v>
      </c>
      <c r="G15" s="1">
        <v>1.00558072E8</v>
      </c>
      <c r="H15" s="1" t="str">
        <f t="shared" si="2"/>
        <v>10055807222</v>
      </c>
      <c r="I15" s="2">
        <v>45597.0</v>
      </c>
      <c r="J15" s="2">
        <v>46204.0</v>
      </c>
      <c r="K15" s="2">
        <v>46205.0</v>
      </c>
      <c r="L15" s="1" t="s">
        <v>14</v>
      </c>
      <c r="M15" s="1" t="s">
        <v>22</v>
      </c>
      <c r="N15" s="3">
        <v>28.91</v>
      </c>
      <c r="O15" s="1" t="s">
        <v>16</v>
      </c>
      <c r="P15" s="1" t="s">
        <v>27</v>
      </c>
      <c r="R15" s="4"/>
      <c r="S15" s="4"/>
      <c r="T15" s="4"/>
      <c r="U15" s="4"/>
      <c r="V15" s="4"/>
      <c r="W15" s="4"/>
      <c r="X15" s="4"/>
      <c r="Y15" s="4"/>
      <c r="Z15" s="4"/>
    </row>
    <row r="16">
      <c r="A16" s="1" t="s">
        <v>10</v>
      </c>
      <c r="B16" s="1">
        <v>1.6202925E7</v>
      </c>
      <c r="C16" s="1">
        <v>1.6202925E7</v>
      </c>
      <c r="D16" s="1" t="s">
        <v>60</v>
      </c>
      <c r="E16" s="1" t="s">
        <v>61</v>
      </c>
      <c r="F16" s="1" t="str">
        <f t="shared" si="1"/>
        <v>John Brown</v>
      </c>
      <c r="G16" s="1">
        <v>1.0005193E8</v>
      </c>
      <c r="H16" s="1" t="str">
        <f t="shared" si="2"/>
        <v>10005193022</v>
      </c>
      <c r="I16" s="2">
        <v>46023.0</v>
      </c>
      <c r="J16" s="2">
        <v>46204.0</v>
      </c>
      <c r="K16" s="2">
        <v>46205.0</v>
      </c>
      <c r="L16" s="1" t="s">
        <v>14</v>
      </c>
      <c r="M16" s="1" t="s">
        <v>22</v>
      </c>
      <c r="N16" s="3">
        <v>28.91</v>
      </c>
      <c r="O16" s="1" t="s">
        <v>16</v>
      </c>
      <c r="P16" s="1" t="s">
        <v>27</v>
      </c>
      <c r="R16" s="4"/>
      <c r="S16" s="4"/>
      <c r="T16" s="4"/>
      <c r="U16" s="4"/>
      <c r="V16" s="4"/>
      <c r="W16" s="4"/>
      <c r="X16" s="4"/>
      <c r="Y16" s="4"/>
      <c r="Z16" s="4"/>
    </row>
    <row r="17">
      <c r="A17" s="1" t="s">
        <v>18</v>
      </c>
      <c r="B17" s="1">
        <v>9079571.0</v>
      </c>
      <c r="C17" s="1">
        <v>9079571.0</v>
      </c>
      <c r="D17" s="1" t="s">
        <v>34</v>
      </c>
      <c r="E17" s="1" t="s">
        <v>35</v>
      </c>
      <c r="F17" s="1" t="str">
        <f t="shared" si="1"/>
        <v>Patricia Jones</v>
      </c>
      <c r="G17" s="1">
        <v>1.00602428E8</v>
      </c>
      <c r="H17" s="1" t="str">
        <f t="shared" si="2"/>
        <v>10060242822</v>
      </c>
      <c r="I17" s="2">
        <v>46174.0</v>
      </c>
      <c r="J17" s="2">
        <v>46387.0</v>
      </c>
      <c r="K17" s="2">
        <v>46205.0</v>
      </c>
      <c r="L17" s="1" t="s">
        <v>14</v>
      </c>
      <c r="M17" s="1" t="s">
        <v>37</v>
      </c>
      <c r="N17" s="3">
        <v>202.41</v>
      </c>
      <c r="O17" s="1" t="s">
        <v>16</v>
      </c>
      <c r="P17" s="1" t="s">
        <v>17</v>
      </c>
      <c r="R17" s="4"/>
      <c r="S17" s="4"/>
      <c r="T17" s="4"/>
      <c r="U17" s="4"/>
      <c r="V17" s="4"/>
      <c r="W17" s="4"/>
      <c r="X17" s="4"/>
      <c r="Y17" s="4"/>
      <c r="Z17" s="4"/>
    </row>
    <row r="18">
      <c r="A18" s="1" t="s">
        <v>50</v>
      </c>
      <c r="B18" s="1">
        <v>2.1645031E7</v>
      </c>
      <c r="C18" s="1">
        <v>2.1645031E7</v>
      </c>
      <c r="D18" s="1" t="s">
        <v>51</v>
      </c>
      <c r="E18" s="1" t="s">
        <v>52</v>
      </c>
      <c r="F18" s="1" t="str">
        <f t="shared" si="1"/>
        <v>Julia Bosworth</v>
      </c>
      <c r="G18" s="1">
        <v>1.00602426E8</v>
      </c>
      <c r="H18" s="1" t="str">
        <f t="shared" si="2"/>
        <v>10060242622</v>
      </c>
      <c r="I18" s="2">
        <v>46174.0</v>
      </c>
      <c r="J18" s="2">
        <v>46387.0</v>
      </c>
      <c r="K18" s="2">
        <v>46205.0</v>
      </c>
      <c r="L18" s="1" t="s">
        <v>14</v>
      </c>
      <c r="M18" s="1" t="s">
        <v>37</v>
      </c>
      <c r="N18" s="3">
        <v>202.41</v>
      </c>
      <c r="O18" s="1" t="s">
        <v>16</v>
      </c>
      <c r="P18" s="1" t="s">
        <v>17</v>
      </c>
      <c r="Q18" s="1">
        <f>178.13+11.28+13.01</f>
        <v>202.42</v>
      </c>
    </row>
    <row r="19">
      <c r="A19" s="4" t="s">
        <v>10</v>
      </c>
      <c r="B19" s="4">
        <v>1.6202925E7</v>
      </c>
      <c r="C19" s="4" t="str">
        <f t="shared" ref="C19:C36" si="3">CONCATENATE(B19,"OVR")</f>
        <v>16202925OVR</v>
      </c>
      <c r="D19" s="4" t="s">
        <v>11</v>
      </c>
      <c r="E19" s="4" t="s">
        <v>12</v>
      </c>
      <c r="F19" s="1" t="str">
        <f t="shared" si="1"/>
        <v>George Condon Ii</v>
      </c>
      <c r="G19" s="4">
        <v>1.0059208E8</v>
      </c>
      <c r="H19" s="4" t="str">
        <f t="shared" ref="H19:H36" si="4">CONCATENATE(G19,"OVR")</f>
        <v>100592080OVR</v>
      </c>
      <c r="I19" s="5">
        <v>46023.0</v>
      </c>
      <c r="J19" s="5">
        <v>46204.0</v>
      </c>
      <c r="K19" s="5">
        <v>46205.0</v>
      </c>
      <c r="L19" s="4" t="s">
        <v>14</v>
      </c>
      <c r="M19" s="4" t="s">
        <v>57</v>
      </c>
      <c r="N19" s="6">
        <v>-81.66</v>
      </c>
      <c r="O19" s="4" t="s">
        <v>62</v>
      </c>
      <c r="P19" s="4"/>
      <c r="Q19" s="4"/>
    </row>
    <row r="20">
      <c r="A20" s="4" t="s">
        <v>18</v>
      </c>
      <c r="B20" s="4">
        <v>9079571.0</v>
      </c>
      <c r="C20" s="4" t="str">
        <f t="shared" si="3"/>
        <v>9079571OVR</v>
      </c>
      <c r="D20" s="4" t="s">
        <v>19</v>
      </c>
      <c r="E20" s="4" t="s">
        <v>20</v>
      </c>
      <c r="F20" s="1" t="str">
        <f t="shared" si="1"/>
        <v>Dennis Peterson</v>
      </c>
      <c r="G20" s="4">
        <v>1.0005183E8</v>
      </c>
      <c r="H20" s="4" t="str">
        <f t="shared" si="4"/>
        <v>100051830OVR</v>
      </c>
      <c r="I20" s="5">
        <v>46023.0</v>
      </c>
      <c r="J20" s="5">
        <v>46204.0</v>
      </c>
      <c r="K20" s="5">
        <v>46205.0</v>
      </c>
      <c r="L20" s="4" t="s">
        <v>14</v>
      </c>
      <c r="M20" s="4" t="s">
        <v>21</v>
      </c>
      <c r="N20" s="6">
        <v>6.25</v>
      </c>
      <c r="O20" s="4" t="s">
        <v>62</v>
      </c>
      <c r="P20" s="4"/>
      <c r="Q20" s="4"/>
    </row>
    <row r="21" ht="15.75" customHeight="1">
      <c r="A21" s="4" t="s">
        <v>18</v>
      </c>
      <c r="B21" s="4">
        <v>9079571.0</v>
      </c>
      <c r="C21" s="4" t="str">
        <f t="shared" si="3"/>
        <v>9079571OVR</v>
      </c>
      <c r="D21" s="4" t="s">
        <v>23</v>
      </c>
      <c r="E21" s="4" t="s">
        <v>24</v>
      </c>
      <c r="F21" s="1" t="str">
        <f t="shared" si="1"/>
        <v>Emma Mcphail</v>
      </c>
      <c r="G21" s="4">
        <v>1.00578061E8</v>
      </c>
      <c r="H21" s="4" t="str">
        <f t="shared" si="4"/>
        <v>100578061OVR</v>
      </c>
      <c r="I21" s="5">
        <v>46113.0</v>
      </c>
      <c r="J21" s="5">
        <v>46204.0</v>
      </c>
      <c r="K21" s="5">
        <v>46205.0</v>
      </c>
      <c r="L21" s="4" t="s">
        <v>14</v>
      </c>
      <c r="M21" s="4" t="s">
        <v>21</v>
      </c>
      <c r="N21" s="6">
        <v>6.25</v>
      </c>
      <c r="O21" s="4" t="s">
        <v>62</v>
      </c>
      <c r="P21" s="4"/>
      <c r="Q21" s="4"/>
    </row>
    <row r="22" ht="15.75" customHeight="1">
      <c r="A22" s="4" t="s">
        <v>18</v>
      </c>
      <c r="B22" s="4">
        <v>9079571.0</v>
      </c>
      <c r="C22" s="4" t="str">
        <f t="shared" si="3"/>
        <v>9079571OVR</v>
      </c>
      <c r="D22" s="4" t="s">
        <v>25</v>
      </c>
      <c r="E22" s="4" t="s">
        <v>26</v>
      </c>
      <c r="F22" s="1" t="str">
        <f t="shared" si="1"/>
        <v>Judith Bradley Ray</v>
      </c>
      <c r="G22" s="4">
        <v>1.00578063E8</v>
      </c>
      <c r="H22" s="4" t="str">
        <f t="shared" si="4"/>
        <v>100578063OVR</v>
      </c>
      <c r="I22" s="5">
        <v>45809.0</v>
      </c>
      <c r="J22" s="5">
        <v>46204.0</v>
      </c>
      <c r="K22" s="5">
        <v>46205.0</v>
      </c>
      <c r="L22" s="4" t="s">
        <v>14</v>
      </c>
      <c r="M22" s="4" t="s">
        <v>21</v>
      </c>
      <c r="N22" s="6">
        <v>6.25</v>
      </c>
      <c r="O22" s="4" t="s">
        <v>62</v>
      </c>
      <c r="P22" s="4"/>
      <c r="Q22" s="4"/>
    </row>
    <row r="23" ht="15.75" customHeight="1">
      <c r="A23" s="4" t="s">
        <v>18</v>
      </c>
      <c r="B23" s="4">
        <v>9079571.0</v>
      </c>
      <c r="C23" s="4" t="str">
        <f t="shared" si="3"/>
        <v>9079571OVR</v>
      </c>
      <c r="D23" s="4" t="s">
        <v>28</v>
      </c>
      <c r="E23" s="4" t="s">
        <v>29</v>
      </c>
      <c r="F23" s="1" t="str">
        <f t="shared" si="1"/>
        <v>Kathleen Galliano Dignan</v>
      </c>
      <c r="G23" s="4">
        <v>1.00013086E8</v>
      </c>
      <c r="H23" s="4" t="str">
        <f t="shared" si="4"/>
        <v>100013086OVR</v>
      </c>
      <c r="I23" s="5">
        <v>46023.0</v>
      </c>
      <c r="J23" s="5">
        <v>46204.0</v>
      </c>
      <c r="K23" s="5">
        <v>46205.0</v>
      </c>
      <c r="L23" s="4" t="s">
        <v>14</v>
      </c>
      <c r="M23" s="4" t="s">
        <v>21</v>
      </c>
      <c r="N23" s="6">
        <v>6.25</v>
      </c>
      <c r="O23" s="4" t="s">
        <v>62</v>
      </c>
      <c r="P23" s="4"/>
      <c r="Q23" s="4"/>
    </row>
    <row r="24" ht="15.75" customHeight="1">
      <c r="A24" s="4" t="s">
        <v>18</v>
      </c>
      <c r="B24" s="4">
        <v>9079571.0</v>
      </c>
      <c r="C24" s="4" t="str">
        <f t="shared" si="3"/>
        <v>9079571OVR</v>
      </c>
      <c r="D24" s="4" t="s">
        <v>30</v>
      </c>
      <c r="E24" s="4" t="s">
        <v>31</v>
      </c>
      <c r="F24" s="1" t="str">
        <f t="shared" si="1"/>
        <v>Laura Yli Piipari</v>
      </c>
      <c r="G24" s="4">
        <v>1.00025676E8</v>
      </c>
      <c r="H24" s="4" t="str">
        <f t="shared" si="4"/>
        <v>100025676OVR</v>
      </c>
      <c r="I24" s="5">
        <v>46023.0</v>
      </c>
      <c r="J24" s="5">
        <v>46204.0</v>
      </c>
      <c r="K24" s="5">
        <v>46205.0</v>
      </c>
      <c r="L24" s="4" t="s">
        <v>14</v>
      </c>
      <c r="M24" s="4" t="s">
        <v>21</v>
      </c>
      <c r="N24" s="6">
        <v>6.25</v>
      </c>
      <c r="O24" s="4" t="s">
        <v>62</v>
      </c>
      <c r="P24" s="4"/>
      <c r="Q24" s="4"/>
    </row>
    <row r="25" ht="15.75" customHeight="1">
      <c r="A25" s="4" t="s">
        <v>18</v>
      </c>
      <c r="B25" s="4">
        <v>9079571.0</v>
      </c>
      <c r="C25" s="4" t="str">
        <f t="shared" si="3"/>
        <v>9079571OVR</v>
      </c>
      <c r="D25" s="4" t="s">
        <v>32</v>
      </c>
      <c r="E25" s="4" t="s">
        <v>33</v>
      </c>
      <c r="F25" s="1" t="str">
        <f t="shared" si="1"/>
        <v>Marcella Ryckman</v>
      </c>
      <c r="G25" s="4">
        <v>1.00582352E8</v>
      </c>
      <c r="H25" s="4" t="str">
        <f t="shared" si="4"/>
        <v>100582352OVR</v>
      </c>
      <c r="I25" s="5">
        <v>45962.0</v>
      </c>
      <c r="J25" s="5">
        <v>46204.0</v>
      </c>
      <c r="K25" s="5">
        <v>46205.0</v>
      </c>
      <c r="L25" s="4" t="s">
        <v>14</v>
      </c>
      <c r="M25" s="4" t="s">
        <v>21</v>
      </c>
      <c r="N25" s="6">
        <v>6.25</v>
      </c>
      <c r="O25" s="4" t="s">
        <v>62</v>
      </c>
      <c r="P25" s="4"/>
      <c r="Q25" s="4"/>
    </row>
    <row r="26" ht="15.75" customHeight="1">
      <c r="A26" s="4" t="s">
        <v>18</v>
      </c>
      <c r="B26" s="4">
        <v>9079571.0</v>
      </c>
      <c r="C26" s="4" t="str">
        <f t="shared" si="3"/>
        <v>9079571OVR</v>
      </c>
      <c r="D26" s="4" t="s">
        <v>38</v>
      </c>
      <c r="E26" s="4" t="s">
        <v>39</v>
      </c>
      <c r="F26" s="1" t="str">
        <f t="shared" si="1"/>
        <v>Robert Ray</v>
      </c>
      <c r="G26" s="4">
        <v>1.00578062E8</v>
      </c>
      <c r="H26" s="4" t="str">
        <f t="shared" si="4"/>
        <v>100578062OVR</v>
      </c>
      <c r="I26" s="5">
        <v>45809.0</v>
      </c>
      <c r="J26" s="5">
        <v>46204.0</v>
      </c>
      <c r="K26" s="5">
        <v>46205.0</v>
      </c>
      <c r="L26" s="4" t="s">
        <v>14</v>
      </c>
      <c r="M26" s="4" t="s">
        <v>21</v>
      </c>
      <c r="N26" s="6">
        <v>6.25</v>
      </c>
      <c r="O26" s="4" t="s">
        <v>62</v>
      </c>
      <c r="P26" s="4"/>
      <c r="Q26" s="4"/>
    </row>
    <row r="27" ht="15.75" customHeight="1">
      <c r="A27" s="4" t="s">
        <v>43</v>
      </c>
      <c r="B27" s="4">
        <v>1.719562E7</v>
      </c>
      <c r="C27" s="4" t="str">
        <f t="shared" si="3"/>
        <v>17195620OVR</v>
      </c>
      <c r="D27" s="4" t="s">
        <v>44</v>
      </c>
      <c r="E27" s="4" t="s">
        <v>45</v>
      </c>
      <c r="F27" s="1" t="str">
        <f t="shared" si="1"/>
        <v>Daisy Nelson</v>
      </c>
      <c r="G27" s="4">
        <v>1.00002926E8</v>
      </c>
      <c r="H27" s="4" t="str">
        <f t="shared" si="4"/>
        <v>100002926OVR</v>
      </c>
      <c r="I27" s="5">
        <v>46023.0</v>
      </c>
      <c r="J27" s="5">
        <v>46204.0</v>
      </c>
      <c r="K27" s="5">
        <v>46205.0</v>
      </c>
      <c r="L27" s="4" t="s">
        <v>14</v>
      </c>
      <c r="M27" s="4" t="s">
        <v>21</v>
      </c>
      <c r="N27" s="6">
        <v>6.25</v>
      </c>
      <c r="O27" s="4" t="s">
        <v>62</v>
      </c>
      <c r="P27" s="4"/>
      <c r="Q27" s="4"/>
    </row>
    <row r="28" ht="15.75" customHeight="1">
      <c r="A28" s="4" t="s">
        <v>43</v>
      </c>
      <c r="B28" s="4">
        <v>1.719562E7</v>
      </c>
      <c r="C28" s="4" t="str">
        <f t="shared" si="3"/>
        <v>17195620OVR</v>
      </c>
      <c r="D28" s="4" t="s">
        <v>46</v>
      </c>
      <c r="E28" s="4" t="s">
        <v>20</v>
      </c>
      <c r="F28" s="1" t="str">
        <f t="shared" si="1"/>
        <v>Dolores Peterson</v>
      </c>
      <c r="G28" s="4">
        <v>1.00013428E8</v>
      </c>
      <c r="H28" s="4" t="str">
        <f t="shared" si="4"/>
        <v>100013428OVR</v>
      </c>
      <c r="I28" s="5">
        <v>46023.0</v>
      </c>
      <c r="J28" s="5">
        <v>46204.0</v>
      </c>
      <c r="K28" s="5">
        <v>46205.0</v>
      </c>
      <c r="L28" s="4" t="s">
        <v>14</v>
      </c>
      <c r="M28" s="4" t="s">
        <v>21</v>
      </c>
      <c r="N28" s="6">
        <v>6.25</v>
      </c>
      <c r="O28" s="4" t="s">
        <v>62</v>
      </c>
      <c r="P28" s="4"/>
      <c r="Q28" s="4"/>
    </row>
    <row r="29" ht="15.75" customHeight="1">
      <c r="A29" s="4" t="s">
        <v>47</v>
      </c>
      <c r="B29" s="4">
        <v>1.5278437E7</v>
      </c>
      <c r="C29" s="4" t="str">
        <f t="shared" si="3"/>
        <v>15278437OVR</v>
      </c>
      <c r="D29" s="4" t="s">
        <v>48</v>
      </c>
      <c r="E29" s="4" t="s">
        <v>49</v>
      </c>
      <c r="F29" s="1" t="str">
        <f t="shared" si="1"/>
        <v>Linda Bailey</v>
      </c>
      <c r="G29" s="4">
        <v>1.00559212E8</v>
      </c>
      <c r="H29" s="4" t="str">
        <f t="shared" si="4"/>
        <v>100559212OVR</v>
      </c>
      <c r="I29" s="5">
        <v>45627.0</v>
      </c>
      <c r="J29" s="5">
        <v>46204.0</v>
      </c>
      <c r="K29" s="5">
        <v>46205.0</v>
      </c>
      <c r="L29" s="4" t="s">
        <v>14</v>
      </c>
      <c r="M29" s="4" t="s">
        <v>21</v>
      </c>
      <c r="N29" s="6">
        <v>6.25</v>
      </c>
      <c r="O29" s="4" t="s">
        <v>62</v>
      </c>
      <c r="P29" s="4"/>
      <c r="Q29" s="4"/>
    </row>
    <row r="30" ht="15.75" customHeight="1">
      <c r="A30" s="4" t="s">
        <v>10</v>
      </c>
      <c r="B30" s="4">
        <v>1.6202925E7</v>
      </c>
      <c r="C30" s="4" t="str">
        <f t="shared" si="3"/>
        <v>16202925OVR</v>
      </c>
      <c r="D30" s="4" t="s">
        <v>53</v>
      </c>
      <c r="E30" s="4" t="s">
        <v>54</v>
      </c>
      <c r="F30" s="1" t="str">
        <f t="shared" si="1"/>
        <v>Antonio Johnson</v>
      </c>
      <c r="G30" s="4">
        <v>1.00050126E8</v>
      </c>
      <c r="H30" s="4" t="str">
        <f t="shared" si="4"/>
        <v>100050126OVR</v>
      </c>
      <c r="I30" s="5">
        <v>46023.0</v>
      </c>
      <c r="J30" s="5">
        <v>46204.0</v>
      </c>
      <c r="K30" s="5">
        <v>46205.0</v>
      </c>
      <c r="L30" s="4" t="s">
        <v>14</v>
      </c>
      <c r="M30" s="4" t="s">
        <v>21</v>
      </c>
      <c r="N30" s="6">
        <v>6.25</v>
      </c>
      <c r="O30" s="4" t="s">
        <v>62</v>
      </c>
      <c r="P30" s="4"/>
      <c r="Q30" s="4"/>
    </row>
    <row r="31" ht="15.75" customHeight="1">
      <c r="A31" s="4" t="s">
        <v>10</v>
      </c>
      <c r="B31" s="4">
        <v>1.6202925E7</v>
      </c>
      <c r="C31" s="4" t="str">
        <f t="shared" si="3"/>
        <v>16202925OVR</v>
      </c>
      <c r="D31" s="4" t="s">
        <v>55</v>
      </c>
      <c r="E31" s="4" t="s">
        <v>56</v>
      </c>
      <c r="F31" s="1" t="str">
        <f t="shared" si="1"/>
        <v>Audrey Layton</v>
      </c>
      <c r="G31" s="4">
        <v>1.00050552E8</v>
      </c>
      <c r="H31" s="4" t="str">
        <f t="shared" si="4"/>
        <v>100050552OVR</v>
      </c>
      <c r="I31" s="5">
        <v>46023.0</v>
      </c>
      <c r="J31" s="5">
        <v>46204.0</v>
      </c>
      <c r="K31" s="5">
        <v>46205.0</v>
      </c>
      <c r="L31" s="4" t="s">
        <v>14</v>
      </c>
      <c r="M31" s="4" t="s">
        <v>21</v>
      </c>
      <c r="N31" s="6">
        <v>6.25</v>
      </c>
      <c r="O31" s="4" t="s">
        <v>62</v>
      </c>
      <c r="P31" s="4"/>
      <c r="Q31" s="4"/>
    </row>
    <row r="32" ht="15.75" customHeight="1">
      <c r="A32" s="4" t="s">
        <v>10</v>
      </c>
      <c r="B32" s="4">
        <v>1.6202925E7</v>
      </c>
      <c r="C32" s="4" t="str">
        <f t="shared" si="3"/>
        <v>16202925OVR</v>
      </c>
      <c r="D32" s="4" t="s">
        <v>58</v>
      </c>
      <c r="E32" s="4" t="s">
        <v>59</v>
      </c>
      <c r="F32" s="1" t="str">
        <f t="shared" si="1"/>
        <v>James Burns Sr</v>
      </c>
      <c r="G32" s="4">
        <v>1.00558072E8</v>
      </c>
      <c r="H32" s="4" t="str">
        <f t="shared" si="4"/>
        <v>100558072OVR</v>
      </c>
      <c r="I32" s="5">
        <v>45597.0</v>
      </c>
      <c r="J32" s="5">
        <v>46204.0</v>
      </c>
      <c r="K32" s="5">
        <v>46205.0</v>
      </c>
      <c r="L32" s="4" t="s">
        <v>14</v>
      </c>
      <c r="M32" s="4" t="s">
        <v>21</v>
      </c>
      <c r="N32" s="6">
        <v>6.25</v>
      </c>
      <c r="O32" s="4" t="s">
        <v>62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 t="s">
        <v>10</v>
      </c>
      <c r="B33" s="4">
        <v>1.6202925E7</v>
      </c>
      <c r="C33" s="4" t="str">
        <f t="shared" si="3"/>
        <v>16202925OVR</v>
      </c>
      <c r="D33" s="4" t="s">
        <v>60</v>
      </c>
      <c r="E33" s="4" t="s">
        <v>61</v>
      </c>
      <c r="F33" s="1" t="str">
        <f t="shared" si="1"/>
        <v>John Brown</v>
      </c>
      <c r="G33" s="4">
        <v>1.0005193E8</v>
      </c>
      <c r="H33" s="4" t="str">
        <f t="shared" si="4"/>
        <v>100051930OVR</v>
      </c>
      <c r="I33" s="5">
        <v>46023.0</v>
      </c>
      <c r="J33" s="5">
        <v>46204.0</v>
      </c>
      <c r="K33" s="5">
        <v>46205.0</v>
      </c>
      <c r="L33" s="4" t="s">
        <v>14</v>
      </c>
      <c r="M33" s="4" t="s">
        <v>21</v>
      </c>
      <c r="N33" s="6">
        <v>6.25</v>
      </c>
      <c r="O33" s="4" t="s">
        <v>62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 t="s">
        <v>18</v>
      </c>
      <c r="B34" s="4">
        <v>9079571.0</v>
      </c>
      <c r="C34" s="4" t="str">
        <f t="shared" si="3"/>
        <v>9079571OVR</v>
      </c>
      <c r="D34" s="4" t="s">
        <v>34</v>
      </c>
      <c r="E34" s="4" t="s">
        <v>35</v>
      </c>
      <c r="F34" s="1" t="str">
        <f t="shared" si="1"/>
        <v>Patricia Jones</v>
      </c>
      <c r="G34" s="4">
        <v>1.00602428E8</v>
      </c>
      <c r="H34" s="4" t="str">
        <f t="shared" si="4"/>
        <v>100602428OVR</v>
      </c>
      <c r="I34" s="5">
        <v>46174.0</v>
      </c>
      <c r="J34" s="5">
        <v>46387.0</v>
      </c>
      <c r="K34" s="5">
        <v>46205.0</v>
      </c>
      <c r="L34" s="4" t="s">
        <v>14</v>
      </c>
      <c r="M34" s="4" t="s">
        <v>36</v>
      </c>
      <c r="N34" s="6">
        <v>140.0</v>
      </c>
      <c r="O34" s="4" t="s">
        <v>62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 t="s">
        <v>18</v>
      </c>
      <c r="B35" s="4">
        <v>9079571.0</v>
      </c>
      <c r="C35" s="4" t="str">
        <f t="shared" si="3"/>
        <v>9079571OVR</v>
      </c>
      <c r="D35" s="4" t="s">
        <v>40</v>
      </c>
      <c r="E35" s="4" t="s">
        <v>41</v>
      </c>
      <c r="F35" s="1" t="str">
        <f t="shared" si="1"/>
        <v>Ronald Disaia</v>
      </c>
      <c r="G35" s="4">
        <v>1.00602291E8</v>
      </c>
      <c r="H35" s="4" t="str">
        <f t="shared" si="4"/>
        <v>100602291OVR</v>
      </c>
      <c r="I35" s="5">
        <v>46174.0</v>
      </c>
      <c r="J35" s="5">
        <v>46387.0</v>
      </c>
      <c r="K35" s="5">
        <v>46205.0</v>
      </c>
      <c r="L35" s="4" t="s">
        <v>14</v>
      </c>
      <c r="M35" s="4" t="s">
        <v>36</v>
      </c>
      <c r="N35" s="6">
        <v>140.0</v>
      </c>
      <c r="O35" s="4" t="s">
        <v>62</v>
      </c>
      <c r="P35" s="4"/>
      <c r="Q35" s="4"/>
    </row>
    <row r="36" ht="15.75" customHeight="1">
      <c r="A36" s="4" t="s">
        <v>50</v>
      </c>
      <c r="B36" s="4">
        <v>2.1645031E7</v>
      </c>
      <c r="C36" s="4" t="str">
        <f t="shared" si="3"/>
        <v>21645031OVR</v>
      </c>
      <c r="D36" s="4" t="s">
        <v>51</v>
      </c>
      <c r="E36" s="4" t="s">
        <v>52</v>
      </c>
      <c r="F36" s="1" t="str">
        <f t="shared" si="1"/>
        <v>Julia Bosworth</v>
      </c>
      <c r="G36" s="4">
        <v>1.00602426E8</v>
      </c>
      <c r="H36" s="4" t="str">
        <f t="shared" si="4"/>
        <v>100602426OVR</v>
      </c>
      <c r="I36" s="5">
        <v>46174.0</v>
      </c>
      <c r="J36" s="5">
        <v>46387.0</v>
      </c>
      <c r="K36" s="5">
        <v>46205.0</v>
      </c>
      <c r="L36" s="4" t="s">
        <v>14</v>
      </c>
      <c r="M36" s="4" t="s">
        <v>36</v>
      </c>
      <c r="N36" s="6">
        <v>140.0</v>
      </c>
      <c r="O36" s="4" t="s">
        <v>62</v>
      </c>
      <c r="P36" s="4"/>
      <c r="Q36" s="4"/>
    </row>
    <row r="37" ht="15.75" customHeight="1">
      <c r="A37" s="1" t="s">
        <v>18</v>
      </c>
      <c r="B37" s="1">
        <v>9079571.0</v>
      </c>
      <c r="C37" s="1">
        <v>9079571.0</v>
      </c>
      <c r="D37" s="1" t="s">
        <v>40</v>
      </c>
      <c r="E37" s="1" t="s">
        <v>41</v>
      </c>
      <c r="F37" s="1" t="str">
        <f t="shared" si="1"/>
        <v>Ronald Disaia</v>
      </c>
      <c r="G37" s="1">
        <v>1.00602291E8</v>
      </c>
      <c r="H37" s="1" t="str">
        <f>CONCATENATE(G37,33)</f>
        <v>10060229133</v>
      </c>
      <c r="I37" s="2">
        <v>46174.0</v>
      </c>
      <c r="J37" s="2">
        <v>46387.0</v>
      </c>
      <c r="K37" s="2">
        <v>46205.0</v>
      </c>
      <c r="L37" s="1" t="s">
        <v>14</v>
      </c>
      <c r="M37" s="1" t="s">
        <v>42</v>
      </c>
      <c r="N37" s="3">
        <v>694.0</v>
      </c>
      <c r="O37" s="1" t="s">
        <v>63</v>
      </c>
      <c r="P37" s="1" t="s">
        <v>64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2026-07-03T11:14:48Z</dcterms:created>
  <dc:creator>Tushar Alhat</dc:creator>
</cp:coreProperties>
</file>