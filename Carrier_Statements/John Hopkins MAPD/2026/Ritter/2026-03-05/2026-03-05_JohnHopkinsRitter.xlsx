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6\Ritter\John Hopkins 3-5-26 Ritter\"/>
    </mc:Choice>
  </mc:AlternateContent>
  <xr:revisionPtr revIDLastSave="0" documentId="13_ncr:1_{14AB2779-8205-441B-B948-BA8C7ABADEF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Sheet1!$A$1:$K$40</definedName>
  </definedName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2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O17" i="2"/>
  <c r="O34" i="2"/>
  <c r="O19" i="2"/>
</calcChain>
</file>

<file path=xl/sharedStrings.xml><?xml version="1.0" encoding="utf-8"?>
<sst xmlns="http://schemas.openxmlformats.org/spreadsheetml/2006/main" count="474" uniqueCount="73">
  <si>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</si>
  <si>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</si>
  <si>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</si>
  <si>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</si>
  <si>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</si>
  <si>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</si>
  <si>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</si>
  <si>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</si>
  <si>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</si>
  <si>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</si>
  <si>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</si>
  <si>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</si>
  <si>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Dennis</t>
  </si>
  <si>
    <t>Peterson</t>
  </si>
  <si>
    <t>Johns Hopkins</t>
  </si>
  <si>
    <t>Johns Hopkins 2026 Renewal OR +2 Years (ProRata: 1)</t>
  </si>
  <si>
    <t>Edward</t>
  </si>
  <si>
    <t>West</t>
  </si>
  <si>
    <t>Emma</t>
  </si>
  <si>
    <t>Mcphail</t>
  </si>
  <si>
    <t>Judith</t>
  </si>
  <si>
    <t>Bradley Ray</t>
  </si>
  <si>
    <t>Kathleen</t>
  </si>
  <si>
    <t>Galliano Dignan</t>
  </si>
  <si>
    <t>Laura</t>
  </si>
  <si>
    <t>Yli Piipari</t>
  </si>
  <si>
    <t>Marcella</t>
  </si>
  <si>
    <t>Ryckman</t>
  </si>
  <si>
    <t>Robert</t>
  </si>
  <si>
    <t>Ray</t>
  </si>
  <si>
    <t>Cathy Lemon</t>
  </si>
  <si>
    <t>Daisy</t>
  </si>
  <si>
    <t>Nelson</t>
  </si>
  <si>
    <t>Dolores</t>
  </si>
  <si>
    <t>Jason Hoffmann</t>
  </si>
  <si>
    <t>Linda</t>
  </si>
  <si>
    <t>Bailey</t>
  </si>
  <si>
    <t>Thomas Kucan</t>
  </si>
  <si>
    <t>Antonio</t>
  </si>
  <si>
    <t>Johnson</t>
  </si>
  <si>
    <t>Audrey</t>
  </si>
  <si>
    <t>Layton</t>
  </si>
  <si>
    <t>James</t>
  </si>
  <si>
    <t>Burns Sr</t>
  </si>
  <si>
    <t>John</t>
  </si>
  <si>
    <t>Brown</t>
  </si>
  <si>
    <t>Jennifer</t>
  </si>
  <si>
    <t>Plummer</t>
  </si>
  <si>
    <t>Johns Hopkins 2023 Full TrueUp (ProRata: 10)</t>
  </si>
  <si>
    <t>Rebecca</t>
  </si>
  <si>
    <t>Murphy</t>
  </si>
  <si>
    <t>Johns Hopkins 2026 Renewal ST (ProRata: 1)</t>
  </si>
  <si>
    <t>Johns Hopkins 2026 Renewal ST (ProRata: 11)</t>
  </si>
  <si>
    <t>Aisha</t>
  </si>
  <si>
    <t>Jackson</t>
  </si>
  <si>
    <t>Johns Hopkins 2026 Renewal ST</t>
  </si>
  <si>
    <t>Bryan</t>
  </si>
  <si>
    <t>Roberts</t>
  </si>
  <si>
    <t>Ralph</t>
  </si>
  <si>
    <t>Dick</t>
  </si>
  <si>
    <t>Gerard</t>
  </si>
  <si>
    <t>Croft</t>
  </si>
  <si>
    <t>Johns Hopkins 2026 ST</t>
  </si>
  <si>
    <t>JH MAPD 2026*</t>
  </si>
  <si>
    <t>JH MAPD OVR</t>
  </si>
  <si>
    <t>JH MAPD NATIONAL 2023</t>
  </si>
  <si>
    <t>[%/$=347][prorate=11/12]</t>
  </si>
  <si>
    <t>[%/$=347][prorate=1/12]</t>
  </si>
  <si>
    <t>[%/$=347][prorate=12/12]</t>
  </si>
  <si>
    <t>[%/$=694]</t>
  </si>
  <si>
    <t>[%/$=300][prorate=10/12]</t>
  </si>
  <si>
    <t>John Hopkins 2026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</si>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</sst>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0" fillId="3" borderId="0" xfId="0" applyFill="1"/>
    <xf numFmtId="0" fontId="4" fillId="3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 applyAlignment="1">
      <alignment horizontal="right"/>
    </xf>
    <xf numFmtId="0" fontId="0" fillId="0" borderId="0" xfId="0" applyFill="1"/>
    <xf numFmtId="0" fontId="4" fillId="0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0"/>
  <sheetViews>
    <sheetView workbookViewId="0">
      <selection sqref="A1:XFD1048576"/>
    </sheetView>
  </sheetViews>
  <sheetFormatPr defaultColWidth="12.5703125" defaultRowHeight="15.75" customHeight="1" x14ac:dyDescent="0.2"/>
  <cols>
    <col min="10" max="10" width="42.57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/>
      <c r="C2" s="3">
        <v>9079571</v>
      </c>
      <c r="D2" s="2" t="s">
        <v>12</v>
      </c>
      <c r="E2" s="2" t="s">
        <v>13</v>
      </c>
      <c r="F2" s="3">
        <v>100051830</v>
      </c>
      <c r="G2" s="4">
        <v>46023</v>
      </c>
      <c r="H2" s="4">
        <v>46087</v>
      </c>
      <c r="I2" s="2" t="s">
        <v>14</v>
      </c>
      <c r="J2" s="2" t="s">
        <v>15</v>
      </c>
      <c r="K2" s="5">
        <v>6.25</v>
      </c>
    </row>
    <row r="3" spans="1:11" x14ac:dyDescent="0.2">
      <c r="A3" s="2" t="s">
        <v>11</v>
      </c>
      <c r="B3" s="2"/>
      <c r="C3" s="3">
        <v>9079571</v>
      </c>
      <c r="D3" s="2" t="s">
        <v>16</v>
      </c>
      <c r="E3" s="2" t="s">
        <v>17</v>
      </c>
      <c r="F3" s="3">
        <v>100047864</v>
      </c>
      <c r="G3" s="4">
        <v>46023</v>
      </c>
      <c r="H3" s="4">
        <v>46087</v>
      </c>
      <c r="I3" s="2" t="s">
        <v>14</v>
      </c>
      <c r="J3" s="2" t="s">
        <v>15</v>
      </c>
      <c r="K3" s="5">
        <v>6.25</v>
      </c>
    </row>
    <row r="4" spans="1:11" x14ac:dyDescent="0.2">
      <c r="A4" s="2" t="s">
        <v>11</v>
      </c>
      <c r="B4" s="2"/>
      <c r="C4" s="3">
        <v>9079571</v>
      </c>
      <c r="D4" s="2" t="s">
        <v>18</v>
      </c>
      <c r="E4" s="2" t="s">
        <v>19</v>
      </c>
      <c r="F4" s="3">
        <v>100578061</v>
      </c>
      <c r="G4" s="4">
        <v>45809</v>
      </c>
      <c r="H4" s="4">
        <v>46087</v>
      </c>
      <c r="I4" s="2" t="s">
        <v>14</v>
      </c>
      <c r="J4" s="2" t="s">
        <v>15</v>
      </c>
      <c r="K4" s="5">
        <v>6.25</v>
      </c>
    </row>
    <row r="5" spans="1:11" x14ac:dyDescent="0.2">
      <c r="A5" s="2" t="s">
        <v>11</v>
      </c>
      <c r="B5" s="2"/>
      <c r="C5" s="3">
        <v>9079571</v>
      </c>
      <c r="D5" s="2" t="s">
        <v>20</v>
      </c>
      <c r="E5" s="2" t="s">
        <v>21</v>
      </c>
      <c r="F5" s="3">
        <v>100578063</v>
      </c>
      <c r="G5" s="4">
        <v>45809</v>
      </c>
      <c r="H5" s="4">
        <v>46087</v>
      </c>
      <c r="I5" s="2" t="s">
        <v>14</v>
      </c>
      <c r="J5" s="2" t="s">
        <v>15</v>
      </c>
      <c r="K5" s="5">
        <v>6.25</v>
      </c>
    </row>
    <row r="6" spans="1:11" x14ac:dyDescent="0.2">
      <c r="A6" s="2" t="s">
        <v>11</v>
      </c>
      <c r="B6" s="2"/>
      <c r="C6" s="3">
        <v>9079571</v>
      </c>
      <c r="D6" s="2" t="s">
        <v>22</v>
      </c>
      <c r="E6" s="2" t="s">
        <v>23</v>
      </c>
      <c r="F6" s="3">
        <v>100013086</v>
      </c>
      <c r="G6" s="4">
        <v>46023</v>
      </c>
      <c r="H6" s="4">
        <v>46087</v>
      </c>
      <c r="I6" s="2" t="s">
        <v>14</v>
      </c>
      <c r="J6" s="2" t="s">
        <v>15</v>
      </c>
      <c r="K6" s="5">
        <v>6.25</v>
      </c>
    </row>
    <row r="7" spans="1:11" x14ac:dyDescent="0.2">
      <c r="A7" s="2" t="s">
        <v>11</v>
      </c>
      <c r="B7" s="2"/>
      <c r="C7" s="3">
        <v>9079571</v>
      </c>
      <c r="D7" s="2" t="s">
        <v>24</v>
      </c>
      <c r="E7" s="2" t="s">
        <v>25</v>
      </c>
      <c r="F7" s="3">
        <v>100025676</v>
      </c>
      <c r="G7" s="4">
        <v>46023</v>
      </c>
      <c r="H7" s="4">
        <v>46087</v>
      </c>
      <c r="I7" s="2" t="s">
        <v>14</v>
      </c>
      <c r="J7" s="2" t="s">
        <v>15</v>
      </c>
      <c r="K7" s="5">
        <v>6.25</v>
      </c>
    </row>
    <row r="8" spans="1:11" x14ac:dyDescent="0.2">
      <c r="A8" s="2" t="s">
        <v>11</v>
      </c>
      <c r="B8" s="2"/>
      <c r="C8" s="3">
        <v>9079571</v>
      </c>
      <c r="D8" s="2" t="s">
        <v>26</v>
      </c>
      <c r="E8" s="2" t="s">
        <v>27</v>
      </c>
      <c r="F8" s="3">
        <v>100582352</v>
      </c>
      <c r="G8" s="4">
        <v>45962</v>
      </c>
      <c r="H8" s="4">
        <v>46087</v>
      </c>
      <c r="I8" s="2" t="s">
        <v>14</v>
      </c>
      <c r="J8" s="2" t="s">
        <v>15</v>
      </c>
      <c r="K8" s="5">
        <v>6.25</v>
      </c>
    </row>
    <row r="9" spans="1:11" x14ac:dyDescent="0.2">
      <c r="A9" s="2" t="s">
        <v>11</v>
      </c>
      <c r="B9" s="2"/>
      <c r="C9" s="3">
        <v>9079571</v>
      </c>
      <c r="D9" s="2" t="s">
        <v>28</v>
      </c>
      <c r="E9" s="2" t="s">
        <v>29</v>
      </c>
      <c r="F9" s="3">
        <v>100578062</v>
      </c>
      <c r="G9" s="4">
        <v>45809</v>
      </c>
      <c r="H9" s="4">
        <v>46087</v>
      </c>
      <c r="I9" s="2" t="s">
        <v>14</v>
      </c>
      <c r="J9" s="2" t="s">
        <v>15</v>
      </c>
      <c r="K9" s="5">
        <v>6.25</v>
      </c>
    </row>
    <row r="10" spans="1:11" x14ac:dyDescent="0.2">
      <c r="A10" s="2" t="s">
        <v>30</v>
      </c>
      <c r="B10" s="2"/>
      <c r="C10" s="3">
        <v>17195620</v>
      </c>
      <c r="D10" s="2" t="s">
        <v>31</v>
      </c>
      <c r="E10" s="2" t="s">
        <v>32</v>
      </c>
      <c r="F10" s="3">
        <v>100002926</v>
      </c>
      <c r="G10" s="4">
        <v>46023</v>
      </c>
      <c r="H10" s="4">
        <v>46087</v>
      </c>
      <c r="I10" s="2" t="s">
        <v>14</v>
      </c>
      <c r="J10" s="2" t="s">
        <v>15</v>
      </c>
      <c r="K10" s="5">
        <v>6.25</v>
      </c>
    </row>
    <row r="11" spans="1:11" x14ac:dyDescent="0.2">
      <c r="A11" s="2" t="s">
        <v>30</v>
      </c>
      <c r="B11" s="2"/>
      <c r="C11" s="3">
        <v>17195620</v>
      </c>
      <c r="D11" s="2" t="s">
        <v>33</v>
      </c>
      <c r="E11" s="2" t="s">
        <v>13</v>
      </c>
      <c r="F11" s="3">
        <v>100013428</v>
      </c>
      <c r="G11" s="4">
        <v>46023</v>
      </c>
      <c r="H11" s="4">
        <v>46087</v>
      </c>
      <c r="I11" s="2" t="s">
        <v>14</v>
      </c>
      <c r="J11" s="2" t="s">
        <v>15</v>
      </c>
      <c r="K11" s="5">
        <v>6.25</v>
      </c>
    </row>
    <row r="12" spans="1:11" x14ac:dyDescent="0.2">
      <c r="A12" s="2" t="s">
        <v>34</v>
      </c>
      <c r="B12" s="2"/>
      <c r="C12" s="3">
        <v>15278437</v>
      </c>
      <c r="D12" s="2" t="s">
        <v>35</v>
      </c>
      <c r="E12" s="2" t="s">
        <v>36</v>
      </c>
      <c r="F12" s="3">
        <v>100559212</v>
      </c>
      <c r="G12" s="4">
        <v>45627</v>
      </c>
      <c r="H12" s="4">
        <v>46087</v>
      </c>
      <c r="I12" s="2" t="s">
        <v>14</v>
      </c>
      <c r="J12" s="2" t="s">
        <v>15</v>
      </c>
      <c r="K12" s="5">
        <v>6.25</v>
      </c>
    </row>
    <row r="13" spans="1:11" x14ac:dyDescent="0.2">
      <c r="A13" s="2" t="s">
        <v>37</v>
      </c>
      <c r="B13" s="2"/>
      <c r="C13" s="3">
        <v>16202925</v>
      </c>
      <c r="D13" s="2" t="s">
        <v>38</v>
      </c>
      <c r="E13" s="2" t="s">
        <v>39</v>
      </c>
      <c r="F13" s="3">
        <v>100050126</v>
      </c>
      <c r="G13" s="4">
        <v>46023</v>
      </c>
      <c r="H13" s="4">
        <v>46087</v>
      </c>
      <c r="I13" s="2" t="s">
        <v>14</v>
      </c>
      <c r="J13" s="2" t="s">
        <v>15</v>
      </c>
      <c r="K13" s="5">
        <v>6.25</v>
      </c>
    </row>
    <row r="14" spans="1:11" x14ac:dyDescent="0.2">
      <c r="A14" s="2" t="s">
        <v>37</v>
      </c>
      <c r="B14" s="2"/>
      <c r="C14" s="3">
        <v>16202925</v>
      </c>
      <c r="D14" s="2" t="s">
        <v>40</v>
      </c>
      <c r="E14" s="2" t="s">
        <v>41</v>
      </c>
      <c r="F14" s="3">
        <v>100050552</v>
      </c>
      <c r="G14" s="4">
        <v>46023</v>
      </c>
      <c r="H14" s="4">
        <v>46087</v>
      </c>
      <c r="I14" s="2" t="s">
        <v>14</v>
      </c>
      <c r="J14" s="2" t="s">
        <v>15</v>
      </c>
      <c r="K14" s="5">
        <v>6.25</v>
      </c>
    </row>
    <row r="15" spans="1:11" x14ac:dyDescent="0.2">
      <c r="A15" s="2" t="s">
        <v>37</v>
      </c>
      <c r="B15" s="2"/>
      <c r="C15" s="3">
        <v>16202925</v>
      </c>
      <c r="D15" s="2" t="s">
        <v>42</v>
      </c>
      <c r="E15" s="2" t="s">
        <v>43</v>
      </c>
      <c r="F15" s="3">
        <v>100558072</v>
      </c>
      <c r="G15" s="4">
        <v>45597</v>
      </c>
      <c r="H15" s="4">
        <v>46087</v>
      </c>
      <c r="I15" s="2" t="s">
        <v>14</v>
      </c>
      <c r="J15" s="2" t="s">
        <v>15</v>
      </c>
      <c r="K15" s="5">
        <v>6.25</v>
      </c>
    </row>
    <row r="16" spans="1:11" x14ac:dyDescent="0.2">
      <c r="A16" s="2" t="s">
        <v>37</v>
      </c>
      <c r="B16" s="2"/>
      <c r="C16" s="3">
        <v>16202925</v>
      </c>
      <c r="D16" s="2" t="s">
        <v>44</v>
      </c>
      <c r="E16" s="2" t="s">
        <v>45</v>
      </c>
      <c r="F16" s="3">
        <v>100051930</v>
      </c>
      <c r="G16" s="4">
        <v>46023</v>
      </c>
      <c r="H16" s="4">
        <v>46087</v>
      </c>
      <c r="I16" s="2" t="s">
        <v>14</v>
      </c>
      <c r="J16" s="2" t="s">
        <v>15</v>
      </c>
      <c r="K16" s="5">
        <v>6.25</v>
      </c>
    </row>
    <row r="17" spans="1:11" x14ac:dyDescent="0.2">
      <c r="A17" s="2" t="s">
        <v>11</v>
      </c>
      <c r="B17" s="2"/>
      <c r="C17" s="3">
        <v>9079571</v>
      </c>
      <c r="D17" s="2" t="s">
        <v>46</v>
      </c>
      <c r="E17" s="2" t="s">
        <v>47</v>
      </c>
      <c r="F17" s="3">
        <v>100592789</v>
      </c>
      <c r="G17" s="4">
        <v>46054</v>
      </c>
      <c r="H17" s="4">
        <v>46087</v>
      </c>
      <c r="I17" s="2" t="s">
        <v>14</v>
      </c>
      <c r="J17" s="2" t="s">
        <v>48</v>
      </c>
      <c r="K17" s="5">
        <v>250</v>
      </c>
    </row>
    <row r="18" spans="1:11" x14ac:dyDescent="0.2">
      <c r="A18" s="2" t="s">
        <v>11</v>
      </c>
      <c r="B18" s="2"/>
      <c r="C18" s="3">
        <v>9079571</v>
      </c>
      <c r="D18" s="2" t="s">
        <v>49</v>
      </c>
      <c r="E18" s="2" t="s">
        <v>50</v>
      </c>
      <c r="F18" s="3">
        <v>100593572</v>
      </c>
      <c r="G18" s="4">
        <v>46054</v>
      </c>
      <c r="H18" s="4">
        <v>46087</v>
      </c>
      <c r="I18" s="2" t="s">
        <v>14</v>
      </c>
      <c r="J18" s="2" t="s">
        <v>48</v>
      </c>
      <c r="K18" s="5">
        <v>250</v>
      </c>
    </row>
    <row r="19" spans="1:11" x14ac:dyDescent="0.2">
      <c r="A19" s="2" t="s">
        <v>11</v>
      </c>
      <c r="B19" s="2"/>
      <c r="C19" s="3">
        <v>9079571</v>
      </c>
      <c r="D19" s="2" t="s">
        <v>12</v>
      </c>
      <c r="E19" s="2" t="s">
        <v>13</v>
      </c>
      <c r="F19" s="3">
        <v>100051830</v>
      </c>
      <c r="G19" s="4">
        <v>46023</v>
      </c>
      <c r="H19" s="4">
        <v>46087</v>
      </c>
      <c r="I19" s="2" t="s">
        <v>14</v>
      </c>
      <c r="J19" s="2" t="s">
        <v>51</v>
      </c>
      <c r="K19" s="5">
        <v>28.91</v>
      </c>
    </row>
    <row r="20" spans="1:11" x14ac:dyDescent="0.2">
      <c r="A20" s="2" t="s">
        <v>11</v>
      </c>
      <c r="B20" s="2"/>
      <c r="C20" s="3">
        <v>9079571</v>
      </c>
      <c r="D20" s="2" t="s">
        <v>16</v>
      </c>
      <c r="E20" s="2" t="s">
        <v>17</v>
      </c>
      <c r="F20" s="3">
        <v>100047864</v>
      </c>
      <c r="G20" s="4">
        <v>46023</v>
      </c>
      <c r="H20" s="4">
        <v>46087</v>
      </c>
      <c r="I20" s="2" t="s">
        <v>14</v>
      </c>
      <c r="J20" s="2" t="s">
        <v>51</v>
      </c>
      <c r="K20" s="5">
        <v>28.91</v>
      </c>
    </row>
    <row r="21" spans="1:11" x14ac:dyDescent="0.2">
      <c r="A21" s="2" t="s">
        <v>11</v>
      </c>
      <c r="B21" s="2"/>
      <c r="C21" s="3">
        <v>9079571</v>
      </c>
      <c r="D21" s="2" t="s">
        <v>18</v>
      </c>
      <c r="E21" s="2" t="s">
        <v>19</v>
      </c>
      <c r="F21" s="3">
        <v>100578061</v>
      </c>
      <c r="G21" s="4">
        <v>45809</v>
      </c>
      <c r="H21" s="4">
        <v>46087</v>
      </c>
      <c r="I21" s="2" t="s">
        <v>14</v>
      </c>
      <c r="J21" s="2" t="s">
        <v>51</v>
      </c>
      <c r="K21" s="5">
        <v>28.91</v>
      </c>
    </row>
    <row r="22" spans="1:11" x14ac:dyDescent="0.2">
      <c r="A22" s="2" t="s">
        <v>11</v>
      </c>
      <c r="B22" s="2"/>
      <c r="C22" s="3">
        <v>9079571</v>
      </c>
      <c r="D22" s="2" t="s">
        <v>20</v>
      </c>
      <c r="E22" s="2" t="s">
        <v>21</v>
      </c>
      <c r="F22" s="3">
        <v>100578063</v>
      </c>
      <c r="G22" s="4">
        <v>45809</v>
      </c>
      <c r="H22" s="4">
        <v>46087</v>
      </c>
      <c r="I22" s="2" t="s">
        <v>14</v>
      </c>
      <c r="J22" s="2" t="s">
        <v>51</v>
      </c>
      <c r="K22" s="5">
        <v>28.91</v>
      </c>
    </row>
    <row r="23" spans="1:11" x14ac:dyDescent="0.2">
      <c r="A23" s="2" t="s">
        <v>11</v>
      </c>
      <c r="B23" s="2"/>
      <c r="C23" s="3">
        <v>9079571</v>
      </c>
      <c r="D23" s="2" t="s">
        <v>22</v>
      </c>
      <c r="E23" s="2" t="s">
        <v>23</v>
      </c>
      <c r="F23" s="3">
        <v>100013086</v>
      </c>
      <c r="G23" s="4">
        <v>46023</v>
      </c>
      <c r="H23" s="4">
        <v>46087</v>
      </c>
      <c r="I23" s="2" t="s">
        <v>14</v>
      </c>
      <c r="J23" s="2" t="s">
        <v>51</v>
      </c>
      <c r="K23" s="5">
        <v>28.91</v>
      </c>
    </row>
    <row r="24" spans="1:11" x14ac:dyDescent="0.2">
      <c r="A24" s="2" t="s">
        <v>11</v>
      </c>
      <c r="B24" s="2"/>
      <c r="C24" s="3">
        <v>9079571</v>
      </c>
      <c r="D24" s="2" t="s">
        <v>24</v>
      </c>
      <c r="E24" s="2" t="s">
        <v>25</v>
      </c>
      <c r="F24" s="3">
        <v>100025676</v>
      </c>
      <c r="G24" s="4">
        <v>46023</v>
      </c>
      <c r="H24" s="4">
        <v>46087</v>
      </c>
      <c r="I24" s="2" t="s">
        <v>14</v>
      </c>
      <c r="J24" s="2" t="s">
        <v>51</v>
      </c>
      <c r="K24" s="5">
        <v>28.91</v>
      </c>
    </row>
    <row r="25" spans="1:11" x14ac:dyDescent="0.2">
      <c r="A25" s="2" t="s">
        <v>11</v>
      </c>
      <c r="B25" s="2"/>
      <c r="C25" s="3">
        <v>9079571</v>
      </c>
      <c r="D25" s="2" t="s">
        <v>26</v>
      </c>
      <c r="E25" s="2" t="s">
        <v>27</v>
      </c>
      <c r="F25" s="3">
        <v>100582352</v>
      </c>
      <c r="G25" s="4">
        <v>45962</v>
      </c>
      <c r="H25" s="4">
        <v>46087</v>
      </c>
      <c r="I25" s="2" t="s">
        <v>14</v>
      </c>
      <c r="J25" s="2" t="s">
        <v>51</v>
      </c>
      <c r="K25" s="5">
        <v>28.91</v>
      </c>
    </row>
    <row r="26" spans="1:11" x14ac:dyDescent="0.2">
      <c r="A26" s="2" t="s">
        <v>11</v>
      </c>
      <c r="B26" s="2"/>
      <c r="C26" s="3">
        <v>9079571</v>
      </c>
      <c r="D26" s="2" t="s">
        <v>28</v>
      </c>
      <c r="E26" s="2" t="s">
        <v>29</v>
      </c>
      <c r="F26" s="3">
        <v>100578062</v>
      </c>
      <c r="G26" s="4">
        <v>45809</v>
      </c>
      <c r="H26" s="4">
        <v>46087</v>
      </c>
      <c r="I26" s="2" t="s">
        <v>14</v>
      </c>
      <c r="J26" s="2" t="s">
        <v>51</v>
      </c>
      <c r="K26" s="5">
        <v>28.91</v>
      </c>
    </row>
    <row r="27" spans="1:11" x14ac:dyDescent="0.2">
      <c r="A27" s="2" t="s">
        <v>30</v>
      </c>
      <c r="B27" s="2"/>
      <c r="C27" s="3">
        <v>17195620</v>
      </c>
      <c r="D27" s="2" t="s">
        <v>31</v>
      </c>
      <c r="E27" s="2" t="s">
        <v>32</v>
      </c>
      <c r="F27" s="3">
        <v>100002926</v>
      </c>
      <c r="G27" s="4">
        <v>46023</v>
      </c>
      <c r="H27" s="4">
        <v>46087</v>
      </c>
      <c r="I27" s="2" t="s">
        <v>14</v>
      </c>
      <c r="J27" s="2" t="s">
        <v>51</v>
      </c>
      <c r="K27" s="5">
        <v>28.91</v>
      </c>
    </row>
    <row r="28" spans="1:11" x14ac:dyDescent="0.2">
      <c r="A28" s="2" t="s">
        <v>30</v>
      </c>
      <c r="B28" s="2"/>
      <c r="C28" s="3">
        <v>17195620</v>
      </c>
      <c r="D28" s="2" t="s">
        <v>33</v>
      </c>
      <c r="E28" s="2" t="s">
        <v>13</v>
      </c>
      <c r="F28" s="3">
        <v>100013428</v>
      </c>
      <c r="G28" s="4">
        <v>46023</v>
      </c>
      <c r="H28" s="4">
        <v>46087</v>
      </c>
      <c r="I28" s="2" t="s">
        <v>14</v>
      </c>
      <c r="J28" s="2" t="s">
        <v>51</v>
      </c>
      <c r="K28" s="5">
        <v>28.91</v>
      </c>
    </row>
    <row r="29" spans="1:11" x14ac:dyDescent="0.2">
      <c r="A29" s="2" t="s">
        <v>34</v>
      </c>
      <c r="B29" s="2"/>
      <c r="C29" s="3">
        <v>15278437</v>
      </c>
      <c r="D29" s="2" t="s">
        <v>35</v>
      </c>
      <c r="E29" s="2" t="s">
        <v>36</v>
      </c>
      <c r="F29" s="3">
        <v>100559212</v>
      </c>
      <c r="G29" s="4">
        <v>45627</v>
      </c>
      <c r="H29" s="4">
        <v>46087</v>
      </c>
      <c r="I29" s="2" t="s">
        <v>14</v>
      </c>
      <c r="J29" s="2" t="s">
        <v>51</v>
      </c>
      <c r="K29" s="5">
        <v>28.91</v>
      </c>
    </row>
    <row r="30" spans="1:11" x14ac:dyDescent="0.2">
      <c r="A30" s="2" t="s">
        <v>37</v>
      </c>
      <c r="B30" s="2"/>
      <c r="C30" s="3">
        <v>16202925</v>
      </c>
      <c r="D30" s="2" t="s">
        <v>38</v>
      </c>
      <c r="E30" s="2" t="s">
        <v>39</v>
      </c>
      <c r="F30" s="3">
        <v>100050126</v>
      </c>
      <c r="G30" s="4">
        <v>46023</v>
      </c>
      <c r="H30" s="4">
        <v>46087</v>
      </c>
      <c r="I30" s="2" t="s">
        <v>14</v>
      </c>
      <c r="J30" s="2" t="s">
        <v>51</v>
      </c>
      <c r="K30" s="5">
        <v>28.91</v>
      </c>
    </row>
    <row r="31" spans="1:11" x14ac:dyDescent="0.2">
      <c r="A31" s="2" t="s">
        <v>37</v>
      </c>
      <c r="B31" s="2"/>
      <c r="C31" s="3">
        <v>16202925</v>
      </c>
      <c r="D31" s="2" t="s">
        <v>40</v>
      </c>
      <c r="E31" s="2" t="s">
        <v>41</v>
      </c>
      <c r="F31" s="3">
        <v>100050552</v>
      </c>
      <c r="G31" s="4">
        <v>46023</v>
      </c>
      <c r="H31" s="4">
        <v>46087</v>
      </c>
      <c r="I31" s="2" t="s">
        <v>14</v>
      </c>
      <c r="J31" s="2" t="s">
        <v>51</v>
      </c>
      <c r="K31" s="5">
        <v>28.91</v>
      </c>
    </row>
    <row r="32" spans="1:11" x14ac:dyDescent="0.2">
      <c r="A32" s="2" t="s">
        <v>37</v>
      </c>
      <c r="B32" s="2"/>
      <c r="C32" s="3">
        <v>16202925</v>
      </c>
      <c r="D32" s="2" t="s">
        <v>42</v>
      </c>
      <c r="E32" s="2" t="s">
        <v>43</v>
      </c>
      <c r="F32" s="3">
        <v>100558072</v>
      </c>
      <c r="G32" s="4">
        <v>45597</v>
      </c>
      <c r="H32" s="4">
        <v>46087</v>
      </c>
      <c r="I32" s="2" t="s">
        <v>14</v>
      </c>
      <c r="J32" s="2" t="s">
        <v>51</v>
      </c>
      <c r="K32" s="5">
        <v>28.91</v>
      </c>
    </row>
    <row r="33" spans="1:11" x14ac:dyDescent="0.2">
      <c r="A33" s="2" t="s">
        <v>37</v>
      </c>
      <c r="B33" s="2"/>
      <c r="C33" s="3">
        <v>16202925</v>
      </c>
      <c r="D33" s="2" t="s">
        <v>44</v>
      </c>
      <c r="E33" s="2" t="s">
        <v>45</v>
      </c>
      <c r="F33" s="3">
        <v>100051930</v>
      </c>
      <c r="G33" s="4">
        <v>46023</v>
      </c>
      <c r="H33" s="4">
        <v>46087</v>
      </c>
      <c r="I33" s="2" t="s">
        <v>14</v>
      </c>
      <c r="J33" s="2" t="s">
        <v>51</v>
      </c>
      <c r="K33" s="5">
        <v>28.91</v>
      </c>
    </row>
    <row r="34" spans="1:11" x14ac:dyDescent="0.2">
      <c r="A34" s="2" t="s">
        <v>11</v>
      </c>
      <c r="B34" s="2"/>
      <c r="C34" s="3">
        <v>9079571</v>
      </c>
      <c r="D34" s="2" t="s">
        <v>49</v>
      </c>
      <c r="E34" s="2" t="s">
        <v>50</v>
      </c>
      <c r="F34" s="3">
        <v>100593572</v>
      </c>
      <c r="G34" s="4">
        <v>46054</v>
      </c>
      <c r="H34" s="4">
        <v>46087</v>
      </c>
      <c r="I34" s="2" t="s">
        <v>14</v>
      </c>
      <c r="J34" s="2" t="s">
        <v>52</v>
      </c>
      <c r="K34" s="5">
        <v>318.08</v>
      </c>
    </row>
    <row r="35" spans="1:11" x14ac:dyDescent="0.2">
      <c r="A35" s="2" t="s">
        <v>11</v>
      </c>
      <c r="B35" s="2"/>
      <c r="C35" s="3">
        <v>9079571</v>
      </c>
      <c r="D35" s="2" t="s">
        <v>53</v>
      </c>
      <c r="E35" s="2" t="s">
        <v>54</v>
      </c>
      <c r="F35" s="3">
        <v>100592240</v>
      </c>
      <c r="G35" s="4">
        <v>46023</v>
      </c>
      <c r="H35" s="4">
        <v>46087</v>
      </c>
      <c r="I35" s="2" t="s">
        <v>14</v>
      </c>
      <c r="J35" s="2" t="s">
        <v>55</v>
      </c>
      <c r="K35" s="5">
        <v>347</v>
      </c>
    </row>
    <row r="36" spans="1:11" x14ac:dyDescent="0.2">
      <c r="A36" s="2" t="s">
        <v>11</v>
      </c>
      <c r="B36" s="2"/>
      <c r="C36" s="3">
        <v>9079571</v>
      </c>
      <c r="D36" s="2" t="s">
        <v>56</v>
      </c>
      <c r="E36" s="2" t="s">
        <v>57</v>
      </c>
      <c r="F36" s="3">
        <v>100587728</v>
      </c>
      <c r="G36" s="4">
        <v>46023</v>
      </c>
      <c r="H36" s="4">
        <v>46087</v>
      </c>
      <c r="I36" s="2" t="s">
        <v>14</v>
      </c>
      <c r="J36" s="2" t="s">
        <v>55</v>
      </c>
      <c r="K36" s="5">
        <v>347</v>
      </c>
    </row>
    <row r="37" spans="1:11" x14ac:dyDescent="0.2">
      <c r="A37" s="2" t="s">
        <v>11</v>
      </c>
      <c r="B37" s="2"/>
      <c r="C37" s="3">
        <v>9079571</v>
      </c>
      <c r="D37" s="2" t="s">
        <v>35</v>
      </c>
      <c r="E37" s="2" t="s">
        <v>57</v>
      </c>
      <c r="F37" s="3">
        <v>100587724</v>
      </c>
      <c r="G37" s="4">
        <v>46023</v>
      </c>
      <c r="H37" s="4">
        <v>46087</v>
      </c>
      <c r="I37" s="2" t="s">
        <v>14</v>
      </c>
      <c r="J37" s="2" t="s">
        <v>55</v>
      </c>
      <c r="K37" s="5">
        <v>347</v>
      </c>
    </row>
    <row r="38" spans="1:11" x14ac:dyDescent="0.2">
      <c r="A38" s="2" t="s">
        <v>11</v>
      </c>
      <c r="B38" s="2"/>
      <c r="C38" s="3">
        <v>9079571</v>
      </c>
      <c r="D38" s="2" t="s">
        <v>58</v>
      </c>
      <c r="E38" s="2" t="s">
        <v>59</v>
      </c>
      <c r="F38" s="3">
        <v>100587780</v>
      </c>
      <c r="G38" s="4">
        <v>46023</v>
      </c>
      <c r="H38" s="4">
        <v>46087</v>
      </c>
      <c r="I38" s="2" t="s">
        <v>14</v>
      </c>
      <c r="J38" s="2" t="s">
        <v>55</v>
      </c>
      <c r="K38" s="5">
        <v>347</v>
      </c>
    </row>
    <row r="39" spans="1:11" x14ac:dyDescent="0.2">
      <c r="A39" s="2" t="s">
        <v>37</v>
      </c>
      <c r="B39" s="2"/>
      <c r="C39" s="3">
        <v>16202925</v>
      </c>
      <c r="D39" s="2" t="s">
        <v>60</v>
      </c>
      <c r="E39" s="2" t="s">
        <v>61</v>
      </c>
      <c r="F39" s="3">
        <v>100587069</v>
      </c>
      <c r="G39" s="4">
        <v>46023</v>
      </c>
      <c r="H39" s="4">
        <v>46087</v>
      </c>
      <c r="I39" s="2" t="s">
        <v>14</v>
      </c>
      <c r="J39" s="2" t="s">
        <v>55</v>
      </c>
      <c r="K39" s="5">
        <v>347</v>
      </c>
    </row>
    <row r="40" spans="1:11" x14ac:dyDescent="0.2">
      <c r="A40" s="2" t="s">
        <v>11</v>
      </c>
      <c r="B40" s="2"/>
      <c r="C40" s="3">
        <v>9079571</v>
      </c>
      <c r="D40" s="2" t="s">
        <v>46</v>
      </c>
      <c r="E40" s="2" t="s">
        <v>47</v>
      </c>
      <c r="F40" s="3">
        <v>100592789</v>
      </c>
      <c r="G40" s="4">
        <v>46054</v>
      </c>
      <c r="H40" s="4">
        <v>46087</v>
      </c>
      <c r="I40" s="2" t="s">
        <v>14</v>
      </c>
      <c r="J40" s="2" t="s">
        <v>62</v>
      </c>
      <c r="K40" s="5">
        <v>694</v>
      </c>
    </row>
  </sheetData>
  <autoFilter ref="A1:K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F4E1-600B-4C73-B373-721591F1B320}">
  <dimension ref="A1:O40"/>
  <sheetViews>
    <sheetView tabSelected="1" workbookViewId="0">
      <selection activeCell="A34" sqref="A34:XFD34"/>
    </sheetView>
  </sheetViews>
  <sheetFormatPr defaultColWidth="12.5703125" defaultRowHeight="12.75" x14ac:dyDescent="0.2"/>
  <cols>
    <col min="5" max="5" width="14.85546875" bestFit="1" customWidth="1"/>
    <col min="11" max="11" width="48.5703125" bestFit="1" customWidth="1"/>
    <col min="13" max="13" width="23.7109375" bestFit="1" customWidth="1"/>
    <col min="14" max="14" width="22.5703125" bestFit="1" customWidth="1"/>
  </cols>
  <sheetData>
    <row r="1" spans="1:13" x14ac:dyDescent="0.2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3" s="10" customFormat="1" x14ac:dyDescent="0.2">
      <c r="A2" s="23" t="s">
        <v>72</v>
      </c>
      <c r="B2" s="7">
        <v>20411454</v>
      </c>
      <c r="C2" s="6" t="s">
        <v>12</v>
      </c>
      <c r="D2" s="6" t="s">
        <v>13</v>
      </c>
      <c r="E2" s="6" t="str">
        <f>CONCATENATE(C2," ",D2)</f>
        <v>Dennis Peterson</v>
      </c>
      <c r="F2" s="7">
        <v>100051830</v>
      </c>
      <c r="G2" s="7" t="str">
        <f>CONCATENATE(F2,"OVR")</f>
        <v>100051830OVR</v>
      </c>
      <c r="H2" s="8">
        <v>46023</v>
      </c>
      <c r="I2" s="8">
        <v>46087</v>
      </c>
      <c r="J2" s="6" t="s">
        <v>14</v>
      </c>
      <c r="K2" s="6" t="s">
        <v>15</v>
      </c>
      <c r="L2" s="9">
        <v>6.25</v>
      </c>
      <c r="M2" s="10" t="s">
        <v>64</v>
      </c>
    </row>
    <row r="3" spans="1:13" s="10" customFormat="1" x14ac:dyDescent="0.2">
      <c r="A3" s="23" t="s">
        <v>72</v>
      </c>
      <c r="B3" s="7">
        <v>20411454</v>
      </c>
      <c r="C3" s="6" t="s">
        <v>16</v>
      </c>
      <c r="D3" s="6" t="s">
        <v>17</v>
      </c>
      <c r="E3" s="6" t="str">
        <f t="shared" ref="E3:E40" si="0">CONCATENATE(C3," ",D3)</f>
        <v>Edward West</v>
      </c>
      <c r="F3" s="7">
        <v>100047864</v>
      </c>
      <c r="G3" s="7" t="str">
        <f t="shared" ref="G3:G16" si="1">CONCATENATE(F3,"OVR")</f>
        <v>100047864OVR</v>
      </c>
      <c r="H3" s="8">
        <v>46023</v>
      </c>
      <c r="I3" s="8">
        <v>46087</v>
      </c>
      <c r="J3" s="6" t="s">
        <v>14</v>
      </c>
      <c r="K3" s="6" t="s">
        <v>15</v>
      </c>
      <c r="L3" s="9">
        <v>6.25</v>
      </c>
      <c r="M3" s="10" t="s">
        <v>64</v>
      </c>
    </row>
    <row r="4" spans="1:13" s="10" customFormat="1" x14ac:dyDescent="0.2">
      <c r="A4" s="23" t="s">
        <v>72</v>
      </c>
      <c r="B4" s="7">
        <v>20411454</v>
      </c>
      <c r="C4" s="6" t="s">
        <v>18</v>
      </c>
      <c r="D4" s="6" t="s">
        <v>19</v>
      </c>
      <c r="E4" s="6" t="str">
        <f t="shared" si="0"/>
        <v>Emma Mcphail</v>
      </c>
      <c r="F4" s="7">
        <v>100578061</v>
      </c>
      <c r="G4" s="7" t="str">
        <f t="shared" si="1"/>
        <v>100578061OVR</v>
      </c>
      <c r="H4" s="8">
        <v>45809</v>
      </c>
      <c r="I4" s="8">
        <v>46087</v>
      </c>
      <c r="J4" s="6" t="s">
        <v>14</v>
      </c>
      <c r="K4" s="6" t="s">
        <v>15</v>
      </c>
      <c r="L4" s="9">
        <v>6.25</v>
      </c>
      <c r="M4" s="10" t="s">
        <v>64</v>
      </c>
    </row>
    <row r="5" spans="1:13" s="10" customFormat="1" x14ac:dyDescent="0.2">
      <c r="A5" s="23" t="s">
        <v>72</v>
      </c>
      <c r="B5" s="7">
        <v>20411454</v>
      </c>
      <c r="C5" s="6" t="s">
        <v>20</v>
      </c>
      <c r="D5" s="6" t="s">
        <v>21</v>
      </c>
      <c r="E5" s="6" t="str">
        <f t="shared" si="0"/>
        <v>Judith Bradley Ray</v>
      </c>
      <c r="F5" s="7">
        <v>100578063</v>
      </c>
      <c r="G5" s="7" t="str">
        <f t="shared" si="1"/>
        <v>100578063OVR</v>
      </c>
      <c r="H5" s="8">
        <v>45809</v>
      </c>
      <c r="I5" s="8">
        <v>46087</v>
      </c>
      <c r="J5" s="6" t="s">
        <v>14</v>
      </c>
      <c r="K5" s="6" t="s">
        <v>15</v>
      </c>
      <c r="L5" s="9">
        <v>6.25</v>
      </c>
      <c r="M5" s="10" t="s">
        <v>64</v>
      </c>
    </row>
    <row r="6" spans="1:13" s="10" customFormat="1" x14ac:dyDescent="0.2">
      <c r="A6" s="23" t="s">
        <v>72</v>
      </c>
      <c r="B6" s="7">
        <v>20411454</v>
      </c>
      <c r="C6" s="6" t="s">
        <v>22</v>
      </c>
      <c r="D6" s="6" t="s">
        <v>23</v>
      </c>
      <c r="E6" s="6" t="str">
        <f t="shared" si="0"/>
        <v>Kathleen Galliano Dignan</v>
      </c>
      <c r="F6" s="7">
        <v>100013086</v>
      </c>
      <c r="G6" s="7" t="str">
        <f t="shared" si="1"/>
        <v>100013086OVR</v>
      </c>
      <c r="H6" s="8">
        <v>46023</v>
      </c>
      <c r="I6" s="8">
        <v>46087</v>
      </c>
      <c r="J6" s="6" t="s">
        <v>14</v>
      </c>
      <c r="K6" s="6" t="s">
        <v>15</v>
      </c>
      <c r="L6" s="9">
        <v>6.25</v>
      </c>
      <c r="M6" s="10" t="s">
        <v>64</v>
      </c>
    </row>
    <row r="7" spans="1:13" s="10" customFormat="1" x14ac:dyDescent="0.2">
      <c r="A7" s="23" t="s">
        <v>72</v>
      </c>
      <c r="B7" s="7">
        <v>20411454</v>
      </c>
      <c r="C7" s="6" t="s">
        <v>24</v>
      </c>
      <c r="D7" s="6" t="s">
        <v>25</v>
      </c>
      <c r="E7" s="6" t="str">
        <f t="shared" si="0"/>
        <v>Laura Yli Piipari</v>
      </c>
      <c r="F7" s="7">
        <v>100025676</v>
      </c>
      <c r="G7" s="7" t="str">
        <f t="shared" si="1"/>
        <v>100025676OVR</v>
      </c>
      <c r="H7" s="8">
        <v>46023</v>
      </c>
      <c r="I7" s="8">
        <v>46087</v>
      </c>
      <c r="J7" s="6" t="s">
        <v>14</v>
      </c>
      <c r="K7" s="6" t="s">
        <v>15</v>
      </c>
      <c r="L7" s="9">
        <v>6.25</v>
      </c>
      <c r="M7" s="10" t="s">
        <v>64</v>
      </c>
    </row>
    <row r="8" spans="1:13" s="10" customFormat="1" x14ac:dyDescent="0.2">
      <c r="A8" s="23" t="s">
        <v>72</v>
      </c>
      <c r="B8" s="7">
        <v>20411454</v>
      </c>
      <c r="C8" s="6" t="s">
        <v>26</v>
      </c>
      <c r="D8" s="6" t="s">
        <v>27</v>
      </c>
      <c r="E8" s="6" t="str">
        <f t="shared" si="0"/>
        <v>Marcella Ryckman</v>
      </c>
      <c r="F8" s="7">
        <v>100582352</v>
      </c>
      <c r="G8" s="7" t="str">
        <f t="shared" si="1"/>
        <v>100582352OVR</v>
      </c>
      <c r="H8" s="8">
        <v>45962</v>
      </c>
      <c r="I8" s="8">
        <v>46087</v>
      </c>
      <c r="J8" s="6" t="s">
        <v>14</v>
      </c>
      <c r="K8" s="6" t="s">
        <v>15</v>
      </c>
      <c r="L8" s="9">
        <v>6.25</v>
      </c>
      <c r="M8" s="10" t="s">
        <v>64</v>
      </c>
    </row>
    <row r="9" spans="1:13" s="10" customFormat="1" x14ac:dyDescent="0.2">
      <c r="A9" s="23" t="s">
        <v>72</v>
      </c>
      <c r="B9" s="7">
        <v>20411454</v>
      </c>
      <c r="C9" s="6" t="s">
        <v>28</v>
      </c>
      <c r="D9" s="6" t="s">
        <v>29</v>
      </c>
      <c r="E9" s="6" t="str">
        <f t="shared" si="0"/>
        <v>Robert Ray</v>
      </c>
      <c r="F9" s="7">
        <v>100578062</v>
      </c>
      <c r="G9" s="7" t="str">
        <f t="shared" si="1"/>
        <v>100578062OVR</v>
      </c>
      <c r="H9" s="8">
        <v>45809</v>
      </c>
      <c r="I9" s="8">
        <v>46087</v>
      </c>
      <c r="J9" s="6" t="s">
        <v>14</v>
      </c>
      <c r="K9" s="6" t="s">
        <v>15</v>
      </c>
      <c r="L9" s="9">
        <v>6.25</v>
      </c>
      <c r="M9" s="10" t="s">
        <v>64</v>
      </c>
    </row>
    <row r="10" spans="1:13" s="10" customFormat="1" x14ac:dyDescent="0.2">
      <c r="A10" s="23" t="s">
        <v>72</v>
      </c>
      <c r="B10" s="7">
        <v>20411454</v>
      </c>
      <c r="C10" s="6" t="s">
        <v>31</v>
      </c>
      <c r="D10" s="6" t="s">
        <v>32</v>
      </c>
      <c r="E10" s="6" t="str">
        <f t="shared" si="0"/>
        <v>Daisy Nelson</v>
      </c>
      <c r="F10" s="7">
        <v>100002926</v>
      </c>
      <c r="G10" s="7" t="str">
        <f t="shared" si="1"/>
        <v>100002926OVR</v>
      </c>
      <c r="H10" s="8">
        <v>46023</v>
      </c>
      <c r="I10" s="8">
        <v>46087</v>
      </c>
      <c r="J10" s="6" t="s">
        <v>14</v>
      </c>
      <c r="K10" s="6" t="s">
        <v>15</v>
      </c>
      <c r="L10" s="9">
        <v>6.25</v>
      </c>
      <c r="M10" s="10" t="s">
        <v>64</v>
      </c>
    </row>
    <row r="11" spans="1:13" s="10" customFormat="1" x14ac:dyDescent="0.2">
      <c r="A11" s="23" t="s">
        <v>72</v>
      </c>
      <c r="B11" s="7">
        <v>20411454</v>
      </c>
      <c r="C11" s="6" t="s">
        <v>33</v>
      </c>
      <c r="D11" s="6" t="s">
        <v>13</v>
      </c>
      <c r="E11" s="6" t="str">
        <f t="shared" si="0"/>
        <v>Dolores Peterson</v>
      </c>
      <c r="F11" s="7">
        <v>100013428</v>
      </c>
      <c r="G11" s="7" t="str">
        <f t="shared" si="1"/>
        <v>100013428OVR</v>
      </c>
      <c r="H11" s="8">
        <v>46023</v>
      </c>
      <c r="I11" s="8">
        <v>46087</v>
      </c>
      <c r="J11" s="6" t="s">
        <v>14</v>
      </c>
      <c r="K11" s="6" t="s">
        <v>15</v>
      </c>
      <c r="L11" s="9">
        <v>6.25</v>
      </c>
      <c r="M11" s="10" t="s">
        <v>64</v>
      </c>
    </row>
    <row r="12" spans="1:13" s="10" customFormat="1" x14ac:dyDescent="0.2">
      <c r="A12" s="23" t="s">
        <v>72</v>
      </c>
      <c r="B12" s="7">
        <v>20411454</v>
      </c>
      <c r="C12" s="6" t="s">
        <v>35</v>
      </c>
      <c r="D12" s="6" t="s">
        <v>36</v>
      </c>
      <c r="E12" s="6" t="str">
        <f t="shared" si="0"/>
        <v>Linda Bailey</v>
      </c>
      <c r="F12" s="7">
        <v>100559212</v>
      </c>
      <c r="G12" s="7" t="str">
        <f t="shared" si="1"/>
        <v>100559212OVR</v>
      </c>
      <c r="H12" s="8">
        <v>45627</v>
      </c>
      <c r="I12" s="8">
        <v>46087</v>
      </c>
      <c r="J12" s="6" t="s">
        <v>14</v>
      </c>
      <c r="K12" s="6" t="s">
        <v>15</v>
      </c>
      <c r="L12" s="9">
        <v>6.25</v>
      </c>
      <c r="M12" s="10" t="s">
        <v>64</v>
      </c>
    </row>
    <row r="13" spans="1:13" s="10" customFormat="1" x14ac:dyDescent="0.2">
      <c r="A13" s="23" t="s">
        <v>72</v>
      </c>
      <c r="B13" s="7">
        <v>20411454</v>
      </c>
      <c r="C13" s="6" t="s">
        <v>38</v>
      </c>
      <c r="D13" s="6" t="s">
        <v>39</v>
      </c>
      <c r="E13" s="6" t="str">
        <f t="shared" si="0"/>
        <v>Antonio Johnson</v>
      </c>
      <c r="F13" s="7">
        <v>100050126</v>
      </c>
      <c r="G13" s="7" t="str">
        <f t="shared" si="1"/>
        <v>100050126OVR</v>
      </c>
      <c r="H13" s="8">
        <v>46023</v>
      </c>
      <c r="I13" s="8">
        <v>46087</v>
      </c>
      <c r="J13" s="6" t="s">
        <v>14</v>
      </c>
      <c r="K13" s="6" t="s">
        <v>15</v>
      </c>
      <c r="L13" s="9">
        <v>6.25</v>
      </c>
      <c r="M13" s="10" t="s">
        <v>64</v>
      </c>
    </row>
    <row r="14" spans="1:13" s="10" customFormat="1" x14ac:dyDescent="0.2">
      <c r="A14" s="23" t="s">
        <v>72</v>
      </c>
      <c r="B14" s="7">
        <v>20411454</v>
      </c>
      <c r="C14" s="6" t="s">
        <v>40</v>
      </c>
      <c r="D14" s="6" t="s">
        <v>41</v>
      </c>
      <c r="E14" s="6" t="str">
        <f t="shared" si="0"/>
        <v>Audrey Layton</v>
      </c>
      <c r="F14" s="7">
        <v>100050552</v>
      </c>
      <c r="G14" s="7" t="str">
        <f t="shared" si="1"/>
        <v>100050552OVR</v>
      </c>
      <c r="H14" s="8">
        <v>46023</v>
      </c>
      <c r="I14" s="8">
        <v>46087</v>
      </c>
      <c r="J14" s="6" t="s">
        <v>14</v>
      </c>
      <c r="K14" s="6" t="s">
        <v>15</v>
      </c>
      <c r="L14" s="9">
        <v>6.25</v>
      </c>
      <c r="M14" s="10" t="s">
        <v>64</v>
      </c>
    </row>
    <row r="15" spans="1:13" s="10" customFormat="1" x14ac:dyDescent="0.2">
      <c r="A15" s="23" t="s">
        <v>72</v>
      </c>
      <c r="B15" s="7">
        <v>20411454</v>
      </c>
      <c r="C15" s="6" t="s">
        <v>42</v>
      </c>
      <c r="D15" s="6" t="s">
        <v>43</v>
      </c>
      <c r="E15" s="6" t="str">
        <f t="shared" si="0"/>
        <v>James Burns Sr</v>
      </c>
      <c r="F15" s="7">
        <v>100558072</v>
      </c>
      <c r="G15" s="7" t="str">
        <f t="shared" si="1"/>
        <v>100558072OVR</v>
      </c>
      <c r="H15" s="8">
        <v>45597</v>
      </c>
      <c r="I15" s="8">
        <v>46087</v>
      </c>
      <c r="J15" s="6" t="s">
        <v>14</v>
      </c>
      <c r="K15" s="6" t="s">
        <v>15</v>
      </c>
      <c r="L15" s="9">
        <v>6.25</v>
      </c>
      <c r="M15" s="10" t="s">
        <v>64</v>
      </c>
    </row>
    <row r="16" spans="1:13" s="10" customFormat="1" x14ac:dyDescent="0.2">
      <c r="A16" s="23" t="s">
        <v>72</v>
      </c>
      <c r="B16" s="7">
        <v>20411454</v>
      </c>
      <c r="C16" s="6" t="s">
        <v>44</v>
      </c>
      <c r="D16" s="6" t="s">
        <v>45</v>
      </c>
      <c r="E16" s="6" t="str">
        <f t="shared" si="0"/>
        <v>John Brown</v>
      </c>
      <c r="F16" s="7">
        <v>100051930</v>
      </c>
      <c r="G16" s="7" t="str">
        <f t="shared" si="1"/>
        <v>100051930OVR</v>
      </c>
      <c r="H16" s="8">
        <v>46023</v>
      </c>
      <c r="I16" s="8">
        <v>46087</v>
      </c>
      <c r="J16" s="6" t="s">
        <v>14</v>
      </c>
      <c r="K16" s="6" t="s">
        <v>15</v>
      </c>
      <c r="L16" s="9">
        <v>6.25</v>
      </c>
      <c r="M16" s="10" t="s">
        <v>64</v>
      </c>
    </row>
    <row r="17" spans="1:15" s="21" customFormat="1" x14ac:dyDescent="0.2">
      <c r="A17" s="17" t="s">
        <v>11</v>
      </c>
      <c r="B17" s="18">
        <v>9079571</v>
      </c>
      <c r="C17" s="17" t="s">
        <v>46</v>
      </c>
      <c r="D17" s="17" t="s">
        <v>47</v>
      </c>
      <c r="E17" s="17" t="str">
        <f t="shared" si="0"/>
        <v>Jennifer Plummer</v>
      </c>
      <c r="F17" s="18">
        <v>100592789</v>
      </c>
      <c r="G17" s="18">
        <v>100592789</v>
      </c>
      <c r="H17" s="19">
        <v>46054</v>
      </c>
      <c r="I17" s="19">
        <v>46087</v>
      </c>
      <c r="J17" s="17" t="s">
        <v>14</v>
      </c>
      <c r="K17" s="17" t="s">
        <v>48</v>
      </c>
      <c r="L17" s="20">
        <v>250</v>
      </c>
      <c r="M17" s="21" t="s">
        <v>65</v>
      </c>
      <c r="N17" s="22" t="s">
        <v>70</v>
      </c>
      <c r="O17" s="21">
        <f>300/12*10</f>
        <v>250</v>
      </c>
    </row>
    <row r="18" spans="1:15" s="21" customFormat="1" x14ac:dyDescent="0.2">
      <c r="A18" s="17" t="s">
        <v>11</v>
      </c>
      <c r="B18" s="18">
        <v>9079571</v>
      </c>
      <c r="C18" s="17" t="s">
        <v>49</v>
      </c>
      <c r="D18" s="17" t="s">
        <v>50</v>
      </c>
      <c r="E18" s="17" t="str">
        <f t="shared" si="0"/>
        <v>Rebecca Murphy</v>
      </c>
      <c r="F18" s="18">
        <v>100593572</v>
      </c>
      <c r="G18" s="18">
        <v>100593572</v>
      </c>
      <c r="H18" s="19">
        <v>46054</v>
      </c>
      <c r="I18" s="19">
        <v>46087</v>
      </c>
      <c r="J18" s="17" t="s">
        <v>14</v>
      </c>
      <c r="K18" s="17" t="s">
        <v>48</v>
      </c>
      <c r="L18" s="20">
        <v>250</v>
      </c>
      <c r="M18" s="21" t="s">
        <v>65</v>
      </c>
      <c r="N18" s="22" t="s">
        <v>70</v>
      </c>
    </row>
    <row r="19" spans="1:15" s="21" customFormat="1" x14ac:dyDescent="0.2">
      <c r="A19" s="17" t="s">
        <v>11</v>
      </c>
      <c r="B19" s="18">
        <v>9079571</v>
      </c>
      <c r="C19" s="17" t="s">
        <v>12</v>
      </c>
      <c r="D19" s="17" t="s">
        <v>13</v>
      </c>
      <c r="E19" s="17" t="str">
        <f t="shared" si="0"/>
        <v>Dennis Peterson</v>
      </c>
      <c r="F19" s="18">
        <v>100051830</v>
      </c>
      <c r="G19" s="18" t="str">
        <f>CONCATENATE(F19,22)</f>
        <v>10005183022</v>
      </c>
      <c r="H19" s="19">
        <v>46023</v>
      </c>
      <c r="I19" s="19">
        <v>46087</v>
      </c>
      <c r="J19" s="17" t="s">
        <v>14</v>
      </c>
      <c r="K19" s="17" t="s">
        <v>51</v>
      </c>
      <c r="L19" s="20">
        <v>28.91</v>
      </c>
      <c r="M19" s="21" t="s">
        <v>63</v>
      </c>
      <c r="N19" s="22" t="s">
        <v>67</v>
      </c>
      <c r="O19" s="21">
        <f>347/12</f>
        <v>28.916666666666668</v>
      </c>
    </row>
    <row r="20" spans="1:15" s="21" customFormat="1" x14ac:dyDescent="0.2">
      <c r="A20" s="17" t="s">
        <v>11</v>
      </c>
      <c r="B20" s="18">
        <v>9079571</v>
      </c>
      <c r="C20" s="17" t="s">
        <v>16</v>
      </c>
      <c r="D20" s="17" t="s">
        <v>17</v>
      </c>
      <c r="E20" s="17" t="str">
        <f t="shared" si="0"/>
        <v>Edward West</v>
      </c>
      <c r="F20" s="18">
        <v>100047864</v>
      </c>
      <c r="G20" s="18" t="str">
        <f t="shared" ref="G20:G39" si="2">CONCATENATE(F20,22)</f>
        <v>10004786422</v>
      </c>
      <c r="H20" s="19">
        <v>46023</v>
      </c>
      <c r="I20" s="19">
        <v>46087</v>
      </c>
      <c r="J20" s="17" t="s">
        <v>14</v>
      </c>
      <c r="K20" s="17" t="s">
        <v>51</v>
      </c>
      <c r="L20" s="20">
        <v>28.91</v>
      </c>
      <c r="M20" s="21" t="s">
        <v>63</v>
      </c>
      <c r="N20" s="22" t="s">
        <v>67</v>
      </c>
    </row>
    <row r="21" spans="1:15" s="21" customFormat="1" x14ac:dyDescent="0.2">
      <c r="A21" s="17" t="s">
        <v>11</v>
      </c>
      <c r="B21" s="18">
        <v>9079571</v>
      </c>
      <c r="C21" s="17" t="s">
        <v>18</v>
      </c>
      <c r="D21" s="17" t="s">
        <v>19</v>
      </c>
      <c r="E21" s="17" t="str">
        <f t="shared" si="0"/>
        <v>Emma Mcphail</v>
      </c>
      <c r="F21" s="18">
        <v>100578061</v>
      </c>
      <c r="G21" s="18" t="str">
        <f t="shared" si="2"/>
        <v>10057806122</v>
      </c>
      <c r="H21" s="19">
        <v>45809</v>
      </c>
      <c r="I21" s="19">
        <v>46087</v>
      </c>
      <c r="J21" s="17" t="s">
        <v>14</v>
      </c>
      <c r="K21" s="17" t="s">
        <v>51</v>
      </c>
      <c r="L21" s="20">
        <v>28.91</v>
      </c>
      <c r="M21" s="21" t="s">
        <v>63</v>
      </c>
      <c r="N21" s="22" t="s">
        <v>67</v>
      </c>
    </row>
    <row r="22" spans="1:15" s="21" customFormat="1" x14ac:dyDescent="0.2">
      <c r="A22" s="17" t="s">
        <v>11</v>
      </c>
      <c r="B22" s="18">
        <v>9079571</v>
      </c>
      <c r="C22" s="17" t="s">
        <v>20</v>
      </c>
      <c r="D22" s="17" t="s">
        <v>21</v>
      </c>
      <c r="E22" s="17" t="str">
        <f t="shared" si="0"/>
        <v>Judith Bradley Ray</v>
      </c>
      <c r="F22" s="18">
        <v>100578063</v>
      </c>
      <c r="G22" s="18" t="str">
        <f t="shared" si="2"/>
        <v>10057806322</v>
      </c>
      <c r="H22" s="19">
        <v>45809</v>
      </c>
      <c r="I22" s="19">
        <v>46087</v>
      </c>
      <c r="J22" s="17" t="s">
        <v>14</v>
      </c>
      <c r="K22" s="17" t="s">
        <v>51</v>
      </c>
      <c r="L22" s="20">
        <v>28.91</v>
      </c>
      <c r="M22" s="21" t="s">
        <v>63</v>
      </c>
      <c r="N22" s="22" t="s">
        <v>67</v>
      </c>
    </row>
    <row r="23" spans="1:15" s="21" customFormat="1" x14ac:dyDescent="0.2">
      <c r="A23" s="17" t="s">
        <v>11</v>
      </c>
      <c r="B23" s="18">
        <v>9079571</v>
      </c>
      <c r="C23" s="17" t="s">
        <v>22</v>
      </c>
      <c r="D23" s="17" t="s">
        <v>23</v>
      </c>
      <c r="E23" s="17" t="str">
        <f t="shared" si="0"/>
        <v>Kathleen Galliano Dignan</v>
      </c>
      <c r="F23" s="18">
        <v>100013086</v>
      </c>
      <c r="G23" s="18" t="str">
        <f t="shared" si="2"/>
        <v>10001308622</v>
      </c>
      <c r="H23" s="19">
        <v>46023</v>
      </c>
      <c r="I23" s="19">
        <v>46087</v>
      </c>
      <c r="J23" s="17" t="s">
        <v>14</v>
      </c>
      <c r="K23" s="17" t="s">
        <v>51</v>
      </c>
      <c r="L23" s="20">
        <v>28.91</v>
      </c>
      <c r="M23" s="21" t="s">
        <v>63</v>
      </c>
      <c r="N23" s="22" t="s">
        <v>67</v>
      </c>
    </row>
    <row r="24" spans="1:15" s="21" customFormat="1" x14ac:dyDescent="0.2">
      <c r="A24" s="17" t="s">
        <v>11</v>
      </c>
      <c r="B24" s="18">
        <v>9079571</v>
      </c>
      <c r="C24" s="17" t="s">
        <v>24</v>
      </c>
      <c r="D24" s="17" t="s">
        <v>25</v>
      </c>
      <c r="E24" s="17" t="str">
        <f t="shared" si="0"/>
        <v>Laura Yli Piipari</v>
      </c>
      <c r="F24" s="18">
        <v>100025676</v>
      </c>
      <c r="G24" s="18" t="str">
        <f t="shared" si="2"/>
        <v>10002567622</v>
      </c>
      <c r="H24" s="19">
        <v>46023</v>
      </c>
      <c r="I24" s="19">
        <v>46087</v>
      </c>
      <c r="J24" s="17" t="s">
        <v>14</v>
      </c>
      <c r="K24" s="17" t="s">
        <v>51</v>
      </c>
      <c r="L24" s="20">
        <v>28.91</v>
      </c>
      <c r="M24" s="21" t="s">
        <v>63</v>
      </c>
      <c r="N24" s="22" t="s">
        <v>67</v>
      </c>
    </row>
    <row r="25" spans="1:15" s="21" customFormat="1" x14ac:dyDescent="0.2">
      <c r="A25" s="17" t="s">
        <v>11</v>
      </c>
      <c r="B25" s="18">
        <v>9079571</v>
      </c>
      <c r="C25" s="17" t="s">
        <v>26</v>
      </c>
      <c r="D25" s="17" t="s">
        <v>27</v>
      </c>
      <c r="E25" s="17" t="str">
        <f t="shared" si="0"/>
        <v>Marcella Ryckman</v>
      </c>
      <c r="F25" s="18">
        <v>100582352</v>
      </c>
      <c r="G25" s="18" t="str">
        <f t="shared" si="2"/>
        <v>10058235222</v>
      </c>
      <c r="H25" s="19">
        <v>45962</v>
      </c>
      <c r="I25" s="19">
        <v>46087</v>
      </c>
      <c r="J25" s="17" t="s">
        <v>14</v>
      </c>
      <c r="K25" s="17" t="s">
        <v>51</v>
      </c>
      <c r="L25" s="20">
        <v>28.91</v>
      </c>
      <c r="M25" s="21" t="s">
        <v>63</v>
      </c>
      <c r="N25" s="22" t="s">
        <v>67</v>
      </c>
    </row>
    <row r="26" spans="1:15" s="21" customFormat="1" x14ac:dyDescent="0.2">
      <c r="A26" s="17" t="s">
        <v>11</v>
      </c>
      <c r="B26" s="18">
        <v>9079571</v>
      </c>
      <c r="C26" s="17" t="s">
        <v>28</v>
      </c>
      <c r="D26" s="17" t="s">
        <v>29</v>
      </c>
      <c r="E26" s="17" t="str">
        <f t="shared" si="0"/>
        <v>Robert Ray</v>
      </c>
      <c r="F26" s="18">
        <v>100578062</v>
      </c>
      <c r="G26" s="18" t="str">
        <f t="shared" si="2"/>
        <v>10057806222</v>
      </c>
      <c r="H26" s="19">
        <v>45809</v>
      </c>
      <c r="I26" s="19">
        <v>46087</v>
      </c>
      <c r="J26" s="17" t="s">
        <v>14</v>
      </c>
      <c r="K26" s="17" t="s">
        <v>51</v>
      </c>
      <c r="L26" s="20">
        <v>28.91</v>
      </c>
      <c r="M26" s="21" t="s">
        <v>63</v>
      </c>
      <c r="N26" s="22" t="s">
        <v>67</v>
      </c>
    </row>
    <row r="27" spans="1:15" s="21" customFormat="1" x14ac:dyDescent="0.2">
      <c r="A27" s="17" t="s">
        <v>30</v>
      </c>
      <c r="B27" s="18">
        <v>17195620</v>
      </c>
      <c r="C27" s="17" t="s">
        <v>31</v>
      </c>
      <c r="D27" s="17" t="s">
        <v>32</v>
      </c>
      <c r="E27" s="17" t="str">
        <f t="shared" si="0"/>
        <v>Daisy Nelson</v>
      </c>
      <c r="F27" s="18">
        <v>100002926</v>
      </c>
      <c r="G27" s="18" t="str">
        <f t="shared" si="2"/>
        <v>10000292622</v>
      </c>
      <c r="H27" s="19">
        <v>46023</v>
      </c>
      <c r="I27" s="19">
        <v>46087</v>
      </c>
      <c r="J27" s="17" t="s">
        <v>14</v>
      </c>
      <c r="K27" s="17" t="s">
        <v>51</v>
      </c>
      <c r="L27" s="20">
        <v>28.91</v>
      </c>
      <c r="M27" s="21" t="s">
        <v>63</v>
      </c>
      <c r="N27" s="22" t="s">
        <v>67</v>
      </c>
    </row>
    <row r="28" spans="1:15" s="21" customFormat="1" x14ac:dyDescent="0.2">
      <c r="A28" s="17" t="s">
        <v>30</v>
      </c>
      <c r="B28" s="18">
        <v>17195620</v>
      </c>
      <c r="C28" s="17" t="s">
        <v>33</v>
      </c>
      <c r="D28" s="17" t="s">
        <v>13</v>
      </c>
      <c r="E28" s="17" t="str">
        <f t="shared" si="0"/>
        <v>Dolores Peterson</v>
      </c>
      <c r="F28" s="18">
        <v>100013428</v>
      </c>
      <c r="G28" s="18" t="str">
        <f t="shared" si="2"/>
        <v>10001342822</v>
      </c>
      <c r="H28" s="19">
        <v>46023</v>
      </c>
      <c r="I28" s="19">
        <v>46087</v>
      </c>
      <c r="J28" s="17" t="s">
        <v>14</v>
      </c>
      <c r="K28" s="17" t="s">
        <v>51</v>
      </c>
      <c r="L28" s="20">
        <v>28.91</v>
      </c>
      <c r="M28" s="21" t="s">
        <v>63</v>
      </c>
      <c r="N28" s="22" t="s">
        <v>67</v>
      </c>
    </row>
    <row r="29" spans="1:15" s="21" customFormat="1" x14ac:dyDescent="0.2">
      <c r="A29" s="17" t="s">
        <v>34</v>
      </c>
      <c r="B29" s="18">
        <v>15278437</v>
      </c>
      <c r="C29" s="17" t="s">
        <v>35</v>
      </c>
      <c r="D29" s="17" t="s">
        <v>36</v>
      </c>
      <c r="E29" s="17" t="str">
        <f t="shared" si="0"/>
        <v>Linda Bailey</v>
      </c>
      <c r="F29" s="18">
        <v>100559212</v>
      </c>
      <c r="G29" s="18" t="str">
        <f t="shared" si="2"/>
        <v>10055921222</v>
      </c>
      <c r="H29" s="19">
        <v>45627</v>
      </c>
      <c r="I29" s="19">
        <v>46087</v>
      </c>
      <c r="J29" s="17" t="s">
        <v>14</v>
      </c>
      <c r="K29" s="17" t="s">
        <v>51</v>
      </c>
      <c r="L29" s="20">
        <v>28.91</v>
      </c>
      <c r="M29" s="21" t="s">
        <v>63</v>
      </c>
      <c r="N29" s="22" t="s">
        <v>67</v>
      </c>
    </row>
    <row r="30" spans="1:15" s="21" customFormat="1" x14ac:dyDescent="0.2">
      <c r="A30" s="17" t="s">
        <v>37</v>
      </c>
      <c r="B30" s="18">
        <v>16202925</v>
      </c>
      <c r="C30" s="17" t="s">
        <v>38</v>
      </c>
      <c r="D30" s="17" t="s">
        <v>39</v>
      </c>
      <c r="E30" s="17" t="str">
        <f t="shared" si="0"/>
        <v>Antonio Johnson</v>
      </c>
      <c r="F30" s="18">
        <v>100050126</v>
      </c>
      <c r="G30" s="18" t="str">
        <f t="shared" si="2"/>
        <v>10005012622</v>
      </c>
      <c r="H30" s="19">
        <v>46023</v>
      </c>
      <c r="I30" s="19">
        <v>46087</v>
      </c>
      <c r="J30" s="17" t="s">
        <v>14</v>
      </c>
      <c r="K30" s="17" t="s">
        <v>51</v>
      </c>
      <c r="L30" s="20">
        <v>28.91</v>
      </c>
      <c r="M30" s="21" t="s">
        <v>63</v>
      </c>
      <c r="N30" s="22" t="s">
        <v>67</v>
      </c>
    </row>
    <row r="31" spans="1:15" s="21" customFormat="1" x14ac:dyDescent="0.2">
      <c r="A31" s="17" t="s">
        <v>37</v>
      </c>
      <c r="B31" s="18">
        <v>16202925</v>
      </c>
      <c r="C31" s="17" t="s">
        <v>40</v>
      </c>
      <c r="D31" s="17" t="s">
        <v>41</v>
      </c>
      <c r="E31" s="17" t="str">
        <f t="shared" si="0"/>
        <v>Audrey Layton</v>
      </c>
      <c r="F31" s="18">
        <v>100050552</v>
      </c>
      <c r="G31" s="18" t="str">
        <f t="shared" si="2"/>
        <v>10005055222</v>
      </c>
      <c r="H31" s="19">
        <v>46023</v>
      </c>
      <c r="I31" s="19">
        <v>46087</v>
      </c>
      <c r="J31" s="17" t="s">
        <v>14</v>
      </c>
      <c r="K31" s="17" t="s">
        <v>51</v>
      </c>
      <c r="L31" s="20">
        <v>28.91</v>
      </c>
      <c r="M31" s="21" t="s">
        <v>63</v>
      </c>
      <c r="N31" s="22" t="s">
        <v>67</v>
      </c>
    </row>
    <row r="32" spans="1:15" s="21" customFormat="1" x14ac:dyDescent="0.2">
      <c r="A32" s="17" t="s">
        <v>37</v>
      </c>
      <c r="B32" s="18">
        <v>16202925</v>
      </c>
      <c r="C32" s="17" t="s">
        <v>42</v>
      </c>
      <c r="D32" s="17" t="s">
        <v>43</v>
      </c>
      <c r="E32" s="17" t="str">
        <f t="shared" si="0"/>
        <v>James Burns Sr</v>
      </c>
      <c r="F32" s="18">
        <v>100558072</v>
      </c>
      <c r="G32" s="18" t="str">
        <f t="shared" si="2"/>
        <v>10055807222</v>
      </c>
      <c r="H32" s="19">
        <v>45597</v>
      </c>
      <c r="I32" s="19">
        <v>46087</v>
      </c>
      <c r="J32" s="17" t="s">
        <v>14</v>
      </c>
      <c r="K32" s="17" t="s">
        <v>51</v>
      </c>
      <c r="L32" s="20">
        <v>28.91</v>
      </c>
      <c r="M32" s="21" t="s">
        <v>63</v>
      </c>
      <c r="N32" s="22" t="s">
        <v>67</v>
      </c>
    </row>
    <row r="33" spans="1:15" s="21" customFormat="1" x14ac:dyDescent="0.2">
      <c r="A33" s="17" t="s">
        <v>37</v>
      </c>
      <c r="B33" s="18">
        <v>16202925</v>
      </c>
      <c r="C33" s="17" t="s">
        <v>44</v>
      </c>
      <c r="D33" s="17" t="s">
        <v>45</v>
      </c>
      <c r="E33" s="17" t="str">
        <f t="shared" si="0"/>
        <v>John Brown</v>
      </c>
      <c r="F33" s="18">
        <v>100051930</v>
      </c>
      <c r="G33" s="18" t="str">
        <f t="shared" si="2"/>
        <v>10005193022</v>
      </c>
      <c r="H33" s="19">
        <v>46023</v>
      </c>
      <c r="I33" s="19">
        <v>46087</v>
      </c>
      <c r="J33" s="17" t="s">
        <v>14</v>
      </c>
      <c r="K33" s="17" t="s">
        <v>51</v>
      </c>
      <c r="L33" s="20">
        <v>28.91</v>
      </c>
      <c r="M33" s="21" t="s">
        <v>63</v>
      </c>
      <c r="N33" s="22" t="s">
        <v>67</v>
      </c>
    </row>
    <row r="34" spans="1:15" s="21" customFormat="1" x14ac:dyDescent="0.2">
      <c r="A34" s="17" t="s">
        <v>11</v>
      </c>
      <c r="B34" s="18">
        <v>9079571</v>
      </c>
      <c r="C34" s="17" t="s">
        <v>49</v>
      </c>
      <c r="D34" s="17" t="s">
        <v>50</v>
      </c>
      <c r="E34" s="17" t="str">
        <f t="shared" si="0"/>
        <v>Rebecca Murphy</v>
      </c>
      <c r="F34" s="18">
        <v>100593572</v>
      </c>
      <c r="G34" s="18" t="str">
        <f t="shared" si="2"/>
        <v>10059357222</v>
      </c>
      <c r="H34" s="19">
        <v>46054</v>
      </c>
      <c r="I34" s="19">
        <v>46087</v>
      </c>
      <c r="J34" s="17" t="s">
        <v>14</v>
      </c>
      <c r="K34" s="17" t="s">
        <v>52</v>
      </c>
      <c r="L34" s="20">
        <v>318.08</v>
      </c>
      <c r="M34" s="21" t="s">
        <v>63</v>
      </c>
      <c r="N34" s="21" t="s">
        <v>66</v>
      </c>
      <c r="O34" s="21">
        <f>347/12*11</f>
        <v>318.08333333333337</v>
      </c>
    </row>
    <row r="35" spans="1:15" s="21" customFormat="1" x14ac:dyDescent="0.2">
      <c r="A35" s="17" t="s">
        <v>11</v>
      </c>
      <c r="B35" s="18">
        <v>9079571</v>
      </c>
      <c r="C35" s="17" t="s">
        <v>53</v>
      </c>
      <c r="D35" s="17" t="s">
        <v>54</v>
      </c>
      <c r="E35" s="17" t="str">
        <f t="shared" si="0"/>
        <v>Aisha Jackson</v>
      </c>
      <c r="F35" s="18">
        <v>100592240</v>
      </c>
      <c r="G35" s="18" t="str">
        <f t="shared" si="2"/>
        <v>10059224022</v>
      </c>
      <c r="H35" s="19">
        <v>46023</v>
      </c>
      <c r="I35" s="19">
        <v>46087</v>
      </c>
      <c r="J35" s="17" t="s">
        <v>14</v>
      </c>
      <c r="K35" s="17" t="s">
        <v>55</v>
      </c>
      <c r="L35" s="20">
        <v>347</v>
      </c>
      <c r="M35" s="21" t="s">
        <v>63</v>
      </c>
      <c r="N35" s="22" t="s">
        <v>68</v>
      </c>
    </row>
    <row r="36" spans="1:15" s="21" customFormat="1" x14ac:dyDescent="0.2">
      <c r="A36" s="17" t="s">
        <v>11</v>
      </c>
      <c r="B36" s="18">
        <v>9079571</v>
      </c>
      <c r="C36" s="17" t="s">
        <v>56</v>
      </c>
      <c r="D36" s="17" t="s">
        <v>57</v>
      </c>
      <c r="E36" s="17" t="str">
        <f t="shared" si="0"/>
        <v>Bryan Roberts</v>
      </c>
      <c r="F36" s="18">
        <v>100587728</v>
      </c>
      <c r="G36" s="18" t="str">
        <f t="shared" si="2"/>
        <v>10058772822</v>
      </c>
      <c r="H36" s="19">
        <v>46023</v>
      </c>
      <c r="I36" s="19">
        <v>46087</v>
      </c>
      <c r="J36" s="17" t="s">
        <v>14</v>
      </c>
      <c r="K36" s="17" t="s">
        <v>55</v>
      </c>
      <c r="L36" s="20">
        <v>347</v>
      </c>
      <c r="M36" s="21" t="s">
        <v>63</v>
      </c>
      <c r="N36" s="22" t="s">
        <v>68</v>
      </c>
    </row>
    <row r="37" spans="1:15" s="21" customFormat="1" x14ac:dyDescent="0.2">
      <c r="A37" s="17" t="s">
        <v>11</v>
      </c>
      <c r="B37" s="18">
        <v>9079571</v>
      </c>
      <c r="C37" s="17" t="s">
        <v>35</v>
      </c>
      <c r="D37" s="17" t="s">
        <v>57</v>
      </c>
      <c r="E37" s="17" t="str">
        <f t="shared" si="0"/>
        <v>Linda Roberts</v>
      </c>
      <c r="F37" s="18">
        <v>100587724</v>
      </c>
      <c r="G37" s="18" t="str">
        <f t="shared" si="2"/>
        <v>10058772422</v>
      </c>
      <c r="H37" s="19">
        <v>46023</v>
      </c>
      <c r="I37" s="19">
        <v>46087</v>
      </c>
      <c r="J37" s="17" t="s">
        <v>14</v>
      </c>
      <c r="K37" s="17" t="s">
        <v>55</v>
      </c>
      <c r="L37" s="20">
        <v>347</v>
      </c>
      <c r="M37" s="21" t="s">
        <v>63</v>
      </c>
      <c r="N37" s="22" t="s">
        <v>68</v>
      </c>
    </row>
    <row r="38" spans="1:15" s="21" customFormat="1" x14ac:dyDescent="0.2">
      <c r="A38" s="17" t="s">
        <v>11</v>
      </c>
      <c r="B38" s="18">
        <v>9079571</v>
      </c>
      <c r="C38" s="17" t="s">
        <v>58</v>
      </c>
      <c r="D38" s="17" t="s">
        <v>59</v>
      </c>
      <c r="E38" s="17" t="str">
        <f t="shared" si="0"/>
        <v>Ralph Dick</v>
      </c>
      <c r="F38" s="18">
        <v>100587780</v>
      </c>
      <c r="G38" s="18" t="str">
        <f t="shared" si="2"/>
        <v>10058778022</v>
      </c>
      <c r="H38" s="19">
        <v>46023</v>
      </c>
      <c r="I38" s="19">
        <v>46087</v>
      </c>
      <c r="J38" s="17" t="s">
        <v>14</v>
      </c>
      <c r="K38" s="17" t="s">
        <v>55</v>
      </c>
      <c r="L38" s="20">
        <v>347</v>
      </c>
      <c r="M38" s="21" t="s">
        <v>63</v>
      </c>
      <c r="N38" s="22" t="s">
        <v>68</v>
      </c>
    </row>
    <row r="39" spans="1:15" s="21" customFormat="1" x14ac:dyDescent="0.2">
      <c r="A39" s="17" t="s">
        <v>37</v>
      </c>
      <c r="B39" s="18">
        <v>16202925</v>
      </c>
      <c r="C39" s="17" t="s">
        <v>60</v>
      </c>
      <c r="D39" s="17" t="s">
        <v>61</v>
      </c>
      <c r="E39" s="17" t="str">
        <f t="shared" si="0"/>
        <v>Gerard Croft</v>
      </c>
      <c r="F39" s="18">
        <v>100587069</v>
      </c>
      <c r="G39" s="18" t="str">
        <f t="shared" si="2"/>
        <v>10058706922</v>
      </c>
      <c r="H39" s="19">
        <v>46023</v>
      </c>
      <c r="I39" s="19">
        <v>46087</v>
      </c>
      <c r="J39" s="17" t="s">
        <v>14</v>
      </c>
      <c r="K39" s="17" t="s">
        <v>55</v>
      </c>
      <c r="L39" s="20">
        <v>347</v>
      </c>
      <c r="M39" s="21" t="s">
        <v>63</v>
      </c>
      <c r="N39" s="22" t="s">
        <v>68</v>
      </c>
    </row>
    <row r="40" spans="1:15" s="15" customFormat="1" x14ac:dyDescent="0.2">
      <c r="A40" s="11" t="s">
        <v>11</v>
      </c>
      <c r="B40" s="12">
        <v>9079571</v>
      </c>
      <c r="C40" s="11" t="s">
        <v>46</v>
      </c>
      <c r="D40" s="11" t="s">
        <v>47</v>
      </c>
      <c r="E40" s="6" t="str">
        <f t="shared" si="0"/>
        <v>Jennifer Plummer</v>
      </c>
      <c r="F40" s="12">
        <v>100592789</v>
      </c>
      <c r="G40" s="3" t="str">
        <f>CONCATENATE(F40,33)</f>
        <v>10059278933</v>
      </c>
      <c r="H40" s="13">
        <v>46054</v>
      </c>
      <c r="I40" s="13">
        <v>46087</v>
      </c>
      <c r="J40" s="11" t="s">
        <v>14</v>
      </c>
      <c r="K40" s="11" t="s">
        <v>62</v>
      </c>
      <c r="L40" s="14">
        <v>694</v>
      </c>
      <c r="M40" s="15" t="s">
        <v>71</v>
      </c>
      <c r="N40" s="1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modified xsi:type="dcterms:W3CDTF">2026-03-10T13:36:24Z</dcterms:modified>
</cp:coreProperties>
</file>