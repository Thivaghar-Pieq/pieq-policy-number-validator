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https://mlbenefitsco-my.sharepoint.com/personal/jpatel_mlbenefitsco_com/Documents/Desktop/commissions/"/>
    </mc:Choice>
  </mc:AlternateContent>
  <xr:revisionPtr revIDLastSave="0" documentId="8_{AFDC5EFE-8B82-42A1-BEAF-5F25C8E92205}" xr6:coauthVersionLast="47" xr6:coauthVersionMax="47" xr10:uidLastSave="{00000000-0000-0000-0000-000000000000}"/>
  <workbookProtection workbookAlgorithmName="SHA-512" workbookHashValue="wHMea49A9EzsZGRU7vkcBRpAHBL5lxzKJGmkmaJz3jrG25qIt/zSkzE3hnKYoOIndTvK2ZdhFGV4wTYMkZd9sg==" workbookSaltValue="H+H6LSB99x7AwVD/N2Pq1Q==" workbookSpinCount="100000" lockStructure="1"/>
  <bookViews>
    <workbookView xWindow="-28920" yWindow="-1620" windowWidth="29040" windowHeight="15720" tabRatio="783" xr2:uid="{00000000-000D-0000-FFFF-FFFF00000000}"/>
  </bookViews>
  <sheets>
    <sheet name="Agent Commissions Calculator" sheetId="7" r:id="rId1"/>
    <sheet name="2024 Rates" sheetId="39" state="hidden" r:id="rId2"/>
  </sheets>
  <definedNames>
    <definedName name="_xlnm.Print_Area" localSheetId="0">'Agent Commissions Calculator'!$A$1:$F$24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7" l="1"/>
  <c r="D6" i="7"/>
  <c r="G13" i="7" l="1"/>
  <c r="V42" i="39" l="1"/>
  <c r="U42" i="39"/>
  <c r="V41" i="39"/>
  <c r="U41" i="39"/>
  <c r="V40" i="39"/>
  <c r="U40" i="39"/>
  <c r="V39" i="39"/>
  <c r="U39" i="39"/>
  <c r="V38" i="39"/>
  <c r="U38" i="39"/>
  <c r="V37" i="39"/>
  <c r="U37" i="39"/>
  <c r="V36" i="39"/>
  <c r="U36" i="39"/>
  <c r="V35" i="39"/>
  <c r="U35" i="39"/>
  <c r="V34" i="39"/>
  <c r="U34" i="39"/>
  <c r="V33" i="39"/>
  <c r="U33" i="39"/>
  <c r="V32" i="39"/>
  <c r="U32" i="39"/>
  <c r="V31" i="39"/>
  <c r="U31" i="39"/>
  <c r="V30" i="39"/>
  <c r="U30" i="39"/>
  <c r="V29" i="39"/>
  <c r="U29" i="39"/>
  <c r="V28" i="39"/>
  <c r="U28" i="39"/>
  <c r="V27" i="39"/>
  <c r="U27" i="39"/>
  <c r="V26" i="39"/>
  <c r="U26" i="39"/>
  <c r="V25" i="39"/>
  <c r="U25" i="39"/>
  <c r="V24" i="39"/>
  <c r="U24" i="39"/>
  <c r="V23" i="39"/>
  <c r="U23" i="39"/>
  <c r="V22" i="39"/>
  <c r="U22" i="39"/>
  <c r="V21" i="39"/>
  <c r="U21" i="39"/>
  <c r="V20" i="39"/>
  <c r="U20" i="39"/>
  <c r="V19" i="39"/>
  <c r="U19" i="39"/>
  <c r="V18" i="39"/>
  <c r="U18" i="39"/>
  <c r="V17" i="39"/>
  <c r="U17" i="39"/>
  <c r="V16" i="39"/>
  <c r="U16" i="39"/>
  <c r="V15" i="39"/>
  <c r="U15" i="39"/>
  <c r="V14" i="39"/>
  <c r="U14" i="39"/>
  <c r="V13" i="39"/>
  <c r="U13" i="39"/>
  <c r="V12" i="39"/>
  <c r="U12" i="39"/>
  <c r="V11" i="39"/>
  <c r="U11" i="39"/>
  <c r="V10" i="39"/>
  <c r="U10" i="39"/>
  <c r="V9" i="39"/>
  <c r="U9" i="39"/>
  <c r="V8" i="39"/>
  <c r="U8" i="39"/>
  <c r="V7" i="39"/>
  <c r="U7" i="39"/>
  <c r="V6" i="39"/>
  <c r="U6" i="39"/>
  <c r="V5" i="39"/>
  <c r="U5" i="39"/>
  <c r="V4" i="39"/>
  <c r="U4" i="39"/>
  <c r="D22" i="7" l="1"/>
  <c r="E22" i="7" s="1"/>
  <c r="D8" i="7" l="1"/>
  <c r="C17" i="7" l="1"/>
  <c r="D17" i="7" s="1"/>
  <c r="C14" i="7"/>
  <c r="D14" i="7" s="1"/>
  <c r="C20" i="7"/>
  <c r="C19" i="7"/>
  <c r="D19" i="7" s="1"/>
  <c r="C13" i="7"/>
  <c r="D13" i="7" s="1"/>
  <c r="C16" i="7"/>
  <c r="E13" i="7" l="1"/>
  <c r="E14" i="7"/>
  <c r="G23" i="7"/>
  <c r="E17" i="7" l="1"/>
  <c r="G20" i="7"/>
  <c r="G17" i="7"/>
  <c r="E16" i="7" l="1"/>
  <c r="D16" i="7" s="1"/>
  <c r="G22" i="7"/>
  <c r="G19" i="7" l="1"/>
  <c r="G16" i="7"/>
  <c r="E19" i="7" l="1"/>
  <c r="E20" i="7"/>
</calcChain>
</file>

<file path=xl/sharedStrings.xml><?xml version="1.0" encoding="utf-8"?>
<sst xmlns="http://schemas.openxmlformats.org/spreadsheetml/2006/main" count="141" uniqueCount="109">
  <si>
    <t>Kentucky</t>
  </si>
  <si>
    <t>Writing Agent Commissions</t>
  </si>
  <si>
    <t>Segment</t>
  </si>
  <si>
    <t>CCP</t>
  </si>
  <si>
    <t>PDP</t>
  </si>
  <si>
    <t>New Jersey</t>
  </si>
  <si>
    <t>MGA</t>
  </si>
  <si>
    <t>Writing Agent Calculator</t>
  </si>
  <si>
    <t>Step 1: Select the state for the Beneficiary</t>
  </si>
  <si>
    <t>Alabama</t>
  </si>
  <si>
    <t>Step 2: Select the effective month of the Beneficiary</t>
  </si>
  <si>
    <t>Agent</t>
  </si>
  <si>
    <t>GA</t>
  </si>
  <si>
    <t>SGA</t>
  </si>
  <si>
    <t>FMO</t>
  </si>
  <si>
    <t>State</t>
  </si>
  <si>
    <t>New to MA</t>
  </si>
  <si>
    <t>First Payment</t>
  </si>
  <si>
    <t>Arkansas</t>
  </si>
  <si>
    <t>AR</t>
  </si>
  <si>
    <t>Connecticut</t>
  </si>
  <si>
    <t>CT</t>
  </si>
  <si>
    <t>Florida</t>
  </si>
  <si>
    <t>FL</t>
  </si>
  <si>
    <t>Georgia</t>
  </si>
  <si>
    <t>Hawaii</t>
  </si>
  <si>
    <t>HI</t>
  </si>
  <si>
    <t>Illinois</t>
  </si>
  <si>
    <t>IL</t>
  </si>
  <si>
    <t>KY</t>
  </si>
  <si>
    <t>Louisiana</t>
  </si>
  <si>
    <t>LA</t>
  </si>
  <si>
    <t>Mississippi</t>
  </si>
  <si>
    <t>MS</t>
  </si>
  <si>
    <t>NJ</t>
  </si>
  <si>
    <t>North Carolina</t>
  </si>
  <si>
    <t>NC</t>
  </si>
  <si>
    <t>South Carolina</t>
  </si>
  <si>
    <t>SC</t>
  </si>
  <si>
    <t>Tennessee</t>
  </si>
  <si>
    <t>TN</t>
  </si>
  <si>
    <t>AL</t>
  </si>
  <si>
    <t>Arizona</t>
  </si>
  <si>
    <t>AZ</t>
  </si>
  <si>
    <t>New York</t>
  </si>
  <si>
    <t>NY</t>
  </si>
  <si>
    <t>Texas</t>
  </si>
  <si>
    <t>TX</t>
  </si>
  <si>
    <t>Maine</t>
  </si>
  <si>
    <t>ME</t>
  </si>
  <si>
    <t>California</t>
  </si>
  <si>
    <t>CA</t>
  </si>
  <si>
    <t>Initial Payment</t>
  </si>
  <si>
    <t>True-Up Payment</t>
  </si>
  <si>
    <t>IN</t>
  </si>
  <si>
    <t>OH</t>
  </si>
  <si>
    <t>MI</t>
  </si>
  <si>
    <t>Monthly Renewal Payment</t>
  </si>
  <si>
    <t>Total Initial Payout</t>
  </si>
  <si>
    <r>
      <rPr>
        <b/>
        <sz val="14"/>
        <color theme="1"/>
        <rFont val="Calibri"/>
        <family val="2"/>
        <scheme val="minor"/>
      </rPr>
      <t>New to Medicare/New to Wellcare</t>
    </r>
    <r>
      <rPr>
        <b/>
        <i/>
        <u/>
        <sz val="11"/>
        <color theme="1"/>
        <rFont val="Calibri"/>
        <family val="2"/>
        <scheme val="minor"/>
      </rPr>
      <t xml:space="preserve">
Prior Plan Type = NONE + Cycle Year 1 per CMS</t>
    </r>
    <r>
      <rPr>
        <u/>
        <sz val="11"/>
        <color theme="1"/>
        <rFont val="Calibri"/>
        <family val="2"/>
        <scheme val="minor"/>
      </rPr>
      <t xml:space="preserve"> 
</t>
    </r>
    <r>
      <rPr>
        <sz val="11"/>
        <color theme="1"/>
        <rFont val="Calibri"/>
        <family val="2"/>
        <scheme val="minor"/>
      </rPr>
      <t>Beneficiary is in the initial year from an "unlike" plan</t>
    </r>
  </si>
  <si>
    <t>1st Renewal Pymt</t>
  </si>
  <si>
    <t>2+ Renewal Pymt</t>
  </si>
  <si>
    <t>Ohio</t>
  </si>
  <si>
    <t>Indiana</t>
  </si>
  <si>
    <t>Michigan</t>
  </si>
  <si>
    <t>Abrev</t>
  </si>
  <si>
    <t>MO</t>
  </si>
  <si>
    <t>NH</t>
  </si>
  <si>
    <t>RI</t>
  </si>
  <si>
    <t>VT</t>
  </si>
  <si>
    <t>WA</t>
  </si>
  <si>
    <t>Missouri</t>
  </si>
  <si>
    <t>New Hampshire</t>
  </si>
  <si>
    <t>Rhode Island</t>
  </si>
  <si>
    <t>Vermont</t>
  </si>
  <si>
    <t>Washington</t>
  </si>
  <si>
    <t>Oregon</t>
  </si>
  <si>
    <t>OR</t>
  </si>
  <si>
    <t>Pennsylvania</t>
  </si>
  <si>
    <t>PA</t>
  </si>
  <si>
    <t>New Mexico</t>
  </si>
  <si>
    <t>NM</t>
  </si>
  <si>
    <t>Wisconsin</t>
  </si>
  <si>
    <t>WI</t>
  </si>
  <si>
    <t>Nevada</t>
  </si>
  <si>
    <t>NV</t>
  </si>
  <si>
    <t>Kansas</t>
  </si>
  <si>
    <t>KS</t>
  </si>
  <si>
    <t>NMO</t>
  </si>
  <si>
    <t>1st Renewal Total</t>
  </si>
  <si>
    <t>Lifetime Renewal Total</t>
  </si>
  <si>
    <t>Renewal Payment</t>
  </si>
  <si>
    <r>
      <rPr>
        <b/>
        <sz val="14"/>
        <color theme="1"/>
        <rFont val="Calibri"/>
        <family val="2"/>
        <scheme val="minor"/>
      </rPr>
      <t>Already in Medicare/New to Wellcare</t>
    </r>
    <r>
      <rPr>
        <sz val="11"/>
        <color theme="1"/>
        <rFont val="Calibri"/>
        <family val="2"/>
        <scheme val="minor"/>
      </rPr>
      <t xml:space="preserve">
</t>
    </r>
    <r>
      <rPr>
        <b/>
        <i/>
        <u/>
        <sz val="11"/>
        <color theme="1"/>
        <rFont val="Calibri"/>
        <family val="2"/>
        <scheme val="minor"/>
      </rPr>
      <t xml:space="preserve">Prior Plan Type = MA/MAPD or PDP + Cycle Year &gt;1 per CMS
</t>
    </r>
    <r>
      <rPr>
        <sz val="11"/>
        <color theme="1"/>
        <rFont val="Calibri"/>
        <family val="2"/>
        <scheme val="minor"/>
      </rPr>
      <t>Beneficiary is in the initial year from a "</t>
    </r>
    <r>
      <rPr>
        <b/>
        <sz val="11"/>
        <color theme="1"/>
        <rFont val="Calibri"/>
        <family val="2"/>
        <scheme val="minor"/>
      </rPr>
      <t>Like plan type</t>
    </r>
    <r>
      <rPr>
        <sz val="11"/>
        <color theme="1"/>
        <rFont val="Calibri"/>
        <family val="2"/>
        <scheme val="minor"/>
      </rPr>
      <t xml:space="preserve">" </t>
    </r>
  </si>
  <si>
    <r>
      <rPr>
        <b/>
        <sz val="14"/>
        <color theme="1"/>
        <rFont val="Calibri"/>
        <family val="2"/>
        <scheme val="minor"/>
      </rPr>
      <t>Already in Medicare/New to Wellcare</t>
    </r>
    <r>
      <rPr>
        <sz val="11"/>
        <color theme="1"/>
        <rFont val="Calibri"/>
        <family val="2"/>
        <scheme val="minor"/>
      </rPr>
      <t xml:space="preserve">
</t>
    </r>
    <r>
      <rPr>
        <b/>
        <i/>
        <u/>
        <sz val="11"/>
        <color theme="1"/>
        <rFont val="Calibri"/>
        <family val="2"/>
        <scheme val="minor"/>
      </rPr>
      <t xml:space="preserve">Prior Plan Type = MA/MAPD or PDP + Cycle Year 1 per CMS
</t>
    </r>
    <r>
      <rPr>
        <sz val="11"/>
        <color theme="1"/>
        <rFont val="Calibri"/>
        <family val="2"/>
        <scheme val="minor"/>
      </rPr>
      <t>Beneficiary is in the initial year from a "</t>
    </r>
    <r>
      <rPr>
        <b/>
        <sz val="11"/>
        <color theme="1"/>
        <rFont val="Calibri"/>
        <family val="2"/>
        <scheme val="minor"/>
      </rPr>
      <t>Like plan type</t>
    </r>
    <r>
      <rPr>
        <sz val="11"/>
        <color theme="1"/>
        <rFont val="Calibri"/>
        <family val="2"/>
        <scheme val="minor"/>
      </rPr>
      <t>"</t>
    </r>
  </si>
  <si>
    <t>District of Columbia</t>
  </si>
  <si>
    <t>DC</t>
  </si>
  <si>
    <r>
      <rPr>
        <b/>
        <sz val="14"/>
        <color theme="1"/>
        <rFont val="Calibri"/>
        <family val="2"/>
        <scheme val="minor"/>
      </rPr>
      <t>Already in Medicare/Already in Wellcare</t>
    </r>
    <r>
      <rPr>
        <sz val="11"/>
        <color theme="1"/>
        <rFont val="Calibri"/>
        <family val="2"/>
        <scheme val="minor"/>
      </rPr>
      <t xml:space="preserve"> 
</t>
    </r>
    <r>
      <rPr>
        <b/>
        <i/>
        <u/>
        <sz val="11"/>
        <color theme="1"/>
        <rFont val="Calibri"/>
        <family val="2"/>
        <scheme val="minor"/>
      </rPr>
      <t>Prior Plan Type = plan transfer</t>
    </r>
    <r>
      <rPr>
        <u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Beneficiary is changing  from one MA plan to another plan where Original Effective Date is prior to 2023.</t>
    </r>
  </si>
  <si>
    <t>Broker Level</t>
  </si>
  <si>
    <t xml:space="preserve"> </t>
  </si>
  <si>
    <t>2024 Agent Commission Calculator</t>
  </si>
  <si>
    <t>Delaware</t>
  </si>
  <si>
    <t>DE</t>
  </si>
  <si>
    <t>Massachusetts</t>
  </si>
  <si>
    <t>MA</t>
  </si>
  <si>
    <t>Nebraska</t>
  </si>
  <si>
    <t>NE</t>
  </si>
  <si>
    <t>Oklahoma</t>
  </si>
  <si>
    <t>OK</t>
  </si>
  <si>
    <t>June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</si>
</sst>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i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FFFFCC"/>
      <name val="Calibri"/>
      <family val="2"/>
      <scheme val="minor"/>
    </font>
    <font>
      <b/>
      <sz val="18"/>
      <name val="Arial"/>
      <family val="2"/>
    </font>
    <font>
      <b/>
      <i/>
      <sz val="12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22"/>
      <name val="Calibri"/>
      <family val="2"/>
    </font>
    <font>
      <b/>
      <i/>
      <sz val="12"/>
      <color theme="1"/>
      <name val="Calibri"/>
      <family val="2"/>
    </font>
    <font>
      <b/>
      <i/>
      <sz val="12"/>
      <name val="Calibri"/>
      <family val="2"/>
    </font>
    <font>
      <b/>
      <i/>
      <sz val="12"/>
      <color rgb="FFFF0000"/>
      <name val="Calibri"/>
      <family val="2"/>
    </font>
    <font>
      <b/>
      <i/>
      <sz val="14"/>
      <color theme="1"/>
      <name val="Calibri"/>
      <family val="2"/>
    </font>
    <font>
      <b/>
      <sz val="16"/>
      <color theme="0"/>
      <name val="Calibri"/>
      <family val="2"/>
    </font>
    <font>
      <b/>
      <sz val="16"/>
      <color theme="0"/>
      <name val="Calibri"/>
      <family val="2"/>
      <scheme val="minor"/>
    </font>
    <font>
      <b/>
      <sz val="16"/>
      <color theme="4"/>
      <name val="Calibri"/>
      <family val="2"/>
    </font>
    <font>
      <b/>
      <sz val="16"/>
      <color theme="4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A0A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BF7F8"/>
        <bgColor indexed="64"/>
      </patternFill>
    </fill>
    <fill>
      <patternFill patternType="solid">
        <fgColor rgb="FFCCECED"/>
        <bgColor indexed="64"/>
      </patternFill>
    </fill>
  </fills>
  <borders count="2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91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0" fillId="2" borderId="0" xfId="0" applyFill="1"/>
    <xf numFmtId="0" fontId="0" fillId="2" borderId="0" xfId="0" applyFill="1" applyAlignment="1">
      <alignment horizontal="center"/>
    </xf>
    <xf numFmtId="44" fontId="0" fillId="2" borderId="0" xfId="1" applyFont="1" applyFill="1" applyAlignment="1">
      <alignment horizontal="center"/>
    </xf>
    <xf numFmtId="0" fontId="4" fillId="2" borderId="0" xfId="0" applyFont="1" applyFill="1"/>
    <xf numFmtId="0" fontId="0" fillId="2" borderId="2" xfId="0" applyFill="1" applyBorder="1"/>
    <xf numFmtId="0" fontId="4" fillId="2" borderId="0" xfId="0" applyFont="1" applyFill="1" applyAlignment="1">
      <alignment vertical="top"/>
    </xf>
    <xf numFmtId="0" fontId="8" fillId="2" borderId="0" xfId="0" applyFont="1" applyFill="1"/>
    <xf numFmtId="0" fontId="8" fillId="2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1" applyNumberFormat="1" applyFont="1" applyAlignment="1">
      <alignment horizontal="center"/>
    </xf>
    <xf numFmtId="0" fontId="10" fillId="2" borderId="0" xfId="0" applyFont="1" applyFill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5" fillId="2" borderId="2" xfId="0" applyFont="1" applyFill="1" applyBorder="1"/>
    <xf numFmtId="0" fontId="0" fillId="2" borderId="16" xfId="0" applyFill="1" applyBorder="1"/>
    <xf numFmtId="0" fontId="5" fillId="2" borderId="14" xfId="0" applyFont="1" applyFill="1" applyBorder="1"/>
    <xf numFmtId="0" fontId="10" fillId="2" borderId="18" xfId="0" applyFont="1" applyFill="1" applyBorder="1"/>
    <xf numFmtId="0" fontId="0" fillId="2" borderId="17" xfId="0" applyFill="1" applyBorder="1"/>
    <xf numFmtId="0" fontId="5" fillId="2" borderId="18" xfId="0" applyFont="1" applyFill="1" applyBorder="1"/>
    <xf numFmtId="0" fontId="4" fillId="2" borderId="8" xfId="0" applyFont="1" applyFill="1" applyBorder="1"/>
    <xf numFmtId="0" fontId="4" fillId="2" borderId="7" xfId="0" applyFont="1" applyFill="1" applyBorder="1" applyAlignment="1">
      <alignment vertical="top"/>
    </xf>
    <xf numFmtId="0" fontId="4" fillId="2" borderId="7" xfId="0" applyFont="1" applyFill="1" applyBorder="1" applyAlignment="1">
      <alignment horizontal="center"/>
    </xf>
    <xf numFmtId="0" fontId="10" fillId="2" borderId="7" xfId="0" applyFont="1" applyFill="1" applyBorder="1"/>
    <xf numFmtId="0" fontId="10" fillId="2" borderId="19" xfId="0" applyFont="1" applyFill="1" applyBorder="1"/>
    <xf numFmtId="0" fontId="5" fillId="2" borderId="17" xfId="0" applyFont="1" applyFill="1" applyBorder="1"/>
    <xf numFmtId="44" fontId="0" fillId="0" borderId="0" xfId="1" applyFont="1" applyAlignment="1">
      <alignment horizontal="center" wrapText="1"/>
    </xf>
    <xf numFmtId="44" fontId="0" fillId="0" borderId="0" xfId="0" applyNumberFormat="1"/>
    <xf numFmtId="44" fontId="12" fillId="0" borderId="0" xfId="1" applyFont="1"/>
    <xf numFmtId="0" fontId="9" fillId="2" borderId="0" xfId="2" applyFont="1" applyFill="1"/>
    <xf numFmtId="44" fontId="0" fillId="0" borderId="0" xfId="1" applyFont="1" applyAlignment="1">
      <alignment horizontal="center"/>
    </xf>
    <xf numFmtId="0" fontId="13" fillId="0" borderId="0" xfId="0" applyFont="1"/>
    <xf numFmtId="44" fontId="13" fillId="0" borderId="0" xfId="1" applyFont="1" applyFill="1"/>
    <xf numFmtId="44" fontId="13" fillId="0" borderId="0" xfId="1" applyFont="1" applyFill="1" applyAlignment="1">
      <alignment horizontal="center"/>
    </xf>
    <xf numFmtId="44" fontId="13" fillId="0" borderId="0" xfId="1" applyFont="1"/>
    <xf numFmtId="0" fontId="0" fillId="2" borderId="0" xfId="0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/>
    <xf numFmtId="44" fontId="14" fillId="0" borderId="0" xfId="1" applyFont="1" applyFill="1" applyAlignment="1">
      <alignment horizontal="center"/>
    </xf>
    <xf numFmtId="44" fontId="14" fillId="0" borderId="0" xfId="1" applyFont="1" applyFill="1"/>
    <xf numFmtId="44" fontId="14" fillId="0" borderId="0" xfId="1" applyFont="1"/>
    <xf numFmtId="44" fontId="14" fillId="0" borderId="0" xfId="0" applyNumberFormat="1" applyFont="1"/>
    <xf numFmtId="0" fontId="12" fillId="2" borderId="0" xfId="0" applyFont="1" applyFill="1" applyAlignment="1">
      <alignment horizontal="center" vertical="center"/>
    </xf>
    <xf numFmtId="0" fontId="15" fillId="2" borderId="0" xfId="2" applyFont="1" applyFill="1"/>
    <xf numFmtId="0" fontId="16" fillId="2" borderId="17" xfId="0" applyFont="1" applyFill="1" applyBorder="1"/>
    <xf numFmtId="0" fontId="17" fillId="2" borderId="0" xfId="0" applyFont="1" applyFill="1" applyAlignment="1">
      <alignment horizontal="center"/>
    </xf>
    <xf numFmtId="0" fontId="18" fillId="2" borderId="0" xfId="0" applyFont="1" applyFill="1" applyAlignment="1">
      <alignment horizontal="center"/>
    </xf>
    <xf numFmtId="44" fontId="0" fillId="4" borderId="0" xfId="1" applyFont="1" applyFill="1" applyAlignment="1">
      <alignment horizontal="center"/>
    </xf>
    <xf numFmtId="44" fontId="0" fillId="5" borderId="0" xfId="1" applyFont="1" applyFill="1" applyAlignment="1">
      <alignment horizontal="center"/>
    </xf>
    <xf numFmtId="44" fontId="13" fillId="4" borderId="0" xfId="1" applyFont="1" applyFill="1"/>
    <xf numFmtId="0" fontId="19" fillId="6" borderId="1" xfId="0" applyFont="1" applyFill="1" applyBorder="1" applyAlignment="1">
      <alignment horizontal="center"/>
    </xf>
    <xf numFmtId="0" fontId="0" fillId="2" borderId="0" xfId="0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164" fontId="2" fillId="2" borderId="0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164" fontId="2" fillId="2" borderId="0" xfId="0" applyNumberFormat="1" applyFont="1" applyFill="1" applyAlignment="1">
      <alignment horizontal="center" vertical="center"/>
    </xf>
    <xf numFmtId="0" fontId="21" fillId="3" borderId="1" xfId="0" applyFont="1" applyFill="1" applyBorder="1" applyAlignment="1">
      <alignment horizontal="center"/>
    </xf>
    <xf numFmtId="164" fontId="5" fillId="2" borderId="0" xfId="0" applyNumberFormat="1" applyFont="1" applyFill="1"/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2" fillId="7" borderId="10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/>
    </xf>
    <xf numFmtId="0" fontId="2" fillId="7" borderId="6" xfId="0" applyFont="1" applyFill="1" applyBorder="1" applyAlignment="1">
      <alignment horizontal="center" wrapText="1"/>
    </xf>
    <xf numFmtId="0" fontId="2" fillId="7" borderId="4" xfId="0" applyFont="1" applyFill="1" applyBorder="1" applyAlignment="1">
      <alignment horizontal="center" wrapText="1"/>
    </xf>
    <xf numFmtId="0" fontId="2" fillId="7" borderId="1" xfId="0" applyFont="1" applyFill="1" applyBorder="1" applyAlignment="1">
      <alignment horizontal="center" wrapText="1"/>
    </xf>
    <xf numFmtId="0" fontId="2" fillId="8" borderId="20" xfId="0" applyFont="1" applyFill="1" applyBorder="1" applyAlignment="1">
      <alignment horizontal="center" vertical="center"/>
    </xf>
    <xf numFmtId="164" fontId="2" fillId="8" borderId="20" xfId="1" applyNumberFormat="1" applyFont="1" applyFill="1" applyBorder="1" applyAlignment="1">
      <alignment horizontal="center" vertical="center"/>
    </xf>
    <xf numFmtId="0" fontId="2" fillId="8" borderId="5" xfId="0" applyFont="1" applyFill="1" applyBorder="1" applyAlignment="1">
      <alignment horizontal="center" vertical="center"/>
    </xf>
    <xf numFmtId="164" fontId="2" fillId="8" borderId="5" xfId="1" applyNumberFormat="1" applyFont="1" applyFill="1" applyBorder="1" applyAlignment="1">
      <alignment horizontal="center" vertical="center"/>
    </xf>
    <xf numFmtId="164" fontId="2" fillId="8" borderId="22" xfId="1" applyNumberFormat="1" applyFont="1" applyFill="1" applyBorder="1" applyAlignment="1">
      <alignment horizontal="center" vertical="center"/>
    </xf>
    <xf numFmtId="164" fontId="2" fillId="8" borderId="23" xfId="1" applyNumberFormat="1" applyFont="1" applyFill="1" applyBorder="1" applyAlignment="1">
      <alignment horizontal="center" vertical="center"/>
    </xf>
    <xf numFmtId="164" fontId="2" fillId="8" borderId="24" xfId="1" applyNumberFormat="1" applyFont="1" applyFill="1" applyBorder="1" applyAlignment="1">
      <alignment horizontal="center" vertical="center"/>
    </xf>
    <xf numFmtId="164" fontId="2" fillId="8" borderId="21" xfId="1" applyNumberFormat="1" applyFont="1" applyFill="1" applyBorder="1" applyAlignment="1">
      <alignment horizontal="center" vertical="center"/>
    </xf>
    <xf numFmtId="164" fontId="2" fillId="8" borderId="3" xfId="1" applyNumberFormat="1" applyFont="1" applyFill="1" applyBorder="1" applyAlignment="1">
      <alignment horizontal="center" vertical="center"/>
    </xf>
    <xf numFmtId="164" fontId="2" fillId="8" borderId="5" xfId="0" applyNumberFormat="1" applyFont="1" applyFill="1" applyBorder="1" applyAlignment="1">
      <alignment horizontal="center" vertical="center"/>
    </xf>
    <xf numFmtId="164" fontId="2" fillId="8" borderId="25" xfId="1" applyNumberFormat="1" applyFont="1" applyFill="1" applyBorder="1" applyAlignment="1">
      <alignment horizontal="center" vertical="center"/>
    </xf>
    <xf numFmtId="0" fontId="0" fillId="8" borderId="15" xfId="0" applyFill="1" applyBorder="1" applyAlignment="1">
      <alignment horizontal="left" vertical="center" wrapText="1"/>
    </xf>
    <xf numFmtId="0" fontId="0" fillId="8" borderId="9" xfId="0" applyFill="1" applyBorder="1" applyAlignment="1">
      <alignment horizontal="left" vertical="center" wrapText="1"/>
    </xf>
    <xf numFmtId="0" fontId="22" fillId="3" borderId="11" xfId="0" applyFont="1" applyFill="1" applyBorder="1" applyAlignment="1">
      <alignment horizontal="center" vertical="center" wrapText="1"/>
    </xf>
    <xf numFmtId="0" fontId="23" fillId="3" borderId="12" xfId="0" applyFont="1" applyFill="1" applyBorder="1" applyAlignment="1">
      <alignment horizontal="center" vertical="center" wrapText="1"/>
    </xf>
    <xf numFmtId="0" fontId="23" fillId="3" borderId="13" xfId="0" applyFont="1" applyFill="1" applyBorder="1" applyAlignment="1">
      <alignment horizontal="center" vertical="center" wrapText="1"/>
    </xf>
    <xf numFmtId="0" fontId="20" fillId="3" borderId="11" xfId="0" applyFont="1" applyFill="1" applyBorder="1" applyAlignment="1">
      <alignment horizontal="center" vertical="center" wrapText="1"/>
    </xf>
    <xf numFmtId="0" fontId="20" fillId="3" borderId="12" xfId="0" applyFont="1" applyFill="1" applyBorder="1" applyAlignment="1">
      <alignment horizontal="center" vertical="center" wrapText="1"/>
    </xf>
    <xf numFmtId="0" fontId="20" fillId="3" borderId="13" xfId="0" applyFont="1" applyFill="1" applyBorder="1" applyAlignment="1">
      <alignment horizontal="center" vertical="center" wrapText="1"/>
    </xf>
    <xf numFmtId="0" fontId="19" fillId="6" borderId="11" xfId="0" applyFont="1" applyFill="1" applyBorder="1" applyAlignment="1">
      <alignment horizontal="center"/>
    </xf>
    <xf numFmtId="0" fontId="19" fillId="6" borderId="13" xfId="0" applyFont="1" applyFill="1" applyBorder="1" applyAlignment="1">
      <alignment horizontal="center"/>
    </xf>
    <xf numFmtId="44" fontId="0" fillId="4" borderId="0" xfId="1" applyFont="1" applyFill="1" applyAlignment="1">
      <alignment horizontal="center"/>
    </xf>
  </cellXfs>
  <cellStyles count="6">
    <cellStyle name="Comma 2" xfId="3" xr:uid="{00000000-0005-0000-0000-000000000000}"/>
    <cellStyle name="Currency" xfId="1" builtinId="4"/>
    <cellStyle name="Currency 2" xfId="4" xr:uid="{00000000-0005-0000-0000-000002000000}"/>
    <cellStyle name="Normal" xfId="0" builtinId="0"/>
    <cellStyle name="Normal 2" xfId="2" xr:uid="{00000000-0005-0000-0000-000004000000}"/>
    <cellStyle name="Percent 2" xfId="5" xr:uid="{00000000-0005-0000-0000-000005000000}"/>
  </cellStyles>
  <dxfs count="0"/>
  <tableStyles count="0" defaultTableStyle="TableStyleMedium2" defaultPivotStyle="PivotStyleLight16"/>
  <colors>
    <mruColors>
      <color rgb="FFCCECED"/>
      <color rgb="FFEBF7F8"/>
      <color rgb="FFDDDDDD"/>
      <color rgb="FF6E6E6E"/>
      <color rgb="FF00A0A3"/>
      <color rgb="FFFFFFCC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525517</xdr:colOff>
      <xdr:row>3</xdr:row>
      <xdr:rowOff>0</xdr:rowOff>
    </xdr:from>
    <xdr:to>
      <xdr:col>10</xdr:col>
      <xdr:colOff>412908</xdr:colOff>
      <xdr:row>8</xdr:row>
      <xdr:rowOff>68038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260FFDB-AFB3-FC45-A72A-EC9FE1D41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981293" y="864914"/>
          <a:ext cx="1334469" cy="131423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Wellcare Web">
      <a:dk1>
        <a:sysClr val="windowText" lastClr="000000"/>
      </a:dk1>
      <a:lt1>
        <a:sysClr val="window" lastClr="FFFFFF"/>
      </a:lt1>
      <a:dk2>
        <a:srgbClr val="333333"/>
      </a:dk2>
      <a:lt2>
        <a:srgbClr val="E7E6E6"/>
      </a:lt2>
      <a:accent1>
        <a:srgbClr val="00A0A3"/>
      </a:accent1>
      <a:accent2>
        <a:srgbClr val="00CFD0"/>
      </a:accent2>
      <a:accent3>
        <a:srgbClr val="262761"/>
      </a:accent3>
      <a:accent4>
        <a:srgbClr val="DDDDDD"/>
      </a:accent4>
      <a:accent5>
        <a:srgbClr val="CB177D"/>
      </a:accent5>
      <a:accent6>
        <a:srgbClr val="F58220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6" tint="0.59999389629810485"/>
    <pageSetUpPr fitToPage="1"/>
  </sheetPr>
  <dimension ref="A1:LG196"/>
  <sheetViews>
    <sheetView tabSelected="1" zoomScale="80" zoomScaleNormal="80" workbookViewId="0">
      <selection activeCell="A8" sqref="A8"/>
    </sheetView>
  </sheetViews>
  <sheetFormatPr defaultColWidth="9.28515625" defaultRowHeight="15" x14ac:dyDescent="0.25"/>
  <cols>
    <col min="1" max="1" width="52.7109375" customWidth="1"/>
    <col min="2" max="2" width="8.42578125" customWidth="1"/>
    <col min="3" max="3" width="15.7109375" customWidth="1"/>
    <col min="4" max="5" width="9.28515625" customWidth="1"/>
    <col min="6" max="6" width="3.42578125" style="3" customWidth="1"/>
    <col min="7" max="7" width="17.85546875" style="14" customWidth="1"/>
    <col min="8" max="8" width="3.42578125" style="14" customWidth="1"/>
    <col min="9" max="9" width="10.28515625" style="14" customWidth="1"/>
    <col min="10" max="13" width="11.28515625" style="14" customWidth="1"/>
    <col min="14" max="15" width="12.7109375" style="14" customWidth="1"/>
    <col min="16" max="16" width="3.42578125" style="14" customWidth="1"/>
    <col min="17" max="21" width="14.7109375" style="14" customWidth="1"/>
    <col min="22" max="23" width="16.42578125" style="3" customWidth="1"/>
    <col min="24" max="319" width="9.28515625" style="3"/>
  </cols>
  <sheetData>
    <row r="1" spans="1:319" s="3" customFormat="1" ht="28.5" x14ac:dyDescent="0.45">
      <c r="A1" s="47" t="s">
        <v>99</v>
      </c>
      <c r="B1" s="31"/>
      <c r="C1" s="31"/>
      <c r="D1" s="31"/>
      <c r="E1" s="31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319" s="3" customFormat="1" ht="23.25" customHeight="1" x14ac:dyDescent="0.35">
      <c r="A2" s="31"/>
      <c r="B2" s="31"/>
      <c r="C2" s="31"/>
      <c r="D2" s="31"/>
      <c r="E2" s="31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3" spans="1:319" s="3" customFormat="1" ht="16.5" customHeight="1" thickBot="1" x14ac:dyDescent="0.4">
      <c r="A3" s="31"/>
      <c r="B3" s="31"/>
      <c r="C3" s="31"/>
      <c r="D3" s="31"/>
      <c r="E3" s="31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</row>
    <row r="4" spans="1:319" s="3" customFormat="1" ht="24" customHeight="1" thickBot="1" x14ac:dyDescent="0.3">
      <c r="A4" s="82" t="s">
        <v>7</v>
      </c>
      <c r="B4" s="83"/>
      <c r="C4" s="83"/>
      <c r="D4" s="83"/>
      <c r="E4" s="83"/>
      <c r="F4" s="83"/>
      <c r="G4" s="8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</row>
    <row r="5" spans="1:319" s="3" customFormat="1" ht="18.75" customHeight="1" thickBot="1" x14ac:dyDescent="0.3">
      <c r="A5" s="17"/>
      <c r="B5" s="7"/>
      <c r="C5" s="7"/>
      <c r="D5" s="16"/>
      <c r="E5" s="16"/>
      <c r="F5" s="16"/>
      <c r="G5" s="18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</row>
    <row r="6" spans="1:319" s="6" customFormat="1" ht="18.75" customHeight="1" thickBot="1" x14ac:dyDescent="0.35">
      <c r="A6" s="48" t="s">
        <v>8</v>
      </c>
      <c r="B6" s="88" t="s">
        <v>4</v>
      </c>
      <c r="C6" s="89"/>
      <c r="D6" s="50" t="str">
        <f>VLOOKUP(B6,'2024 Rates'!$A$4:$B$42,2,FALSE)</f>
        <v>PDP</v>
      </c>
      <c r="E6" s="13"/>
      <c r="F6" s="13"/>
      <c r="G6" s="19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</row>
    <row r="7" spans="1:319" s="3" customFormat="1" ht="16.5" thickBot="1" x14ac:dyDescent="0.3">
      <c r="A7" s="20"/>
      <c r="B7" s="8"/>
      <c r="C7" s="4"/>
      <c r="D7" s="14"/>
      <c r="E7" s="14"/>
      <c r="F7" s="14"/>
      <c r="G7" s="21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</row>
    <row r="8" spans="1:319" s="6" customFormat="1" ht="19.5" thickBot="1" x14ac:dyDescent="0.35">
      <c r="A8" s="48" t="s">
        <v>10</v>
      </c>
      <c r="B8" s="8"/>
      <c r="C8" s="54" t="s">
        <v>108</v>
      </c>
      <c r="D8" s="49">
        <f>IF(C8="December",1,IF(C8="November",2,IF(C8="October",3,IF(C8="September",4,IF(C8="August",5,IF(C8="July",6,IF(C8="June",7,IF(C8="May",8,IF(C8="April",9,IF(C8="March",10,IF(C8="February",11,12)))))))))))</f>
        <v>7</v>
      </c>
      <c r="E8" s="13"/>
      <c r="F8" s="13"/>
      <c r="G8" s="19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</row>
    <row r="9" spans="1:319" s="6" customFormat="1" ht="16.5" thickBot="1" x14ac:dyDescent="0.3">
      <c r="A9" s="22"/>
      <c r="B9" s="23"/>
      <c r="C9" s="24"/>
      <c r="D9" s="25"/>
      <c r="E9" s="25"/>
      <c r="F9" s="25"/>
      <c r="G9" s="26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</row>
    <row r="10" spans="1:319" s="14" customFormat="1" ht="10.5" customHeight="1" thickBot="1" x14ac:dyDescent="0.3">
      <c r="A10" s="27"/>
      <c r="C10" s="15"/>
    </row>
    <row r="11" spans="1:319" s="3" customFormat="1" ht="24" customHeight="1" thickBot="1" x14ac:dyDescent="0.4">
      <c r="A11" s="85" t="s">
        <v>1</v>
      </c>
      <c r="B11" s="86"/>
      <c r="C11" s="86"/>
      <c r="D11" s="86"/>
      <c r="E11" s="87"/>
      <c r="F11" s="4"/>
      <c r="G11" s="60" t="s">
        <v>97</v>
      </c>
      <c r="H11" s="14"/>
      <c r="I11" s="9"/>
      <c r="J11" s="9"/>
      <c r="K11" s="9"/>
      <c r="L11" s="9"/>
      <c r="M11" s="9"/>
      <c r="N11" s="9"/>
      <c r="O11" s="9"/>
    </row>
    <row r="12" spans="1:319" ht="51.4" customHeight="1" thickBot="1" x14ac:dyDescent="0.3">
      <c r="A12" s="64"/>
      <c r="B12" s="65" t="s">
        <v>2</v>
      </c>
      <c r="C12" s="66" t="s">
        <v>52</v>
      </c>
      <c r="D12" s="66" t="s">
        <v>53</v>
      </c>
      <c r="E12" s="67" t="s">
        <v>58</v>
      </c>
      <c r="F12" s="4"/>
      <c r="G12" s="68" t="s">
        <v>57</v>
      </c>
      <c r="I12" s="9"/>
      <c r="J12" s="9"/>
      <c r="K12" s="9"/>
      <c r="L12" s="9"/>
      <c r="M12" s="9"/>
      <c r="N12" s="9"/>
      <c r="O12" s="9"/>
      <c r="P12" s="3"/>
      <c r="Q12" s="3"/>
      <c r="R12" s="3"/>
      <c r="S12" s="3"/>
      <c r="T12" s="3"/>
      <c r="U12" s="3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</row>
    <row r="13" spans="1:319" s="40" customFormat="1" ht="29.25" customHeight="1" x14ac:dyDescent="0.25">
      <c r="A13" s="80" t="s">
        <v>59</v>
      </c>
      <c r="B13" s="69" t="s">
        <v>3</v>
      </c>
      <c r="C13" s="70">
        <f>IF(D6="PDP",0,((VLOOKUP($D$6,'2024 Rates'!$B$4:$J$42,3,FALSE)/12)*$D$8))</f>
        <v>0</v>
      </c>
      <c r="D13" s="70">
        <f>IF(D6="PDP",0,((VLOOKUP($D$6,'2024 Rates'!$B$4:$J$42,2,FALSE)-C13)))</f>
        <v>0</v>
      </c>
      <c r="E13" s="70">
        <f>SUM(C13:D13)</f>
        <v>0</v>
      </c>
      <c r="G13" s="74">
        <f>IF(D6="PDP",0,((VLOOKUP($D$6,'2024 Rates'!$B$4:$J$42,3,FALSE)/12)))</f>
        <v>0</v>
      </c>
      <c r="H13" s="62"/>
      <c r="I13" s="39"/>
      <c r="J13" s="46"/>
      <c r="K13" s="39"/>
      <c r="L13" s="39"/>
      <c r="M13" s="39"/>
      <c r="N13" s="39"/>
      <c r="O13" s="39"/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37"/>
      <c r="AH13" s="37"/>
      <c r="AI13" s="37"/>
      <c r="AJ13" s="37"/>
      <c r="AK13" s="37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7"/>
      <c r="AZ13" s="37"/>
      <c r="BA13" s="37"/>
      <c r="BB13" s="37"/>
      <c r="BC13" s="37"/>
      <c r="BD13" s="37"/>
      <c r="BE13" s="37"/>
      <c r="BF13" s="37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7"/>
      <c r="BU13" s="37"/>
      <c r="BV13" s="37"/>
      <c r="BW13" s="37"/>
      <c r="BX13" s="37"/>
      <c r="BY13" s="37"/>
      <c r="BZ13" s="37"/>
      <c r="CA13" s="37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7"/>
      <c r="CP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7"/>
      <c r="DK13" s="37"/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37"/>
      <c r="EB13" s="37"/>
      <c r="EC13" s="37"/>
      <c r="ED13" s="37"/>
      <c r="EE13" s="37"/>
      <c r="EF13" s="37"/>
      <c r="EG13" s="37"/>
      <c r="EH13" s="37"/>
      <c r="EI13" s="37"/>
      <c r="EJ13" s="37"/>
      <c r="EK13" s="37"/>
      <c r="EL13" s="37"/>
      <c r="EM13" s="37"/>
      <c r="EN13" s="37"/>
      <c r="EO13" s="37"/>
      <c r="EP13" s="37"/>
      <c r="EQ13" s="37"/>
      <c r="ER13" s="37"/>
      <c r="ES13" s="37"/>
      <c r="ET13" s="37"/>
      <c r="EU13" s="37"/>
      <c r="EV13" s="37"/>
      <c r="EW13" s="37"/>
      <c r="EX13" s="37"/>
      <c r="EY13" s="37"/>
      <c r="EZ13" s="37"/>
      <c r="FA13" s="37"/>
      <c r="FB13" s="37"/>
      <c r="FC13" s="37"/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37"/>
      <c r="FT13" s="37"/>
      <c r="FU13" s="37"/>
      <c r="FV13" s="37"/>
      <c r="FW13" s="37"/>
      <c r="FX13" s="37"/>
      <c r="FY13" s="37"/>
      <c r="FZ13" s="37"/>
      <c r="GA13" s="37"/>
      <c r="GB13" s="37"/>
      <c r="GC13" s="37"/>
      <c r="GD13" s="37"/>
      <c r="GE13" s="37"/>
      <c r="GF13" s="37"/>
      <c r="GG13" s="37"/>
      <c r="GH13" s="37"/>
      <c r="GI13" s="37"/>
      <c r="GJ13" s="37"/>
      <c r="GK13" s="37"/>
      <c r="GL13" s="37"/>
      <c r="GM13" s="37"/>
      <c r="GN13" s="37"/>
      <c r="GO13" s="37"/>
      <c r="GP13" s="37"/>
      <c r="GQ13" s="37"/>
      <c r="GR13" s="37"/>
      <c r="GS13" s="37"/>
      <c r="GT13" s="37"/>
      <c r="GU13" s="37"/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37"/>
      <c r="HL13" s="37"/>
      <c r="HM13" s="37"/>
      <c r="HN13" s="37"/>
      <c r="HO13" s="37"/>
      <c r="HP13" s="37"/>
      <c r="HQ13" s="37"/>
      <c r="HR13" s="37"/>
      <c r="HS13" s="37"/>
      <c r="HT13" s="37"/>
      <c r="HU13" s="37"/>
      <c r="HV13" s="37"/>
      <c r="HW13" s="37"/>
      <c r="HX13" s="37"/>
      <c r="HY13" s="37"/>
      <c r="HZ13" s="37"/>
      <c r="IA13" s="37"/>
      <c r="IB13" s="37"/>
      <c r="IC13" s="37"/>
      <c r="ID13" s="37"/>
      <c r="IE13" s="37"/>
      <c r="IF13" s="37"/>
      <c r="IG13" s="37"/>
      <c r="IH13" s="37"/>
      <c r="II13" s="37"/>
      <c r="IJ13" s="37"/>
      <c r="IK13" s="37"/>
      <c r="IL13" s="37"/>
      <c r="IM13" s="37"/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37"/>
      <c r="JD13" s="37"/>
      <c r="JE13" s="37"/>
      <c r="JF13" s="37"/>
      <c r="JG13" s="37"/>
      <c r="JH13" s="37"/>
      <c r="JI13" s="37"/>
      <c r="JJ13" s="37"/>
      <c r="JK13" s="37"/>
      <c r="JL13" s="37"/>
      <c r="JM13" s="37"/>
      <c r="JN13" s="37"/>
      <c r="JO13" s="37"/>
      <c r="JP13" s="37"/>
      <c r="JQ13" s="37"/>
      <c r="JR13" s="37"/>
      <c r="JS13" s="37"/>
      <c r="JT13" s="37"/>
      <c r="JU13" s="37"/>
      <c r="JV13" s="37"/>
      <c r="JW13" s="37"/>
      <c r="JX13" s="37"/>
      <c r="JY13" s="37"/>
      <c r="JZ13" s="37"/>
      <c r="KA13" s="37"/>
      <c r="KB13" s="37"/>
      <c r="KC13" s="37"/>
      <c r="KD13" s="37"/>
      <c r="KE13" s="37"/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</row>
    <row r="14" spans="1:319" s="40" customFormat="1" ht="29.25" customHeight="1" thickBot="1" x14ac:dyDescent="0.3">
      <c r="A14" s="81"/>
      <c r="B14" s="71" t="s">
        <v>4</v>
      </c>
      <c r="C14" s="72">
        <f>(VLOOKUP("PDP",'2024 Rates'!$B$4:$J$42,3,FALSE)/12)*$D$8</f>
        <v>29.166666666666668</v>
      </c>
      <c r="D14" s="73">
        <f>(VLOOKUP("PDP",'2024 Rates'!$B$4:$J$42,2,FALSE)-C14)</f>
        <v>70.833333333333329</v>
      </c>
      <c r="E14" s="73">
        <f>SUM(C14:D14)</f>
        <v>100</v>
      </c>
      <c r="F14" s="37"/>
      <c r="G14" s="75">
        <f>(VLOOKUP("PDP",'2024 Rates'!$B$4:$J$42,3,FALSE)/12)</f>
        <v>4.166666666666667</v>
      </c>
      <c r="H14" s="38"/>
      <c r="I14" s="46"/>
      <c r="J14" s="39"/>
      <c r="K14" s="39"/>
      <c r="L14" s="39"/>
      <c r="M14" s="39"/>
      <c r="N14" s="39"/>
      <c r="O14" s="39"/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37"/>
      <c r="AH14" s="37"/>
      <c r="AI14" s="37"/>
      <c r="AJ14" s="37"/>
      <c r="AK14" s="37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</row>
    <row r="15" spans="1:319" s="40" customFormat="1" ht="21" customHeight="1" thickBot="1" x14ac:dyDescent="0.3">
      <c r="A15" s="55"/>
      <c r="B15" s="56"/>
      <c r="C15" s="57"/>
      <c r="D15" s="57"/>
      <c r="E15" s="57"/>
      <c r="F15" s="37"/>
      <c r="G15" s="57"/>
      <c r="H15" s="38"/>
      <c r="I15" s="39"/>
      <c r="J15" s="39"/>
      <c r="K15" s="39"/>
      <c r="L15" s="39"/>
      <c r="M15" s="39"/>
      <c r="N15" s="39"/>
      <c r="O15" s="39"/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  <c r="AC15" s="37"/>
      <c r="AD15" s="37"/>
      <c r="AE15" s="37"/>
      <c r="AF15" s="37"/>
      <c r="AG15" s="37"/>
      <c r="AH15" s="37"/>
      <c r="AI15" s="37"/>
      <c r="AJ15" s="37"/>
      <c r="AK15" s="37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7"/>
      <c r="AZ15" s="37"/>
      <c r="BA15" s="37"/>
      <c r="BB15" s="37"/>
      <c r="BC15" s="37"/>
      <c r="BD15" s="37"/>
      <c r="BE15" s="37"/>
      <c r="BF15" s="37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7"/>
      <c r="BU15" s="37"/>
      <c r="BV15" s="37"/>
      <c r="BW15" s="37"/>
      <c r="BX15" s="37"/>
      <c r="BY15" s="37"/>
      <c r="BZ15" s="37"/>
      <c r="CA15" s="37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7"/>
      <c r="CP15" s="37"/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7"/>
      <c r="DK15" s="37"/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37"/>
      <c r="EB15" s="37"/>
      <c r="EC15" s="37"/>
      <c r="ED15" s="37"/>
      <c r="EE15" s="37"/>
      <c r="EF15" s="37"/>
      <c r="EG15" s="37"/>
      <c r="EH15" s="37"/>
      <c r="EI15" s="37"/>
      <c r="EJ15" s="37"/>
      <c r="EK15" s="37"/>
      <c r="EL15" s="37"/>
      <c r="EM15" s="37"/>
      <c r="EN15" s="37"/>
      <c r="EO15" s="37"/>
      <c r="EP15" s="37"/>
      <c r="EQ15" s="37"/>
      <c r="ER15" s="37"/>
      <c r="ES15" s="37"/>
      <c r="ET15" s="37"/>
      <c r="EU15" s="37"/>
      <c r="EV15" s="37"/>
      <c r="EW15" s="37"/>
      <c r="EX15" s="37"/>
      <c r="EY15" s="37"/>
      <c r="EZ15" s="37"/>
      <c r="FA15" s="37"/>
      <c r="FB15" s="37"/>
      <c r="FC15" s="37"/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37"/>
      <c r="FT15" s="37"/>
      <c r="FU15" s="37"/>
      <c r="FV15" s="37"/>
      <c r="FW15" s="37"/>
      <c r="FX15" s="37"/>
      <c r="FY15" s="37"/>
      <c r="FZ15" s="37"/>
      <c r="GA15" s="37"/>
      <c r="GB15" s="37"/>
      <c r="GC15" s="37"/>
      <c r="GD15" s="37"/>
      <c r="GE15" s="37"/>
      <c r="GF15" s="37"/>
      <c r="GG15" s="37"/>
      <c r="GH15" s="37"/>
      <c r="GI15" s="37"/>
      <c r="GJ15" s="37"/>
      <c r="GK15" s="37"/>
      <c r="GL15" s="37"/>
      <c r="GM15" s="37"/>
      <c r="GN15" s="37"/>
      <c r="GO15" s="37"/>
      <c r="GP15" s="37"/>
      <c r="GQ15" s="37"/>
      <c r="GR15" s="37"/>
      <c r="GS15" s="37"/>
      <c r="GT15" s="37"/>
      <c r="GU15" s="37"/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37"/>
      <c r="HL15" s="37"/>
      <c r="HM15" s="37"/>
      <c r="HN15" s="37"/>
      <c r="HO15" s="37"/>
      <c r="HP15" s="37"/>
      <c r="HQ15" s="37"/>
      <c r="HR15" s="37"/>
      <c r="HS15" s="37"/>
      <c r="HT15" s="37"/>
      <c r="HU15" s="37"/>
      <c r="HV15" s="37"/>
      <c r="HW15" s="37"/>
      <c r="HX15" s="37"/>
      <c r="HY15" s="37"/>
      <c r="HZ15" s="37"/>
      <c r="IA15" s="37"/>
      <c r="IB15" s="37"/>
      <c r="IC15" s="37"/>
      <c r="ID15" s="37"/>
      <c r="IE15" s="37"/>
      <c r="IF15" s="37"/>
      <c r="IG15" s="37"/>
      <c r="IH15" s="37"/>
      <c r="II15" s="37"/>
      <c r="IJ15" s="37"/>
      <c r="IK15" s="37"/>
      <c r="IL15" s="37"/>
      <c r="IM15" s="37"/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37"/>
      <c r="JD15" s="37"/>
      <c r="JE15" s="37"/>
      <c r="JF15" s="37"/>
      <c r="JG15" s="37"/>
      <c r="JH15" s="37"/>
      <c r="JI15" s="37"/>
      <c r="JJ15" s="37"/>
      <c r="JK15" s="37"/>
      <c r="JL15" s="37"/>
      <c r="JM15" s="37"/>
      <c r="JN15" s="37"/>
      <c r="JO15" s="37"/>
      <c r="JP15" s="37"/>
      <c r="JQ15" s="37"/>
      <c r="JR15" s="37"/>
      <c r="JS15" s="37"/>
      <c r="JT15" s="37"/>
      <c r="JU15" s="37"/>
      <c r="JV15" s="37"/>
      <c r="JW15" s="37"/>
      <c r="JX15" s="37"/>
      <c r="JY15" s="37"/>
      <c r="JZ15" s="37"/>
      <c r="KA15" s="37"/>
      <c r="KB15" s="37"/>
      <c r="KC15" s="37"/>
      <c r="KD15" s="37"/>
      <c r="KE15" s="37"/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</row>
    <row r="16" spans="1:319" s="40" customFormat="1" ht="29.25" customHeight="1" x14ac:dyDescent="0.25">
      <c r="A16" s="80" t="s">
        <v>93</v>
      </c>
      <c r="B16" s="69" t="s">
        <v>3</v>
      </c>
      <c r="C16" s="70">
        <f>IF($D$6="PDP",0,((VLOOKUP($D$6,'2024 Rates'!$B$4:$J$42,3,FALSE)/12)*$D$8))</f>
        <v>0</v>
      </c>
      <c r="D16" s="70">
        <f>E16-C16</f>
        <v>0</v>
      </c>
      <c r="E16" s="70">
        <f>(E13/12)*D8</f>
        <v>0</v>
      </c>
      <c r="G16" s="74">
        <f>G13</f>
        <v>0</v>
      </c>
      <c r="H16" s="63"/>
      <c r="I16" s="39"/>
      <c r="J16" s="39"/>
      <c r="K16" s="39"/>
      <c r="L16" s="39"/>
      <c r="M16" s="39"/>
      <c r="N16" s="39"/>
      <c r="O16" s="39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  <c r="AC16" s="37"/>
      <c r="AD16" s="37"/>
      <c r="AE16" s="37"/>
      <c r="AF16" s="37"/>
      <c r="AG16" s="37"/>
      <c r="AH16" s="37"/>
      <c r="AI16" s="37"/>
      <c r="AJ16" s="37"/>
      <c r="AK16" s="37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7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</row>
    <row r="17" spans="1:319" s="40" customFormat="1" ht="51.75" customHeight="1" thickBot="1" x14ac:dyDescent="0.3">
      <c r="A17" s="81"/>
      <c r="B17" s="71" t="s">
        <v>4</v>
      </c>
      <c r="C17" s="78">
        <f>(VLOOKUP("PDP",'2024 Rates'!$B$4:$J$42,3,FALSE)/12)*$D$8</f>
        <v>29.166666666666668</v>
      </c>
      <c r="D17" s="72">
        <f>C17-0</f>
        <v>29.166666666666668</v>
      </c>
      <c r="E17" s="73">
        <f>(E14/12)*D8</f>
        <v>58.333333333333336</v>
      </c>
      <c r="F17" s="37"/>
      <c r="G17" s="79">
        <f>G14</f>
        <v>4.166666666666667</v>
      </c>
      <c r="H17" s="38"/>
      <c r="I17" s="39"/>
      <c r="J17" s="39"/>
      <c r="K17" s="39"/>
      <c r="L17" s="39"/>
      <c r="M17" s="39"/>
      <c r="N17" s="39"/>
      <c r="O17" s="39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</row>
    <row r="18" spans="1:319" s="40" customFormat="1" ht="16.149999999999999" customHeight="1" thickBot="1" x14ac:dyDescent="0.3">
      <c r="A18" s="58"/>
      <c r="B18" s="56"/>
      <c r="C18" s="59"/>
      <c r="D18" s="57"/>
      <c r="E18" s="57"/>
      <c r="F18" s="37"/>
      <c r="G18" s="57"/>
      <c r="H18" s="38"/>
      <c r="I18" s="39"/>
      <c r="J18" s="39"/>
      <c r="K18" s="39"/>
      <c r="L18" s="39"/>
      <c r="M18" s="39"/>
      <c r="N18" s="39"/>
      <c r="O18" s="39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s="37"/>
      <c r="AE18" s="37"/>
      <c r="AF18" s="37"/>
      <c r="AG18" s="37"/>
      <c r="AH18" s="37"/>
      <c r="AI18" s="37"/>
      <c r="AJ18" s="37"/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7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</row>
    <row r="19" spans="1:319" s="40" customFormat="1" ht="29.25" customHeight="1" x14ac:dyDescent="0.25">
      <c r="A19" s="80" t="s">
        <v>92</v>
      </c>
      <c r="B19" s="69" t="s">
        <v>3</v>
      </c>
      <c r="C19" s="70">
        <f>IF($D$6="PDP",0,((VLOOKUP($D$6,'2024 Rates'!$B$4:$J$42,3,FALSE)/12)*$D$8))</f>
        <v>0</v>
      </c>
      <c r="D19" s="70">
        <f>IF(C19=0,0,0)</f>
        <v>0</v>
      </c>
      <c r="E19" s="76">
        <f>SUM(C19:D19)</f>
        <v>0</v>
      </c>
      <c r="G19" s="74">
        <f>G13</f>
        <v>0</v>
      </c>
      <c r="H19" s="63"/>
      <c r="I19" s="39"/>
      <c r="J19" s="39"/>
      <c r="K19" s="39"/>
      <c r="L19" s="39"/>
      <c r="M19" s="39"/>
      <c r="N19" s="39"/>
      <c r="O19" s="39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s="37"/>
      <c r="AE19" s="37"/>
      <c r="AF19" s="37"/>
      <c r="AG19" s="37"/>
      <c r="AH19" s="37"/>
      <c r="AI19" s="37"/>
      <c r="AJ19" s="37"/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7"/>
      <c r="AZ19" s="37"/>
      <c r="BA19" s="37"/>
      <c r="BB19" s="37"/>
      <c r="BC19" s="37"/>
      <c r="BD19" s="37"/>
      <c r="BE19" s="37"/>
      <c r="BF19" s="37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7"/>
      <c r="BU19" s="37"/>
      <c r="BV19" s="37"/>
      <c r="BW19" s="37"/>
      <c r="BX19" s="37"/>
      <c r="BY19" s="37"/>
      <c r="BZ19" s="37"/>
      <c r="CA19" s="37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7"/>
      <c r="CP19" s="37"/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7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7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7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7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7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7"/>
      <c r="GS19" s="37"/>
      <c r="GT19" s="37"/>
      <c r="GU19" s="37"/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37"/>
      <c r="HL19" s="37"/>
      <c r="HM19" s="37"/>
      <c r="HN19" s="37"/>
      <c r="HO19" s="37"/>
      <c r="HP19" s="37"/>
      <c r="HQ19" s="37"/>
      <c r="HR19" s="37"/>
      <c r="HS19" s="37"/>
      <c r="HT19" s="37"/>
      <c r="HU19" s="37"/>
      <c r="HV19" s="37"/>
      <c r="HW19" s="37"/>
      <c r="HX19" s="37"/>
      <c r="HY19" s="37"/>
      <c r="HZ19" s="37"/>
      <c r="IA19" s="37"/>
      <c r="IB19" s="37"/>
      <c r="IC19" s="37"/>
      <c r="ID19" s="37"/>
      <c r="IE19" s="37"/>
      <c r="IF19" s="37"/>
      <c r="IG19" s="37"/>
      <c r="IH19" s="37"/>
      <c r="II19" s="37"/>
      <c r="IJ19" s="37"/>
      <c r="IK19" s="37"/>
      <c r="IL19" s="37"/>
      <c r="IM19" s="37"/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37"/>
      <c r="JD19" s="37"/>
      <c r="JE19" s="37"/>
      <c r="JF19" s="37"/>
      <c r="JG19" s="37"/>
      <c r="JH19" s="37"/>
      <c r="JI19" s="37"/>
      <c r="JJ19" s="37"/>
      <c r="JK19" s="37"/>
      <c r="JL19" s="37"/>
      <c r="JM19" s="37"/>
      <c r="JN19" s="37"/>
      <c r="JO19" s="37"/>
      <c r="JP19" s="37"/>
      <c r="JQ19" s="37"/>
      <c r="JR19" s="37"/>
      <c r="JS19" s="37"/>
      <c r="JT19" s="37"/>
      <c r="JU19" s="37"/>
      <c r="JV19" s="37"/>
      <c r="JW19" s="37"/>
      <c r="JX19" s="37"/>
      <c r="JY19" s="37"/>
      <c r="JZ19" s="37"/>
      <c r="KA19" s="37"/>
      <c r="KB19" s="37"/>
      <c r="KC19" s="37"/>
      <c r="KD19" s="37"/>
      <c r="KE19" s="37"/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</row>
    <row r="20" spans="1:319" s="40" customFormat="1" ht="41.25" customHeight="1" thickBot="1" x14ac:dyDescent="0.3">
      <c r="A20" s="81"/>
      <c r="B20" s="71" t="s">
        <v>4</v>
      </c>
      <c r="C20" s="72">
        <f>(VLOOKUP("PDP",'2024 Rates'!$B$4:$J$42,3,FALSE)/12)*$D$8</f>
        <v>29.166666666666668</v>
      </c>
      <c r="D20" s="72">
        <v>0</v>
      </c>
      <c r="E20" s="77">
        <f>SUM(C20:D20)</f>
        <v>29.166666666666668</v>
      </c>
      <c r="F20" s="37"/>
      <c r="G20" s="79">
        <f>G14</f>
        <v>4.166666666666667</v>
      </c>
      <c r="H20" s="38"/>
      <c r="I20" s="39"/>
      <c r="J20" s="39"/>
      <c r="K20" s="39"/>
      <c r="L20" s="39"/>
      <c r="M20" s="39"/>
      <c r="N20" s="39"/>
      <c r="O20" s="39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7"/>
      <c r="AE20" s="37"/>
      <c r="AF20" s="37"/>
      <c r="AG20" s="37"/>
      <c r="AH20" s="37"/>
      <c r="AI20" s="37"/>
      <c r="AJ20" s="37"/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7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</row>
    <row r="21" spans="1:319" s="40" customFormat="1" ht="15.75" customHeight="1" thickBot="1" x14ac:dyDescent="0.3">
      <c r="A21" s="58"/>
      <c r="B21" s="56"/>
      <c r="C21" s="59"/>
      <c r="D21" s="57"/>
      <c r="E21" s="57"/>
      <c r="F21" s="37"/>
      <c r="G21" s="57"/>
      <c r="H21" s="38"/>
      <c r="I21" s="39"/>
      <c r="J21" s="39"/>
      <c r="K21" s="39"/>
      <c r="L21" s="39"/>
      <c r="M21" s="39"/>
      <c r="N21" s="39"/>
      <c r="O21" s="39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7"/>
      <c r="AE21" s="37"/>
      <c r="AF21" s="37"/>
      <c r="AG21" s="37"/>
      <c r="AH21" s="37"/>
      <c r="AI21" s="37"/>
      <c r="AJ21" s="37"/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7"/>
      <c r="AZ21" s="37"/>
      <c r="BA21" s="37"/>
      <c r="BB21" s="37"/>
      <c r="BC21" s="37"/>
      <c r="BD21" s="37"/>
      <c r="BE21" s="37"/>
      <c r="BF21" s="37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7"/>
      <c r="BU21" s="37"/>
      <c r="BV21" s="37"/>
      <c r="BW21" s="37"/>
      <c r="BX21" s="37"/>
      <c r="BY21" s="37"/>
      <c r="BZ21" s="37"/>
      <c r="CA21" s="37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7"/>
      <c r="CP21" s="37"/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7"/>
      <c r="DK21" s="37"/>
      <c r="DL21" s="37"/>
      <c r="DM21" s="37"/>
      <c r="DN21" s="37"/>
      <c r="DO21" s="37"/>
      <c r="DP21" s="37"/>
      <c r="DQ21" s="37"/>
      <c r="DR21" s="37"/>
      <c r="DS21" s="37"/>
      <c r="DT21" s="37"/>
      <c r="DU21" s="37"/>
      <c r="DV21" s="37"/>
      <c r="DW21" s="37"/>
      <c r="DX21" s="37"/>
      <c r="DY21" s="37"/>
      <c r="DZ21" s="37"/>
      <c r="EA21" s="37"/>
      <c r="EB21" s="37"/>
      <c r="EC21" s="37"/>
      <c r="ED21" s="37"/>
      <c r="EE21" s="37"/>
      <c r="EF21" s="37"/>
      <c r="EG21" s="37"/>
      <c r="EH21" s="37"/>
      <c r="EI21" s="37"/>
      <c r="EJ21" s="37"/>
      <c r="EK21" s="37"/>
      <c r="EL21" s="37"/>
      <c r="EM21" s="37"/>
      <c r="EN21" s="37"/>
      <c r="EO21" s="37"/>
      <c r="EP21" s="37"/>
      <c r="EQ21" s="37"/>
      <c r="ER21" s="37"/>
      <c r="ES21" s="37"/>
      <c r="ET21" s="37"/>
      <c r="EU21" s="37"/>
      <c r="EV21" s="37"/>
      <c r="EW21" s="37"/>
      <c r="EX21" s="37"/>
      <c r="EY21" s="37"/>
      <c r="EZ21" s="37"/>
      <c r="FA21" s="37"/>
      <c r="FB21" s="37"/>
      <c r="FC21" s="37"/>
      <c r="FD21" s="37"/>
      <c r="FE21" s="37"/>
      <c r="FF21" s="37"/>
      <c r="FG21" s="37"/>
      <c r="FH21" s="37"/>
      <c r="FI21" s="37"/>
      <c r="FJ21" s="37"/>
      <c r="FK21" s="37"/>
      <c r="FL21" s="37"/>
      <c r="FM21" s="37"/>
      <c r="FN21" s="37"/>
      <c r="FO21" s="37"/>
      <c r="FP21" s="37"/>
      <c r="FQ21" s="37"/>
      <c r="FR21" s="37"/>
      <c r="FS21" s="37"/>
      <c r="FT21" s="37"/>
      <c r="FU21" s="37"/>
      <c r="FV21" s="37"/>
      <c r="FW21" s="37"/>
      <c r="FX21" s="37"/>
      <c r="FY21" s="37"/>
      <c r="FZ21" s="37"/>
      <c r="GA21" s="37"/>
      <c r="GB21" s="37"/>
      <c r="GC21" s="37"/>
      <c r="GD21" s="37"/>
      <c r="GE21" s="37"/>
      <c r="GF21" s="37"/>
      <c r="GG21" s="37"/>
      <c r="GH21" s="37"/>
      <c r="GI21" s="37"/>
      <c r="GJ21" s="37"/>
      <c r="GK21" s="37"/>
      <c r="GL21" s="37"/>
      <c r="GM21" s="37"/>
      <c r="GN21" s="37"/>
      <c r="GO21" s="37"/>
      <c r="GP21" s="37"/>
      <c r="GQ21" s="37"/>
      <c r="GR21" s="37"/>
      <c r="GS21" s="37"/>
      <c r="GT21" s="37"/>
      <c r="GU21" s="37"/>
      <c r="GV21" s="37"/>
      <c r="GW21" s="37"/>
      <c r="GX21" s="37"/>
      <c r="GY21" s="37"/>
      <c r="GZ21" s="37"/>
      <c r="HA21" s="37"/>
      <c r="HB21" s="37"/>
      <c r="HC21" s="37"/>
      <c r="HD21" s="37"/>
      <c r="HE21" s="37"/>
      <c r="HF21" s="37"/>
      <c r="HG21" s="37"/>
      <c r="HH21" s="37"/>
      <c r="HI21" s="37"/>
      <c r="HJ21" s="37"/>
      <c r="HK21" s="37"/>
      <c r="HL21" s="37"/>
      <c r="HM21" s="37"/>
      <c r="HN21" s="37"/>
      <c r="HO21" s="37"/>
      <c r="HP21" s="37"/>
      <c r="HQ21" s="37"/>
      <c r="HR21" s="37"/>
      <c r="HS21" s="37"/>
      <c r="HT21" s="37"/>
      <c r="HU21" s="37"/>
      <c r="HV21" s="37"/>
      <c r="HW21" s="37"/>
      <c r="HX21" s="37"/>
      <c r="HY21" s="37"/>
      <c r="HZ21" s="37"/>
      <c r="IA21" s="37"/>
      <c r="IB21" s="37"/>
      <c r="IC21" s="37"/>
      <c r="ID21" s="37"/>
      <c r="IE21" s="37"/>
      <c r="IF21" s="37"/>
      <c r="IG21" s="37"/>
      <c r="IH21" s="37"/>
      <c r="II21" s="37"/>
      <c r="IJ21" s="37"/>
      <c r="IK21" s="37"/>
      <c r="IL21" s="37"/>
      <c r="IM21" s="37"/>
      <c r="IN21" s="37"/>
      <c r="IO21" s="37"/>
      <c r="IP21" s="37"/>
      <c r="IQ21" s="37"/>
      <c r="IR21" s="37"/>
      <c r="IS21" s="37"/>
      <c r="IT21" s="37"/>
      <c r="IU21" s="37"/>
      <c r="IV21" s="37"/>
      <c r="IW21" s="37"/>
      <c r="IX21" s="37"/>
      <c r="IY21" s="37"/>
      <c r="IZ21" s="37"/>
      <c r="JA21" s="37"/>
      <c r="JB21" s="37"/>
      <c r="JC21" s="37"/>
      <c r="JD21" s="37"/>
      <c r="JE21" s="37"/>
      <c r="JF21" s="37"/>
      <c r="JG21" s="37"/>
      <c r="JH21" s="37"/>
      <c r="JI21" s="37"/>
      <c r="JJ21" s="37"/>
      <c r="JK21" s="37"/>
      <c r="JL21" s="37"/>
      <c r="JM21" s="37"/>
      <c r="JN21" s="37"/>
      <c r="JO21" s="37"/>
      <c r="JP21" s="37"/>
      <c r="JQ21" s="37"/>
      <c r="JR21" s="37"/>
      <c r="JS21" s="37"/>
      <c r="JT21" s="37"/>
      <c r="JU21" s="37"/>
      <c r="JV21" s="37"/>
      <c r="JW21" s="37"/>
      <c r="JX21" s="37"/>
      <c r="JY21" s="37"/>
      <c r="JZ21" s="37"/>
      <c r="KA21" s="37"/>
      <c r="KB21" s="37"/>
      <c r="KC21" s="37"/>
      <c r="KD21" s="37"/>
      <c r="KE21" s="37"/>
      <c r="KF21" s="37"/>
      <c r="KG21" s="37"/>
      <c r="KH21" s="37"/>
      <c r="KI21" s="37"/>
      <c r="KJ21" s="37"/>
      <c r="KK21" s="37"/>
      <c r="KL21" s="37"/>
      <c r="KM21" s="37"/>
      <c r="KN21" s="37"/>
      <c r="KO21" s="37"/>
      <c r="KP21" s="37"/>
      <c r="KQ21" s="37"/>
      <c r="KR21" s="37"/>
    </row>
    <row r="22" spans="1:319" s="40" customFormat="1" ht="29.25" customHeight="1" x14ac:dyDescent="0.25">
      <c r="A22" s="80" t="s">
        <v>96</v>
      </c>
      <c r="B22" s="69" t="s">
        <v>3</v>
      </c>
      <c r="C22" s="70">
        <v>0</v>
      </c>
      <c r="D22" s="70">
        <f>IF(C22=0,0,0)</f>
        <v>0</v>
      </c>
      <c r="E22" s="76">
        <f>SUM(C22:D22)</f>
        <v>0</v>
      </c>
      <c r="G22" s="74">
        <f>G13</f>
        <v>0</v>
      </c>
      <c r="H22" s="62"/>
      <c r="I22" s="39"/>
      <c r="J22" s="39"/>
      <c r="K22" s="39"/>
      <c r="L22" s="39"/>
      <c r="M22" s="39"/>
      <c r="N22" s="39"/>
      <c r="O22" s="39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7"/>
      <c r="AG22" s="37"/>
      <c r="AH22" s="37"/>
      <c r="AI22" s="37"/>
      <c r="AJ22" s="37"/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</row>
    <row r="23" spans="1:319" s="40" customFormat="1" ht="40.5" customHeight="1" thickBot="1" x14ac:dyDescent="0.3">
      <c r="A23" s="81"/>
      <c r="B23" s="71" t="s">
        <v>4</v>
      </c>
      <c r="C23" s="72">
        <v>0</v>
      </c>
      <c r="D23" s="72">
        <v>0</v>
      </c>
      <c r="E23" s="72">
        <v>0</v>
      </c>
      <c r="F23" s="37"/>
      <c r="G23" s="79">
        <f>G14</f>
        <v>4.166666666666667</v>
      </c>
      <c r="H23" s="38"/>
      <c r="I23" s="39"/>
      <c r="J23" s="39"/>
      <c r="K23" s="39"/>
      <c r="L23" s="39"/>
      <c r="M23" s="39"/>
      <c r="N23" s="39"/>
      <c r="O23" s="39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7"/>
      <c r="AE23" s="37"/>
      <c r="AF23" s="37"/>
      <c r="AG23" s="37"/>
      <c r="AH23" s="37"/>
      <c r="AI23" s="37"/>
      <c r="AJ23" s="37"/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7"/>
      <c r="AZ23" s="37"/>
      <c r="BA23" s="37"/>
      <c r="BB23" s="3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7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7"/>
      <c r="CP23" s="37"/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7"/>
      <c r="DK23" s="37"/>
      <c r="DL23" s="37"/>
      <c r="DM23" s="37"/>
      <c r="DN23" s="37"/>
      <c r="DO23" s="37"/>
      <c r="DP23" s="37"/>
      <c r="DQ23" s="37"/>
      <c r="DR23" s="37"/>
      <c r="DS23" s="37"/>
      <c r="DT23" s="37"/>
      <c r="DU23" s="37"/>
      <c r="DV23" s="37"/>
      <c r="DW23" s="37"/>
      <c r="DX23" s="37"/>
      <c r="DY23" s="37"/>
      <c r="DZ23" s="37"/>
      <c r="EA23" s="37"/>
      <c r="EB23" s="37"/>
      <c r="EC23" s="37"/>
      <c r="ED23" s="37"/>
      <c r="EE23" s="37"/>
      <c r="EF23" s="37"/>
      <c r="EG23" s="37"/>
      <c r="EH23" s="37"/>
      <c r="EI23" s="37"/>
      <c r="EJ23" s="37"/>
      <c r="EK23" s="37"/>
      <c r="EL23" s="37"/>
      <c r="EM23" s="37"/>
      <c r="EN23" s="37"/>
      <c r="EO23" s="37"/>
      <c r="EP23" s="37"/>
      <c r="EQ23" s="37"/>
      <c r="ER23" s="37"/>
      <c r="ES23" s="37"/>
      <c r="ET23" s="37"/>
      <c r="EU23" s="37"/>
      <c r="EV23" s="37"/>
      <c r="EW23" s="37"/>
      <c r="EX23" s="37"/>
      <c r="EY23" s="37"/>
      <c r="EZ23" s="37"/>
      <c r="FA23" s="37"/>
      <c r="FB23" s="37"/>
      <c r="FC23" s="37"/>
      <c r="FD23" s="37"/>
      <c r="FE23" s="37"/>
      <c r="FF23" s="37"/>
      <c r="FG23" s="37"/>
      <c r="FH23" s="37"/>
      <c r="FI23" s="37"/>
      <c r="FJ23" s="37"/>
      <c r="FK23" s="37"/>
      <c r="FL23" s="37"/>
      <c r="FM23" s="37"/>
      <c r="FN23" s="37"/>
      <c r="FO23" s="37"/>
      <c r="FP23" s="37"/>
      <c r="FQ23" s="37"/>
      <c r="FR23" s="37"/>
      <c r="FS23" s="37"/>
      <c r="FT23" s="37"/>
      <c r="FU23" s="37"/>
      <c r="FV23" s="37"/>
      <c r="FW23" s="37"/>
      <c r="FX23" s="37"/>
      <c r="FY23" s="37"/>
      <c r="FZ23" s="37"/>
      <c r="GA23" s="37"/>
      <c r="GB23" s="37"/>
      <c r="GC23" s="37"/>
      <c r="GD23" s="37"/>
      <c r="GE23" s="37"/>
      <c r="GF23" s="37"/>
      <c r="GG23" s="37"/>
      <c r="GH23" s="37"/>
      <c r="GI23" s="37"/>
      <c r="GJ23" s="37"/>
      <c r="GK23" s="37"/>
      <c r="GL23" s="37"/>
      <c r="GM23" s="37"/>
      <c r="GN23" s="37"/>
      <c r="GO23" s="37"/>
      <c r="GP23" s="37"/>
      <c r="GQ23" s="37"/>
      <c r="GR23" s="37"/>
      <c r="GS23" s="37"/>
      <c r="GT23" s="37"/>
      <c r="GU23" s="37"/>
      <c r="GV23" s="37"/>
      <c r="GW23" s="37"/>
      <c r="GX23" s="37"/>
      <c r="GY23" s="37"/>
      <c r="GZ23" s="37"/>
      <c r="HA23" s="37"/>
      <c r="HB23" s="37"/>
      <c r="HC23" s="37"/>
      <c r="HD23" s="37"/>
      <c r="HE23" s="37"/>
      <c r="HF23" s="37"/>
      <c r="HG23" s="37"/>
      <c r="HH23" s="37"/>
      <c r="HI23" s="37"/>
      <c r="HJ23" s="37"/>
      <c r="HK23" s="37"/>
      <c r="HL23" s="37"/>
      <c r="HM23" s="37"/>
      <c r="HN23" s="37"/>
      <c r="HO23" s="37"/>
      <c r="HP23" s="37"/>
      <c r="HQ23" s="37"/>
      <c r="HR23" s="37"/>
      <c r="HS23" s="37"/>
      <c r="HT23" s="37"/>
      <c r="HU23" s="37"/>
      <c r="HV23" s="37"/>
      <c r="HW23" s="37"/>
      <c r="HX23" s="37"/>
      <c r="HY23" s="37"/>
      <c r="HZ23" s="37"/>
      <c r="IA23" s="37"/>
      <c r="IB23" s="37"/>
      <c r="IC23" s="37"/>
      <c r="ID23" s="37"/>
      <c r="IE23" s="37"/>
      <c r="IF23" s="37"/>
      <c r="IG23" s="37"/>
      <c r="IH23" s="37"/>
      <c r="II23" s="37"/>
      <c r="IJ23" s="37"/>
      <c r="IK23" s="37"/>
      <c r="IL23" s="37"/>
      <c r="IM23" s="37"/>
      <c r="IN23" s="37"/>
      <c r="IO23" s="37"/>
      <c r="IP23" s="37"/>
      <c r="IQ23" s="37"/>
      <c r="IR23" s="37"/>
      <c r="IS23" s="37"/>
      <c r="IT23" s="37"/>
      <c r="IU23" s="37"/>
      <c r="IV23" s="37"/>
      <c r="IW23" s="37"/>
      <c r="IX23" s="37"/>
      <c r="IY23" s="37"/>
      <c r="IZ23" s="37"/>
      <c r="JA23" s="37"/>
      <c r="JB23" s="37"/>
      <c r="JC23" s="37"/>
      <c r="JD23" s="37"/>
      <c r="JE23" s="37"/>
      <c r="JF23" s="37"/>
      <c r="JG23" s="37"/>
      <c r="JH23" s="37"/>
      <c r="JI23" s="37"/>
      <c r="JJ23" s="37"/>
      <c r="JK23" s="37"/>
      <c r="JL23" s="37"/>
      <c r="JM23" s="37"/>
      <c r="JN23" s="37"/>
      <c r="JO23" s="37"/>
      <c r="JP23" s="37"/>
      <c r="JQ23" s="37"/>
      <c r="JR23" s="37"/>
      <c r="JS23" s="37"/>
      <c r="JT23" s="37"/>
      <c r="JU23" s="37"/>
      <c r="JV23" s="37"/>
      <c r="JW23" s="37"/>
      <c r="JX23" s="37"/>
      <c r="JY23" s="37"/>
      <c r="JZ23" s="37"/>
      <c r="KA23" s="37"/>
      <c r="KB23" s="37"/>
      <c r="KC23" s="37"/>
      <c r="KD23" s="37"/>
      <c r="KE23" s="37"/>
      <c r="KF23" s="37"/>
      <c r="KG23" s="37"/>
      <c r="KH23" s="37"/>
      <c r="KI23" s="37"/>
      <c r="KJ23" s="37"/>
      <c r="KK23" s="37"/>
      <c r="KL23" s="37"/>
      <c r="KM23" s="37"/>
      <c r="KN23" s="37"/>
      <c r="KO23" s="37"/>
      <c r="KP23" s="37"/>
      <c r="KQ23" s="37"/>
      <c r="KR23" s="37"/>
    </row>
    <row r="24" spans="1:319" s="1" customFormat="1" ht="15.75" customHeight="1" x14ac:dyDescent="0.25">
      <c r="A24" s="3"/>
      <c r="B24" s="3"/>
      <c r="C24" s="4"/>
      <c r="D24" s="4"/>
      <c r="E24" s="4"/>
      <c r="F24" s="4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0"/>
      <c r="W24" s="10"/>
      <c r="X24" s="10"/>
      <c r="Y24" s="10"/>
      <c r="Z24" s="10"/>
      <c r="AA24" s="10"/>
      <c r="AB24" s="10"/>
      <c r="AC24" s="10"/>
      <c r="AD24" s="10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</row>
    <row r="25" spans="1:319" s="3" customFormat="1" x14ac:dyDescent="0.25">
      <c r="A25" s="4"/>
      <c r="B25" s="4"/>
      <c r="C25" s="5"/>
      <c r="D25" s="5"/>
      <c r="E25" s="5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</row>
    <row r="26" spans="1:319" s="3" customFormat="1" x14ac:dyDescent="0.25"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61" t="s">
        <v>98</v>
      </c>
      <c r="T26" s="14"/>
      <c r="U26" s="14"/>
    </row>
    <row r="27" spans="1:319" s="3" customFormat="1" x14ac:dyDescent="0.25"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</row>
    <row r="28" spans="1:319" s="3" customFormat="1" x14ac:dyDescent="0.25"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</row>
    <row r="29" spans="1:319" s="3" customFormat="1" x14ac:dyDescent="0.25"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</row>
    <row r="30" spans="1:319" s="3" customFormat="1" x14ac:dyDescent="0.25"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</row>
    <row r="31" spans="1:319" s="3" customFormat="1" x14ac:dyDescent="0.25"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</row>
    <row r="32" spans="1:319" s="3" customFormat="1" x14ac:dyDescent="0.25"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</row>
    <row r="33" spans="7:21" s="3" customFormat="1" x14ac:dyDescent="0.25"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</row>
    <row r="34" spans="7:21" s="3" customFormat="1" x14ac:dyDescent="0.25"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</row>
    <row r="35" spans="7:21" s="3" customFormat="1" x14ac:dyDescent="0.25"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</row>
    <row r="36" spans="7:21" s="3" customFormat="1" x14ac:dyDescent="0.25"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</row>
    <row r="37" spans="7:21" s="3" customFormat="1" x14ac:dyDescent="0.25"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</row>
    <row r="38" spans="7:21" s="3" customFormat="1" x14ac:dyDescent="0.25"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</row>
    <row r="39" spans="7:21" s="3" customFormat="1" x14ac:dyDescent="0.25"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</row>
    <row r="40" spans="7:21" s="3" customFormat="1" x14ac:dyDescent="0.25"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</row>
    <row r="41" spans="7:21" s="3" customFormat="1" x14ac:dyDescent="0.25"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</row>
    <row r="42" spans="7:21" s="3" customFormat="1" x14ac:dyDescent="0.25"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</row>
    <row r="43" spans="7:21" s="3" customFormat="1" x14ac:dyDescent="0.25"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</row>
    <row r="44" spans="7:21" s="3" customFormat="1" x14ac:dyDescent="0.25"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7:21" s="3" customFormat="1" x14ac:dyDescent="0.25"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</row>
    <row r="46" spans="7:21" s="3" customFormat="1" x14ac:dyDescent="0.25"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</row>
    <row r="47" spans="7:21" s="3" customFormat="1" x14ac:dyDescent="0.25"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spans="7:21" s="3" customFormat="1" x14ac:dyDescent="0.25"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</row>
    <row r="49" spans="7:21" s="3" customFormat="1" x14ac:dyDescent="0.25"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</row>
    <row r="50" spans="7:21" s="3" customFormat="1" x14ac:dyDescent="0.25"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</row>
    <row r="51" spans="7:21" s="3" customFormat="1" x14ac:dyDescent="0.25"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</row>
    <row r="52" spans="7:21" s="3" customFormat="1" x14ac:dyDescent="0.25"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</row>
    <row r="53" spans="7:21" s="3" customFormat="1" x14ac:dyDescent="0.25"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</row>
    <row r="54" spans="7:21" s="3" customFormat="1" x14ac:dyDescent="0.25"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</row>
    <row r="55" spans="7:21" s="3" customFormat="1" x14ac:dyDescent="0.25"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</row>
    <row r="56" spans="7:21" s="3" customFormat="1" x14ac:dyDescent="0.25"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</row>
    <row r="57" spans="7:21" s="3" customFormat="1" x14ac:dyDescent="0.25"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</row>
    <row r="58" spans="7:21" s="3" customFormat="1" x14ac:dyDescent="0.25"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</row>
    <row r="59" spans="7:21" s="3" customFormat="1" x14ac:dyDescent="0.25"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</row>
    <row r="60" spans="7:21" s="3" customFormat="1" x14ac:dyDescent="0.25"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</row>
    <row r="61" spans="7:21" s="3" customFormat="1" x14ac:dyDescent="0.25"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</row>
    <row r="62" spans="7:21" s="3" customFormat="1" x14ac:dyDescent="0.25"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</row>
    <row r="63" spans="7:21" s="3" customFormat="1" x14ac:dyDescent="0.25"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</row>
    <row r="64" spans="7:21" s="3" customFormat="1" x14ac:dyDescent="0.25"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</row>
    <row r="65" spans="7:21" s="3" customFormat="1" x14ac:dyDescent="0.25"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</row>
    <row r="66" spans="7:21" s="3" customFormat="1" x14ac:dyDescent="0.25"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</row>
    <row r="67" spans="7:21" s="3" customFormat="1" x14ac:dyDescent="0.25"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</row>
    <row r="68" spans="7:21" s="3" customFormat="1" x14ac:dyDescent="0.25"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</row>
    <row r="69" spans="7:21" s="3" customFormat="1" x14ac:dyDescent="0.25"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</row>
    <row r="70" spans="7:21" s="3" customFormat="1" x14ac:dyDescent="0.25"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</row>
    <row r="71" spans="7:21" s="3" customFormat="1" x14ac:dyDescent="0.25"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</row>
    <row r="72" spans="7:21" s="3" customFormat="1" x14ac:dyDescent="0.25"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</row>
    <row r="73" spans="7:21" s="3" customFormat="1" x14ac:dyDescent="0.25"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</row>
    <row r="74" spans="7:21" s="3" customFormat="1" x14ac:dyDescent="0.25"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</row>
    <row r="75" spans="7:21" s="3" customFormat="1" x14ac:dyDescent="0.25"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</row>
    <row r="76" spans="7:21" s="3" customFormat="1" x14ac:dyDescent="0.25"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</row>
    <row r="77" spans="7:21" s="3" customFormat="1" x14ac:dyDescent="0.25"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</row>
    <row r="78" spans="7:21" s="3" customFormat="1" x14ac:dyDescent="0.25"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</row>
    <row r="79" spans="7:21" s="3" customFormat="1" x14ac:dyDescent="0.25"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</row>
    <row r="80" spans="7:21" s="3" customFormat="1" x14ac:dyDescent="0.25"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</row>
    <row r="81" spans="7:21" s="3" customFormat="1" x14ac:dyDescent="0.25"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</row>
    <row r="82" spans="7:21" s="3" customFormat="1" x14ac:dyDescent="0.25"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</row>
    <row r="83" spans="7:21" s="3" customFormat="1" x14ac:dyDescent="0.25"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</row>
    <row r="84" spans="7:21" s="3" customFormat="1" x14ac:dyDescent="0.25"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</row>
    <row r="85" spans="7:21" s="3" customFormat="1" x14ac:dyDescent="0.25"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</row>
    <row r="86" spans="7:21" s="3" customFormat="1" x14ac:dyDescent="0.25"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</row>
    <row r="87" spans="7:21" s="3" customFormat="1" x14ac:dyDescent="0.25"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</row>
    <row r="88" spans="7:21" s="3" customFormat="1" x14ac:dyDescent="0.25"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</row>
    <row r="89" spans="7:21" s="3" customFormat="1" x14ac:dyDescent="0.25"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</row>
    <row r="90" spans="7:21" s="3" customFormat="1" x14ac:dyDescent="0.25"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</row>
    <row r="91" spans="7:21" s="3" customFormat="1" x14ac:dyDescent="0.25"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</row>
    <row r="92" spans="7:21" s="3" customFormat="1" x14ac:dyDescent="0.25"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</row>
    <row r="93" spans="7:21" s="3" customFormat="1" x14ac:dyDescent="0.25"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</row>
    <row r="94" spans="7:21" s="3" customFormat="1" x14ac:dyDescent="0.25"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</row>
    <row r="95" spans="7:21" s="3" customFormat="1" x14ac:dyDescent="0.25"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</row>
    <row r="96" spans="7:21" s="3" customFormat="1" x14ac:dyDescent="0.25"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</row>
    <row r="97" spans="7:21" s="3" customFormat="1" x14ac:dyDescent="0.25"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</row>
    <row r="98" spans="7:21" s="3" customFormat="1" x14ac:dyDescent="0.25"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</row>
    <row r="99" spans="7:21" s="3" customFormat="1" x14ac:dyDescent="0.25"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</row>
    <row r="100" spans="7:21" s="3" customFormat="1" x14ac:dyDescent="0.25"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</row>
    <row r="101" spans="7:21" s="3" customFormat="1" x14ac:dyDescent="0.25"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</row>
    <row r="102" spans="7:21" s="3" customFormat="1" x14ac:dyDescent="0.25"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</row>
    <row r="103" spans="7:21" s="3" customFormat="1" x14ac:dyDescent="0.25"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</row>
    <row r="104" spans="7:21" s="3" customFormat="1" x14ac:dyDescent="0.25"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</row>
    <row r="105" spans="7:21" s="3" customFormat="1" x14ac:dyDescent="0.25"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</row>
    <row r="106" spans="7:21" s="3" customFormat="1" x14ac:dyDescent="0.25"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</row>
    <row r="107" spans="7:21" s="3" customFormat="1" x14ac:dyDescent="0.25"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</row>
    <row r="108" spans="7:21" s="3" customFormat="1" x14ac:dyDescent="0.25"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</row>
    <row r="109" spans="7:21" s="3" customFormat="1" x14ac:dyDescent="0.25"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</row>
    <row r="110" spans="7:21" s="3" customFormat="1" x14ac:dyDescent="0.25"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</row>
    <row r="111" spans="7:21" s="3" customFormat="1" x14ac:dyDescent="0.25"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</row>
    <row r="112" spans="7:21" s="3" customFormat="1" x14ac:dyDescent="0.25"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</row>
    <row r="113" spans="7:21" s="3" customFormat="1" x14ac:dyDescent="0.25"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</row>
    <row r="114" spans="7:21" s="3" customFormat="1" x14ac:dyDescent="0.25"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</row>
    <row r="115" spans="7:21" s="3" customFormat="1" x14ac:dyDescent="0.25"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</row>
    <row r="116" spans="7:21" s="3" customFormat="1" x14ac:dyDescent="0.25"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</row>
    <row r="117" spans="7:21" s="3" customFormat="1" x14ac:dyDescent="0.25"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</row>
    <row r="118" spans="7:21" s="3" customFormat="1" x14ac:dyDescent="0.25"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</row>
    <row r="119" spans="7:21" s="3" customFormat="1" x14ac:dyDescent="0.25"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</row>
    <row r="120" spans="7:21" s="3" customFormat="1" x14ac:dyDescent="0.25"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</row>
    <row r="121" spans="7:21" s="3" customFormat="1" x14ac:dyDescent="0.25"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</row>
    <row r="122" spans="7:21" s="3" customFormat="1" x14ac:dyDescent="0.25"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</row>
    <row r="123" spans="7:21" s="3" customFormat="1" x14ac:dyDescent="0.25"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</row>
    <row r="124" spans="7:21" s="3" customFormat="1" x14ac:dyDescent="0.25"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</row>
    <row r="125" spans="7:21" s="3" customFormat="1" x14ac:dyDescent="0.25"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</row>
    <row r="126" spans="7:21" s="3" customFormat="1" x14ac:dyDescent="0.25"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</row>
    <row r="127" spans="7:21" s="3" customFormat="1" x14ac:dyDescent="0.25"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</row>
    <row r="128" spans="7:21" s="3" customFormat="1" x14ac:dyDescent="0.25"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</row>
    <row r="129" spans="7:21" s="3" customFormat="1" x14ac:dyDescent="0.25"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</row>
    <row r="130" spans="7:21" s="3" customFormat="1" x14ac:dyDescent="0.25"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</row>
    <row r="131" spans="7:21" s="3" customFormat="1" x14ac:dyDescent="0.25"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</row>
    <row r="132" spans="7:21" s="3" customFormat="1" x14ac:dyDescent="0.25"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</row>
    <row r="133" spans="7:21" s="3" customFormat="1" x14ac:dyDescent="0.25"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</row>
    <row r="134" spans="7:21" s="3" customFormat="1" x14ac:dyDescent="0.25"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</row>
    <row r="135" spans="7:21" s="3" customFormat="1" x14ac:dyDescent="0.25"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</row>
    <row r="136" spans="7:21" s="3" customFormat="1" x14ac:dyDescent="0.25"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</row>
    <row r="137" spans="7:21" s="3" customFormat="1" x14ac:dyDescent="0.25"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</row>
    <row r="138" spans="7:21" s="3" customFormat="1" x14ac:dyDescent="0.25"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</row>
    <row r="139" spans="7:21" s="3" customFormat="1" x14ac:dyDescent="0.25"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</row>
    <row r="140" spans="7:21" s="3" customFormat="1" x14ac:dyDescent="0.25"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</row>
    <row r="141" spans="7:21" s="3" customFormat="1" x14ac:dyDescent="0.25"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</row>
    <row r="142" spans="7:21" s="3" customFormat="1" x14ac:dyDescent="0.25"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</row>
    <row r="143" spans="7:21" s="3" customFormat="1" x14ac:dyDescent="0.25"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</row>
    <row r="144" spans="7:21" s="3" customFormat="1" x14ac:dyDescent="0.25"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</row>
    <row r="145" spans="7:21" s="3" customFormat="1" x14ac:dyDescent="0.25"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</row>
    <row r="146" spans="7:21" s="3" customFormat="1" x14ac:dyDescent="0.25"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</row>
    <row r="147" spans="7:21" s="3" customFormat="1" x14ac:dyDescent="0.25"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</row>
    <row r="148" spans="7:21" s="3" customFormat="1" x14ac:dyDescent="0.25"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</row>
    <row r="149" spans="7:21" s="3" customFormat="1" x14ac:dyDescent="0.25"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</row>
    <row r="150" spans="7:21" s="3" customFormat="1" x14ac:dyDescent="0.25"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</row>
    <row r="151" spans="7:21" s="3" customFormat="1" x14ac:dyDescent="0.25"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</row>
    <row r="152" spans="7:21" s="3" customFormat="1" x14ac:dyDescent="0.25"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</row>
    <row r="153" spans="7:21" s="3" customFormat="1" x14ac:dyDescent="0.25"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</row>
    <row r="154" spans="7:21" s="3" customFormat="1" x14ac:dyDescent="0.25"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</row>
    <row r="155" spans="7:21" s="3" customFormat="1" x14ac:dyDescent="0.25"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</row>
    <row r="156" spans="7:21" s="3" customFormat="1" x14ac:dyDescent="0.25"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</row>
    <row r="157" spans="7:21" s="3" customFormat="1" x14ac:dyDescent="0.25"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</row>
    <row r="158" spans="7:21" s="3" customFormat="1" x14ac:dyDescent="0.25"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</row>
    <row r="159" spans="7:21" s="3" customFormat="1" x14ac:dyDescent="0.25"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</row>
    <row r="160" spans="7:21" s="3" customFormat="1" x14ac:dyDescent="0.25"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</row>
    <row r="161" spans="7:21" s="3" customFormat="1" x14ac:dyDescent="0.25"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</row>
    <row r="162" spans="7:21" s="3" customFormat="1" x14ac:dyDescent="0.25"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</row>
    <row r="163" spans="7:21" s="3" customFormat="1" x14ac:dyDescent="0.25"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</row>
    <row r="164" spans="7:21" s="3" customFormat="1" x14ac:dyDescent="0.25"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</row>
    <row r="165" spans="7:21" s="3" customFormat="1" x14ac:dyDescent="0.25"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</row>
    <row r="166" spans="7:21" s="3" customFormat="1" x14ac:dyDescent="0.25"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</row>
    <row r="167" spans="7:21" s="3" customFormat="1" x14ac:dyDescent="0.25"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</row>
    <row r="168" spans="7:21" s="3" customFormat="1" x14ac:dyDescent="0.25"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</row>
    <row r="169" spans="7:21" s="3" customFormat="1" x14ac:dyDescent="0.25"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</row>
    <row r="170" spans="7:21" s="3" customFormat="1" x14ac:dyDescent="0.25"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</row>
    <row r="171" spans="7:21" s="3" customFormat="1" x14ac:dyDescent="0.25"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</row>
    <row r="172" spans="7:21" s="3" customFormat="1" x14ac:dyDescent="0.25"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</row>
    <row r="173" spans="7:21" s="3" customFormat="1" x14ac:dyDescent="0.25"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</row>
    <row r="174" spans="7:21" s="3" customFormat="1" x14ac:dyDescent="0.25"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</row>
    <row r="175" spans="7:21" s="3" customFormat="1" x14ac:dyDescent="0.25"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</row>
    <row r="176" spans="7:21" s="3" customFormat="1" x14ac:dyDescent="0.25"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</row>
    <row r="177" spans="7:21" s="3" customFormat="1" x14ac:dyDescent="0.25"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</row>
    <row r="178" spans="7:21" s="3" customFormat="1" x14ac:dyDescent="0.25"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</row>
    <row r="179" spans="7:21" s="3" customFormat="1" x14ac:dyDescent="0.25"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</row>
    <row r="180" spans="7:21" s="3" customFormat="1" x14ac:dyDescent="0.25"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</row>
    <row r="181" spans="7:21" s="3" customFormat="1" x14ac:dyDescent="0.25"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</row>
    <row r="182" spans="7:21" s="3" customFormat="1" x14ac:dyDescent="0.25"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</row>
    <row r="183" spans="7:21" s="3" customFormat="1" x14ac:dyDescent="0.25"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</row>
    <row r="184" spans="7:21" s="3" customFormat="1" x14ac:dyDescent="0.25"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</row>
    <row r="185" spans="7:21" s="3" customFormat="1" x14ac:dyDescent="0.25"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</row>
    <row r="186" spans="7:21" s="3" customFormat="1" x14ac:dyDescent="0.25"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</row>
    <row r="187" spans="7:21" s="3" customFormat="1" x14ac:dyDescent="0.25"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</row>
    <row r="188" spans="7:21" s="3" customFormat="1" x14ac:dyDescent="0.25"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</row>
    <row r="189" spans="7:21" s="3" customFormat="1" x14ac:dyDescent="0.25"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</row>
    <row r="190" spans="7:21" s="3" customFormat="1" x14ac:dyDescent="0.25"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</row>
    <row r="191" spans="7:21" s="3" customFormat="1" x14ac:dyDescent="0.25"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</row>
    <row r="192" spans="7:21" s="3" customFormat="1" x14ac:dyDescent="0.25"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</row>
    <row r="193" spans="7:21" s="3" customFormat="1" x14ac:dyDescent="0.25"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</row>
    <row r="194" spans="7:21" s="3" customFormat="1" x14ac:dyDescent="0.25"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</row>
    <row r="195" spans="7:21" s="3" customFormat="1" x14ac:dyDescent="0.25"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</row>
    <row r="196" spans="7:21" s="3" customFormat="1" x14ac:dyDescent="0.25"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</row>
  </sheetData>
  <sheetProtection algorithmName="SHA-512" hashValue="6jeM2UpdmUxImakVRhma0Erpesjwe7purKMT6LHUVjbdslBpo6bon8FpX1eVZuUF28cQ+qgATRVUQ5hb8ma07A==" saltValue="tqnHfAPCEOK+Z7j52DmZJQ==" spinCount="100000" sheet="1" objects="1" scenarios="1"/>
  <protectedRanges>
    <protectedRange sqref="C8:C9" name="Range2"/>
    <protectedRange sqref="B6" name="Range1"/>
  </protectedRanges>
  <mergeCells count="7">
    <mergeCell ref="A22:A23"/>
    <mergeCell ref="A4:G4"/>
    <mergeCell ref="A11:E11"/>
    <mergeCell ref="A19:A20"/>
    <mergeCell ref="A13:A14"/>
    <mergeCell ref="A16:A17"/>
    <mergeCell ref="B6:C6"/>
  </mergeCells>
  <dataValidations count="1">
    <dataValidation type="list" allowBlank="1" showInputMessage="1" showErrorMessage="1" promptTitle="Select Enroll Effective Month" sqref="C8" xr:uid="{00000000-0002-0000-0000-000000000000}">
      <formula1>"January, February, March, April, May, June, July, August, September, October, November, December"</formula1>
    </dataValidation>
  </dataValidations>
  <pageMargins left="0.7" right="0.7" top="0.75" bottom="0.75" header="0.3" footer="0.3"/>
  <pageSetup scale="67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t Bene State" xr:uid="{00000000-0002-0000-0000-000001000000}">
          <x14:formula1>
            <xm:f>'2024 Rates'!$A$4:$A$42</xm:f>
          </x14:formula1>
          <xm:sqref>B6:C6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W42"/>
  <sheetViews>
    <sheetView workbookViewId="0">
      <pane xSplit="2" ySplit="3" topLeftCell="E10" activePane="bottomRight" state="frozen"/>
      <selection activeCell="R4" sqref="R4"/>
      <selection pane="topRight" activeCell="R4" sqref="R4"/>
      <selection pane="bottomLeft" activeCell="R4" sqref="R4"/>
      <selection pane="bottomRight" activeCell="B41" sqref="B41"/>
    </sheetView>
  </sheetViews>
  <sheetFormatPr defaultColWidth="8.7109375" defaultRowHeight="15" x14ac:dyDescent="0.25"/>
  <cols>
    <col min="1" max="1" width="18.42578125" customWidth="1"/>
    <col min="3" max="3" width="11.42578125" style="2" bestFit="1" customWidth="1"/>
    <col min="4" max="4" width="13.42578125" style="2" bestFit="1" customWidth="1"/>
    <col min="5" max="9" width="12" style="2" customWidth="1"/>
    <col min="10" max="10" width="12.7109375" style="2" customWidth="1"/>
    <col min="11" max="14" width="12.7109375" customWidth="1"/>
    <col min="15" max="19" width="11.42578125" customWidth="1"/>
  </cols>
  <sheetData>
    <row r="1" spans="1:23" x14ac:dyDescent="0.25">
      <c r="B1" s="11">
        <v>1</v>
      </c>
      <c r="C1" s="12">
        <v>2</v>
      </c>
      <c r="D1" s="12">
        <v>3</v>
      </c>
      <c r="E1" s="12">
        <v>4</v>
      </c>
      <c r="F1" s="12">
        <v>5</v>
      </c>
      <c r="G1" s="12">
        <v>6</v>
      </c>
      <c r="H1" s="12">
        <v>7</v>
      </c>
      <c r="I1" s="12">
        <v>8</v>
      </c>
      <c r="J1" s="12">
        <v>9</v>
      </c>
      <c r="K1" s="12">
        <v>10</v>
      </c>
      <c r="L1" s="12">
        <v>11</v>
      </c>
      <c r="M1" s="12">
        <v>12</v>
      </c>
      <c r="N1" s="12">
        <v>13</v>
      </c>
      <c r="O1" s="12">
        <v>14</v>
      </c>
      <c r="P1" s="12">
        <v>15</v>
      </c>
      <c r="Q1" s="12">
        <v>16</v>
      </c>
      <c r="R1" s="12">
        <v>17</v>
      </c>
      <c r="S1" s="12">
        <v>18</v>
      </c>
    </row>
    <row r="2" spans="1:23" x14ac:dyDescent="0.25">
      <c r="C2" s="90" t="s">
        <v>11</v>
      </c>
      <c r="D2" s="90"/>
      <c r="E2" s="52" t="s">
        <v>12</v>
      </c>
      <c r="F2" s="52" t="s">
        <v>6</v>
      </c>
      <c r="G2" s="52" t="s">
        <v>13</v>
      </c>
      <c r="H2" s="52" t="s">
        <v>14</v>
      </c>
      <c r="I2" s="51" t="s">
        <v>88</v>
      </c>
      <c r="J2" s="52" t="s">
        <v>12</v>
      </c>
      <c r="K2" s="52" t="s">
        <v>6</v>
      </c>
      <c r="L2" s="52" t="s">
        <v>13</v>
      </c>
      <c r="M2" s="52" t="s">
        <v>14</v>
      </c>
      <c r="N2" s="51" t="s">
        <v>88</v>
      </c>
      <c r="O2" s="52" t="s">
        <v>12</v>
      </c>
      <c r="P2" s="52" t="s">
        <v>6</v>
      </c>
      <c r="Q2" s="52" t="s">
        <v>13</v>
      </c>
      <c r="R2" s="52" t="s">
        <v>14</v>
      </c>
      <c r="S2" s="51" t="s">
        <v>88</v>
      </c>
    </row>
    <row r="3" spans="1:23" s="1" customFormat="1" ht="46.5" customHeight="1" x14ac:dyDescent="0.25">
      <c r="A3" s="1" t="s">
        <v>15</v>
      </c>
      <c r="B3" s="1" t="s">
        <v>65</v>
      </c>
      <c r="C3" s="32" t="s">
        <v>16</v>
      </c>
      <c r="D3" s="28" t="s">
        <v>91</v>
      </c>
      <c r="E3" s="28" t="s">
        <v>17</v>
      </c>
      <c r="F3" s="28" t="s">
        <v>17</v>
      </c>
      <c r="G3" s="28" t="s">
        <v>17</v>
      </c>
      <c r="H3" s="28" t="s">
        <v>17</v>
      </c>
      <c r="I3" s="28" t="s">
        <v>17</v>
      </c>
      <c r="J3" s="28" t="s">
        <v>60</v>
      </c>
      <c r="K3" s="28" t="s">
        <v>60</v>
      </c>
      <c r="L3" s="28" t="s">
        <v>60</v>
      </c>
      <c r="M3" s="28" t="s">
        <v>60</v>
      </c>
      <c r="N3" s="28" t="s">
        <v>60</v>
      </c>
      <c r="O3" s="28" t="s">
        <v>61</v>
      </c>
      <c r="P3" s="28" t="s">
        <v>61</v>
      </c>
      <c r="Q3" s="28" t="s">
        <v>61</v>
      </c>
      <c r="R3" s="28" t="s">
        <v>61</v>
      </c>
      <c r="S3" s="28" t="s">
        <v>61</v>
      </c>
      <c r="U3" s="28" t="s">
        <v>89</v>
      </c>
      <c r="V3" s="28" t="s">
        <v>90</v>
      </c>
    </row>
    <row r="4" spans="1:23" x14ac:dyDescent="0.25">
      <c r="A4" t="s">
        <v>4</v>
      </c>
      <c r="B4" t="s">
        <v>4</v>
      </c>
      <c r="C4" s="34">
        <v>100</v>
      </c>
      <c r="D4" s="34">
        <v>50</v>
      </c>
      <c r="E4" s="36">
        <v>3</v>
      </c>
      <c r="F4" s="36">
        <v>3</v>
      </c>
      <c r="G4" s="36">
        <v>3</v>
      </c>
      <c r="H4" s="36">
        <v>6</v>
      </c>
      <c r="I4" s="53">
        <v>1</v>
      </c>
      <c r="J4" s="36">
        <v>1.4</v>
      </c>
      <c r="K4" s="36">
        <v>1.4</v>
      </c>
      <c r="L4" s="36">
        <v>1.4</v>
      </c>
      <c r="M4" s="36">
        <v>2.8</v>
      </c>
      <c r="N4" s="53">
        <v>1</v>
      </c>
      <c r="O4" s="36">
        <v>1.4</v>
      </c>
      <c r="P4" s="36">
        <v>1.4</v>
      </c>
      <c r="Q4" s="36">
        <v>1.4</v>
      </c>
      <c r="R4" s="36">
        <v>2.8</v>
      </c>
      <c r="S4" s="53">
        <v>0.5</v>
      </c>
      <c r="T4" s="29"/>
      <c r="U4" s="29">
        <f>SUM(J4:N4)</f>
        <v>7.9999999999999991</v>
      </c>
      <c r="V4" s="29">
        <f>SUM(O4:S4)</f>
        <v>7.4999999999999991</v>
      </c>
      <c r="W4" s="29"/>
    </row>
    <row r="5" spans="1:23" x14ac:dyDescent="0.25">
      <c r="A5" s="33" t="s">
        <v>9</v>
      </c>
      <c r="B5" t="s">
        <v>41</v>
      </c>
      <c r="C5" s="35">
        <v>611</v>
      </c>
      <c r="D5" s="34">
        <v>306</v>
      </c>
      <c r="E5" s="36">
        <v>50</v>
      </c>
      <c r="F5" s="36">
        <v>50</v>
      </c>
      <c r="G5" s="36">
        <v>50</v>
      </c>
      <c r="H5" s="36">
        <v>50</v>
      </c>
      <c r="I5" s="36">
        <v>50</v>
      </c>
      <c r="J5" s="36">
        <v>50</v>
      </c>
      <c r="K5" s="36">
        <v>50</v>
      </c>
      <c r="L5" s="36">
        <v>50</v>
      </c>
      <c r="M5" s="36">
        <v>50</v>
      </c>
      <c r="N5" s="36">
        <v>50</v>
      </c>
      <c r="O5" s="36">
        <v>25</v>
      </c>
      <c r="P5" s="36">
        <v>25</v>
      </c>
      <c r="Q5" s="36">
        <v>25</v>
      </c>
      <c r="R5" s="36">
        <v>25</v>
      </c>
      <c r="S5" s="36">
        <v>25</v>
      </c>
      <c r="U5" s="29">
        <f t="shared" ref="U5:U42" si="0">SUM(J5:N5)</f>
        <v>250</v>
      </c>
      <c r="V5" s="29">
        <f t="shared" ref="V5:V42" si="1">SUM(O5:S5)</f>
        <v>125</v>
      </c>
    </row>
    <row r="6" spans="1:23" x14ac:dyDescent="0.25">
      <c r="A6" s="33" t="s">
        <v>42</v>
      </c>
      <c r="B6" t="s">
        <v>43</v>
      </c>
      <c r="C6" s="35">
        <v>611</v>
      </c>
      <c r="D6" s="34">
        <v>306</v>
      </c>
      <c r="E6" s="36">
        <v>50</v>
      </c>
      <c r="F6" s="36">
        <v>50</v>
      </c>
      <c r="G6" s="36">
        <v>50</v>
      </c>
      <c r="H6" s="36">
        <v>50</v>
      </c>
      <c r="I6" s="36">
        <v>50</v>
      </c>
      <c r="J6" s="36">
        <v>50</v>
      </c>
      <c r="K6" s="36">
        <v>50</v>
      </c>
      <c r="L6" s="36">
        <v>50</v>
      </c>
      <c r="M6" s="36">
        <v>50</v>
      </c>
      <c r="N6" s="36">
        <v>50</v>
      </c>
      <c r="O6" s="36">
        <v>25</v>
      </c>
      <c r="P6" s="36">
        <v>25</v>
      </c>
      <c r="Q6" s="36">
        <v>25</v>
      </c>
      <c r="R6" s="36">
        <v>25</v>
      </c>
      <c r="S6" s="36">
        <v>25</v>
      </c>
      <c r="U6" s="29">
        <f t="shared" si="0"/>
        <v>250</v>
      </c>
      <c r="V6" s="29">
        <f t="shared" si="1"/>
        <v>125</v>
      </c>
    </row>
    <row r="7" spans="1:23" x14ac:dyDescent="0.25">
      <c r="A7" s="33" t="s">
        <v>18</v>
      </c>
      <c r="B7" t="s">
        <v>19</v>
      </c>
      <c r="C7" s="35">
        <v>611</v>
      </c>
      <c r="D7" s="34">
        <v>306</v>
      </c>
      <c r="E7" s="36">
        <v>50</v>
      </c>
      <c r="F7" s="36">
        <v>50</v>
      </c>
      <c r="G7" s="36">
        <v>50</v>
      </c>
      <c r="H7" s="36">
        <v>50</v>
      </c>
      <c r="I7" s="36">
        <v>50</v>
      </c>
      <c r="J7" s="36">
        <v>50</v>
      </c>
      <c r="K7" s="36">
        <v>50</v>
      </c>
      <c r="L7" s="36">
        <v>50</v>
      </c>
      <c r="M7" s="36">
        <v>50</v>
      </c>
      <c r="N7" s="36">
        <v>50</v>
      </c>
      <c r="O7" s="36">
        <v>25</v>
      </c>
      <c r="P7" s="36">
        <v>25</v>
      </c>
      <c r="Q7" s="36">
        <v>25</v>
      </c>
      <c r="R7" s="36">
        <v>25</v>
      </c>
      <c r="S7" s="36">
        <v>25</v>
      </c>
      <c r="U7" s="29">
        <f t="shared" si="0"/>
        <v>250</v>
      </c>
      <c r="V7" s="29">
        <f t="shared" si="1"/>
        <v>125</v>
      </c>
    </row>
    <row r="8" spans="1:23" x14ac:dyDescent="0.25">
      <c r="A8" s="41" t="s">
        <v>50</v>
      </c>
      <c r="B8" s="41" t="s">
        <v>51</v>
      </c>
      <c r="C8" s="42">
        <v>762</v>
      </c>
      <c r="D8" s="43">
        <v>381</v>
      </c>
      <c r="E8" s="44">
        <v>50</v>
      </c>
      <c r="F8" s="44">
        <v>50</v>
      </c>
      <c r="G8" s="44">
        <v>60</v>
      </c>
      <c r="H8" s="44">
        <v>70</v>
      </c>
      <c r="I8" s="44">
        <v>70</v>
      </c>
      <c r="J8" s="44">
        <v>50</v>
      </c>
      <c r="K8" s="44">
        <v>50</v>
      </c>
      <c r="L8" s="44">
        <v>60</v>
      </c>
      <c r="M8" s="44">
        <v>70</v>
      </c>
      <c r="N8" s="44">
        <v>70</v>
      </c>
      <c r="O8" s="44">
        <v>25</v>
      </c>
      <c r="P8" s="44">
        <v>25</v>
      </c>
      <c r="Q8" s="44">
        <v>30</v>
      </c>
      <c r="R8" s="44">
        <v>35</v>
      </c>
      <c r="S8" s="44">
        <v>35</v>
      </c>
      <c r="T8" s="41"/>
      <c r="U8" s="45">
        <f t="shared" si="0"/>
        <v>300</v>
      </c>
      <c r="V8" s="45">
        <f t="shared" si="1"/>
        <v>150</v>
      </c>
    </row>
    <row r="9" spans="1:23" x14ac:dyDescent="0.25">
      <c r="A9" s="33" t="s">
        <v>20</v>
      </c>
      <c r="B9" t="s">
        <v>21</v>
      </c>
      <c r="C9" s="35">
        <v>689</v>
      </c>
      <c r="D9" s="34">
        <v>345</v>
      </c>
      <c r="E9" s="36">
        <v>50</v>
      </c>
      <c r="F9" s="36">
        <v>50</v>
      </c>
      <c r="G9" s="36">
        <v>50</v>
      </c>
      <c r="H9" s="36">
        <v>50</v>
      </c>
      <c r="I9" s="36">
        <v>50</v>
      </c>
      <c r="J9" s="36">
        <v>50</v>
      </c>
      <c r="K9" s="36">
        <v>50</v>
      </c>
      <c r="L9" s="36">
        <v>50</v>
      </c>
      <c r="M9" s="36">
        <v>50</v>
      </c>
      <c r="N9" s="36">
        <v>50</v>
      </c>
      <c r="O9" s="36">
        <v>25</v>
      </c>
      <c r="P9" s="36">
        <v>25</v>
      </c>
      <c r="Q9" s="36">
        <v>25</v>
      </c>
      <c r="R9" s="36">
        <v>25</v>
      </c>
      <c r="S9" s="36">
        <v>25</v>
      </c>
      <c r="U9" s="29">
        <f t="shared" si="0"/>
        <v>250</v>
      </c>
      <c r="V9" s="29">
        <f t="shared" si="1"/>
        <v>125</v>
      </c>
    </row>
    <row r="10" spans="1:23" x14ac:dyDescent="0.25">
      <c r="A10" s="33" t="s">
        <v>94</v>
      </c>
      <c r="B10" t="s">
        <v>95</v>
      </c>
      <c r="C10" s="35">
        <v>689</v>
      </c>
      <c r="D10" s="34">
        <v>345</v>
      </c>
      <c r="E10" s="36">
        <v>50</v>
      </c>
      <c r="F10" s="36">
        <v>50</v>
      </c>
      <c r="G10" s="36">
        <v>50</v>
      </c>
      <c r="H10" s="36">
        <v>50</v>
      </c>
      <c r="I10" s="36">
        <v>50</v>
      </c>
      <c r="J10" s="36">
        <v>50</v>
      </c>
      <c r="K10" s="36">
        <v>50</v>
      </c>
      <c r="L10" s="36">
        <v>50</v>
      </c>
      <c r="M10" s="36">
        <v>50</v>
      </c>
      <c r="N10" s="36">
        <v>50</v>
      </c>
      <c r="O10" s="36">
        <v>25</v>
      </c>
      <c r="P10" s="36">
        <v>25</v>
      </c>
      <c r="Q10" s="36">
        <v>25</v>
      </c>
      <c r="R10" s="36">
        <v>25</v>
      </c>
      <c r="S10" s="36">
        <v>25</v>
      </c>
      <c r="U10" s="29">
        <f t="shared" si="0"/>
        <v>250</v>
      </c>
      <c r="V10" s="29">
        <f t="shared" si="1"/>
        <v>125</v>
      </c>
    </row>
    <row r="11" spans="1:23" x14ac:dyDescent="0.25">
      <c r="A11" s="33" t="s">
        <v>100</v>
      </c>
      <c r="B11" t="s">
        <v>101</v>
      </c>
      <c r="C11" s="35">
        <v>611</v>
      </c>
      <c r="D11" s="34">
        <v>306</v>
      </c>
      <c r="E11" s="36">
        <v>50</v>
      </c>
      <c r="F11" s="36">
        <v>50</v>
      </c>
      <c r="G11" s="36">
        <v>50</v>
      </c>
      <c r="H11" s="36">
        <v>50</v>
      </c>
      <c r="I11" s="36">
        <v>50</v>
      </c>
      <c r="J11" s="36">
        <v>50</v>
      </c>
      <c r="K11" s="36">
        <v>50</v>
      </c>
      <c r="L11" s="36">
        <v>50</v>
      </c>
      <c r="M11" s="36">
        <v>50</v>
      </c>
      <c r="N11" s="36">
        <v>50</v>
      </c>
      <c r="O11" s="36">
        <v>25</v>
      </c>
      <c r="P11" s="36">
        <v>25</v>
      </c>
      <c r="Q11" s="36">
        <v>25</v>
      </c>
      <c r="R11" s="36">
        <v>25</v>
      </c>
      <c r="S11" s="36">
        <v>25</v>
      </c>
      <c r="U11" s="29">
        <f t="shared" si="0"/>
        <v>250</v>
      </c>
      <c r="V11" s="29">
        <f t="shared" si="1"/>
        <v>125</v>
      </c>
    </row>
    <row r="12" spans="1:23" x14ac:dyDescent="0.25">
      <c r="A12" s="33" t="s">
        <v>22</v>
      </c>
      <c r="B12" t="s">
        <v>23</v>
      </c>
      <c r="C12" s="35">
        <v>611</v>
      </c>
      <c r="D12" s="34">
        <v>306</v>
      </c>
      <c r="E12" s="36">
        <v>50</v>
      </c>
      <c r="F12" s="36">
        <v>50</v>
      </c>
      <c r="G12" s="36">
        <v>50</v>
      </c>
      <c r="H12" s="36">
        <v>50</v>
      </c>
      <c r="I12" s="36">
        <v>50</v>
      </c>
      <c r="J12" s="36">
        <v>50</v>
      </c>
      <c r="K12" s="36">
        <v>50</v>
      </c>
      <c r="L12" s="36">
        <v>50</v>
      </c>
      <c r="M12" s="36">
        <v>50</v>
      </c>
      <c r="N12" s="36">
        <v>50</v>
      </c>
      <c r="O12" s="36">
        <v>25</v>
      </c>
      <c r="P12" s="36">
        <v>25</v>
      </c>
      <c r="Q12" s="36">
        <v>25</v>
      </c>
      <c r="R12" s="36">
        <v>25</v>
      </c>
      <c r="S12" s="36">
        <v>25</v>
      </c>
      <c r="U12" s="29">
        <f t="shared" si="0"/>
        <v>250</v>
      </c>
      <c r="V12" s="29">
        <f t="shared" si="1"/>
        <v>125</v>
      </c>
    </row>
    <row r="13" spans="1:23" x14ac:dyDescent="0.25">
      <c r="A13" s="33" t="s">
        <v>24</v>
      </c>
      <c r="B13" t="s">
        <v>12</v>
      </c>
      <c r="C13" s="35">
        <v>611</v>
      </c>
      <c r="D13" s="34">
        <v>306</v>
      </c>
      <c r="E13" s="36">
        <v>50</v>
      </c>
      <c r="F13" s="36">
        <v>50</v>
      </c>
      <c r="G13" s="36">
        <v>50</v>
      </c>
      <c r="H13" s="36">
        <v>50</v>
      </c>
      <c r="I13" s="36">
        <v>50</v>
      </c>
      <c r="J13" s="36">
        <v>50</v>
      </c>
      <c r="K13" s="36">
        <v>50</v>
      </c>
      <c r="L13" s="36">
        <v>50</v>
      </c>
      <c r="M13" s="36">
        <v>50</v>
      </c>
      <c r="N13" s="36">
        <v>50</v>
      </c>
      <c r="O13" s="36">
        <v>25</v>
      </c>
      <c r="P13" s="36">
        <v>25</v>
      </c>
      <c r="Q13" s="36">
        <v>25</v>
      </c>
      <c r="R13" s="36">
        <v>25</v>
      </c>
      <c r="S13" s="36">
        <v>25</v>
      </c>
      <c r="U13" s="29">
        <f t="shared" si="0"/>
        <v>250</v>
      </c>
      <c r="V13" s="29">
        <f t="shared" si="1"/>
        <v>125</v>
      </c>
    </row>
    <row r="14" spans="1:23" x14ac:dyDescent="0.25">
      <c r="A14" s="33" t="s">
        <v>25</v>
      </c>
      <c r="B14" t="s">
        <v>26</v>
      </c>
      <c r="C14" s="35">
        <v>611</v>
      </c>
      <c r="D14" s="34">
        <v>306</v>
      </c>
      <c r="E14" s="36">
        <v>50</v>
      </c>
      <c r="F14" s="36">
        <v>50</v>
      </c>
      <c r="G14" s="36">
        <v>50</v>
      </c>
      <c r="H14" s="36">
        <v>50</v>
      </c>
      <c r="I14" s="36">
        <v>50</v>
      </c>
      <c r="J14" s="36">
        <v>50</v>
      </c>
      <c r="K14" s="36">
        <v>50</v>
      </c>
      <c r="L14" s="36">
        <v>50</v>
      </c>
      <c r="M14" s="36">
        <v>50</v>
      </c>
      <c r="N14" s="36">
        <v>50</v>
      </c>
      <c r="O14" s="36">
        <v>25</v>
      </c>
      <c r="P14" s="36">
        <v>25</v>
      </c>
      <c r="Q14" s="36">
        <v>25</v>
      </c>
      <c r="R14" s="36">
        <v>25</v>
      </c>
      <c r="S14" s="36">
        <v>25</v>
      </c>
      <c r="U14" s="29">
        <f t="shared" si="0"/>
        <v>250</v>
      </c>
      <c r="V14" s="29">
        <f t="shared" si="1"/>
        <v>125</v>
      </c>
    </row>
    <row r="15" spans="1:23" x14ac:dyDescent="0.25">
      <c r="A15" s="33" t="s">
        <v>27</v>
      </c>
      <c r="B15" t="s">
        <v>28</v>
      </c>
      <c r="C15" s="35">
        <v>611</v>
      </c>
      <c r="D15" s="34">
        <v>306</v>
      </c>
      <c r="E15" s="36">
        <v>50</v>
      </c>
      <c r="F15" s="36">
        <v>50</v>
      </c>
      <c r="G15" s="36">
        <v>50</v>
      </c>
      <c r="H15" s="36">
        <v>50</v>
      </c>
      <c r="I15" s="36">
        <v>50</v>
      </c>
      <c r="J15" s="36">
        <v>50</v>
      </c>
      <c r="K15" s="36">
        <v>50</v>
      </c>
      <c r="L15" s="36">
        <v>50</v>
      </c>
      <c r="M15" s="36">
        <v>50</v>
      </c>
      <c r="N15" s="36">
        <v>50</v>
      </c>
      <c r="O15" s="36">
        <v>25</v>
      </c>
      <c r="P15" s="36">
        <v>25</v>
      </c>
      <c r="Q15" s="36">
        <v>25</v>
      </c>
      <c r="R15" s="36">
        <v>25</v>
      </c>
      <c r="S15" s="36">
        <v>25</v>
      </c>
      <c r="U15" s="29">
        <f t="shared" si="0"/>
        <v>250</v>
      </c>
      <c r="V15" s="29">
        <f t="shared" si="1"/>
        <v>125</v>
      </c>
    </row>
    <row r="16" spans="1:23" x14ac:dyDescent="0.25">
      <c r="A16" s="33" t="s">
        <v>63</v>
      </c>
      <c r="B16" t="s">
        <v>54</v>
      </c>
      <c r="C16" s="35">
        <v>611</v>
      </c>
      <c r="D16" s="34">
        <v>306</v>
      </c>
      <c r="E16" s="36">
        <v>50</v>
      </c>
      <c r="F16" s="36">
        <v>50</v>
      </c>
      <c r="G16" s="36">
        <v>50</v>
      </c>
      <c r="H16" s="36">
        <v>50</v>
      </c>
      <c r="I16" s="36">
        <v>50</v>
      </c>
      <c r="J16" s="36">
        <v>50</v>
      </c>
      <c r="K16" s="36">
        <v>50</v>
      </c>
      <c r="L16" s="36">
        <v>50</v>
      </c>
      <c r="M16" s="36">
        <v>50</v>
      </c>
      <c r="N16" s="36">
        <v>50</v>
      </c>
      <c r="O16" s="36">
        <v>25</v>
      </c>
      <c r="P16" s="36">
        <v>25</v>
      </c>
      <c r="Q16" s="36">
        <v>25</v>
      </c>
      <c r="R16" s="36">
        <v>25</v>
      </c>
      <c r="S16" s="36">
        <v>25</v>
      </c>
      <c r="U16" s="29">
        <f t="shared" si="0"/>
        <v>250</v>
      </c>
      <c r="V16" s="29">
        <f t="shared" si="1"/>
        <v>125</v>
      </c>
    </row>
    <row r="17" spans="1:22" x14ac:dyDescent="0.25">
      <c r="A17" s="33" t="s">
        <v>86</v>
      </c>
      <c r="B17" t="s">
        <v>87</v>
      </c>
      <c r="C17" s="35">
        <v>611</v>
      </c>
      <c r="D17" s="34">
        <v>306</v>
      </c>
      <c r="E17" s="36">
        <v>50</v>
      </c>
      <c r="F17" s="36">
        <v>50</v>
      </c>
      <c r="G17" s="36">
        <v>50</v>
      </c>
      <c r="H17" s="36">
        <v>50</v>
      </c>
      <c r="I17" s="36">
        <v>50</v>
      </c>
      <c r="J17" s="36">
        <v>50</v>
      </c>
      <c r="K17" s="36">
        <v>50</v>
      </c>
      <c r="L17" s="36">
        <v>50</v>
      </c>
      <c r="M17" s="36">
        <v>50</v>
      </c>
      <c r="N17" s="36">
        <v>50</v>
      </c>
      <c r="O17" s="36">
        <v>25</v>
      </c>
      <c r="P17" s="36">
        <v>25</v>
      </c>
      <c r="Q17" s="36">
        <v>25</v>
      </c>
      <c r="R17" s="36">
        <v>25</v>
      </c>
      <c r="S17" s="36">
        <v>25</v>
      </c>
      <c r="U17" s="29">
        <f t="shared" si="0"/>
        <v>250</v>
      </c>
      <c r="V17" s="29">
        <f t="shared" si="1"/>
        <v>125</v>
      </c>
    </row>
    <row r="18" spans="1:22" x14ac:dyDescent="0.25">
      <c r="A18" s="33" t="s">
        <v>0</v>
      </c>
      <c r="B18" t="s">
        <v>29</v>
      </c>
      <c r="C18" s="35">
        <v>611</v>
      </c>
      <c r="D18" s="34">
        <v>306</v>
      </c>
      <c r="E18" s="36">
        <v>50</v>
      </c>
      <c r="F18" s="36">
        <v>50</v>
      </c>
      <c r="G18" s="36">
        <v>50</v>
      </c>
      <c r="H18" s="36">
        <v>50</v>
      </c>
      <c r="I18" s="36">
        <v>50</v>
      </c>
      <c r="J18" s="36">
        <v>50</v>
      </c>
      <c r="K18" s="36">
        <v>50</v>
      </c>
      <c r="L18" s="36">
        <v>50</v>
      </c>
      <c r="M18" s="36">
        <v>50</v>
      </c>
      <c r="N18" s="36">
        <v>50</v>
      </c>
      <c r="O18" s="36">
        <v>25</v>
      </c>
      <c r="P18" s="36">
        <v>25</v>
      </c>
      <c r="Q18" s="36">
        <v>25</v>
      </c>
      <c r="R18" s="36">
        <v>25</v>
      </c>
      <c r="S18" s="36">
        <v>25</v>
      </c>
      <c r="U18" s="29">
        <f t="shared" si="0"/>
        <v>250</v>
      </c>
      <c r="V18" s="29">
        <f t="shared" si="1"/>
        <v>125</v>
      </c>
    </row>
    <row r="19" spans="1:22" x14ac:dyDescent="0.25">
      <c r="A19" s="33" t="s">
        <v>30</v>
      </c>
      <c r="B19" t="s">
        <v>31</v>
      </c>
      <c r="C19" s="35">
        <v>611</v>
      </c>
      <c r="D19" s="34">
        <v>306</v>
      </c>
      <c r="E19" s="36">
        <v>50</v>
      </c>
      <c r="F19" s="36">
        <v>50</v>
      </c>
      <c r="G19" s="36">
        <v>50</v>
      </c>
      <c r="H19" s="36">
        <v>50</v>
      </c>
      <c r="I19" s="36">
        <v>50</v>
      </c>
      <c r="J19" s="36">
        <v>50</v>
      </c>
      <c r="K19" s="36">
        <v>50</v>
      </c>
      <c r="L19" s="36">
        <v>50</v>
      </c>
      <c r="M19" s="36">
        <v>50</v>
      </c>
      <c r="N19" s="36">
        <v>50</v>
      </c>
      <c r="O19" s="36">
        <v>25</v>
      </c>
      <c r="P19" s="36">
        <v>25</v>
      </c>
      <c r="Q19" s="36">
        <v>25</v>
      </c>
      <c r="R19" s="36">
        <v>25</v>
      </c>
      <c r="S19" s="36">
        <v>25</v>
      </c>
      <c r="T19" s="30"/>
      <c r="U19" s="29">
        <f t="shared" si="0"/>
        <v>250</v>
      </c>
      <c r="V19" s="29">
        <f t="shared" si="1"/>
        <v>125</v>
      </c>
    </row>
    <row r="20" spans="1:22" x14ac:dyDescent="0.25">
      <c r="A20" s="33" t="s">
        <v>102</v>
      </c>
      <c r="B20" t="s">
        <v>103</v>
      </c>
      <c r="C20" s="35">
        <v>611</v>
      </c>
      <c r="D20" s="34">
        <v>306</v>
      </c>
      <c r="E20" s="36">
        <v>50</v>
      </c>
      <c r="F20" s="36">
        <v>50</v>
      </c>
      <c r="G20" s="36">
        <v>50</v>
      </c>
      <c r="H20" s="36">
        <v>50</v>
      </c>
      <c r="I20" s="36">
        <v>50</v>
      </c>
      <c r="J20" s="36">
        <v>50</v>
      </c>
      <c r="K20" s="36">
        <v>50</v>
      </c>
      <c r="L20" s="36">
        <v>50</v>
      </c>
      <c r="M20" s="36">
        <v>50</v>
      </c>
      <c r="N20" s="36">
        <v>50</v>
      </c>
      <c r="O20" s="36">
        <v>25</v>
      </c>
      <c r="P20" s="36">
        <v>25</v>
      </c>
      <c r="Q20" s="36">
        <v>25</v>
      </c>
      <c r="R20" s="36">
        <v>25</v>
      </c>
      <c r="S20" s="36">
        <v>25</v>
      </c>
      <c r="U20" s="29">
        <f t="shared" si="0"/>
        <v>250</v>
      </c>
      <c r="V20" s="29">
        <f t="shared" si="1"/>
        <v>125</v>
      </c>
    </row>
    <row r="21" spans="1:22" x14ac:dyDescent="0.25">
      <c r="A21" s="33" t="s">
        <v>48</v>
      </c>
      <c r="B21" t="s">
        <v>49</v>
      </c>
      <c r="C21" s="35">
        <v>611</v>
      </c>
      <c r="D21" s="34">
        <v>306</v>
      </c>
      <c r="E21" s="36">
        <v>50</v>
      </c>
      <c r="F21" s="36">
        <v>50</v>
      </c>
      <c r="G21" s="36">
        <v>50</v>
      </c>
      <c r="H21" s="36">
        <v>50</v>
      </c>
      <c r="I21" s="36">
        <v>50</v>
      </c>
      <c r="J21" s="36">
        <v>50</v>
      </c>
      <c r="K21" s="36">
        <v>50</v>
      </c>
      <c r="L21" s="36">
        <v>50</v>
      </c>
      <c r="M21" s="36">
        <v>50</v>
      </c>
      <c r="N21" s="36">
        <v>50</v>
      </c>
      <c r="O21" s="36">
        <v>25</v>
      </c>
      <c r="P21" s="36">
        <v>25</v>
      </c>
      <c r="Q21" s="36">
        <v>25</v>
      </c>
      <c r="R21" s="36">
        <v>25</v>
      </c>
      <c r="S21" s="36">
        <v>25</v>
      </c>
      <c r="U21" s="29">
        <f t="shared" si="0"/>
        <v>250</v>
      </c>
      <c r="V21" s="29">
        <f t="shared" si="1"/>
        <v>125</v>
      </c>
    </row>
    <row r="22" spans="1:22" x14ac:dyDescent="0.25">
      <c r="A22" s="33" t="s">
        <v>64</v>
      </c>
      <c r="B22" t="s">
        <v>56</v>
      </c>
      <c r="C22" s="35">
        <v>611</v>
      </c>
      <c r="D22" s="34">
        <v>306</v>
      </c>
      <c r="E22" s="36">
        <v>50</v>
      </c>
      <c r="F22" s="36">
        <v>50</v>
      </c>
      <c r="G22" s="36">
        <v>50</v>
      </c>
      <c r="H22" s="36">
        <v>50</v>
      </c>
      <c r="I22" s="36">
        <v>50</v>
      </c>
      <c r="J22" s="36">
        <v>50</v>
      </c>
      <c r="K22" s="36">
        <v>50</v>
      </c>
      <c r="L22" s="36">
        <v>50</v>
      </c>
      <c r="M22" s="36">
        <v>50</v>
      </c>
      <c r="N22" s="36">
        <v>50</v>
      </c>
      <c r="O22" s="36">
        <v>25</v>
      </c>
      <c r="P22" s="36">
        <v>25</v>
      </c>
      <c r="Q22" s="36">
        <v>25</v>
      </c>
      <c r="R22" s="36">
        <v>25</v>
      </c>
      <c r="S22" s="36">
        <v>25</v>
      </c>
      <c r="U22" s="29">
        <f t="shared" si="0"/>
        <v>250</v>
      </c>
      <c r="V22" s="29">
        <f t="shared" si="1"/>
        <v>125</v>
      </c>
    </row>
    <row r="23" spans="1:22" x14ac:dyDescent="0.25">
      <c r="A23" s="33" t="s">
        <v>32</v>
      </c>
      <c r="B23" t="s">
        <v>33</v>
      </c>
      <c r="C23" s="35">
        <v>611</v>
      </c>
      <c r="D23" s="34">
        <v>306</v>
      </c>
      <c r="E23" s="36">
        <v>50</v>
      </c>
      <c r="F23" s="36">
        <v>50</v>
      </c>
      <c r="G23" s="36">
        <v>50</v>
      </c>
      <c r="H23" s="36">
        <v>50</v>
      </c>
      <c r="I23" s="36">
        <v>50</v>
      </c>
      <c r="J23" s="36">
        <v>50</v>
      </c>
      <c r="K23" s="36">
        <v>50</v>
      </c>
      <c r="L23" s="36">
        <v>50</v>
      </c>
      <c r="M23" s="36">
        <v>50</v>
      </c>
      <c r="N23" s="36">
        <v>50</v>
      </c>
      <c r="O23" s="36">
        <v>25</v>
      </c>
      <c r="P23" s="36">
        <v>25</v>
      </c>
      <c r="Q23" s="36">
        <v>25</v>
      </c>
      <c r="R23" s="36">
        <v>25</v>
      </c>
      <c r="S23" s="36">
        <v>25</v>
      </c>
      <c r="U23" s="29">
        <f t="shared" si="0"/>
        <v>250</v>
      </c>
      <c r="V23" s="29">
        <f t="shared" si="1"/>
        <v>125</v>
      </c>
    </row>
    <row r="24" spans="1:22" x14ac:dyDescent="0.25">
      <c r="A24" s="33" t="s">
        <v>71</v>
      </c>
      <c r="B24" t="s">
        <v>66</v>
      </c>
      <c r="C24" s="35">
        <v>611</v>
      </c>
      <c r="D24" s="34">
        <v>306</v>
      </c>
      <c r="E24" s="36">
        <v>50</v>
      </c>
      <c r="F24" s="36">
        <v>50</v>
      </c>
      <c r="G24" s="36">
        <v>50</v>
      </c>
      <c r="H24" s="36">
        <v>50</v>
      </c>
      <c r="I24" s="36">
        <v>50</v>
      </c>
      <c r="J24" s="36">
        <v>50</v>
      </c>
      <c r="K24" s="36">
        <v>50</v>
      </c>
      <c r="L24" s="36">
        <v>50</v>
      </c>
      <c r="M24" s="36">
        <v>50</v>
      </c>
      <c r="N24" s="36">
        <v>50</v>
      </c>
      <c r="O24" s="36">
        <v>25</v>
      </c>
      <c r="P24" s="36">
        <v>25</v>
      </c>
      <c r="Q24" s="36">
        <v>25</v>
      </c>
      <c r="R24" s="36">
        <v>25</v>
      </c>
      <c r="S24" s="36">
        <v>25</v>
      </c>
      <c r="U24" s="29">
        <f t="shared" si="0"/>
        <v>250</v>
      </c>
      <c r="V24" s="29">
        <f t="shared" si="1"/>
        <v>125</v>
      </c>
    </row>
    <row r="25" spans="1:22" x14ac:dyDescent="0.25">
      <c r="A25" s="33" t="s">
        <v>104</v>
      </c>
      <c r="B25" t="s">
        <v>105</v>
      </c>
      <c r="C25" s="35">
        <v>611</v>
      </c>
      <c r="D25" s="34">
        <v>306</v>
      </c>
      <c r="E25" s="36">
        <v>50</v>
      </c>
      <c r="F25" s="36">
        <v>50</v>
      </c>
      <c r="G25" s="36">
        <v>50</v>
      </c>
      <c r="H25" s="36">
        <v>50</v>
      </c>
      <c r="I25" s="36">
        <v>50</v>
      </c>
      <c r="J25" s="36">
        <v>50</v>
      </c>
      <c r="K25" s="36">
        <v>50</v>
      </c>
      <c r="L25" s="36">
        <v>50</v>
      </c>
      <c r="M25" s="36">
        <v>50</v>
      </c>
      <c r="N25" s="36">
        <v>50</v>
      </c>
      <c r="O25" s="36">
        <v>25</v>
      </c>
      <c r="P25" s="36">
        <v>25</v>
      </c>
      <c r="Q25" s="36">
        <v>25</v>
      </c>
      <c r="R25" s="36">
        <v>25</v>
      </c>
      <c r="S25" s="36">
        <v>25</v>
      </c>
      <c r="U25" s="29">
        <f t="shared" si="0"/>
        <v>250</v>
      </c>
      <c r="V25" s="29">
        <f t="shared" si="1"/>
        <v>125</v>
      </c>
    </row>
    <row r="26" spans="1:22" x14ac:dyDescent="0.25">
      <c r="A26" s="33" t="s">
        <v>84</v>
      </c>
      <c r="B26" t="s">
        <v>85</v>
      </c>
      <c r="C26" s="35">
        <v>611</v>
      </c>
      <c r="D26" s="34">
        <v>306</v>
      </c>
      <c r="E26" s="36">
        <v>50</v>
      </c>
      <c r="F26" s="36">
        <v>50</v>
      </c>
      <c r="G26" s="36">
        <v>50</v>
      </c>
      <c r="H26" s="36">
        <v>50</v>
      </c>
      <c r="I26" s="36">
        <v>50</v>
      </c>
      <c r="J26" s="36">
        <v>50</v>
      </c>
      <c r="K26" s="36">
        <v>50</v>
      </c>
      <c r="L26" s="36">
        <v>50</v>
      </c>
      <c r="M26" s="36">
        <v>50</v>
      </c>
      <c r="N26" s="36">
        <v>50</v>
      </c>
      <c r="O26" s="36">
        <v>25</v>
      </c>
      <c r="P26" s="36">
        <v>25</v>
      </c>
      <c r="Q26" s="36">
        <v>25</v>
      </c>
      <c r="R26" s="36">
        <v>25</v>
      </c>
      <c r="S26" s="36">
        <v>25</v>
      </c>
      <c r="U26" s="29">
        <f t="shared" si="0"/>
        <v>250</v>
      </c>
      <c r="V26" s="29">
        <f t="shared" si="1"/>
        <v>125</v>
      </c>
    </row>
    <row r="27" spans="1:22" x14ac:dyDescent="0.25">
      <c r="A27" s="33" t="s">
        <v>72</v>
      </c>
      <c r="B27" t="s">
        <v>67</v>
      </c>
      <c r="C27" s="35">
        <v>611</v>
      </c>
      <c r="D27" s="34">
        <v>306</v>
      </c>
      <c r="E27" s="36">
        <v>50</v>
      </c>
      <c r="F27" s="36">
        <v>50</v>
      </c>
      <c r="G27" s="36">
        <v>50</v>
      </c>
      <c r="H27" s="36">
        <v>50</v>
      </c>
      <c r="I27" s="36">
        <v>50</v>
      </c>
      <c r="J27" s="36">
        <v>50</v>
      </c>
      <c r="K27" s="36">
        <v>50</v>
      </c>
      <c r="L27" s="36">
        <v>50</v>
      </c>
      <c r="M27" s="36">
        <v>50</v>
      </c>
      <c r="N27" s="36">
        <v>50</v>
      </c>
      <c r="O27" s="36">
        <v>25</v>
      </c>
      <c r="P27" s="36">
        <v>25</v>
      </c>
      <c r="Q27" s="36">
        <v>25</v>
      </c>
      <c r="R27" s="36">
        <v>25</v>
      </c>
      <c r="S27" s="36">
        <v>25</v>
      </c>
      <c r="U27" s="29">
        <f t="shared" si="0"/>
        <v>250</v>
      </c>
      <c r="V27" s="29">
        <f t="shared" si="1"/>
        <v>125</v>
      </c>
    </row>
    <row r="28" spans="1:22" x14ac:dyDescent="0.25">
      <c r="A28" s="33" t="s">
        <v>5</v>
      </c>
      <c r="B28" t="s">
        <v>34</v>
      </c>
      <c r="C28" s="42">
        <v>762</v>
      </c>
      <c r="D28" s="43">
        <v>381</v>
      </c>
      <c r="E28" s="36">
        <v>50</v>
      </c>
      <c r="F28" s="36">
        <v>50</v>
      </c>
      <c r="G28" s="36">
        <v>50</v>
      </c>
      <c r="H28" s="36">
        <v>50</v>
      </c>
      <c r="I28" s="36">
        <v>50</v>
      </c>
      <c r="J28" s="36">
        <v>50</v>
      </c>
      <c r="K28" s="36">
        <v>50</v>
      </c>
      <c r="L28" s="36">
        <v>50</v>
      </c>
      <c r="M28" s="36">
        <v>50</v>
      </c>
      <c r="N28" s="36">
        <v>50</v>
      </c>
      <c r="O28" s="36">
        <v>25</v>
      </c>
      <c r="P28" s="36">
        <v>25</v>
      </c>
      <c r="Q28" s="36">
        <v>25</v>
      </c>
      <c r="R28" s="36">
        <v>25</v>
      </c>
      <c r="S28" s="36">
        <v>25</v>
      </c>
      <c r="U28" s="29">
        <f t="shared" si="0"/>
        <v>250</v>
      </c>
      <c r="V28" s="29">
        <f t="shared" si="1"/>
        <v>125</v>
      </c>
    </row>
    <row r="29" spans="1:22" x14ac:dyDescent="0.25">
      <c r="A29" s="33" t="s">
        <v>80</v>
      </c>
      <c r="B29" t="s">
        <v>81</v>
      </c>
      <c r="C29" s="35">
        <v>611</v>
      </c>
      <c r="D29" s="34">
        <v>306</v>
      </c>
      <c r="E29" s="36">
        <v>50</v>
      </c>
      <c r="F29" s="36">
        <v>50</v>
      </c>
      <c r="G29" s="36">
        <v>50</v>
      </c>
      <c r="H29" s="36">
        <v>50</v>
      </c>
      <c r="I29" s="36">
        <v>50</v>
      </c>
      <c r="J29" s="36">
        <v>50</v>
      </c>
      <c r="K29" s="36">
        <v>50</v>
      </c>
      <c r="L29" s="36">
        <v>50</v>
      </c>
      <c r="M29" s="36">
        <v>50</v>
      </c>
      <c r="N29" s="36">
        <v>50</v>
      </c>
      <c r="O29" s="36">
        <v>25</v>
      </c>
      <c r="P29" s="36">
        <v>25</v>
      </c>
      <c r="Q29" s="36">
        <v>25</v>
      </c>
      <c r="R29" s="36">
        <v>25</v>
      </c>
      <c r="S29" s="36">
        <v>25</v>
      </c>
      <c r="U29" s="29">
        <f t="shared" si="0"/>
        <v>250</v>
      </c>
      <c r="V29" s="29">
        <f t="shared" si="1"/>
        <v>125</v>
      </c>
    </row>
    <row r="30" spans="1:22" x14ac:dyDescent="0.25">
      <c r="A30" s="33" t="s">
        <v>44</v>
      </c>
      <c r="B30" t="s">
        <v>45</v>
      </c>
      <c r="C30" s="35">
        <v>611</v>
      </c>
      <c r="D30" s="34">
        <v>306</v>
      </c>
      <c r="E30" s="36">
        <v>50</v>
      </c>
      <c r="F30" s="36">
        <v>50</v>
      </c>
      <c r="G30" s="36">
        <v>50</v>
      </c>
      <c r="H30" s="36">
        <v>50</v>
      </c>
      <c r="I30" s="36">
        <v>50</v>
      </c>
      <c r="J30" s="36">
        <v>50</v>
      </c>
      <c r="K30" s="36">
        <v>50</v>
      </c>
      <c r="L30" s="36">
        <v>50</v>
      </c>
      <c r="M30" s="36">
        <v>50</v>
      </c>
      <c r="N30" s="36">
        <v>50</v>
      </c>
      <c r="O30" s="36">
        <v>25</v>
      </c>
      <c r="P30" s="36">
        <v>25</v>
      </c>
      <c r="Q30" s="36">
        <v>25</v>
      </c>
      <c r="R30" s="36">
        <v>25</v>
      </c>
      <c r="S30" s="36">
        <v>25</v>
      </c>
      <c r="U30" s="29">
        <f t="shared" si="0"/>
        <v>250</v>
      </c>
      <c r="V30" s="29">
        <f t="shared" si="1"/>
        <v>125</v>
      </c>
    </row>
    <row r="31" spans="1:22" x14ac:dyDescent="0.25">
      <c r="A31" s="33" t="s">
        <v>35</v>
      </c>
      <c r="B31" t="s">
        <v>36</v>
      </c>
      <c r="C31" s="35">
        <v>611</v>
      </c>
      <c r="D31" s="34">
        <v>306</v>
      </c>
      <c r="E31" s="36">
        <v>50</v>
      </c>
      <c r="F31" s="36">
        <v>50</v>
      </c>
      <c r="G31" s="36">
        <v>50</v>
      </c>
      <c r="H31" s="36">
        <v>50</v>
      </c>
      <c r="I31" s="36">
        <v>50</v>
      </c>
      <c r="J31" s="36">
        <v>50</v>
      </c>
      <c r="K31" s="36">
        <v>50</v>
      </c>
      <c r="L31" s="36">
        <v>50</v>
      </c>
      <c r="M31" s="36">
        <v>50</v>
      </c>
      <c r="N31" s="36">
        <v>50</v>
      </c>
      <c r="O31" s="36">
        <v>25</v>
      </c>
      <c r="P31" s="36">
        <v>25</v>
      </c>
      <c r="Q31" s="36">
        <v>25</v>
      </c>
      <c r="R31" s="36">
        <v>25</v>
      </c>
      <c r="S31" s="36">
        <v>25</v>
      </c>
      <c r="U31" s="29">
        <f t="shared" si="0"/>
        <v>250</v>
      </c>
      <c r="V31" s="29">
        <f t="shared" si="1"/>
        <v>125</v>
      </c>
    </row>
    <row r="32" spans="1:22" x14ac:dyDescent="0.25">
      <c r="A32" s="33" t="s">
        <v>62</v>
      </c>
      <c r="B32" t="s">
        <v>55</v>
      </c>
      <c r="C32" s="35">
        <v>611</v>
      </c>
      <c r="D32" s="34">
        <v>306</v>
      </c>
      <c r="E32" s="36">
        <v>50</v>
      </c>
      <c r="F32" s="36">
        <v>50</v>
      </c>
      <c r="G32" s="36">
        <v>50</v>
      </c>
      <c r="H32" s="36">
        <v>50</v>
      </c>
      <c r="I32" s="36">
        <v>50</v>
      </c>
      <c r="J32" s="36">
        <v>50</v>
      </c>
      <c r="K32" s="36">
        <v>50</v>
      </c>
      <c r="L32" s="36">
        <v>50</v>
      </c>
      <c r="M32" s="36">
        <v>50</v>
      </c>
      <c r="N32" s="36">
        <v>50</v>
      </c>
      <c r="O32" s="36">
        <v>25</v>
      </c>
      <c r="P32" s="36">
        <v>25</v>
      </c>
      <c r="Q32" s="36">
        <v>25</v>
      </c>
      <c r="R32" s="36">
        <v>25</v>
      </c>
      <c r="S32" s="36">
        <v>25</v>
      </c>
      <c r="U32" s="29">
        <f t="shared" si="0"/>
        <v>250</v>
      </c>
      <c r="V32" s="29">
        <f t="shared" si="1"/>
        <v>125</v>
      </c>
    </row>
    <row r="33" spans="1:22" x14ac:dyDescent="0.25">
      <c r="A33" s="33" t="s">
        <v>106</v>
      </c>
      <c r="B33" t="s">
        <v>107</v>
      </c>
      <c r="C33" s="35">
        <v>611</v>
      </c>
      <c r="D33" s="34">
        <v>306</v>
      </c>
      <c r="E33" s="36">
        <v>50</v>
      </c>
      <c r="F33" s="36">
        <v>50</v>
      </c>
      <c r="G33" s="36">
        <v>50</v>
      </c>
      <c r="H33" s="36">
        <v>50</v>
      </c>
      <c r="I33" s="36">
        <v>50</v>
      </c>
      <c r="J33" s="36">
        <v>50</v>
      </c>
      <c r="K33" s="36">
        <v>50</v>
      </c>
      <c r="L33" s="36">
        <v>50</v>
      </c>
      <c r="M33" s="36">
        <v>50</v>
      </c>
      <c r="N33" s="36">
        <v>50</v>
      </c>
      <c r="O33" s="36">
        <v>25</v>
      </c>
      <c r="P33" s="36">
        <v>25</v>
      </c>
      <c r="Q33" s="36">
        <v>25</v>
      </c>
      <c r="R33" s="36">
        <v>25</v>
      </c>
      <c r="S33" s="36">
        <v>25</v>
      </c>
      <c r="U33" s="29">
        <f t="shared" si="0"/>
        <v>250</v>
      </c>
      <c r="V33" s="29">
        <f t="shared" si="1"/>
        <v>125</v>
      </c>
    </row>
    <row r="34" spans="1:22" x14ac:dyDescent="0.25">
      <c r="A34" s="33" t="s">
        <v>76</v>
      </c>
      <c r="B34" t="s">
        <v>77</v>
      </c>
      <c r="C34" s="35">
        <v>611</v>
      </c>
      <c r="D34" s="34">
        <v>306</v>
      </c>
      <c r="E34" s="36">
        <v>50</v>
      </c>
      <c r="F34" s="36">
        <v>50</v>
      </c>
      <c r="G34" s="36">
        <v>50</v>
      </c>
      <c r="H34" s="36">
        <v>50</v>
      </c>
      <c r="I34" s="36">
        <v>50</v>
      </c>
      <c r="J34" s="36">
        <v>50</v>
      </c>
      <c r="K34" s="36">
        <v>50</v>
      </c>
      <c r="L34" s="36">
        <v>50</v>
      </c>
      <c r="M34" s="36">
        <v>50</v>
      </c>
      <c r="N34" s="36">
        <v>50</v>
      </c>
      <c r="O34" s="36">
        <v>25</v>
      </c>
      <c r="P34" s="36">
        <v>25</v>
      </c>
      <c r="Q34" s="36">
        <v>25</v>
      </c>
      <c r="R34" s="36">
        <v>25</v>
      </c>
      <c r="S34" s="36">
        <v>25</v>
      </c>
      <c r="U34" s="29">
        <f t="shared" si="0"/>
        <v>250</v>
      </c>
      <c r="V34" s="29">
        <f t="shared" si="1"/>
        <v>125</v>
      </c>
    </row>
    <row r="35" spans="1:22" x14ac:dyDescent="0.25">
      <c r="A35" s="33" t="s">
        <v>78</v>
      </c>
      <c r="B35" t="s">
        <v>79</v>
      </c>
      <c r="C35" s="35">
        <v>689</v>
      </c>
      <c r="D35" s="34">
        <v>345</v>
      </c>
      <c r="E35" s="36">
        <v>50</v>
      </c>
      <c r="F35" s="36">
        <v>50</v>
      </c>
      <c r="G35" s="36">
        <v>50</v>
      </c>
      <c r="H35" s="36">
        <v>50</v>
      </c>
      <c r="I35" s="36">
        <v>50</v>
      </c>
      <c r="J35" s="36">
        <v>50</v>
      </c>
      <c r="K35" s="36">
        <v>50</v>
      </c>
      <c r="L35" s="36">
        <v>50</v>
      </c>
      <c r="M35" s="36">
        <v>50</v>
      </c>
      <c r="N35" s="36">
        <v>50</v>
      </c>
      <c r="O35" s="36">
        <v>25</v>
      </c>
      <c r="P35" s="36">
        <v>25</v>
      </c>
      <c r="Q35" s="36">
        <v>25</v>
      </c>
      <c r="R35" s="36">
        <v>25</v>
      </c>
      <c r="S35" s="36">
        <v>25</v>
      </c>
      <c r="U35" s="29">
        <f t="shared" si="0"/>
        <v>250</v>
      </c>
      <c r="V35" s="29">
        <f t="shared" si="1"/>
        <v>125</v>
      </c>
    </row>
    <row r="36" spans="1:22" x14ac:dyDescent="0.25">
      <c r="A36" s="33" t="s">
        <v>73</v>
      </c>
      <c r="B36" t="s">
        <v>68</v>
      </c>
      <c r="C36" s="35">
        <v>611</v>
      </c>
      <c r="D36" s="34">
        <v>306</v>
      </c>
      <c r="E36" s="36">
        <v>50</v>
      </c>
      <c r="F36" s="36">
        <v>50</v>
      </c>
      <c r="G36" s="36">
        <v>50</v>
      </c>
      <c r="H36" s="36">
        <v>50</v>
      </c>
      <c r="I36" s="36">
        <v>50</v>
      </c>
      <c r="J36" s="36">
        <v>50</v>
      </c>
      <c r="K36" s="36">
        <v>50</v>
      </c>
      <c r="L36" s="36">
        <v>50</v>
      </c>
      <c r="M36" s="36">
        <v>50</v>
      </c>
      <c r="N36" s="36">
        <v>50</v>
      </c>
      <c r="O36" s="36">
        <v>25</v>
      </c>
      <c r="P36" s="36">
        <v>25</v>
      </c>
      <c r="Q36" s="36">
        <v>25</v>
      </c>
      <c r="R36" s="36">
        <v>25</v>
      </c>
      <c r="S36" s="36">
        <v>25</v>
      </c>
      <c r="U36" s="29">
        <f t="shared" si="0"/>
        <v>250</v>
      </c>
      <c r="V36" s="29">
        <f t="shared" si="1"/>
        <v>125</v>
      </c>
    </row>
    <row r="37" spans="1:22" x14ac:dyDescent="0.25">
      <c r="A37" s="33" t="s">
        <v>37</v>
      </c>
      <c r="B37" t="s">
        <v>38</v>
      </c>
      <c r="C37" s="35">
        <v>611</v>
      </c>
      <c r="D37" s="34">
        <v>306</v>
      </c>
      <c r="E37" s="36">
        <v>50</v>
      </c>
      <c r="F37" s="36">
        <v>50</v>
      </c>
      <c r="G37" s="36">
        <v>50</v>
      </c>
      <c r="H37" s="36">
        <v>50</v>
      </c>
      <c r="I37" s="36">
        <v>50</v>
      </c>
      <c r="J37" s="36">
        <v>50</v>
      </c>
      <c r="K37" s="36">
        <v>50</v>
      </c>
      <c r="L37" s="36">
        <v>50</v>
      </c>
      <c r="M37" s="36">
        <v>50</v>
      </c>
      <c r="N37" s="36">
        <v>50</v>
      </c>
      <c r="O37" s="36">
        <v>25</v>
      </c>
      <c r="P37" s="36">
        <v>25</v>
      </c>
      <c r="Q37" s="36">
        <v>25</v>
      </c>
      <c r="R37" s="36">
        <v>25</v>
      </c>
      <c r="S37" s="36">
        <v>25</v>
      </c>
      <c r="U37" s="29">
        <f t="shared" si="0"/>
        <v>250</v>
      </c>
      <c r="V37" s="29">
        <f t="shared" si="1"/>
        <v>125</v>
      </c>
    </row>
    <row r="38" spans="1:22" x14ac:dyDescent="0.25">
      <c r="A38" s="33" t="s">
        <v>39</v>
      </c>
      <c r="B38" t="s">
        <v>40</v>
      </c>
      <c r="C38" s="35">
        <v>611</v>
      </c>
      <c r="D38" s="34">
        <v>306</v>
      </c>
      <c r="E38" s="36">
        <v>50</v>
      </c>
      <c r="F38" s="36">
        <v>50</v>
      </c>
      <c r="G38" s="36">
        <v>50</v>
      </c>
      <c r="H38" s="36">
        <v>50</v>
      </c>
      <c r="I38" s="36">
        <v>50</v>
      </c>
      <c r="J38" s="36">
        <v>50</v>
      </c>
      <c r="K38" s="36">
        <v>50</v>
      </c>
      <c r="L38" s="36">
        <v>50</v>
      </c>
      <c r="M38" s="36">
        <v>50</v>
      </c>
      <c r="N38" s="36">
        <v>50</v>
      </c>
      <c r="O38" s="36">
        <v>25</v>
      </c>
      <c r="P38" s="36">
        <v>25</v>
      </c>
      <c r="Q38" s="36">
        <v>25</v>
      </c>
      <c r="R38" s="36">
        <v>25</v>
      </c>
      <c r="S38" s="36">
        <v>25</v>
      </c>
      <c r="U38" s="29">
        <f t="shared" si="0"/>
        <v>250</v>
      </c>
      <c r="V38" s="29">
        <f t="shared" si="1"/>
        <v>125</v>
      </c>
    </row>
    <row r="39" spans="1:22" x14ac:dyDescent="0.25">
      <c r="A39" s="33" t="s">
        <v>46</v>
      </c>
      <c r="B39" t="s">
        <v>47</v>
      </c>
      <c r="C39" s="35">
        <v>611</v>
      </c>
      <c r="D39" s="34">
        <v>306</v>
      </c>
      <c r="E39" s="36">
        <v>50</v>
      </c>
      <c r="F39" s="36">
        <v>50</v>
      </c>
      <c r="G39" s="36">
        <v>50</v>
      </c>
      <c r="H39" s="36">
        <v>50</v>
      </c>
      <c r="I39" s="36">
        <v>50</v>
      </c>
      <c r="J39" s="36">
        <v>50</v>
      </c>
      <c r="K39" s="36">
        <v>50</v>
      </c>
      <c r="L39" s="36">
        <v>50</v>
      </c>
      <c r="M39" s="36">
        <v>50</v>
      </c>
      <c r="N39" s="36">
        <v>50</v>
      </c>
      <c r="O39" s="36">
        <v>25</v>
      </c>
      <c r="P39" s="36">
        <v>25</v>
      </c>
      <c r="Q39" s="36">
        <v>25</v>
      </c>
      <c r="R39" s="36">
        <v>25</v>
      </c>
      <c r="S39" s="36">
        <v>25</v>
      </c>
      <c r="U39" s="29">
        <f t="shared" si="0"/>
        <v>250</v>
      </c>
      <c r="V39" s="29">
        <f t="shared" si="1"/>
        <v>125</v>
      </c>
    </row>
    <row r="40" spans="1:22" x14ac:dyDescent="0.25">
      <c r="A40" s="33" t="s">
        <v>74</v>
      </c>
      <c r="B40" t="s">
        <v>69</v>
      </c>
      <c r="C40" s="35">
        <v>611</v>
      </c>
      <c r="D40" s="34">
        <v>306</v>
      </c>
      <c r="E40" s="36">
        <v>50</v>
      </c>
      <c r="F40" s="36">
        <v>50</v>
      </c>
      <c r="G40" s="36">
        <v>50</v>
      </c>
      <c r="H40" s="36">
        <v>50</v>
      </c>
      <c r="I40" s="36">
        <v>50</v>
      </c>
      <c r="J40" s="36">
        <v>50</v>
      </c>
      <c r="K40" s="36">
        <v>50</v>
      </c>
      <c r="L40" s="36">
        <v>50</v>
      </c>
      <c r="M40" s="36">
        <v>50</v>
      </c>
      <c r="N40" s="36">
        <v>50</v>
      </c>
      <c r="O40" s="36">
        <v>25</v>
      </c>
      <c r="P40" s="36">
        <v>25</v>
      </c>
      <c r="Q40" s="36">
        <v>25</v>
      </c>
      <c r="R40" s="36">
        <v>25</v>
      </c>
      <c r="S40" s="36">
        <v>25</v>
      </c>
      <c r="U40" s="29">
        <f t="shared" si="0"/>
        <v>250</v>
      </c>
      <c r="V40" s="29">
        <f t="shared" si="1"/>
        <v>125</v>
      </c>
    </row>
    <row r="41" spans="1:22" x14ac:dyDescent="0.25">
      <c r="A41" s="33" t="s">
        <v>75</v>
      </c>
      <c r="B41" t="s">
        <v>70</v>
      </c>
      <c r="C41" s="35">
        <v>611</v>
      </c>
      <c r="D41" s="34">
        <v>306</v>
      </c>
      <c r="E41" s="36">
        <v>50</v>
      </c>
      <c r="F41" s="36">
        <v>50</v>
      </c>
      <c r="G41" s="36">
        <v>50</v>
      </c>
      <c r="H41" s="36">
        <v>50</v>
      </c>
      <c r="I41" s="36">
        <v>50</v>
      </c>
      <c r="J41" s="36">
        <v>50</v>
      </c>
      <c r="K41" s="36">
        <v>50</v>
      </c>
      <c r="L41" s="36">
        <v>50</v>
      </c>
      <c r="M41" s="36">
        <v>50</v>
      </c>
      <c r="N41" s="36">
        <v>50</v>
      </c>
      <c r="O41" s="36">
        <v>25</v>
      </c>
      <c r="P41" s="36">
        <v>25</v>
      </c>
      <c r="Q41" s="36">
        <v>25</v>
      </c>
      <c r="R41" s="36">
        <v>25</v>
      </c>
      <c r="S41" s="36">
        <v>25</v>
      </c>
      <c r="U41" s="29">
        <f t="shared" si="0"/>
        <v>250</v>
      </c>
      <c r="V41" s="29">
        <f t="shared" si="1"/>
        <v>125</v>
      </c>
    </row>
    <row r="42" spans="1:22" x14ac:dyDescent="0.25">
      <c r="A42" s="33" t="s">
        <v>82</v>
      </c>
      <c r="B42" t="s">
        <v>83</v>
      </c>
      <c r="C42" s="35">
        <v>611</v>
      </c>
      <c r="D42" s="34">
        <v>306</v>
      </c>
      <c r="E42" s="36">
        <v>50</v>
      </c>
      <c r="F42" s="36">
        <v>50</v>
      </c>
      <c r="G42" s="36">
        <v>50</v>
      </c>
      <c r="H42" s="36">
        <v>50</v>
      </c>
      <c r="I42" s="36">
        <v>50</v>
      </c>
      <c r="J42" s="36">
        <v>50</v>
      </c>
      <c r="K42" s="36">
        <v>50</v>
      </c>
      <c r="L42" s="36">
        <v>50</v>
      </c>
      <c r="M42" s="36">
        <v>50</v>
      </c>
      <c r="N42" s="36">
        <v>50</v>
      </c>
      <c r="O42" s="36">
        <v>25</v>
      </c>
      <c r="P42" s="36">
        <v>25</v>
      </c>
      <c r="Q42" s="36">
        <v>25</v>
      </c>
      <c r="R42" s="36">
        <v>25</v>
      </c>
      <c r="S42" s="36">
        <v>25</v>
      </c>
      <c r="U42" s="29">
        <f t="shared" si="0"/>
        <v>250</v>
      </c>
      <c r="V42" s="29">
        <f t="shared" si="1"/>
        <v>125</v>
      </c>
    </row>
  </sheetData>
  <sheetProtection algorithmName="SHA-512" hashValue="vi433UJkhNjCHYQkOhmi4uVawM6LL50Twp+W1GNXFp7SIcswRrkxp03Njg1JrXdJYTsfGqT8hzcOrgHy/RJJTg==" saltValue="LHZViJ8+urHaGhc5cgr9mg==" spinCount="100000" sheet="1" objects="1" scenarios="1"/>
  <sortState xmlns:xlrd2="http://schemas.microsoft.com/office/spreadsheetml/2017/richdata2" ref="A5:S26">
    <sortCondition ref="A5:A26"/>
  </sortState>
  <mergeCells count="1">
    <mergeCell ref="C2:D2"/>
  </mergeCells>
  <pageMargins left="0.7" right="0.7" top="0.75" bottom="0.75" header="0.3" footer="0.3"/>
  <pageSetup orientation="portrait" verticalDpi="599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1422C3250C0D4A82D4D764BB4AF877" ma:contentTypeVersion="1" ma:contentTypeDescription="Create a new document." ma:contentTypeScope="" ma:versionID="04474d5d4a6d645eddbd0541c03ba033">
  <xsd:schema xmlns:xsd="http://www.w3.org/2001/XMLSchema" xmlns:xs="http://www.w3.org/2001/XMLSchema" xmlns:p="http://schemas.microsoft.com/office/2006/metadata/properties" xmlns:ns1="http://schemas.microsoft.com/sharepoint/v3" xmlns:ns2="6046f177-04bd-4ef6-b42b-3a343d51723f" targetNamespace="http://schemas.microsoft.com/office/2006/metadata/properties" ma:root="true" ma:fieldsID="c33455f25c577e2c1c0fe1f1b4e8b046" ns1:_="" ns2:_="">
    <xsd:import namespace="http://schemas.microsoft.com/sharepoint/v3"/>
    <xsd:import namespace="6046f177-04bd-4ef6-b42b-3a343d51723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1:PublishingStartDate" minOccurs="0"/>
                <xsd:element ref="ns1:PublishingExpirationDat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PublishingStartDate" ma:index="11" nillable="true" ma:displayName="Scheduling Start Date" ma:description="Scheduling Start Date is a site column created by the Publishing feature. It is used to specify the date and time on which this page will first appear to site visitors." ma:internalName="PublishingStartDate">
      <xsd:simpleType>
        <xsd:restriction base="dms:Unknown"/>
      </xsd:simpleType>
    </xsd:element>
    <xsd:element name="PublishingExpirationDate" ma:index="12" nillable="true" ma:displayName="Scheduling End Date" ma:description="Scheduling End Date is a site column created by the Publishing feature. It is used to specify the date and time on which this page will no longer appear to site visitors." ma:internalName="PublishingExpirationDat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046f177-04bd-4ef6-b42b-3a343d51723f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6046f177-04bd-4ef6-b42b-3a343d51723f">5SVPEQFU6DRY-1308074699-36</_dlc_DocId>
    <_dlc_DocIdUrl xmlns="6046f177-04bd-4ef6-b42b-3a343d51723f">
      <Url>https://wellcareportal.wellcare.com/SalesandMarketing/NSMO/AcquisitionMarketing/NSSS/ASCC/_layouts/15/DocIdRedir.aspx?ID=5SVPEQFU6DRY-1308074699-36</Url>
      <Description>5SVPEQFU6DRY-1308074699-36</Description>
    </_dlc_DocIdUrl>
    <PublishingExpirationDate xmlns="http://schemas.microsoft.com/sharepoint/v3" xsi:nil="true"/>
    <PublishingStartDate xmlns="http://schemas.microsoft.com/sharepoint/v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Assembly>Microsoft.Office.DocumentManagement, Version=14.0.0.0,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Assembly>Microsoft.Office.DocumentManagement, Version=14.0.0.0, Culture=neutral, PublicKeyToken=71e9bce111e9429c</Assembly>
    <Class>Microsoft.Office.DocumentManagement.Internal.DocIdHandler</Class>
    <Data/>
    <Filter/>
  </Receiver>
</spe:Receivers>
</file>

<file path=customXml/itemProps1.xml><?xml version="1.0" encoding="utf-8"?>
<ds:datastoreItem xmlns:ds="http://schemas.openxmlformats.org/officeDocument/2006/customXml" ds:itemID="{5D4DF297-6397-4EEC-AFA2-1DE2E56E22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6046f177-04bd-4ef6-b42b-3a343d51723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206236-C8B4-4398-AB2E-E68CBD677FC3}">
  <ds:schemaRefs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schemas.microsoft.com/sharepoint/v3"/>
    <ds:schemaRef ds:uri="6046f177-04bd-4ef6-b42b-3a343d51723f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3277EAD-3C32-4D17-A0EA-82ABD3DF6CCF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26FF6E3-44C9-4BE7-9D24-96FED6E6AC54}">
  <ds:schemaRefs>
    <ds:schemaRef ds:uri="http://schemas.microsoft.com/sharepoint/event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Agent Commissions Calculator</vt:lpstr>
      <vt:lpstr>2024 Rates</vt:lpstr>
      <vt:lpstr>'Agent Commissions Calculator'!Print_Area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Hall, Erin</dc:creator>
  <cp:keywords/>
  <dc:description/>
  <cp:lastModifiedBy>Janki Patel</cp:lastModifiedBy>
  <cp:lastPrinted>2019-08-06T20:39:16Z</cp:lastPrinted>
  <dcterms:created xsi:type="dcterms:W3CDTF">2018-09-28T15:02:19Z</dcterms:created>
  <dcterms:modified xsi:type="dcterms:W3CDTF">2024-07-03T18:17:49Z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0x010100F41422C3250C0D4A82D4D764BB4AF877</vt:lpwstr>
  </property>
  <property fmtid="{D5CDD505-2E9C-101B-9397-08002B2CF9AE}" pid="3" name="_dlc_DocIdItemGuid">
    <vt:lpwstr>2c644d07-8d5d-46d0-96c2-8e0e92df93ee</vt:lpwstr>
  </property>
  <property fmtid="{D5CDD505-2E9C-101B-9397-08002B2CF9AE}" pid="4" name="MSIP_Label_5a776955-85f6-4fec-9553-96dd3e0373c4_Enabled">
    <vt:lpwstr>true</vt:lpwstr>
  </property>
  <property fmtid="{D5CDD505-2E9C-101B-9397-08002B2CF9AE}" pid="5" name="MSIP_Label_5a776955-85f6-4fec-9553-96dd3e0373c4_SetDate">
    <vt:lpwstr>2022-07-18T13:22:32Z</vt:lpwstr>
  </property>
  <property fmtid="{D5CDD505-2E9C-101B-9397-08002B2CF9AE}" pid="6" name="MSIP_Label_5a776955-85f6-4fec-9553-96dd3e0373c4_Method">
    <vt:lpwstr>Standard</vt:lpwstr>
  </property>
  <property fmtid="{D5CDD505-2E9C-101B-9397-08002B2CF9AE}" pid="7" name="MSIP_Label_5a776955-85f6-4fec-9553-96dd3e0373c4_Name">
    <vt:lpwstr>Confidential</vt:lpwstr>
  </property>
  <property fmtid="{D5CDD505-2E9C-101B-9397-08002B2CF9AE}" pid="8" name="MSIP_Label_5a776955-85f6-4fec-9553-96dd3e0373c4_SiteId">
    <vt:lpwstr>f45ccc07-e57e-4d15-bf6f-f6cbccd2d395</vt:lpwstr>
  </property>
  <property fmtid="{D5CDD505-2E9C-101B-9397-08002B2CF9AE}" pid="9" name="MSIP_Label_5a776955-85f6-4fec-9553-96dd3e0373c4_ActionId">
    <vt:lpwstr>09ad34fd-f9da-43e2-a3bd-0e62c8e62d21</vt:lpwstr>
  </property>
  <property fmtid="{D5CDD505-2E9C-101B-9397-08002B2CF9AE}" pid="10" name="MSIP_Label_5a776955-85f6-4fec-9553-96dd3e0373c4_ContentBits">
    <vt:lpwstr>0</vt:lpwstr>
  </property>
</Properties>
</file>