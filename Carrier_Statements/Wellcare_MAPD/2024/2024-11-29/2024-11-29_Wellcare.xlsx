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Wellcare MAPD\11-29-24\"/>
    </mc:Choice>
  </mc:AlternateContent>
  <xr:revisionPtr revIDLastSave="0" documentId="13_ncr:1_{A0EEC212-14E1-431E-9552-67C4786EAAA0}" xr6:coauthVersionLast="47" xr6:coauthVersionMax="47" xr10:uidLastSave="{00000000-0000-0000-0000-000000000000}"/>
  <bookViews>
    <workbookView xWindow="-57720" yWindow="-120" windowWidth="29040" windowHeight="15720" activeTab="2" xr2:uid="{00000000-000D-0000-FFFF-FFFF00000000}"/>
  </bookViews>
  <sheets>
    <sheet name="Summary" sheetId="1" r:id="rId1"/>
    <sheet name="Detail" sheetId="2" r:id="rId2"/>
    <sheet name="Legacy" sheetId="3" r:id="rId3"/>
    <sheet name="Sheet1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4" l="1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28" i="4"/>
  <c r="B129" i="4"/>
  <c r="B130" i="4"/>
  <c r="B131" i="4"/>
  <c r="B132" i="4"/>
  <c r="B133" i="4"/>
  <c r="B134" i="4"/>
  <c r="B135" i="4"/>
  <c r="B136" i="4"/>
  <c r="B137" i="4"/>
  <c r="B138" i="4"/>
  <c r="B139" i="4"/>
  <c r="B140" i="4"/>
  <c r="B141" i="4"/>
  <c r="B142" i="4"/>
  <c r="B143" i="4"/>
  <c r="B144" i="4"/>
  <c r="B145" i="4"/>
  <c r="B146" i="4"/>
  <c r="B147" i="4"/>
  <c r="B148" i="4"/>
  <c r="B149" i="4"/>
  <c r="B150" i="4"/>
  <c r="B151" i="4"/>
  <c r="B152" i="4"/>
  <c r="B153" i="4"/>
  <c r="B154" i="4"/>
  <c r="B155" i="4"/>
  <c r="B156" i="4"/>
  <c r="B1" i="4"/>
  <c r="J156" i="3"/>
  <c r="J157" i="3"/>
  <c r="J116" i="3"/>
  <c r="J33" i="3"/>
  <c r="J2" i="3"/>
  <c r="J3" i="3"/>
  <c r="J119" i="3"/>
  <c r="J4" i="3"/>
  <c r="J5" i="3"/>
  <c r="J120" i="3"/>
  <c r="J121" i="3"/>
  <c r="J122" i="3"/>
  <c r="J6" i="3"/>
  <c r="J7" i="3"/>
  <c r="J8" i="3"/>
  <c r="J9" i="3"/>
  <c r="J10" i="3"/>
  <c r="J123" i="3"/>
  <c r="J124" i="3"/>
  <c r="J11" i="3"/>
  <c r="J125" i="3"/>
  <c r="J126" i="3"/>
  <c r="J127" i="3"/>
  <c r="J12" i="3"/>
  <c r="J13" i="3"/>
  <c r="J128" i="3"/>
  <c r="J14" i="3"/>
  <c r="J15" i="3"/>
  <c r="J129" i="3"/>
  <c r="J130" i="3"/>
  <c r="J16" i="3"/>
  <c r="J131" i="3"/>
  <c r="J17" i="3"/>
  <c r="J132" i="3"/>
  <c r="J133" i="3"/>
  <c r="J18" i="3"/>
  <c r="J134" i="3"/>
  <c r="J135" i="3"/>
  <c r="J136" i="3"/>
  <c r="J137" i="3"/>
  <c r="J138" i="3"/>
  <c r="J35" i="3"/>
  <c r="J139" i="3"/>
  <c r="J140" i="3"/>
  <c r="J19" i="3"/>
  <c r="J20" i="3"/>
  <c r="J141" i="3"/>
  <c r="J36" i="3"/>
  <c r="J37" i="3"/>
  <c r="J38" i="3"/>
  <c r="J39" i="3"/>
  <c r="J40" i="3"/>
  <c r="J41" i="3"/>
  <c r="J42" i="3"/>
  <c r="J43" i="3"/>
  <c r="J44" i="3"/>
  <c r="J45" i="3"/>
  <c r="J46" i="3"/>
  <c r="J24" i="3"/>
  <c r="J25" i="3"/>
  <c r="J47" i="3"/>
  <c r="J48" i="3"/>
  <c r="J49" i="3"/>
  <c r="J50" i="3"/>
  <c r="J51" i="3"/>
  <c r="J52" i="3"/>
  <c r="J53" i="3"/>
  <c r="J26" i="3"/>
  <c r="J27" i="3"/>
  <c r="J54" i="3"/>
  <c r="J55" i="3"/>
  <c r="J56" i="3"/>
  <c r="J57" i="3"/>
  <c r="J142" i="3"/>
  <c r="J58" i="3"/>
  <c r="J59" i="3"/>
  <c r="J60" i="3"/>
  <c r="J61" i="3"/>
  <c r="J62" i="3"/>
  <c r="J63" i="3"/>
  <c r="J64" i="3"/>
  <c r="J65" i="3"/>
  <c r="J143" i="3"/>
  <c r="J66" i="3"/>
  <c r="J67" i="3"/>
  <c r="J154" i="3"/>
  <c r="J68" i="3"/>
  <c r="J69" i="3"/>
  <c r="J21" i="3"/>
  <c r="J144" i="3"/>
  <c r="J70" i="3"/>
  <c r="J71" i="3"/>
  <c r="J72" i="3"/>
  <c r="J73" i="3"/>
  <c r="J74" i="3"/>
  <c r="J155" i="3"/>
  <c r="J145" i="3"/>
  <c r="J75" i="3"/>
  <c r="J76" i="3"/>
  <c r="J77" i="3"/>
  <c r="J106" i="3"/>
  <c r="J146" i="3"/>
  <c r="J78" i="3"/>
  <c r="J117" i="3"/>
  <c r="J79" i="3"/>
  <c r="J107" i="3"/>
  <c r="J108" i="3"/>
  <c r="J147" i="3"/>
  <c r="J148" i="3"/>
  <c r="J80" i="3"/>
  <c r="J109" i="3"/>
  <c r="J81" i="3"/>
  <c r="J82" i="3"/>
  <c r="J83" i="3"/>
  <c r="J28" i="3"/>
  <c r="J84" i="3"/>
  <c r="J85" i="3"/>
  <c r="J86" i="3"/>
  <c r="J87" i="3"/>
  <c r="J88" i="3"/>
  <c r="J89" i="3"/>
  <c r="J90" i="3"/>
  <c r="J118" i="3"/>
  <c r="J91" i="3"/>
  <c r="J92" i="3"/>
  <c r="J93" i="3"/>
  <c r="J149" i="3"/>
  <c r="J29" i="3"/>
  <c r="J94" i="3"/>
  <c r="J95" i="3"/>
  <c r="J96" i="3"/>
  <c r="J150" i="3"/>
  <c r="J110" i="3"/>
  <c r="J111" i="3"/>
  <c r="J151" i="3"/>
  <c r="J97" i="3"/>
  <c r="J98" i="3"/>
  <c r="J112" i="3"/>
  <c r="J99" i="3"/>
  <c r="J113" i="3"/>
  <c r="J114" i="3"/>
  <c r="J30" i="3"/>
  <c r="J100" i="3"/>
  <c r="J101" i="3"/>
  <c r="J31" i="3"/>
  <c r="J102" i="3"/>
  <c r="J103" i="3"/>
  <c r="J22" i="3"/>
  <c r="J115" i="3"/>
  <c r="J152" i="3"/>
  <c r="J104" i="3"/>
  <c r="J153" i="3"/>
  <c r="J105" i="3"/>
  <c r="J23" i="3"/>
  <c r="J32" i="3"/>
  <c r="J34" i="3"/>
</calcChain>
</file>

<file path=xl/sharedStrings.xml><?xml version="1.0" encoding="utf-8"?>
<sst xmlns="http://schemas.openxmlformats.org/spreadsheetml/2006/main" count="4429" uniqueCount="430">
  <si>
    <t/>
  </si>
  <si>
    <t>Payee Name</t>
  </si>
  <si>
    <t>Payee NPN</t>
  </si>
  <si>
    <t>Statement Date</t>
  </si>
  <si>
    <t>Main Line Benefits Llc</t>
  </si>
  <si>
    <t>Description</t>
  </si>
  <si>
    <t>Member Count</t>
  </si>
  <si>
    <t>Total</t>
  </si>
  <si>
    <t>Initial Enrollments</t>
  </si>
  <si>
    <t>Renewal Enrollments</t>
  </si>
  <si>
    <t>Rapid Disenrollments</t>
  </si>
  <si>
    <t>Disenrollments</t>
  </si>
  <si>
    <t>Legacy</t>
  </si>
  <si>
    <t>Miscellaneous</t>
  </si>
  <si>
    <t>Balance</t>
  </si>
  <si>
    <t>TOTAL</t>
  </si>
  <si>
    <t>Payment Type</t>
  </si>
  <si>
    <t>Payment Description</t>
  </si>
  <si>
    <t>Writing Broker NPN</t>
  </si>
  <si>
    <t>Writing Broker Name</t>
  </si>
  <si>
    <t>Earner NPN</t>
  </si>
  <si>
    <t>Earner Name</t>
  </si>
  <si>
    <t>Pay Period</t>
  </si>
  <si>
    <t>Payment Amount</t>
  </si>
  <si>
    <t>Medicare Beneficiary Identifier (MBI)</t>
  </si>
  <si>
    <t>Member Name</t>
  </si>
  <si>
    <t>Signed Date</t>
  </si>
  <si>
    <t>Effective Date</t>
  </si>
  <si>
    <t>Cycle Year</t>
  </si>
  <si>
    <t>Prior Plan Type</t>
  </si>
  <si>
    <t>Policy State</t>
  </si>
  <si>
    <t>Plan Type</t>
  </si>
  <si>
    <t>Plan Name</t>
  </si>
  <si>
    <t>Original Effective Date</t>
  </si>
  <si>
    <t>Member Term Date</t>
  </si>
  <si>
    <t>CMS Contract</t>
  </si>
  <si>
    <t>PBP</t>
  </si>
  <si>
    <t>Centene ID</t>
  </si>
  <si>
    <t>QIS Level</t>
  </si>
  <si>
    <t>Renewal</t>
  </si>
  <si>
    <t>Broker Level</t>
  </si>
  <si>
    <t>17425766</t>
  </si>
  <si>
    <t>CAROL FOLEY</t>
  </si>
  <si>
    <t>4QK1T20WP08</t>
  </si>
  <si>
    <t>RALPH SMITH</t>
  </si>
  <si>
    <t>PA</t>
  </si>
  <si>
    <t>MAPD</t>
  </si>
  <si>
    <t>Wellcare Giveback Open (PPO)</t>
  </si>
  <si>
    <t>H2128</t>
  </si>
  <si>
    <t>004</t>
  </si>
  <si>
    <t>C4046627001</t>
  </si>
  <si>
    <t>371819</t>
  </si>
  <si>
    <t>Thomas Pardue</t>
  </si>
  <si>
    <t>7VJ0E51WM35</t>
  </si>
  <si>
    <t>JOSE CARVALHO</t>
  </si>
  <si>
    <t>NONE</t>
  </si>
  <si>
    <t>FL</t>
  </si>
  <si>
    <t>Wellcare No Premium Open (PPO)</t>
  </si>
  <si>
    <t>H5199</t>
  </si>
  <si>
    <t>012</t>
  </si>
  <si>
    <t>8R62G87AK93</t>
  </si>
  <si>
    <t>BRENDA HESS</t>
  </si>
  <si>
    <t>TN</t>
  </si>
  <si>
    <t>Wellcare No Premium (HMO-POS)</t>
  </si>
  <si>
    <t>H1416</t>
  </si>
  <si>
    <t>077</t>
  </si>
  <si>
    <t>13496370</t>
  </si>
  <si>
    <t>LANEECE WHITE</t>
  </si>
  <si>
    <t>8JY2HT0WT21</t>
  </si>
  <si>
    <t>EDWARDO ESTRADA</t>
  </si>
  <si>
    <t>TX</t>
  </si>
  <si>
    <t>Wellcare No Premium (HMO)</t>
  </si>
  <si>
    <t>H5294</t>
  </si>
  <si>
    <t>018</t>
  </si>
  <si>
    <t>C4062655301</t>
  </si>
  <si>
    <t>9MU4EA3KA64</t>
  </si>
  <si>
    <t>RICKY GOLDMAN</t>
  </si>
  <si>
    <t>H1032</t>
  </si>
  <si>
    <t>196</t>
  </si>
  <si>
    <t>16212649</t>
  </si>
  <si>
    <t>MURRAY STERNER</t>
  </si>
  <si>
    <t>2HM1M07WP09</t>
  </si>
  <si>
    <t>JOSEPH MUNGAVIN</t>
  </si>
  <si>
    <t>DE</t>
  </si>
  <si>
    <t>PDP</t>
  </si>
  <si>
    <t>WellCare Value Script (PDP)</t>
  </si>
  <si>
    <t>S4802</t>
  </si>
  <si>
    <t>140</t>
  </si>
  <si>
    <t>9079571</t>
  </si>
  <si>
    <t>Adam Richter</t>
  </si>
  <si>
    <t>1A72WV0KV82</t>
  </si>
  <si>
    <t>PAUL HOUSTON JR</t>
  </si>
  <si>
    <t>MD</t>
  </si>
  <si>
    <t>1XJ9GP8CU11</t>
  </si>
  <si>
    <t>ANGELINA PEREIRA</t>
  </si>
  <si>
    <t>141</t>
  </si>
  <si>
    <t>2T95EC6AV54</t>
  </si>
  <si>
    <t>ERICA ROBINSON</t>
  </si>
  <si>
    <t>5T04RN8JY70</t>
  </si>
  <si>
    <t>ROBYNNE OLSON</t>
  </si>
  <si>
    <t>5QF2E53GR26</t>
  </si>
  <si>
    <t>MICHAEL KENNY</t>
  </si>
  <si>
    <t>NJ</t>
  </si>
  <si>
    <t>139</t>
  </si>
  <si>
    <t>2XH8ME1QW32</t>
  </si>
  <si>
    <t>CAROLYN RUSSO</t>
  </si>
  <si>
    <t>2YV7AQ9AR30</t>
  </si>
  <si>
    <t>NATHANIEL EVANS II</t>
  </si>
  <si>
    <t>6RA5E23QJ65</t>
  </si>
  <si>
    <t>PETER REPOLE</t>
  </si>
  <si>
    <t>4EX8FP5MP47</t>
  </si>
  <si>
    <t>JAMES LATING</t>
  </si>
  <si>
    <t>7GQ3TU5CC11</t>
  </si>
  <si>
    <t>GEORGE MAZURKEVICH</t>
  </si>
  <si>
    <t>146</t>
  </si>
  <si>
    <t>8UP8J78MV65</t>
  </si>
  <si>
    <t>MAUREEN LINDLER</t>
  </si>
  <si>
    <t>9A92UR1UA18</t>
  </si>
  <si>
    <t>LARRY MAY</t>
  </si>
  <si>
    <t>5M90D97WH34</t>
  </si>
  <si>
    <t>JOANNE BRUCE</t>
  </si>
  <si>
    <t>6G44EF8EQ84</t>
  </si>
  <si>
    <t>LISA SIROTI</t>
  </si>
  <si>
    <t>7GJ3N09DJ12</t>
  </si>
  <si>
    <t>JOSEPH SWEENEY</t>
  </si>
  <si>
    <t>7F63VK1PV71</t>
  </si>
  <si>
    <t>GAIL STEWART</t>
  </si>
  <si>
    <t>7MD9G31KF15</t>
  </si>
  <si>
    <t>ROSANNE LEVINE</t>
  </si>
  <si>
    <t>2GR4K76PA01</t>
  </si>
  <si>
    <t>GLEN GREISSINGER</t>
  </si>
  <si>
    <t>2R49FK7MM22</t>
  </si>
  <si>
    <t>JACQUELINE PETERS</t>
  </si>
  <si>
    <t>8UX0YJ3DQ38</t>
  </si>
  <si>
    <t>MARY STAGER</t>
  </si>
  <si>
    <t>3Y44YV2PP83</t>
  </si>
  <si>
    <t>LINDA TOLERICO</t>
  </si>
  <si>
    <t>AZ</t>
  </si>
  <si>
    <t>134</t>
  </si>
  <si>
    <t>9RV8U83EP46</t>
  </si>
  <si>
    <t>LAURIE REPOLE</t>
  </si>
  <si>
    <t>1AD6W12YW60</t>
  </si>
  <si>
    <t>JOHN DAVIS</t>
  </si>
  <si>
    <t>1KF9UR2WN13</t>
  </si>
  <si>
    <t>JAMES FEELEY</t>
  </si>
  <si>
    <t>2DR9QT5EK59</t>
  </si>
  <si>
    <t>LYN MASON</t>
  </si>
  <si>
    <t>3KW7U92PD57</t>
  </si>
  <si>
    <t>CHERYL YOX</t>
  </si>
  <si>
    <t>3XX0M58WC08</t>
  </si>
  <si>
    <t>MARIA STIGLIANO</t>
  </si>
  <si>
    <t>3VQ5VJ9QK79</t>
  </si>
  <si>
    <t>FRANK HARDESTER JR</t>
  </si>
  <si>
    <t>3Q61GQ9NR80</t>
  </si>
  <si>
    <t>LESLIE ANDERSON</t>
  </si>
  <si>
    <t>8H93KN6FX86</t>
  </si>
  <si>
    <t>4CD8QD9XJ10</t>
  </si>
  <si>
    <t>SANDRA KIMBLE</t>
  </si>
  <si>
    <t>2A80G81AV13</t>
  </si>
  <si>
    <t>HARRY COOLEY</t>
  </si>
  <si>
    <t>2DY0UH3UE31</t>
  </si>
  <si>
    <t>PAULINE VITOLA</t>
  </si>
  <si>
    <t>2M86JR3UG72</t>
  </si>
  <si>
    <t>ANTONIO DE SOUZA</t>
  </si>
  <si>
    <t>2N07KP4KJ36</t>
  </si>
  <si>
    <t>SAMUEL VITOLA JR</t>
  </si>
  <si>
    <t>3Y15WM1YP61</t>
  </si>
  <si>
    <t>CHIZURU FEELEY</t>
  </si>
  <si>
    <t>15278437</t>
  </si>
  <si>
    <t>Jason Hoffmann</t>
  </si>
  <si>
    <t>3VU5MX9XP55</t>
  </si>
  <si>
    <t>LUCETTE NEAL</t>
  </si>
  <si>
    <t>CA</t>
  </si>
  <si>
    <t>163</t>
  </si>
  <si>
    <t>6X64CA2NV61</t>
  </si>
  <si>
    <t>SUSAN VOELKER</t>
  </si>
  <si>
    <t>NY</t>
  </si>
  <si>
    <t>138</t>
  </si>
  <si>
    <t>7T11WP1WD01</t>
  </si>
  <si>
    <t>DAVID SHALLA</t>
  </si>
  <si>
    <t>MO</t>
  </si>
  <si>
    <t>152</t>
  </si>
  <si>
    <t>3TW2Y40DC07</t>
  </si>
  <si>
    <t>TIMOTHY KUHN SR</t>
  </si>
  <si>
    <t>Wellcare Medicare Rx Value Plus (PDP)</t>
  </si>
  <si>
    <t>208</t>
  </si>
  <si>
    <t>7VW2D79AD98</t>
  </si>
  <si>
    <t>ERNEST LIOTTI</t>
  </si>
  <si>
    <t>WellCare Classic (PDP)</t>
  </si>
  <si>
    <t>079</t>
  </si>
  <si>
    <t>1U50MT3JM23</t>
  </si>
  <si>
    <t>ANGELIC LABARBERA</t>
  </si>
  <si>
    <t>2K28PF5XD63</t>
  </si>
  <si>
    <t>MICHAEL BARNES</t>
  </si>
  <si>
    <t>209</t>
  </si>
  <si>
    <t>6KC5FD8WR73</t>
  </si>
  <si>
    <t>FRANCES BOSTON REICHEL</t>
  </si>
  <si>
    <t>5WF3R39RA02</t>
  </si>
  <si>
    <t>JAMES SINNOTT</t>
  </si>
  <si>
    <t>6N81H25RP90</t>
  </si>
  <si>
    <t>ROLLIN HINKLE</t>
  </si>
  <si>
    <t>6CG4NP4CD86</t>
  </si>
  <si>
    <t>NOREEN CASE</t>
  </si>
  <si>
    <t>4G50Y07XG09</t>
  </si>
  <si>
    <t>PHILIP CANNAVO</t>
  </si>
  <si>
    <t>2ER4H33TV80</t>
  </si>
  <si>
    <t>MILDRED ELROD</t>
  </si>
  <si>
    <t>9QW4TF4RK64</t>
  </si>
  <si>
    <t>EDWIN ELROD</t>
  </si>
  <si>
    <t>7J83KR7HQ79</t>
  </si>
  <si>
    <t>VALERIE CAMPLI</t>
  </si>
  <si>
    <t>9J23PX8KK00</t>
  </si>
  <si>
    <t>STEVEN LONGBOTTOM</t>
  </si>
  <si>
    <t>6UH1CX0NC96</t>
  </si>
  <si>
    <t>ARVIND BHAKTA</t>
  </si>
  <si>
    <t>7DE3F57RW79</t>
  </si>
  <si>
    <t>BARBARA SIEGFRIED</t>
  </si>
  <si>
    <t>9A12HW7FJ07</t>
  </si>
  <si>
    <t>RUTH CARVER</t>
  </si>
  <si>
    <t>8YP5PC7TV86</t>
  </si>
  <si>
    <t>THOMAS LOYLE</t>
  </si>
  <si>
    <t>3QK1AR4FM26</t>
  </si>
  <si>
    <t>PETER HUMPHREYS</t>
  </si>
  <si>
    <t>5Q40FK8PY42</t>
  </si>
  <si>
    <t>JANICE NOWLAN</t>
  </si>
  <si>
    <t>8KM2WF7YJ95</t>
  </si>
  <si>
    <t>JOY KIEFFER</t>
  </si>
  <si>
    <t>8HP4PG0CG74</t>
  </si>
  <si>
    <t>ROBERT SILSBE</t>
  </si>
  <si>
    <t>6H13KU9ND82</t>
  </si>
  <si>
    <t>ANN MYERS</t>
  </si>
  <si>
    <t>9EY5DA9NN88</t>
  </si>
  <si>
    <t>DIANA SERMARINI</t>
  </si>
  <si>
    <t>080</t>
  </si>
  <si>
    <t>1A23C03UX99</t>
  </si>
  <si>
    <t>AMELIA NARCISI</t>
  </si>
  <si>
    <t>8EP2CP9PY99</t>
  </si>
  <si>
    <t>FRANK DIBELLA</t>
  </si>
  <si>
    <t>1ME1W93NG97</t>
  </si>
  <si>
    <t>EDWARD LONG</t>
  </si>
  <si>
    <t>1VR5GG7MG57</t>
  </si>
  <si>
    <t>ELAINE LONG</t>
  </si>
  <si>
    <t>5DU0TF5JM13</t>
  </si>
  <si>
    <t>MANUEL ORTIZ</t>
  </si>
  <si>
    <t>5UN7WR8PY47</t>
  </si>
  <si>
    <t>EDWARD GREENHOW</t>
  </si>
  <si>
    <t>7CX0NM4JQ00</t>
  </si>
  <si>
    <t>DEBORAH KACEREK</t>
  </si>
  <si>
    <t>9KN3TM8QK87</t>
  </si>
  <si>
    <t>HELEN HOLLINGSHAD</t>
  </si>
  <si>
    <t>8NX4XQ6JK85</t>
  </si>
  <si>
    <t>KATHY FISHER</t>
  </si>
  <si>
    <t>1YC1XP4QF94</t>
  </si>
  <si>
    <t>BRETT LARSON</t>
  </si>
  <si>
    <t>3X72HX4HA96</t>
  </si>
  <si>
    <t>DEBORA SUGARMAN</t>
  </si>
  <si>
    <t>9A92HT6VC09</t>
  </si>
  <si>
    <t>MICHAEL DOUGHERTY</t>
  </si>
  <si>
    <t>2Q82WC1VA17</t>
  </si>
  <si>
    <t>DAWN YODER</t>
  </si>
  <si>
    <t>4MG2RP5HY83</t>
  </si>
  <si>
    <t>ELIZABETH MORRIS</t>
  </si>
  <si>
    <t>3NN7JX1MM67</t>
  </si>
  <si>
    <t>MARY WOOD</t>
  </si>
  <si>
    <t>4EM2TW7TF11</t>
  </si>
  <si>
    <t>WAYNE MANGIARACINA</t>
  </si>
  <si>
    <t>9VA5QM5RQ81</t>
  </si>
  <si>
    <t>JOHN WOOD</t>
  </si>
  <si>
    <t>2U05WE0DM68</t>
  </si>
  <si>
    <t>NANCY SOBIECK</t>
  </si>
  <si>
    <t>2YH3U70PX73</t>
  </si>
  <si>
    <t>LAWRENCE PRICE</t>
  </si>
  <si>
    <t>OK</t>
  </si>
  <si>
    <t>014</t>
  </si>
  <si>
    <t>5FR2AC0GE95</t>
  </si>
  <si>
    <t>DANIEL THOMPSON</t>
  </si>
  <si>
    <t>9P08WJ1JW46</t>
  </si>
  <si>
    <t>MARY SILSBE</t>
  </si>
  <si>
    <t>8RK7NG8CW34</t>
  </si>
  <si>
    <t>DEBORAH MCNAY</t>
  </si>
  <si>
    <t>VA</t>
  </si>
  <si>
    <t>210</t>
  </si>
  <si>
    <t>9V19J99FC11</t>
  </si>
  <si>
    <t>JOYCE CICCHINO</t>
  </si>
  <si>
    <t>142</t>
  </si>
  <si>
    <t>3M03FG9YV15</t>
  </si>
  <si>
    <t>JAMES BUCHAKJIAN</t>
  </si>
  <si>
    <t>1HA4EC8WA99</t>
  </si>
  <si>
    <t>ROBERT GARDNER</t>
  </si>
  <si>
    <t>4FC4E15HU85</t>
  </si>
  <si>
    <t>BODO WOLTERS</t>
  </si>
  <si>
    <t>1XC3NQ1KX18</t>
  </si>
  <si>
    <t>LINDA SCHNEIDER</t>
  </si>
  <si>
    <t>4XG4G22CM92</t>
  </si>
  <si>
    <t>JOHN KEOUGH</t>
  </si>
  <si>
    <t>5UE1NQ7NF16</t>
  </si>
  <si>
    <t>MARY SPRUILL</t>
  </si>
  <si>
    <t>NC</t>
  </si>
  <si>
    <t>143</t>
  </si>
  <si>
    <t>2CF0WV0UJ49</t>
  </si>
  <si>
    <t>NANCY WOODARD BOURKE</t>
  </si>
  <si>
    <t>7TC3RQ6CU95</t>
  </si>
  <si>
    <t>LINDA ROSELLI</t>
  </si>
  <si>
    <t>8JN1M14DW96</t>
  </si>
  <si>
    <t>SUSANNE STACKHOUSE</t>
  </si>
  <si>
    <t>3K37VG6AE55</t>
  </si>
  <si>
    <t>THOMAS SCOLLARD JR</t>
  </si>
  <si>
    <t>19562245</t>
  </si>
  <si>
    <t>Kelly Carryer</t>
  </si>
  <si>
    <t>7WU2AM0NU19</t>
  </si>
  <si>
    <t>GREGORY CESNIK</t>
  </si>
  <si>
    <t>4HK5WM5DM65</t>
  </si>
  <si>
    <t>ANA BREA</t>
  </si>
  <si>
    <t>8AN6GF5UM68</t>
  </si>
  <si>
    <t>JANE BAILEY</t>
  </si>
  <si>
    <t>20697692</t>
  </si>
  <si>
    <t>Laurie Casta</t>
  </si>
  <si>
    <t>4R60HC3VF19</t>
  </si>
  <si>
    <t>PATRICIA OSBORN</t>
  </si>
  <si>
    <t>9H10A51GY48</t>
  </si>
  <si>
    <t>CHRISTINA NEHRING</t>
  </si>
  <si>
    <t>8VY2EU3GG12</t>
  </si>
  <si>
    <t>HEIDI RUEFENACHT</t>
  </si>
  <si>
    <t>7CD3W50YE74</t>
  </si>
  <si>
    <t>MARYRAE MIKUS</t>
  </si>
  <si>
    <t>9X81JN2HY16</t>
  </si>
  <si>
    <t>LEONARD APFELBAUM</t>
  </si>
  <si>
    <t>9Q89TM5AU52</t>
  </si>
  <si>
    <t>LISA SCHUYLER</t>
  </si>
  <si>
    <t>2AF3TV5XN02</t>
  </si>
  <si>
    <t>ROBERT GOLDMAN</t>
  </si>
  <si>
    <t>4MP0KG4UX90</t>
  </si>
  <si>
    <t>NANCY ADAMSON</t>
  </si>
  <si>
    <t>4K55NM1KA93</t>
  </si>
  <si>
    <t>PHILIP MELE</t>
  </si>
  <si>
    <t>8R16CT8GK48</t>
  </si>
  <si>
    <t>JAMES GUARINO</t>
  </si>
  <si>
    <t>4H07EF0AE32</t>
  </si>
  <si>
    <t>KEVIN PURCELL</t>
  </si>
  <si>
    <t>8E26CC0FP52</t>
  </si>
  <si>
    <t>NICHOLAS ROMANO</t>
  </si>
  <si>
    <t>1V23KQ7PX99</t>
  </si>
  <si>
    <t>KIM GUERTIN</t>
  </si>
  <si>
    <t>3UF3Q89VM01</t>
  </si>
  <si>
    <t>DEBORAH SAUK</t>
  </si>
  <si>
    <t>2EN7CJ2NY58</t>
  </si>
  <si>
    <t>CURT HIGH</t>
  </si>
  <si>
    <t>7DF3R20HU60</t>
  </si>
  <si>
    <t>JOLENE BLONG</t>
  </si>
  <si>
    <t>1NH2F43TK03</t>
  </si>
  <si>
    <t>PATRICIA DANIELS</t>
  </si>
  <si>
    <t>8YP9R12GX57</t>
  </si>
  <si>
    <t>NANCY PENKIVECH</t>
  </si>
  <si>
    <t>2XN9RD9UJ16</t>
  </si>
  <si>
    <t>MARGARET MOSER</t>
  </si>
  <si>
    <t>4T35QK9DF76</t>
  </si>
  <si>
    <t>DONALD REIGNER</t>
  </si>
  <si>
    <t>9TM5TW8XN80</t>
  </si>
  <si>
    <t>EVAN BRYANT</t>
  </si>
  <si>
    <t>5WD8D14TD33</t>
  </si>
  <si>
    <t>CARLA ZIGLAR</t>
  </si>
  <si>
    <t>5CA7VX2MG44</t>
  </si>
  <si>
    <t>JOSEPH ZAJACZKOWSKI</t>
  </si>
  <si>
    <t>7TK3C00RN87</t>
  </si>
  <si>
    <t>JOHN SPEARS</t>
  </si>
  <si>
    <t>9M77CF8FG51</t>
  </si>
  <si>
    <t>JOYCE RANKIN BULLARD</t>
  </si>
  <si>
    <t>3Q14XH0UH96</t>
  </si>
  <si>
    <t>PHILIP BALL</t>
  </si>
  <si>
    <t>4TJ1WV0JU91</t>
  </si>
  <si>
    <t>ELEANOR GARVEY</t>
  </si>
  <si>
    <t>1Q30WQ7WW19</t>
  </si>
  <si>
    <t>JOHN FENGER</t>
  </si>
  <si>
    <t>GA</t>
  </si>
  <si>
    <t>145</t>
  </si>
  <si>
    <t>3E71Q39FH32</t>
  </si>
  <si>
    <t>RICHARD GOLEMON</t>
  </si>
  <si>
    <t>7G70U63AG31</t>
  </si>
  <si>
    <t>BARBARA BOYD</t>
  </si>
  <si>
    <t>2P17HT0HV65</t>
  </si>
  <si>
    <t>DAVID DIETZ</t>
  </si>
  <si>
    <t>4JK9T29PX55</t>
  </si>
  <si>
    <t>RICHARD FALLON</t>
  </si>
  <si>
    <t>3KE7U67EV68</t>
  </si>
  <si>
    <t>SUSAN PAUL</t>
  </si>
  <si>
    <t>7WH1QT3FX13</t>
  </si>
  <si>
    <t>CATHLEEN GREENHOW</t>
  </si>
  <si>
    <t>9MC1JD7DK28</t>
  </si>
  <si>
    <t>JANINE RAUBAUGH</t>
  </si>
  <si>
    <t>8GA9YF3XN58</t>
  </si>
  <si>
    <t>JEFFREY GRANT</t>
  </si>
  <si>
    <t>5UN8JP4PY57</t>
  </si>
  <si>
    <t>SHERRY FRAZIER</t>
  </si>
  <si>
    <t>9QT0DR3RD45</t>
  </si>
  <si>
    <t>TERRENCE PARKER</t>
  </si>
  <si>
    <t>6Y36E52PP63</t>
  </si>
  <si>
    <t>AMANDA CHILI</t>
  </si>
  <si>
    <t>4AJ5GD9MV72</t>
  </si>
  <si>
    <t>ROSA FENGER</t>
  </si>
  <si>
    <t>1PJ0DV9RH02</t>
  </si>
  <si>
    <t>BRIAN WALKER</t>
  </si>
  <si>
    <t>2K95UX7CX96</t>
  </si>
  <si>
    <t>SCOTT RAU</t>
  </si>
  <si>
    <t>1Q47YW9HF37</t>
  </si>
  <si>
    <t>KATHLEEN WALKER</t>
  </si>
  <si>
    <t>8YU4MR7QY63</t>
  </si>
  <si>
    <t>BRIAN JONES</t>
  </si>
  <si>
    <t>1VD1UC7KT35</t>
  </si>
  <si>
    <t>DONNA MILBOURNE</t>
  </si>
  <si>
    <t>5MU8WT0HX22</t>
  </si>
  <si>
    <t>DENNIS STASA</t>
  </si>
  <si>
    <t>6YG4Q49NJ81</t>
  </si>
  <si>
    <t>JOHN MORGAN</t>
  </si>
  <si>
    <t>3FC7U13PP61</t>
  </si>
  <si>
    <t>ANNE HADDAD</t>
  </si>
  <si>
    <t>2E43X89RM01</t>
  </si>
  <si>
    <t>PHYLLIS MORGAN</t>
  </si>
  <si>
    <t>5T24PM4QG66</t>
  </si>
  <si>
    <t>R AMRAVANESWAREN</t>
  </si>
  <si>
    <t>9KU9FY3WK22</t>
  </si>
  <si>
    <t>GERALD STAGER</t>
  </si>
  <si>
    <t>7QJ5KM5RN85</t>
  </si>
  <si>
    <t>STEPHEN MICHAEL</t>
  </si>
  <si>
    <t>[mons=2][prorate=1/12]</t>
  </si>
  <si>
    <t>[%/$=306][prorate=1/12]</t>
  </si>
  <si>
    <t>[%/$=345][prorate=1/12]</t>
  </si>
  <si>
    <t>Wellcare PDP 2024!</t>
  </si>
  <si>
    <t>Wellcare MAPD NATIONAL 2024!</t>
  </si>
  <si>
    <t>Wellcare MAPD CT, PA, DC 2024!</t>
  </si>
  <si>
    <t xml:space="preserve">17425766old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</si>
</sst>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yy\ "/>
    <numFmt numFmtId="165" formatCode="\$#,##0.00"/>
    <numFmt numFmtId="166" formatCode="mm/dd/yyyy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workbookViewId="0"/>
  </sheetViews>
  <sheetFormatPr defaultColWidth="8.85546875" defaultRowHeight="15" x14ac:dyDescent="0.25"/>
  <cols>
    <col min="1" max="1" width="25" customWidth="1"/>
    <col min="2" max="2" width="35" customWidth="1"/>
    <col min="3" max="3" width="20" customWidth="1"/>
  </cols>
  <sheetData>
    <row r="1" spans="1:3" x14ac:dyDescent="0.25">
      <c r="A1" t="s">
        <v>1</v>
      </c>
      <c r="B1" t="s">
        <v>4</v>
      </c>
    </row>
    <row r="2" spans="1:3" x14ac:dyDescent="0.25">
      <c r="A2" t="s">
        <v>2</v>
      </c>
      <c r="B2">
        <v>20411454</v>
      </c>
    </row>
    <row r="3" spans="1:3" x14ac:dyDescent="0.25">
      <c r="A3" t="s">
        <v>3</v>
      </c>
      <c r="B3" s="1">
        <v>45625</v>
      </c>
    </row>
    <row r="5" spans="1:3" x14ac:dyDescent="0.25">
      <c r="A5" t="s">
        <v>5</v>
      </c>
      <c r="B5" t="s">
        <v>6</v>
      </c>
      <c r="C5" s="2" t="s">
        <v>7</v>
      </c>
    </row>
    <row r="6" spans="1:3" x14ac:dyDescent="0.25">
      <c r="A6" t="s">
        <v>8</v>
      </c>
      <c r="B6">
        <v>0</v>
      </c>
      <c r="C6" s="2">
        <v>0</v>
      </c>
    </row>
    <row r="7" spans="1:3" x14ac:dyDescent="0.25">
      <c r="A7" t="s">
        <v>9</v>
      </c>
      <c r="B7">
        <v>147</v>
      </c>
      <c r="C7" s="2">
        <v>701.56</v>
      </c>
    </row>
    <row r="8" spans="1:3" x14ac:dyDescent="0.25">
      <c r="A8" t="s">
        <v>10</v>
      </c>
      <c r="B8">
        <v>0</v>
      </c>
      <c r="C8" s="2">
        <v>0</v>
      </c>
    </row>
    <row r="9" spans="1:3" x14ac:dyDescent="0.25">
      <c r="A9" t="s">
        <v>11</v>
      </c>
      <c r="B9">
        <v>9</v>
      </c>
      <c r="C9" s="2">
        <v>58.86</v>
      </c>
    </row>
    <row r="10" spans="1:3" x14ac:dyDescent="0.25">
      <c r="A10" t="s">
        <v>12</v>
      </c>
      <c r="B10">
        <v>0</v>
      </c>
      <c r="C10" s="2">
        <v>0</v>
      </c>
    </row>
    <row r="11" spans="1:3" x14ac:dyDescent="0.25">
      <c r="A11" t="s">
        <v>13</v>
      </c>
      <c r="B11">
        <v>0</v>
      </c>
      <c r="C11" s="2">
        <v>0</v>
      </c>
    </row>
    <row r="12" spans="1:3" x14ac:dyDescent="0.25">
      <c r="A12" t="s">
        <v>14</v>
      </c>
      <c r="C12" s="2">
        <v>0</v>
      </c>
    </row>
    <row r="13" spans="1:3" x14ac:dyDescent="0.25">
      <c r="A13" t="s">
        <v>15</v>
      </c>
      <c r="B13">
        <v>156</v>
      </c>
      <c r="C13" s="2">
        <v>760.42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157"/>
  <sheetViews>
    <sheetView topLeftCell="I1" workbookViewId="0">
      <selection activeCell="I11" sqref="I11"/>
    </sheetView>
  </sheetViews>
  <sheetFormatPr defaultColWidth="8.85546875" defaultRowHeight="15" x14ac:dyDescent="0.25"/>
  <cols>
    <col min="1" max="1" width="25" customWidth="1"/>
    <col min="2" max="2" width="20" customWidth="1"/>
    <col min="3" max="4" width="15" customWidth="1"/>
    <col min="5" max="5" width="11.42578125" bestFit="1" customWidth="1"/>
    <col min="6" max="6" width="17.7109375" bestFit="1" customWidth="1"/>
    <col min="7" max="7" width="11.7109375" bestFit="1" customWidth="1"/>
    <col min="8" max="8" width="16.7109375" bestFit="1" customWidth="1"/>
    <col min="9" max="9" width="34.140625" bestFit="1" customWidth="1"/>
    <col min="10" max="10" width="25.85546875" bestFit="1" customWidth="1"/>
    <col min="11" max="11" width="11.7109375" bestFit="1" customWidth="1"/>
    <col min="12" max="12" width="13.42578125" bestFit="1" customWidth="1"/>
    <col min="13" max="13" width="10.140625" bestFit="1" customWidth="1"/>
    <col min="14" max="14" width="14.42578125" bestFit="1" customWidth="1"/>
    <col min="15" max="15" width="11.28515625" bestFit="1" customWidth="1"/>
    <col min="16" max="16" width="9.7109375" bestFit="1" customWidth="1"/>
    <col min="17" max="17" width="35.7109375" bestFit="1" customWidth="1"/>
    <col min="18" max="18" width="21" bestFit="1" customWidth="1"/>
    <col min="19" max="19" width="18.7109375" bestFit="1" customWidth="1"/>
    <col min="20" max="20" width="13.28515625" bestFit="1" customWidth="1"/>
    <col min="21" max="21" width="4.42578125" bestFit="1" customWidth="1"/>
    <col min="22" max="22" width="11.28515625" bestFit="1" customWidth="1"/>
    <col min="23" max="23" width="13.28515625" bestFit="1" customWidth="1"/>
    <col min="24" max="24" width="9.140625" bestFit="1" customWidth="1"/>
  </cols>
  <sheetData>
    <row r="1" spans="1:24" x14ac:dyDescent="0.2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s="2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  <c r="O1" t="s">
        <v>30</v>
      </c>
      <c r="P1" t="s">
        <v>31</v>
      </c>
      <c r="Q1" t="s">
        <v>32</v>
      </c>
      <c r="R1" t="s">
        <v>33</v>
      </c>
      <c r="S1" t="s">
        <v>34</v>
      </c>
      <c r="T1" t="s">
        <v>35</v>
      </c>
      <c r="U1" t="s">
        <v>36</v>
      </c>
      <c r="V1" t="s">
        <v>5</v>
      </c>
      <c r="W1" t="s">
        <v>37</v>
      </c>
      <c r="X1" t="s">
        <v>38</v>
      </c>
    </row>
    <row r="2" spans="1:24" x14ac:dyDescent="0.25">
      <c r="A2" t="s">
        <v>39</v>
      </c>
      <c r="B2" t="s">
        <v>40</v>
      </c>
      <c r="C2" t="s">
        <v>41</v>
      </c>
      <c r="D2" t="s">
        <v>42</v>
      </c>
      <c r="E2" t="s">
        <v>41</v>
      </c>
      <c r="F2" t="s">
        <v>42</v>
      </c>
      <c r="G2" s="3">
        <v>45597</v>
      </c>
      <c r="H2" s="2">
        <v>28.75</v>
      </c>
      <c r="I2" t="s">
        <v>43</v>
      </c>
      <c r="J2" t="s">
        <v>44</v>
      </c>
      <c r="K2" s="3">
        <v>44860</v>
      </c>
      <c r="L2" s="3">
        <v>44927</v>
      </c>
      <c r="M2">
        <v>6</v>
      </c>
      <c r="N2" t="s">
        <v>0</v>
      </c>
      <c r="O2" t="s">
        <v>45</v>
      </c>
      <c r="P2" t="s">
        <v>46</v>
      </c>
      <c r="Q2" t="s">
        <v>47</v>
      </c>
      <c r="R2" s="3">
        <v>44562</v>
      </c>
      <c r="S2" t="s">
        <v>0</v>
      </c>
      <c r="T2" t="s">
        <v>48</v>
      </c>
      <c r="U2" t="s">
        <v>49</v>
      </c>
      <c r="V2" t="s">
        <v>0</v>
      </c>
      <c r="W2" t="s">
        <v>50</v>
      </c>
      <c r="X2" t="s">
        <v>0</v>
      </c>
    </row>
    <row r="3" spans="1:24" x14ac:dyDescent="0.25">
      <c r="A3" t="s">
        <v>39</v>
      </c>
      <c r="B3" t="s">
        <v>40</v>
      </c>
      <c r="C3" t="s">
        <v>51</v>
      </c>
      <c r="D3" t="s">
        <v>52</v>
      </c>
      <c r="E3" t="s">
        <v>51</v>
      </c>
      <c r="F3" t="s">
        <v>52</v>
      </c>
      <c r="G3" s="3">
        <v>45597</v>
      </c>
      <c r="H3" s="2">
        <v>25.5</v>
      </c>
      <c r="I3" t="s">
        <v>53</v>
      </c>
      <c r="J3" t="s">
        <v>54</v>
      </c>
      <c r="K3" s="3">
        <v>45100</v>
      </c>
      <c r="L3" s="3">
        <v>45108</v>
      </c>
      <c r="M3">
        <v>2</v>
      </c>
      <c r="N3" t="s">
        <v>55</v>
      </c>
      <c r="O3" t="s">
        <v>56</v>
      </c>
      <c r="P3" t="s">
        <v>46</v>
      </c>
      <c r="Q3" t="s">
        <v>57</v>
      </c>
      <c r="R3" s="3">
        <v>45108</v>
      </c>
      <c r="S3" s="3">
        <v>45657</v>
      </c>
      <c r="T3" t="s">
        <v>58</v>
      </c>
      <c r="U3" t="s">
        <v>59</v>
      </c>
      <c r="V3" t="s">
        <v>0</v>
      </c>
      <c r="W3" s="4">
        <v>37030887</v>
      </c>
      <c r="X3" t="s">
        <v>0</v>
      </c>
    </row>
    <row r="4" spans="1:24" x14ac:dyDescent="0.25">
      <c r="A4" t="s">
        <v>39</v>
      </c>
      <c r="B4" t="s">
        <v>40</v>
      </c>
      <c r="C4" t="s">
        <v>51</v>
      </c>
      <c r="D4" t="s">
        <v>52</v>
      </c>
      <c r="E4" t="s">
        <v>51</v>
      </c>
      <c r="F4" t="s">
        <v>52</v>
      </c>
      <c r="G4" s="3">
        <v>45597</v>
      </c>
      <c r="H4" s="2">
        <v>25.5</v>
      </c>
      <c r="I4" t="s">
        <v>60</v>
      </c>
      <c r="J4" t="s">
        <v>61</v>
      </c>
      <c r="K4" s="3">
        <v>45120</v>
      </c>
      <c r="L4" s="3">
        <v>45139</v>
      </c>
      <c r="M4">
        <v>2</v>
      </c>
      <c r="N4" t="s">
        <v>55</v>
      </c>
      <c r="O4" t="s">
        <v>62</v>
      </c>
      <c r="P4" t="s">
        <v>46</v>
      </c>
      <c r="Q4" t="s">
        <v>63</v>
      </c>
      <c r="R4" s="3">
        <v>45139</v>
      </c>
      <c r="S4" t="s">
        <v>0</v>
      </c>
      <c r="T4" t="s">
        <v>64</v>
      </c>
      <c r="U4" t="s">
        <v>65</v>
      </c>
      <c r="V4" t="s">
        <v>0</v>
      </c>
      <c r="W4" s="4">
        <v>37097691</v>
      </c>
      <c r="X4" t="s">
        <v>0</v>
      </c>
    </row>
    <row r="5" spans="1:24" x14ac:dyDescent="0.25">
      <c r="A5" t="s">
        <v>39</v>
      </c>
      <c r="B5" t="s">
        <v>40</v>
      </c>
      <c r="C5" t="s">
        <v>66</v>
      </c>
      <c r="D5" t="s">
        <v>67</v>
      </c>
      <c r="E5" t="s">
        <v>66</v>
      </c>
      <c r="F5" t="s">
        <v>67</v>
      </c>
      <c r="G5" s="3">
        <v>45597</v>
      </c>
      <c r="H5" s="2">
        <v>25.5</v>
      </c>
      <c r="I5" t="s">
        <v>68</v>
      </c>
      <c r="J5" t="s">
        <v>69</v>
      </c>
      <c r="K5" s="3">
        <v>45132</v>
      </c>
      <c r="L5" s="3">
        <v>45139</v>
      </c>
      <c r="M5">
        <v>3</v>
      </c>
      <c r="N5" t="s">
        <v>46</v>
      </c>
      <c r="O5" t="s">
        <v>70</v>
      </c>
      <c r="P5" t="s">
        <v>46</v>
      </c>
      <c r="Q5" t="s">
        <v>71</v>
      </c>
      <c r="R5" s="3">
        <v>44805</v>
      </c>
      <c r="S5" t="s">
        <v>0</v>
      </c>
      <c r="T5" t="s">
        <v>72</v>
      </c>
      <c r="U5" t="s">
        <v>73</v>
      </c>
      <c r="V5" t="s">
        <v>0</v>
      </c>
      <c r="W5" t="s">
        <v>74</v>
      </c>
      <c r="X5" t="s">
        <v>0</v>
      </c>
    </row>
    <row r="6" spans="1:24" x14ac:dyDescent="0.25">
      <c r="A6" t="s">
        <v>39</v>
      </c>
      <c r="B6" t="s">
        <v>40</v>
      </c>
      <c r="C6" t="s">
        <v>41</v>
      </c>
      <c r="D6" t="s">
        <v>42</v>
      </c>
      <c r="E6" t="s">
        <v>41</v>
      </c>
      <c r="F6" t="s">
        <v>42</v>
      </c>
      <c r="G6" s="3">
        <v>45597</v>
      </c>
      <c r="H6" s="2">
        <v>25.5</v>
      </c>
      <c r="I6" t="s">
        <v>75</v>
      </c>
      <c r="J6" t="s">
        <v>76</v>
      </c>
      <c r="K6" s="3">
        <v>45216</v>
      </c>
      <c r="L6" s="3">
        <v>45292</v>
      </c>
      <c r="M6">
        <v>4</v>
      </c>
      <c r="N6" t="s">
        <v>46</v>
      </c>
      <c r="O6" t="s">
        <v>56</v>
      </c>
      <c r="P6" t="s">
        <v>46</v>
      </c>
      <c r="Q6" t="s">
        <v>71</v>
      </c>
      <c r="R6" s="3">
        <v>44197</v>
      </c>
      <c r="S6" t="s">
        <v>0</v>
      </c>
      <c r="T6" t="s">
        <v>77</v>
      </c>
      <c r="U6" t="s">
        <v>78</v>
      </c>
      <c r="V6" t="s">
        <v>0</v>
      </c>
      <c r="W6" s="4">
        <v>30279415</v>
      </c>
      <c r="X6" t="s">
        <v>0</v>
      </c>
    </row>
    <row r="7" spans="1:24" x14ac:dyDescent="0.25">
      <c r="A7" t="s">
        <v>39</v>
      </c>
      <c r="B7" t="s">
        <v>40</v>
      </c>
      <c r="C7" t="s">
        <v>79</v>
      </c>
      <c r="D7" t="s">
        <v>80</v>
      </c>
      <c r="E7" t="s">
        <v>79</v>
      </c>
      <c r="F7" t="s">
        <v>80</v>
      </c>
      <c r="G7" s="3">
        <v>45597</v>
      </c>
      <c r="H7" s="2">
        <v>4.17</v>
      </c>
      <c r="I7" t="s">
        <v>81</v>
      </c>
      <c r="J7" t="s">
        <v>82</v>
      </c>
      <c r="K7" s="3">
        <v>43964</v>
      </c>
      <c r="L7" s="3">
        <v>44013</v>
      </c>
      <c r="M7">
        <v>5</v>
      </c>
      <c r="N7" t="s">
        <v>55</v>
      </c>
      <c r="O7" t="s">
        <v>83</v>
      </c>
      <c r="P7" t="s">
        <v>84</v>
      </c>
      <c r="Q7" t="s">
        <v>85</v>
      </c>
      <c r="R7" s="3">
        <v>44013</v>
      </c>
      <c r="S7" t="s">
        <v>0</v>
      </c>
      <c r="T7" t="s">
        <v>86</v>
      </c>
      <c r="U7" t="s">
        <v>87</v>
      </c>
      <c r="V7" t="s">
        <v>0</v>
      </c>
      <c r="W7" s="4">
        <v>28994141</v>
      </c>
      <c r="X7" t="s">
        <v>0</v>
      </c>
    </row>
    <row r="8" spans="1:24" x14ac:dyDescent="0.25">
      <c r="A8" t="s">
        <v>39</v>
      </c>
      <c r="B8" t="s">
        <v>40</v>
      </c>
      <c r="C8" t="s">
        <v>88</v>
      </c>
      <c r="D8" t="s">
        <v>89</v>
      </c>
      <c r="E8" t="s">
        <v>88</v>
      </c>
      <c r="F8" t="s">
        <v>89</v>
      </c>
      <c r="G8" s="3">
        <v>45597</v>
      </c>
      <c r="H8" s="2">
        <v>4.17</v>
      </c>
      <c r="I8" t="s">
        <v>90</v>
      </c>
      <c r="J8" t="s">
        <v>91</v>
      </c>
      <c r="K8" s="3">
        <v>43799</v>
      </c>
      <c r="L8" s="3">
        <v>43800</v>
      </c>
      <c r="M8">
        <v>6</v>
      </c>
      <c r="N8" t="s">
        <v>55</v>
      </c>
      <c r="O8" t="s">
        <v>92</v>
      </c>
      <c r="P8" t="s">
        <v>84</v>
      </c>
      <c r="Q8" t="s">
        <v>85</v>
      </c>
      <c r="R8" s="3">
        <v>43800</v>
      </c>
      <c r="S8" t="s">
        <v>0</v>
      </c>
      <c r="T8" t="s">
        <v>86</v>
      </c>
      <c r="U8" t="s">
        <v>87</v>
      </c>
      <c r="V8" t="s">
        <v>0</v>
      </c>
      <c r="W8" s="4">
        <v>27638238</v>
      </c>
      <c r="X8" t="s">
        <v>0</v>
      </c>
    </row>
    <row r="9" spans="1:24" x14ac:dyDescent="0.25">
      <c r="A9" t="s">
        <v>39</v>
      </c>
      <c r="B9" t="s">
        <v>40</v>
      </c>
      <c r="C9" t="s">
        <v>79</v>
      </c>
      <c r="D9" t="s">
        <v>80</v>
      </c>
      <c r="E9" t="s">
        <v>79</v>
      </c>
      <c r="F9" t="s">
        <v>80</v>
      </c>
      <c r="G9" s="3">
        <v>45597</v>
      </c>
      <c r="H9" s="2">
        <v>4.17</v>
      </c>
      <c r="I9" t="s">
        <v>93</v>
      </c>
      <c r="J9" t="s">
        <v>94</v>
      </c>
      <c r="K9" s="3">
        <v>44124</v>
      </c>
      <c r="L9" s="3">
        <v>44197</v>
      </c>
      <c r="M9">
        <v>4</v>
      </c>
      <c r="N9" t="s">
        <v>46</v>
      </c>
      <c r="O9" t="s">
        <v>45</v>
      </c>
      <c r="P9" t="s">
        <v>84</v>
      </c>
      <c r="Q9" t="s">
        <v>85</v>
      </c>
      <c r="R9" s="3">
        <v>44197</v>
      </c>
      <c r="S9" t="s">
        <v>0</v>
      </c>
      <c r="T9" t="s">
        <v>86</v>
      </c>
      <c r="U9" t="s">
        <v>95</v>
      </c>
      <c r="V9" t="s">
        <v>0</v>
      </c>
      <c r="W9" s="4">
        <v>29990591</v>
      </c>
      <c r="X9" t="s">
        <v>0</v>
      </c>
    </row>
    <row r="10" spans="1:24" x14ac:dyDescent="0.25">
      <c r="A10" t="s">
        <v>39</v>
      </c>
      <c r="B10" t="s">
        <v>40</v>
      </c>
      <c r="C10" t="s">
        <v>88</v>
      </c>
      <c r="D10" t="s">
        <v>89</v>
      </c>
      <c r="E10" t="s">
        <v>88</v>
      </c>
      <c r="F10" t="s">
        <v>89</v>
      </c>
      <c r="G10" s="3">
        <v>45597</v>
      </c>
      <c r="H10" s="2">
        <v>4.17</v>
      </c>
      <c r="I10" t="s">
        <v>96</v>
      </c>
      <c r="J10" t="s">
        <v>97</v>
      </c>
      <c r="K10" s="3">
        <v>43837</v>
      </c>
      <c r="L10" s="3">
        <v>43862</v>
      </c>
      <c r="M10">
        <v>5</v>
      </c>
      <c r="N10" t="s">
        <v>55</v>
      </c>
      <c r="O10" t="s">
        <v>92</v>
      </c>
      <c r="P10" t="s">
        <v>84</v>
      </c>
      <c r="Q10" t="s">
        <v>85</v>
      </c>
      <c r="R10" s="3">
        <v>43862</v>
      </c>
      <c r="S10" t="s">
        <v>0</v>
      </c>
      <c r="T10" t="s">
        <v>86</v>
      </c>
      <c r="U10" t="s">
        <v>87</v>
      </c>
      <c r="V10" t="s">
        <v>0</v>
      </c>
      <c r="W10" s="4">
        <v>28155295</v>
      </c>
      <c r="X10" t="s">
        <v>0</v>
      </c>
    </row>
    <row r="11" spans="1:24" x14ac:dyDescent="0.25">
      <c r="A11" t="s">
        <v>39</v>
      </c>
      <c r="B11" t="s">
        <v>40</v>
      </c>
      <c r="C11" t="s">
        <v>88</v>
      </c>
      <c r="D11" t="s">
        <v>89</v>
      </c>
      <c r="E11" t="s">
        <v>88</v>
      </c>
      <c r="F11" t="s">
        <v>89</v>
      </c>
      <c r="G11" s="3">
        <v>45597</v>
      </c>
      <c r="H11" s="2">
        <v>4.17</v>
      </c>
      <c r="I11" t="s">
        <v>98</v>
      </c>
      <c r="J11" t="s">
        <v>99</v>
      </c>
      <c r="K11" s="3">
        <v>43799</v>
      </c>
      <c r="L11" s="3">
        <v>43800</v>
      </c>
      <c r="M11">
        <v>6</v>
      </c>
      <c r="N11" t="s">
        <v>55</v>
      </c>
      <c r="O11" t="s">
        <v>92</v>
      </c>
      <c r="P11" t="s">
        <v>84</v>
      </c>
      <c r="Q11" t="s">
        <v>85</v>
      </c>
      <c r="R11" s="3">
        <v>43800</v>
      </c>
      <c r="S11" t="s">
        <v>0</v>
      </c>
      <c r="T11" t="s">
        <v>86</v>
      </c>
      <c r="U11" t="s">
        <v>87</v>
      </c>
      <c r="V11" t="s">
        <v>0</v>
      </c>
      <c r="W11" s="4">
        <v>27638185</v>
      </c>
      <c r="X11" t="s">
        <v>0</v>
      </c>
    </row>
    <row r="12" spans="1:24" x14ac:dyDescent="0.25">
      <c r="A12" t="s">
        <v>39</v>
      </c>
      <c r="B12" t="s">
        <v>40</v>
      </c>
      <c r="C12" t="s">
        <v>79</v>
      </c>
      <c r="D12" t="s">
        <v>80</v>
      </c>
      <c r="E12" t="s">
        <v>79</v>
      </c>
      <c r="F12" t="s">
        <v>80</v>
      </c>
      <c r="G12" s="3">
        <v>45597</v>
      </c>
      <c r="H12" s="2">
        <v>4.17</v>
      </c>
      <c r="I12" t="s">
        <v>100</v>
      </c>
      <c r="J12" t="s">
        <v>101</v>
      </c>
      <c r="K12" s="3">
        <v>44169</v>
      </c>
      <c r="L12" s="3">
        <v>44197</v>
      </c>
      <c r="M12">
        <v>7</v>
      </c>
      <c r="N12" t="s">
        <v>84</v>
      </c>
      <c r="O12" t="s">
        <v>102</v>
      </c>
      <c r="P12" t="s">
        <v>84</v>
      </c>
      <c r="Q12" t="s">
        <v>85</v>
      </c>
      <c r="R12" s="3">
        <v>44197</v>
      </c>
      <c r="S12" t="s">
        <v>0</v>
      </c>
      <c r="T12" t="s">
        <v>86</v>
      </c>
      <c r="U12" t="s">
        <v>103</v>
      </c>
      <c r="V12" t="s">
        <v>0</v>
      </c>
      <c r="W12" s="4">
        <v>30760375</v>
      </c>
      <c r="X12" t="s">
        <v>0</v>
      </c>
    </row>
    <row r="13" spans="1:24" x14ac:dyDescent="0.25">
      <c r="A13" t="s">
        <v>39</v>
      </c>
      <c r="B13" t="s">
        <v>40</v>
      </c>
      <c r="C13" t="s">
        <v>79</v>
      </c>
      <c r="D13" t="s">
        <v>80</v>
      </c>
      <c r="E13" t="s">
        <v>79</v>
      </c>
      <c r="F13" t="s">
        <v>80</v>
      </c>
      <c r="G13" s="3">
        <v>45597</v>
      </c>
      <c r="H13" s="2">
        <v>4.17</v>
      </c>
      <c r="I13" t="s">
        <v>104</v>
      </c>
      <c r="J13" t="s">
        <v>105</v>
      </c>
      <c r="K13" s="3">
        <v>44166</v>
      </c>
      <c r="L13" s="3">
        <v>44197</v>
      </c>
      <c r="M13">
        <v>5</v>
      </c>
      <c r="N13" t="s">
        <v>84</v>
      </c>
      <c r="O13" t="s">
        <v>102</v>
      </c>
      <c r="P13" t="s">
        <v>84</v>
      </c>
      <c r="Q13" t="s">
        <v>85</v>
      </c>
      <c r="R13" s="3">
        <v>44197</v>
      </c>
      <c r="S13" t="s">
        <v>0</v>
      </c>
      <c r="T13" t="s">
        <v>86</v>
      </c>
      <c r="U13" t="s">
        <v>103</v>
      </c>
      <c r="V13" t="s">
        <v>0</v>
      </c>
      <c r="W13" s="4">
        <v>30653038</v>
      </c>
      <c r="X13" t="s">
        <v>0</v>
      </c>
    </row>
    <row r="14" spans="1:24" x14ac:dyDescent="0.25">
      <c r="A14" t="s">
        <v>39</v>
      </c>
      <c r="B14" t="s">
        <v>40</v>
      </c>
      <c r="C14" t="s">
        <v>79</v>
      </c>
      <c r="D14" t="s">
        <v>80</v>
      </c>
      <c r="E14" t="s">
        <v>79</v>
      </c>
      <c r="F14" t="s">
        <v>80</v>
      </c>
      <c r="G14" s="3">
        <v>45597</v>
      </c>
      <c r="H14" s="2">
        <v>4.17</v>
      </c>
      <c r="I14" t="s">
        <v>106</v>
      </c>
      <c r="J14" t="s">
        <v>107</v>
      </c>
      <c r="K14" s="3">
        <v>44039</v>
      </c>
      <c r="L14" s="3">
        <v>44044</v>
      </c>
      <c r="M14">
        <v>5</v>
      </c>
      <c r="N14" t="s">
        <v>55</v>
      </c>
      <c r="O14" t="s">
        <v>102</v>
      </c>
      <c r="P14" t="s">
        <v>84</v>
      </c>
      <c r="Q14" t="s">
        <v>85</v>
      </c>
      <c r="R14" s="3">
        <v>44044</v>
      </c>
      <c r="S14" t="s">
        <v>0</v>
      </c>
      <c r="T14" t="s">
        <v>86</v>
      </c>
      <c r="U14" t="s">
        <v>103</v>
      </c>
      <c r="V14" t="s">
        <v>0</v>
      </c>
      <c r="W14" s="4">
        <v>29407868</v>
      </c>
      <c r="X14" t="s">
        <v>0</v>
      </c>
    </row>
    <row r="15" spans="1:24" x14ac:dyDescent="0.25">
      <c r="A15" t="s">
        <v>39</v>
      </c>
      <c r="B15" t="s">
        <v>40</v>
      </c>
      <c r="C15" t="s">
        <v>88</v>
      </c>
      <c r="D15" t="s">
        <v>89</v>
      </c>
      <c r="E15" t="s">
        <v>88</v>
      </c>
      <c r="F15" t="s">
        <v>89</v>
      </c>
      <c r="G15" s="3">
        <v>45597</v>
      </c>
      <c r="H15" s="2">
        <v>4.17</v>
      </c>
      <c r="I15" t="s">
        <v>108</v>
      </c>
      <c r="J15" t="s">
        <v>109</v>
      </c>
      <c r="K15" s="3">
        <v>43886</v>
      </c>
      <c r="L15" s="3">
        <v>43891</v>
      </c>
      <c r="M15">
        <v>5</v>
      </c>
      <c r="N15" t="s">
        <v>55</v>
      </c>
      <c r="O15" t="s">
        <v>92</v>
      </c>
      <c r="P15" t="s">
        <v>84</v>
      </c>
      <c r="Q15" t="s">
        <v>85</v>
      </c>
      <c r="R15" s="3">
        <v>43891</v>
      </c>
      <c r="S15" t="s">
        <v>0</v>
      </c>
      <c r="T15" t="s">
        <v>86</v>
      </c>
      <c r="U15" t="s">
        <v>87</v>
      </c>
      <c r="V15" t="s">
        <v>0</v>
      </c>
      <c r="W15" s="4">
        <v>28503258</v>
      </c>
      <c r="X15" t="s">
        <v>0</v>
      </c>
    </row>
    <row r="16" spans="1:24" x14ac:dyDescent="0.25">
      <c r="A16" t="s">
        <v>39</v>
      </c>
      <c r="B16" t="s">
        <v>40</v>
      </c>
      <c r="C16" t="s">
        <v>88</v>
      </c>
      <c r="D16" t="s">
        <v>89</v>
      </c>
      <c r="E16" t="s">
        <v>88</v>
      </c>
      <c r="F16" t="s">
        <v>89</v>
      </c>
      <c r="G16" s="3">
        <v>45597</v>
      </c>
      <c r="H16" s="2">
        <v>4.17</v>
      </c>
      <c r="I16" t="s">
        <v>110</v>
      </c>
      <c r="J16" t="s">
        <v>111</v>
      </c>
      <c r="K16" s="3">
        <v>43806</v>
      </c>
      <c r="L16" s="3">
        <v>43831</v>
      </c>
      <c r="M16">
        <v>7</v>
      </c>
      <c r="N16" t="s">
        <v>84</v>
      </c>
      <c r="O16" t="s">
        <v>92</v>
      </c>
      <c r="P16" t="s">
        <v>84</v>
      </c>
      <c r="Q16" t="s">
        <v>85</v>
      </c>
      <c r="R16" s="3">
        <v>43831</v>
      </c>
      <c r="S16" t="s">
        <v>0</v>
      </c>
      <c r="T16" t="s">
        <v>86</v>
      </c>
      <c r="U16" t="s">
        <v>87</v>
      </c>
      <c r="V16" t="s">
        <v>0</v>
      </c>
      <c r="W16" s="4">
        <v>27908408</v>
      </c>
      <c r="X16" t="s">
        <v>0</v>
      </c>
    </row>
    <row r="17" spans="1:24" x14ac:dyDescent="0.25">
      <c r="A17" t="s">
        <v>39</v>
      </c>
      <c r="B17" t="s">
        <v>40</v>
      </c>
      <c r="C17" t="s">
        <v>88</v>
      </c>
      <c r="D17" t="s">
        <v>89</v>
      </c>
      <c r="E17" t="s">
        <v>88</v>
      </c>
      <c r="F17" t="s">
        <v>89</v>
      </c>
      <c r="G17" s="3">
        <v>45597</v>
      </c>
      <c r="H17" s="2">
        <v>4.17</v>
      </c>
      <c r="I17" t="s">
        <v>112</v>
      </c>
      <c r="J17" t="s">
        <v>113</v>
      </c>
      <c r="K17" s="3">
        <v>43803</v>
      </c>
      <c r="L17" s="3">
        <v>43831</v>
      </c>
      <c r="M17">
        <v>5</v>
      </c>
      <c r="N17" t="s">
        <v>55</v>
      </c>
      <c r="O17" t="s">
        <v>56</v>
      </c>
      <c r="P17" t="s">
        <v>84</v>
      </c>
      <c r="Q17" t="s">
        <v>85</v>
      </c>
      <c r="R17" s="3">
        <v>43831</v>
      </c>
      <c r="S17" t="s">
        <v>0</v>
      </c>
      <c r="T17" t="s">
        <v>86</v>
      </c>
      <c r="U17" t="s">
        <v>114</v>
      </c>
      <c r="V17" t="s">
        <v>0</v>
      </c>
      <c r="W17" s="4">
        <v>27754685</v>
      </c>
      <c r="X17" t="s">
        <v>0</v>
      </c>
    </row>
    <row r="18" spans="1:24" x14ac:dyDescent="0.25">
      <c r="A18" t="s">
        <v>39</v>
      </c>
      <c r="B18" t="s">
        <v>40</v>
      </c>
      <c r="C18" t="s">
        <v>88</v>
      </c>
      <c r="D18" t="s">
        <v>89</v>
      </c>
      <c r="E18" t="s">
        <v>88</v>
      </c>
      <c r="F18" t="s">
        <v>89</v>
      </c>
      <c r="G18" s="3">
        <v>45597</v>
      </c>
      <c r="H18" s="2">
        <v>4.17</v>
      </c>
      <c r="I18" t="s">
        <v>115</v>
      </c>
      <c r="J18" t="s">
        <v>116</v>
      </c>
      <c r="K18" s="3">
        <v>43799</v>
      </c>
      <c r="L18" s="3">
        <v>43800</v>
      </c>
      <c r="M18">
        <v>6</v>
      </c>
      <c r="N18" t="s">
        <v>55</v>
      </c>
      <c r="O18" t="s">
        <v>92</v>
      </c>
      <c r="P18" t="s">
        <v>84</v>
      </c>
      <c r="Q18" t="s">
        <v>85</v>
      </c>
      <c r="R18" s="3">
        <v>43800</v>
      </c>
      <c r="S18" t="s">
        <v>0</v>
      </c>
      <c r="T18" t="s">
        <v>86</v>
      </c>
      <c r="U18" t="s">
        <v>87</v>
      </c>
      <c r="V18" t="s">
        <v>0</v>
      </c>
      <c r="W18" s="4">
        <v>27638232</v>
      </c>
      <c r="X18" t="s">
        <v>0</v>
      </c>
    </row>
    <row r="19" spans="1:24" x14ac:dyDescent="0.25">
      <c r="A19" t="s">
        <v>39</v>
      </c>
      <c r="B19" t="s">
        <v>40</v>
      </c>
      <c r="C19" t="s">
        <v>88</v>
      </c>
      <c r="D19" t="s">
        <v>89</v>
      </c>
      <c r="E19" t="s">
        <v>88</v>
      </c>
      <c r="F19" t="s">
        <v>89</v>
      </c>
      <c r="G19" s="3">
        <v>45597</v>
      </c>
      <c r="H19" s="2">
        <v>4.17</v>
      </c>
      <c r="I19" t="s">
        <v>117</v>
      </c>
      <c r="J19" t="s">
        <v>118</v>
      </c>
      <c r="K19" s="3">
        <v>43906</v>
      </c>
      <c r="L19" s="3">
        <v>43922</v>
      </c>
      <c r="M19">
        <v>5</v>
      </c>
      <c r="N19" t="s">
        <v>55</v>
      </c>
      <c r="O19" t="s">
        <v>92</v>
      </c>
      <c r="P19" t="s">
        <v>84</v>
      </c>
      <c r="Q19" t="s">
        <v>85</v>
      </c>
      <c r="R19" s="3">
        <v>43922</v>
      </c>
      <c r="S19" t="s">
        <v>0</v>
      </c>
      <c r="T19" t="s">
        <v>86</v>
      </c>
      <c r="U19" t="s">
        <v>87</v>
      </c>
      <c r="V19" t="s">
        <v>0</v>
      </c>
      <c r="W19" s="4">
        <v>28636848</v>
      </c>
      <c r="X19" t="s">
        <v>0</v>
      </c>
    </row>
    <row r="20" spans="1:24" x14ac:dyDescent="0.25">
      <c r="A20" t="s">
        <v>39</v>
      </c>
      <c r="B20" t="s">
        <v>40</v>
      </c>
      <c r="C20" t="s">
        <v>79</v>
      </c>
      <c r="D20" t="s">
        <v>80</v>
      </c>
      <c r="E20" t="s">
        <v>79</v>
      </c>
      <c r="F20" t="s">
        <v>80</v>
      </c>
      <c r="G20" s="3">
        <v>45597</v>
      </c>
      <c r="H20" s="2">
        <v>4.17</v>
      </c>
      <c r="I20" t="s">
        <v>119</v>
      </c>
      <c r="J20" t="s">
        <v>120</v>
      </c>
      <c r="K20" s="3">
        <v>43757</v>
      </c>
      <c r="L20" s="3">
        <v>43831</v>
      </c>
      <c r="M20">
        <v>5</v>
      </c>
      <c r="N20" t="s">
        <v>55</v>
      </c>
      <c r="O20" t="s">
        <v>45</v>
      </c>
      <c r="P20" t="s">
        <v>84</v>
      </c>
      <c r="Q20" t="s">
        <v>85</v>
      </c>
      <c r="R20" s="3">
        <v>43831</v>
      </c>
      <c r="S20" t="s">
        <v>0</v>
      </c>
      <c r="T20" t="s">
        <v>86</v>
      </c>
      <c r="U20" t="s">
        <v>95</v>
      </c>
      <c r="V20" t="s">
        <v>0</v>
      </c>
      <c r="W20" s="4">
        <v>26517696</v>
      </c>
      <c r="X20" t="s">
        <v>0</v>
      </c>
    </row>
    <row r="21" spans="1:24" x14ac:dyDescent="0.25">
      <c r="A21" t="s">
        <v>39</v>
      </c>
      <c r="B21" t="s">
        <v>40</v>
      </c>
      <c r="C21" t="s">
        <v>79</v>
      </c>
      <c r="D21" t="s">
        <v>80</v>
      </c>
      <c r="E21" t="s">
        <v>79</v>
      </c>
      <c r="F21" t="s">
        <v>80</v>
      </c>
      <c r="G21" s="3">
        <v>45597</v>
      </c>
      <c r="H21" s="2">
        <v>4.17</v>
      </c>
      <c r="I21" t="s">
        <v>121</v>
      </c>
      <c r="J21" t="s">
        <v>122</v>
      </c>
      <c r="K21" s="3">
        <v>43591</v>
      </c>
      <c r="L21" s="3">
        <v>43647</v>
      </c>
      <c r="M21">
        <v>6</v>
      </c>
      <c r="N21" t="s">
        <v>55</v>
      </c>
      <c r="O21" t="s">
        <v>102</v>
      </c>
      <c r="P21" t="s">
        <v>84</v>
      </c>
      <c r="Q21" t="s">
        <v>85</v>
      </c>
      <c r="R21" s="3">
        <v>43647</v>
      </c>
      <c r="S21" t="s">
        <v>0</v>
      </c>
      <c r="T21" t="s">
        <v>86</v>
      </c>
      <c r="U21" t="s">
        <v>103</v>
      </c>
      <c r="V21" t="s">
        <v>0</v>
      </c>
      <c r="W21" s="4">
        <v>22895455</v>
      </c>
      <c r="X21" t="s">
        <v>0</v>
      </c>
    </row>
    <row r="22" spans="1:24" x14ac:dyDescent="0.25">
      <c r="A22" t="s">
        <v>39</v>
      </c>
      <c r="B22" t="s">
        <v>40</v>
      </c>
      <c r="C22" t="s">
        <v>88</v>
      </c>
      <c r="D22" t="s">
        <v>89</v>
      </c>
      <c r="E22" t="s">
        <v>88</v>
      </c>
      <c r="F22" t="s">
        <v>89</v>
      </c>
      <c r="G22" s="3">
        <v>45597</v>
      </c>
      <c r="H22" s="2">
        <v>4.17</v>
      </c>
      <c r="I22" t="s">
        <v>123</v>
      </c>
      <c r="J22" t="s">
        <v>124</v>
      </c>
      <c r="K22" s="3">
        <v>43786</v>
      </c>
      <c r="L22" s="3">
        <v>43800</v>
      </c>
      <c r="M22">
        <v>6</v>
      </c>
      <c r="N22" t="s">
        <v>55</v>
      </c>
      <c r="O22" t="s">
        <v>102</v>
      </c>
      <c r="P22" t="s">
        <v>84</v>
      </c>
      <c r="Q22" t="s">
        <v>85</v>
      </c>
      <c r="R22" s="3">
        <v>43800</v>
      </c>
      <c r="S22" t="s">
        <v>0</v>
      </c>
      <c r="T22" t="s">
        <v>86</v>
      </c>
      <c r="U22" t="s">
        <v>103</v>
      </c>
      <c r="V22" t="s">
        <v>0</v>
      </c>
      <c r="W22" s="4">
        <v>27326165</v>
      </c>
      <c r="X22" t="s">
        <v>0</v>
      </c>
    </row>
    <row r="23" spans="1:24" x14ac:dyDescent="0.25">
      <c r="A23" t="s">
        <v>39</v>
      </c>
      <c r="B23" t="s">
        <v>40</v>
      </c>
      <c r="C23" t="s">
        <v>79</v>
      </c>
      <c r="D23" t="s">
        <v>80</v>
      </c>
      <c r="E23" t="s">
        <v>79</v>
      </c>
      <c r="F23" t="s">
        <v>80</v>
      </c>
      <c r="G23" s="3">
        <v>45597</v>
      </c>
      <c r="H23" s="2">
        <v>4.17</v>
      </c>
      <c r="I23" t="s">
        <v>125</v>
      </c>
      <c r="J23" t="s">
        <v>126</v>
      </c>
      <c r="K23" s="3">
        <v>43675</v>
      </c>
      <c r="L23" s="3">
        <v>43709</v>
      </c>
      <c r="M23">
        <v>6</v>
      </c>
      <c r="N23" t="s">
        <v>55</v>
      </c>
      <c r="O23" t="s">
        <v>83</v>
      </c>
      <c r="P23" t="s">
        <v>84</v>
      </c>
      <c r="Q23" t="s">
        <v>85</v>
      </c>
      <c r="R23" s="3">
        <v>43709</v>
      </c>
      <c r="S23" t="s">
        <v>0</v>
      </c>
      <c r="T23" t="s">
        <v>86</v>
      </c>
      <c r="U23" t="s">
        <v>87</v>
      </c>
      <c r="V23" t="s">
        <v>0</v>
      </c>
      <c r="W23" s="4">
        <v>23363126</v>
      </c>
      <c r="X23" t="s">
        <v>0</v>
      </c>
    </row>
    <row r="24" spans="1:24" x14ac:dyDescent="0.25">
      <c r="A24" t="s">
        <v>39</v>
      </c>
      <c r="B24" t="s">
        <v>40</v>
      </c>
      <c r="C24" t="s">
        <v>79</v>
      </c>
      <c r="D24" t="s">
        <v>80</v>
      </c>
      <c r="E24" t="s">
        <v>79</v>
      </c>
      <c r="F24" t="s">
        <v>80</v>
      </c>
      <c r="G24" s="3">
        <v>45597</v>
      </c>
      <c r="H24" s="2">
        <v>4.17</v>
      </c>
      <c r="I24" t="s">
        <v>127</v>
      </c>
      <c r="J24" t="s">
        <v>128</v>
      </c>
      <c r="K24" s="3">
        <v>43557</v>
      </c>
      <c r="L24" s="3">
        <v>43586</v>
      </c>
      <c r="M24">
        <v>6</v>
      </c>
      <c r="N24" t="s">
        <v>55</v>
      </c>
      <c r="O24" t="s">
        <v>45</v>
      </c>
      <c r="P24" t="s">
        <v>84</v>
      </c>
      <c r="Q24" t="s">
        <v>85</v>
      </c>
      <c r="R24" s="3">
        <v>43586</v>
      </c>
      <c r="S24" t="s">
        <v>0</v>
      </c>
      <c r="T24" t="s">
        <v>86</v>
      </c>
      <c r="U24" t="s">
        <v>95</v>
      </c>
      <c r="V24" t="s">
        <v>0</v>
      </c>
      <c r="W24" s="4">
        <v>22688341</v>
      </c>
      <c r="X24" t="s">
        <v>0</v>
      </c>
    </row>
    <row r="25" spans="1:24" x14ac:dyDescent="0.25">
      <c r="A25" t="s">
        <v>39</v>
      </c>
      <c r="B25" t="s">
        <v>40</v>
      </c>
      <c r="C25" t="s">
        <v>79</v>
      </c>
      <c r="D25" t="s">
        <v>80</v>
      </c>
      <c r="E25" t="s">
        <v>79</v>
      </c>
      <c r="F25" t="s">
        <v>80</v>
      </c>
      <c r="G25" s="3">
        <v>45597</v>
      </c>
      <c r="H25" s="2">
        <v>4.17</v>
      </c>
      <c r="I25" t="s">
        <v>129</v>
      </c>
      <c r="J25" t="s">
        <v>130</v>
      </c>
      <c r="K25" s="3">
        <v>44076</v>
      </c>
      <c r="L25" s="3">
        <v>44105</v>
      </c>
      <c r="M25">
        <v>5</v>
      </c>
      <c r="N25" t="s">
        <v>55</v>
      </c>
      <c r="O25" t="s">
        <v>102</v>
      </c>
      <c r="P25" t="s">
        <v>84</v>
      </c>
      <c r="Q25" t="s">
        <v>85</v>
      </c>
      <c r="R25" s="3">
        <v>44105</v>
      </c>
      <c r="S25" t="s">
        <v>0</v>
      </c>
      <c r="T25" t="s">
        <v>86</v>
      </c>
      <c r="U25" t="s">
        <v>103</v>
      </c>
      <c r="V25" t="s">
        <v>0</v>
      </c>
      <c r="W25" s="4">
        <v>29634416</v>
      </c>
      <c r="X25" t="s">
        <v>0</v>
      </c>
    </row>
    <row r="26" spans="1:24" x14ac:dyDescent="0.25">
      <c r="A26" t="s">
        <v>39</v>
      </c>
      <c r="B26" t="s">
        <v>40</v>
      </c>
      <c r="C26" t="s">
        <v>88</v>
      </c>
      <c r="D26" t="s">
        <v>89</v>
      </c>
      <c r="E26" t="s">
        <v>88</v>
      </c>
      <c r="F26" t="s">
        <v>89</v>
      </c>
      <c r="G26" s="3">
        <v>45597</v>
      </c>
      <c r="H26" s="2">
        <v>4.17</v>
      </c>
      <c r="I26" t="s">
        <v>131</v>
      </c>
      <c r="J26" t="s">
        <v>132</v>
      </c>
      <c r="K26" s="3">
        <v>43806</v>
      </c>
      <c r="L26" s="3">
        <v>43831</v>
      </c>
      <c r="M26">
        <v>9</v>
      </c>
      <c r="N26" t="s">
        <v>84</v>
      </c>
      <c r="O26" t="s">
        <v>92</v>
      </c>
      <c r="P26" t="s">
        <v>84</v>
      </c>
      <c r="Q26" t="s">
        <v>85</v>
      </c>
      <c r="R26" s="3">
        <v>43831</v>
      </c>
      <c r="S26" t="s">
        <v>0</v>
      </c>
      <c r="T26" t="s">
        <v>86</v>
      </c>
      <c r="U26" t="s">
        <v>87</v>
      </c>
      <c r="V26" t="s">
        <v>0</v>
      </c>
      <c r="W26" s="4">
        <v>27923492</v>
      </c>
      <c r="X26" t="s">
        <v>0</v>
      </c>
    </row>
    <row r="27" spans="1:24" x14ac:dyDescent="0.25">
      <c r="A27" t="s">
        <v>39</v>
      </c>
      <c r="B27" t="s">
        <v>40</v>
      </c>
      <c r="C27" t="s">
        <v>88</v>
      </c>
      <c r="D27" t="s">
        <v>89</v>
      </c>
      <c r="E27" t="s">
        <v>88</v>
      </c>
      <c r="F27" t="s">
        <v>89</v>
      </c>
      <c r="G27" s="3">
        <v>45597</v>
      </c>
      <c r="H27" s="2">
        <v>4.17</v>
      </c>
      <c r="I27" t="s">
        <v>133</v>
      </c>
      <c r="J27" t="s">
        <v>134</v>
      </c>
      <c r="K27" s="3">
        <v>43850</v>
      </c>
      <c r="L27" s="3">
        <v>43891</v>
      </c>
      <c r="M27">
        <v>5</v>
      </c>
      <c r="N27" t="s">
        <v>55</v>
      </c>
      <c r="O27" t="s">
        <v>92</v>
      </c>
      <c r="P27" t="s">
        <v>84</v>
      </c>
      <c r="Q27" t="s">
        <v>85</v>
      </c>
      <c r="R27" s="3">
        <v>43891</v>
      </c>
      <c r="S27" t="s">
        <v>0</v>
      </c>
      <c r="T27" t="s">
        <v>86</v>
      </c>
      <c r="U27" t="s">
        <v>87</v>
      </c>
      <c r="V27" t="s">
        <v>0</v>
      </c>
      <c r="W27" s="4">
        <v>28241076</v>
      </c>
      <c r="X27" t="s">
        <v>0</v>
      </c>
    </row>
    <row r="28" spans="1:24" x14ac:dyDescent="0.25">
      <c r="A28" t="s">
        <v>39</v>
      </c>
      <c r="B28" t="s">
        <v>40</v>
      </c>
      <c r="C28" t="s">
        <v>79</v>
      </c>
      <c r="D28" t="s">
        <v>80</v>
      </c>
      <c r="E28" t="s">
        <v>79</v>
      </c>
      <c r="F28" t="s">
        <v>80</v>
      </c>
      <c r="G28" s="3">
        <v>45597</v>
      </c>
      <c r="H28" s="2">
        <v>4.17</v>
      </c>
      <c r="I28" t="s">
        <v>135</v>
      </c>
      <c r="J28" t="s">
        <v>136</v>
      </c>
      <c r="K28" s="3">
        <v>43776</v>
      </c>
      <c r="L28" s="3">
        <v>43800</v>
      </c>
      <c r="M28">
        <v>6</v>
      </c>
      <c r="N28" t="s">
        <v>84</v>
      </c>
      <c r="O28" t="s">
        <v>137</v>
      </c>
      <c r="P28" t="s">
        <v>84</v>
      </c>
      <c r="Q28" t="s">
        <v>85</v>
      </c>
      <c r="R28" s="3">
        <v>43709</v>
      </c>
      <c r="S28" t="s">
        <v>0</v>
      </c>
      <c r="T28" t="s">
        <v>86</v>
      </c>
      <c r="U28" t="s">
        <v>138</v>
      </c>
      <c r="V28" t="s">
        <v>0</v>
      </c>
      <c r="W28" s="4">
        <v>25863623</v>
      </c>
      <c r="X28" t="s">
        <v>0</v>
      </c>
    </row>
    <row r="29" spans="1:24" x14ac:dyDescent="0.25">
      <c r="A29" t="s">
        <v>39</v>
      </c>
      <c r="B29" t="s">
        <v>40</v>
      </c>
      <c r="C29" t="s">
        <v>88</v>
      </c>
      <c r="D29" t="s">
        <v>89</v>
      </c>
      <c r="E29" t="s">
        <v>88</v>
      </c>
      <c r="F29" t="s">
        <v>89</v>
      </c>
      <c r="G29" s="3">
        <v>45597</v>
      </c>
      <c r="H29" s="2">
        <v>4.17</v>
      </c>
      <c r="I29" t="s">
        <v>139</v>
      </c>
      <c r="J29" t="s">
        <v>140</v>
      </c>
      <c r="K29" s="3">
        <v>43886</v>
      </c>
      <c r="L29" s="3">
        <v>43922</v>
      </c>
      <c r="M29">
        <v>5</v>
      </c>
      <c r="N29" t="s">
        <v>55</v>
      </c>
      <c r="O29" t="s">
        <v>92</v>
      </c>
      <c r="P29" t="s">
        <v>84</v>
      </c>
      <c r="Q29" t="s">
        <v>85</v>
      </c>
      <c r="R29" s="3">
        <v>43922</v>
      </c>
      <c r="S29" t="s">
        <v>0</v>
      </c>
      <c r="T29" t="s">
        <v>86</v>
      </c>
      <c r="U29" t="s">
        <v>87</v>
      </c>
      <c r="V29" t="s">
        <v>0</v>
      </c>
      <c r="W29" s="4">
        <v>28503257</v>
      </c>
      <c r="X29" t="s">
        <v>0</v>
      </c>
    </row>
    <row r="30" spans="1:24" x14ac:dyDescent="0.25">
      <c r="A30" t="s">
        <v>39</v>
      </c>
      <c r="B30" t="s">
        <v>40</v>
      </c>
      <c r="C30" t="s">
        <v>88</v>
      </c>
      <c r="D30" t="s">
        <v>89</v>
      </c>
      <c r="E30" t="s">
        <v>88</v>
      </c>
      <c r="F30" t="s">
        <v>89</v>
      </c>
      <c r="G30" s="3">
        <v>45597</v>
      </c>
      <c r="H30" s="2">
        <v>4.17</v>
      </c>
      <c r="I30" t="s">
        <v>141</v>
      </c>
      <c r="J30" t="s">
        <v>142</v>
      </c>
      <c r="K30" s="3">
        <v>43901</v>
      </c>
      <c r="L30" s="3">
        <v>44562</v>
      </c>
      <c r="M30">
        <v>5</v>
      </c>
      <c r="N30" t="s">
        <v>84</v>
      </c>
      <c r="O30" t="s">
        <v>45</v>
      </c>
      <c r="P30" t="s">
        <v>84</v>
      </c>
      <c r="Q30" t="s">
        <v>85</v>
      </c>
      <c r="R30" s="3">
        <v>43952</v>
      </c>
      <c r="S30" s="3">
        <v>45657</v>
      </c>
      <c r="T30" t="s">
        <v>86</v>
      </c>
      <c r="U30" t="s">
        <v>95</v>
      </c>
      <c r="V30" t="s">
        <v>0</v>
      </c>
      <c r="W30" s="4">
        <v>28611729</v>
      </c>
      <c r="X30" t="s">
        <v>0</v>
      </c>
    </row>
    <row r="31" spans="1:24" x14ac:dyDescent="0.25">
      <c r="A31" t="s">
        <v>39</v>
      </c>
      <c r="B31" t="s">
        <v>40</v>
      </c>
      <c r="C31" t="s">
        <v>79</v>
      </c>
      <c r="D31" t="s">
        <v>80</v>
      </c>
      <c r="E31" t="s">
        <v>79</v>
      </c>
      <c r="F31" t="s">
        <v>80</v>
      </c>
      <c r="G31" s="3">
        <v>45597</v>
      </c>
      <c r="H31" s="2">
        <v>4.17</v>
      </c>
      <c r="I31" t="s">
        <v>143</v>
      </c>
      <c r="J31" t="s">
        <v>144</v>
      </c>
      <c r="K31" s="3">
        <v>43769</v>
      </c>
      <c r="L31" s="3">
        <v>44562</v>
      </c>
      <c r="M31">
        <v>10</v>
      </c>
      <c r="N31" t="s">
        <v>84</v>
      </c>
      <c r="O31" t="s">
        <v>102</v>
      </c>
      <c r="P31" t="s">
        <v>84</v>
      </c>
      <c r="Q31" t="s">
        <v>85</v>
      </c>
      <c r="R31" s="3">
        <v>43831</v>
      </c>
      <c r="S31" t="s">
        <v>0</v>
      </c>
      <c r="T31" t="s">
        <v>86</v>
      </c>
      <c r="U31" t="s">
        <v>103</v>
      </c>
      <c r="V31" t="s">
        <v>0</v>
      </c>
      <c r="W31" s="4">
        <v>26976314</v>
      </c>
      <c r="X31" t="s">
        <v>0</v>
      </c>
    </row>
    <row r="32" spans="1:24" x14ac:dyDescent="0.25">
      <c r="A32" t="s">
        <v>39</v>
      </c>
      <c r="B32" t="s">
        <v>40</v>
      </c>
      <c r="C32" t="s">
        <v>79</v>
      </c>
      <c r="D32" t="s">
        <v>80</v>
      </c>
      <c r="E32" t="s">
        <v>79</v>
      </c>
      <c r="F32" t="s">
        <v>80</v>
      </c>
      <c r="G32" s="3">
        <v>45597</v>
      </c>
      <c r="H32" s="2">
        <v>4.17</v>
      </c>
      <c r="I32" t="s">
        <v>145</v>
      </c>
      <c r="J32" t="s">
        <v>146</v>
      </c>
      <c r="K32" s="3">
        <v>43943</v>
      </c>
      <c r="L32" s="3">
        <v>44562</v>
      </c>
      <c r="M32">
        <v>5</v>
      </c>
      <c r="N32" t="s">
        <v>84</v>
      </c>
      <c r="O32" t="s">
        <v>102</v>
      </c>
      <c r="P32" t="s">
        <v>84</v>
      </c>
      <c r="Q32" t="s">
        <v>85</v>
      </c>
      <c r="R32" s="3">
        <v>43952</v>
      </c>
      <c r="S32" t="s">
        <v>0</v>
      </c>
      <c r="T32" t="s">
        <v>86</v>
      </c>
      <c r="U32" t="s">
        <v>103</v>
      </c>
      <c r="V32" t="s">
        <v>0</v>
      </c>
      <c r="W32" s="4">
        <v>28870637</v>
      </c>
      <c r="X32" t="s">
        <v>0</v>
      </c>
    </row>
    <row r="33" spans="1:24" x14ac:dyDescent="0.25">
      <c r="A33" t="s">
        <v>39</v>
      </c>
      <c r="B33" t="s">
        <v>40</v>
      </c>
      <c r="C33" t="s">
        <v>88</v>
      </c>
      <c r="D33" t="s">
        <v>89</v>
      </c>
      <c r="E33" t="s">
        <v>88</v>
      </c>
      <c r="F33" t="s">
        <v>89</v>
      </c>
      <c r="G33" s="3">
        <v>45597</v>
      </c>
      <c r="H33" s="2">
        <v>4.17</v>
      </c>
      <c r="I33" t="s">
        <v>147</v>
      </c>
      <c r="J33" t="s">
        <v>148</v>
      </c>
      <c r="K33" s="3">
        <v>43851</v>
      </c>
      <c r="L33" s="3">
        <v>44562</v>
      </c>
      <c r="M33">
        <v>5</v>
      </c>
      <c r="N33" t="s">
        <v>84</v>
      </c>
      <c r="O33" t="s">
        <v>92</v>
      </c>
      <c r="P33" t="s">
        <v>84</v>
      </c>
      <c r="Q33" t="s">
        <v>85</v>
      </c>
      <c r="R33" s="3">
        <v>43862</v>
      </c>
      <c r="S33" t="s">
        <v>0</v>
      </c>
      <c r="T33" t="s">
        <v>86</v>
      </c>
      <c r="U33" t="s">
        <v>87</v>
      </c>
      <c r="V33" t="s">
        <v>0</v>
      </c>
      <c r="W33" s="4">
        <v>28248727</v>
      </c>
      <c r="X33" t="s">
        <v>0</v>
      </c>
    </row>
    <row r="34" spans="1:24" x14ac:dyDescent="0.25">
      <c r="A34" t="s">
        <v>39</v>
      </c>
      <c r="B34" t="s">
        <v>40</v>
      </c>
      <c r="C34" t="s">
        <v>79</v>
      </c>
      <c r="D34" t="s">
        <v>80</v>
      </c>
      <c r="E34" t="s">
        <v>79</v>
      </c>
      <c r="F34" t="s">
        <v>80</v>
      </c>
      <c r="G34" s="3">
        <v>45597</v>
      </c>
      <c r="H34" s="2">
        <v>4.17</v>
      </c>
      <c r="I34" t="s">
        <v>149</v>
      </c>
      <c r="J34" t="s">
        <v>150</v>
      </c>
      <c r="K34" s="3">
        <v>44168</v>
      </c>
      <c r="L34" s="3">
        <v>44562</v>
      </c>
      <c r="M34">
        <v>11</v>
      </c>
      <c r="N34" t="s">
        <v>84</v>
      </c>
      <c r="O34" t="s">
        <v>102</v>
      </c>
      <c r="P34" t="s">
        <v>84</v>
      </c>
      <c r="Q34" t="s">
        <v>85</v>
      </c>
      <c r="R34" s="3">
        <v>44197</v>
      </c>
      <c r="S34" t="s">
        <v>0</v>
      </c>
      <c r="T34" t="s">
        <v>86</v>
      </c>
      <c r="U34" t="s">
        <v>103</v>
      </c>
      <c r="V34" t="s">
        <v>0</v>
      </c>
      <c r="W34" s="4">
        <v>30719348</v>
      </c>
      <c r="X34" t="s">
        <v>0</v>
      </c>
    </row>
    <row r="35" spans="1:24" x14ac:dyDescent="0.25">
      <c r="A35" t="s">
        <v>39</v>
      </c>
      <c r="B35" t="s">
        <v>40</v>
      </c>
      <c r="C35" t="s">
        <v>88</v>
      </c>
      <c r="D35" t="s">
        <v>89</v>
      </c>
      <c r="E35" t="s">
        <v>88</v>
      </c>
      <c r="F35" t="s">
        <v>89</v>
      </c>
      <c r="G35" s="3">
        <v>45597</v>
      </c>
      <c r="H35" s="2">
        <v>4.17</v>
      </c>
      <c r="I35" t="s">
        <v>151</v>
      </c>
      <c r="J35" t="s">
        <v>152</v>
      </c>
      <c r="K35" s="3">
        <v>43882</v>
      </c>
      <c r="L35" s="3">
        <v>44562</v>
      </c>
      <c r="M35">
        <v>5</v>
      </c>
      <c r="N35" t="s">
        <v>84</v>
      </c>
      <c r="O35" t="s">
        <v>92</v>
      </c>
      <c r="P35" t="s">
        <v>84</v>
      </c>
      <c r="Q35" t="s">
        <v>85</v>
      </c>
      <c r="R35" s="3">
        <v>43891</v>
      </c>
      <c r="S35" t="s">
        <v>0</v>
      </c>
      <c r="T35" t="s">
        <v>86</v>
      </c>
      <c r="U35" t="s">
        <v>87</v>
      </c>
      <c r="V35" t="s">
        <v>0</v>
      </c>
      <c r="W35" s="4">
        <v>28479382</v>
      </c>
      <c r="X35" t="s">
        <v>0</v>
      </c>
    </row>
    <row r="36" spans="1:24" x14ac:dyDescent="0.25">
      <c r="A36" t="s">
        <v>39</v>
      </c>
      <c r="B36" t="s">
        <v>40</v>
      </c>
      <c r="C36" t="s">
        <v>79</v>
      </c>
      <c r="D36" t="s">
        <v>80</v>
      </c>
      <c r="E36" t="s">
        <v>79</v>
      </c>
      <c r="F36" t="s">
        <v>80</v>
      </c>
      <c r="G36" s="3">
        <v>45597</v>
      </c>
      <c r="H36" s="2">
        <v>4.17</v>
      </c>
      <c r="I36" t="s">
        <v>153</v>
      </c>
      <c r="J36" t="s">
        <v>154</v>
      </c>
      <c r="K36" s="3">
        <v>44274</v>
      </c>
      <c r="L36" s="3">
        <v>44562</v>
      </c>
      <c r="M36">
        <v>4</v>
      </c>
      <c r="N36" t="s">
        <v>84</v>
      </c>
      <c r="O36" t="s">
        <v>102</v>
      </c>
      <c r="P36" t="s">
        <v>84</v>
      </c>
      <c r="Q36" t="s">
        <v>85</v>
      </c>
      <c r="R36" s="3">
        <v>44287</v>
      </c>
      <c r="S36" t="s">
        <v>0</v>
      </c>
      <c r="T36" t="s">
        <v>86</v>
      </c>
      <c r="U36" t="s">
        <v>103</v>
      </c>
      <c r="V36" t="s">
        <v>0</v>
      </c>
      <c r="W36" s="4">
        <v>31513715</v>
      </c>
      <c r="X36" t="s">
        <v>0</v>
      </c>
    </row>
    <row r="37" spans="1:24" x14ac:dyDescent="0.25">
      <c r="A37" t="s">
        <v>39</v>
      </c>
      <c r="B37" t="s">
        <v>40</v>
      </c>
      <c r="C37" t="s">
        <v>79</v>
      </c>
      <c r="D37" t="s">
        <v>80</v>
      </c>
      <c r="E37" t="s">
        <v>79</v>
      </c>
      <c r="F37" t="s">
        <v>80</v>
      </c>
      <c r="G37" s="3">
        <v>45597</v>
      </c>
      <c r="H37" s="2">
        <v>4.17</v>
      </c>
      <c r="I37" t="s">
        <v>155</v>
      </c>
      <c r="J37" t="s">
        <v>80</v>
      </c>
      <c r="K37" s="3">
        <v>43753</v>
      </c>
      <c r="L37" s="3">
        <v>44562</v>
      </c>
      <c r="M37">
        <v>9</v>
      </c>
      <c r="N37" t="s">
        <v>84</v>
      </c>
      <c r="O37" t="s">
        <v>102</v>
      </c>
      <c r="P37" t="s">
        <v>84</v>
      </c>
      <c r="Q37" t="s">
        <v>85</v>
      </c>
      <c r="R37" s="3">
        <v>43831</v>
      </c>
      <c r="S37" t="s">
        <v>0</v>
      </c>
      <c r="T37" t="s">
        <v>86</v>
      </c>
      <c r="U37" t="s">
        <v>103</v>
      </c>
      <c r="V37" t="s">
        <v>0</v>
      </c>
      <c r="W37" s="4">
        <v>26849890</v>
      </c>
      <c r="X37" t="s">
        <v>0</v>
      </c>
    </row>
    <row r="38" spans="1:24" x14ac:dyDescent="0.25">
      <c r="A38" t="s">
        <v>39</v>
      </c>
      <c r="B38" t="s">
        <v>40</v>
      </c>
      <c r="C38" t="s">
        <v>88</v>
      </c>
      <c r="D38" t="s">
        <v>89</v>
      </c>
      <c r="E38" t="s">
        <v>88</v>
      </c>
      <c r="F38" t="s">
        <v>89</v>
      </c>
      <c r="G38" s="3">
        <v>45597</v>
      </c>
      <c r="H38" s="2">
        <v>4.17</v>
      </c>
      <c r="I38" t="s">
        <v>156</v>
      </c>
      <c r="J38" t="s">
        <v>157</v>
      </c>
      <c r="K38" s="3">
        <v>43830</v>
      </c>
      <c r="L38" s="3">
        <v>44562</v>
      </c>
      <c r="M38">
        <v>5</v>
      </c>
      <c r="N38" t="s">
        <v>84</v>
      </c>
      <c r="O38" t="s">
        <v>92</v>
      </c>
      <c r="P38" t="s">
        <v>84</v>
      </c>
      <c r="Q38" t="s">
        <v>85</v>
      </c>
      <c r="R38" s="3">
        <v>43831</v>
      </c>
      <c r="S38" t="s">
        <v>0</v>
      </c>
      <c r="T38" t="s">
        <v>86</v>
      </c>
      <c r="U38" t="s">
        <v>87</v>
      </c>
      <c r="V38" t="s">
        <v>0</v>
      </c>
      <c r="W38" s="4">
        <v>28106595</v>
      </c>
      <c r="X38" t="s">
        <v>0</v>
      </c>
    </row>
    <row r="39" spans="1:24" x14ac:dyDescent="0.25">
      <c r="A39" t="s">
        <v>39</v>
      </c>
      <c r="B39" t="s">
        <v>40</v>
      </c>
      <c r="C39" t="s">
        <v>79</v>
      </c>
      <c r="D39" t="s">
        <v>80</v>
      </c>
      <c r="E39" t="s">
        <v>79</v>
      </c>
      <c r="F39" t="s">
        <v>80</v>
      </c>
      <c r="G39" s="3">
        <v>45597</v>
      </c>
      <c r="H39" s="2">
        <v>4.17</v>
      </c>
      <c r="I39" t="s">
        <v>158</v>
      </c>
      <c r="J39" t="s">
        <v>159</v>
      </c>
      <c r="K39" s="3">
        <v>43902</v>
      </c>
      <c r="L39" s="3">
        <v>44562</v>
      </c>
      <c r="M39">
        <v>5</v>
      </c>
      <c r="N39" t="s">
        <v>84</v>
      </c>
      <c r="O39" t="s">
        <v>102</v>
      </c>
      <c r="P39" t="s">
        <v>84</v>
      </c>
      <c r="Q39" t="s">
        <v>85</v>
      </c>
      <c r="R39" s="3">
        <v>43922</v>
      </c>
      <c r="S39" t="s">
        <v>0</v>
      </c>
      <c r="T39" t="s">
        <v>86</v>
      </c>
      <c r="U39" t="s">
        <v>103</v>
      </c>
      <c r="V39" t="s">
        <v>0</v>
      </c>
      <c r="W39" s="4">
        <v>28640536</v>
      </c>
      <c r="X39" t="s">
        <v>0</v>
      </c>
    </row>
    <row r="40" spans="1:24" x14ac:dyDescent="0.25">
      <c r="A40" t="s">
        <v>39</v>
      </c>
      <c r="B40" t="s">
        <v>40</v>
      </c>
      <c r="C40" t="s">
        <v>79</v>
      </c>
      <c r="D40" t="s">
        <v>80</v>
      </c>
      <c r="E40" t="s">
        <v>79</v>
      </c>
      <c r="F40" t="s">
        <v>80</v>
      </c>
      <c r="G40" s="3">
        <v>45597</v>
      </c>
      <c r="H40" s="2">
        <v>4.17</v>
      </c>
      <c r="I40" t="s">
        <v>160</v>
      </c>
      <c r="J40" t="s">
        <v>161</v>
      </c>
      <c r="K40" s="3">
        <v>43784</v>
      </c>
      <c r="L40" s="3">
        <v>44562</v>
      </c>
      <c r="M40">
        <v>5</v>
      </c>
      <c r="N40" t="s">
        <v>84</v>
      </c>
      <c r="O40" t="s">
        <v>102</v>
      </c>
      <c r="P40" t="s">
        <v>84</v>
      </c>
      <c r="Q40" t="s">
        <v>85</v>
      </c>
      <c r="R40" s="3">
        <v>43831</v>
      </c>
      <c r="S40" t="s">
        <v>0</v>
      </c>
      <c r="T40" t="s">
        <v>86</v>
      </c>
      <c r="U40" t="s">
        <v>103</v>
      </c>
      <c r="V40" t="s">
        <v>0</v>
      </c>
      <c r="W40" s="4">
        <v>27301080</v>
      </c>
      <c r="X40" t="s">
        <v>0</v>
      </c>
    </row>
    <row r="41" spans="1:24" x14ac:dyDescent="0.25">
      <c r="A41" t="s">
        <v>39</v>
      </c>
      <c r="B41" t="s">
        <v>40</v>
      </c>
      <c r="C41" t="s">
        <v>79</v>
      </c>
      <c r="D41" t="s">
        <v>80</v>
      </c>
      <c r="E41" t="s">
        <v>79</v>
      </c>
      <c r="F41" t="s">
        <v>80</v>
      </c>
      <c r="G41" s="3">
        <v>45597</v>
      </c>
      <c r="H41" s="2">
        <v>4.17</v>
      </c>
      <c r="I41" t="s">
        <v>162</v>
      </c>
      <c r="J41" t="s">
        <v>163</v>
      </c>
      <c r="K41" s="3">
        <v>44072</v>
      </c>
      <c r="L41" s="3">
        <v>44562</v>
      </c>
      <c r="M41">
        <v>5</v>
      </c>
      <c r="N41" t="s">
        <v>84</v>
      </c>
      <c r="O41" t="s">
        <v>102</v>
      </c>
      <c r="P41" t="s">
        <v>84</v>
      </c>
      <c r="Q41" t="s">
        <v>85</v>
      </c>
      <c r="R41" s="3">
        <v>44075</v>
      </c>
      <c r="S41" t="s">
        <v>0</v>
      </c>
      <c r="T41" t="s">
        <v>86</v>
      </c>
      <c r="U41" t="s">
        <v>103</v>
      </c>
      <c r="V41" t="s">
        <v>0</v>
      </c>
      <c r="W41" s="4">
        <v>29610221</v>
      </c>
      <c r="X41" t="s">
        <v>0</v>
      </c>
    </row>
    <row r="42" spans="1:24" x14ac:dyDescent="0.25">
      <c r="A42" t="s">
        <v>39</v>
      </c>
      <c r="B42" t="s">
        <v>40</v>
      </c>
      <c r="C42" t="s">
        <v>79</v>
      </c>
      <c r="D42" t="s">
        <v>80</v>
      </c>
      <c r="E42" t="s">
        <v>79</v>
      </c>
      <c r="F42" t="s">
        <v>80</v>
      </c>
      <c r="G42" s="3">
        <v>45597</v>
      </c>
      <c r="H42" s="2">
        <v>4.17</v>
      </c>
      <c r="I42" t="s">
        <v>164</v>
      </c>
      <c r="J42" t="s">
        <v>165</v>
      </c>
      <c r="K42" s="3">
        <v>43784</v>
      </c>
      <c r="L42" s="3">
        <v>44562</v>
      </c>
      <c r="M42">
        <v>5</v>
      </c>
      <c r="N42" t="s">
        <v>84</v>
      </c>
      <c r="O42" t="s">
        <v>102</v>
      </c>
      <c r="P42" t="s">
        <v>84</v>
      </c>
      <c r="Q42" t="s">
        <v>85</v>
      </c>
      <c r="R42" s="3">
        <v>43831</v>
      </c>
      <c r="S42" t="s">
        <v>0</v>
      </c>
      <c r="T42" t="s">
        <v>86</v>
      </c>
      <c r="U42" t="s">
        <v>103</v>
      </c>
      <c r="V42" t="s">
        <v>0</v>
      </c>
      <c r="W42" s="4">
        <v>27301081</v>
      </c>
      <c r="X42" t="s">
        <v>0</v>
      </c>
    </row>
    <row r="43" spans="1:24" x14ac:dyDescent="0.25">
      <c r="A43" t="s">
        <v>39</v>
      </c>
      <c r="B43" t="s">
        <v>40</v>
      </c>
      <c r="C43" t="s">
        <v>79</v>
      </c>
      <c r="D43" t="s">
        <v>80</v>
      </c>
      <c r="E43" t="s">
        <v>79</v>
      </c>
      <c r="F43" t="s">
        <v>80</v>
      </c>
      <c r="G43" s="3">
        <v>45597</v>
      </c>
      <c r="H43" s="2">
        <v>4.17</v>
      </c>
      <c r="I43" t="s">
        <v>166</v>
      </c>
      <c r="J43" t="s">
        <v>167</v>
      </c>
      <c r="K43" s="3">
        <v>43770</v>
      </c>
      <c r="L43" s="3">
        <v>44562</v>
      </c>
      <c r="M43">
        <v>7</v>
      </c>
      <c r="N43" t="s">
        <v>84</v>
      </c>
      <c r="O43" t="s">
        <v>102</v>
      </c>
      <c r="P43" t="s">
        <v>84</v>
      </c>
      <c r="Q43" t="s">
        <v>85</v>
      </c>
      <c r="R43" s="3">
        <v>43831</v>
      </c>
      <c r="S43" t="s">
        <v>0</v>
      </c>
      <c r="T43" t="s">
        <v>86</v>
      </c>
      <c r="U43" t="s">
        <v>103</v>
      </c>
      <c r="V43" t="s">
        <v>0</v>
      </c>
      <c r="W43" s="4">
        <v>27008409</v>
      </c>
      <c r="X43" t="s">
        <v>0</v>
      </c>
    </row>
    <row r="44" spans="1:24" x14ac:dyDescent="0.25">
      <c r="A44" t="s">
        <v>39</v>
      </c>
      <c r="B44" t="s">
        <v>40</v>
      </c>
      <c r="C44" t="s">
        <v>168</v>
      </c>
      <c r="D44" t="s">
        <v>169</v>
      </c>
      <c r="E44" t="s">
        <v>168</v>
      </c>
      <c r="F44" t="s">
        <v>169</v>
      </c>
      <c r="G44" s="3">
        <v>45597</v>
      </c>
      <c r="H44" s="2">
        <v>4.17</v>
      </c>
      <c r="I44" t="s">
        <v>170</v>
      </c>
      <c r="J44" t="s">
        <v>171</v>
      </c>
      <c r="K44" s="3">
        <v>44418</v>
      </c>
      <c r="L44" s="3">
        <v>44562</v>
      </c>
      <c r="M44">
        <v>5</v>
      </c>
      <c r="N44" t="s">
        <v>84</v>
      </c>
      <c r="O44" t="s">
        <v>172</v>
      </c>
      <c r="P44" t="s">
        <v>84</v>
      </c>
      <c r="Q44" t="s">
        <v>85</v>
      </c>
      <c r="R44" s="3">
        <v>44044</v>
      </c>
      <c r="S44" t="s">
        <v>0</v>
      </c>
      <c r="T44" t="s">
        <v>86</v>
      </c>
      <c r="U44" t="s">
        <v>173</v>
      </c>
      <c r="V44" t="s">
        <v>0</v>
      </c>
      <c r="W44" s="4">
        <v>29380347</v>
      </c>
      <c r="X44" t="s">
        <v>0</v>
      </c>
    </row>
    <row r="45" spans="1:24" x14ac:dyDescent="0.25">
      <c r="A45" t="s">
        <v>39</v>
      </c>
      <c r="B45" t="s">
        <v>40</v>
      </c>
      <c r="C45" t="s">
        <v>79</v>
      </c>
      <c r="D45" t="s">
        <v>80</v>
      </c>
      <c r="E45" t="s">
        <v>79</v>
      </c>
      <c r="F45" t="s">
        <v>80</v>
      </c>
      <c r="G45" s="3">
        <v>45597</v>
      </c>
      <c r="H45" s="2">
        <v>4.17</v>
      </c>
      <c r="I45" t="s">
        <v>174</v>
      </c>
      <c r="J45" t="s">
        <v>175</v>
      </c>
      <c r="K45" s="3">
        <v>44414</v>
      </c>
      <c r="L45" s="3">
        <v>44562</v>
      </c>
      <c r="M45">
        <v>5</v>
      </c>
      <c r="N45" t="s">
        <v>84</v>
      </c>
      <c r="O45" t="s">
        <v>176</v>
      </c>
      <c r="P45" t="s">
        <v>84</v>
      </c>
      <c r="Q45" t="s">
        <v>85</v>
      </c>
      <c r="R45" s="3">
        <v>44166</v>
      </c>
      <c r="S45" t="s">
        <v>0</v>
      </c>
      <c r="T45" t="s">
        <v>86</v>
      </c>
      <c r="U45" t="s">
        <v>177</v>
      </c>
      <c r="V45" t="s">
        <v>0</v>
      </c>
      <c r="W45" s="4">
        <v>30362708</v>
      </c>
      <c r="X45" t="s">
        <v>0</v>
      </c>
    </row>
    <row r="46" spans="1:24" x14ac:dyDescent="0.25">
      <c r="A46" t="s">
        <v>39</v>
      </c>
      <c r="B46" t="s">
        <v>40</v>
      </c>
      <c r="C46" t="s">
        <v>79</v>
      </c>
      <c r="D46" t="s">
        <v>80</v>
      </c>
      <c r="E46" t="s">
        <v>79</v>
      </c>
      <c r="F46" t="s">
        <v>80</v>
      </c>
      <c r="G46" s="3">
        <v>45597</v>
      </c>
      <c r="H46" s="2">
        <v>4.17</v>
      </c>
      <c r="I46" t="s">
        <v>178</v>
      </c>
      <c r="J46" t="s">
        <v>179</v>
      </c>
      <c r="K46" s="3">
        <v>44167</v>
      </c>
      <c r="L46" s="3">
        <v>44562</v>
      </c>
      <c r="M46">
        <v>4</v>
      </c>
      <c r="N46" t="s">
        <v>84</v>
      </c>
      <c r="O46" t="s">
        <v>180</v>
      </c>
      <c r="P46" t="s">
        <v>84</v>
      </c>
      <c r="Q46" t="s">
        <v>85</v>
      </c>
      <c r="R46" s="3">
        <v>44197</v>
      </c>
      <c r="S46" t="s">
        <v>0</v>
      </c>
      <c r="T46" t="s">
        <v>86</v>
      </c>
      <c r="U46" t="s">
        <v>181</v>
      </c>
      <c r="V46" t="s">
        <v>0</v>
      </c>
      <c r="W46" s="4">
        <v>30713166</v>
      </c>
      <c r="X46" t="s">
        <v>0</v>
      </c>
    </row>
    <row r="47" spans="1:24" x14ac:dyDescent="0.25">
      <c r="A47" t="s">
        <v>39</v>
      </c>
      <c r="B47" t="s">
        <v>40</v>
      </c>
      <c r="C47" t="s">
        <v>88</v>
      </c>
      <c r="D47" t="s">
        <v>89</v>
      </c>
      <c r="E47" t="s">
        <v>88</v>
      </c>
      <c r="F47" t="s">
        <v>89</v>
      </c>
      <c r="G47" s="3">
        <v>45597</v>
      </c>
      <c r="H47" s="2">
        <v>4.17</v>
      </c>
      <c r="I47" t="s">
        <v>182</v>
      </c>
      <c r="J47" t="s">
        <v>183</v>
      </c>
      <c r="K47" s="3">
        <v>43900</v>
      </c>
      <c r="L47" s="3">
        <v>44562</v>
      </c>
      <c r="M47">
        <v>5</v>
      </c>
      <c r="N47" t="s">
        <v>84</v>
      </c>
      <c r="O47" t="s">
        <v>92</v>
      </c>
      <c r="P47" t="s">
        <v>84</v>
      </c>
      <c r="Q47" t="s">
        <v>184</v>
      </c>
      <c r="R47" s="3">
        <v>43922</v>
      </c>
      <c r="S47" t="s">
        <v>0</v>
      </c>
      <c r="T47" t="s">
        <v>86</v>
      </c>
      <c r="U47" t="s">
        <v>185</v>
      </c>
      <c r="V47" t="s">
        <v>0</v>
      </c>
      <c r="W47" s="4">
        <v>28603218</v>
      </c>
      <c r="X47" t="s">
        <v>0</v>
      </c>
    </row>
    <row r="48" spans="1:24" x14ac:dyDescent="0.25">
      <c r="A48" t="s">
        <v>39</v>
      </c>
      <c r="B48" t="s">
        <v>40</v>
      </c>
      <c r="C48" t="s">
        <v>88</v>
      </c>
      <c r="D48" t="s">
        <v>89</v>
      </c>
      <c r="E48" t="s">
        <v>88</v>
      </c>
      <c r="F48" t="s">
        <v>89</v>
      </c>
      <c r="G48" s="3">
        <v>45597</v>
      </c>
      <c r="H48" s="2">
        <v>4.17</v>
      </c>
      <c r="I48" t="s">
        <v>186</v>
      </c>
      <c r="J48" t="s">
        <v>187</v>
      </c>
      <c r="K48" s="3">
        <v>43846</v>
      </c>
      <c r="L48" s="3">
        <v>44562</v>
      </c>
      <c r="M48">
        <v>5</v>
      </c>
      <c r="N48" t="s">
        <v>84</v>
      </c>
      <c r="O48" t="s">
        <v>92</v>
      </c>
      <c r="P48" t="s">
        <v>84</v>
      </c>
      <c r="Q48" t="s">
        <v>188</v>
      </c>
      <c r="R48" s="3">
        <v>43862</v>
      </c>
      <c r="S48" t="s">
        <v>0</v>
      </c>
      <c r="T48" t="s">
        <v>86</v>
      </c>
      <c r="U48" t="s">
        <v>189</v>
      </c>
      <c r="V48" t="s">
        <v>0</v>
      </c>
      <c r="W48" s="4">
        <v>28219216</v>
      </c>
      <c r="X48" t="s">
        <v>0</v>
      </c>
    </row>
    <row r="49" spans="1:24" x14ac:dyDescent="0.25">
      <c r="A49" t="s">
        <v>39</v>
      </c>
      <c r="B49" t="s">
        <v>40</v>
      </c>
      <c r="C49" t="s">
        <v>79</v>
      </c>
      <c r="D49" t="s">
        <v>80</v>
      </c>
      <c r="E49" t="s">
        <v>79</v>
      </c>
      <c r="F49" t="s">
        <v>80</v>
      </c>
      <c r="G49" s="3">
        <v>45597</v>
      </c>
      <c r="H49" s="2">
        <v>4.17</v>
      </c>
      <c r="I49" t="s">
        <v>190</v>
      </c>
      <c r="J49" t="s">
        <v>191</v>
      </c>
      <c r="K49" s="3">
        <v>44582</v>
      </c>
      <c r="L49" s="3">
        <v>44593</v>
      </c>
      <c r="M49">
        <v>3</v>
      </c>
      <c r="N49" t="s">
        <v>55</v>
      </c>
      <c r="O49" t="s">
        <v>102</v>
      </c>
      <c r="P49" t="s">
        <v>84</v>
      </c>
      <c r="Q49" t="s">
        <v>85</v>
      </c>
      <c r="R49" s="3">
        <v>44593</v>
      </c>
      <c r="S49" t="s">
        <v>0</v>
      </c>
      <c r="T49" t="s">
        <v>86</v>
      </c>
      <c r="U49" t="s">
        <v>103</v>
      </c>
      <c r="V49" t="s">
        <v>0</v>
      </c>
      <c r="W49" s="4">
        <v>34413566</v>
      </c>
      <c r="X49" t="s">
        <v>0</v>
      </c>
    </row>
    <row r="50" spans="1:24" x14ac:dyDescent="0.25">
      <c r="A50" t="s">
        <v>39</v>
      </c>
      <c r="B50" t="s">
        <v>40</v>
      </c>
      <c r="C50" t="s">
        <v>168</v>
      </c>
      <c r="D50" t="s">
        <v>169</v>
      </c>
      <c r="E50" t="s">
        <v>168</v>
      </c>
      <c r="F50" t="s">
        <v>169</v>
      </c>
      <c r="G50" s="3">
        <v>45597</v>
      </c>
      <c r="H50" s="2">
        <v>4.17</v>
      </c>
      <c r="I50" t="s">
        <v>192</v>
      </c>
      <c r="J50" t="s">
        <v>193</v>
      </c>
      <c r="K50" s="3">
        <v>44712</v>
      </c>
      <c r="L50" s="3">
        <v>44743</v>
      </c>
      <c r="M50">
        <v>3</v>
      </c>
      <c r="N50" t="s">
        <v>55</v>
      </c>
      <c r="O50" t="s">
        <v>45</v>
      </c>
      <c r="P50" t="s">
        <v>84</v>
      </c>
      <c r="Q50" t="s">
        <v>184</v>
      </c>
      <c r="R50" s="3">
        <v>44743</v>
      </c>
      <c r="S50" t="s">
        <v>0</v>
      </c>
      <c r="T50" t="s">
        <v>86</v>
      </c>
      <c r="U50" t="s">
        <v>194</v>
      </c>
      <c r="V50" t="s">
        <v>0</v>
      </c>
      <c r="W50" s="4">
        <v>35009866</v>
      </c>
      <c r="X50" t="s">
        <v>0</v>
      </c>
    </row>
    <row r="51" spans="1:24" x14ac:dyDescent="0.25">
      <c r="A51" t="s">
        <v>39</v>
      </c>
      <c r="B51" t="s">
        <v>40</v>
      </c>
      <c r="C51" t="s">
        <v>168</v>
      </c>
      <c r="D51" t="s">
        <v>169</v>
      </c>
      <c r="E51" t="s">
        <v>168</v>
      </c>
      <c r="F51" t="s">
        <v>169</v>
      </c>
      <c r="G51" s="3">
        <v>45597</v>
      </c>
      <c r="H51" s="2">
        <v>4.17</v>
      </c>
      <c r="I51" t="s">
        <v>195</v>
      </c>
      <c r="J51" t="s">
        <v>196</v>
      </c>
      <c r="K51" s="3">
        <v>44726</v>
      </c>
      <c r="L51" s="3">
        <v>44774</v>
      </c>
      <c r="M51">
        <v>3</v>
      </c>
      <c r="N51" t="s">
        <v>55</v>
      </c>
      <c r="O51" t="s">
        <v>45</v>
      </c>
      <c r="P51" t="s">
        <v>84</v>
      </c>
      <c r="Q51" t="s">
        <v>85</v>
      </c>
      <c r="R51" s="3">
        <v>44774</v>
      </c>
      <c r="S51" t="s">
        <v>0</v>
      </c>
      <c r="T51" t="s">
        <v>86</v>
      </c>
      <c r="U51" t="s">
        <v>95</v>
      </c>
      <c r="V51" t="s">
        <v>0</v>
      </c>
      <c r="W51" s="4">
        <v>35054269</v>
      </c>
      <c r="X51" t="s">
        <v>0</v>
      </c>
    </row>
    <row r="52" spans="1:24" x14ac:dyDescent="0.25">
      <c r="A52" t="s">
        <v>39</v>
      </c>
      <c r="B52" t="s">
        <v>40</v>
      </c>
      <c r="C52" t="s">
        <v>168</v>
      </c>
      <c r="D52" t="s">
        <v>169</v>
      </c>
      <c r="E52" t="s">
        <v>168</v>
      </c>
      <c r="F52" t="s">
        <v>169</v>
      </c>
      <c r="G52" s="3">
        <v>45597</v>
      </c>
      <c r="H52" s="2">
        <v>4.17</v>
      </c>
      <c r="I52" t="s">
        <v>197</v>
      </c>
      <c r="J52" t="s">
        <v>198</v>
      </c>
      <c r="K52" s="3">
        <v>44739</v>
      </c>
      <c r="L52" s="3">
        <v>44805</v>
      </c>
      <c r="M52">
        <v>3</v>
      </c>
      <c r="N52" t="s">
        <v>55</v>
      </c>
      <c r="O52" t="s">
        <v>45</v>
      </c>
      <c r="P52" t="s">
        <v>84</v>
      </c>
      <c r="Q52" t="s">
        <v>85</v>
      </c>
      <c r="R52" s="3">
        <v>44805</v>
      </c>
      <c r="S52" t="s">
        <v>0</v>
      </c>
      <c r="T52" t="s">
        <v>86</v>
      </c>
      <c r="U52" t="s">
        <v>95</v>
      </c>
      <c r="V52" t="s">
        <v>0</v>
      </c>
      <c r="W52" s="4">
        <v>35103961</v>
      </c>
      <c r="X52" t="s">
        <v>0</v>
      </c>
    </row>
    <row r="53" spans="1:24" x14ac:dyDescent="0.25">
      <c r="A53" t="s">
        <v>39</v>
      </c>
      <c r="B53" t="s">
        <v>40</v>
      </c>
      <c r="C53" t="s">
        <v>168</v>
      </c>
      <c r="D53" t="s">
        <v>169</v>
      </c>
      <c r="E53" t="s">
        <v>168</v>
      </c>
      <c r="F53" t="s">
        <v>169</v>
      </c>
      <c r="G53" s="3">
        <v>45597</v>
      </c>
      <c r="H53" s="2">
        <v>4.17</v>
      </c>
      <c r="I53" t="s">
        <v>199</v>
      </c>
      <c r="J53" t="s">
        <v>200</v>
      </c>
      <c r="K53" s="3">
        <v>44783</v>
      </c>
      <c r="L53" s="3">
        <v>44805</v>
      </c>
      <c r="M53">
        <v>3</v>
      </c>
      <c r="N53" t="s">
        <v>55</v>
      </c>
      <c r="O53" t="s">
        <v>45</v>
      </c>
      <c r="P53" t="s">
        <v>84</v>
      </c>
      <c r="Q53" t="s">
        <v>85</v>
      </c>
      <c r="R53" s="3">
        <v>44805</v>
      </c>
      <c r="S53" t="s">
        <v>0</v>
      </c>
      <c r="T53" t="s">
        <v>86</v>
      </c>
      <c r="U53" t="s">
        <v>95</v>
      </c>
      <c r="V53" t="s">
        <v>0</v>
      </c>
      <c r="W53" s="4">
        <v>35264402</v>
      </c>
      <c r="X53" t="s">
        <v>0</v>
      </c>
    </row>
    <row r="54" spans="1:24" x14ac:dyDescent="0.25">
      <c r="A54" t="s">
        <v>39</v>
      </c>
      <c r="B54" t="s">
        <v>40</v>
      </c>
      <c r="C54" t="s">
        <v>168</v>
      </c>
      <c r="D54" t="s">
        <v>169</v>
      </c>
      <c r="E54" t="s">
        <v>168</v>
      </c>
      <c r="F54" t="s">
        <v>169</v>
      </c>
      <c r="G54" s="3">
        <v>45597</v>
      </c>
      <c r="H54" s="2">
        <v>4.17</v>
      </c>
      <c r="I54" t="s">
        <v>201</v>
      </c>
      <c r="J54" t="s">
        <v>202</v>
      </c>
      <c r="K54" s="3">
        <v>44788</v>
      </c>
      <c r="L54" s="3">
        <v>44805</v>
      </c>
      <c r="M54">
        <v>3</v>
      </c>
      <c r="N54" t="s">
        <v>55</v>
      </c>
      <c r="O54" t="s">
        <v>45</v>
      </c>
      <c r="P54" t="s">
        <v>84</v>
      </c>
      <c r="Q54" t="s">
        <v>184</v>
      </c>
      <c r="R54" s="3">
        <v>44805</v>
      </c>
      <c r="S54" t="s">
        <v>0</v>
      </c>
      <c r="T54" t="s">
        <v>86</v>
      </c>
      <c r="U54" t="s">
        <v>194</v>
      </c>
      <c r="V54" t="s">
        <v>0</v>
      </c>
      <c r="W54" s="4">
        <v>35277645</v>
      </c>
      <c r="X54" t="s">
        <v>0</v>
      </c>
    </row>
    <row r="55" spans="1:24" x14ac:dyDescent="0.25">
      <c r="A55" t="s">
        <v>39</v>
      </c>
      <c r="B55" t="s">
        <v>40</v>
      </c>
      <c r="C55" t="s">
        <v>168</v>
      </c>
      <c r="D55" t="s">
        <v>169</v>
      </c>
      <c r="E55" t="s">
        <v>168</v>
      </c>
      <c r="F55" t="s">
        <v>169</v>
      </c>
      <c r="G55" s="3">
        <v>45597</v>
      </c>
      <c r="H55" s="2">
        <v>4.17</v>
      </c>
      <c r="I55" t="s">
        <v>203</v>
      </c>
      <c r="J55" t="s">
        <v>204</v>
      </c>
      <c r="K55" s="3">
        <v>44795</v>
      </c>
      <c r="L55" s="3">
        <v>44805</v>
      </c>
      <c r="M55">
        <v>3</v>
      </c>
      <c r="N55" t="s">
        <v>55</v>
      </c>
      <c r="O55" t="s">
        <v>45</v>
      </c>
      <c r="P55" t="s">
        <v>84</v>
      </c>
      <c r="Q55" t="s">
        <v>85</v>
      </c>
      <c r="R55" s="3">
        <v>44805</v>
      </c>
      <c r="S55" t="s">
        <v>0</v>
      </c>
      <c r="T55" t="s">
        <v>86</v>
      </c>
      <c r="U55" t="s">
        <v>95</v>
      </c>
      <c r="V55" t="s">
        <v>0</v>
      </c>
      <c r="W55" s="4">
        <v>35299173</v>
      </c>
      <c r="X55" t="s">
        <v>0</v>
      </c>
    </row>
    <row r="56" spans="1:24" x14ac:dyDescent="0.25">
      <c r="A56" t="s">
        <v>39</v>
      </c>
      <c r="B56" t="s">
        <v>40</v>
      </c>
      <c r="C56" t="s">
        <v>168</v>
      </c>
      <c r="D56" t="s">
        <v>169</v>
      </c>
      <c r="E56" t="s">
        <v>168</v>
      </c>
      <c r="F56" t="s">
        <v>169</v>
      </c>
      <c r="G56" s="3">
        <v>45597</v>
      </c>
      <c r="H56" s="2">
        <v>4.17</v>
      </c>
      <c r="I56" t="s">
        <v>205</v>
      </c>
      <c r="J56" t="s">
        <v>206</v>
      </c>
      <c r="K56" s="3">
        <v>44795</v>
      </c>
      <c r="L56" s="3">
        <v>44835</v>
      </c>
      <c r="M56">
        <v>3</v>
      </c>
      <c r="N56" t="s">
        <v>55</v>
      </c>
      <c r="O56" t="s">
        <v>45</v>
      </c>
      <c r="P56" t="s">
        <v>84</v>
      </c>
      <c r="Q56" t="s">
        <v>85</v>
      </c>
      <c r="R56" s="3">
        <v>44835</v>
      </c>
      <c r="S56" t="s">
        <v>0</v>
      </c>
      <c r="T56" t="s">
        <v>86</v>
      </c>
      <c r="U56" t="s">
        <v>95</v>
      </c>
      <c r="V56" t="s">
        <v>0</v>
      </c>
      <c r="W56" s="4">
        <v>35299172</v>
      </c>
      <c r="X56" t="s">
        <v>0</v>
      </c>
    </row>
    <row r="57" spans="1:24" x14ac:dyDescent="0.25">
      <c r="A57" t="s">
        <v>39</v>
      </c>
      <c r="B57" t="s">
        <v>40</v>
      </c>
      <c r="C57" t="s">
        <v>168</v>
      </c>
      <c r="D57" t="s">
        <v>169</v>
      </c>
      <c r="E57" t="s">
        <v>168</v>
      </c>
      <c r="F57" t="s">
        <v>169</v>
      </c>
      <c r="G57" s="3">
        <v>45597</v>
      </c>
      <c r="H57" s="2">
        <v>4.17</v>
      </c>
      <c r="I57" t="s">
        <v>207</v>
      </c>
      <c r="J57" t="s">
        <v>208</v>
      </c>
      <c r="K57" s="3">
        <v>44798</v>
      </c>
      <c r="L57" s="3">
        <v>44835</v>
      </c>
      <c r="M57">
        <v>3</v>
      </c>
      <c r="N57" t="s">
        <v>55</v>
      </c>
      <c r="O57" t="s">
        <v>45</v>
      </c>
      <c r="P57" t="s">
        <v>84</v>
      </c>
      <c r="Q57" t="s">
        <v>85</v>
      </c>
      <c r="R57" s="3">
        <v>44835</v>
      </c>
      <c r="S57" t="s">
        <v>0</v>
      </c>
      <c r="T57" t="s">
        <v>86</v>
      </c>
      <c r="U57" t="s">
        <v>95</v>
      </c>
      <c r="V57" t="s">
        <v>0</v>
      </c>
      <c r="W57" s="4">
        <v>35312053</v>
      </c>
      <c r="X57" t="s">
        <v>0</v>
      </c>
    </row>
    <row r="58" spans="1:24" x14ac:dyDescent="0.25">
      <c r="A58" t="s">
        <v>39</v>
      </c>
      <c r="B58" t="s">
        <v>40</v>
      </c>
      <c r="C58" t="s">
        <v>168</v>
      </c>
      <c r="D58" t="s">
        <v>169</v>
      </c>
      <c r="E58" t="s">
        <v>168</v>
      </c>
      <c r="F58" t="s">
        <v>169</v>
      </c>
      <c r="G58" s="3">
        <v>45597</v>
      </c>
      <c r="H58" s="2">
        <v>4.17</v>
      </c>
      <c r="I58" t="s">
        <v>209</v>
      </c>
      <c r="J58" t="s">
        <v>210</v>
      </c>
      <c r="K58" s="3">
        <v>44834</v>
      </c>
      <c r="L58" s="3">
        <v>44896</v>
      </c>
      <c r="M58">
        <v>3</v>
      </c>
      <c r="N58" t="s">
        <v>55</v>
      </c>
      <c r="O58" t="s">
        <v>45</v>
      </c>
      <c r="P58" t="s">
        <v>84</v>
      </c>
      <c r="Q58" t="s">
        <v>184</v>
      </c>
      <c r="R58" s="3">
        <v>44896</v>
      </c>
      <c r="S58" t="s">
        <v>0</v>
      </c>
      <c r="T58" t="s">
        <v>86</v>
      </c>
      <c r="U58" t="s">
        <v>194</v>
      </c>
      <c r="V58" t="s">
        <v>0</v>
      </c>
      <c r="W58" s="4">
        <v>35432907</v>
      </c>
      <c r="X58" t="s">
        <v>0</v>
      </c>
    </row>
    <row r="59" spans="1:24" x14ac:dyDescent="0.25">
      <c r="A59" t="s">
        <v>39</v>
      </c>
      <c r="B59" t="s">
        <v>40</v>
      </c>
      <c r="C59" t="s">
        <v>168</v>
      </c>
      <c r="D59" t="s">
        <v>169</v>
      </c>
      <c r="E59" t="s">
        <v>168</v>
      </c>
      <c r="F59" t="s">
        <v>169</v>
      </c>
      <c r="G59" s="3">
        <v>45597</v>
      </c>
      <c r="H59" s="2">
        <v>4.17</v>
      </c>
      <c r="I59" t="s">
        <v>211</v>
      </c>
      <c r="J59" t="s">
        <v>212</v>
      </c>
      <c r="K59" s="3">
        <v>44851</v>
      </c>
      <c r="L59" s="3">
        <v>44927</v>
      </c>
      <c r="M59">
        <v>2</v>
      </c>
      <c r="N59" t="s">
        <v>55</v>
      </c>
      <c r="O59" t="s">
        <v>45</v>
      </c>
      <c r="P59" t="s">
        <v>84</v>
      </c>
      <c r="Q59" t="s">
        <v>85</v>
      </c>
      <c r="R59" s="3">
        <v>44927</v>
      </c>
      <c r="S59" t="s">
        <v>0</v>
      </c>
      <c r="T59" t="s">
        <v>86</v>
      </c>
      <c r="U59" t="s">
        <v>95</v>
      </c>
      <c r="V59" t="s">
        <v>0</v>
      </c>
      <c r="W59" s="4">
        <v>35496647</v>
      </c>
      <c r="X59" t="s">
        <v>0</v>
      </c>
    </row>
    <row r="60" spans="1:24" x14ac:dyDescent="0.25">
      <c r="A60" t="s">
        <v>39</v>
      </c>
      <c r="B60" t="s">
        <v>40</v>
      </c>
      <c r="C60" t="s">
        <v>168</v>
      </c>
      <c r="D60" t="s">
        <v>169</v>
      </c>
      <c r="E60" t="s">
        <v>168</v>
      </c>
      <c r="F60" t="s">
        <v>169</v>
      </c>
      <c r="G60" s="3">
        <v>45597</v>
      </c>
      <c r="H60" s="2">
        <v>4.17</v>
      </c>
      <c r="I60" t="s">
        <v>213</v>
      </c>
      <c r="J60" t="s">
        <v>214</v>
      </c>
      <c r="K60" s="3">
        <v>44852</v>
      </c>
      <c r="L60" s="3">
        <v>44927</v>
      </c>
      <c r="M60">
        <v>9</v>
      </c>
      <c r="N60" t="s">
        <v>84</v>
      </c>
      <c r="O60" t="s">
        <v>45</v>
      </c>
      <c r="P60" t="s">
        <v>84</v>
      </c>
      <c r="Q60" t="s">
        <v>85</v>
      </c>
      <c r="R60" s="3">
        <v>44927</v>
      </c>
      <c r="S60" t="s">
        <v>0</v>
      </c>
      <c r="T60" t="s">
        <v>86</v>
      </c>
      <c r="U60" t="s">
        <v>95</v>
      </c>
      <c r="V60" t="s">
        <v>0</v>
      </c>
      <c r="W60" s="4">
        <v>35512257</v>
      </c>
      <c r="X60" t="s">
        <v>0</v>
      </c>
    </row>
    <row r="61" spans="1:24" x14ac:dyDescent="0.25">
      <c r="A61" t="s">
        <v>39</v>
      </c>
      <c r="B61" t="s">
        <v>40</v>
      </c>
      <c r="C61" t="s">
        <v>41</v>
      </c>
      <c r="D61" t="s">
        <v>42</v>
      </c>
      <c r="E61" t="s">
        <v>41</v>
      </c>
      <c r="F61" t="s">
        <v>42</v>
      </c>
      <c r="G61" s="3">
        <v>45597</v>
      </c>
      <c r="H61" s="2">
        <v>4.17</v>
      </c>
      <c r="I61" t="s">
        <v>215</v>
      </c>
      <c r="J61" t="s">
        <v>216</v>
      </c>
      <c r="K61" s="3">
        <v>44855</v>
      </c>
      <c r="L61" s="3">
        <v>44927</v>
      </c>
      <c r="M61">
        <v>6</v>
      </c>
      <c r="N61" t="s">
        <v>84</v>
      </c>
      <c r="O61" t="s">
        <v>45</v>
      </c>
      <c r="P61" t="s">
        <v>84</v>
      </c>
      <c r="Q61" t="s">
        <v>85</v>
      </c>
      <c r="R61" s="3">
        <v>44927</v>
      </c>
      <c r="S61" t="s">
        <v>0</v>
      </c>
      <c r="T61" t="s">
        <v>86</v>
      </c>
      <c r="U61" t="s">
        <v>95</v>
      </c>
      <c r="V61" t="s">
        <v>0</v>
      </c>
      <c r="W61" s="4">
        <v>35538232</v>
      </c>
      <c r="X61" t="s">
        <v>0</v>
      </c>
    </row>
    <row r="62" spans="1:24" x14ac:dyDescent="0.25">
      <c r="A62" t="s">
        <v>39</v>
      </c>
      <c r="B62" t="s">
        <v>40</v>
      </c>
      <c r="C62" t="s">
        <v>41</v>
      </c>
      <c r="D62" t="s">
        <v>42</v>
      </c>
      <c r="E62" t="s">
        <v>41</v>
      </c>
      <c r="F62" t="s">
        <v>42</v>
      </c>
      <c r="G62" s="3">
        <v>45597</v>
      </c>
      <c r="H62" s="2">
        <v>4.17</v>
      </c>
      <c r="I62" t="s">
        <v>217</v>
      </c>
      <c r="J62" t="s">
        <v>218</v>
      </c>
      <c r="K62" s="3">
        <v>44855</v>
      </c>
      <c r="L62" s="3">
        <v>44927</v>
      </c>
      <c r="M62">
        <v>2</v>
      </c>
      <c r="N62" t="s">
        <v>55</v>
      </c>
      <c r="O62" t="s">
        <v>45</v>
      </c>
      <c r="P62" t="s">
        <v>84</v>
      </c>
      <c r="Q62" t="s">
        <v>85</v>
      </c>
      <c r="R62" s="3">
        <v>44927</v>
      </c>
      <c r="S62" t="s">
        <v>0</v>
      </c>
      <c r="T62" t="s">
        <v>86</v>
      </c>
      <c r="U62" t="s">
        <v>95</v>
      </c>
      <c r="V62" t="s">
        <v>0</v>
      </c>
      <c r="W62" s="4">
        <v>35545253</v>
      </c>
      <c r="X62" t="s">
        <v>0</v>
      </c>
    </row>
    <row r="63" spans="1:24" x14ac:dyDescent="0.25">
      <c r="A63" t="s">
        <v>39</v>
      </c>
      <c r="B63" t="s">
        <v>40</v>
      </c>
      <c r="C63" t="s">
        <v>168</v>
      </c>
      <c r="D63" t="s">
        <v>169</v>
      </c>
      <c r="E63" t="s">
        <v>168</v>
      </c>
      <c r="F63" t="s">
        <v>169</v>
      </c>
      <c r="G63" s="3">
        <v>45597</v>
      </c>
      <c r="H63" s="2">
        <v>4.17</v>
      </c>
      <c r="I63" t="s">
        <v>219</v>
      </c>
      <c r="J63" t="s">
        <v>220</v>
      </c>
      <c r="K63" s="3">
        <v>44858</v>
      </c>
      <c r="L63" s="3">
        <v>44927</v>
      </c>
      <c r="M63">
        <v>5</v>
      </c>
      <c r="N63" t="s">
        <v>84</v>
      </c>
      <c r="O63" t="s">
        <v>45</v>
      </c>
      <c r="P63" t="s">
        <v>84</v>
      </c>
      <c r="Q63" t="s">
        <v>85</v>
      </c>
      <c r="R63" s="3">
        <v>44927</v>
      </c>
      <c r="S63" t="s">
        <v>0</v>
      </c>
      <c r="T63" t="s">
        <v>86</v>
      </c>
      <c r="U63" t="s">
        <v>95</v>
      </c>
      <c r="V63" t="s">
        <v>0</v>
      </c>
      <c r="W63" s="4">
        <v>35562023</v>
      </c>
      <c r="X63" t="s">
        <v>0</v>
      </c>
    </row>
    <row r="64" spans="1:24" x14ac:dyDescent="0.25">
      <c r="A64" t="s">
        <v>39</v>
      </c>
      <c r="B64" t="s">
        <v>40</v>
      </c>
      <c r="C64" t="s">
        <v>168</v>
      </c>
      <c r="D64" t="s">
        <v>169</v>
      </c>
      <c r="E64" t="s">
        <v>168</v>
      </c>
      <c r="F64" t="s">
        <v>169</v>
      </c>
      <c r="G64" s="3">
        <v>45597</v>
      </c>
      <c r="H64" s="2">
        <v>4.17</v>
      </c>
      <c r="I64" t="s">
        <v>221</v>
      </c>
      <c r="J64" t="s">
        <v>222</v>
      </c>
      <c r="K64" s="3">
        <v>44865</v>
      </c>
      <c r="L64" s="3">
        <v>44927</v>
      </c>
      <c r="M64">
        <v>11</v>
      </c>
      <c r="N64" t="s">
        <v>84</v>
      </c>
      <c r="O64" t="s">
        <v>45</v>
      </c>
      <c r="P64" t="s">
        <v>84</v>
      </c>
      <c r="Q64" t="s">
        <v>85</v>
      </c>
      <c r="R64" s="3">
        <v>44927</v>
      </c>
      <c r="S64" t="s">
        <v>0</v>
      </c>
      <c r="T64" t="s">
        <v>86</v>
      </c>
      <c r="U64" t="s">
        <v>95</v>
      </c>
      <c r="V64" t="s">
        <v>0</v>
      </c>
      <c r="W64" s="4">
        <v>35633510</v>
      </c>
      <c r="X64" t="s">
        <v>0</v>
      </c>
    </row>
    <row r="65" spans="1:24" x14ac:dyDescent="0.25">
      <c r="A65" t="s">
        <v>39</v>
      </c>
      <c r="B65" t="s">
        <v>40</v>
      </c>
      <c r="C65" t="s">
        <v>168</v>
      </c>
      <c r="D65" t="s">
        <v>169</v>
      </c>
      <c r="E65" t="s">
        <v>168</v>
      </c>
      <c r="F65" t="s">
        <v>169</v>
      </c>
      <c r="G65" s="3">
        <v>45597</v>
      </c>
      <c r="H65" s="2">
        <v>4.17</v>
      </c>
      <c r="I65" t="s">
        <v>223</v>
      </c>
      <c r="J65" t="s">
        <v>224</v>
      </c>
      <c r="K65" s="3">
        <v>44876</v>
      </c>
      <c r="L65" s="3">
        <v>44927</v>
      </c>
      <c r="M65">
        <v>7</v>
      </c>
      <c r="N65" t="s">
        <v>84</v>
      </c>
      <c r="O65" t="s">
        <v>92</v>
      </c>
      <c r="P65" t="s">
        <v>84</v>
      </c>
      <c r="Q65" t="s">
        <v>85</v>
      </c>
      <c r="R65" s="3">
        <v>44927</v>
      </c>
      <c r="S65" t="s">
        <v>0</v>
      </c>
      <c r="T65" t="s">
        <v>86</v>
      </c>
      <c r="U65" t="s">
        <v>87</v>
      </c>
      <c r="V65" t="s">
        <v>0</v>
      </c>
      <c r="W65" s="4">
        <v>35911540</v>
      </c>
      <c r="X65" t="s">
        <v>0</v>
      </c>
    </row>
    <row r="66" spans="1:24" x14ac:dyDescent="0.25">
      <c r="A66" t="s">
        <v>39</v>
      </c>
      <c r="B66" t="s">
        <v>40</v>
      </c>
      <c r="C66" t="s">
        <v>168</v>
      </c>
      <c r="D66" t="s">
        <v>169</v>
      </c>
      <c r="E66" t="s">
        <v>168</v>
      </c>
      <c r="F66" t="s">
        <v>169</v>
      </c>
      <c r="G66" s="3">
        <v>45597</v>
      </c>
      <c r="H66" s="2">
        <v>4.17</v>
      </c>
      <c r="I66" t="s">
        <v>225</v>
      </c>
      <c r="J66" t="s">
        <v>226</v>
      </c>
      <c r="K66" s="3">
        <v>44875</v>
      </c>
      <c r="L66" s="3">
        <v>44927</v>
      </c>
      <c r="M66">
        <v>9</v>
      </c>
      <c r="N66" t="s">
        <v>84</v>
      </c>
      <c r="O66" t="s">
        <v>45</v>
      </c>
      <c r="P66" t="s">
        <v>84</v>
      </c>
      <c r="Q66" t="s">
        <v>85</v>
      </c>
      <c r="R66" s="3">
        <v>44927</v>
      </c>
      <c r="S66" t="s">
        <v>0</v>
      </c>
      <c r="T66" t="s">
        <v>86</v>
      </c>
      <c r="U66" t="s">
        <v>95</v>
      </c>
      <c r="V66" t="s">
        <v>0</v>
      </c>
      <c r="W66" s="4">
        <v>35896486</v>
      </c>
      <c r="X66" t="s">
        <v>0</v>
      </c>
    </row>
    <row r="67" spans="1:24" x14ac:dyDescent="0.25">
      <c r="A67" t="s">
        <v>39</v>
      </c>
      <c r="B67" t="s">
        <v>40</v>
      </c>
      <c r="C67" t="s">
        <v>168</v>
      </c>
      <c r="D67" t="s">
        <v>169</v>
      </c>
      <c r="E67" t="s">
        <v>168</v>
      </c>
      <c r="F67" t="s">
        <v>169</v>
      </c>
      <c r="G67" s="3">
        <v>45597</v>
      </c>
      <c r="H67" s="2">
        <v>4.17</v>
      </c>
      <c r="I67" t="s">
        <v>227</v>
      </c>
      <c r="J67" t="s">
        <v>228</v>
      </c>
      <c r="K67" s="3">
        <v>44883</v>
      </c>
      <c r="L67" s="3">
        <v>44927</v>
      </c>
      <c r="M67">
        <v>9</v>
      </c>
      <c r="N67" t="s">
        <v>84</v>
      </c>
      <c r="O67" t="s">
        <v>45</v>
      </c>
      <c r="P67" t="s">
        <v>84</v>
      </c>
      <c r="Q67" t="s">
        <v>85</v>
      </c>
      <c r="R67" s="3">
        <v>44927</v>
      </c>
      <c r="S67" t="s">
        <v>0</v>
      </c>
      <c r="T67" t="s">
        <v>86</v>
      </c>
      <c r="U67" t="s">
        <v>95</v>
      </c>
      <c r="V67" t="s">
        <v>0</v>
      </c>
      <c r="W67" s="4">
        <v>35985619</v>
      </c>
      <c r="X67" t="s">
        <v>0</v>
      </c>
    </row>
    <row r="68" spans="1:24" x14ac:dyDescent="0.25">
      <c r="A68" t="s">
        <v>39</v>
      </c>
      <c r="B68" t="s">
        <v>40</v>
      </c>
      <c r="C68" t="s">
        <v>168</v>
      </c>
      <c r="D68" t="s">
        <v>169</v>
      </c>
      <c r="E68" t="s">
        <v>168</v>
      </c>
      <c r="F68" t="s">
        <v>169</v>
      </c>
      <c r="G68" s="3">
        <v>45597</v>
      </c>
      <c r="H68" s="2">
        <v>4.17</v>
      </c>
      <c r="I68" t="s">
        <v>229</v>
      </c>
      <c r="J68" t="s">
        <v>230</v>
      </c>
      <c r="K68" s="3">
        <v>44883</v>
      </c>
      <c r="L68" s="3">
        <v>44927</v>
      </c>
      <c r="M68">
        <v>2</v>
      </c>
      <c r="N68" t="s">
        <v>55</v>
      </c>
      <c r="O68" t="s">
        <v>45</v>
      </c>
      <c r="P68" t="s">
        <v>84</v>
      </c>
      <c r="Q68" t="s">
        <v>85</v>
      </c>
      <c r="R68" s="3">
        <v>44927</v>
      </c>
      <c r="S68" t="s">
        <v>0</v>
      </c>
      <c r="T68" t="s">
        <v>86</v>
      </c>
      <c r="U68" t="s">
        <v>95</v>
      </c>
      <c r="V68" t="s">
        <v>0</v>
      </c>
      <c r="W68" s="4">
        <v>26453435</v>
      </c>
      <c r="X68" t="s">
        <v>0</v>
      </c>
    </row>
    <row r="69" spans="1:24" x14ac:dyDescent="0.25">
      <c r="A69" t="s">
        <v>39</v>
      </c>
      <c r="B69" t="s">
        <v>40</v>
      </c>
      <c r="C69" t="s">
        <v>168</v>
      </c>
      <c r="D69" t="s">
        <v>169</v>
      </c>
      <c r="E69" t="s">
        <v>168</v>
      </c>
      <c r="F69" t="s">
        <v>169</v>
      </c>
      <c r="G69" s="3">
        <v>45597</v>
      </c>
      <c r="H69" s="2">
        <v>4.17</v>
      </c>
      <c r="I69" t="s">
        <v>231</v>
      </c>
      <c r="J69" t="s">
        <v>232</v>
      </c>
      <c r="K69" s="3">
        <v>44886</v>
      </c>
      <c r="L69" s="3">
        <v>44927</v>
      </c>
      <c r="M69">
        <v>5</v>
      </c>
      <c r="N69" t="s">
        <v>84</v>
      </c>
      <c r="O69" t="s">
        <v>45</v>
      </c>
      <c r="P69" t="s">
        <v>84</v>
      </c>
      <c r="Q69" t="s">
        <v>188</v>
      </c>
      <c r="R69" s="3">
        <v>44927</v>
      </c>
      <c r="S69" t="s">
        <v>0</v>
      </c>
      <c r="T69" t="s">
        <v>86</v>
      </c>
      <c r="U69" t="s">
        <v>233</v>
      </c>
      <c r="V69" t="s">
        <v>0</v>
      </c>
      <c r="W69" s="4">
        <v>36034811</v>
      </c>
      <c r="X69" t="s">
        <v>0</v>
      </c>
    </row>
    <row r="70" spans="1:24" x14ac:dyDescent="0.25">
      <c r="A70" t="s">
        <v>39</v>
      </c>
      <c r="B70" t="s">
        <v>40</v>
      </c>
      <c r="C70" t="s">
        <v>41</v>
      </c>
      <c r="D70" t="s">
        <v>42</v>
      </c>
      <c r="E70" t="s">
        <v>41</v>
      </c>
      <c r="F70" t="s">
        <v>42</v>
      </c>
      <c r="G70" s="3">
        <v>45597</v>
      </c>
      <c r="H70" s="2">
        <v>4.17</v>
      </c>
      <c r="I70" t="s">
        <v>234</v>
      </c>
      <c r="J70" t="s">
        <v>235</v>
      </c>
      <c r="K70" s="3">
        <v>44891</v>
      </c>
      <c r="L70" s="3">
        <v>44927</v>
      </c>
      <c r="M70">
        <v>2</v>
      </c>
      <c r="N70" t="s">
        <v>55</v>
      </c>
      <c r="O70" t="s">
        <v>45</v>
      </c>
      <c r="P70" t="s">
        <v>84</v>
      </c>
      <c r="Q70" t="s">
        <v>85</v>
      </c>
      <c r="R70" s="3">
        <v>44927</v>
      </c>
      <c r="S70" t="s">
        <v>0</v>
      </c>
      <c r="T70" t="s">
        <v>86</v>
      </c>
      <c r="U70" t="s">
        <v>95</v>
      </c>
      <c r="V70" t="s">
        <v>0</v>
      </c>
      <c r="W70" s="4">
        <v>23951268</v>
      </c>
      <c r="X70" t="s">
        <v>0</v>
      </c>
    </row>
    <row r="71" spans="1:24" x14ac:dyDescent="0.25">
      <c r="A71" t="s">
        <v>39</v>
      </c>
      <c r="B71" t="s">
        <v>40</v>
      </c>
      <c r="C71" t="s">
        <v>41</v>
      </c>
      <c r="D71" t="s">
        <v>42</v>
      </c>
      <c r="E71" t="s">
        <v>41</v>
      </c>
      <c r="F71" t="s">
        <v>42</v>
      </c>
      <c r="G71" s="3">
        <v>45597</v>
      </c>
      <c r="H71" s="2">
        <v>4.17</v>
      </c>
      <c r="I71" t="s">
        <v>236</v>
      </c>
      <c r="J71" t="s">
        <v>237</v>
      </c>
      <c r="K71" s="3">
        <v>44895</v>
      </c>
      <c r="L71" s="3">
        <v>44927</v>
      </c>
      <c r="M71">
        <v>14</v>
      </c>
      <c r="N71" t="s">
        <v>84</v>
      </c>
      <c r="O71" t="s">
        <v>45</v>
      </c>
      <c r="P71" t="s">
        <v>84</v>
      </c>
      <c r="Q71" t="s">
        <v>85</v>
      </c>
      <c r="R71" s="3">
        <v>44927</v>
      </c>
      <c r="S71" t="s">
        <v>0</v>
      </c>
      <c r="T71" t="s">
        <v>86</v>
      </c>
      <c r="U71" t="s">
        <v>95</v>
      </c>
      <c r="V71" t="s">
        <v>0</v>
      </c>
      <c r="W71" s="4">
        <v>36103968</v>
      </c>
      <c r="X71" t="s">
        <v>0</v>
      </c>
    </row>
    <row r="72" spans="1:24" x14ac:dyDescent="0.25">
      <c r="A72" t="s">
        <v>39</v>
      </c>
      <c r="B72" t="s">
        <v>40</v>
      </c>
      <c r="C72" t="s">
        <v>168</v>
      </c>
      <c r="D72" t="s">
        <v>169</v>
      </c>
      <c r="E72" t="s">
        <v>168</v>
      </c>
      <c r="F72" t="s">
        <v>169</v>
      </c>
      <c r="G72" s="3">
        <v>45597</v>
      </c>
      <c r="H72" s="2">
        <v>4.17</v>
      </c>
      <c r="I72" t="s">
        <v>238</v>
      </c>
      <c r="J72" t="s">
        <v>239</v>
      </c>
      <c r="K72" s="3">
        <v>44897</v>
      </c>
      <c r="L72" s="3">
        <v>44927</v>
      </c>
      <c r="M72">
        <v>8</v>
      </c>
      <c r="N72" t="s">
        <v>84</v>
      </c>
      <c r="O72" t="s">
        <v>102</v>
      </c>
      <c r="P72" t="s">
        <v>84</v>
      </c>
      <c r="Q72" t="s">
        <v>85</v>
      </c>
      <c r="R72" s="3">
        <v>44927</v>
      </c>
      <c r="S72" t="s">
        <v>0</v>
      </c>
      <c r="T72" t="s">
        <v>86</v>
      </c>
      <c r="U72" t="s">
        <v>103</v>
      </c>
      <c r="V72" t="s">
        <v>0</v>
      </c>
      <c r="W72" s="4">
        <v>36144129</v>
      </c>
      <c r="X72" t="s">
        <v>0</v>
      </c>
    </row>
    <row r="73" spans="1:24" x14ac:dyDescent="0.25">
      <c r="A73" t="s">
        <v>39</v>
      </c>
      <c r="B73" t="s">
        <v>40</v>
      </c>
      <c r="C73" t="s">
        <v>168</v>
      </c>
      <c r="D73" t="s">
        <v>169</v>
      </c>
      <c r="E73" t="s">
        <v>168</v>
      </c>
      <c r="F73" t="s">
        <v>169</v>
      </c>
      <c r="G73" s="3">
        <v>45597</v>
      </c>
      <c r="H73" s="2">
        <v>4.17</v>
      </c>
      <c r="I73" t="s">
        <v>240</v>
      </c>
      <c r="J73" t="s">
        <v>241</v>
      </c>
      <c r="K73" s="3">
        <v>44897</v>
      </c>
      <c r="L73" s="3">
        <v>44927</v>
      </c>
      <c r="M73">
        <v>8</v>
      </c>
      <c r="N73" t="s">
        <v>84</v>
      </c>
      <c r="O73" t="s">
        <v>102</v>
      </c>
      <c r="P73" t="s">
        <v>84</v>
      </c>
      <c r="Q73" t="s">
        <v>85</v>
      </c>
      <c r="R73" s="3">
        <v>44927</v>
      </c>
      <c r="S73" t="s">
        <v>0</v>
      </c>
      <c r="T73" t="s">
        <v>86</v>
      </c>
      <c r="U73" t="s">
        <v>103</v>
      </c>
      <c r="V73" t="s">
        <v>0</v>
      </c>
      <c r="W73" s="4">
        <v>36144130</v>
      </c>
      <c r="X73" t="s">
        <v>0</v>
      </c>
    </row>
    <row r="74" spans="1:24" x14ac:dyDescent="0.25">
      <c r="A74" t="s">
        <v>39</v>
      </c>
      <c r="B74" t="s">
        <v>40</v>
      </c>
      <c r="C74" t="s">
        <v>168</v>
      </c>
      <c r="D74" t="s">
        <v>169</v>
      </c>
      <c r="E74" t="s">
        <v>168</v>
      </c>
      <c r="F74" t="s">
        <v>169</v>
      </c>
      <c r="G74" s="3">
        <v>45597</v>
      </c>
      <c r="H74" s="2">
        <v>4.17</v>
      </c>
      <c r="I74" t="s">
        <v>242</v>
      </c>
      <c r="J74" t="s">
        <v>243</v>
      </c>
      <c r="K74" s="3">
        <v>44903</v>
      </c>
      <c r="L74" s="3">
        <v>44958</v>
      </c>
      <c r="M74">
        <v>2</v>
      </c>
      <c r="N74" t="s">
        <v>55</v>
      </c>
      <c r="O74" t="s">
        <v>45</v>
      </c>
      <c r="P74" t="s">
        <v>84</v>
      </c>
      <c r="Q74" t="s">
        <v>184</v>
      </c>
      <c r="R74" s="3">
        <v>44958</v>
      </c>
      <c r="S74" t="s">
        <v>0</v>
      </c>
      <c r="T74" t="s">
        <v>86</v>
      </c>
      <c r="U74" t="s">
        <v>194</v>
      </c>
      <c r="V74" t="s">
        <v>0</v>
      </c>
      <c r="W74" s="4">
        <v>36291135</v>
      </c>
      <c r="X74" t="s">
        <v>0</v>
      </c>
    </row>
    <row r="75" spans="1:24" x14ac:dyDescent="0.25">
      <c r="A75" t="s">
        <v>39</v>
      </c>
      <c r="B75" t="s">
        <v>40</v>
      </c>
      <c r="C75" t="s">
        <v>168</v>
      </c>
      <c r="D75" t="s">
        <v>169</v>
      </c>
      <c r="E75" t="s">
        <v>168</v>
      </c>
      <c r="F75" t="s">
        <v>169</v>
      </c>
      <c r="G75" s="3">
        <v>45597</v>
      </c>
      <c r="H75" s="2">
        <v>4.17</v>
      </c>
      <c r="I75" t="s">
        <v>244</v>
      </c>
      <c r="J75" t="s">
        <v>245</v>
      </c>
      <c r="K75" s="3">
        <v>44902</v>
      </c>
      <c r="L75" s="3">
        <v>44927</v>
      </c>
      <c r="M75">
        <v>3</v>
      </c>
      <c r="N75" t="s">
        <v>84</v>
      </c>
      <c r="O75" t="s">
        <v>45</v>
      </c>
      <c r="P75" t="s">
        <v>84</v>
      </c>
      <c r="Q75" t="s">
        <v>85</v>
      </c>
      <c r="R75" s="3">
        <v>44927</v>
      </c>
      <c r="S75" t="s">
        <v>0</v>
      </c>
      <c r="T75" t="s">
        <v>86</v>
      </c>
      <c r="U75" t="s">
        <v>95</v>
      </c>
      <c r="V75" t="s">
        <v>0</v>
      </c>
      <c r="W75" s="4">
        <v>36267961</v>
      </c>
      <c r="X75" t="s">
        <v>0</v>
      </c>
    </row>
    <row r="76" spans="1:24" x14ac:dyDescent="0.25">
      <c r="A76" t="s">
        <v>39</v>
      </c>
      <c r="B76" t="s">
        <v>40</v>
      </c>
      <c r="C76" t="s">
        <v>79</v>
      </c>
      <c r="D76" t="s">
        <v>80</v>
      </c>
      <c r="E76" t="s">
        <v>79</v>
      </c>
      <c r="F76" t="s">
        <v>80</v>
      </c>
      <c r="G76" s="3">
        <v>45597</v>
      </c>
      <c r="H76" s="2">
        <v>4.17</v>
      </c>
      <c r="I76" t="s">
        <v>246</v>
      </c>
      <c r="J76" t="s">
        <v>247</v>
      </c>
      <c r="K76" s="3">
        <v>44908</v>
      </c>
      <c r="L76" s="3">
        <v>44986</v>
      </c>
      <c r="M76">
        <v>2</v>
      </c>
      <c r="N76" t="s">
        <v>55</v>
      </c>
      <c r="O76" t="s">
        <v>102</v>
      </c>
      <c r="P76" t="s">
        <v>84</v>
      </c>
      <c r="Q76" t="s">
        <v>85</v>
      </c>
      <c r="R76" s="3">
        <v>44986</v>
      </c>
      <c r="S76" t="s">
        <v>0</v>
      </c>
      <c r="T76" t="s">
        <v>86</v>
      </c>
      <c r="U76" t="s">
        <v>103</v>
      </c>
      <c r="V76" t="s">
        <v>0</v>
      </c>
      <c r="W76" s="4">
        <v>36315753</v>
      </c>
      <c r="X76" t="s">
        <v>0</v>
      </c>
    </row>
    <row r="77" spans="1:24" x14ac:dyDescent="0.25">
      <c r="A77" t="s">
        <v>39</v>
      </c>
      <c r="B77" t="s">
        <v>40</v>
      </c>
      <c r="C77" t="s">
        <v>168</v>
      </c>
      <c r="D77" t="s">
        <v>169</v>
      </c>
      <c r="E77" t="s">
        <v>168</v>
      </c>
      <c r="F77" t="s">
        <v>169</v>
      </c>
      <c r="G77" s="3">
        <v>45597</v>
      </c>
      <c r="H77" s="2">
        <v>4.17</v>
      </c>
      <c r="I77" t="s">
        <v>248</v>
      </c>
      <c r="J77" t="s">
        <v>249</v>
      </c>
      <c r="K77" s="3">
        <v>44915</v>
      </c>
      <c r="L77" s="3">
        <v>44927</v>
      </c>
      <c r="M77">
        <v>2</v>
      </c>
      <c r="N77" t="s">
        <v>55</v>
      </c>
      <c r="O77" t="s">
        <v>45</v>
      </c>
      <c r="P77" t="s">
        <v>84</v>
      </c>
      <c r="Q77" t="s">
        <v>85</v>
      </c>
      <c r="R77" s="3">
        <v>44927</v>
      </c>
      <c r="S77" t="s">
        <v>0</v>
      </c>
      <c r="T77" t="s">
        <v>86</v>
      </c>
      <c r="U77" t="s">
        <v>95</v>
      </c>
      <c r="V77" t="s">
        <v>0</v>
      </c>
      <c r="W77" s="4">
        <v>36339489</v>
      </c>
      <c r="X77" t="s">
        <v>0</v>
      </c>
    </row>
    <row r="78" spans="1:24" x14ac:dyDescent="0.25">
      <c r="A78" t="s">
        <v>39</v>
      </c>
      <c r="B78" t="s">
        <v>40</v>
      </c>
      <c r="C78" t="s">
        <v>168</v>
      </c>
      <c r="D78" t="s">
        <v>169</v>
      </c>
      <c r="E78" t="s">
        <v>168</v>
      </c>
      <c r="F78" t="s">
        <v>169</v>
      </c>
      <c r="G78" s="3">
        <v>45597</v>
      </c>
      <c r="H78" s="2">
        <v>4.17</v>
      </c>
      <c r="I78" t="s">
        <v>250</v>
      </c>
      <c r="J78" t="s">
        <v>251</v>
      </c>
      <c r="K78" s="3">
        <v>44914</v>
      </c>
      <c r="L78" s="3">
        <v>44958</v>
      </c>
      <c r="M78">
        <v>2</v>
      </c>
      <c r="N78" t="s">
        <v>55</v>
      </c>
      <c r="O78" t="s">
        <v>45</v>
      </c>
      <c r="P78" t="s">
        <v>84</v>
      </c>
      <c r="Q78" t="s">
        <v>85</v>
      </c>
      <c r="R78" s="3">
        <v>44958</v>
      </c>
      <c r="S78" t="s">
        <v>0</v>
      </c>
      <c r="T78" t="s">
        <v>86</v>
      </c>
      <c r="U78" t="s">
        <v>95</v>
      </c>
      <c r="V78" t="s">
        <v>0</v>
      </c>
      <c r="W78" s="4">
        <v>36334013</v>
      </c>
      <c r="X78" t="s">
        <v>0</v>
      </c>
    </row>
    <row r="79" spans="1:24" x14ac:dyDescent="0.25">
      <c r="A79" t="s">
        <v>39</v>
      </c>
      <c r="B79" t="s">
        <v>40</v>
      </c>
      <c r="C79" t="s">
        <v>168</v>
      </c>
      <c r="D79" t="s">
        <v>169</v>
      </c>
      <c r="E79" t="s">
        <v>168</v>
      </c>
      <c r="F79" t="s">
        <v>169</v>
      </c>
      <c r="G79" s="3">
        <v>45597</v>
      </c>
      <c r="H79" s="2">
        <v>4.17</v>
      </c>
      <c r="I79" t="s">
        <v>252</v>
      </c>
      <c r="J79" t="s">
        <v>253</v>
      </c>
      <c r="K79" s="3">
        <v>44917</v>
      </c>
      <c r="L79" s="3">
        <v>44958</v>
      </c>
      <c r="M79">
        <v>2</v>
      </c>
      <c r="N79" t="s">
        <v>55</v>
      </c>
      <c r="O79" t="s">
        <v>45</v>
      </c>
      <c r="P79" t="s">
        <v>84</v>
      </c>
      <c r="Q79" t="s">
        <v>85</v>
      </c>
      <c r="R79" s="3">
        <v>44958</v>
      </c>
      <c r="S79" t="s">
        <v>0</v>
      </c>
      <c r="T79" t="s">
        <v>86</v>
      </c>
      <c r="U79" t="s">
        <v>95</v>
      </c>
      <c r="V79" t="s">
        <v>0</v>
      </c>
      <c r="W79" s="4">
        <v>36346433</v>
      </c>
      <c r="X79" t="s">
        <v>0</v>
      </c>
    </row>
    <row r="80" spans="1:24" x14ac:dyDescent="0.25">
      <c r="A80" t="s">
        <v>39</v>
      </c>
      <c r="B80" t="s">
        <v>40</v>
      </c>
      <c r="C80" t="s">
        <v>168</v>
      </c>
      <c r="D80" t="s">
        <v>169</v>
      </c>
      <c r="E80" t="s">
        <v>168</v>
      </c>
      <c r="F80" t="s">
        <v>169</v>
      </c>
      <c r="G80" s="3">
        <v>45597</v>
      </c>
      <c r="H80" s="2">
        <v>4.17</v>
      </c>
      <c r="I80" t="s">
        <v>254</v>
      </c>
      <c r="J80" t="s">
        <v>255</v>
      </c>
      <c r="K80" s="3">
        <v>44923</v>
      </c>
      <c r="L80" s="3">
        <v>44986</v>
      </c>
      <c r="M80">
        <v>2</v>
      </c>
      <c r="N80" t="s">
        <v>55</v>
      </c>
      <c r="O80" t="s">
        <v>45</v>
      </c>
      <c r="P80" t="s">
        <v>84</v>
      </c>
      <c r="Q80" t="s">
        <v>85</v>
      </c>
      <c r="R80" s="3">
        <v>44986</v>
      </c>
      <c r="S80" t="s">
        <v>0</v>
      </c>
      <c r="T80" t="s">
        <v>86</v>
      </c>
      <c r="U80" t="s">
        <v>95</v>
      </c>
      <c r="V80" t="s">
        <v>0</v>
      </c>
      <c r="W80" s="4">
        <v>36375819</v>
      </c>
      <c r="X80" t="s">
        <v>0</v>
      </c>
    </row>
    <row r="81" spans="1:24" x14ac:dyDescent="0.25">
      <c r="A81" t="s">
        <v>39</v>
      </c>
      <c r="B81" t="s">
        <v>40</v>
      </c>
      <c r="C81" t="s">
        <v>168</v>
      </c>
      <c r="D81" t="s">
        <v>169</v>
      </c>
      <c r="E81" t="s">
        <v>168</v>
      </c>
      <c r="F81" t="s">
        <v>169</v>
      </c>
      <c r="G81" s="3">
        <v>45597</v>
      </c>
      <c r="H81" s="2">
        <v>4.17</v>
      </c>
      <c r="I81" t="s">
        <v>256</v>
      </c>
      <c r="J81" t="s">
        <v>257</v>
      </c>
      <c r="K81" s="3">
        <v>44931</v>
      </c>
      <c r="L81" s="3">
        <v>44958</v>
      </c>
      <c r="M81">
        <v>2</v>
      </c>
      <c r="N81" t="s">
        <v>55</v>
      </c>
      <c r="O81" t="s">
        <v>45</v>
      </c>
      <c r="P81" t="s">
        <v>84</v>
      </c>
      <c r="Q81" t="s">
        <v>85</v>
      </c>
      <c r="R81" s="3">
        <v>44958</v>
      </c>
      <c r="S81" t="s">
        <v>0</v>
      </c>
      <c r="T81" t="s">
        <v>86</v>
      </c>
      <c r="U81" t="s">
        <v>95</v>
      </c>
      <c r="V81" t="s">
        <v>0</v>
      </c>
      <c r="W81" s="4">
        <v>36389614</v>
      </c>
      <c r="X81" t="s">
        <v>0</v>
      </c>
    </row>
    <row r="82" spans="1:24" x14ac:dyDescent="0.25">
      <c r="A82" t="s">
        <v>39</v>
      </c>
      <c r="B82" t="s">
        <v>40</v>
      </c>
      <c r="C82" t="s">
        <v>168</v>
      </c>
      <c r="D82" t="s">
        <v>169</v>
      </c>
      <c r="E82" t="s">
        <v>168</v>
      </c>
      <c r="F82" t="s">
        <v>169</v>
      </c>
      <c r="G82" s="3">
        <v>45597</v>
      </c>
      <c r="H82" s="2">
        <v>4.17</v>
      </c>
      <c r="I82" t="s">
        <v>258</v>
      </c>
      <c r="J82" t="s">
        <v>259</v>
      </c>
      <c r="K82" s="3">
        <v>44935</v>
      </c>
      <c r="L82" s="3">
        <v>44986</v>
      </c>
      <c r="M82">
        <v>2</v>
      </c>
      <c r="N82" t="s">
        <v>55</v>
      </c>
      <c r="O82" t="s">
        <v>45</v>
      </c>
      <c r="P82" t="s">
        <v>84</v>
      </c>
      <c r="Q82" t="s">
        <v>85</v>
      </c>
      <c r="R82" s="3">
        <v>44986</v>
      </c>
      <c r="S82" t="s">
        <v>0</v>
      </c>
      <c r="T82" t="s">
        <v>86</v>
      </c>
      <c r="U82" t="s">
        <v>95</v>
      </c>
      <c r="V82" t="s">
        <v>0</v>
      </c>
      <c r="W82" s="4">
        <v>36408826</v>
      </c>
      <c r="X82" t="s">
        <v>0</v>
      </c>
    </row>
    <row r="83" spans="1:24" x14ac:dyDescent="0.25">
      <c r="A83" t="s">
        <v>39</v>
      </c>
      <c r="B83" t="s">
        <v>40</v>
      </c>
      <c r="C83" t="s">
        <v>168</v>
      </c>
      <c r="D83" t="s">
        <v>169</v>
      </c>
      <c r="E83" t="s">
        <v>168</v>
      </c>
      <c r="F83" t="s">
        <v>169</v>
      </c>
      <c r="G83" s="3">
        <v>45597</v>
      </c>
      <c r="H83" s="2">
        <v>4.17</v>
      </c>
      <c r="I83" t="s">
        <v>260</v>
      </c>
      <c r="J83" t="s">
        <v>261</v>
      </c>
      <c r="K83" s="3">
        <v>44943</v>
      </c>
      <c r="L83" s="3">
        <v>44958</v>
      </c>
      <c r="M83">
        <v>2</v>
      </c>
      <c r="N83" t="s">
        <v>55</v>
      </c>
      <c r="O83" t="s">
        <v>45</v>
      </c>
      <c r="P83" t="s">
        <v>84</v>
      </c>
      <c r="Q83" t="s">
        <v>85</v>
      </c>
      <c r="R83" s="3">
        <v>44958</v>
      </c>
      <c r="S83" t="s">
        <v>0</v>
      </c>
      <c r="T83" t="s">
        <v>86</v>
      </c>
      <c r="U83" t="s">
        <v>95</v>
      </c>
      <c r="V83" t="s">
        <v>0</v>
      </c>
      <c r="W83" s="4">
        <v>36441576</v>
      </c>
      <c r="X83" t="s">
        <v>0</v>
      </c>
    </row>
    <row r="84" spans="1:24" x14ac:dyDescent="0.25">
      <c r="A84" t="s">
        <v>39</v>
      </c>
      <c r="B84" t="s">
        <v>40</v>
      </c>
      <c r="C84" t="s">
        <v>168</v>
      </c>
      <c r="D84" t="s">
        <v>169</v>
      </c>
      <c r="E84" t="s">
        <v>168</v>
      </c>
      <c r="F84" t="s">
        <v>169</v>
      </c>
      <c r="G84" s="3">
        <v>45597</v>
      </c>
      <c r="H84" s="2">
        <v>4.17</v>
      </c>
      <c r="I84" t="s">
        <v>262</v>
      </c>
      <c r="J84" t="s">
        <v>263</v>
      </c>
      <c r="K84" s="3">
        <v>44946</v>
      </c>
      <c r="L84" s="3">
        <v>44958</v>
      </c>
      <c r="M84">
        <v>2</v>
      </c>
      <c r="N84" t="s">
        <v>55</v>
      </c>
      <c r="O84" t="s">
        <v>45</v>
      </c>
      <c r="P84" t="s">
        <v>84</v>
      </c>
      <c r="Q84" t="s">
        <v>85</v>
      </c>
      <c r="R84" s="3">
        <v>44958</v>
      </c>
      <c r="S84" t="s">
        <v>0</v>
      </c>
      <c r="T84" t="s">
        <v>86</v>
      </c>
      <c r="U84" t="s">
        <v>95</v>
      </c>
      <c r="V84" t="s">
        <v>0</v>
      </c>
      <c r="W84" s="4">
        <v>36456530</v>
      </c>
      <c r="X84" t="s">
        <v>0</v>
      </c>
    </row>
    <row r="85" spans="1:24" x14ac:dyDescent="0.25">
      <c r="A85" t="s">
        <v>39</v>
      </c>
      <c r="B85" t="s">
        <v>40</v>
      </c>
      <c r="C85" t="s">
        <v>79</v>
      </c>
      <c r="D85" t="s">
        <v>80</v>
      </c>
      <c r="E85" t="s">
        <v>79</v>
      </c>
      <c r="F85" t="s">
        <v>80</v>
      </c>
      <c r="G85" s="3">
        <v>45597</v>
      </c>
      <c r="H85" s="2">
        <v>4.17</v>
      </c>
      <c r="I85" t="s">
        <v>264</v>
      </c>
      <c r="J85" t="s">
        <v>265</v>
      </c>
      <c r="K85" s="3">
        <v>44946</v>
      </c>
      <c r="L85" s="3">
        <v>44958</v>
      </c>
      <c r="M85">
        <v>2</v>
      </c>
      <c r="N85" t="s">
        <v>55</v>
      </c>
      <c r="O85" t="s">
        <v>102</v>
      </c>
      <c r="P85" t="s">
        <v>84</v>
      </c>
      <c r="Q85" t="s">
        <v>85</v>
      </c>
      <c r="R85" s="3">
        <v>44958</v>
      </c>
      <c r="S85" t="s">
        <v>0</v>
      </c>
      <c r="T85" t="s">
        <v>86</v>
      </c>
      <c r="U85" t="s">
        <v>103</v>
      </c>
      <c r="V85" t="s">
        <v>0</v>
      </c>
      <c r="W85" s="4">
        <v>36457273</v>
      </c>
      <c r="X85" t="s">
        <v>0</v>
      </c>
    </row>
    <row r="86" spans="1:24" x14ac:dyDescent="0.25">
      <c r="A86" t="s">
        <v>39</v>
      </c>
      <c r="B86" t="s">
        <v>40</v>
      </c>
      <c r="C86" t="s">
        <v>168</v>
      </c>
      <c r="D86" t="s">
        <v>169</v>
      </c>
      <c r="E86" t="s">
        <v>168</v>
      </c>
      <c r="F86" t="s">
        <v>169</v>
      </c>
      <c r="G86" s="3">
        <v>45597</v>
      </c>
      <c r="H86" s="2">
        <v>4.17</v>
      </c>
      <c r="I86" t="s">
        <v>266</v>
      </c>
      <c r="J86" t="s">
        <v>267</v>
      </c>
      <c r="K86" s="3">
        <v>44946</v>
      </c>
      <c r="L86" s="3">
        <v>44958</v>
      </c>
      <c r="M86">
        <v>2</v>
      </c>
      <c r="N86" t="s">
        <v>55</v>
      </c>
      <c r="O86" t="s">
        <v>45</v>
      </c>
      <c r="P86" t="s">
        <v>84</v>
      </c>
      <c r="Q86" t="s">
        <v>85</v>
      </c>
      <c r="R86" s="3">
        <v>44958</v>
      </c>
      <c r="S86" t="s">
        <v>0</v>
      </c>
      <c r="T86" t="s">
        <v>86</v>
      </c>
      <c r="U86" t="s">
        <v>95</v>
      </c>
      <c r="V86" t="s">
        <v>0</v>
      </c>
      <c r="W86" s="4">
        <v>36456529</v>
      </c>
      <c r="X86" t="s">
        <v>0</v>
      </c>
    </row>
    <row r="87" spans="1:24" x14ac:dyDescent="0.25">
      <c r="A87" t="s">
        <v>39</v>
      </c>
      <c r="B87" t="s">
        <v>40</v>
      </c>
      <c r="C87" t="s">
        <v>168</v>
      </c>
      <c r="D87" t="s">
        <v>169</v>
      </c>
      <c r="E87" t="s">
        <v>168</v>
      </c>
      <c r="F87" t="s">
        <v>169</v>
      </c>
      <c r="G87" s="3">
        <v>45597</v>
      </c>
      <c r="H87" s="2">
        <v>4.17</v>
      </c>
      <c r="I87" t="s">
        <v>268</v>
      </c>
      <c r="J87" t="s">
        <v>269</v>
      </c>
      <c r="K87" s="3">
        <v>44948</v>
      </c>
      <c r="L87" s="3">
        <v>44958</v>
      </c>
      <c r="M87">
        <v>2</v>
      </c>
      <c r="N87" t="s">
        <v>55</v>
      </c>
      <c r="O87" t="s">
        <v>45</v>
      </c>
      <c r="P87" t="s">
        <v>84</v>
      </c>
      <c r="Q87" t="s">
        <v>85</v>
      </c>
      <c r="R87" s="3">
        <v>44958</v>
      </c>
      <c r="S87" t="s">
        <v>0</v>
      </c>
      <c r="T87" t="s">
        <v>86</v>
      </c>
      <c r="U87" t="s">
        <v>95</v>
      </c>
      <c r="V87" t="s">
        <v>0</v>
      </c>
      <c r="W87" s="4">
        <v>36460356</v>
      </c>
      <c r="X87" t="s">
        <v>0</v>
      </c>
    </row>
    <row r="88" spans="1:24" x14ac:dyDescent="0.25">
      <c r="A88" t="s">
        <v>39</v>
      </c>
      <c r="B88" t="s">
        <v>40</v>
      </c>
      <c r="C88" t="s">
        <v>51</v>
      </c>
      <c r="D88" t="s">
        <v>52</v>
      </c>
      <c r="E88" t="s">
        <v>51</v>
      </c>
      <c r="F88" t="s">
        <v>52</v>
      </c>
      <c r="G88" s="3">
        <v>45597</v>
      </c>
      <c r="H88" s="2">
        <v>4.17</v>
      </c>
      <c r="I88" t="s">
        <v>270</v>
      </c>
      <c r="J88" t="s">
        <v>271</v>
      </c>
      <c r="K88" s="3">
        <v>44949</v>
      </c>
      <c r="L88" s="3">
        <v>44958</v>
      </c>
      <c r="M88">
        <v>2</v>
      </c>
      <c r="N88" t="s">
        <v>55</v>
      </c>
      <c r="O88" t="s">
        <v>272</v>
      </c>
      <c r="P88" t="s">
        <v>84</v>
      </c>
      <c r="Q88" t="s">
        <v>188</v>
      </c>
      <c r="R88" s="3">
        <v>44958</v>
      </c>
      <c r="S88" t="s">
        <v>0</v>
      </c>
      <c r="T88" t="s">
        <v>86</v>
      </c>
      <c r="U88" t="s">
        <v>273</v>
      </c>
      <c r="V88" t="s">
        <v>0</v>
      </c>
      <c r="W88" s="4">
        <v>36463901</v>
      </c>
      <c r="X88" t="s">
        <v>0</v>
      </c>
    </row>
    <row r="89" spans="1:24" x14ac:dyDescent="0.25">
      <c r="A89" t="s">
        <v>39</v>
      </c>
      <c r="B89" t="s">
        <v>40</v>
      </c>
      <c r="C89" t="s">
        <v>168</v>
      </c>
      <c r="D89" t="s">
        <v>169</v>
      </c>
      <c r="E89" t="s">
        <v>168</v>
      </c>
      <c r="F89" t="s">
        <v>169</v>
      </c>
      <c r="G89" s="3">
        <v>45597</v>
      </c>
      <c r="H89" s="2">
        <v>4.17</v>
      </c>
      <c r="I89" t="s">
        <v>274</v>
      </c>
      <c r="J89" t="s">
        <v>275</v>
      </c>
      <c r="K89" s="3">
        <v>44949</v>
      </c>
      <c r="L89" s="3">
        <v>44958</v>
      </c>
      <c r="M89">
        <v>2</v>
      </c>
      <c r="N89" t="s">
        <v>55</v>
      </c>
      <c r="O89" t="s">
        <v>45</v>
      </c>
      <c r="P89" t="s">
        <v>84</v>
      </c>
      <c r="Q89" t="s">
        <v>85</v>
      </c>
      <c r="R89" s="3">
        <v>44958</v>
      </c>
      <c r="S89" t="s">
        <v>0</v>
      </c>
      <c r="T89" t="s">
        <v>86</v>
      </c>
      <c r="U89" t="s">
        <v>95</v>
      </c>
      <c r="V89" t="s">
        <v>0</v>
      </c>
      <c r="W89" s="4">
        <v>36464292</v>
      </c>
      <c r="X89" t="s">
        <v>0</v>
      </c>
    </row>
    <row r="90" spans="1:24" x14ac:dyDescent="0.25">
      <c r="A90" t="s">
        <v>39</v>
      </c>
      <c r="B90" t="s">
        <v>40</v>
      </c>
      <c r="C90" t="s">
        <v>168</v>
      </c>
      <c r="D90" t="s">
        <v>169</v>
      </c>
      <c r="E90" t="s">
        <v>168</v>
      </c>
      <c r="F90" t="s">
        <v>169</v>
      </c>
      <c r="G90" s="3">
        <v>45597</v>
      </c>
      <c r="H90" s="2">
        <v>4.17</v>
      </c>
      <c r="I90" t="s">
        <v>276</v>
      </c>
      <c r="J90" t="s">
        <v>277</v>
      </c>
      <c r="K90" s="3">
        <v>44956</v>
      </c>
      <c r="L90" s="3">
        <v>44986</v>
      </c>
      <c r="M90">
        <v>2</v>
      </c>
      <c r="N90" t="s">
        <v>55</v>
      </c>
      <c r="O90" t="s">
        <v>45</v>
      </c>
      <c r="P90" t="s">
        <v>84</v>
      </c>
      <c r="Q90" t="s">
        <v>85</v>
      </c>
      <c r="R90" s="3">
        <v>44986</v>
      </c>
      <c r="S90" t="s">
        <v>0</v>
      </c>
      <c r="T90" t="s">
        <v>86</v>
      </c>
      <c r="U90" t="s">
        <v>95</v>
      </c>
      <c r="V90" t="s">
        <v>0</v>
      </c>
      <c r="W90" s="4">
        <v>36492907</v>
      </c>
      <c r="X90" t="s">
        <v>0</v>
      </c>
    </row>
    <row r="91" spans="1:24" x14ac:dyDescent="0.25">
      <c r="A91" t="s">
        <v>39</v>
      </c>
      <c r="B91" t="s">
        <v>40</v>
      </c>
      <c r="C91" t="s">
        <v>88</v>
      </c>
      <c r="D91" t="s">
        <v>89</v>
      </c>
      <c r="E91" t="s">
        <v>88</v>
      </c>
      <c r="F91" t="s">
        <v>89</v>
      </c>
      <c r="G91" s="3">
        <v>45597</v>
      </c>
      <c r="H91" s="2">
        <v>4.17</v>
      </c>
      <c r="I91" t="s">
        <v>278</v>
      </c>
      <c r="J91" t="s">
        <v>279</v>
      </c>
      <c r="K91" s="3">
        <v>43899</v>
      </c>
      <c r="L91" s="3">
        <v>44562</v>
      </c>
      <c r="M91">
        <v>5</v>
      </c>
      <c r="N91" t="s">
        <v>84</v>
      </c>
      <c r="O91" t="s">
        <v>280</v>
      </c>
      <c r="P91" t="s">
        <v>84</v>
      </c>
      <c r="Q91" t="s">
        <v>184</v>
      </c>
      <c r="R91" s="3">
        <v>43922</v>
      </c>
      <c r="S91" t="s">
        <v>0</v>
      </c>
      <c r="T91" t="s">
        <v>86</v>
      </c>
      <c r="U91" t="s">
        <v>281</v>
      </c>
      <c r="V91" t="s">
        <v>0</v>
      </c>
      <c r="W91" s="4">
        <v>28597562</v>
      </c>
      <c r="X91" t="s">
        <v>0</v>
      </c>
    </row>
    <row r="92" spans="1:24" x14ac:dyDescent="0.25">
      <c r="A92" t="s">
        <v>39</v>
      </c>
      <c r="B92" t="s">
        <v>40</v>
      </c>
      <c r="C92" t="s">
        <v>79</v>
      </c>
      <c r="D92" t="s">
        <v>80</v>
      </c>
      <c r="E92" t="s">
        <v>79</v>
      </c>
      <c r="F92" t="s">
        <v>80</v>
      </c>
      <c r="G92" s="3">
        <v>45597</v>
      </c>
      <c r="H92" s="2">
        <v>4.17</v>
      </c>
      <c r="I92" t="s">
        <v>282</v>
      </c>
      <c r="J92" t="s">
        <v>283</v>
      </c>
      <c r="K92" s="3">
        <v>44977</v>
      </c>
      <c r="L92" s="3">
        <v>44986</v>
      </c>
      <c r="M92">
        <v>2</v>
      </c>
      <c r="N92" t="s">
        <v>46</v>
      </c>
      <c r="O92" t="s">
        <v>280</v>
      </c>
      <c r="P92" t="s">
        <v>84</v>
      </c>
      <c r="Q92" t="s">
        <v>85</v>
      </c>
      <c r="R92" s="3">
        <v>44986</v>
      </c>
      <c r="S92" s="3">
        <v>45657</v>
      </c>
      <c r="T92" t="s">
        <v>86</v>
      </c>
      <c r="U92" t="s">
        <v>284</v>
      </c>
      <c r="V92" t="s">
        <v>0</v>
      </c>
      <c r="W92" s="4">
        <v>36585521</v>
      </c>
      <c r="X92" t="s">
        <v>0</v>
      </c>
    </row>
    <row r="93" spans="1:24" x14ac:dyDescent="0.25">
      <c r="A93" t="s">
        <v>39</v>
      </c>
      <c r="B93" t="s">
        <v>40</v>
      </c>
      <c r="C93" t="s">
        <v>168</v>
      </c>
      <c r="D93" t="s">
        <v>169</v>
      </c>
      <c r="E93" t="s">
        <v>168</v>
      </c>
      <c r="F93" t="s">
        <v>169</v>
      </c>
      <c r="G93" s="3">
        <v>45597</v>
      </c>
      <c r="H93" s="2">
        <v>4.17</v>
      </c>
      <c r="I93" t="s">
        <v>285</v>
      </c>
      <c r="J93" t="s">
        <v>286</v>
      </c>
      <c r="K93" s="3">
        <v>44980</v>
      </c>
      <c r="L93" s="3">
        <v>44986</v>
      </c>
      <c r="M93">
        <v>2</v>
      </c>
      <c r="N93" t="s">
        <v>55</v>
      </c>
      <c r="O93" t="s">
        <v>45</v>
      </c>
      <c r="P93" t="s">
        <v>84</v>
      </c>
      <c r="Q93" t="s">
        <v>85</v>
      </c>
      <c r="R93" s="3">
        <v>44986</v>
      </c>
      <c r="S93" t="s">
        <v>0</v>
      </c>
      <c r="T93" t="s">
        <v>86</v>
      </c>
      <c r="U93" t="s">
        <v>95</v>
      </c>
      <c r="V93" t="s">
        <v>0</v>
      </c>
      <c r="W93" s="4">
        <v>36599160</v>
      </c>
      <c r="X93" t="s">
        <v>0</v>
      </c>
    </row>
    <row r="94" spans="1:24" x14ac:dyDescent="0.25">
      <c r="A94" t="s">
        <v>39</v>
      </c>
      <c r="B94" t="s">
        <v>40</v>
      </c>
      <c r="C94" t="s">
        <v>168</v>
      </c>
      <c r="D94" t="s">
        <v>169</v>
      </c>
      <c r="E94" t="s">
        <v>168</v>
      </c>
      <c r="F94" t="s">
        <v>169</v>
      </c>
      <c r="G94" s="3">
        <v>45597</v>
      </c>
      <c r="H94" s="2">
        <v>4.17</v>
      </c>
      <c r="I94" t="s">
        <v>287</v>
      </c>
      <c r="J94" t="s">
        <v>288</v>
      </c>
      <c r="K94" s="3">
        <v>44986</v>
      </c>
      <c r="L94" s="3">
        <v>45017</v>
      </c>
      <c r="M94">
        <v>2</v>
      </c>
      <c r="N94" t="s">
        <v>55</v>
      </c>
      <c r="O94" t="s">
        <v>45</v>
      </c>
      <c r="P94" t="s">
        <v>84</v>
      </c>
      <c r="Q94" t="s">
        <v>85</v>
      </c>
      <c r="R94" s="3">
        <v>45017</v>
      </c>
      <c r="S94" t="s">
        <v>0</v>
      </c>
      <c r="T94" t="s">
        <v>86</v>
      </c>
      <c r="U94" t="s">
        <v>95</v>
      </c>
      <c r="V94" t="s">
        <v>0</v>
      </c>
      <c r="W94" s="4">
        <v>36620617</v>
      </c>
      <c r="X94" t="s">
        <v>0</v>
      </c>
    </row>
    <row r="95" spans="1:24" x14ac:dyDescent="0.25">
      <c r="A95" t="s">
        <v>39</v>
      </c>
      <c r="B95" t="s">
        <v>40</v>
      </c>
      <c r="C95" t="s">
        <v>168</v>
      </c>
      <c r="D95" t="s">
        <v>169</v>
      </c>
      <c r="E95" t="s">
        <v>168</v>
      </c>
      <c r="F95" t="s">
        <v>169</v>
      </c>
      <c r="G95" s="3">
        <v>45597</v>
      </c>
      <c r="H95" s="2">
        <v>4.17</v>
      </c>
      <c r="I95" t="s">
        <v>289</v>
      </c>
      <c r="J95" t="s">
        <v>290</v>
      </c>
      <c r="K95" s="3">
        <v>44998</v>
      </c>
      <c r="L95" s="3">
        <v>45017</v>
      </c>
      <c r="M95">
        <v>2</v>
      </c>
      <c r="N95" t="s">
        <v>55</v>
      </c>
      <c r="O95" t="s">
        <v>45</v>
      </c>
      <c r="P95" t="s">
        <v>84</v>
      </c>
      <c r="Q95" t="s">
        <v>85</v>
      </c>
      <c r="R95" s="3">
        <v>45017</v>
      </c>
      <c r="S95" t="s">
        <v>0</v>
      </c>
      <c r="T95" t="s">
        <v>86</v>
      </c>
      <c r="U95" t="s">
        <v>95</v>
      </c>
      <c r="V95" t="s">
        <v>0</v>
      </c>
      <c r="W95" s="4">
        <v>36665350</v>
      </c>
      <c r="X95" t="s">
        <v>0</v>
      </c>
    </row>
    <row r="96" spans="1:24" x14ac:dyDescent="0.25">
      <c r="A96" t="s">
        <v>39</v>
      </c>
      <c r="B96" t="s">
        <v>40</v>
      </c>
      <c r="C96" t="s">
        <v>168</v>
      </c>
      <c r="D96" t="s">
        <v>169</v>
      </c>
      <c r="E96" t="s">
        <v>168</v>
      </c>
      <c r="F96" t="s">
        <v>169</v>
      </c>
      <c r="G96" s="3">
        <v>45597</v>
      </c>
      <c r="H96" s="2">
        <v>4.17</v>
      </c>
      <c r="I96" t="s">
        <v>291</v>
      </c>
      <c r="J96" t="s">
        <v>292</v>
      </c>
      <c r="K96" s="3">
        <v>45013</v>
      </c>
      <c r="L96" s="3">
        <v>45078</v>
      </c>
      <c r="M96">
        <v>2</v>
      </c>
      <c r="N96" t="s">
        <v>55</v>
      </c>
      <c r="O96" t="s">
        <v>45</v>
      </c>
      <c r="P96" t="s">
        <v>84</v>
      </c>
      <c r="Q96" t="s">
        <v>85</v>
      </c>
      <c r="R96" s="3">
        <v>45078</v>
      </c>
      <c r="S96" t="s">
        <v>0</v>
      </c>
      <c r="T96" t="s">
        <v>86</v>
      </c>
      <c r="U96" t="s">
        <v>95</v>
      </c>
      <c r="V96" t="s">
        <v>0</v>
      </c>
      <c r="W96" s="4">
        <v>36710984</v>
      </c>
      <c r="X96" t="s">
        <v>0</v>
      </c>
    </row>
    <row r="97" spans="1:24" x14ac:dyDescent="0.25">
      <c r="A97" t="s">
        <v>39</v>
      </c>
      <c r="B97" t="s">
        <v>40</v>
      </c>
      <c r="C97" t="s">
        <v>168</v>
      </c>
      <c r="D97" t="s">
        <v>169</v>
      </c>
      <c r="E97" t="s">
        <v>168</v>
      </c>
      <c r="F97" t="s">
        <v>169</v>
      </c>
      <c r="G97" s="3">
        <v>45597</v>
      </c>
      <c r="H97" s="2">
        <v>4.17</v>
      </c>
      <c r="I97" t="s">
        <v>293</v>
      </c>
      <c r="J97" t="s">
        <v>294</v>
      </c>
      <c r="K97" s="3">
        <v>45019</v>
      </c>
      <c r="L97" s="3">
        <v>45047</v>
      </c>
      <c r="M97">
        <v>2</v>
      </c>
      <c r="N97" t="s">
        <v>55</v>
      </c>
      <c r="O97" t="s">
        <v>45</v>
      </c>
      <c r="P97" t="s">
        <v>84</v>
      </c>
      <c r="Q97" t="s">
        <v>184</v>
      </c>
      <c r="R97" s="3">
        <v>45047</v>
      </c>
      <c r="S97" t="s">
        <v>0</v>
      </c>
      <c r="T97" t="s">
        <v>86</v>
      </c>
      <c r="U97" t="s">
        <v>194</v>
      </c>
      <c r="V97" t="s">
        <v>0</v>
      </c>
      <c r="W97" s="4">
        <v>36733833</v>
      </c>
      <c r="X97" t="s">
        <v>0</v>
      </c>
    </row>
    <row r="98" spans="1:24" x14ac:dyDescent="0.25">
      <c r="A98" t="s">
        <v>39</v>
      </c>
      <c r="B98" t="s">
        <v>40</v>
      </c>
      <c r="C98" t="s">
        <v>51</v>
      </c>
      <c r="D98" t="s">
        <v>52</v>
      </c>
      <c r="E98" t="s">
        <v>51</v>
      </c>
      <c r="F98" t="s">
        <v>52</v>
      </c>
      <c r="G98" s="3">
        <v>45597</v>
      </c>
      <c r="H98" s="2">
        <v>4.17</v>
      </c>
      <c r="I98" t="s">
        <v>295</v>
      </c>
      <c r="J98" t="s">
        <v>296</v>
      </c>
      <c r="K98" s="3">
        <v>45022</v>
      </c>
      <c r="L98" s="3">
        <v>45047</v>
      </c>
      <c r="M98">
        <v>2</v>
      </c>
      <c r="N98" t="s">
        <v>55</v>
      </c>
      <c r="O98" t="s">
        <v>297</v>
      </c>
      <c r="P98" t="s">
        <v>84</v>
      </c>
      <c r="Q98" t="s">
        <v>85</v>
      </c>
      <c r="R98" s="3">
        <v>45047</v>
      </c>
      <c r="S98" t="s">
        <v>0</v>
      </c>
      <c r="T98" t="s">
        <v>86</v>
      </c>
      <c r="U98" t="s">
        <v>298</v>
      </c>
      <c r="V98" t="s">
        <v>0</v>
      </c>
      <c r="W98" s="4">
        <v>36752013</v>
      </c>
      <c r="X98" t="s">
        <v>0</v>
      </c>
    </row>
    <row r="99" spans="1:24" x14ac:dyDescent="0.25">
      <c r="A99" t="s">
        <v>39</v>
      </c>
      <c r="B99" t="s">
        <v>40</v>
      </c>
      <c r="C99" t="s">
        <v>79</v>
      </c>
      <c r="D99" t="s">
        <v>80</v>
      </c>
      <c r="E99" t="s">
        <v>79</v>
      </c>
      <c r="F99" t="s">
        <v>80</v>
      </c>
      <c r="G99" s="3">
        <v>45597</v>
      </c>
      <c r="H99" s="2">
        <v>4.17</v>
      </c>
      <c r="I99" t="s">
        <v>299</v>
      </c>
      <c r="J99" t="s">
        <v>300</v>
      </c>
      <c r="K99" s="3">
        <v>45027</v>
      </c>
      <c r="L99" s="3">
        <v>45078</v>
      </c>
      <c r="M99">
        <v>2</v>
      </c>
      <c r="N99" t="s">
        <v>55</v>
      </c>
      <c r="O99" t="s">
        <v>102</v>
      </c>
      <c r="P99" t="s">
        <v>84</v>
      </c>
      <c r="Q99" t="s">
        <v>85</v>
      </c>
      <c r="R99" s="3">
        <v>45078</v>
      </c>
      <c r="S99" t="s">
        <v>0</v>
      </c>
      <c r="T99" t="s">
        <v>86</v>
      </c>
      <c r="U99" t="s">
        <v>103</v>
      </c>
      <c r="V99" t="s">
        <v>0</v>
      </c>
      <c r="W99" s="4">
        <v>36763327</v>
      </c>
      <c r="X99" t="s">
        <v>0</v>
      </c>
    </row>
    <row r="100" spans="1:24" x14ac:dyDescent="0.25">
      <c r="A100" t="s">
        <v>39</v>
      </c>
      <c r="B100" t="s">
        <v>40</v>
      </c>
      <c r="C100" t="s">
        <v>168</v>
      </c>
      <c r="D100" t="s">
        <v>169</v>
      </c>
      <c r="E100" t="s">
        <v>168</v>
      </c>
      <c r="F100" t="s">
        <v>169</v>
      </c>
      <c r="G100" s="3">
        <v>45597</v>
      </c>
      <c r="H100" s="2">
        <v>4.17</v>
      </c>
      <c r="I100" t="s">
        <v>301</v>
      </c>
      <c r="J100" t="s">
        <v>302</v>
      </c>
      <c r="K100" s="3">
        <v>45037</v>
      </c>
      <c r="L100" s="3">
        <v>45047</v>
      </c>
      <c r="M100">
        <v>2</v>
      </c>
      <c r="N100" t="s">
        <v>55</v>
      </c>
      <c r="O100" t="s">
        <v>45</v>
      </c>
      <c r="P100" t="s">
        <v>84</v>
      </c>
      <c r="Q100" t="s">
        <v>85</v>
      </c>
      <c r="R100" s="3">
        <v>45047</v>
      </c>
      <c r="S100" t="s">
        <v>0</v>
      </c>
      <c r="T100" t="s">
        <v>86</v>
      </c>
      <c r="U100" t="s">
        <v>95</v>
      </c>
      <c r="V100" t="s">
        <v>0</v>
      </c>
      <c r="W100" s="4">
        <v>36793056</v>
      </c>
      <c r="X100" t="s">
        <v>0</v>
      </c>
    </row>
    <row r="101" spans="1:24" x14ac:dyDescent="0.25">
      <c r="A101" t="s">
        <v>39</v>
      </c>
      <c r="B101" t="s">
        <v>40</v>
      </c>
      <c r="C101" t="s">
        <v>168</v>
      </c>
      <c r="D101" t="s">
        <v>169</v>
      </c>
      <c r="E101" t="s">
        <v>168</v>
      </c>
      <c r="F101" t="s">
        <v>169</v>
      </c>
      <c r="G101" s="3">
        <v>45597</v>
      </c>
      <c r="H101" s="2">
        <v>4.17</v>
      </c>
      <c r="I101" t="s">
        <v>303</v>
      </c>
      <c r="J101" t="s">
        <v>304</v>
      </c>
      <c r="K101" s="3">
        <v>45040</v>
      </c>
      <c r="L101" s="3">
        <v>45078</v>
      </c>
      <c r="M101">
        <v>2</v>
      </c>
      <c r="N101" t="s">
        <v>55</v>
      </c>
      <c r="O101" t="s">
        <v>45</v>
      </c>
      <c r="P101" t="s">
        <v>84</v>
      </c>
      <c r="Q101" t="s">
        <v>85</v>
      </c>
      <c r="R101" s="3">
        <v>45078</v>
      </c>
      <c r="S101" t="s">
        <v>0</v>
      </c>
      <c r="T101" t="s">
        <v>86</v>
      </c>
      <c r="U101" t="s">
        <v>95</v>
      </c>
      <c r="V101" t="s">
        <v>0</v>
      </c>
      <c r="W101" s="4">
        <v>36804512</v>
      </c>
      <c r="X101" t="s">
        <v>0</v>
      </c>
    </row>
    <row r="102" spans="1:24" x14ac:dyDescent="0.25">
      <c r="A102" t="s">
        <v>39</v>
      </c>
      <c r="B102" t="s">
        <v>40</v>
      </c>
      <c r="C102" t="s">
        <v>168</v>
      </c>
      <c r="D102" t="s">
        <v>169</v>
      </c>
      <c r="E102" t="s">
        <v>168</v>
      </c>
      <c r="F102" t="s">
        <v>169</v>
      </c>
      <c r="G102" s="3">
        <v>45597</v>
      </c>
      <c r="H102" s="2">
        <v>4.17</v>
      </c>
      <c r="I102" t="s">
        <v>305</v>
      </c>
      <c r="J102" t="s">
        <v>306</v>
      </c>
      <c r="K102" s="3">
        <v>45050</v>
      </c>
      <c r="L102" s="3">
        <v>45078</v>
      </c>
      <c r="M102">
        <v>2</v>
      </c>
      <c r="N102" t="s">
        <v>55</v>
      </c>
      <c r="O102" t="s">
        <v>45</v>
      </c>
      <c r="P102" t="s">
        <v>84</v>
      </c>
      <c r="Q102" t="s">
        <v>85</v>
      </c>
      <c r="R102" s="3">
        <v>45078</v>
      </c>
      <c r="S102" t="s">
        <v>0</v>
      </c>
      <c r="T102" t="s">
        <v>86</v>
      </c>
      <c r="U102" t="s">
        <v>95</v>
      </c>
      <c r="V102" t="s">
        <v>0</v>
      </c>
      <c r="W102" s="4">
        <v>36839187</v>
      </c>
      <c r="X102" t="s">
        <v>0</v>
      </c>
    </row>
    <row r="103" spans="1:24" x14ac:dyDescent="0.25">
      <c r="A103" t="s">
        <v>39</v>
      </c>
      <c r="B103" t="s">
        <v>40</v>
      </c>
      <c r="C103" t="s">
        <v>307</v>
      </c>
      <c r="D103" t="s">
        <v>308</v>
      </c>
      <c r="E103" t="s">
        <v>307</v>
      </c>
      <c r="F103" t="s">
        <v>308</v>
      </c>
      <c r="G103" s="3">
        <v>45597</v>
      </c>
      <c r="H103" s="2">
        <v>4.17</v>
      </c>
      <c r="I103" t="s">
        <v>309</v>
      </c>
      <c r="J103" t="s">
        <v>310</v>
      </c>
      <c r="K103" s="3">
        <v>45065</v>
      </c>
      <c r="L103" s="3">
        <v>45139</v>
      </c>
      <c r="M103">
        <v>2</v>
      </c>
      <c r="N103" t="s">
        <v>55</v>
      </c>
      <c r="O103" t="s">
        <v>45</v>
      </c>
      <c r="P103" t="s">
        <v>84</v>
      </c>
      <c r="Q103" t="s">
        <v>85</v>
      </c>
      <c r="R103" s="3">
        <v>45139</v>
      </c>
      <c r="S103" t="s">
        <v>0</v>
      </c>
      <c r="T103" t="s">
        <v>86</v>
      </c>
      <c r="U103" t="s">
        <v>95</v>
      </c>
      <c r="V103" t="s">
        <v>0</v>
      </c>
      <c r="W103" s="4">
        <v>36896290</v>
      </c>
      <c r="X103" t="s">
        <v>0</v>
      </c>
    </row>
    <row r="104" spans="1:24" x14ac:dyDescent="0.25">
      <c r="A104" t="s">
        <v>39</v>
      </c>
      <c r="B104" t="s">
        <v>40</v>
      </c>
      <c r="C104" t="s">
        <v>79</v>
      </c>
      <c r="D104" t="s">
        <v>80</v>
      </c>
      <c r="E104" t="s">
        <v>79</v>
      </c>
      <c r="F104" t="s">
        <v>80</v>
      </c>
      <c r="G104" s="3">
        <v>45597</v>
      </c>
      <c r="H104" s="2">
        <v>4.17</v>
      </c>
      <c r="I104" t="s">
        <v>311</v>
      </c>
      <c r="J104" t="s">
        <v>312</v>
      </c>
      <c r="K104" s="3">
        <v>45069</v>
      </c>
      <c r="L104" s="3">
        <v>45139</v>
      </c>
      <c r="M104">
        <v>2</v>
      </c>
      <c r="N104" t="s">
        <v>55</v>
      </c>
      <c r="O104" t="s">
        <v>102</v>
      </c>
      <c r="P104" t="s">
        <v>84</v>
      </c>
      <c r="Q104" t="s">
        <v>85</v>
      </c>
      <c r="R104" s="3">
        <v>45139</v>
      </c>
      <c r="S104" t="s">
        <v>0</v>
      </c>
      <c r="T104" t="s">
        <v>86</v>
      </c>
      <c r="U104" t="s">
        <v>103</v>
      </c>
      <c r="V104" t="s">
        <v>0</v>
      </c>
      <c r="W104" s="4">
        <v>36908682</v>
      </c>
      <c r="X104" t="s">
        <v>0</v>
      </c>
    </row>
    <row r="105" spans="1:24" x14ac:dyDescent="0.25">
      <c r="A105" t="s">
        <v>39</v>
      </c>
      <c r="B105" t="s">
        <v>40</v>
      </c>
      <c r="C105" t="s">
        <v>168</v>
      </c>
      <c r="D105" t="s">
        <v>169</v>
      </c>
      <c r="E105" t="s">
        <v>168</v>
      </c>
      <c r="F105" t="s">
        <v>169</v>
      </c>
      <c r="G105" s="3">
        <v>45597</v>
      </c>
      <c r="H105" s="2">
        <v>4.17</v>
      </c>
      <c r="I105" t="s">
        <v>313</v>
      </c>
      <c r="J105" t="s">
        <v>314</v>
      </c>
      <c r="K105" s="3">
        <v>45070</v>
      </c>
      <c r="L105" s="3">
        <v>45108</v>
      </c>
      <c r="M105">
        <v>2</v>
      </c>
      <c r="N105" t="s">
        <v>55</v>
      </c>
      <c r="O105" t="s">
        <v>45</v>
      </c>
      <c r="P105" t="s">
        <v>84</v>
      </c>
      <c r="Q105" t="s">
        <v>85</v>
      </c>
      <c r="R105" s="3">
        <v>45108</v>
      </c>
      <c r="S105" t="s">
        <v>0</v>
      </c>
      <c r="T105" t="s">
        <v>86</v>
      </c>
      <c r="U105" t="s">
        <v>95</v>
      </c>
      <c r="V105" t="s">
        <v>0</v>
      </c>
      <c r="W105" s="4">
        <v>36916499</v>
      </c>
      <c r="X105" t="s">
        <v>0</v>
      </c>
    </row>
    <row r="106" spans="1:24" x14ac:dyDescent="0.25">
      <c r="A106" t="s">
        <v>39</v>
      </c>
      <c r="B106" t="s">
        <v>40</v>
      </c>
      <c r="C106" t="s">
        <v>315</v>
      </c>
      <c r="D106" t="s">
        <v>316</v>
      </c>
      <c r="E106" t="s">
        <v>315</v>
      </c>
      <c r="F106" t="s">
        <v>316</v>
      </c>
      <c r="G106" s="3">
        <v>45597</v>
      </c>
      <c r="H106" s="2">
        <v>4.17</v>
      </c>
      <c r="I106" t="s">
        <v>317</v>
      </c>
      <c r="J106" t="s">
        <v>318</v>
      </c>
      <c r="K106" s="3">
        <v>45076</v>
      </c>
      <c r="L106" s="3">
        <v>45139</v>
      </c>
      <c r="M106">
        <v>2</v>
      </c>
      <c r="N106" t="s">
        <v>55</v>
      </c>
      <c r="O106" t="s">
        <v>92</v>
      </c>
      <c r="P106" t="s">
        <v>84</v>
      </c>
      <c r="Q106" t="s">
        <v>85</v>
      </c>
      <c r="R106" s="3">
        <v>45139</v>
      </c>
      <c r="S106" t="s">
        <v>0</v>
      </c>
      <c r="T106" t="s">
        <v>86</v>
      </c>
      <c r="U106" t="s">
        <v>87</v>
      </c>
      <c r="V106" t="s">
        <v>0</v>
      </c>
      <c r="W106" s="4">
        <v>36934349</v>
      </c>
      <c r="X106" t="s">
        <v>0</v>
      </c>
    </row>
    <row r="107" spans="1:24" x14ac:dyDescent="0.25">
      <c r="A107" t="s">
        <v>39</v>
      </c>
      <c r="B107" t="s">
        <v>40</v>
      </c>
      <c r="C107" t="s">
        <v>168</v>
      </c>
      <c r="D107" t="s">
        <v>169</v>
      </c>
      <c r="E107" t="s">
        <v>168</v>
      </c>
      <c r="F107" t="s">
        <v>169</v>
      </c>
      <c r="G107" s="3">
        <v>45597</v>
      </c>
      <c r="H107" s="2">
        <v>4.17</v>
      </c>
      <c r="I107" t="s">
        <v>319</v>
      </c>
      <c r="J107" t="s">
        <v>320</v>
      </c>
      <c r="K107" s="3">
        <v>45078</v>
      </c>
      <c r="L107" s="3">
        <v>45108</v>
      </c>
      <c r="M107">
        <v>2</v>
      </c>
      <c r="N107" t="s">
        <v>55</v>
      </c>
      <c r="O107" t="s">
        <v>45</v>
      </c>
      <c r="P107" t="s">
        <v>84</v>
      </c>
      <c r="Q107" t="s">
        <v>85</v>
      </c>
      <c r="R107" s="3">
        <v>45108</v>
      </c>
      <c r="S107" t="s">
        <v>0</v>
      </c>
      <c r="T107" t="s">
        <v>86</v>
      </c>
      <c r="U107" t="s">
        <v>95</v>
      </c>
      <c r="V107" t="s">
        <v>0</v>
      </c>
      <c r="W107" s="4">
        <v>36951392</v>
      </c>
      <c r="X107" t="s">
        <v>0</v>
      </c>
    </row>
    <row r="108" spans="1:24" x14ac:dyDescent="0.25">
      <c r="A108" t="s">
        <v>39</v>
      </c>
      <c r="B108" t="s">
        <v>40</v>
      </c>
      <c r="C108" t="s">
        <v>307</v>
      </c>
      <c r="D108" t="s">
        <v>308</v>
      </c>
      <c r="E108" t="s">
        <v>307</v>
      </c>
      <c r="F108" t="s">
        <v>308</v>
      </c>
      <c r="G108" s="3">
        <v>45597</v>
      </c>
      <c r="H108" s="2">
        <v>4.17</v>
      </c>
      <c r="I108" t="s">
        <v>321</v>
      </c>
      <c r="J108" t="s">
        <v>322</v>
      </c>
      <c r="K108" s="3">
        <v>45082</v>
      </c>
      <c r="L108" s="3">
        <v>45108</v>
      </c>
      <c r="M108">
        <v>2</v>
      </c>
      <c r="N108" t="s">
        <v>55</v>
      </c>
      <c r="O108" t="s">
        <v>45</v>
      </c>
      <c r="P108" t="s">
        <v>84</v>
      </c>
      <c r="Q108" t="s">
        <v>85</v>
      </c>
      <c r="R108" s="3">
        <v>45108</v>
      </c>
      <c r="S108" t="s">
        <v>0</v>
      </c>
      <c r="T108" t="s">
        <v>86</v>
      </c>
      <c r="U108" t="s">
        <v>95</v>
      </c>
      <c r="V108" t="s">
        <v>0</v>
      </c>
      <c r="W108" s="4">
        <v>36968948</v>
      </c>
      <c r="X108" t="s">
        <v>0</v>
      </c>
    </row>
    <row r="109" spans="1:24" x14ac:dyDescent="0.25">
      <c r="A109" t="s">
        <v>39</v>
      </c>
      <c r="B109" t="s">
        <v>40</v>
      </c>
      <c r="C109" t="s">
        <v>307</v>
      </c>
      <c r="D109" t="s">
        <v>308</v>
      </c>
      <c r="E109" t="s">
        <v>307</v>
      </c>
      <c r="F109" t="s">
        <v>308</v>
      </c>
      <c r="G109" s="3">
        <v>45597</v>
      </c>
      <c r="H109" s="2">
        <v>4.17</v>
      </c>
      <c r="I109" t="s">
        <v>323</v>
      </c>
      <c r="J109" t="s">
        <v>324</v>
      </c>
      <c r="K109" s="3">
        <v>45090</v>
      </c>
      <c r="L109" s="3">
        <v>45170</v>
      </c>
      <c r="M109">
        <v>2</v>
      </c>
      <c r="N109" t="s">
        <v>55</v>
      </c>
      <c r="O109" t="s">
        <v>45</v>
      </c>
      <c r="P109" t="s">
        <v>84</v>
      </c>
      <c r="Q109" t="s">
        <v>184</v>
      </c>
      <c r="R109" s="3">
        <v>45170</v>
      </c>
      <c r="S109" s="3">
        <v>45657</v>
      </c>
      <c r="T109" t="s">
        <v>86</v>
      </c>
      <c r="U109" t="s">
        <v>194</v>
      </c>
      <c r="V109" t="s">
        <v>0</v>
      </c>
      <c r="W109" s="4">
        <v>37000295</v>
      </c>
      <c r="X109" t="s">
        <v>0</v>
      </c>
    </row>
    <row r="110" spans="1:24" x14ac:dyDescent="0.25">
      <c r="A110" t="s">
        <v>39</v>
      </c>
      <c r="B110" t="s">
        <v>40</v>
      </c>
      <c r="C110" t="s">
        <v>79</v>
      </c>
      <c r="D110" t="s">
        <v>80</v>
      </c>
      <c r="E110" t="s">
        <v>79</v>
      </c>
      <c r="F110" t="s">
        <v>80</v>
      </c>
      <c r="G110" s="3">
        <v>45597</v>
      </c>
      <c r="H110" s="2">
        <v>4.17</v>
      </c>
      <c r="I110" t="s">
        <v>325</v>
      </c>
      <c r="J110" t="s">
        <v>326</v>
      </c>
      <c r="K110" s="3">
        <v>45097</v>
      </c>
      <c r="L110" s="3">
        <v>45108</v>
      </c>
      <c r="M110">
        <v>5</v>
      </c>
      <c r="N110" t="s">
        <v>84</v>
      </c>
      <c r="O110" t="s">
        <v>280</v>
      </c>
      <c r="P110" t="s">
        <v>84</v>
      </c>
      <c r="Q110" t="s">
        <v>184</v>
      </c>
      <c r="R110" s="3">
        <v>44013</v>
      </c>
      <c r="S110" s="3">
        <v>45657</v>
      </c>
      <c r="T110" t="s">
        <v>86</v>
      </c>
      <c r="U110" t="s">
        <v>281</v>
      </c>
      <c r="V110" t="s">
        <v>0</v>
      </c>
      <c r="W110" s="4">
        <v>29190636</v>
      </c>
      <c r="X110" t="s">
        <v>0</v>
      </c>
    </row>
    <row r="111" spans="1:24" x14ac:dyDescent="0.25">
      <c r="A111" t="s">
        <v>39</v>
      </c>
      <c r="B111" t="s">
        <v>40</v>
      </c>
      <c r="C111" t="s">
        <v>79</v>
      </c>
      <c r="D111" t="s">
        <v>80</v>
      </c>
      <c r="E111" t="s">
        <v>79</v>
      </c>
      <c r="F111" t="s">
        <v>80</v>
      </c>
      <c r="G111" s="3">
        <v>45597</v>
      </c>
      <c r="H111" s="2">
        <v>4.17</v>
      </c>
      <c r="I111" t="s">
        <v>327</v>
      </c>
      <c r="J111" t="s">
        <v>328</v>
      </c>
      <c r="K111" s="3">
        <v>45099</v>
      </c>
      <c r="L111" s="3">
        <v>45108</v>
      </c>
      <c r="M111">
        <v>2</v>
      </c>
      <c r="N111" t="s">
        <v>55</v>
      </c>
      <c r="O111" t="s">
        <v>102</v>
      </c>
      <c r="P111" t="s">
        <v>84</v>
      </c>
      <c r="Q111" t="s">
        <v>85</v>
      </c>
      <c r="R111" s="3">
        <v>45108</v>
      </c>
      <c r="S111" t="s">
        <v>0</v>
      </c>
      <c r="T111" t="s">
        <v>86</v>
      </c>
      <c r="U111" t="s">
        <v>103</v>
      </c>
      <c r="V111" t="s">
        <v>0</v>
      </c>
      <c r="W111" s="4">
        <v>37028200</v>
      </c>
      <c r="X111" t="s">
        <v>0</v>
      </c>
    </row>
    <row r="112" spans="1:24" x14ac:dyDescent="0.25">
      <c r="A112" t="s">
        <v>39</v>
      </c>
      <c r="B112" t="s">
        <v>40</v>
      </c>
      <c r="C112" t="s">
        <v>168</v>
      </c>
      <c r="D112" t="s">
        <v>169</v>
      </c>
      <c r="E112" t="s">
        <v>168</v>
      </c>
      <c r="F112" t="s">
        <v>169</v>
      </c>
      <c r="G112" s="3">
        <v>45597</v>
      </c>
      <c r="H112" s="2">
        <v>4.17</v>
      </c>
      <c r="I112" t="s">
        <v>329</v>
      </c>
      <c r="J112" t="s">
        <v>330</v>
      </c>
      <c r="K112" s="3">
        <v>45100</v>
      </c>
      <c r="L112" s="3">
        <v>45108</v>
      </c>
      <c r="M112">
        <v>2</v>
      </c>
      <c r="N112" t="s">
        <v>55</v>
      </c>
      <c r="O112" t="s">
        <v>45</v>
      </c>
      <c r="P112" t="s">
        <v>84</v>
      </c>
      <c r="Q112" t="s">
        <v>85</v>
      </c>
      <c r="R112" s="3">
        <v>45108</v>
      </c>
      <c r="S112" t="s">
        <v>0</v>
      </c>
      <c r="T112" t="s">
        <v>86</v>
      </c>
      <c r="U112" t="s">
        <v>95</v>
      </c>
      <c r="V112" t="s">
        <v>0</v>
      </c>
      <c r="W112" s="4">
        <v>37035201</v>
      </c>
      <c r="X112" t="s">
        <v>0</v>
      </c>
    </row>
    <row r="113" spans="1:24" x14ac:dyDescent="0.25">
      <c r="A113" t="s">
        <v>39</v>
      </c>
      <c r="B113" t="s">
        <v>40</v>
      </c>
      <c r="C113" t="s">
        <v>307</v>
      </c>
      <c r="D113" t="s">
        <v>308</v>
      </c>
      <c r="E113" t="s">
        <v>307</v>
      </c>
      <c r="F113" t="s">
        <v>308</v>
      </c>
      <c r="G113" s="3">
        <v>45597</v>
      </c>
      <c r="H113" s="2">
        <v>4.17</v>
      </c>
      <c r="I113" t="s">
        <v>331</v>
      </c>
      <c r="J113" t="s">
        <v>332</v>
      </c>
      <c r="K113" s="3">
        <v>45105</v>
      </c>
      <c r="L113" s="3">
        <v>45170</v>
      </c>
      <c r="M113">
        <v>2</v>
      </c>
      <c r="N113" t="s">
        <v>55</v>
      </c>
      <c r="O113" t="s">
        <v>45</v>
      </c>
      <c r="P113" t="s">
        <v>84</v>
      </c>
      <c r="Q113" t="s">
        <v>85</v>
      </c>
      <c r="R113" s="3">
        <v>45170</v>
      </c>
      <c r="S113" t="s">
        <v>0</v>
      </c>
      <c r="T113" t="s">
        <v>86</v>
      </c>
      <c r="U113" t="s">
        <v>95</v>
      </c>
      <c r="V113" t="s">
        <v>0</v>
      </c>
      <c r="W113" s="4">
        <v>37050579</v>
      </c>
      <c r="X113" t="s">
        <v>0</v>
      </c>
    </row>
    <row r="114" spans="1:24" x14ac:dyDescent="0.25">
      <c r="A114" t="s">
        <v>39</v>
      </c>
      <c r="B114" t="s">
        <v>40</v>
      </c>
      <c r="C114" t="s">
        <v>168</v>
      </c>
      <c r="D114" t="s">
        <v>169</v>
      </c>
      <c r="E114" t="s">
        <v>168</v>
      </c>
      <c r="F114" t="s">
        <v>169</v>
      </c>
      <c r="G114" s="3">
        <v>45597</v>
      </c>
      <c r="H114" s="2">
        <v>4.17</v>
      </c>
      <c r="I114" t="s">
        <v>333</v>
      </c>
      <c r="J114" t="s">
        <v>334</v>
      </c>
      <c r="K114" s="3">
        <v>45114</v>
      </c>
      <c r="L114" s="3">
        <v>45139</v>
      </c>
      <c r="M114">
        <v>2</v>
      </c>
      <c r="N114" t="s">
        <v>55</v>
      </c>
      <c r="O114" t="s">
        <v>45</v>
      </c>
      <c r="P114" t="s">
        <v>84</v>
      </c>
      <c r="Q114" t="s">
        <v>85</v>
      </c>
      <c r="R114" s="3">
        <v>45139</v>
      </c>
      <c r="S114" t="s">
        <v>0</v>
      </c>
      <c r="T114" t="s">
        <v>86</v>
      </c>
      <c r="U114" t="s">
        <v>95</v>
      </c>
      <c r="V114" t="s">
        <v>0</v>
      </c>
      <c r="W114" s="4">
        <v>37078641</v>
      </c>
      <c r="X114" t="s">
        <v>0</v>
      </c>
    </row>
    <row r="115" spans="1:24" x14ac:dyDescent="0.25">
      <c r="A115" t="s">
        <v>39</v>
      </c>
      <c r="B115" t="s">
        <v>40</v>
      </c>
      <c r="C115" t="s">
        <v>168</v>
      </c>
      <c r="D115" t="s">
        <v>169</v>
      </c>
      <c r="E115" t="s">
        <v>168</v>
      </c>
      <c r="F115" t="s">
        <v>169</v>
      </c>
      <c r="G115" s="3">
        <v>45597</v>
      </c>
      <c r="H115" s="2">
        <v>4.17</v>
      </c>
      <c r="I115" t="s">
        <v>335</v>
      </c>
      <c r="J115" t="s">
        <v>336</v>
      </c>
      <c r="K115" s="3">
        <v>45142</v>
      </c>
      <c r="L115" s="3">
        <v>45231</v>
      </c>
      <c r="M115">
        <v>2</v>
      </c>
      <c r="N115" t="s">
        <v>55</v>
      </c>
      <c r="O115" t="s">
        <v>45</v>
      </c>
      <c r="P115" t="s">
        <v>84</v>
      </c>
      <c r="Q115" t="s">
        <v>85</v>
      </c>
      <c r="R115" s="3">
        <v>45231</v>
      </c>
      <c r="S115" t="s">
        <v>0</v>
      </c>
      <c r="T115" t="s">
        <v>86</v>
      </c>
      <c r="U115" t="s">
        <v>95</v>
      </c>
      <c r="V115" t="s">
        <v>0</v>
      </c>
      <c r="W115" s="4">
        <v>37181665</v>
      </c>
      <c r="X115" t="s">
        <v>0</v>
      </c>
    </row>
    <row r="116" spans="1:24" x14ac:dyDescent="0.25">
      <c r="A116" t="s">
        <v>39</v>
      </c>
      <c r="B116" t="s">
        <v>40</v>
      </c>
      <c r="C116" t="s">
        <v>168</v>
      </c>
      <c r="D116" t="s">
        <v>169</v>
      </c>
      <c r="E116" t="s">
        <v>168</v>
      </c>
      <c r="F116" t="s">
        <v>169</v>
      </c>
      <c r="G116" s="3">
        <v>45597</v>
      </c>
      <c r="H116" s="2">
        <v>4.17</v>
      </c>
      <c r="I116" t="s">
        <v>337</v>
      </c>
      <c r="J116" t="s">
        <v>338</v>
      </c>
      <c r="K116" s="3">
        <v>45153</v>
      </c>
      <c r="L116" s="3">
        <v>45200</v>
      </c>
      <c r="M116">
        <v>2</v>
      </c>
      <c r="N116" t="s">
        <v>55</v>
      </c>
      <c r="O116" t="s">
        <v>45</v>
      </c>
      <c r="P116" t="s">
        <v>84</v>
      </c>
      <c r="Q116" t="s">
        <v>85</v>
      </c>
      <c r="R116" s="3">
        <v>45200</v>
      </c>
      <c r="S116" t="s">
        <v>0</v>
      </c>
      <c r="T116" t="s">
        <v>86</v>
      </c>
      <c r="U116" t="s">
        <v>95</v>
      </c>
      <c r="V116" t="s">
        <v>0</v>
      </c>
      <c r="W116" s="4">
        <v>37212260</v>
      </c>
      <c r="X116" t="s">
        <v>0</v>
      </c>
    </row>
    <row r="117" spans="1:24" x14ac:dyDescent="0.25">
      <c r="A117" t="s">
        <v>39</v>
      </c>
      <c r="B117" t="s">
        <v>40</v>
      </c>
      <c r="C117" t="s">
        <v>41</v>
      </c>
      <c r="D117" t="s">
        <v>42</v>
      </c>
      <c r="E117" t="s">
        <v>41</v>
      </c>
      <c r="F117" t="s">
        <v>42</v>
      </c>
      <c r="G117" s="3">
        <v>45597</v>
      </c>
      <c r="H117" s="2">
        <v>4.17</v>
      </c>
      <c r="I117" t="s">
        <v>339</v>
      </c>
      <c r="J117" t="s">
        <v>340</v>
      </c>
      <c r="K117" s="3">
        <v>45166</v>
      </c>
      <c r="L117" s="3">
        <v>45200</v>
      </c>
      <c r="M117">
        <v>2</v>
      </c>
      <c r="N117" t="s">
        <v>55</v>
      </c>
      <c r="O117" t="s">
        <v>56</v>
      </c>
      <c r="P117" t="s">
        <v>84</v>
      </c>
      <c r="Q117" t="s">
        <v>85</v>
      </c>
      <c r="R117" s="3">
        <v>45200</v>
      </c>
      <c r="S117" t="s">
        <v>0</v>
      </c>
      <c r="T117" t="s">
        <v>86</v>
      </c>
      <c r="U117" t="s">
        <v>114</v>
      </c>
      <c r="V117" t="s">
        <v>0</v>
      </c>
      <c r="W117" s="4">
        <v>37256922</v>
      </c>
      <c r="X117" t="s">
        <v>0</v>
      </c>
    </row>
    <row r="118" spans="1:24" x14ac:dyDescent="0.25">
      <c r="A118" t="s">
        <v>39</v>
      </c>
      <c r="B118" t="s">
        <v>40</v>
      </c>
      <c r="C118" t="s">
        <v>168</v>
      </c>
      <c r="D118" t="s">
        <v>169</v>
      </c>
      <c r="E118" t="s">
        <v>168</v>
      </c>
      <c r="F118" t="s">
        <v>169</v>
      </c>
      <c r="G118" s="3">
        <v>45597</v>
      </c>
      <c r="H118" s="2">
        <v>4.17</v>
      </c>
      <c r="I118" t="s">
        <v>341</v>
      </c>
      <c r="J118" t="s">
        <v>342</v>
      </c>
      <c r="K118" s="3">
        <v>45167</v>
      </c>
      <c r="L118" s="3">
        <v>45200</v>
      </c>
      <c r="M118">
        <v>2</v>
      </c>
      <c r="N118" t="s">
        <v>55</v>
      </c>
      <c r="O118" t="s">
        <v>83</v>
      </c>
      <c r="P118" t="s">
        <v>84</v>
      </c>
      <c r="Q118" t="s">
        <v>85</v>
      </c>
      <c r="R118" s="3">
        <v>45200</v>
      </c>
      <c r="S118" t="s">
        <v>0</v>
      </c>
      <c r="T118" t="s">
        <v>86</v>
      </c>
      <c r="U118" t="s">
        <v>87</v>
      </c>
      <c r="V118" t="s">
        <v>0</v>
      </c>
      <c r="W118" s="4">
        <v>37265249</v>
      </c>
      <c r="X118" t="s">
        <v>0</v>
      </c>
    </row>
    <row r="119" spans="1:24" x14ac:dyDescent="0.25">
      <c r="A119" t="s">
        <v>39</v>
      </c>
      <c r="B119" t="s">
        <v>40</v>
      </c>
      <c r="C119" t="s">
        <v>168</v>
      </c>
      <c r="D119" t="s">
        <v>169</v>
      </c>
      <c r="E119" t="s">
        <v>168</v>
      </c>
      <c r="F119" t="s">
        <v>169</v>
      </c>
      <c r="G119" s="3">
        <v>45597</v>
      </c>
      <c r="H119" s="2">
        <v>4.17</v>
      </c>
      <c r="I119" t="s">
        <v>343</v>
      </c>
      <c r="J119" t="s">
        <v>344</v>
      </c>
      <c r="K119" s="3">
        <v>45167</v>
      </c>
      <c r="L119" s="3">
        <v>45170</v>
      </c>
      <c r="M119">
        <v>2</v>
      </c>
      <c r="N119" t="s">
        <v>55</v>
      </c>
      <c r="O119" t="s">
        <v>45</v>
      </c>
      <c r="P119" t="s">
        <v>84</v>
      </c>
      <c r="Q119" t="s">
        <v>85</v>
      </c>
      <c r="R119" s="3">
        <v>45170</v>
      </c>
      <c r="S119" t="s">
        <v>0</v>
      </c>
      <c r="T119" t="s">
        <v>86</v>
      </c>
      <c r="U119" t="s">
        <v>95</v>
      </c>
      <c r="V119" t="s">
        <v>0</v>
      </c>
      <c r="W119" s="4">
        <v>37264435</v>
      </c>
      <c r="X119" t="s">
        <v>0</v>
      </c>
    </row>
    <row r="120" spans="1:24" x14ac:dyDescent="0.25">
      <c r="A120" t="s">
        <v>39</v>
      </c>
      <c r="B120" t="s">
        <v>40</v>
      </c>
      <c r="C120" t="s">
        <v>168</v>
      </c>
      <c r="D120" t="s">
        <v>169</v>
      </c>
      <c r="E120" t="s">
        <v>168</v>
      </c>
      <c r="F120" t="s">
        <v>169</v>
      </c>
      <c r="G120" s="3">
        <v>45597</v>
      </c>
      <c r="H120" s="2">
        <v>4.17</v>
      </c>
      <c r="I120" t="s">
        <v>345</v>
      </c>
      <c r="J120" t="s">
        <v>346</v>
      </c>
      <c r="K120" s="3">
        <v>45168</v>
      </c>
      <c r="L120" s="3">
        <v>45200</v>
      </c>
      <c r="M120">
        <v>2</v>
      </c>
      <c r="N120" t="s">
        <v>55</v>
      </c>
      <c r="O120" t="s">
        <v>45</v>
      </c>
      <c r="P120" t="s">
        <v>84</v>
      </c>
      <c r="Q120" t="s">
        <v>85</v>
      </c>
      <c r="R120" s="3">
        <v>45200</v>
      </c>
      <c r="S120" t="s">
        <v>0</v>
      </c>
      <c r="T120" t="s">
        <v>86</v>
      </c>
      <c r="U120" t="s">
        <v>95</v>
      </c>
      <c r="V120" t="s">
        <v>0</v>
      </c>
      <c r="W120" s="4">
        <v>37269418</v>
      </c>
      <c r="X120" t="s">
        <v>0</v>
      </c>
    </row>
    <row r="121" spans="1:24" x14ac:dyDescent="0.25">
      <c r="A121" t="s">
        <v>39</v>
      </c>
      <c r="B121" t="s">
        <v>40</v>
      </c>
      <c r="C121" t="s">
        <v>168</v>
      </c>
      <c r="D121" t="s">
        <v>169</v>
      </c>
      <c r="E121" t="s">
        <v>168</v>
      </c>
      <c r="F121" t="s">
        <v>169</v>
      </c>
      <c r="G121" s="3">
        <v>45597</v>
      </c>
      <c r="H121" s="2">
        <v>4.17</v>
      </c>
      <c r="I121" t="s">
        <v>347</v>
      </c>
      <c r="J121" t="s">
        <v>348</v>
      </c>
      <c r="K121" s="3">
        <v>45174</v>
      </c>
      <c r="L121" s="3">
        <v>45200</v>
      </c>
      <c r="M121">
        <v>2</v>
      </c>
      <c r="N121" t="s">
        <v>55</v>
      </c>
      <c r="O121" t="s">
        <v>45</v>
      </c>
      <c r="P121" t="s">
        <v>84</v>
      </c>
      <c r="Q121" t="s">
        <v>85</v>
      </c>
      <c r="R121" s="3">
        <v>45200</v>
      </c>
      <c r="S121" t="s">
        <v>0</v>
      </c>
      <c r="T121" t="s">
        <v>86</v>
      </c>
      <c r="U121" t="s">
        <v>95</v>
      </c>
      <c r="V121" t="s">
        <v>0</v>
      </c>
      <c r="W121" s="4">
        <v>37299624</v>
      </c>
      <c r="X121" t="s">
        <v>0</v>
      </c>
    </row>
    <row r="122" spans="1:24" x14ac:dyDescent="0.25">
      <c r="A122" t="s">
        <v>39</v>
      </c>
      <c r="B122" t="s">
        <v>40</v>
      </c>
      <c r="C122" t="s">
        <v>168</v>
      </c>
      <c r="D122" t="s">
        <v>169</v>
      </c>
      <c r="E122" t="s">
        <v>168</v>
      </c>
      <c r="F122" t="s">
        <v>169</v>
      </c>
      <c r="G122" s="3">
        <v>45597</v>
      </c>
      <c r="H122" s="2">
        <v>4.17</v>
      </c>
      <c r="I122" t="s">
        <v>349</v>
      </c>
      <c r="J122" t="s">
        <v>350</v>
      </c>
      <c r="K122" s="3">
        <v>45176</v>
      </c>
      <c r="L122" s="3">
        <v>45200</v>
      </c>
      <c r="M122">
        <v>2</v>
      </c>
      <c r="N122" t="s">
        <v>55</v>
      </c>
      <c r="O122" t="s">
        <v>45</v>
      </c>
      <c r="P122" t="s">
        <v>84</v>
      </c>
      <c r="Q122" t="s">
        <v>85</v>
      </c>
      <c r="R122" s="3">
        <v>45200</v>
      </c>
      <c r="S122" t="s">
        <v>0</v>
      </c>
      <c r="T122" t="s">
        <v>86</v>
      </c>
      <c r="U122" t="s">
        <v>95</v>
      </c>
      <c r="V122" t="s">
        <v>0</v>
      </c>
      <c r="W122" s="4">
        <v>37303733</v>
      </c>
      <c r="X122" t="s">
        <v>0</v>
      </c>
    </row>
    <row r="123" spans="1:24" x14ac:dyDescent="0.25">
      <c r="A123" t="s">
        <v>39</v>
      </c>
      <c r="B123" t="s">
        <v>40</v>
      </c>
      <c r="C123" t="s">
        <v>168</v>
      </c>
      <c r="D123" t="s">
        <v>169</v>
      </c>
      <c r="E123" t="s">
        <v>168</v>
      </c>
      <c r="F123" t="s">
        <v>169</v>
      </c>
      <c r="G123" s="3">
        <v>45597</v>
      </c>
      <c r="H123" s="2">
        <v>4.17</v>
      </c>
      <c r="I123" t="s">
        <v>351</v>
      </c>
      <c r="J123" t="s">
        <v>352</v>
      </c>
      <c r="K123" s="3">
        <v>45182</v>
      </c>
      <c r="L123" s="3">
        <v>45200</v>
      </c>
      <c r="M123">
        <v>2</v>
      </c>
      <c r="N123" t="s">
        <v>55</v>
      </c>
      <c r="O123" t="s">
        <v>45</v>
      </c>
      <c r="P123" t="s">
        <v>84</v>
      </c>
      <c r="Q123" t="s">
        <v>85</v>
      </c>
      <c r="R123" s="3">
        <v>45200</v>
      </c>
      <c r="S123" t="s">
        <v>0</v>
      </c>
      <c r="T123" t="s">
        <v>86</v>
      </c>
      <c r="U123" t="s">
        <v>95</v>
      </c>
      <c r="V123" t="s">
        <v>0</v>
      </c>
      <c r="W123" s="4">
        <v>37322967</v>
      </c>
      <c r="X123" t="s">
        <v>0</v>
      </c>
    </row>
    <row r="124" spans="1:24" x14ac:dyDescent="0.25">
      <c r="A124" t="s">
        <v>39</v>
      </c>
      <c r="B124" t="s">
        <v>40</v>
      </c>
      <c r="C124" t="s">
        <v>168</v>
      </c>
      <c r="D124" t="s">
        <v>169</v>
      </c>
      <c r="E124" t="s">
        <v>168</v>
      </c>
      <c r="F124" t="s">
        <v>169</v>
      </c>
      <c r="G124" s="3">
        <v>45597</v>
      </c>
      <c r="H124" s="2">
        <v>4.17</v>
      </c>
      <c r="I124" t="s">
        <v>353</v>
      </c>
      <c r="J124" t="s">
        <v>354</v>
      </c>
      <c r="K124" s="3">
        <v>45184</v>
      </c>
      <c r="L124" s="3">
        <v>45200</v>
      </c>
      <c r="M124">
        <v>2</v>
      </c>
      <c r="N124" t="s">
        <v>84</v>
      </c>
      <c r="O124" t="s">
        <v>83</v>
      </c>
      <c r="P124" t="s">
        <v>84</v>
      </c>
      <c r="Q124" t="s">
        <v>85</v>
      </c>
      <c r="R124" s="3">
        <v>44927</v>
      </c>
      <c r="S124" t="s">
        <v>0</v>
      </c>
      <c r="T124" t="s">
        <v>86</v>
      </c>
      <c r="U124" t="s">
        <v>87</v>
      </c>
      <c r="V124" t="s">
        <v>0</v>
      </c>
      <c r="W124" s="4">
        <v>35941940</v>
      </c>
      <c r="X124" t="s">
        <v>0</v>
      </c>
    </row>
    <row r="125" spans="1:24" x14ac:dyDescent="0.25">
      <c r="A125" t="s">
        <v>39</v>
      </c>
      <c r="B125" t="s">
        <v>40</v>
      </c>
      <c r="C125" t="s">
        <v>315</v>
      </c>
      <c r="D125" t="s">
        <v>316</v>
      </c>
      <c r="E125" t="s">
        <v>315</v>
      </c>
      <c r="F125" t="s">
        <v>316</v>
      </c>
      <c r="G125" s="3">
        <v>45597</v>
      </c>
      <c r="H125" s="2">
        <v>4.17</v>
      </c>
      <c r="I125" t="s">
        <v>355</v>
      </c>
      <c r="J125" t="s">
        <v>356</v>
      </c>
      <c r="K125" s="3">
        <v>45187</v>
      </c>
      <c r="L125" s="3">
        <v>45200</v>
      </c>
      <c r="M125">
        <v>2</v>
      </c>
      <c r="N125" t="s">
        <v>55</v>
      </c>
      <c r="O125" t="s">
        <v>92</v>
      </c>
      <c r="P125" t="s">
        <v>84</v>
      </c>
      <c r="Q125" t="s">
        <v>85</v>
      </c>
      <c r="R125" s="3">
        <v>45200</v>
      </c>
      <c r="S125" t="s">
        <v>0</v>
      </c>
      <c r="T125" t="s">
        <v>86</v>
      </c>
      <c r="U125" t="s">
        <v>87</v>
      </c>
      <c r="V125" t="s">
        <v>0</v>
      </c>
      <c r="W125" s="4">
        <v>37341293</v>
      </c>
      <c r="X125" t="s">
        <v>0</v>
      </c>
    </row>
    <row r="126" spans="1:24" x14ac:dyDescent="0.25">
      <c r="A126" t="s">
        <v>39</v>
      </c>
      <c r="B126" t="s">
        <v>40</v>
      </c>
      <c r="C126" t="s">
        <v>168</v>
      </c>
      <c r="D126" t="s">
        <v>169</v>
      </c>
      <c r="E126" t="s">
        <v>168</v>
      </c>
      <c r="F126" t="s">
        <v>169</v>
      </c>
      <c r="G126" s="3">
        <v>45597</v>
      </c>
      <c r="H126" s="2">
        <v>4.17</v>
      </c>
      <c r="I126" t="s">
        <v>357</v>
      </c>
      <c r="J126" t="s">
        <v>358</v>
      </c>
      <c r="K126" s="3">
        <v>45184</v>
      </c>
      <c r="L126" s="3">
        <v>45200</v>
      </c>
      <c r="M126">
        <v>2</v>
      </c>
      <c r="N126" t="s">
        <v>55</v>
      </c>
      <c r="O126" t="s">
        <v>45</v>
      </c>
      <c r="P126" t="s">
        <v>84</v>
      </c>
      <c r="Q126" t="s">
        <v>85</v>
      </c>
      <c r="R126" s="3">
        <v>45200</v>
      </c>
      <c r="S126" t="s">
        <v>0</v>
      </c>
      <c r="T126" t="s">
        <v>86</v>
      </c>
      <c r="U126" t="s">
        <v>95</v>
      </c>
      <c r="V126" t="s">
        <v>0</v>
      </c>
      <c r="W126" s="4">
        <v>37339380</v>
      </c>
      <c r="X126" t="s">
        <v>0</v>
      </c>
    </row>
    <row r="127" spans="1:24" x14ac:dyDescent="0.25">
      <c r="A127" t="s">
        <v>39</v>
      </c>
      <c r="B127" t="s">
        <v>40</v>
      </c>
      <c r="C127" t="s">
        <v>168</v>
      </c>
      <c r="D127" t="s">
        <v>169</v>
      </c>
      <c r="E127" t="s">
        <v>168</v>
      </c>
      <c r="F127" t="s">
        <v>169</v>
      </c>
      <c r="G127" s="3">
        <v>45597</v>
      </c>
      <c r="H127" s="2">
        <v>4.17</v>
      </c>
      <c r="I127" t="s">
        <v>359</v>
      </c>
      <c r="J127" t="s">
        <v>360</v>
      </c>
      <c r="K127" s="3">
        <v>45188</v>
      </c>
      <c r="L127" s="3">
        <v>45200</v>
      </c>
      <c r="M127">
        <v>2</v>
      </c>
      <c r="N127" t="s">
        <v>55</v>
      </c>
      <c r="O127" t="s">
        <v>45</v>
      </c>
      <c r="P127" t="s">
        <v>84</v>
      </c>
      <c r="Q127" t="s">
        <v>85</v>
      </c>
      <c r="R127" s="3">
        <v>45200</v>
      </c>
      <c r="S127" t="s">
        <v>0</v>
      </c>
      <c r="T127" t="s">
        <v>86</v>
      </c>
      <c r="U127" t="s">
        <v>95</v>
      </c>
      <c r="V127" t="s">
        <v>0</v>
      </c>
      <c r="W127" s="4">
        <v>37348055</v>
      </c>
      <c r="X127" t="s">
        <v>0</v>
      </c>
    </row>
    <row r="128" spans="1:24" x14ac:dyDescent="0.25">
      <c r="A128" t="s">
        <v>39</v>
      </c>
      <c r="B128" t="s">
        <v>40</v>
      </c>
      <c r="C128" t="s">
        <v>168</v>
      </c>
      <c r="D128" t="s">
        <v>169</v>
      </c>
      <c r="E128" t="s">
        <v>168</v>
      </c>
      <c r="F128" t="s">
        <v>169</v>
      </c>
      <c r="G128" s="3">
        <v>45597</v>
      </c>
      <c r="H128" s="2">
        <v>4.17</v>
      </c>
      <c r="I128" t="s">
        <v>361</v>
      </c>
      <c r="J128" t="s">
        <v>362</v>
      </c>
      <c r="K128" s="3">
        <v>45194</v>
      </c>
      <c r="L128" s="3">
        <v>45200</v>
      </c>
      <c r="M128">
        <v>2</v>
      </c>
      <c r="N128" t="s">
        <v>55</v>
      </c>
      <c r="O128" t="s">
        <v>45</v>
      </c>
      <c r="P128" t="s">
        <v>84</v>
      </c>
      <c r="Q128" t="s">
        <v>85</v>
      </c>
      <c r="R128" s="3">
        <v>45200</v>
      </c>
      <c r="S128" t="s">
        <v>0</v>
      </c>
      <c r="T128" t="s">
        <v>86</v>
      </c>
      <c r="U128" t="s">
        <v>95</v>
      </c>
      <c r="V128" t="s">
        <v>0</v>
      </c>
      <c r="W128" s="4">
        <v>37369501</v>
      </c>
      <c r="X128" t="s">
        <v>0</v>
      </c>
    </row>
    <row r="129" spans="1:24" x14ac:dyDescent="0.25">
      <c r="A129" t="s">
        <v>39</v>
      </c>
      <c r="B129" t="s">
        <v>40</v>
      </c>
      <c r="C129" t="s">
        <v>79</v>
      </c>
      <c r="D129" t="s">
        <v>80</v>
      </c>
      <c r="E129" t="s">
        <v>79</v>
      </c>
      <c r="F129" t="s">
        <v>80</v>
      </c>
      <c r="G129" s="3">
        <v>45597</v>
      </c>
      <c r="H129" s="2">
        <v>4.17</v>
      </c>
      <c r="I129" t="s">
        <v>363</v>
      </c>
      <c r="J129" t="s">
        <v>364</v>
      </c>
      <c r="K129" s="3">
        <v>45197</v>
      </c>
      <c r="L129" s="3">
        <v>45231</v>
      </c>
      <c r="M129">
        <v>2</v>
      </c>
      <c r="N129" t="s">
        <v>55</v>
      </c>
      <c r="O129" t="s">
        <v>102</v>
      </c>
      <c r="P129" t="s">
        <v>84</v>
      </c>
      <c r="Q129" t="s">
        <v>85</v>
      </c>
      <c r="R129" s="3">
        <v>45231</v>
      </c>
      <c r="S129" t="s">
        <v>0</v>
      </c>
      <c r="T129" t="s">
        <v>86</v>
      </c>
      <c r="U129" t="s">
        <v>103</v>
      </c>
      <c r="V129" t="s">
        <v>0</v>
      </c>
      <c r="W129" s="4">
        <v>37382449</v>
      </c>
      <c r="X129" t="s">
        <v>0</v>
      </c>
    </row>
    <row r="130" spans="1:24" x14ac:dyDescent="0.25">
      <c r="A130" t="s">
        <v>39</v>
      </c>
      <c r="B130" t="s">
        <v>40</v>
      </c>
      <c r="C130" t="s">
        <v>41</v>
      </c>
      <c r="D130" t="s">
        <v>42</v>
      </c>
      <c r="E130" t="s">
        <v>41</v>
      </c>
      <c r="F130" t="s">
        <v>42</v>
      </c>
      <c r="G130" s="3">
        <v>45597</v>
      </c>
      <c r="H130" s="2">
        <v>4.17</v>
      </c>
      <c r="I130" t="s">
        <v>365</v>
      </c>
      <c r="J130" t="s">
        <v>366</v>
      </c>
      <c r="K130" s="3">
        <v>45204</v>
      </c>
      <c r="L130" s="3">
        <v>45231</v>
      </c>
      <c r="M130">
        <v>2</v>
      </c>
      <c r="N130" t="s">
        <v>55</v>
      </c>
      <c r="O130" t="s">
        <v>45</v>
      </c>
      <c r="P130" t="s">
        <v>84</v>
      </c>
      <c r="Q130" t="s">
        <v>85</v>
      </c>
      <c r="R130" s="3">
        <v>45231</v>
      </c>
      <c r="S130" t="s">
        <v>0</v>
      </c>
      <c r="T130" t="s">
        <v>86</v>
      </c>
      <c r="U130" t="s">
        <v>95</v>
      </c>
      <c r="V130" t="s">
        <v>0</v>
      </c>
      <c r="W130" s="4">
        <v>37404017</v>
      </c>
      <c r="X130" t="s">
        <v>0</v>
      </c>
    </row>
    <row r="131" spans="1:24" x14ac:dyDescent="0.25">
      <c r="A131" t="s">
        <v>39</v>
      </c>
      <c r="B131" t="s">
        <v>40</v>
      </c>
      <c r="C131" t="s">
        <v>168</v>
      </c>
      <c r="D131" t="s">
        <v>169</v>
      </c>
      <c r="E131" t="s">
        <v>168</v>
      </c>
      <c r="F131" t="s">
        <v>169</v>
      </c>
      <c r="G131" s="3">
        <v>45597</v>
      </c>
      <c r="H131" s="2">
        <v>4.17</v>
      </c>
      <c r="I131" t="s">
        <v>367</v>
      </c>
      <c r="J131" t="s">
        <v>368</v>
      </c>
      <c r="K131" s="3">
        <v>45203</v>
      </c>
      <c r="L131" s="3">
        <v>45231</v>
      </c>
      <c r="M131">
        <v>2</v>
      </c>
      <c r="N131" t="s">
        <v>55</v>
      </c>
      <c r="O131" t="s">
        <v>45</v>
      </c>
      <c r="P131" t="s">
        <v>84</v>
      </c>
      <c r="Q131" t="s">
        <v>85</v>
      </c>
      <c r="R131" s="3">
        <v>45231</v>
      </c>
      <c r="S131" t="s">
        <v>0</v>
      </c>
      <c r="T131" t="s">
        <v>86</v>
      </c>
      <c r="U131" t="s">
        <v>95</v>
      </c>
      <c r="V131" t="s">
        <v>0</v>
      </c>
      <c r="W131" s="4">
        <v>37401682</v>
      </c>
      <c r="X131" t="s">
        <v>0</v>
      </c>
    </row>
    <row r="132" spans="1:24" x14ac:dyDescent="0.25">
      <c r="A132" t="s">
        <v>39</v>
      </c>
      <c r="B132" t="s">
        <v>40</v>
      </c>
      <c r="C132" t="s">
        <v>168</v>
      </c>
      <c r="D132" t="s">
        <v>169</v>
      </c>
      <c r="E132" t="s">
        <v>168</v>
      </c>
      <c r="F132" t="s">
        <v>169</v>
      </c>
      <c r="G132" s="3">
        <v>45597</v>
      </c>
      <c r="H132" s="2">
        <v>4.17</v>
      </c>
      <c r="I132" t="s">
        <v>369</v>
      </c>
      <c r="J132" t="s">
        <v>370</v>
      </c>
      <c r="K132" s="3">
        <v>45205</v>
      </c>
      <c r="L132" s="3">
        <v>45231</v>
      </c>
      <c r="M132">
        <v>2</v>
      </c>
      <c r="N132" t="s">
        <v>55</v>
      </c>
      <c r="O132" t="s">
        <v>45</v>
      </c>
      <c r="P132" t="s">
        <v>84</v>
      </c>
      <c r="Q132" t="s">
        <v>85</v>
      </c>
      <c r="R132" s="3">
        <v>45231</v>
      </c>
      <c r="S132" t="s">
        <v>0</v>
      </c>
      <c r="T132" t="s">
        <v>86</v>
      </c>
      <c r="U132" t="s">
        <v>95</v>
      </c>
      <c r="V132" t="s">
        <v>0</v>
      </c>
      <c r="W132" s="4">
        <v>37417862</v>
      </c>
      <c r="X132" t="s">
        <v>0</v>
      </c>
    </row>
    <row r="133" spans="1:24" x14ac:dyDescent="0.25">
      <c r="A133" t="s">
        <v>39</v>
      </c>
      <c r="B133" t="s">
        <v>40</v>
      </c>
      <c r="C133" t="s">
        <v>168</v>
      </c>
      <c r="D133" t="s">
        <v>169</v>
      </c>
      <c r="E133" t="s">
        <v>168</v>
      </c>
      <c r="F133" t="s">
        <v>169</v>
      </c>
      <c r="G133" s="3">
        <v>45597</v>
      </c>
      <c r="H133" s="2">
        <v>4.17</v>
      </c>
      <c r="I133" t="s">
        <v>371</v>
      </c>
      <c r="J133" t="s">
        <v>372</v>
      </c>
      <c r="K133" s="3">
        <v>45209</v>
      </c>
      <c r="L133" s="3">
        <v>45231</v>
      </c>
      <c r="M133">
        <v>10</v>
      </c>
      <c r="N133" t="s">
        <v>84</v>
      </c>
      <c r="O133" t="s">
        <v>373</v>
      </c>
      <c r="P133" t="s">
        <v>84</v>
      </c>
      <c r="Q133" t="s">
        <v>85</v>
      </c>
      <c r="R133" s="3">
        <v>44927</v>
      </c>
      <c r="S133" t="s">
        <v>0</v>
      </c>
      <c r="T133" t="s">
        <v>86</v>
      </c>
      <c r="U133" t="s">
        <v>374</v>
      </c>
      <c r="V133" t="s">
        <v>0</v>
      </c>
      <c r="W133" s="4">
        <v>35634612</v>
      </c>
      <c r="X133" t="s">
        <v>0</v>
      </c>
    </row>
    <row r="134" spans="1:24" x14ac:dyDescent="0.25">
      <c r="A134" t="s">
        <v>39</v>
      </c>
      <c r="B134" t="s">
        <v>40</v>
      </c>
      <c r="C134" t="s">
        <v>79</v>
      </c>
      <c r="D134" t="s">
        <v>80</v>
      </c>
      <c r="E134" t="s">
        <v>79</v>
      </c>
      <c r="F134" t="s">
        <v>80</v>
      </c>
      <c r="G134" s="3">
        <v>45597</v>
      </c>
      <c r="H134" s="2">
        <v>4.17</v>
      </c>
      <c r="I134" t="s">
        <v>375</v>
      </c>
      <c r="J134" t="s">
        <v>376</v>
      </c>
      <c r="K134" s="3">
        <v>45202</v>
      </c>
      <c r="L134" s="3">
        <v>45261</v>
      </c>
      <c r="M134">
        <v>2</v>
      </c>
      <c r="N134" t="s">
        <v>55</v>
      </c>
      <c r="O134" t="s">
        <v>102</v>
      </c>
      <c r="P134" t="s">
        <v>84</v>
      </c>
      <c r="Q134" t="s">
        <v>85</v>
      </c>
      <c r="R134" s="3">
        <v>45261</v>
      </c>
      <c r="S134" t="s">
        <v>0</v>
      </c>
      <c r="T134" t="s">
        <v>86</v>
      </c>
      <c r="U134" t="s">
        <v>103</v>
      </c>
      <c r="V134" t="s">
        <v>0</v>
      </c>
      <c r="W134" s="4">
        <v>37434232</v>
      </c>
      <c r="X134" t="s">
        <v>0</v>
      </c>
    </row>
    <row r="135" spans="1:24" x14ac:dyDescent="0.25">
      <c r="A135" t="s">
        <v>39</v>
      </c>
      <c r="B135" t="s">
        <v>40</v>
      </c>
      <c r="C135" t="s">
        <v>307</v>
      </c>
      <c r="D135" t="s">
        <v>308</v>
      </c>
      <c r="E135" t="s">
        <v>307</v>
      </c>
      <c r="F135" t="s">
        <v>308</v>
      </c>
      <c r="G135" s="3">
        <v>45597</v>
      </c>
      <c r="H135" s="2">
        <v>4.17</v>
      </c>
      <c r="I135" t="s">
        <v>377</v>
      </c>
      <c r="J135" t="s">
        <v>378</v>
      </c>
      <c r="K135" s="3">
        <v>45212</v>
      </c>
      <c r="L135" s="3">
        <v>45261</v>
      </c>
      <c r="M135">
        <v>2</v>
      </c>
      <c r="N135" t="s">
        <v>55</v>
      </c>
      <c r="O135" t="s">
        <v>45</v>
      </c>
      <c r="P135" t="s">
        <v>84</v>
      </c>
      <c r="Q135" t="s">
        <v>85</v>
      </c>
      <c r="R135" s="3">
        <v>45261</v>
      </c>
      <c r="S135" t="s">
        <v>0</v>
      </c>
      <c r="T135" t="s">
        <v>86</v>
      </c>
      <c r="U135" t="s">
        <v>95</v>
      </c>
      <c r="V135" t="s">
        <v>0</v>
      </c>
      <c r="W135" s="4">
        <v>37451350</v>
      </c>
      <c r="X135" t="s">
        <v>0</v>
      </c>
    </row>
    <row r="136" spans="1:24" x14ac:dyDescent="0.25">
      <c r="A136" t="s">
        <v>39</v>
      </c>
      <c r="B136" t="s">
        <v>40</v>
      </c>
      <c r="C136" t="s">
        <v>307</v>
      </c>
      <c r="D136" t="s">
        <v>308</v>
      </c>
      <c r="E136" t="s">
        <v>307</v>
      </c>
      <c r="F136" t="s">
        <v>308</v>
      </c>
      <c r="G136" s="3">
        <v>45597</v>
      </c>
      <c r="H136" s="2">
        <v>4.17</v>
      </c>
      <c r="I136" t="s">
        <v>379</v>
      </c>
      <c r="J136" t="s">
        <v>380</v>
      </c>
      <c r="K136" s="3">
        <v>45216</v>
      </c>
      <c r="L136" s="3">
        <v>45292</v>
      </c>
      <c r="M136">
        <v>3</v>
      </c>
      <c r="N136" t="s">
        <v>84</v>
      </c>
      <c r="O136" t="s">
        <v>45</v>
      </c>
      <c r="P136" t="s">
        <v>84</v>
      </c>
      <c r="Q136" t="s">
        <v>184</v>
      </c>
      <c r="R136" s="3">
        <v>44743</v>
      </c>
      <c r="S136" s="3">
        <v>45657</v>
      </c>
      <c r="T136" t="s">
        <v>86</v>
      </c>
      <c r="U136" t="s">
        <v>194</v>
      </c>
      <c r="V136" t="s">
        <v>0</v>
      </c>
      <c r="W136" s="4">
        <v>35056138</v>
      </c>
      <c r="X136" t="s">
        <v>0</v>
      </c>
    </row>
    <row r="137" spans="1:24" x14ac:dyDescent="0.25">
      <c r="A137" t="s">
        <v>39</v>
      </c>
      <c r="B137" t="s">
        <v>40</v>
      </c>
      <c r="C137" t="s">
        <v>79</v>
      </c>
      <c r="D137" t="s">
        <v>80</v>
      </c>
      <c r="E137" t="s">
        <v>79</v>
      </c>
      <c r="F137" t="s">
        <v>80</v>
      </c>
      <c r="G137" s="3">
        <v>45597</v>
      </c>
      <c r="H137" s="2">
        <v>4.17</v>
      </c>
      <c r="I137" t="s">
        <v>381</v>
      </c>
      <c r="J137" t="s">
        <v>382</v>
      </c>
      <c r="K137" s="3">
        <v>45218</v>
      </c>
      <c r="L137" s="3">
        <v>45231</v>
      </c>
      <c r="M137">
        <v>2</v>
      </c>
      <c r="N137" t="s">
        <v>55</v>
      </c>
      <c r="O137" t="s">
        <v>56</v>
      </c>
      <c r="P137" t="s">
        <v>84</v>
      </c>
      <c r="Q137" t="s">
        <v>85</v>
      </c>
      <c r="R137" s="3">
        <v>45231</v>
      </c>
      <c r="S137" t="s">
        <v>0</v>
      </c>
      <c r="T137" t="s">
        <v>86</v>
      </c>
      <c r="U137" t="s">
        <v>114</v>
      </c>
      <c r="V137" t="s">
        <v>0</v>
      </c>
      <c r="W137" s="4">
        <v>37522683</v>
      </c>
      <c r="X137" t="s">
        <v>0</v>
      </c>
    </row>
    <row r="138" spans="1:24" x14ac:dyDescent="0.25">
      <c r="A138" t="s">
        <v>39</v>
      </c>
      <c r="B138" t="s">
        <v>40</v>
      </c>
      <c r="C138" t="s">
        <v>168</v>
      </c>
      <c r="D138" t="s">
        <v>169</v>
      </c>
      <c r="E138" t="s">
        <v>168</v>
      </c>
      <c r="F138" t="s">
        <v>169</v>
      </c>
      <c r="G138" s="3">
        <v>45597</v>
      </c>
      <c r="H138" s="2">
        <v>4.17</v>
      </c>
      <c r="I138" t="s">
        <v>383</v>
      </c>
      <c r="J138" t="s">
        <v>384</v>
      </c>
      <c r="K138" s="3">
        <v>45215</v>
      </c>
      <c r="L138" s="3">
        <v>45231</v>
      </c>
      <c r="M138">
        <v>2</v>
      </c>
      <c r="N138" t="s">
        <v>55</v>
      </c>
      <c r="O138" t="s">
        <v>45</v>
      </c>
      <c r="P138" t="s">
        <v>84</v>
      </c>
      <c r="Q138" t="s">
        <v>85</v>
      </c>
      <c r="R138" s="3">
        <v>45231</v>
      </c>
      <c r="S138" t="s">
        <v>0</v>
      </c>
      <c r="T138" t="s">
        <v>86</v>
      </c>
      <c r="U138" t="s">
        <v>95</v>
      </c>
      <c r="V138" t="s">
        <v>0</v>
      </c>
      <c r="W138" s="4">
        <v>37485827</v>
      </c>
      <c r="X138" t="s">
        <v>0</v>
      </c>
    </row>
    <row r="139" spans="1:24" x14ac:dyDescent="0.25">
      <c r="A139" t="s">
        <v>39</v>
      </c>
      <c r="B139" t="s">
        <v>40</v>
      </c>
      <c r="C139" t="s">
        <v>168</v>
      </c>
      <c r="D139" t="s">
        <v>169</v>
      </c>
      <c r="E139" t="s">
        <v>168</v>
      </c>
      <c r="F139" t="s">
        <v>169</v>
      </c>
      <c r="G139" s="3">
        <v>45597</v>
      </c>
      <c r="H139" s="2">
        <v>4.17</v>
      </c>
      <c r="I139" t="s">
        <v>385</v>
      </c>
      <c r="J139" t="s">
        <v>386</v>
      </c>
      <c r="K139" s="3">
        <v>45216</v>
      </c>
      <c r="L139" s="3">
        <v>45231</v>
      </c>
      <c r="M139">
        <v>2</v>
      </c>
      <c r="N139" t="s">
        <v>55</v>
      </c>
      <c r="O139" t="s">
        <v>45</v>
      </c>
      <c r="P139" t="s">
        <v>84</v>
      </c>
      <c r="Q139" t="s">
        <v>85</v>
      </c>
      <c r="R139" s="3">
        <v>45231</v>
      </c>
      <c r="S139" t="s">
        <v>0</v>
      </c>
      <c r="T139" t="s">
        <v>86</v>
      </c>
      <c r="U139" t="s">
        <v>95</v>
      </c>
      <c r="V139" t="s">
        <v>0</v>
      </c>
      <c r="W139" s="4">
        <v>37504908</v>
      </c>
      <c r="X139" t="s">
        <v>0</v>
      </c>
    </row>
    <row r="140" spans="1:24" x14ac:dyDescent="0.25">
      <c r="A140" t="s">
        <v>39</v>
      </c>
      <c r="B140" t="s">
        <v>40</v>
      </c>
      <c r="C140" t="s">
        <v>307</v>
      </c>
      <c r="D140" t="s">
        <v>308</v>
      </c>
      <c r="E140" t="s">
        <v>307</v>
      </c>
      <c r="F140" t="s">
        <v>308</v>
      </c>
      <c r="G140" s="3">
        <v>45597</v>
      </c>
      <c r="H140" s="2">
        <v>4.17</v>
      </c>
      <c r="I140" t="s">
        <v>387</v>
      </c>
      <c r="J140" t="s">
        <v>388</v>
      </c>
      <c r="K140" s="3">
        <v>45217</v>
      </c>
      <c r="L140" s="3">
        <v>45231</v>
      </c>
      <c r="M140">
        <v>2</v>
      </c>
      <c r="N140" t="s">
        <v>55</v>
      </c>
      <c r="O140" t="s">
        <v>45</v>
      </c>
      <c r="P140" t="s">
        <v>84</v>
      </c>
      <c r="Q140" t="s">
        <v>85</v>
      </c>
      <c r="R140" s="3">
        <v>45231</v>
      </c>
      <c r="S140" t="s">
        <v>0</v>
      </c>
      <c r="T140" t="s">
        <v>86</v>
      </c>
      <c r="U140" t="s">
        <v>95</v>
      </c>
      <c r="V140" t="s">
        <v>0</v>
      </c>
      <c r="W140" s="4">
        <v>37556966</v>
      </c>
      <c r="X140" t="s">
        <v>0</v>
      </c>
    </row>
    <row r="141" spans="1:24" x14ac:dyDescent="0.25">
      <c r="A141" t="s">
        <v>39</v>
      </c>
      <c r="B141" t="s">
        <v>40</v>
      </c>
      <c r="C141" t="s">
        <v>168</v>
      </c>
      <c r="D141" t="s">
        <v>169</v>
      </c>
      <c r="E141" t="s">
        <v>168</v>
      </c>
      <c r="F141" t="s">
        <v>169</v>
      </c>
      <c r="G141" s="3">
        <v>45597</v>
      </c>
      <c r="H141" s="2">
        <v>4.17</v>
      </c>
      <c r="I141" t="s">
        <v>389</v>
      </c>
      <c r="J141" t="s">
        <v>390</v>
      </c>
      <c r="K141" s="3">
        <v>45224</v>
      </c>
      <c r="L141" s="3">
        <v>45231</v>
      </c>
      <c r="M141">
        <v>2</v>
      </c>
      <c r="N141" t="s">
        <v>55</v>
      </c>
      <c r="O141" t="s">
        <v>45</v>
      </c>
      <c r="P141" t="s">
        <v>84</v>
      </c>
      <c r="Q141" t="s">
        <v>85</v>
      </c>
      <c r="R141" s="3">
        <v>45231</v>
      </c>
      <c r="S141" t="s">
        <v>0</v>
      </c>
      <c r="T141" t="s">
        <v>86</v>
      </c>
      <c r="U141" t="s">
        <v>95</v>
      </c>
      <c r="V141" t="s">
        <v>0</v>
      </c>
      <c r="W141" s="4">
        <v>37635291</v>
      </c>
      <c r="X141" t="s">
        <v>0</v>
      </c>
    </row>
    <row r="142" spans="1:24" x14ac:dyDescent="0.25">
      <c r="A142" t="s">
        <v>39</v>
      </c>
      <c r="B142" t="s">
        <v>40</v>
      </c>
      <c r="C142" t="s">
        <v>307</v>
      </c>
      <c r="D142" t="s">
        <v>308</v>
      </c>
      <c r="E142" t="s">
        <v>307</v>
      </c>
      <c r="F142" t="s">
        <v>308</v>
      </c>
      <c r="G142" s="3">
        <v>45597</v>
      </c>
      <c r="H142" s="2">
        <v>4.17</v>
      </c>
      <c r="I142" t="s">
        <v>391</v>
      </c>
      <c r="J142" t="s">
        <v>392</v>
      </c>
      <c r="K142" s="3">
        <v>45230</v>
      </c>
      <c r="L142" s="3">
        <v>45292</v>
      </c>
      <c r="M142">
        <v>6</v>
      </c>
      <c r="N142" t="s">
        <v>84</v>
      </c>
      <c r="O142" t="s">
        <v>45</v>
      </c>
      <c r="P142" t="s">
        <v>84</v>
      </c>
      <c r="Q142" t="s">
        <v>184</v>
      </c>
      <c r="R142" s="3">
        <v>44197</v>
      </c>
      <c r="S142" s="3">
        <v>45657</v>
      </c>
      <c r="T142" t="s">
        <v>86</v>
      </c>
      <c r="U142" t="s">
        <v>194</v>
      </c>
      <c r="V142" t="s">
        <v>0</v>
      </c>
      <c r="W142" s="4">
        <v>30096325</v>
      </c>
      <c r="X142" t="s">
        <v>0</v>
      </c>
    </row>
    <row r="143" spans="1:24" x14ac:dyDescent="0.25">
      <c r="A143" t="s">
        <v>39</v>
      </c>
      <c r="B143" t="s">
        <v>40</v>
      </c>
      <c r="C143" t="s">
        <v>307</v>
      </c>
      <c r="D143" t="s">
        <v>308</v>
      </c>
      <c r="E143" t="s">
        <v>307</v>
      </c>
      <c r="F143" t="s">
        <v>308</v>
      </c>
      <c r="G143" s="3">
        <v>45597</v>
      </c>
      <c r="H143" s="2">
        <v>4.17</v>
      </c>
      <c r="I143" t="s">
        <v>393</v>
      </c>
      <c r="J143" t="s">
        <v>394</v>
      </c>
      <c r="K143" s="3">
        <v>45230</v>
      </c>
      <c r="L143" s="3">
        <v>45292</v>
      </c>
      <c r="M143">
        <v>9</v>
      </c>
      <c r="N143" t="s">
        <v>84</v>
      </c>
      <c r="O143" t="s">
        <v>45</v>
      </c>
      <c r="P143" t="s">
        <v>84</v>
      </c>
      <c r="Q143" t="s">
        <v>184</v>
      </c>
      <c r="R143" s="3">
        <v>44927</v>
      </c>
      <c r="S143" s="3">
        <v>45657</v>
      </c>
      <c r="T143" t="s">
        <v>86</v>
      </c>
      <c r="U143" t="s">
        <v>194</v>
      </c>
      <c r="V143" t="s">
        <v>0</v>
      </c>
      <c r="W143" s="4">
        <v>36278550</v>
      </c>
      <c r="X143" t="s">
        <v>0</v>
      </c>
    </row>
    <row r="144" spans="1:24" x14ac:dyDescent="0.25">
      <c r="A144" t="s">
        <v>39</v>
      </c>
      <c r="B144" t="s">
        <v>40</v>
      </c>
      <c r="C144" t="s">
        <v>41</v>
      </c>
      <c r="D144" t="s">
        <v>42</v>
      </c>
      <c r="E144" t="s">
        <v>41</v>
      </c>
      <c r="F144" t="s">
        <v>42</v>
      </c>
      <c r="G144" s="3">
        <v>45597</v>
      </c>
      <c r="H144" s="2">
        <v>4.17</v>
      </c>
      <c r="I144" t="s">
        <v>395</v>
      </c>
      <c r="J144" t="s">
        <v>396</v>
      </c>
      <c r="K144" s="3">
        <v>45231</v>
      </c>
      <c r="L144" s="3">
        <v>45292</v>
      </c>
      <c r="M144">
        <v>5</v>
      </c>
      <c r="N144" t="s">
        <v>84</v>
      </c>
      <c r="O144" t="s">
        <v>83</v>
      </c>
      <c r="P144" t="s">
        <v>84</v>
      </c>
      <c r="Q144" t="s">
        <v>85</v>
      </c>
      <c r="R144" s="3">
        <v>43831</v>
      </c>
      <c r="S144" t="s">
        <v>0</v>
      </c>
      <c r="T144" t="s">
        <v>86</v>
      </c>
      <c r="U144" t="s">
        <v>87</v>
      </c>
      <c r="V144" t="s">
        <v>0</v>
      </c>
      <c r="W144" s="4">
        <v>27627439</v>
      </c>
      <c r="X144" t="s">
        <v>0</v>
      </c>
    </row>
    <row r="145" spans="1:24" x14ac:dyDescent="0.25">
      <c r="A145" t="s">
        <v>39</v>
      </c>
      <c r="B145" t="s">
        <v>40</v>
      </c>
      <c r="C145" t="s">
        <v>168</v>
      </c>
      <c r="D145" t="s">
        <v>169</v>
      </c>
      <c r="E145" t="s">
        <v>168</v>
      </c>
      <c r="F145" t="s">
        <v>169</v>
      </c>
      <c r="G145" s="3">
        <v>45597</v>
      </c>
      <c r="H145" s="2">
        <v>4.17</v>
      </c>
      <c r="I145" t="s">
        <v>397</v>
      </c>
      <c r="J145" t="s">
        <v>398</v>
      </c>
      <c r="K145" s="3">
        <v>45211</v>
      </c>
      <c r="L145" s="3">
        <v>45231</v>
      </c>
      <c r="M145">
        <v>8</v>
      </c>
      <c r="N145" t="s">
        <v>84</v>
      </c>
      <c r="O145" t="s">
        <v>373</v>
      </c>
      <c r="P145" t="s">
        <v>84</v>
      </c>
      <c r="Q145" t="s">
        <v>85</v>
      </c>
      <c r="R145" s="3">
        <v>42736</v>
      </c>
      <c r="S145" t="s">
        <v>0</v>
      </c>
      <c r="T145" t="s">
        <v>86</v>
      </c>
      <c r="U145" t="s">
        <v>374</v>
      </c>
      <c r="V145" t="s">
        <v>0</v>
      </c>
      <c r="W145" s="4">
        <v>23997957</v>
      </c>
      <c r="X145" t="s">
        <v>0</v>
      </c>
    </row>
    <row r="146" spans="1:24" x14ac:dyDescent="0.25">
      <c r="A146" t="s">
        <v>39</v>
      </c>
      <c r="B146" t="s">
        <v>40</v>
      </c>
      <c r="C146" t="s">
        <v>168</v>
      </c>
      <c r="D146" t="s">
        <v>169</v>
      </c>
      <c r="E146" t="s">
        <v>168</v>
      </c>
      <c r="F146" t="s">
        <v>169</v>
      </c>
      <c r="G146" s="3">
        <v>45597</v>
      </c>
      <c r="H146" s="2">
        <v>4.17</v>
      </c>
      <c r="I146" t="s">
        <v>399</v>
      </c>
      <c r="J146" t="s">
        <v>400</v>
      </c>
      <c r="K146" s="3">
        <v>45231</v>
      </c>
      <c r="L146" s="3">
        <v>45261</v>
      </c>
      <c r="M146">
        <v>2</v>
      </c>
      <c r="N146" t="s">
        <v>55</v>
      </c>
      <c r="O146" t="s">
        <v>45</v>
      </c>
      <c r="P146" t="s">
        <v>84</v>
      </c>
      <c r="Q146" t="s">
        <v>85</v>
      </c>
      <c r="R146" s="3">
        <v>45261</v>
      </c>
      <c r="S146" t="s">
        <v>0</v>
      </c>
      <c r="T146" t="s">
        <v>86</v>
      </c>
      <c r="U146" t="s">
        <v>95</v>
      </c>
      <c r="V146" t="s">
        <v>0</v>
      </c>
      <c r="W146" s="4">
        <v>37753670</v>
      </c>
      <c r="X146" t="s">
        <v>0</v>
      </c>
    </row>
    <row r="147" spans="1:24" x14ac:dyDescent="0.25">
      <c r="A147" t="s">
        <v>39</v>
      </c>
      <c r="B147" t="s">
        <v>40</v>
      </c>
      <c r="C147" t="s">
        <v>41</v>
      </c>
      <c r="D147" t="s">
        <v>42</v>
      </c>
      <c r="E147" t="s">
        <v>41</v>
      </c>
      <c r="F147" t="s">
        <v>42</v>
      </c>
      <c r="G147" s="3">
        <v>45597</v>
      </c>
      <c r="H147" s="2">
        <v>4.17</v>
      </c>
      <c r="I147" t="s">
        <v>401</v>
      </c>
      <c r="J147" t="s">
        <v>402</v>
      </c>
      <c r="K147" s="3">
        <v>45232</v>
      </c>
      <c r="L147" s="3">
        <v>45261</v>
      </c>
      <c r="M147">
        <v>2</v>
      </c>
      <c r="N147" t="s">
        <v>55</v>
      </c>
      <c r="O147" t="s">
        <v>45</v>
      </c>
      <c r="P147" t="s">
        <v>84</v>
      </c>
      <c r="Q147" t="s">
        <v>85</v>
      </c>
      <c r="R147" s="3">
        <v>45261</v>
      </c>
      <c r="S147" t="s">
        <v>0</v>
      </c>
      <c r="T147" t="s">
        <v>86</v>
      </c>
      <c r="U147" t="s">
        <v>95</v>
      </c>
      <c r="V147" t="s">
        <v>0</v>
      </c>
      <c r="W147" s="4">
        <v>37761017</v>
      </c>
      <c r="X147" t="s">
        <v>0</v>
      </c>
    </row>
    <row r="148" spans="1:24" x14ac:dyDescent="0.25">
      <c r="A148" t="s">
        <v>39</v>
      </c>
      <c r="B148" t="s">
        <v>40</v>
      </c>
      <c r="C148" t="s">
        <v>168</v>
      </c>
      <c r="D148" t="s">
        <v>169</v>
      </c>
      <c r="E148" t="s">
        <v>168</v>
      </c>
      <c r="F148" t="s">
        <v>169</v>
      </c>
      <c r="G148" s="3">
        <v>45597</v>
      </c>
      <c r="H148" s="2">
        <v>4.17</v>
      </c>
      <c r="I148" t="s">
        <v>403</v>
      </c>
      <c r="J148" t="s">
        <v>404</v>
      </c>
      <c r="K148" s="3">
        <v>45231</v>
      </c>
      <c r="L148" s="3">
        <v>45261</v>
      </c>
      <c r="M148">
        <v>2</v>
      </c>
      <c r="N148" t="s">
        <v>55</v>
      </c>
      <c r="O148" t="s">
        <v>45</v>
      </c>
      <c r="P148" t="s">
        <v>84</v>
      </c>
      <c r="Q148" t="s">
        <v>85</v>
      </c>
      <c r="R148" s="3">
        <v>45261</v>
      </c>
      <c r="S148" t="s">
        <v>0</v>
      </c>
      <c r="T148" t="s">
        <v>86</v>
      </c>
      <c r="U148" t="s">
        <v>95</v>
      </c>
      <c r="V148" t="s">
        <v>0</v>
      </c>
      <c r="W148" s="4">
        <v>37753669</v>
      </c>
      <c r="X148" t="s">
        <v>0</v>
      </c>
    </row>
    <row r="149" spans="1:24" x14ac:dyDescent="0.25">
      <c r="A149" t="s">
        <v>39</v>
      </c>
      <c r="B149" t="s">
        <v>40</v>
      </c>
      <c r="C149" t="s">
        <v>168</v>
      </c>
      <c r="D149" t="s">
        <v>169</v>
      </c>
      <c r="E149" t="s">
        <v>168</v>
      </c>
      <c r="F149" t="s">
        <v>169</v>
      </c>
      <c r="G149" s="3">
        <v>45597</v>
      </c>
      <c r="H149" s="2">
        <v>4.17</v>
      </c>
      <c r="I149" t="s">
        <v>405</v>
      </c>
      <c r="J149" t="s">
        <v>406</v>
      </c>
      <c r="K149" s="3">
        <v>45230</v>
      </c>
      <c r="L149" s="3">
        <v>45261</v>
      </c>
      <c r="M149">
        <v>2</v>
      </c>
      <c r="N149" t="s">
        <v>55</v>
      </c>
      <c r="O149" t="s">
        <v>45</v>
      </c>
      <c r="P149" t="s">
        <v>84</v>
      </c>
      <c r="Q149" t="s">
        <v>85</v>
      </c>
      <c r="R149" s="3">
        <v>45261</v>
      </c>
      <c r="S149" t="s">
        <v>0</v>
      </c>
      <c r="T149" t="s">
        <v>86</v>
      </c>
      <c r="U149" t="s">
        <v>95</v>
      </c>
      <c r="V149" t="s">
        <v>0</v>
      </c>
      <c r="W149" s="4">
        <v>37734877</v>
      </c>
      <c r="X149" t="s">
        <v>0</v>
      </c>
    </row>
    <row r="150" spans="1:24" x14ac:dyDescent="0.25">
      <c r="A150" t="s">
        <v>39</v>
      </c>
      <c r="B150" t="s">
        <v>40</v>
      </c>
      <c r="C150" t="s">
        <v>88</v>
      </c>
      <c r="D150" t="s">
        <v>89</v>
      </c>
      <c r="E150" t="s">
        <v>88</v>
      </c>
      <c r="F150" t="s">
        <v>89</v>
      </c>
      <c r="G150" s="3">
        <v>45597</v>
      </c>
      <c r="H150" s="2">
        <v>4.17</v>
      </c>
      <c r="I150" t="s">
        <v>407</v>
      </c>
      <c r="J150" t="s">
        <v>408</v>
      </c>
      <c r="K150" s="3">
        <v>45236</v>
      </c>
      <c r="L150" s="3">
        <v>45261</v>
      </c>
      <c r="M150">
        <v>2</v>
      </c>
      <c r="N150" t="s">
        <v>55</v>
      </c>
      <c r="O150" t="s">
        <v>92</v>
      </c>
      <c r="P150" t="s">
        <v>84</v>
      </c>
      <c r="Q150" t="s">
        <v>85</v>
      </c>
      <c r="R150" s="3">
        <v>45261</v>
      </c>
      <c r="S150" t="s">
        <v>0</v>
      </c>
      <c r="T150" t="s">
        <v>86</v>
      </c>
      <c r="U150" t="s">
        <v>87</v>
      </c>
      <c r="V150" t="s">
        <v>0</v>
      </c>
      <c r="W150" s="4">
        <v>38387041</v>
      </c>
      <c r="X150" t="s">
        <v>0</v>
      </c>
    </row>
    <row r="151" spans="1:24" x14ac:dyDescent="0.25">
      <c r="A151" t="s">
        <v>39</v>
      </c>
      <c r="B151" t="s">
        <v>40</v>
      </c>
      <c r="C151" t="s">
        <v>307</v>
      </c>
      <c r="D151" t="s">
        <v>308</v>
      </c>
      <c r="E151" t="s">
        <v>307</v>
      </c>
      <c r="F151" t="s">
        <v>308</v>
      </c>
      <c r="G151" s="3">
        <v>45597</v>
      </c>
      <c r="H151" s="2">
        <v>4.17</v>
      </c>
      <c r="I151" t="s">
        <v>409</v>
      </c>
      <c r="J151" t="s">
        <v>410</v>
      </c>
      <c r="K151" s="3">
        <v>45243</v>
      </c>
      <c r="L151" s="3">
        <v>45292</v>
      </c>
      <c r="M151">
        <v>6</v>
      </c>
      <c r="N151" t="s">
        <v>84</v>
      </c>
      <c r="O151" t="s">
        <v>45</v>
      </c>
      <c r="P151" t="s">
        <v>84</v>
      </c>
      <c r="Q151" t="s">
        <v>184</v>
      </c>
      <c r="R151" s="3">
        <v>44562</v>
      </c>
      <c r="S151" s="3">
        <v>45657</v>
      </c>
      <c r="T151" t="s">
        <v>86</v>
      </c>
      <c r="U151" t="s">
        <v>194</v>
      </c>
      <c r="V151" t="s">
        <v>0</v>
      </c>
      <c r="W151" s="4">
        <v>33935688</v>
      </c>
      <c r="X151" t="s">
        <v>0</v>
      </c>
    </row>
    <row r="152" spans="1:24" x14ac:dyDescent="0.25">
      <c r="A152" t="s">
        <v>39</v>
      </c>
      <c r="B152" t="s">
        <v>40</v>
      </c>
      <c r="C152" t="s">
        <v>79</v>
      </c>
      <c r="D152" t="s">
        <v>80</v>
      </c>
      <c r="E152" t="s">
        <v>79</v>
      </c>
      <c r="F152" t="s">
        <v>80</v>
      </c>
      <c r="G152" s="3">
        <v>45597</v>
      </c>
      <c r="H152" s="2">
        <v>4.17</v>
      </c>
      <c r="I152" t="s">
        <v>411</v>
      </c>
      <c r="J152" t="s">
        <v>412</v>
      </c>
      <c r="K152" s="3">
        <v>45244</v>
      </c>
      <c r="L152" s="3">
        <v>45292</v>
      </c>
      <c r="M152">
        <v>10</v>
      </c>
      <c r="N152" t="s">
        <v>84</v>
      </c>
      <c r="O152" t="s">
        <v>45</v>
      </c>
      <c r="P152" t="s">
        <v>84</v>
      </c>
      <c r="Q152" t="s">
        <v>85</v>
      </c>
      <c r="R152" s="3">
        <v>43101</v>
      </c>
      <c r="S152" t="s">
        <v>0</v>
      </c>
      <c r="T152" t="s">
        <v>86</v>
      </c>
      <c r="U152" t="s">
        <v>95</v>
      </c>
      <c r="V152" t="s">
        <v>0</v>
      </c>
      <c r="W152" s="4">
        <v>25172037</v>
      </c>
      <c r="X152" t="s">
        <v>0</v>
      </c>
    </row>
    <row r="153" spans="1:24" x14ac:dyDescent="0.25">
      <c r="A153" t="s">
        <v>39</v>
      </c>
      <c r="B153" t="s">
        <v>40</v>
      </c>
      <c r="C153" t="s">
        <v>168</v>
      </c>
      <c r="D153" t="s">
        <v>169</v>
      </c>
      <c r="E153" t="s">
        <v>168</v>
      </c>
      <c r="F153" t="s">
        <v>169</v>
      </c>
      <c r="G153" s="3">
        <v>45597</v>
      </c>
      <c r="H153" s="2">
        <v>4.17</v>
      </c>
      <c r="I153" t="s">
        <v>413</v>
      </c>
      <c r="J153" t="s">
        <v>414</v>
      </c>
      <c r="K153" s="3">
        <v>45257</v>
      </c>
      <c r="L153" s="3">
        <v>45261</v>
      </c>
      <c r="M153">
        <v>2</v>
      </c>
      <c r="N153" t="s">
        <v>55</v>
      </c>
      <c r="O153" t="s">
        <v>45</v>
      </c>
      <c r="P153" t="s">
        <v>84</v>
      </c>
      <c r="Q153" t="s">
        <v>85</v>
      </c>
      <c r="R153" s="3">
        <v>45261</v>
      </c>
      <c r="S153" t="s">
        <v>0</v>
      </c>
      <c r="T153" t="s">
        <v>86</v>
      </c>
      <c r="U153" t="s">
        <v>95</v>
      </c>
      <c r="V153" t="s">
        <v>0</v>
      </c>
      <c r="W153" s="4">
        <v>39190606</v>
      </c>
      <c r="X153" t="s">
        <v>0</v>
      </c>
    </row>
    <row r="154" spans="1:24" x14ac:dyDescent="0.25">
      <c r="A154" t="s">
        <v>39</v>
      </c>
      <c r="B154" t="s">
        <v>40</v>
      </c>
      <c r="C154" t="s">
        <v>79</v>
      </c>
      <c r="D154" t="s">
        <v>80</v>
      </c>
      <c r="E154" t="s">
        <v>79</v>
      </c>
      <c r="F154" t="s">
        <v>80</v>
      </c>
      <c r="G154" s="3">
        <v>45597</v>
      </c>
      <c r="H154" s="2">
        <v>4.17</v>
      </c>
      <c r="I154" t="s">
        <v>415</v>
      </c>
      <c r="J154" t="s">
        <v>416</v>
      </c>
      <c r="K154" s="3">
        <v>45244</v>
      </c>
      <c r="L154" s="3">
        <v>45292</v>
      </c>
      <c r="M154">
        <v>10</v>
      </c>
      <c r="N154" t="s">
        <v>84</v>
      </c>
      <c r="O154" t="s">
        <v>45</v>
      </c>
      <c r="P154" t="s">
        <v>84</v>
      </c>
      <c r="Q154" t="s">
        <v>85</v>
      </c>
      <c r="R154" s="3">
        <v>43101</v>
      </c>
      <c r="S154" t="s">
        <v>0</v>
      </c>
      <c r="T154" t="s">
        <v>86</v>
      </c>
      <c r="U154" t="s">
        <v>95</v>
      </c>
      <c r="V154" t="s">
        <v>0</v>
      </c>
      <c r="W154" s="4">
        <v>24429121</v>
      </c>
      <c r="X154" t="s">
        <v>0</v>
      </c>
    </row>
    <row r="155" spans="1:24" x14ac:dyDescent="0.25">
      <c r="A155" t="s">
        <v>39</v>
      </c>
      <c r="B155" t="s">
        <v>40</v>
      </c>
      <c r="C155" t="s">
        <v>168</v>
      </c>
      <c r="D155" t="s">
        <v>169</v>
      </c>
      <c r="E155" t="s">
        <v>168</v>
      </c>
      <c r="F155" t="s">
        <v>169</v>
      </c>
      <c r="G155" s="3">
        <v>45597</v>
      </c>
      <c r="H155" s="2">
        <v>4.17</v>
      </c>
      <c r="I155" t="s">
        <v>417</v>
      </c>
      <c r="J155" t="s">
        <v>418</v>
      </c>
      <c r="K155" s="3">
        <v>45277</v>
      </c>
      <c r="L155" s="3">
        <v>45292</v>
      </c>
      <c r="M155">
        <v>2</v>
      </c>
      <c r="N155" t="s">
        <v>84</v>
      </c>
      <c r="O155" t="s">
        <v>45</v>
      </c>
      <c r="P155" t="s">
        <v>84</v>
      </c>
      <c r="Q155" t="s">
        <v>85</v>
      </c>
      <c r="R155" s="3">
        <v>45231</v>
      </c>
      <c r="S155" t="s">
        <v>0</v>
      </c>
      <c r="T155" t="s">
        <v>86</v>
      </c>
      <c r="U155" t="s">
        <v>95</v>
      </c>
      <c r="V155" t="s">
        <v>0</v>
      </c>
      <c r="W155" s="4">
        <v>37614076</v>
      </c>
      <c r="X155" t="s">
        <v>0</v>
      </c>
    </row>
    <row r="156" spans="1:24" x14ac:dyDescent="0.25">
      <c r="A156" t="s">
        <v>39</v>
      </c>
      <c r="B156" t="s">
        <v>40</v>
      </c>
      <c r="C156" t="s">
        <v>88</v>
      </c>
      <c r="D156" t="s">
        <v>89</v>
      </c>
      <c r="E156" t="s">
        <v>88</v>
      </c>
      <c r="F156" t="s">
        <v>89</v>
      </c>
      <c r="G156" s="3">
        <v>45597</v>
      </c>
      <c r="H156" s="2">
        <v>4.17</v>
      </c>
      <c r="I156" t="s">
        <v>419</v>
      </c>
      <c r="J156" t="s">
        <v>420</v>
      </c>
      <c r="K156" s="3">
        <v>43806</v>
      </c>
      <c r="L156" s="3">
        <v>43831</v>
      </c>
      <c r="M156">
        <v>6</v>
      </c>
      <c r="N156" t="s">
        <v>0</v>
      </c>
      <c r="O156" t="s">
        <v>92</v>
      </c>
      <c r="P156" t="s">
        <v>84</v>
      </c>
      <c r="Q156" t="s">
        <v>85</v>
      </c>
      <c r="R156" s="3">
        <v>43831</v>
      </c>
      <c r="S156" t="s">
        <v>0</v>
      </c>
      <c r="T156" t="s">
        <v>86</v>
      </c>
      <c r="U156" t="s">
        <v>87</v>
      </c>
      <c r="V156" t="s">
        <v>0</v>
      </c>
      <c r="W156" s="4">
        <v>27908412</v>
      </c>
      <c r="X156" t="s">
        <v>0</v>
      </c>
    </row>
    <row r="157" spans="1:24" x14ac:dyDescent="0.25">
      <c r="A157" t="s">
        <v>39</v>
      </c>
      <c r="B157" t="s">
        <v>40</v>
      </c>
      <c r="C157" t="s">
        <v>41</v>
      </c>
      <c r="D157" t="s">
        <v>42</v>
      </c>
      <c r="E157" t="s">
        <v>41</v>
      </c>
      <c r="F157" t="s">
        <v>42</v>
      </c>
      <c r="G157" s="3">
        <v>45597</v>
      </c>
      <c r="H157" s="2">
        <v>4.17</v>
      </c>
      <c r="I157" t="s">
        <v>421</v>
      </c>
      <c r="J157" t="s">
        <v>422</v>
      </c>
      <c r="K157" s="3">
        <v>45392</v>
      </c>
      <c r="L157" s="3">
        <v>45413</v>
      </c>
      <c r="M157">
        <v>2</v>
      </c>
      <c r="N157" t="s">
        <v>84</v>
      </c>
      <c r="O157" t="s">
        <v>56</v>
      </c>
      <c r="P157" t="s">
        <v>84</v>
      </c>
      <c r="Q157" t="s">
        <v>85</v>
      </c>
      <c r="R157" s="3">
        <v>44958</v>
      </c>
      <c r="S157" t="s">
        <v>0</v>
      </c>
      <c r="T157" t="s">
        <v>86</v>
      </c>
      <c r="U157" t="s">
        <v>114</v>
      </c>
      <c r="V157" t="s">
        <v>0</v>
      </c>
      <c r="W157" s="4">
        <v>36403779</v>
      </c>
      <c r="X157" t="s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157"/>
  <sheetViews>
    <sheetView tabSelected="1" topLeftCell="D13" workbookViewId="0">
      <selection activeCell="J33" sqref="J33"/>
    </sheetView>
  </sheetViews>
  <sheetFormatPr defaultColWidth="8.85546875" defaultRowHeight="15" x14ac:dyDescent="0.25"/>
  <cols>
    <col min="1" max="1" width="13.140625" bestFit="1" customWidth="1"/>
    <col min="2" max="2" width="19.42578125" bestFit="1" customWidth="1"/>
    <col min="3" max="3" width="18.140625" bestFit="1" customWidth="1"/>
    <col min="4" max="4" width="19.42578125" bestFit="1" customWidth="1"/>
    <col min="5" max="5" width="11.140625" bestFit="1" customWidth="1"/>
    <col min="6" max="6" width="16.5703125" bestFit="1" customWidth="1"/>
    <col min="7" max="7" width="10.42578125" bestFit="1" customWidth="1"/>
    <col min="8" max="8" width="16" bestFit="1" customWidth="1"/>
    <col min="9" max="9" width="33.42578125" bestFit="1" customWidth="1"/>
    <col min="10" max="10" width="18.7109375" customWidth="1"/>
    <col min="11" max="11" width="25" bestFit="1" customWidth="1"/>
    <col min="12" max="12" width="11.28515625" bestFit="1" customWidth="1"/>
    <col min="13" max="13" width="12.5703125" bestFit="1" customWidth="1"/>
    <col min="14" max="14" width="14.28515625" bestFit="1" customWidth="1"/>
    <col min="15" max="15" width="11" bestFit="1" customWidth="1"/>
    <col min="16" max="16" width="9.42578125" bestFit="1" customWidth="1"/>
    <col min="17" max="17" width="35.7109375" bestFit="1" customWidth="1"/>
    <col min="18" max="18" width="20.42578125" bestFit="1" customWidth="1"/>
    <col min="19" max="19" width="17.7109375" bestFit="1" customWidth="1"/>
  </cols>
  <sheetData>
    <row r="1" spans="1:19" x14ac:dyDescent="0.2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s="2" t="s">
        <v>23</v>
      </c>
      <c r="I1" t="s">
        <v>24</v>
      </c>
      <c r="K1" t="s">
        <v>25</v>
      </c>
      <c r="L1" t="s">
        <v>26</v>
      </c>
      <c r="M1" t="s">
        <v>27</v>
      </c>
      <c r="N1" t="s">
        <v>29</v>
      </c>
      <c r="O1" t="s">
        <v>30</v>
      </c>
      <c r="P1" t="s">
        <v>31</v>
      </c>
      <c r="Q1" t="s">
        <v>32</v>
      </c>
      <c r="R1" t="s">
        <v>33</v>
      </c>
      <c r="S1" t="s">
        <v>34</v>
      </c>
    </row>
    <row r="2" spans="1:19" x14ac:dyDescent="0.25">
      <c r="A2" t="s">
        <v>39</v>
      </c>
      <c r="B2" t="s">
        <v>40</v>
      </c>
      <c r="C2" s="4">
        <v>16212649</v>
      </c>
      <c r="D2" t="s">
        <v>80</v>
      </c>
      <c r="E2" s="4">
        <v>16212649</v>
      </c>
      <c r="F2" t="s">
        <v>80</v>
      </c>
      <c r="G2" s="3">
        <v>45597</v>
      </c>
      <c r="H2" s="2">
        <v>4.17</v>
      </c>
      <c r="I2" t="s">
        <v>81</v>
      </c>
      <c r="J2" t="str">
        <f>CONCATENATE(I2,6)</f>
        <v>2HM1M07WP096</v>
      </c>
      <c r="K2" t="s">
        <v>82</v>
      </c>
      <c r="L2" s="3">
        <v>43964</v>
      </c>
      <c r="M2" s="3">
        <v>44013</v>
      </c>
      <c r="N2" t="s">
        <v>55</v>
      </c>
      <c r="O2" t="s">
        <v>83</v>
      </c>
      <c r="P2" t="s">
        <v>84</v>
      </c>
      <c r="Q2" t="s">
        <v>426</v>
      </c>
      <c r="R2" s="3">
        <v>44013</v>
      </c>
      <c r="S2" t="s">
        <v>423</v>
      </c>
    </row>
    <row r="3" spans="1:19" x14ac:dyDescent="0.25">
      <c r="A3" t="s">
        <v>39</v>
      </c>
      <c r="B3" t="s">
        <v>40</v>
      </c>
      <c r="C3" s="4">
        <v>9079571</v>
      </c>
      <c r="D3" t="s">
        <v>89</v>
      </c>
      <c r="E3" s="4">
        <v>9079571</v>
      </c>
      <c r="F3" t="s">
        <v>89</v>
      </c>
      <c r="G3" s="3">
        <v>45597</v>
      </c>
      <c r="H3" s="2">
        <v>4.17</v>
      </c>
      <c r="I3" t="s">
        <v>90</v>
      </c>
      <c r="J3" t="str">
        <f>CONCATENATE(I3,6)</f>
        <v>1A72WV0KV826</v>
      </c>
      <c r="K3" t="s">
        <v>91</v>
      </c>
      <c r="L3" s="3">
        <v>43799</v>
      </c>
      <c r="M3" s="3">
        <v>43800</v>
      </c>
      <c r="N3" t="s">
        <v>55</v>
      </c>
      <c r="O3" t="s">
        <v>92</v>
      </c>
      <c r="P3" t="s">
        <v>84</v>
      </c>
      <c r="Q3" t="s">
        <v>426</v>
      </c>
      <c r="R3" s="3">
        <v>43800</v>
      </c>
      <c r="S3" t="s">
        <v>423</v>
      </c>
    </row>
    <row r="4" spans="1:19" x14ac:dyDescent="0.25">
      <c r="A4" t="s">
        <v>39</v>
      </c>
      <c r="B4" t="s">
        <v>40</v>
      </c>
      <c r="C4" s="4">
        <v>9079571</v>
      </c>
      <c r="D4" t="s">
        <v>89</v>
      </c>
      <c r="E4" s="4">
        <v>9079571</v>
      </c>
      <c r="F4" t="s">
        <v>89</v>
      </c>
      <c r="G4" s="3">
        <v>45597</v>
      </c>
      <c r="H4" s="2">
        <v>4.17</v>
      </c>
      <c r="I4" t="s">
        <v>96</v>
      </c>
      <c r="J4" t="str">
        <f>CONCATENATE(I4,6)</f>
        <v>2T95EC6AV546</v>
      </c>
      <c r="K4" t="s">
        <v>97</v>
      </c>
      <c r="L4" s="3">
        <v>43837</v>
      </c>
      <c r="M4" s="3">
        <v>43862</v>
      </c>
      <c r="N4" t="s">
        <v>55</v>
      </c>
      <c r="O4" t="s">
        <v>92</v>
      </c>
      <c r="P4" t="s">
        <v>84</v>
      </c>
      <c r="Q4" t="s">
        <v>426</v>
      </c>
      <c r="R4" s="3">
        <v>43862</v>
      </c>
      <c r="S4" t="s">
        <v>423</v>
      </c>
    </row>
    <row r="5" spans="1:19" x14ac:dyDescent="0.25">
      <c r="A5" t="s">
        <v>39</v>
      </c>
      <c r="B5" t="s">
        <v>40</v>
      </c>
      <c r="C5" s="4">
        <v>9079571</v>
      </c>
      <c r="D5" t="s">
        <v>89</v>
      </c>
      <c r="E5" s="4">
        <v>9079571</v>
      </c>
      <c r="F5" t="s">
        <v>89</v>
      </c>
      <c r="G5" s="3">
        <v>45597</v>
      </c>
      <c r="H5" s="2">
        <v>4.17</v>
      </c>
      <c r="I5" t="s">
        <v>98</v>
      </c>
      <c r="J5" t="str">
        <f>CONCATENATE(I5,6)</f>
        <v>5T04RN8JY706</v>
      </c>
      <c r="K5" t="s">
        <v>99</v>
      </c>
      <c r="L5" s="3">
        <v>43799</v>
      </c>
      <c r="M5" s="3">
        <v>43800</v>
      </c>
      <c r="N5" t="s">
        <v>55</v>
      </c>
      <c r="O5" t="s">
        <v>92</v>
      </c>
      <c r="P5" t="s">
        <v>84</v>
      </c>
      <c r="Q5" t="s">
        <v>426</v>
      </c>
      <c r="R5" s="3">
        <v>43800</v>
      </c>
      <c r="S5" t="s">
        <v>423</v>
      </c>
    </row>
    <row r="6" spans="1:19" x14ac:dyDescent="0.25">
      <c r="A6" t="s">
        <v>39</v>
      </c>
      <c r="B6" t="s">
        <v>40</v>
      </c>
      <c r="C6" s="4">
        <v>9079571</v>
      </c>
      <c r="D6" t="s">
        <v>89</v>
      </c>
      <c r="E6" s="4">
        <v>9079571</v>
      </c>
      <c r="F6" t="s">
        <v>89</v>
      </c>
      <c r="G6" s="3">
        <v>45597</v>
      </c>
      <c r="H6" s="2">
        <v>4.17</v>
      </c>
      <c r="I6" t="s">
        <v>108</v>
      </c>
      <c r="J6" t="str">
        <f>CONCATENATE(I6,6)</f>
        <v>6RA5E23QJ656</v>
      </c>
      <c r="K6" t="s">
        <v>109</v>
      </c>
      <c r="L6" s="3">
        <v>43886</v>
      </c>
      <c r="M6" s="3">
        <v>43891</v>
      </c>
      <c r="N6" t="s">
        <v>55</v>
      </c>
      <c r="O6" t="s">
        <v>92</v>
      </c>
      <c r="P6" t="s">
        <v>84</v>
      </c>
      <c r="Q6" t="s">
        <v>426</v>
      </c>
      <c r="R6" s="3">
        <v>43891</v>
      </c>
      <c r="S6" t="s">
        <v>423</v>
      </c>
    </row>
    <row r="7" spans="1:19" x14ac:dyDescent="0.25">
      <c r="A7" t="s">
        <v>39</v>
      </c>
      <c r="B7" t="s">
        <v>40</v>
      </c>
      <c r="C7" s="4">
        <v>9079571</v>
      </c>
      <c r="D7" t="s">
        <v>89</v>
      </c>
      <c r="E7" s="4">
        <v>9079571</v>
      </c>
      <c r="F7" t="s">
        <v>89</v>
      </c>
      <c r="G7" s="3">
        <v>45597</v>
      </c>
      <c r="H7" s="2">
        <v>4.17</v>
      </c>
      <c r="I7" t="s">
        <v>110</v>
      </c>
      <c r="J7" t="str">
        <f>CONCATENATE(I7,6)</f>
        <v>4EX8FP5MP476</v>
      </c>
      <c r="K7" t="s">
        <v>111</v>
      </c>
      <c r="L7" s="3">
        <v>43806</v>
      </c>
      <c r="M7" s="3">
        <v>43831</v>
      </c>
      <c r="N7" t="s">
        <v>84</v>
      </c>
      <c r="O7" t="s">
        <v>92</v>
      </c>
      <c r="P7" t="s">
        <v>84</v>
      </c>
      <c r="Q7" t="s">
        <v>426</v>
      </c>
      <c r="R7" s="3">
        <v>43831</v>
      </c>
      <c r="S7" t="s">
        <v>423</v>
      </c>
    </row>
    <row r="8" spans="1:19" x14ac:dyDescent="0.25">
      <c r="A8" t="s">
        <v>39</v>
      </c>
      <c r="B8" t="s">
        <v>40</v>
      </c>
      <c r="C8" s="4">
        <v>9079571</v>
      </c>
      <c r="D8" t="s">
        <v>89</v>
      </c>
      <c r="E8" s="4">
        <v>9079571</v>
      </c>
      <c r="F8" t="s">
        <v>89</v>
      </c>
      <c r="G8" s="3">
        <v>45597</v>
      </c>
      <c r="H8" s="2">
        <v>4.17</v>
      </c>
      <c r="I8" t="s">
        <v>112</v>
      </c>
      <c r="J8" t="str">
        <f>CONCATENATE(I8,6)</f>
        <v>7GQ3TU5CC116</v>
      </c>
      <c r="K8" t="s">
        <v>113</v>
      </c>
      <c r="L8" s="3">
        <v>43803</v>
      </c>
      <c r="M8" s="3">
        <v>43831</v>
      </c>
      <c r="N8" t="s">
        <v>55</v>
      </c>
      <c r="O8" t="s">
        <v>56</v>
      </c>
      <c r="P8" t="s">
        <v>84</v>
      </c>
      <c r="Q8" t="s">
        <v>426</v>
      </c>
      <c r="R8" s="3">
        <v>43831</v>
      </c>
      <c r="S8" t="s">
        <v>423</v>
      </c>
    </row>
    <row r="9" spans="1:19" x14ac:dyDescent="0.25">
      <c r="A9" t="s">
        <v>39</v>
      </c>
      <c r="B9" t="s">
        <v>40</v>
      </c>
      <c r="C9" s="4">
        <v>9079571</v>
      </c>
      <c r="D9" t="s">
        <v>89</v>
      </c>
      <c r="E9" s="4">
        <v>9079571</v>
      </c>
      <c r="F9" t="s">
        <v>89</v>
      </c>
      <c r="G9" s="3">
        <v>45597</v>
      </c>
      <c r="H9" s="2">
        <v>4.17</v>
      </c>
      <c r="I9" t="s">
        <v>115</v>
      </c>
      <c r="J9" t="str">
        <f>CONCATENATE(I9,6)</f>
        <v>8UP8J78MV656</v>
      </c>
      <c r="K9" t="s">
        <v>116</v>
      </c>
      <c r="L9" s="3">
        <v>43799</v>
      </c>
      <c r="M9" s="3">
        <v>43800</v>
      </c>
      <c r="N9" t="s">
        <v>55</v>
      </c>
      <c r="O9" t="s">
        <v>92</v>
      </c>
      <c r="P9" t="s">
        <v>84</v>
      </c>
      <c r="Q9" t="s">
        <v>426</v>
      </c>
      <c r="R9" s="3">
        <v>43800</v>
      </c>
      <c r="S9" t="s">
        <v>423</v>
      </c>
    </row>
    <row r="10" spans="1:19" x14ac:dyDescent="0.25">
      <c r="A10" t="s">
        <v>39</v>
      </c>
      <c r="B10" t="s">
        <v>40</v>
      </c>
      <c r="C10" s="4">
        <v>9079571</v>
      </c>
      <c r="D10" t="s">
        <v>89</v>
      </c>
      <c r="E10" s="4">
        <v>9079571</v>
      </c>
      <c r="F10" t="s">
        <v>89</v>
      </c>
      <c r="G10" s="3">
        <v>45597</v>
      </c>
      <c r="H10" s="2">
        <v>4.17</v>
      </c>
      <c r="I10" t="s">
        <v>117</v>
      </c>
      <c r="J10" t="str">
        <f>CONCATENATE(I10,6)</f>
        <v>9A92UR1UA186</v>
      </c>
      <c r="K10" t="s">
        <v>118</v>
      </c>
      <c r="L10" s="3">
        <v>43906</v>
      </c>
      <c r="M10" s="3">
        <v>43922</v>
      </c>
      <c r="N10" t="s">
        <v>55</v>
      </c>
      <c r="O10" t="s">
        <v>92</v>
      </c>
      <c r="P10" t="s">
        <v>84</v>
      </c>
      <c r="Q10" t="s">
        <v>426</v>
      </c>
      <c r="R10" s="3">
        <v>43922</v>
      </c>
      <c r="S10" t="s">
        <v>423</v>
      </c>
    </row>
    <row r="11" spans="1:19" x14ac:dyDescent="0.25">
      <c r="A11" t="s">
        <v>39</v>
      </c>
      <c r="B11" t="s">
        <v>40</v>
      </c>
      <c r="C11" s="4">
        <v>9079571</v>
      </c>
      <c r="D11" t="s">
        <v>89</v>
      </c>
      <c r="E11" s="4">
        <v>9079571</v>
      </c>
      <c r="F11" t="s">
        <v>89</v>
      </c>
      <c r="G11" s="3">
        <v>45597</v>
      </c>
      <c r="H11" s="2">
        <v>4.17</v>
      </c>
      <c r="I11" t="s">
        <v>123</v>
      </c>
      <c r="J11" t="str">
        <f>CONCATENATE(I11,6)</f>
        <v>7GJ3N09DJ126</v>
      </c>
      <c r="K11" t="s">
        <v>124</v>
      </c>
      <c r="L11" s="3">
        <v>43786</v>
      </c>
      <c r="M11" s="3">
        <v>43800</v>
      </c>
      <c r="N11" t="s">
        <v>55</v>
      </c>
      <c r="O11" t="s">
        <v>102</v>
      </c>
      <c r="P11" t="s">
        <v>84</v>
      </c>
      <c r="Q11" t="s">
        <v>426</v>
      </c>
      <c r="R11" s="3">
        <v>43800</v>
      </c>
      <c r="S11" t="s">
        <v>423</v>
      </c>
    </row>
    <row r="12" spans="1:19" x14ac:dyDescent="0.25">
      <c r="A12" t="s">
        <v>39</v>
      </c>
      <c r="B12" t="s">
        <v>40</v>
      </c>
      <c r="C12" s="4">
        <v>9079571</v>
      </c>
      <c r="D12" t="s">
        <v>89</v>
      </c>
      <c r="E12" s="4">
        <v>9079571</v>
      </c>
      <c r="F12" t="s">
        <v>89</v>
      </c>
      <c r="G12" s="3">
        <v>45597</v>
      </c>
      <c r="H12" s="2">
        <v>4.17</v>
      </c>
      <c r="I12" t="s">
        <v>131</v>
      </c>
      <c r="J12" t="str">
        <f>CONCATENATE(I12,6)</f>
        <v>2R49FK7MM226</v>
      </c>
      <c r="K12" t="s">
        <v>132</v>
      </c>
      <c r="L12" s="3">
        <v>43806</v>
      </c>
      <c r="M12" s="3">
        <v>43831</v>
      </c>
      <c r="N12" t="s">
        <v>84</v>
      </c>
      <c r="O12" t="s">
        <v>92</v>
      </c>
      <c r="P12" t="s">
        <v>84</v>
      </c>
      <c r="Q12" t="s">
        <v>426</v>
      </c>
      <c r="R12" s="3">
        <v>43831</v>
      </c>
      <c r="S12" t="s">
        <v>423</v>
      </c>
    </row>
    <row r="13" spans="1:19" x14ac:dyDescent="0.25">
      <c r="A13" t="s">
        <v>39</v>
      </c>
      <c r="B13" t="s">
        <v>40</v>
      </c>
      <c r="C13" s="4">
        <v>9079571</v>
      </c>
      <c r="D13" t="s">
        <v>89</v>
      </c>
      <c r="E13" s="4">
        <v>9079571</v>
      </c>
      <c r="F13" t="s">
        <v>89</v>
      </c>
      <c r="G13" s="3">
        <v>45597</v>
      </c>
      <c r="H13" s="2">
        <v>4.17</v>
      </c>
      <c r="I13" t="s">
        <v>133</v>
      </c>
      <c r="J13" t="str">
        <f>CONCATENATE(I13,6)</f>
        <v>8UX0YJ3DQ386</v>
      </c>
      <c r="K13" t="s">
        <v>134</v>
      </c>
      <c r="L13" s="3">
        <v>43850</v>
      </c>
      <c r="M13" s="3">
        <v>43891</v>
      </c>
      <c r="N13" t="s">
        <v>55</v>
      </c>
      <c r="O13" t="s">
        <v>92</v>
      </c>
      <c r="P13" t="s">
        <v>84</v>
      </c>
      <c r="Q13" t="s">
        <v>426</v>
      </c>
      <c r="R13" s="3">
        <v>43891</v>
      </c>
      <c r="S13" t="s">
        <v>423</v>
      </c>
    </row>
    <row r="14" spans="1:19" x14ac:dyDescent="0.25">
      <c r="A14" t="s">
        <v>39</v>
      </c>
      <c r="B14" t="s">
        <v>40</v>
      </c>
      <c r="C14" s="4">
        <v>9079571</v>
      </c>
      <c r="D14" t="s">
        <v>89</v>
      </c>
      <c r="E14" s="4">
        <v>9079571</v>
      </c>
      <c r="F14" t="s">
        <v>89</v>
      </c>
      <c r="G14" s="3">
        <v>45597</v>
      </c>
      <c r="H14" s="2">
        <v>4.17</v>
      </c>
      <c r="I14" t="s">
        <v>139</v>
      </c>
      <c r="J14" t="str">
        <f>CONCATENATE(I14,6)</f>
        <v>9RV8U83EP466</v>
      </c>
      <c r="K14" t="s">
        <v>140</v>
      </c>
      <c r="L14" s="3">
        <v>43886</v>
      </c>
      <c r="M14" s="3">
        <v>43922</v>
      </c>
      <c r="N14" t="s">
        <v>55</v>
      </c>
      <c r="O14" t="s">
        <v>92</v>
      </c>
      <c r="P14" t="s">
        <v>84</v>
      </c>
      <c r="Q14" t="s">
        <v>426</v>
      </c>
      <c r="R14" s="3">
        <v>43922</v>
      </c>
      <c r="S14" t="s">
        <v>423</v>
      </c>
    </row>
    <row r="15" spans="1:19" x14ac:dyDescent="0.25">
      <c r="A15" t="s">
        <v>39</v>
      </c>
      <c r="B15" t="s">
        <v>40</v>
      </c>
      <c r="C15" s="4">
        <v>9079571</v>
      </c>
      <c r="D15" t="s">
        <v>89</v>
      </c>
      <c r="E15" s="4">
        <v>9079571</v>
      </c>
      <c r="F15" t="s">
        <v>89</v>
      </c>
      <c r="G15" s="3">
        <v>45597</v>
      </c>
      <c r="H15" s="2">
        <v>4.17</v>
      </c>
      <c r="I15" t="s">
        <v>141</v>
      </c>
      <c r="J15" t="str">
        <f>CONCATENATE(I15,6)</f>
        <v>1AD6W12YW606</v>
      </c>
      <c r="K15" t="s">
        <v>142</v>
      </c>
      <c r="L15" s="3">
        <v>43901</v>
      </c>
      <c r="M15" s="3">
        <v>44562</v>
      </c>
      <c r="N15" t="s">
        <v>84</v>
      </c>
      <c r="O15" t="s">
        <v>45</v>
      </c>
      <c r="P15" t="s">
        <v>84</v>
      </c>
      <c r="Q15" t="s">
        <v>426</v>
      </c>
      <c r="R15" s="3">
        <v>43952</v>
      </c>
      <c r="S15" t="s">
        <v>423</v>
      </c>
    </row>
    <row r="16" spans="1:19" x14ac:dyDescent="0.25">
      <c r="A16" t="s">
        <v>39</v>
      </c>
      <c r="B16" t="s">
        <v>40</v>
      </c>
      <c r="C16" s="4">
        <v>9079571</v>
      </c>
      <c r="D16" t="s">
        <v>89</v>
      </c>
      <c r="E16" s="4">
        <v>9079571</v>
      </c>
      <c r="F16" t="s">
        <v>89</v>
      </c>
      <c r="G16" s="3">
        <v>45597</v>
      </c>
      <c r="H16" s="2">
        <v>4.17</v>
      </c>
      <c r="I16" t="s">
        <v>147</v>
      </c>
      <c r="J16" t="str">
        <f>CONCATENATE(I16,6)</f>
        <v>3KW7U92PD576</v>
      </c>
      <c r="K16" t="s">
        <v>148</v>
      </c>
      <c r="L16" s="3">
        <v>43851</v>
      </c>
      <c r="M16" s="3">
        <v>44562</v>
      </c>
      <c r="N16" t="s">
        <v>84</v>
      </c>
      <c r="O16" t="s">
        <v>92</v>
      </c>
      <c r="P16" t="s">
        <v>84</v>
      </c>
      <c r="Q16" t="s">
        <v>426</v>
      </c>
      <c r="R16" s="3">
        <v>43862</v>
      </c>
      <c r="S16" t="s">
        <v>423</v>
      </c>
    </row>
    <row r="17" spans="1:19" x14ac:dyDescent="0.25">
      <c r="A17" t="s">
        <v>39</v>
      </c>
      <c r="B17" t="s">
        <v>40</v>
      </c>
      <c r="C17" s="4">
        <v>9079571</v>
      </c>
      <c r="D17" t="s">
        <v>89</v>
      </c>
      <c r="E17" s="4">
        <v>9079571</v>
      </c>
      <c r="F17" t="s">
        <v>89</v>
      </c>
      <c r="G17" s="3">
        <v>45597</v>
      </c>
      <c r="H17" s="2">
        <v>4.17</v>
      </c>
      <c r="I17" t="s">
        <v>151</v>
      </c>
      <c r="J17" t="str">
        <f>CONCATENATE(I17,6)</f>
        <v>3VQ5VJ9QK796</v>
      </c>
      <c r="K17" t="s">
        <v>152</v>
      </c>
      <c r="L17" s="3">
        <v>43882</v>
      </c>
      <c r="M17" s="3">
        <v>44562</v>
      </c>
      <c r="N17" t="s">
        <v>84</v>
      </c>
      <c r="O17" t="s">
        <v>92</v>
      </c>
      <c r="P17" t="s">
        <v>84</v>
      </c>
      <c r="Q17" t="s">
        <v>426</v>
      </c>
      <c r="R17" s="3">
        <v>43891</v>
      </c>
      <c r="S17" t="s">
        <v>423</v>
      </c>
    </row>
    <row r="18" spans="1:19" x14ac:dyDescent="0.25">
      <c r="A18" t="s">
        <v>39</v>
      </c>
      <c r="B18" t="s">
        <v>40</v>
      </c>
      <c r="C18" s="4">
        <v>9079571</v>
      </c>
      <c r="D18" t="s">
        <v>89</v>
      </c>
      <c r="E18" s="4">
        <v>9079571</v>
      </c>
      <c r="F18" t="s">
        <v>89</v>
      </c>
      <c r="G18" s="3">
        <v>45597</v>
      </c>
      <c r="H18" s="2">
        <v>4.17</v>
      </c>
      <c r="I18" t="s">
        <v>156</v>
      </c>
      <c r="J18" t="str">
        <f>CONCATENATE(I18,6)</f>
        <v>4CD8QD9XJ106</v>
      </c>
      <c r="K18" t="s">
        <v>157</v>
      </c>
      <c r="L18" s="3">
        <v>43830</v>
      </c>
      <c r="M18" s="3">
        <v>44562</v>
      </c>
      <c r="N18" t="s">
        <v>84</v>
      </c>
      <c r="O18" t="s">
        <v>92</v>
      </c>
      <c r="P18" t="s">
        <v>84</v>
      </c>
      <c r="Q18" t="s">
        <v>426</v>
      </c>
      <c r="R18" s="3">
        <v>43831</v>
      </c>
      <c r="S18" t="s">
        <v>423</v>
      </c>
    </row>
    <row r="19" spans="1:19" x14ac:dyDescent="0.25">
      <c r="A19" t="s">
        <v>39</v>
      </c>
      <c r="B19" t="s">
        <v>40</v>
      </c>
      <c r="C19" s="4">
        <v>9079571</v>
      </c>
      <c r="D19" t="s">
        <v>89</v>
      </c>
      <c r="E19" s="4">
        <v>9079571</v>
      </c>
      <c r="F19" t="s">
        <v>89</v>
      </c>
      <c r="G19" s="3">
        <v>45597</v>
      </c>
      <c r="H19" s="2">
        <v>4.17</v>
      </c>
      <c r="I19" t="s">
        <v>182</v>
      </c>
      <c r="J19" t="str">
        <f>CONCATENATE(I19,6)</f>
        <v>3TW2Y40DC076</v>
      </c>
      <c r="K19" t="s">
        <v>183</v>
      </c>
      <c r="L19" s="3">
        <v>43900</v>
      </c>
      <c r="M19" s="3">
        <v>44562</v>
      </c>
      <c r="N19" t="s">
        <v>84</v>
      </c>
      <c r="O19" t="s">
        <v>92</v>
      </c>
      <c r="P19" t="s">
        <v>84</v>
      </c>
      <c r="Q19" t="s">
        <v>426</v>
      </c>
      <c r="R19" s="3">
        <v>43922</v>
      </c>
      <c r="S19" t="s">
        <v>423</v>
      </c>
    </row>
    <row r="20" spans="1:19" x14ac:dyDescent="0.25">
      <c r="A20" t="s">
        <v>39</v>
      </c>
      <c r="B20" t="s">
        <v>40</v>
      </c>
      <c r="C20" s="4">
        <v>9079571</v>
      </c>
      <c r="D20" t="s">
        <v>89</v>
      </c>
      <c r="E20" s="4">
        <v>9079571</v>
      </c>
      <c r="F20" t="s">
        <v>89</v>
      </c>
      <c r="G20" s="3">
        <v>45597</v>
      </c>
      <c r="H20" s="2">
        <v>4.17</v>
      </c>
      <c r="I20" t="s">
        <v>186</v>
      </c>
      <c r="J20" t="str">
        <f>CONCATENATE(I20,6)</f>
        <v>7VW2D79AD986</v>
      </c>
      <c r="K20" t="s">
        <v>187</v>
      </c>
      <c r="L20" s="3">
        <v>43846</v>
      </c>
      <c r="M20" s="3">
        <v>44562</v>
      </c>
      <c r="N20" t="s">
        <v>84</v>
      </c>
      <c r="O20" t="s">
        <v>92</v>
      </c>
      <c r="P20" t="s">
        <v>84</v>
      </c>
      <c r="Q20" t="s">
        <v>426</v>
      </c>
      <c r="R20" s="3">
        <v>43862</v>
      </c>
      <c r="S20" t="s">
        <v>423</v>
      </c>
    </row>
    <row r="21" spans="1:19" x14ac:dyDescent="0.25">
      <c r="A21" t="s">
        <v>39</v>
      </c>
      <c r="B21" t="s">
        <v>40</v>
      </c>
      <c r="C21" s="4">
        <v>9079571</v>
      </c>
      <c r="D21" t="s">
        <v>89</v>
      </c>
      <c r="E21" s="4">
        <v>9079571</v>
      </c>
      <c r="F21" t="s">
        <v>89</v>
      </c>
      <c r="G21" s="3">
        <v>45597</v>
      </c>
      <c r="H21" s="2">
        <v>4.17</v>
      </c>
      <c r="I21" t="s">
        <v>278</v>
      </c>
      <c r="J21" t="str">
        <f>CONCATENATE(I21,6)</f>
        <v>8RK7NG8CW346</v>
      </c>
      <c r="K21" t="s">
        <v>279</v>
      </c>
      <c r="L21" s="3">
        <v>43899</v>
      </c>
      <c r="M21" s="3">
        <v>44562</v>
      </c>
      <c r="N21" t="s">
        <v>84</v>
      </c>
      <c r="O21" t="s">
        <v>280</v>
      </c>
      <c r="P21" t="s">
        <v>84</v>
      </c>
      <c r="Q21" t="s">
        <v>426</v>
      </c>
      <c r="R21" s="3">
        <v>43922</v>
      </c>
      <c r="S21" t="s">
        <v>423</v>
      </c>
    </row>
    <row r="22" spans="1:19" x14ac:dyDescent="0.25">
      <c r="A22" t="s">
        <v>39</v>
      </c>
      <c r="B22" t="s">
        <v>40</v>
      </c>
      <c r="C22" s="4">
        <v>9079571</v>
      </c>
      <c r="D22" t="s">
        <v>89</v>
      </c>
      <c r="E22" s="4">
        <v>9079571</v>
      </c>
      <c r="F22" t="s">
        <v>89</v>
      </c>
      <c r="G22" s="3">
        <v>45597</v>
      </c>
      <c r="H22" s="2">
        <v>4.17</v>
      </c>
      <c r="I22" t="s">
        <v>407</v>
      </c>
      <c r="J22" t="str">
        <f>CONCATENATE(I22,6)</f>
        <v>1VD1UC7KT356</v>
      </c>
      <c r="K22" t="s">
        <v>408</v>
      </c>
      <c r="L22" s="3">
        <v>45236</v>
      </c>
      <c r="M22" s="3">
        <v>45261</v>
      </c>
      <c r="N22" t="s">
        <v>55</v>
      </c>
      <c r="O22" t="s">
        <v>92</v>
      </c>
      <c r="P22" t="s">
        <v>84</v>
      </c>
      <c r="Q22" t="s">
        <v>426</v>
      </c>
      <c r="R22" s="3">
        <v>45261</v>
      </c>
      <c r="S22" t="s">
        <v>423</v>
      </c>
    </row>
    <row r="23" spans="1:19" x14ac:dyDescent="0.25">
      <c r="A23" t="s">
        <v>39</v>
      </c>
      <c r="B23" t="s">
        <v>40</v>
      </c>
      <c r="C23" s="4">
        <v>9079571</v>
      </c>
      <c r="D23" t="s">
        <v>89</v>
      </c>
      <c r="E23" s="4">
        <v>9079571</v>
      </c>
      <c r="F23" t="s">
        <v>89</v>
      </c>
      <c r="G23" s="3">
        <v>45597</v>
      </c>
      <c r="H23" s="2">
        <v>4.17</v>
      </c>
      <c r="I23" t="s">
        <v>419</v>
      </c>
      <c r="J23" t="str">
        <f>CONCATENATE(I23,6)</f>
        <v>9KU9FY3WK226</v>
      </c>
      <c r="K23" t="s">
        <v>420</v>
      </c>
      <c r="L23" s="3">
        <v>43806</v>
      </c>
      <c r="M23" s="3">
        <v>43831</v>
      </c>
      <c r="N23" t="s">
        <v>0</v>
      </c>
      <c r="O23" t="s">
        <v>92</v>
      </c>
      <c r="P23" t="s">
        <v>84</v>
      </c>
      <c r="Q23" t="s">
        <v>426</v>
      </c>
      <c r="R23" s="3">
        <v>43831</v>
      </c>
      <c r="S23" t="s">
        <v>423</v>
      </c>
    </row>
    <row r="24" spans="1:19" x14ac:dyDescent="0.25">
      <c r="A24" t="s">
        <v>39</v>
      </c>
      <c r="B24" t="s">
        <v>40</v>
      </c>
      <c r="C24" s="4">
        <v>17425766</v>
      </c>
      <c r="D24" t="s">
        <v>42</v>
      </c>
      <c r="E24" s="4" t="s">
        <v>429</v>
      </c>
      <c r="F24" t="s">
        <v>42</v>
      </c>
      <c r="G24" s="3">
        <v>45597</v>
      </c>
      <c r="H24" s="2">
        <v>4.17</v>
      </c>
      <c r="I24" t="s">
        <v>215</v>
      </c>
      <c r="J24" t="str">
        <f>CONCATENATE(I24,6)</f>
        <v>7DE3F57RW796</v>
      </c>
      <c r="K24" t="s">
        <v>216</v>
      </c>
      <c r="L24" s="3">
        <v>44855</v>
      </c>
      <c r="M24" s="3">
        <v>44927</v>
      </c>
      <c r="N24" t="s">
        <v>84</v>
      </c>
      <c r="O24" t="s">
        <v>45</v>
      </c>
      <c r="P24" t="s">
        <v>84</v>
      </c>
      <c r="Q24" t="s">
        <v>426</v>
      </c>
      <c r="R24" s="3">
        <v>44927</v>
      </c>
      <c r="S24" t="s">
        <v>423</v>
      </c>
    </row>
    <row r="25" spans="1:19" x14ac:dyDescent="0.25">
      <c r="A25" t="s">
        <v>39</v>
      </c>
      <c r="B25" t="s">
        <v>40</v>
      </c>
      <c r="C25" s="4">
        <v>17425766</v>
      </c>
      <c r="D25" t="s">
        <v>42</v>
      </c>
      <c r="E25" s="4" t="s">
        <v>429</v>
      </c>
      <c r="F25" t="s">
        <v>42</v>
      </c>
      <c r="G25" s="3">
        <v>45597</v>
      </c>
      <c r="H25" s="2">
        <v>4.17</v>
      </c>
      <c r="I25" t="s">
        <v>217</v>
      </c>
      <c r="J25" t="str">
        <f>CONCATENATE(I25,6)</f>
        <v>9A12HW7FJ076</v>
      </c>
      <c r="K25" t="s">
        <v>218</v>
      </c>
      <c r="L25" s="3">
        <v>44855</v>
      </c>
      <c r="M25" s="3">
        <v>44927</v>
      </c>
      <c r="N25" t="s">
        <v>55</v>
      </c>
      <c r="O25" t="s">
        <v>45</v>
      </c>
      <c r="P25" t="s">
        <v>84</v>
      </c>
      <c r="Q25" t="s">
        <v>426</v>
      </c>
      <c r="R25" s="3">
        <v>44927</v>
      </c>
      <c r="S25" t="s">
        <v>423</v>
      </c>
    </row>
    <row r="26" spans="1:19" x14ac:dyDescent="0.25">
      <c r="A26" t="s">
        <v>39</v>
      </c>
      <c r="B26" t="s">
        <v>40</v>
      </c>
      <c r="C26" s="4">
        <v>17425766</v>
      </c>
      <c r="D26" t="s">
        <v>42</v>
      </c>
      <c r="E26" s="4" t="s">
        <v>429</v>
      </c>
      <c r="F26" t="s">
        <v>42</v>
      </c>
      <c r="G26" s="3">
        <v>45597</v>
      </c>
      <c r="H26" s="2">
        <v>4.17</v>
      </c>
      <c r="I26" t="s">
        <v>234</v>
      </c>
      <c r="J26" t="str">
        <f>CONCATENATE(I26,6)</f>
        <v>1A23C03UX996</v>
      </c>
      <c r="K26" t="s">
        <v>235</v>
      </c>
      <c r="L26" s="3">
        <v>44891</v>
      </c>
      <c r="M26" s="3">
        <v>44927</v>
      </c>
      <c r="N26" t="s">
        <v>55</v>
      </c>
      <c r="O26" t="s">
        <v>45</v>
      </c>
      <c r="P26" t="s">
        <v>84</v>
      </c>
      <c r="Q26" t="s">
        <v>426</v>
      </c>
      <c r="R26" s="3">
        <v>44927</v>
      </c>
      <c r="S26" t="s">
        <v>423</v>
      </c>
    </row>
    <row r="27" spans="1:19" x14ac:dyDescent="0.25">
      <c r="A27" t="s">
        <v>39</v>
      </c>
      <c r="B27" t="s">
        <v>40</v>
      </c>
      <c r="C27" s="4">
        <v>17425766</v>
      </c>
      <c r="D27" t="s">
        <v>42</v>
      </c>
      <c r="E27" s="4" t="s">
        <v>429</v>
      </c>
      <c r="F27" t="s">
        <v>42</v>
      </c>
      <c r="G27" s="3">
        <v>45597</v>
      </c>
      <c r="H27" s="2">
        <v>4.17</v>
      </c>
      <c r="I27" t="s">
        <v>236</v>
      </c>
      <c r="J27" t="str">
        <f>CONCATENATE(I27,6)</f>
        <v>8EP2CP9PY996</v>
      </c>
      <c r="K27" t="s">
        <v>237</v>
      </c>
      <c r="L27" s="3">
        <v>44895</v>
      </c>
      <c r="M27" s="3">
        <v>44927</v>
      </c>
      <c r="N27" t="s">
        <v>84</v>
      </c>
      <c r="O27" t="s">
        <v>45</v>
      </c>
      <c r="P27" t="s">
        <v>84</v>
      </c>
      <c r="Q27" t="s">
        <v>426</v>
      </c>
      <c r="R27" s="3">
        <v>44927</v>
      </c>
      <c r="S27" t="s">
        <v>423</v>
      </c>
    </row>
    <row r="28" spans="1:19" x14ac:dyDescent="0.25">
      <c r="A28" t="s">
        <v>39</v>
      </c>
      <c r="B28" t="s">
        <v>40</v>
      </c>
      <c r="C28" s="4">
        <v>17425766</v>
      </c>
      <c r="D28" t="s">
        <v>42</v>
      </c>
      <c r="E28" s="4" t="s">
        <v>429</v>
      </c>
      <c r="F28" t="s">
        <v>42</v>
      </c>
      <c r="G28" s="3">
        <v>45597</v>
      </c>
      <c r="H28" s="2">
        <v>4.17</v>
      </c>
      <c r="I28" t="s">
        <v>339</v>
      </c>
      <c r="J28" t="str">
        <f>CONCATENATE(I28,6)</f>
        <v>8E26CC0FP526</v>
      </c>
      <c r="K28" t="s">
        <v>340</v>
      </c>
      <c r="L28" s="3">
        <v>45166</v>
      </c>
      <c r="M28" s="3">
        <v>45200</v>
      </c>
      <c r="N28" t="s">
        <v>55</v>
      </c>
      <c r="O28" t="s">
        <v>56</v>
      </c>
      <c r="P28" t="s">
        <v>84</v>
      </c>
      <c r="Q28" t="s">
        <v>426</v>
      </c>
      <c r="R28" s="3">
        <v>45200</v>
      </c>
      <c r="S28" t="s">
        <v>423</v>
      </c>
    </row>
    <row r="29" spans="1:19" x14ac:dyDescent="0.25">
      <c r="A29" t="s">
        <v>39</v>
      </c>
      <c r="B29" t="s">
        <v>40</v>
      </c>
      <c r="C29" s="4">
        <v>17425766</v>
      </c>
      <c r="D29" t="s">
        <v>42</v>
      </c>
      <c r="E29" s="4" t="s">
        <v>429</v>
      </c>
      <c r="F29" t="s">
        <v>42</v>
      </c>
      <c r="G29" s="3">
        <v>45597</v>
      </c>
      <c r="H29" s="2">
        <v>4.17</v>
      </c>
      <c r="I29" t="s">
        <v>365</v>
      </c>
      <c r="J29" t="str">
        <f>CONCATENATE(I29,6)</f>
        <v>9M77CF8FG516</v>
      </c>
      <c r="K29" t="s">
        <v>366</v>
      </c>
      <c r="L29" s="3">
        <v>45204</v>
      </c>
      <c r="M29" s="3">
        <v>45231</v>
      </c>
      <c r="N29" t="s">
        <v>55</v>
      </c>
      <c r="O29" t="s">
        <v>45</v>
      </c>
      <c r="P29" t="s">
        <v>84</v>
      </c>
      <c r="Q29" t="s">
        <v>426</v>
      </c>
      <c r="R29" s="3">
        <v>45231</v>
      </c>
      <c r="S29" t="s">
        <v>423</v>
      </c>
    </row>
    <row r="30" spans="1:19" x14ac:dyDescent="0.25">
      <c r="A30" t="s">
        <v>39</v>
      </c>
      <c r="B30" t="s">
        <v>40</v>
      </c>
      <c r="C30" s="4">
        <v>17425766</v>
      </c>
      <c r="D30" t="s">
        <v>42</v>
      </c>
      <c r="E30" s="4" t="s">
        <v>429</v>
      </c>
      <c r="F30" t="s">
        <v>42</v>
      </c>
      <c r="G30" s="3">
        <v>45597</v>
      </c>
      <c r="H30" s="2">
        <v>4.17</v>
      </c>
      <c r="I30" t="s">
        <v>395</v>
      </c>
      <c r="J30" t="str">
        <f>CONCATENATE(I30,6)</f>
        <v>6Y36E52PP636</v>
      </c>
      <c r="K30" t="s">
        <v>396</v>
      </c>
      <c r="L30" s="3">
        <v>45231</v>
      </c>
      <c r="M30" s="3">
        <v>45292</v>
      </c>
      <c r="N30" t="s">
        <v>84</v>
      </c>
      <c r="O30" t="s">
        <v>83</v>
      </c>
      <c r="P30" t="s">
        <v>84</v>
      </c>
      <c r="Q30" t="s">
        <v>426</v>
      </c>
      <c r="R30" s="3">
        <v>43831</v>
      </c>
      <c r="S30" t="s">
        <v>423</v>
      </c>
    </row>
    <row r="31" spans="1:19" x14ac:dyDescent="0.25">
      <c r="A31" t="s">
        <v>39</v>
      </c>
      <c r="B31" t="s">
        <v>40</v>
      </c>
      <c r="C31" s="4">
        <v>17425766</v>
      </c>
      <c r="D31" t="s">
        <v>42</v>
      </c>
      <c r="E31" s="4" t="s">
        <v>429</v>
      </c>
      <c r="F31" t="s">
        <v>42</v>
      </c>
      <c r="G31" s="3">
        <v>45597</v>
      </c>
      <c r="H31" s="2">
        <v>4.17</v>
      </c>
      <c r="I31" t="s">
        <v>401</v>
      </c>
      <c r="J31" t="str">
        <f>CONCATENATE(I31,6)</f>
        <v>2K95UX7CX966</v>
      </c>
      <c r="K31" t="s">
        <v>402</v>
      </c>
      <c r="L31" s="3">
        <v>45232</v>
      </c>
      <c r="M31" s="3">
        <v>45261</v>
      </c>
      <c r="N31" t="s">
        <v>55</v>
      </c>
      <c r="O31" t="s">
        <v>45</v>
      </c>
      <c r="P31" t="s">
        <v>84</v>
      </c>
      <c r="Q31" t="s">
        <v>426</v>
      </c>
      <c r="R31" s="3">
        <v>45261</v>
      </c>
      <c r="S31" t="s">
        <v>423</v>
      </c>
    </row>
    <row r="32" spans="1:19" x14ac:dyDescent="0.25">
      <c r="A32" t="s">
        <v>39</v>
      </c>
      <c r="B32" t="s">
        <v>40</v>
      </c>
      <c r="C32" s="4">
        <v>17425766</v>
      </c>
      <c r="D32" t="s">
        <v>42</v>
      </c>
      <c r="E32" s="4" t="s">
        <v>429</v>
      </c>
      <c r="F32" t="s">
        <v>42</v>
      </c>
      <c r="G32" s="3">
        <v>45597</v>
      </c>
      <c r="H32" s="2">
        <v>4.17</v>
      </c>
      <c r="I32" t="s">
        <v>421</v>
      </c>
      <c r="J32" t="str">
        <f>CONCATENATE(I32,6)</f>
        <v>7QJ5KM5RN856</v>
      </c>
      <c r="K32" t="s">
        <v>422</v>
      </c>
      <c r="L32" s="3">
        <v>45392</v>
      </c>
      <c r="M32" s="3">
        <v>45413</v>
      </c>
      <c r="N32" t="s">
        <v>84</v>
      </c>
      <c r="O32" t="s">
        <v>56</v>
      </c>
      <c r="P32" t="s">
        <v>84</v>
      </c>
      <c r="Q32" t="s">
        <v>426</v>
      </c>
      <c r="R32" s="3">
        <v>44958</v>
      </c>
      <c r="S32" t="s">
        <v>423</v>
      </c>
    </row>
    <row r="33" spans="1:19" x14ac:dyDescent="0.25">
      <c r="A33" t="s">
        <v>39</v>
      </c>
      <c r="B33" t="s">
        <v>40</v>
      </c>
      <c r="C33" s="4">
        <v>17425766</v>
      </c>
      <c r="D33" t="s">
        <v>42</v>
      </c>
      <c r="E33" s="4" t="s">
        <v>429</v>
      </c>
      <c r="F33" t="s">
        <v>42</v>
      </c>
      <c r="G33" s="3">
        <v>45597</v>
      </c>
      <c r="H33" s="2">
        <v>25.5</v>
      </c>
      <c r="I33" t="s">
        <v>75</v>
      </c>
      <c r="J33" t="str">
        <f>CONCATENATE(I33,6)</f>
        <v>9MU4EA3KA646</v>
      </c>
      <c r="K33" t="s">
        <v>76</v>
      </c>
      <c r="L33" s="3">
        <v>45216</v>
      </c>
      <c r="M33" s="3">
        <v>45292</v>
      </c>
      <c r="N33" t="s">
        <v>46</v>
      </c>
      <c r="O33" t="s">
        <v>56</v>
      </c>
      <c r="P33" t="s">
        <v>46</v>
      </c>
      <c r="Q33" t="s">
        <v>427</v>
      </c>
      <c r="R33" s="3">
        <v>44197</v>
      </c>
      <c r="S33" t="s">
        <v>424</v>
      </c>
    </row>
    <row r="34" spans="1:19" x14ac:dyDescent="0.25">
      <c r="A34" t="s">
        <v>39</v>
      </c>
      <c r="B34" t="s">
        <v>40</v>
      </c>
      <c r="C34" s="4">
        <v>17425766</v>
      </c>
      <c r="D34" t="s">
        <v>42</v>
      </c>
      <c r="E34" s="4" t="s">
        <v>429</v>
      </c>
      <c r="F34" t="s">
        <v>42</v>
      </c>
      <c r="G34" s="3">
        <v>45597</v>
      </c>
      <c r="H34" s="2">
        <v>28.75</v>
      </c>
      <c r="I34" t="s">
        <v>43</v>
      </c>
      <c r="J34" t="str">
        <f>CONCATENATE(I34,6)</f>
        <v>4QK1T20WP086</v>
      </c>
      <c r="K34" t="s">
        <v>44</v>
      </c>
      <c r="L34" s="3">
        <v>44860</v>
      </c>
      <c r="M34" s="3">
        <v>44927</v>
      </c>
      <c r="N34" t="s">
        <v>0</v>
      </c>
      <c r="O34" t="s">
        <v>45</v>
      </c>
      <c r="P34" t="s">
        <v>46</v>
      </c>
      <c r="Q34" t="s">
        <v>428</v>
      </c>
      <c r="R34" s="3">
        <v>44562</v>
      </c>
      <c r="S34" t="s">
        <v>425</v>
      </c>
    </row>
    <row r="35" spans="1:19" x14ac:dyDescent="0.25">
      <c r="A35" t="s">
        <v>39</v>
      </c>
      <c r="B35" t="s">
        <v>40</v>
      </c>
      <c r="C35" s="4">
        <v>15278437</v>
      </c>
      <c r="D35" t="s">
        <v>169</v>
      </c>
      <c r="E35" s="4">
        <v>15278437</v>
      </c>
      <c r="F35" t="s">
        <v>169</v>
      </c>
      <c r="G35" s="3">
        <v>45597</v>
      </c>
      <c r="H35" s="2">
        <v>4.17</v>
      </c>
      <c r="I35" t="s">
        <v>170</v>
      </c>
      <c r="J35" t="str">
        <f>CONCATENATE(I35,6)</f>
        <v>3VU5MX9XP556</v>
      </c>
      <c r="K35" t="s">
        <v>171</v>
      </c>
      <c r="L35" s="3">
        <v>44418</v>
      </c>
      <c r="M35" s="3">
        <v>44562</v>
      </c>
      <c r="N35" t="s">
        <v>84</v>
      </c>
      <c r="O35" t="s">
        <v>172</v>
      </c>
      <c r="P35" t="s">
        <v>84</v>
      </c>
      <c r="Q35" t="s">
        <v>426</v>
      </c>
      <c r="R35" s="3">
        <v>44044</v>
      </c>
      <c r="S35" t="s">
        <v>423</v>
      </c>
    </row>
    <row r="36" spans="1:19" x14ac:dyDescent="0.25">
      <c r="A36" t="s">
        <v>39</v>
      </c>
      <c r="B36" t="s">
        <v>40</v>
      </c>
      <c r="C36" s="4">
        <v>15278437</v>
      </c>
      <c r="D36" t="s">
        <v>169</v>
      </c>
      <c r="E36" s="4">
        <v>15278437</v>
      </c>
      <c r="F36" t="s">
        <v>169</v>
      </c>
      <c r="G36" s="3">
        <v>45597</v>
      </c>
      <c r="H36" s="2">
        <v>4.17</v>
      </c>
      <c r="I36" t="s">
        <v>192</v>
      </c>
      <c r="J36" t="str">
        <f>CONCATENATE(I36,6)</f>
        <v>2K28PF5XD636</v>
      </c>
      <c r="K36" t="s">
        <v>193</v>
      </c>
      <c r="L36" s="3">
        <v>44712</v>
      </c>
      <c r="M36" s="3">
        <v>44743</v>
      </c>
      <c r="N36" t="s">
        <v>55</v>
      </c>
      <c r="O36" t="s">
        <v>45</v>
      </c>
      <c r="P36" t="s">
        <v>84</v>
      </c>
      <c r="Q36" t="s">
        <v>426</v>
      </c>
      <c r="R36" s="3">
        <v>44743</v>
      </c>
      <c r="S36" t="s">
        <v>423</v>
      </c>
    </row>
    <row r="37" spans="1:19" x14ac:dyDescent="0.25">
      <c r="A37" t="s">
        <v>39</v>
      </c>
      <c r="B37" t="s">
        <v>40</v>
      </c>
      <c r="C37" s="4">
        <v>15278437</v>
      </c>
      <c r="D37" t="s">
        <v>169</v>
      </c>
      <c r="E37" s="4">
        <v>15278437</v>
      </c>
      <c r="F37" t="s">
        <v>169</v>
      </c>
      <c r="G37" s="3">
        <v>45597</v>
      </c>
      <c r="H37" s="2">
        <v>4.17</v>
      </c>
      <c r="I37" t="s">
        <v>195</v>
      </c>
      <c r="J37" t="str">
        <f>CONCATENATE(I37,6)</f>
        <v>6KC5FD8WR736</v>
      </c>
      <c r="K37" t="s">
        <v>196</v>
      </c>
      <c r="L37" s="3">
        <v>44726</v>
      </c>
      <c r="M37" s="3">
        <v>44774</v>
      </c>
      <c r="N37" t="s">
        <v>55</v>
      </c>
      <c r="O37" t="s">
        <v>45</v>
      </c>
      <c r="P37" t="s">
        <v>84</v>
      </c>
      <c r="Q37" t="s">
        <v>426</v>
      </c>
      <c r="R37" s="3">
        <v>44774</v>
      </c>
      <c r="S37" t="s">
        <v>423</v>
      </c>
    </row>
    <row r="38" spans="1:19" x14ac:dyDescent="0.25">
      <c r="A38" t="s">
        <v>39</v>
      </c>
      <c r="B38" t="s">
        <v>40</v>
      </c>
      <c r="C38" s="4">
        <v>15278437</v>
      </c>
      <c r="D38" t="s">
        <v>169</v>
      </c>
      <c r="E38" s="4">
        <v>15278437</v>
      </c>
      <c r="F38" t="s">
        <v>169</v>
      </c>
      <c r="G38" s="3">
        <v>45597</v>
      </c>
      <c r="H38" s="2">
        <v>4.17</v>
      </c>
      <c r="I38" t="s">
        <v>197</v>
      </c>
      <c r="J38" t="str">
        <f>CONCATENATE(I38,6)</f>
        <v>5WF3R39RA026</v>
      </c>
      <c r="K38" t="s">
        <v>198</v>
      </c>
      <c r="L38" s="3">
        <v>44739</v>
      </c>
      <c r="M38" s="3">
        <v>44805</v>
      </c>
      <c r="N38" t="s">
        <v>55</v>
      </c>
      <c r="O38" t="s">
        <v>45</v>
      </c>
      <c r="P38" t="s">
        <v>84</v>
      </c>
      <c r="Q38" t="s">
        <v>426</v>
      </c>
      <c r="R38" s="3">
        <v>44805</v>
      </c>
      <c r="S38" t="s">
        <v>423</v>
      </c>
    </row>
    <row r="39" spans="1:19" x14ac:dyDescent="0.25">
      <c r="A39" t="s">
        <v>39</v>
      </c>
      <c r="B39" t="s">
        <v>40</v>
      </c>
      <c r="C39" s="4">
        <v>15278437</v>
      </c>
      <c r="D39" t="s">
        <v>169</v>
      </c>
      <c r="E39" s="4">
        <v>15278437</v>
      </c>
      <c r="F39" t="s">
        <v>169</v>
      </c>
      <c r="G39" s="3">
        <v>45597</v>
      </c>
      <c r="H39" s="2">
        <v>4.17</v>
      </c>
      <c r="I39" t="s">
        <v>199</v>
      </c>
      <c r="J39" t="str">
        <f>CONCATENATE(I39,6)</f>
        <v>6N81H25RP906</v>
      </c>
      <c r="K39" t="s">
        <v>200</v>
      </c>
      <c r="L39" s="3">
        <v>44783</v>
      </c>
      <c r="M39" s="3">
        <v>44805</v>
      </c>
      <c r="N39" t="s">
        <v>55</v>
      </c>
      <c r="O39" t="s">
        <v>45</v>
      </c>
      <c r="P39" t="s">
        <v>84</v>
      </c>
      <c r="Q39" t="s">
        <v>426</v>
      </c>
      <c r="R39" s="3">
        <v>44805</v>
      </c>
      <c r="S39" t="s">
        <v>423</v>
      </c>
    </row>
    <row r="40" spans="1:19" x14ac:dyDescent="0.25">
      <c r="A40" t="s">
        <v>39</v>
      </c>
      <c r="B40" t="s">
        <v>40</v>
      </c>
      <c r="C40" s="4">
        <v>15278437</v>
      </c>
      <c r="D40" t="s">
        <v>169</v>
      </c>
      <c r="E40" s="4">
        <v>15278437</v>
      </c>
      <c r="F40" t="s">
        <v>169</v>
      </c>
      <c r="G40" s="3">
        <v>45597</v>
      </c>
      <c r="H40" s="2">
        <v>4.17</v>
      </c>
      <c r="I40" t="s">
        <v>201</v>
      </c>
      <c r="J40" t="str">
        <f>CONCATENATE(I40,6)</f>
        <v>6CG4NP4CD866</v>
      </c>
      <c r="K40" t="s">
        <v>202</v>
      </c>
      <c r="L40" s="3">
        <v>44788</v>
      </c>
      <c r="M40" s="3">
        <v>44805</v>
      </c>
      <c r="N40" t="s">
        <v>55</v>
      </c>
      <c r="O40" t="s">
        <v>45</v>
      </c>
      <c r="P40" t="s">
        <v>84</v>
      </c>
      <c r="Q40" t="s">
        <v>426</v>
      </c>
      <c r="R40" s="3">
        <v>44805</v>
      </c>
      <c r="S40" t="s">
        <v>423</v>
      </c>
    </row>
    <row r="41" spans="1:19" x14ac:dyDescent="0.25">
      <c r="A41" t="s">
        <v>39</v>
      </c>
      <c r="B41" t="s">
        <v>40</v>
      </c>
      <c r="C41" s="4">
        <v>15278437</v>
      </c>
      <c r="D41" t="s">
        <v>169</v>
      </c>
      <c r="E41" s="4">
        <v>15278437</v>
      </c>
      <c r="F41" t="s">
        <v>169</v>
      </c>
      <c r="G41" s="3">
        <v>45597</v>
      </c>
      <c r="H41" s="2">
        <v>4.17</v>
      </c>
      <c r="I41" t="s">
        <v>203</v>
      </c>
      <c r="J41" t="str">
        <f>CONCATENATE(I41,6)</f>
        <v>4G50Y07XG096</v>
      </c>
      <c r="K41" t="s">
        <v>204</v>
      </c>
      <c r="L41" s="3">
        <v>44795</v>
      </c>
      <c r="M41" s="3">
        <v>44805</v>
      </c>
      <c r="N41" t="s">
        <v>55</v>
      </c>
      <c r="O41" t="s">
        <v>45</v>
      </c>
      <c r="P41" t="s">
        <v>84</v>
      </c>
      <c r="Q41" t="s">
        <v>426</v>
      </c>
      <c r="R41" s="3">
        <v>44805</v>
      </c>
      <c r="S41" t="s">
        <v>423</v>
      </c>
    </row>
    <row r="42" spans="1:19" x14ac:dyDescent="0.25">
      <c r="A42" t="s">
        <v>39</v>
      </c>
      <c r="B42" t="s">
        <v>40</v>
      </c>
      <c r="C42" s="4">
        <v>15278437</v>
      </c>
      <c r="D42" t="s">
        <v>169</v>
      </c>
      <c r="E42" s="4">
        <v>15278437</v>
      </c>
      <c r="F42" t="s">
        <v>169</v>
      </c>
      <c r="G42" s="3">
        <v>45597</v>
      </c>
      <c r="H42" s="2">
        <v>4.17</v>
      </c>
      <c r="I42" t="s">
        <v>205</v>
      </c>
      <c r="J42" t="str">
        <f>CONCATENATE(I42,6)</f>
        <v>2ER4H33TV806</v>
      </c>
      <c r="K42" t="s">
        <v>206</v>
      </c>
      <c r="L42" s="3">
        <v>44795</v>
      </c>
      <c r="M42" s="3">
        <v>44835</v>
      </c>
      <c r="N42" t="s">
        <v>55</v>
      </c>
      <c r="O42" t="s">
        <v>45</v>
      </c>
      <c r="P42" t="s">
        <v>84</v>
      </c>
      <c r="Q42" t="s">
        <v>426</v>
      </c>
      <c r="R42" s="3">
        <v>44835</v>
      </c>
      <c r="S42" t="s">
        <v>423</v>
      </c>
    </row>
    <row r="43" spans="1:19" x14ac:dyDescent="0.25">
      <c r="A43" t="s">
        <v>39</v>
      </c>
      <c r="B43" t="s">
        <v>40</v>
      </c>
      <c r="C43" s="4">
        <v>15278437</v>
      </c>
      <c r="D43" t="s">
        <v>169</v>
      </c>
      <c r="E43" s="4">
        <v>15278437</v>
      </c>
      <c r="F43" t="s">
        <v>169</v>
      </c>
      <c r="G43" s="3">
        <v>45597</v>
      </c>
      <c r="H43" s="2">
        <v>4.17</v>
      </c>
      <c r="I43" t="s">
        <v>207</v>
      </c>
      <c r="J43" t="str">
        <f>CONCATENATE(I43,6)</f>
        <v>9QW4TF4RK646</v>
      </c>
      <c r="K43" t="s">
        <v>208</v>
      </c>
      <c r="L43" s="3">
        <v>44798</v>
      </c>
      <c r="M43" s="3">
        <v>44835</v>
      </c>
      <c r="N43" t="s">
        <v>55</v>
      </c>
      <c r="O43" t="s">
        <v>45</v>
      </c>
      <c r="P43" t="s">
        <v>84</v>
      </c>
      <c r="Q43" t="s">
        <v>426</v>
      </c>
      <c r="R43" s="3">
        <v>44835</v>
      </c>
      <c r="S43" t="s">
        <v>423</v>
      </c>
    </row>
    <row r="44" spans="1:19" x14ac:dyDescent="0.25">
      <c r="A44" t="s">
        <v>39</v>
      </c>
      <c r="B44" t="s">
        <v>40</v>
      </c>
      <c r="C44" s="4">
        <v>15278437</v>
      </c>
      <c r="D44" t="s">
        <v>169</v>
      </c>
      <c r="E44" s="4">
        <v>15278437</v>
      </c>
      <c r="F44" t="s">
        <v>169</v>
      </c>
      <c r="G44" s="3">
        <v>45597</v>
      </c>
      <c r="H44" s="2">
        <v>4.17</v>
      </c>
      <c r="I44" t="s">
        <v>209</v>
      </c>
      <c r="J44" t="str">
        <f>CONCATENATE(I44,6)</f>
        <v>7J83KR7HQ796</v>
      </c>
      <c r="K44" t="s">
        <v>210</v>
      </c>
      <c r="L44" s="3">
        <v>44834</v>
      </c>
      <c r="M44" s="3">
        <v>44896</v>
      </c>
      <c r="N44" t="s">
        <v>55</v>
      </c>
      <c r="O44" t="s">
        <v>45</v>
      </c>
      <c r="P44" t="s">
        <v>84</v>
      </c>
      <c r="Q44" t="s">
        <v>426</v>
      </c>
      <c r="R44" s="3">
        <v>44896</v>
      </c>
      <c r="S44" t="s">
        <v>423</v>
      </c>
    </row>
    <row r="45" spans="1:19" x14ac:dyDescent="0.25">
      <c r="A45" t="s">
        <v>39</v>
      </c>
      <c r="B45" t="s">
        <v>40</v>
      </c>
      <c r="C45" s="4">
        <v>15278437</v>
      </c>
      <c r="D45" t="s">
        <v>169</v>
      </c>
      <c r="E45" s="4">
        <v>15278437</v>
      </c>
      <c r="F45" t="s">
        <v>169</v>
      </c>
      <c r="G45" s="3">
        <v>45597</v>
      </c>
      <c r="H45" s="2">
        <v>4.17</v>
      </c>
      <c r="I45" t="s">
        <v>211</v>
      </c>
      <c r="J45" t="str">
        <f>CONCATENATE(I45,6)</f>
        <v>9J23PX8KK006</v>
      </c>
      <c r="K45" t="s">
        <v>212</v>
      </c>
      <c r="L45" s="3">
        <v>44851</v>
      </c>
      <c r="M45" s="3">
        <v>44927</v>
      </c>
      <c r="N45" t="s">
        <v>55</v>
      </c>
      <c r="O45" t="s">
        <v>45</v>
      </c>
      <c r="P45" t="s">
        <v>84</v>
      </c>
      <c r="Q45" t="s">
        <v>426</v>
      </c>
      <c r="R45" s="3">
        <v>44927</v>
      </c>
      <c r="S45" t="s">
        <v>423</v>
      </c>
    </row>
    <row r="46" spans="1:19" x14ac:dyDescent="0.25">
      <c r="A46" t="s">
        <v>39</v>
      </c>
      <c r="B46" t="s">
        <v>40</v>
      </c>
      <c r="C46" s="4">
        <v>15278437</v>
      </c>
      <c r="D46" t="s">
        <v>169</v>
      </c>
      <c r="E46" s="4">
        <v>15278437</v>
      </c>
      <c r="F46" t="s">
        <v>169</v>
      </c>
      <c r="G46" s="3">
        <v>45597</v>
      </c>
      <c r="H46" s="2">
        <v>4.17</v>
      </c>
      <c r="I46" t="s">
        <v>213</v>
      </c>
      <c r="J46" t="str">
        <f>CONCATENATE(I46,6)</f>
        <v>6UH1CX0NC966</v>
      </c>
      <c r="K46" t="s">
        <v>214</v>
      </c>
      <c r="L46" s="3">
        <v>44852</v>
      </c>
      <c r="M46" s="3">
        <v>44927</v>
      </c>
      <c r="N46" t="s">
        <v>84</v>
      </c>
      <c r="O46" t="s">
        <v>45</v>
      </c>
      <c r="P46" t="s">
        <v>84</v>
      </c>
      <c r="Q46" t="s">
        <v>426</v>
      </c>
      <c r="R46" s="3">
        <v>44927</v>
      </c>
      <c r="S46" t="s">
        <v>423</v>
      </c>
    </row>
    <row r="47" spans="1:19" x14ac:dyDescent="0.25">
      <c r="A47" t="s">
        <v>39</v>
      </c>
      <c r="B47" t="s">
        <v>40</v>
      </c>
      <c r="C47" s="4">
        <v>15278437</v>
      </c>
      <c r="D47" t="s">
        <v>169</v>
      </c>
      <c r="E47" s="4">
        <v>15278437</v>
      </c>
      <c r="F47" t="s">
        <v>169</v>
      </c>
      <c r="G47" s="3">
        <v>45597</v>
      </c>
      <c r="H47" s="2">
        <v>4.17</v>
      </c>
      <c r="I47" t="s">
        <v>219</v>
      </c>
      <c r="J47" t="str">
        <f>CONCATENATE(I47,6)</f>
        <v>8YP5PC7TV866</v>
      </c>
      <c r="K47" t="s">
        <v>220</v>
      </c>
      <c r="L47" s="3">
        <v>44858</v>
      </c>
      <c r="M47" s="3">
        <v>44927</v>
      </c>
      <c r="N47" t="s">
        <v>84</v>
      </c>
      <c r="O47" t="s">
        <v>45</v>
      </c>
      <c r="P47" t="s">
        <v>84</v>
      </c>
      <c r="Q47" t="s">
        <v>426</v>
      </c>
      <c r="R47" s="3">
        <v>44927</v>
      </c>
      <c r="S47" t="s">
        <v>423</v>
      </c>
    </row>
    <row r="48" spans="1:19" x14ac:dyDescent="0.25">
      <c r="A48" t="s">
        <v>39</v>
      </c>
      <c r="B48" t="s">
        <v>40</v>
      </c>
      <c r="C48" s="4">
        <v>15278437</v>
      </c>
      <c r="D48" t="s">
        <v>169</v>
      </c>
      <c r="E48" s="4">
        <v>15278437</v>
      </c>
      <c r="F48" t="s">
        <v>169</v>
      </c>
      <c r="G48" s="3">
        <v>45597</v>
      </c>
      <c r="H48" s="2">
        <v>4.17</v>
      </c>
      <c r="I48" t="s">
        <v>221</v>
      </c>
      <c r="J48" t="str">
        <f>CONCATENATE(I48,6)</f>
        <v>3QK1AR4FM266</v>
      </c>
      <c r="K48" t="s">
        <v>222</v>
      </c>
      <c r="L48" s="3">
        <v>44865</v>
      </c>
      <c r="M48" s="3">
        <v>44927</v>
      </c>
      <c r="N48" t="s">
        <v>84</v>
      </c>
      <c r="O48" t="s">
        <v>45</v>
      </c>
      <c r="P48" t="s">
        <v>84</v>
      </c>
      <c r="Q48" t="s">
        <v>426</v>
      </c>
      <c r="R48" s="3">
        <v>44927</v>
      </c>
      <c r="S48" t="s">
        <v>423</v>
      </c>
    </row>
    <row r="49" spans="1:19" x14ac:dyDescent="0.25">
      <c r="A49" t="s">
        <v>39</v>
      </c>
      <c r="B49" t="s">
        <v>40</v>
      </c>
      <c r="C49" s="4">
        <v>15278437</v>
      </c>
      <c r="D49" t="s">
        <v>169</v>
      </c>
      <c r="E49" s="4">
        <v>15278437</v>
      </c>
      <c r="F49" t="s">
        <v>169</v>
      </c>
      <c r="G49" s="3">
        <v>45597</v>
      </c>
      <c r="H49" s="2">
        <v>4.17</v>
      </c>
      <c r="I49" t="s">
        <v>223</v>
      </c>
      <c r="J49" t="str">
        <f>CONCATENATE(I49,6)</f>
        <v>5Q40FK8PY426</v>
      </c>
      <c r="K49" t="s">
        <v>224</v>
      </c>
      <c r="L49" s="3">
        <v>44876</v>
      </c>
      <c r="M49" s="3">
        <v>44927</v>
      </c>
      <c r="N49" t="s">
        <v>84</v>
      </c>
      <c r="O49" t="s">
        <v>92</v>
      </c>
      <c r="P49" t="s">
        <v>84</v>
      </c>
      <c r="Q49" t="s">
        <v>426</v>
      </c>
      <c r="R49" s="3">
        <v>44927</v>
      </c>
      <c r="S49" t="s">
        <v>423</v>
      </c>
    </row>
    <row r="50" spans="1:19" x14ac:dyDescent="0.25">
      <c r="A50" t="s">
        <v>39</v>
      </c>
      <c r="B50" t="s">
        <v>40</v>
      </c>
      <c r="C50" s="4">
        <v>15278437</v>
      </c>
      <c r="D50" t="s">
        <v>169</v>
      </c>
      <c r="E50" s="4">
        <v>15278437</v>
      </c>
      <c r="F50" t="s">
        <v>169</v>
      </c>
      <c r="G50" s="3">
        <v>45597</v>
      </c>
      <c r="H50" s="2">
        <v>4.17</v>
      </c>
      <c r="I50" t="s">
        <v>225</v>
      </c>
      <c r="J50" t="str">
        <f>CONCATENATE(I50,6)</f>
        <v>8KM2WF7YJ956</v>
      </c>
      <c r="K50" t="s">
        <v>226</v>
      </c>
      <c r="L50" s="3">
        <v>44875</v>
      </c>
      <c r="M50" s="3">
        <v>44927</v>
      </c>
      <c r="N50" t="s">
        <v>84</v>
      </c>
      <c r="O50" t="s">
        <v>45</v>
      </c>
      <c r="P50" t="s">
        <v>84</v>
      </c>
      <c r="Q50" t="s">
        <v>426</v>
      </c>
      <c r="R50" s="3">
        <v>44927</v>
      </c>
      <c r="S50" t="s">
        <v>423</v>
      </c>
    </row>
    <row r="51" spans="1:19" x14ac:dyDescent="0.25">
      <c r="A51" t="s">
        <v>39</v>
      </c>
      <c r="B51" t="s">
        <v>40</v>
      </c>
      <c r="C51" s="4">
        <v>15278437</v>
      </c>
      <c r="D51" t="s">
        <v>169</v>
      </c>
      <c r="E51" s="4">
        <v>15278437</v>
      </c>
      <c r="F51" t="s">
        <v>169</v>
      </c>
      <c r="G51" s="3">
        <v>45597</v>
      </c>
      <c r="H51" s="2">
        <v>4.17</v>
      </c>
      <c r="I51" t="s">
        <v>227</v>
      </c>
      <c r="J51" t="str">
        <f>CONCATENATE(I51,6)</f>
        <v>8HP4PG0CG746</v>
      </c>
      <c r="K51" t="s">
        <v>228</v>
      </c>
      <c r="L51" s="3">
        <v>44883</v>
      </c>
      <c r="M51" s="3">
        <v>44927</v>
      </c>
      <c r="N51" t="s">
        <v>84</v>
      </c>
      <c r="O51" t="s">
        <v>45</v>
      </c>
      <c r="P51" t="s">
        <v>84</v>
      </c>
      <c r="Q51" t="s">
        <v>426</v>
      </c>
      <c r="R51" s="3">
        <v>44927</v>
      </c>
      <c r="S51" t="s">
        <v>423</v>
      </c>
    </row>
    <row r="52" spans="1:19" x14ac:dyDescent="0.25">
      <c r="A52" t="s">
        <v>39</v>
      </c>
      <c r="B52" t="s">
        <v>40</v>
      </c>
      <c r="C52" s="4">
        <v>15278437</v>
      </c>
      <c r="D52" t="s">
        <v>169</v>
      </c>
      <c r="E52" s="4">
        <v>15278437</v>
      </c>
      <c r="F52" t="s">
        <v>169</v>
      </c>
      <c r="G52" s="3">
        <v>45597</v>
      </c>
      <c r="H52" s="2">
        <v>4.17</v>
      </c>
      <c r="I52" t="s">
        <v>229</v>
      </c>
      <c r="J52" t="str">
        <f>CONCATENATE(I52,6)</f>
        <v>6H13KU9ND826</v>
      </c>
      <c r="K52" t="s">
        <v>230</v>
      </c>
      <c r="L52" s="3">
        <v>44883</v>
      </c>
      <c r="M52" s="3">
        <v>44927</v>
      </c>
      <c r="N52" t="s">
        <v>55</v>
      </c>
      <c r="O52" t="s">
        <v>45</v>
      </c>
      <c r="P52" t="s">
        <v>84</v>
      </c>
      <c r="Q52" t="s">
        <v>426</v>
      </c>
      <c r="R52" s="3">
        <v>44927</v>
      </c>
      <c r="S52" t="s">
        <v>423</v>
      </c>
    </row>
    <row r="53" spans="1:19" x14ac:dyDescent="0.25">
      <c r="A53" t="s">
        <v>39</v>
      </c>
      <c r="B53" t="s">
        <v>40</v>
      </c>
      <c r="C53" s="4">
        <v>15278437</v>
      </c>
      <c r="D53" t="s">
        <v>169</v>
      </c>
      <c r="E53" s="4">
        <v>15278437</v>
      </c>
      <c r="F53" t="s">
        <v>169</v>
      </c>
      <c r="G53" s="3">
        <v>45597</v>
      </c>
      <c r="H53" s="2">
        <v>4.17</v>
      </c>
      <c r="I53" t="s">
        <v>231</v>
      </c>
      <c r="J53" t="str">
        <f>CONCATENATE(I53,6)</f>
        <v>9EY5DA9NN886</v>
      </c>
      <c r="K53" t="s">
        <v>232</v>
      </c>
      <c r="L53" s="3">
        <v>44886</v>
      </c>
      <c r="M53" s="3">
        <v>44927</v>
      </c>
      <c r="N53" t="s">
        <v>84</v>
      </c>
      <c r="O53" t="s">
        <v>45</v>
      </c>
      <c r="P53" t="s">
        <v>84</v>
      </c>
      <c r="Q53" t="s">
        <v>426</v>
      </c>
      <c r="R53" s="3">
        <v>44927</v>
      </c>
      <c r="S53" t="s">
        <v>423</v>
      </c>
    </row>
    <row r="54" spans="1:19" x14ac:dyDescent="0.25">
      <c r="A54" t="s">
        <v>39</v>
      </c>
      <c r="B54" t="s">
        <v>40</v>
      </c>
      <c r="C54" s="4">
        <v>15278437</v>
      </c>
      <c r="D54" t="s">
        <v>169</v>
      </c>
      <c r="E54" s="4">
        <v>15278437</v>
      </c>
      <c r="F54" t="s">
        <v>169</v>
      </c>
      <c r="G54" s="3">
        <v>45597</v>
      </c>
      <c r="H54" s="2">
        <v>4.17</v>
      </c>
      <c r="I54" t="s">
        <v>238</v>
      </c>
      <c r="J54" t="str">
        <f>CONCATENATE(I54,6)</f>
        <v>1ME1W93NG976</v>
      </c>
      <c r="K54" t="s">
        <v>239</v>
      </c>
      <c r="L54" s="3">
        <v>44897</v>
      </c>
      <c r="M54" s="3">
        <v>44927</v>
      </c>
      <c r="N54" t="s">
        <v>84</v>
      </c>
      <c r="O54" t="s">
        <v>102</v>
      </c>
      <c r="P54" t="s">
        <v>84</v>
      </c>
      <c r="Q54" t="s">
        <v>426</v>
      </c>
      <c r="R54" s="3">
        <v>44927</v>
      </c>
      <c r="S54" t="s">
        <v>423</v>
      </c>
    </row>
    <row r="55" spans="1:19" x14ac:dyDescent="0.25">
      <c r="A55" t="s">
        <v>39</v>
      </c>
      <c r="B55" t="s">
        <v>40</v>
      </c>
      <c r="C55" s="4">
        <v>15278437</v>
      </c>
      <c r="D55" t="s">
        <v>169</v>
      </c>
      <c r="E55" s="4">
        <v>15278437</v>
      </c>
      <c r="F55" t="s">
        <v>169</v>
      </c>
      <c r="G55" s="3">
        <v>45597</v>
      </c>
      <c r="H55" s="2">
        <v>4.17</v>
      </c>
      <c r="I55" t="s">
        <v>240</v>
      </c>
      <c r="J55" t="str">
        <f>CONCATENATE(I55,6)</f>
        <v>1VR5GG7MG576</v>
      </c>
      <c r="K55" t="s">
        <v>241</v>
      </c>
      <c r="L55" s="3">
        <v>44897</v>
      </c>
      <c r="M55" s="3">
        <v>44927</v>
      </c>
      <c r="N55" t="s">
        <v>84</v>
      </c>
      <c r="O55" t="s">
        <v>102</v>
      </c>
      <c r="P55" t="s">
        <v>84</v>
      </c>
      <c r="Q55" t="s">
        <v>426</v>
      </c>
      <c r="R55" s="3">
        <v>44927</v>
      </c>
      <c r="S55" t="s">
        <v>423</v>
      </c>
    </row>
    <row r="56" spans="1:19" x14ac:dyDescent="0.25">
      <c r="A56" t="s">
        <v>39</v>
      </c>
      <c r="B56" t="s">
        <v>40</v>
      </c>
      <c r="C56" s="4">
        <v>15278437</v>
      </c>
      <c r="D56" t="s">
        <v>169</v>
      </c>
      <c r="E56" s="4">
        <v>15278437</v>
      </c>
      <c r="F56" t="s">
        <v>169</v>
      </c>
      <c r="G56" s="3">
        <v>45597</v>
      </c>
      <c r="H56" s="2">
        <v>4.17</v>
      </c>
      <c r="I56" t="s">
        <v>242</v>
      </c>
      <c r="J56" t="str">
        <f>CONCATENATE(I56,6)</f>
        <v>5DU0TF5JM136</v>
      </c>
      <c r="K56" t="s">
        <v>243</v>
      </c>
      <c r="L56" s="3">
        <v>44903</v>
      </c>
      <c r="M56" s="3">
        <v>44958</v>
      </c>
      <c r="N56" t="s">
        <v>55</v>
      </c>
      <c r="O56" t="s">
        <v>45</v>
      </c>
      <c r="P56" t="s">
        <v>84</v>
      </c>
      <c r="Q56" t="s">
        <v>426</v>
      </c>
      <c r="R56" s="3">
        <v>44958</v>
      </c>
      <c r="S56" t="s">
        <v>423</v>
      </c>
    </row>
    <row r="57" spans="1:19" x14ac:dyDescent="0.25">
      <c r="A57" t="s">
        <v>39</v>
      </c>
      <c r="B57" t="s">
        <v>40</v>
      </c>
      <c r="C57" s="4">
        <v>15278437</v>
      </c>
      <c r="D57" t="s">
        <v>169</v>
      </c>
      <c r="E57" s="4">
        <v>15278437</v>
      </c>
      <c r="F57" t="s">
        <v>169</v>
      </c>
      <c r="G57" s="3">
        <v>45597</v>
      </c>
      <c r="H57" s="2">
        <v>4.17</v>
      </c>
      <c r="I57" t="s">
        <v>244</v>
      </c>
      <c r="J57" t="str">
        <f>CONCATENATE(I57,6)</f>
        <v>5UN7WR8PY476</v>
      </c>
      <c r="K57" t="s">
        <v>245</v>
      </c>
      <c r="L57" s="3">
        <v>44902</v>
      </c>
      <c r="M57" s="3">
        <v>44927</v>
      </c>
      <c r="N57" t="s">
        <v>84</v>
      </c>
      <c r="O57" t="s">
        <v>45</v>
      </c>
      <c r="P57" t="s">
        <v>84</v>
      </c>
      <c r="Q57" t="s">
        <v>426</v>
      </c>
      <c r="R57" s="3">
        <v>44927</v>
      </c>
      <c r="S57" t="s">
        <v>423</v>
      </c>
    </row>
    <row r="58" spans="1:19" x14ac:dyDescent="0.25">
      <c r="A58" t="s">
        <v>39</v>
      </c>
      <c r="B58" t="s">
        <v>40</v>
      </c>
      <c r="C58" s="4">
        <v>15278437</v>
      </c>
      <c r="D58" t="s">
        <v>169</v>
      </c>
      <c r="E58" s="4">
        <v>15278437</v>
      </c>
      <c r="F58" t="s">
        <v>169</v>
      </c>
      <c r="G58" s="3">
        <v>45597</v>
      </c>
      <c r="H58" s="2">
        <v>4.17</v>
      </c>
      <c r="I58" t="s">
        <v>248</v>
      </c>
      <c r="J58" t="str">
        <f>CONCATENATE(I58,6)</f>
        <v>9KN3TM8QK876</v>
      </c>
      <c r="K58" t="s">
        <v>249</v>
      </c>
      <c r="L58" s="3">
        <v>44915</v>
      </c>
      <c r="M58" s="3">
        <v>44927</v>
      </c>
      <c r="N58" t="s">
        <v>55</v>
      </c>
      <c r="O58" t="s">
        <v>45</v>
      </c>
      <c r="P58" t="s">
        <v>84</v>
      </c>
      <c r="Q58" t="s">
        <v>426</v>
      </c>
      <c r="R58" s="3">
        <v>44927</v>
      </c>
      <c r="S58" t="s">
        <v>423</v>
      </c>
    </row>
    <row r="59" spans="1:19" x14ac:dyDescent="0.25">
      <c r="A59" t="s">
        <v>39</v>
      </c>
      <c r="B59" t="s">
        <v>40</v>
      </c>
      <c r="C59" s="4">
        <v>15278437</v>
      </c>
      <c r="D59" t="s">
        <v>169</v>
      </c>
      <c r="E59" s="4">
        <v>15278437</v>
      </c>
      <c r="F59" t="s">
        <v>169</v>
      </c>
      <c r="G59" s="3">
        <v>45597</v>
      </c>
      <c r="H59" s="2">
        <v>4.17</v>
      </c>
      <c r="I59" t="s">
        <v>250</v>
      </c>
      <c r="J59" t="str">
        <f>CONCATENATE(I59,6)</f>
        <v>8NX4XQ6JK856</v>
      </c>
      <c r="K59" t="s">
        <v>251</v>
      </c>
      <c r="L59" s="3">
        <v>44914</v>
      </c>
      <c r="M59" s="3">
        <v>44958</v>
      </c>
      <c r="N59" t="s">
        <v>55</v>
      </c>
      <c r="O59" t="s">
        <v>45</v>
      </c>
      <c r="P59" t="s">
        <v>84</v>
      </c>
      <c r="Q59" t="s">
        <v>426</v>
      </c>
      <c r="R59" s="3">
        <v>44958</v>
      </c>
      <c r="S59" t="s">
        <v>423</v>
      </c>
    </row>
    <row r="60" spans="1:19" x14ac:dyDescent="0.25">
      <c r="A60" t="s">
        <v>39</v>
      </c>
      <c r="B60" t="s">
        <v>40</v>
      </c>
      <c r="C60" s="4">
        <v>15278437</v>
      </c>
      <c r="D60" t="s">
        <v>169</v>
      </c>
      <c r="E60" s="4">
        <v>15278437</v>
      </c>
      <c r="F60" t="s">
        <v>169</v>
      </c>
      <c r="G60" s="3">
        <v>45597</v>
      </c>
      <c r="H60" s="2">
        <v>4.17</v>
      </c>
      <c r="I60" t="s">
        <v>252</v>
      </c>
      <c r="J60" t="str">
        <f>CONCATENATE(I60,6)</f>
        <v>1YC1XP4QF946</v>
      </c>
      <c r="K60" t="s">
        <v>253</v>
      </c>
      <c r="L60" s="3">
        <v>44917</v>
      </c>
      <c r="M60" s="3">
        <v>44958</v>
      </c>
      <c r="N60" t="s">
        <v>55</v>
      </c>
      <c r="O60" t="s">
        <v>45</v>
      </c>
      <c r="P60" t="s">
        <v>84</v>
      </c>
      <c r="Q60" t="s">
        <v>426</v>
      </c>
      <c r="R60" s="3">
        <v>44958</v>
      </c>
      <c r="S60" t="s">
        <v>423</v>
      </c>
    </row>
    <row r="61" spans="1:19" x14ac:dyDescent="0.25">
      <c r="A61" t="s">
        <v>39</v>
      </c>
      <c r="B61" t="s">
        <v>40</v>
      </c>
      <c r="C61" s="4">
        <v>15278437</v>
      </c>
      <c r="D61" t="s">
        <v>169</v>
      </c>
      <c r="E61" s="4">
        <v>15278437</v>
      </c>
      <c r="F61" t="s">
        <v>169</v>
      </c>
      <c r="G61" s="3">
        <v>45597</v>
      </c>
      <c r="H61" s="2">
        <v>4.17</v>
      </c>
      <c r="I61" t="s">
        <v>254</v>
      </c>
      <c r="J61" t="str">
        <f>CONCATENATE(I61,6)</f>
        <v>3X72HX4HA966</v>
      </c>
      <c r="K61" t="s">
        <v>255</v>
      </c>
      <c r="L61" s="3">
        <v>44923</v>
      </c>
      <c r="M61" s="3">
        <v>44986</v>
      </c>
      <c r="N61" t="s">
        <v>55</v>
      </c>
      <c r="O61" t="s">
        <v>45</v>
      </c>
      <c r="P61" t="s">
        <v>84</v>
      </c>
      <c r="Q61" t="s">
        <v>426</v>
      </c>
      <c r="R61" s="3">
        <v>44986</v>
      </c>
      <c r="S61" t="s">
        <v>423</v>
      </c>
    </row>
    <row r="62" spans="1:19" x14ac:dyDescent="0.25">
      <c r="A62" t="s">
        <v>39</v>
      </c>
      <c r="B62" t="s">
        <v>40</v>
      </c>
      <c r="C62" s="4">
        <v>15278437</v>
      </c>
      <c r="D62" t="s">
        <v>169</v>
      </c>
      <c r="E62" s="4">
        <v>15278437</v>
      </c>
      <c r="F62" t="s">
        <v>169</v>
      </c>
      <c r="G62" s="3">
        <v>45597</v>
      </c>
      <c r="H62" s="2">
        <v>4.17</v>
      </c>
      <c r="I62" t="s">
        <v>256</v>
      </c>
      <c r="J62" t="str">
        <f>CONCATENATE(I62,6)</f>
        <v>9A92HT6VC096</v>
      </c>
      <c r="K62" t="s">
        <v>257</v>
      </c>
      <c r="L62" s="3">
        <v>44931</v>
      </c>
      <c r="M62" s="3">
        <v>44958</v>
      </c>
      <c r="N62" t="s">
        <v>55</v>
      </c>
      <c r="O62" t="s">
        <v>45</v>
      </c>
      <c r="P62" t="s">
        <v>84</v>
      </c>
      <c r="Q62" t="s">
        <v>426</v>
      </c>
      <c r="R62" s="3">
        <v>44958</v>
      </c>
      <c r="S62" t="s">
        <v>423</v>
      </c>
    </row>
    <row r="63" spans="1:19" x14ac:dyDescent="0.25">
      <c r="A63" t="s">
        <v>39</v>
      </c>
      <c r="B63" t="s">
        <v>40</v>
      </c>
      <c r="C63" s="4">
        <v>15278437</v>
      </c>
      <c r="D63" t="s">
        <v>169</v>
      </c>
      <c r="E63" s="4">
        <v>15278437</v>
      </c>
      <c r="F63" t="s">
        <v>169</v>
      </c>
      <c r="G63" s="3">
        <v>45597</v>
      </c>
      <c r="H63" s="2">
        <v>4.17</v>
      </c>
      <c r="I63" t="s">
        <v>258</v>
      </c>
      <c r="J63" t="str">
        <f>CONCATENATE(I63,6)</f>
        <v>2Q82WC1VA176</v>
      </c>
      <c r="K63" t="s">
        <v>259</v>
      </c>
      <c r="L63" s="3">
        <v>44935</v>
      </c>
      <c r="M63" s="3">
        <v>44986</v>
      </c>
      <c r="N63" t="s">
        <v>55</v>
      </c>
      <c r="O63" t="s">
        <v>45</v>
      </c>
      <c r="P63" t="s">
        <v>84</v>
      </c>
      <c r="Q63" t="s">
        <v>426</v>
      </c>
      <c r="R63" s="3">
        <v>44986</v>
      </c>
      <c r="S63" t="s">
        <v>423</v>
      </c>
    </row>
    <row r="64" spans="1:19" x14ac:dyDescent="0.25">
      <c r="A64" t="s">
        <v>39</v>
      </c>
      <c r="B64" t="s">
        <v>40</v>
      </c>
      <c r="C64" s="4">
        <v>15278437</v>
      </c>
      <c r="D64" t="s">
        <v>169</v>
      </c>
      <c r="E64" s="4">
        <v>15278437</v>
      </c>
      <c r="F64" t="s">
        <v>169</v>
      </c>
      <c r="G64" s="3">
        <v>45597</v>
      </c>
      <c r="H64" s="2">
        <v>4.17</v>
      </c>
      <c r="I64" t="s">
        <v>260</v>
      </c>
      <c r="J64" t="str">
        <f>CONCATENATE(I64,6)</f>
        <v>4MG2RP5HY836</v>
      </c>
      <c r="K64" t="s">
        <v>261</v>
      </c>
      <c r="L64" s="3">
        <v>44943</v>
      </c>
      <c r="M64" s="3">
        <v>44958</v>
      </c>
      <c r="N64" t="s">
        <v>55</v>
      </c>
      <c r="O64" t="s">
        <v>45</v>
      </c>
      <c r="P64" t="s">
        <v>84</v>
      </c>
      <c r="Q64" t="s">
        <v>426</v>
      </c>
      <c r="R64" s="3">
        <v>44958</v>
      </c>
      <c r="S64" t="s">
        <v>423</v>
      </c>
    </row>
    <row r="65" spans="1:19" x14ac:dyDescent="0.25">
      <c r="A65" t="s">
        <v>39</v>
      </c>
      <c r="B65" t="s">
        <v>40</v>
      </c>
      <c r="C65" s="4">
        <v>15278437</v>
      </c>
      <c r="D65" t="s">
        <v>169</v>
      </c>
      <c r="E65" s="4">
        <v>15278437</v>
      </c>
      <c r="F65" t="s">
        <v>169</v>
      </c>
      <c r="G65" s="3">
        <v>45597</v>
      </c>
      <c r="H65" s="2">
        <v>4.17</v>
      </c>
      <c r="I65" t="s">
        <v>262</v>
      </c>
      <c r="J65" t="str">
        <f>CONCATENATE(I65,6)</f>
        <v>3NN7JX1MM676</v>
      </c>
      <c r="K65" t="s">
        <v>263</v>
      </c>
      <c r="L65" s="3">
        <v>44946</v>
      </c>
      <c r="M65" s="3">
        <v>44958</v>
      </c>
      <c r="N65" t="s">
        <v>55</v>
      </c>
      <c r="O65" t="s">
        <v>45</v>
      </c>
      <c r="P65" t="s">
        <v>84</v>
      </c>
      <c r="Q65" t="s">
        <v>426</v>
      </c>
      <c r="R65" s="3">
        <v>44958</v>
      </c>
      <c r="S65" t="s">
        <v>423</v>
      </c>
    </row>
    <row r="66" spans="1:19" x14ac:dyDescent="0.25">
      <c r="A66" t="s">
        <v>39</v>
      </c>
      <c r="B66" t="s">
        <v>40</v>
      </c>
      <c r="C66" s="4">
        <v>15278437</v>
      </c>
      <c r="D66" t="s">
        <v>169</v>
      </c>
      <c r="E66" s="4">
        <v>15278437</v>
      </c>
      <c r="F66" t="s">
        <v>169</v>
      </c>
      <c r="G66" s="3">
        <v>45597</v>
      </c>
      <c r="H66" s="2">
        <v>4.17</v>
      </c>
      <c r="I66" t="s">
        <v>266</v>
      </c>
      <c r="J66" t="str">
        <f>CONCATENATE(I66,6)</f>
        <v>9VA5QM5RQ816</v>
      </c>
      <c r="K66" t="s">
        <v>267</v>
      </c>
      <c r="L66" s="3">
        <v>44946</v>
      </c>
      <c r="M66" s="3">
        <v>44958</v>
      </c>
      <c r="N66" t="s">
        <v>55</v>
      </c>
      <c r="O66" t="s">
        <v>45</v>
      </c>
      <c r="P66" t="s">
        <v>84</v>
      </c>
      <c r="Q66" t="s">
        <v>426</v>
      </c>
      <c r="R66" s="3">
        <v>44958</v>
      </c>
      <c r="S66" t="s">
        <v>423</v>
      </c>
    </row>
    <row r="67" spans="1:19" x14ac:dyDescent="0.25">
      <c r="A67" t="s">
        <v>39</v>
      </c>
      <c r="B67" t="s">
        <v>40</v>
      </c>
      <c r="C67" s="4">
        <v>15278437</v>
      </c>
      <c r="D67" t="s">
        <v>169</v>
      </c>
      <c r="E67" s="4">
        <v>15278437</v>
      </c>
      <c r="F67" t="s">
        <v>169</v>
      </c>
      <c r="G67" s="3">
        <v>45597</v>
      </c>
      <c r="H67" s="2">
        <v>4.17</v>
      </c>
      <c r="I67" t="s">
        <v>268</v>
      </c>
      <c r="J67" t="str">
        <f>CONCATENATE(I67,6)</f>
        <v>2U05WE0DM686</v>
      </c>
      <c r="K67" t="s">
        <v>269</v>
      </c>
      <c r="L67" s="3">
        <v>44948</v>
      </c>
      <c r="M67" s="3">
        <v>44958</v>
      </c>
      <c r="N67" t="s">
        <v>55</v>
      </c>
      <c r="O67" t="s">
        <v>45</v>
      </c>
      <c r="P67" t="s">
        <v>84</v>
      </c>
      <c r="Q67" t="s">
        <v>426</v>
      </c>
      <c r="R67" s="3">
        <v>44958</v>
      </c>
      <c r="S67" t="s">
        <v>423</v>
      </c>
    </row>
    <row r="68" spans="1:19" x14ac:dyDescent="0.25">
      <c r="A68" t="s">
        <v>39</v>
      </c>
      <c r="B68" t="s">
        <v>40</v>
      </c>
      <c r="C68" s="4">
        <v>15278437</v>
      </c>
      <c r="D68" t="s">
        <v>169</v>
      </c>
      <c r="E68" s="4">
        <v>15278437</v>
      </c>
      <c r="F68" t="s">
        <v>169</v>
      </c>
      <c r="G68" s="3">
        <v>45597</v>
      </c>
      <c r="H68" s="2">
        <v>4.17</v>
      </c>
      <c r="I68" t="s">
        <v>274</v>
      </c>
      <c r="J68" t="str">
        <f>CONCATENATE(I68,6)</f>
        <v>5FR2AC0GE956</v>
      </c>
      <c r="K68" t="s">
        <v>275</v>
      </c>
      <c r="L68" s="3">
        <v>44949</v>
      </c>
      <c r="M68" s="3">
        <v>44958</v>
      </c>
      <c r="N68" t="s">
        <v>55</v>
      </c>
      <c r="O68" t="s">
        <v>45</v>
      </c>
      <c r="P68" t="s">
        <v>84</v>
      </c>
      <c r="Q68" t="s">
        <v>426</v>
      </c>
      <c r="R68" s="3">
        <v>44958</v>
      </c>
      <c r="S68" t="s">
        <v>423</v>
      </c>
    </row>
    <row r="69" spans="1:19" x14ac:dyDescent="0.25">
      <c r="A69" t="s">
        <v>39</v>
      </c>
      <c r="B69" t="s">
        <v>40</v>
      </c>
      <c r="C69" s="4">
        <v>15278437</v>
      </c>
      <c r="D69" t="s">
        <v>169</v>
      </c>
      <c r="E69" s="4">
        <v>15278437</v>
      </c>
      <c r="F69" t="s">
        <v>169</v>
      </c>
      <c r="G69" s="3">
        <v>45597</v>
      </c>
      <c r="H69" s="2">
        <v>4.17</v>
      </c>
      <c r="I69" t="s">
        <v>276</v>
      </c>
      <c r="J69" t="str">
        <f>CONCATENATE(I69,6)</f>
        <v>9P08WJ1JW466</v>
      </c>
      <c r="K69" t="s">
        <v>277</v>
      </c>
      <c r="L69" s="3">
        <v>44956</v>
      </c>
      <c r="M69" s="3">
        <v>44986</v>
      </c>
      <c r="N69" t="s">
        <v>55</v>
      </c>
      <c r="O69" t="s">
        <v>45</v>
      </c>
      <c r="P69" t="s">
        <v>84</v>
      </c>
      <c r="Q69" t="s">
        <v>426</v>
      </c>
      <c r="R69" s="3">
        <v>44986</v>
      </c>
      <c r="S69" t="s">
        <v>423</v>
      </c>
    </row>
    <row r="70" spans="1:19" x14ac:dyDescent="0.25">
      <c r="A70" t="s">
        <v>39</v>
      </c>
      <c r="B70" t="s">
        <v>40</v>
      </c>
      <c r="C70" s="4">
        <v>15278437</v>
      </c>
      <c r="D70" t="s">
        <v>169</v>
      </c>
      <c r="E70" s="4">
        <v>15278437</v>
      </c>
      <c r="F70" t="s">
        <v>169</v>
      </c>
      <c r="G70" s="3">
        <v>45597</v>
      </c>
      <c r="H70" s="2">
        <v>4.17</v>
      </c>
      <c r="I70" t="s">
        <v>285</v>
      </c>
      <c r="J70" t="str">
        <f>CONCATENATE(I70,6)</f>
        <v>3M03FG9YV156</v>
      </c>
      <c r="K70" t="s">
        <v>286</v>
      </c>
      <c r="L70" s="3">
        <v>44980</v>
      </c>
      <c r="M70" s="3">
        <v>44986</v>
      </c>
      <c r="N70" t="s">
        <v>55</v>
      </c>
      <c r="O70" t="s">
        <v>45</v>
      </c>
      <c r="P70" t="s">
        <v>84</v>
      </c>
      <c r="Q70" t="s">
        <v>426</v>
      </c>
      <c r="R70" s="3">
        <v>44986</v>
      </c>
      <c r="S70" t="s">
        <v>423</v>
      </c>
    </row>
    <row r="71" spans="1:19" x14ac:dyDescent="0.25">
      <c r="A71" t="s">
        <v>39</v>
      </c>
      <c r="B71" t="s">
        <v>40</v>
      </c>
      <c r="C71" s="4">
        <v>15278437</v>
      </c>
      <c r="D71" t="s">
        <v>169</v>
      </c>
      <c r="E71" s="4">
        <v>15278437</v>
      </c>
      <c r="F71" t="s">
        <v>169</v>
      </c>
      <c r="G71" s="3">
        <v>45597</v>
      </c>
      <c r="H71" s="2">
        <v>4.17</v>
      </c>
      <c r="I71" t="s">
        <v>287</v>
      </c>
      <c r="J71" t="str">
        <f>CONCATENATE(I71,6)</f>
        <v>1HA4EC8WA996</v>
      </c>
      <c r="K71" t="s">
        <v>288</v>
      </c>
      <c r="L71" s="3">
        <v>44986</v>
      </c>
      <c r="M71" s="3">
        <v>45017</v>
      </c>
      <c r="N71" t="s">
        <v>55</v>
      </c>
      <c r="O71" t="s">
        <v>45</v>
      </c>
      <c r="P71" t="s">
        <v>84</v>
      </c>
      <c r="Q71" t="s">
        <v>426</v>
      </c>
      <c r="R71" s="3">
        <v>45017</v>
      </c>
      <c r="S71" t="s">
        <v>423</v>
      </c>
    </row>
    <row r="72" spans="1:19" x14ac:dyDescent="0.25">
      <c r="A72" t="s">
        <v>39</v>
      </c>
      <c r="B72" t="s">
        <v>40</v>
      </c>
      <c r="C72" s="4">
        <v>15278437</v>
      </c>
      <c r="D72" t="s">
        <v>169</v>
      </c>
      <c r="E72" s="4">
        <v>15278437</v>
      </c>
      <c r="F72" t="s">
        <v>169</v>
      </c>
      <c r="G72" s="3">
        <v>45597</v>
      </c>
      <c r="H72" s="2">
        <v>4.17</v>
      </c>
      <c r="I72" t="s">
        <v>289</v>
      </c>
      <c r="J72" t="str">
        <f>CONCATENATE(I72,6)</f>
        <v>4FC4E15HU856</v>
      </c>
      <c r="K72" t="s">
        <v>290</v>
      </c>
      <c r="L72" s="3">
        <v>44998</v>
      </c>
      <c r="M72" s="3">
        <v>45017</v>
      </c>
      <c r="N72" t="s">
        <v>55</v>
      </c>
      <c r="O72" t="s">
        <v>45</v>
      </c>
      <c r="P72" t="s">
        <v>84</v>
      </c>
      <c r="Q72" t="s">
        <v>426</v>
      </c>
      <c r="R72" s="3">
        <v>45017</v>
      </c>
      <c r="S72" t="s">
        <v>423</v>
      </c>
    </row>
    <row r="73" spans="1:19" x14ac:dyDescent="0.25">
      <c r="A73" t="s">
        <v>39</v>
      </c>
      <c r="B73" t="s">
        <v>40</v>
      </c>
      <c r="C73" s="4">
        <v>15278437</v>
      </c>
      <c r="D73" t="s">
        <v>169</v>
      </c>
      <c r="E73" s="4">
        <v>15278437</v>
      </c>
      <c r="F73" t="s">
        <v>169</v>
      </c>
      <c r="G73" s="3">
        <v>45597</v>
      </c>
      <c r="H73" s="2">
        <v>4.17</v>
      </c>
      <c r="I73" t="s">
        <v>291</v>
      </c>
      <c r="J73" t="str">
        <f>CONCATENATE(I73,6)</f>
        <v>1XC3NQ1KX186</v>
      </c>
      <c r="K73" t="s">
        <v>292</v>
      </c>
      <c r="L73" s="3">
        <v>45013</v>
      </c>
      <c r="M73" s="3">
        <v>45078</v>
      </c>
      <c r="N73" t="s">
        <v>55</v>
      </c>
      <c r="O73" t="s">
        <v>45</v>
      </c>
      <c r="P73" t="s">
        <v>84</v>
      </c>
      <c r="Q73" t="s">
        <v>426</v>
      </c>
      <c r="R73" s="3">
        <v>45078</v>
      </c>
      <c r="S73" t="s">
        <v>423</v>
      </c>
    </row>
    <row r="74" spans="1:19" x14ac:dyDescent="0.25">
      <c r="A74" t="s">
        <v>39</v>
      </c>
      <c r="B74" t="s">
        <v>40</v>
      </c>
      <c r="C74" s="4">
        <v>15278437</v>
      </c>
      <c r="D74" t="s">
        <v>169</v>
      </c>
      <c r="E74" s="4">
        <v>15278437</v>
      </c>
      <c r="F74" t="s">
        <v>169</v>
      </c>
      <c r="G74" s="3">
        <v>45597</v>
      </c>
      <c r="H74" s="2">
        <v>4.17</v>
      </c>
      <c r="I74" t="s">
        <v>293</v>
      </c>
      <c r="J74" t="str">
        <f>CONCATENATE(I74,6)</f>
        <v>4XG4G22CM926</v>
      </c>
      <c r="K74" t="s">
        <v>294</v>
      </c>
      <c r="L74" s="3">
        <v>45019</v>
      </c>
      <c r="M74" s="3">
        <v>45047</v>
      </c>
      <c r="N74" t="s">
        <v>55</v>
      </c>
      <c r="O74" t="s">
        <v>45</v>
      </c>
      <c r="P74" t="s">
        <v>84</v>
      </c>
      <c r="Q74" t="s">
        <v>426</v>
      </c>
      <c r="R74" s="3">
        <v>45047</v>
      </c>
      <c r="S74" t="s">
        <v>423</v>
      </c>
    </row>
    <row r="75" spans="1:19" x14ac:dyDescent="0.25">
      <c r="A75" t="s">
        <v>39</v>
      </c>
      <c r="B75" t="s">
        <v>40</v>
      </c>
      <c r="C75" s="4">
        <v>15278437</v>
      </c>
      <c r="D75" t="s">
        <v>169</v>
      </c>
      <c r="E75" s="4">
        <v>15278437</v>
      </c>
      <c r="F75" t="s">
        <v>169</v>
      </c>
      <c r="G75" s="3">
        <v>45597</v>
      </c>
      <c r="H75" s="2">
        <v>4.17</v>
      </c>
      <c r="I75" t="s">
        <v>301</v>
      </c>
      <c r="J75" t="str">
        <f>CONCATENATE(I75,6)</f>
        <v>7TC3RQ6CU956</v>
      </c>
      <c r="K75" t="s">
        <v>302</v>
      </c>
      <c r="L75" s="3">
        <v>45037</v>
      </c>
      <c r="M75" s="3">
        <v>45047</v>
      </c>
      <c r="N75" t="s">
        <v>55</v>
      </c>
      <c r="O75" t="s">
        <v>45</v>
      </c>
      <c r="P75" t="s">
        <v>84</v>
      </c>
      <c r="Q75" t="s">
        <v>426</v>
      </c>
      <c r="R75" s="3">
        <v>45047</v>
      </c>
      <c r="S75" t="s">
        <v>423</v>
      </c>
    </row>
    <row r="76" spans="1:19" x14ac:dyDescent="0.25">
      <c r="A76" t="s">
        <v>39</v>
      </c>
      <c r="B76" t="s">
        <v>40</v>
      </c>
      <c r="C76" s="4">
        <v>15278437</v>
      </c>
      <c r="D76" t="s">
        <v>169</v>
      </c>
      <c r="E76" s="4">
        <v>15278437</v>
      </c>
      <c r="F76" t="s">
        <v>169</v>
      </c>
      <c r="G76" s="3">
        <v>45597</v>
      </c>
      <c r="H76" s="2">
        <v>4.17</v>
      </c>
      <c r="I76" t="s">
        <v>303</v>
      </c>
      <c r="J76" t="str">
        <f>CONCATENATE(I76,6)</f>
        <v>8JN1M14DW966</v>
      </c>
      <c r="K76" t="s">
        <v>304</v>
      </c>
      <c r="L76" s="3">
        <v>45040</v>
      </c>
      <c r="M76" s="3">
        <v>45078</v>
      </c>
      <c r="N76" t="s">
        <v>55</v>
      </c>
      <c r="O76" t="s">
        <v>45</v>
      </c>
      <c r="P76" t="s">
        <v>84</v>
      </c>
      <c r="Q76" t="s">
        <v>426</v>
      </c>
      <c r="R76" s="3">
        <v>45078</v>
      </c>
      <c r="S76" t="s">
        <v>423</v>
      </c>
    </row>
    <row r="77" spans="1:19" x14ac:dyDescent="0.25">
      <c r="A77" t="s">
        <v>39</v>
      </c>
      <c r="B77" t="s">
        <v>40</v>
      </c>
      <c r="C77" s="4">
        <v>15278437</v>
      </c>
      <c r="D77" t="s">
        <v>169</v>
      </c>
      <c r="E77" s="4">
        <v>15278437</v>
      </c>
      <c r="F77" t="s">
        <v>169</v>
      </c>
      <c r="G77" s="3">
        <v>45597</v>
      </c>
      <c r="H77" s="2">
        <v>4.17</v>
      </c>
      <c r="I77" t="s">
        <v>305</v>
      </c>
      <c r="J77" t="str">
        <f>CONCATENATE(I77,6)</f>
        <v>3K37VG6AE556</v>
      </c>
      <c r="K77" t="s">
        <v>306</v>
      </c>
      <c r="L77" s="3">
        <v>45050</v>
      </c>
      <c r="M77" s="3">
        <v>45078</v>
      </c>
      <c r="N77" t="s">
        <v>55</v>
      </c>
      <c r="O77" t="s">
        <v>45</v>
      </c>
      <c r="P77" t="s">
        <v>84</v>
      </c>
      <c r="Q77" t="s">
        <v>426</v>
      </c>
      <c r="R77" s="3">
        <v>45078</v>
      </c>
      <c r="S77" t="s">
        <v>423</v>
      </c>
    </row>
    <row r="78" spans="1:19" x14ac:dyDescent="0.25">
      <c r="A78" t="s">
        <v>39</v>
      </c>
      <c r="B78" t="s">
        <v>40</v>
      </c>
      <c r="C78" s="4">
        <v>15278437</v>
      </c>
      <c r="D78" t="s">
        <v>169</v>
      </c>
      <c r="E78" s="4">
        <v>15278437</v>
      </c>
      <c r="F78" t="s">
        <v>169</v>
      </c>
      <c r="G78" s="3">
        <v>45597</v>
      </c>
      <c r="H78" s="2">
        <v>4.17</v>
      </c>
      <c r="I78" t="s">
        <v>313</v>
      </c>
      <c r="J78" t="str">
        <f>CONCATENATE(I78,6)</f>
        <v>8AN6GF5UM686</v>
      </c>
      <c r="K78" t="s">
        <v>314</v>
      </c>
      <c r="L78" s="3">
        <v>45070</v>
      </c>
      <c r="M78" s="3">
        <v>45108</v>
      </c>
      <c r="N78" t="s">
        <v>55</v>
      </c>
      <c r="O78" t="s">
        <v>45</v>
      </c>
      <c r="P78" t="s">
        <v>84</v>
      </c>
      <c r="Q78" t="s">
        <v>426</v>
      </c>
      <c r="R78" s="3">
        <v>45108</v>
      </c>
      <c r="S78" t="s">
        <v>423</v>
      </c>
    </row>
    <row r="79" spans="1:19" x14ac:dyDescent="0.25">
      <c r="A79" t="s">
        <v>39</v>
      </c>
      <c r="B79" t="s">
        <v>40</v>
      </c>
      <c r="C79" s="4">
        <v>15278437</v>
      </c>
      <c r="D79" t="s">
        <v>169</v>
      </c>
      <c r="E79" s="4">
        <v>15278437</v>
      </c>
      <c r="F79" t="s">
        <v>169</v>
      </c>
      <c r="G79" s="3">
        <v>45597</v>
      </c>
      <c r="H79" s="2">
        <v>4.17</v>
      </c>
      <c r="I79" t="s">
        <v>319</v>
      </c>
      <c r="J79" t="str">
        <f>CONCATENATE(I79,6)</f>
        <v>9H10A51GY486</v>
      </c>
      <c r="K79" t="s">
        <v>320</v>
      </c>
      <c r="L79" s="3">
        <v>45078</v>
      </c>
      <c r="M79" s="3">
        <v>45108</v>
      </c>
      <c r="N79" t="s">
        <v>55</v>
      </c>
      <c r="O79" t="s">
        <v>45</v>
      </c>
      <c r="P79" t="s">
        <v>84</v>
      </c>
      <c r="Q79" t="s">
        <v>426</v>
      </c>
      <c r="R79" s="3">
        <v>45108</v>
      </c>
      <c r="S79" t="s">
        <v>423</v>
      </c>
    </row>
    <row r="80" spans="1:19" x14ac:dyDescent="0.25">
      <c r="A80" t="s">
        <v>39</v>
      </c>
      <c r="B80" t="s">
        <v>40</v>
      </c>
      <c r="C80" s="4">
        <v>15278437</v>
      </c>
      <c r="D80" t="s">
        <v>169</v>
      </c>
      <c r="E80" s="4">
        <v>15278437</v>
      </c>
      <c r="F80" t="s">
        <v>169</v>
      </c>
      <c r="G80" s="3">
        <v>45597</v>
      </c>
      <c r="H80" s="2">
        <v>4.17</v>
      </c>
      <c r="I80" t="s">
        <v>329</v>
      </c>
      <c r="J80" t="str">
        <f>CONCATENATE(I80,6)</f>
        <v>2AF3TV5XN026</v>
      </c>
      <c r="K80" t="s">
        <v>330</v>
      </c>
      <c r="L80" s="3">
        <v>45100</v>
      </c>
      <c r="M80" s="3">
        <v>45108</v>
      </c>
      <c r="N80" t="s">
        <v>55</v>
      </c>
      <c r="O80" t="s">
        <v>45</v>
      </c>
      <c r="P80" t="s">
        <v>84</v>
      </c>
      <c r="Q80" t="s">
        <v>426</v>
      </c>
      <c r="R80" s="3">
        <v>45108</v>
      </c>
      <c r="S80" t="s">
        <v>423</v>
      </c>
    </row>
    <row r="81" spans="1:19" x14ac:dyDescent="0.25">
      <c r="A81" t="s">
        <v>39</v>
      </c>
      <c r="B81" t="s">
        <v>40</v>
      </c>
      <c r="C81" s="4">
        <v>15278437</v>
      </c>
      <c r="D81" t="s">
        <v>169</v>
      </c>
      <c r="E81" s="4">
        <v>15278437</v>
      </c>
      <c r="F81" t="s">
        <v>169</v>
      </c>
      <c r="G81" s="3">
        <v>45597</v>
      </c>
      <c r="H81" s="2">
        <v>4.17</v>
      </c>
      <c r="I81" t="s">
        <v>333</v>
      </c>
      <c r="J81" t="str">
        <f>CONCATENATE(I81,6)</f>
        <v>4K55NM1KA936</v>
      </c>
      <c r="K81" t="s">
        <v>334</v>
      </c>
      <c r="L81" s="3">
        <v>45114</v>
      </c>
      <c r="M81" s="3">
        <v>45139</v>
      </c>
      <c r="N81" t="s">
        <v>55</v>
      </c>
      <c r="O81" t="s">
        <v>45</v>
      </c>
      <c r="P81" t="s">
        <v>84</v>
      </c>
      <c r="Q81" t="s">
        <v>426</v>
      </c>
      <c r="R81" s="3">
        <v>45139</v>
      </c>
      <c r="S81" t="s">
        <v>423</v>
      </c>
    </row>
    <row r="82" spans="1:19" x14ac:dyDescent="0.25">
      <c r="A82" t="s">
        <v>39</v>
      </c>
      <c r="B82" t="s">
        <v>40</v>
      </c>
      <c r="C82" s="4">
        <v>15278437</v>
      </c>
      <c r="D82" t="s">
        <v>169</v>
      </c>
      <c r="E82" s="4">
        <v>15278437</v>
      </c>
      <c r="F82" t="s">
        <v>169</v>
      </c>
      <c r="G82" s="3">
        <v>45597</v>
      </c>
      <c r="H82" s="2">
        <v>4.17</v>
      </c>
      <c r="I82" t="s">
        <v>335</v>
      </c>
      <c r="J82" t="str">
        <f>CONCATENATE(I82,6)</f>
        <v>8R16CT8GK486</v>
      </c>
      <c r="K82" t="s">
        <v>336</v>
      </c>
      <c r="L82" s="3">
        <v>45142</v>
      </c>
      <c r="M82" s="3">
        <v>45231</v>
      </c>
      <c r="N82" t="s">
        <v>55</v>
      </c>
      <c r="O82" t="s">
        <v>45</v>
      </c>
      <c r="P82" t="s">
        <v>84</v>
      </c>
      <c r="Q82" t="s">
        <v>426</v>
      </c>
      <c r="R82" s="3">
        <v>45231</v>
      </c>
      <c r="S82" t="s">
        <v>423</v>
      </c>
    </row>
    <row r="83" spans="1:19" x14ac:dyDescent="0.25">
      <c r="A83" t="s">
        <v>39</v>
      </c>
      <c r="B83" t="s">
        <v>40</v>
      </c>
      <c r="C83" s="4">
        <v>15278437</v>
      </c>
      <c r="D83" t="s">
        <v>169</v>
      </c>
      <c r="E83" s="4">
        <v>15278437</v>
      </c>
      <c r="F83" t="s">
        <v>169</v>
      </c>
      <c r="G83" s="3">
        <v>45597</v>
      </c>
      <c r="H83" s="2">
        <v>4.17</v>
      </c>
      <c r="I83" t="s">
        <v>337</v>
      </c>
      <c r="J83" t="str">
        <f>CONCATENATE(I83,6)</f>
        <v>4H07EF0AE326</v>
      </c>
      <c r="K83" t="s">
        <v>338</v>
      </c>
      <c r="L83" s="3">
        <v>45153</v>
      </c>
      <c r="M83" s="3">
        <v>45200</v>
      </c>
      <c r="N83" t="s">
        <v>55</v>
      </c>
      <c r="O83" t="s">
        <v>45</v>
      </c>
      <c r="P83" t="s">
        <v>84</v>
      </c>
      <c r="Q83" t="s">
        <v>426</v>
      </c>
      <c r="R83" s="3">
        <v>45200</v>
      </c>
      <c r="S83" t="s">
        <v>423</v>
      </c>
    </row>
    <row r="84" spans="1:19" x14ac:dyDescent="0.25">
      <c r="A84" t="s">
        <v>39</v>
      </c>
      <c r="B84" t="s">
        <v>40</v>
      </c>
      <c r="C84" s="4">
        <v>15278437</v>
      </c>
      <c r="D84" t="s">
        <v>169</v>
      </c>
      <c r="E84" s="4">
        <v>15278437</v>
      </c>
      <c r="F84" t="s">
        <v>169</v>
      </c>
      <c r="G84" s="3">
        <v>45597</v>
      </c>
      <c r="H84" s="2">
        <v>4.17</v>
      </c>
      <c r="I84" t="s">
        <v>341</v>
      </c>
      <c r="J84" t="str">
        <f>CONCATENATE(I84,6)</f>
        <v>1V23KQ7PX996</v>
      </c>
      <c r="K84" t="s">
        <v>342</v>
      </c>
      <c r="L84" s="3">
        <v>45167</v>
      </c>
      <c r="M84" s="3">
        <v>45200</v>
      </c>
      <c r="N84" t="s">
        <v>55</v>
      </c>
      <c r="O84" t="s">
        <v>83</v>
      </c>
      <c r="P84" t="s">
        <v>84</v>
      </c>
      <c r="Q84" t="s">
        <v>426</v>
      </c>
      <c r="R84" s="3">
        <v>45200</v>
      </c>
      <c r="S84" t="s">
        <v>423</v>
      </c>
    </row>
    <row r="85" spans="1:19" x14ac:dyDescent="0.25">
      <c r="A85" t="s">
        <v>39</v>
      </c>
      <c r="B85" t="s">
        <v>40</v>
      </c>
      <c r="C85" s="4">
        <v>15278437</v>
      </c>
      <c r="D85" t="s">
        <v>169</v>
      </c>
      <c r="E85" s="4">
        <v>15278437</v>
      </c>
      <c r="F85" t="s">
        <v>169</v>
      </c>
      <c r="G85" s="3">
        <v>45597</v>
      </c>
      <c r="H85" s="2">
        <v>4.17</v>
      </c>
      <c r="I85" t="s">
        <v>343</v>
      </c>
      <c r="J85" t="str">
        <f>CONCATENATE(I85,6)</f>
        <v>3UF3Q89VM016</v>
      </c>
      <c r="K85" t="s">
        <v>344</v>
      </c>
      <c r="L85" s="3">
        <v>45167</v>
      </c>
      <c r="M85" s="3">
        <v>45170</v>
      </c>
      <c r="N85" t="s">
        <v>55</v>
      </c>
      <c r="O85" t="s">
        <v>45</v>
      </c>
      <c r="P85" t="s">
        <v>84</v>
      </c>
      <c r="Q85" t="s">
        <v>426</v>
      </c>
      <c r="R85" s="3">
        <v>45170</v>
      </c>
      <c r="S85" t="s">
        <v>423</v>
      </c>
    </row>
    <row r="86" spans="1:19" x14ac:dyDescent="0.25">
      <c r="A86" t="s">
        <v>39</v>
      </c>
      <c r="B86" t="s">
        <v>40</v>
      </c>
      <c r="C86" s="4">
        <v>15278437</v>
      </c>
      <c r="D86" t="s">
        <v>169</v>
      </c>
      <c r="E86" s="4">
        <v>15278437</v>
      </c>
      <c r="F86" t="s">
        <v>169</v>
      </c>
      <c r="G86" s="3">
        <v>45597</v>
      </c>
      <c r="H86" s="2">
        <v>4.17</v>
      </c>
      <c r="I86" t="s">
        <v>345</v>
      </c>
      <c r="J86" t="str">
        <f>CONCATENATE(I86,6)</f>
        <v>2EN7CJ2NY586</v>
      </c>
      <c r="K86" t="s">
        <v>346</v>
      </c>
      <c r="L86" s="3">
        <v>45168</v>
      </c>
      <c r="M86" s="3">
        <v>45200</v>
      </c>
      <c r="N86" t="s">
        <v>55</v>
      </c>
      <c r="O86" t="s">
        <v>45</v>
      </c>
      <c r="P86" t="s">
        <v>84</v>
      </c>
      <c r="Q86" t="s">
        <v>426</v>
      </c>
      <c r="R86" s="3">
        <v>45200</v>
      </c>
      <c r="S86" t="s">
        <v>423</v>
      </c>
    </row>
    <row r="87" spans="1:19" x14ac:dyDescent="0.25">
      <c r="A87" t="s">
        <v>39</v>
      </c>
      <c r="B87" t="s">
        <v>40</v>
      </c>
      <c r="C87" s="4">
        <v>15278437</v>
      </c>
      <c r="D87" t="s">
        <v>169</v>
      </c>
      <c r="E87" s="4">
        <v>15278437</v>
      </c>
      <c r="F87" t="s">
        <v>169</v>
      </c>
      <c r="G87" s="3">
        <v>45597</v>
      </c>
      <c r="H87" s="2">
        <v>4.17</v>
      </c>
      <c r="I87" t="s">
        <v>347</v>
      </c>
      <c r="J87" t="str">
        <f>CONCATENATE(I87,6)</f>
        <v>7DF3R20HU606</v>
      </c>
      <c r="K87" t="s">
        <v>348</v>
      </c>
      <c r="L87" s="3">
        <v>45174</v>
      </c>
      <c r="M87" s="3">
        <v>45200</v>
      </c>
      <c r="N87" t="s">
        <v>55</v>
      </c>
      <c r="O87" t="s">
        <v>45</v>
      </c>
      <c r="P87" t="s">
        <v>84</v>
      </c>
      <c r="Q87" t="s">
        <v>426</v>
      </c>
      <c r="R87" s="3">
        <v>45200</v>
      </c>
      <c r="S87" t="s">
        <v>423</v>
      </c>
    </row>
    <row r="88" spans="1:19" x14ac:dyDescent="0.25">
      <c r="A88" t="s">
        <v>39</v>
      </c>
      <c r="B88" t="s">
        <v>40</v>
      </c>
      <c r="C88" s="4">
        <v>15278437</v>
      </c>
      <c r="D88" t="s">
        <v>169</v>
      </c>
      <c r="E88" s="4">
        <v>15278437</v>
      </c>
      <c r="F88" t="s">
        <v>169</v>
      </c>
      <c r="G88" s="3">
        <v>45597</v>
      </c>
      <c r="H88" s="2">
        <v>4.17</v>
      </c>
      <c r="I88" t="s">
        <v>349</v>
      </c>
      <c r="J88" t="str">
        <f>CONCATENATE(I88,6)</f>
        <v>1NH2F43TK036</v>
      </c>
      <c r="K88" t="s">
        <v>350</v>
      </c>
      <c r="L88" s="3">
        <v>45176</v>
      </c>
      <c r="M88" s="3">
        <v>45200</v>
      </c>
      <c r="N88" t="s">
        <v>55</v>
      </c>
      <c r="O88" t="s">
        <v>45</v>
      </c>
      <c r="P88" t="s">
        <v>84</v>
      </c>
      <c r="Q88" t="s">
        <v>426</v>
      </c>
      <c r="R88" s="3">
        <v>45200</v>
      </c>
      <c r="S88" t="s">
        <v>423</v>
      </c>
    </row>
    <row r="89" spans="1:19" x14ac:dyDescent="0.25">
      <c r="A89" t="s">
        <v>39</v>
      </c>
      <c r="B89" t="s">
        <v>40</v>
      </c>
      <c r="C89" s="4">
        <v>15278437</v>
      </c>
      <c r="D89" t="s">
        <v>169</v>
      </c>
      <c r="E89" s="4">
        <v>15278437</v>
      </c>
      <c r="F89" t="s">
        <v>169</v>
      </c>
      <c r="G89" s="3">
        <v>45597</v>
      </c>
      <c r="H89" s="2">
        <v>4.17</v>
      </c>
      <c r="I89" t="s">
        <v>351</v>
      </c>
      <c r="J89" t="str">
        <f>CONCATENATE(I89,6)</f>
        <v>8YP9R12GX576</v>
      </c>
      <c r="K89" t="s">
        <v>352</v>
      </c>
      <c r="L89" s="3">
        <v>45182</v>
      </c>
      <c r="M89" s="3">
        <v>45200</v>
      </c>
      <c r="N89" t="s">
        <v>55</v>
      </c>
      <c r="O89" t="s">
        <v>45</v>
      </c>
      <c r="P89" t="s">
        <v>84</v>
      </c>
      <c r="Q89" t="s">
        <v>426</v>
      </c>
      <c r="R89" s="3">
        <v>45200</v>
      </c>
      <c r="S89" t="s">
        <v>423</v>
      </c>
    </row>
    <row r="90" spans="1:19" x14ac:dyDescent="0.25">
      <c r="A90" t="s">
        <v>39</v>
      </c>
      <c r="B90" t="s">
        <v>40</v>
      </c>
      <c r="C90" s="4">
        <v>15278437</v>
      </c>
      <c r="D90" t="s">
        <v>169</v>
      </c>
      <c r="E90" s="4">
        <v>15278437</v>
      </c>
      <c r="F90" t="s">
        <v>169</v>
      </c>
      <c r="G90" s="3">
        <v>45597</v>
      </c>
      <c r="H90" s="2">
        <v>4.17</v>
      </c>
      <c r="I90" t="s">
        <v>353</v>
      </c>
      <c r="J90" t="str">
        <f>CONCATENATE(I90,6)</f>
        <v>2XN9RD9UJ166</v>
      </c>
      <c r="K90" t="s">
        <v>354</v>
      </c>
      <c r="L90" s="3">
        <v>45184</v>
      </c>
      <c r="M90" s="3">
        <v>45200</v>
      </c>
      <c r="N90" t="s">
        <v>84</v>
      </c>
      <c r="O90" t="s">
        <v>83</v>
      </c>
      <c r="P90" t="s">
        <v>84</v>
      </c>
      <c r="Q90" t="s">
        <v>426</v>
      </c>
      <c r="R90" s="3">
        <v>44927</v>
      </c>
      <c r="S90" t="s">
        <v>423</v>
      </c>
    </row>
    <row r="91" spans="1:19" x14ac:dyDescent="0.25">
      <c r="A91" t="s">
        <v>39</v>
      </c>
      <c r="B91" t="s">
        <v>40</v>
      </c>
      <c r="C91" s="4">
        <v>15278437</v>
      </c>
      <c r="D91" t="s">
        <v>169</v>
      </c>
      <c r="E91" s="4">
        <v>15278437</v>
      </c>
      <c r="F91" t="s">
        <v>169</v>
      </c>
      <c r="G91" s="3">
        <v>45597</v>
      </c>
      <c r="H91" s="2">
        <v>4.17</v>
      </c>
      <c r="I91" t="s">
        <v>357</v>
      </c>
      <c r="J91" t="str">
        <f>CONCATENATE(I91,6)</f>
        <v>9TM5TW8XN806</v>
      </c>
      <c r="K91" t="s">
        <v>358</v>
      </c>
      <c r="L91" s="3">
        <v>45184</v>
      </c>
      <c r="M91" s="3">
        <v>45200</v>
      </c>
      <c r="N91" t="s">
        <v>55</v>
      </c>
      <c r="O91" t="s">
        <v>45</v>
      </c>
      <c r="P91" t="s">
        <v>84</v>
      </c>
      <c r="Q91" t="s">
        <v>426</v>
      </c>
      <c r="R91" s="3">
        <v>45200</v>
      </c>
      <c r="S91" t="s">
        <v>423</v>
      </c>
    </row>
    <row r="92" spans="1:19" x14ac:dyDescent="0.25">
      <c r="A92" t="s">
        <v>39</v>
      </c>
      <c r="B92" t="s">
        <v>40</v>
      </c>
      <c r="C92" s="4">
        <v>15278437</v>
      </c>
      <c r="D92" t="s">
        <v>169</v>
      </c>
      <c r="E92" s="4">
        <v>15278437</v>
      </c>
      <c r="F92" t="s">
        <v>169</v>
      </c>
      <c r="G92" s="3">
        <v>45597</v>
      </c>
      <c r="H92" s="2">
        <v>4.17</v>
      </c>
      <c r="I92" t="s">
        <v>359</v>
      </c>
      <c r="J92" t="str">
        <f>CONCATENATE(I92,6)</f>
        <v>5WD8D14TD336</v>
      </c>
      <c r="K92" t="s">
        <v>360</v>
      </c>
      <c r="L92" s="3">
        <v>45188</v>
      </c>
      <c r="M92" s="3">
        <v>45200</v>
      </c>
      <c r="N92" t="s">
        <v>55</v>
      </c>
      <c r="O92" t="s">
        <v>45</v>
      </c>
      <c r="P92" t="s">
        <v>84</v>
      </c>
      <c r="Q92" t="s">
        <v>426</v>
      </c>
      <c r="R92" s="3">
        <v>45200</v>
      </c>
      <c r="S92" t="s">
        <v>423</v>
      </c>
    </row>
    <row r="93" spans="1:19" x14ac:dyDescent="0.25">
      <c r="A93" t="s">
        <v>39</v>
      </c>
      <c r="B93" t="s">
        <v>40</v>
      </c>
      <c r="C93" s="4">
        <v>15278437</v>
      </c>
      <c r="D93" t="s">
        <v>169</v>
      </c>
      <c r="E93" s="4">
        <v>15278437</v>
      </c>
      <c r="F93" t="s">
        <v>169</v>
      </c>
      <c r="G93" s="3">
        <v>45597</v>
      </c>
      <c r="H93" s="2">
        <v>4.17</v>
      </c>
      <c r="I93" t="s">
        <v>361</v>
      </c>
      <c r="J93" t="str">
        <f>CONCATENATE(I93,6)</f>
        <v>5CA7VX2MG446</v>
      </c>
      <c r="K93" t="s">
        <v>362</v>
      </c>
      <c r="L93" s="3">
        <v>45194</v>
      </c>
      <c r="M93" s="3">
        <v>45200</v>
      </c>
      <c r="N93" t="s">
        <v>55</v>
      </c>
      <c r="O93" t="s">
        <v>45</v>
      </c>
      <c r="P93" t="s">
        <v>84</v>
      </c>
      <c r="Q93" t="s">
        <v>426</v>
      </c>
      <c r="R93" s="3">
        <v>45200</v>
      </c>
      <c r="S93" t="s">
        <v>423</v>
      </c>
    </row>
    <row r="94" spans="1:19" x14ac:dyDescent="0.25">
      <c r="A94" t="s">
        <v>39</v>
      </c>
      <c r="B94" t="s">
        <v>40</v>
      </c>
      <c r="C94" s="4">
        <v>15278437</v>
      </c>
      <c r="D94" t="s">
        <v>169</v>
      </c>
      <c r="E94" s="4">
        <v>15278437</v>
      </c>
      <c r="F94" t="s">
        <v>169</v>
      </c>
      <c r="G94" s="3">
        <v>45597</v>
      </c>
      <c r="H94" s="2">
        <v>4.17</v>
      </c>
      <c r="I94" t="s">
        <v>367</v>
      </c>
      <c r="J94" t="str">
        <f>CONCATENATE(I94,6)</f>
        <v>3Q14XH0UH966</v>
      </c>
      <c r="K94" t="s">
        <v>368</v>
      </c>
      <c r="L94" s="3">
        <v>45203</v>
      </c>
      <c r="M94" s="3">
        <v>45231</v>
      </c>
      <c r="N94" t="s">
        <v>55</v>
      </c>
      <c r="O94" t="s">
        <v>45</v>
      </c>
      <c r="P94" t="s">
        <v>84</v>
      </c>
      <c r="Q94" t="s">
        <v>426</v>
      </c>
      <c r="R94" s="3">
        <v>45231</v>
      </c>
      <c r="S94" t="s">
        <v>423</v>
      </c>
    </row>
    <row r="95" spans="1:19" x14ac:dyDescent="0.25">
      <c r="A95" t="s">
        <v>39</v>
      </c>
      <c r="B95" t="s">
        <v>40</v>
      </c>
      <c r="C95" s="4">
        <v>15278437</v>
      </c>
      <c r="D95" t="s">
        <v>169</v>
      </c>
      <c r="E95" s="4">
        <v>15278437</v>
      </c>
      <c r="F95" t="s">
        <v>169</v>
      </c>
      <c r="G95" s="3">
        <v>45597</v>
      </c>
      <c r="H95" s="2">
        <v>4.17</v>
      </c>
      <c r="I95" t="s">
        <v>369</v>
      </c>
      <c r="J95" t="str">
        <f>CONCATENATE(I95,6)</f>
        <v>4TJ1WV0JU916</v>
      </c>
      <c r="K95" t="s">
        <v>370</v>
      </c>
      <c r="L95" s="3">
        <v>45205</v>
      </c>
      <c r="M95" s="3">
        <v>45231</v>
      </c>
      <c r="N95" t="s">
        <v>55</v>
      </c>
      <c r="O95" t="s">
        <v>45</v>
      </c>
      <c r="P95" t="s">
        <v>84</v>
      </c>
      <c r="Q95" t="s">
        <v>426</v>
      </c>
      <c r="R95" s="3">
        <v>45231</v>
      </c>
      <c r="S95" t="s">
        <v>423</v>
      </c>
    </row>
    <row r="96" spans="1:19" x14ac:dyDescent="0.25">
      <c r="A96" t="s">
        <v>39</v>
      </c>
      <c r="B96" t="s">
        <v>40</v>
      </c>
      <c r="C96" s="4">
        <v>15278437</v>
      </c>
      <c r="D96" t="s">
        <v>169</v>
      </c>
      <c r="E96" s="4">
        <v>15278437</v>
      </c>
      <c r="F96" t="s">
        <v>169</v>
      </c>
      <c r="G96" s="3">
        <v>45597</v>
      </c>
      <c r="H96" s="2">
        <v>4.17</v>
      </c>
      <c r="I96" t="s">
        <v>371</v>
      </c>
      <c r="J96" t="str">
        <f>CONCATENATE(I96,6)</f>
        <v>1Q30WQ7WW196</v>
      </c>
      <c r="K96" t="s">
        <v>372</v>
      </c>
      <c r="L96" s="3">
        <v>45209</v>
      </c>
      <c r="M96" s="3">
        <v>45231</v>
      </c>
      <c r="N96" t="s">
        <v>84</v>
      </c>
      <c r="O96" t="s">
        <v>373</v>
      </c>
      <c r="P96" t="s">
        <v>84</v>
      </c>
      <c r="Q96" t="s">
        <v>426</v>
      </c>
      <c r="R96" s="3">
        <v>44927</v>
      </c>
      <c r="S96" t="s">
        <v>423</v>
      </c>
    </row>
    <row r="97" spans="1:19" x14ac:dyDescent="0.25">
      <c r="A97" t="s">
        <v>39</v>
      </c>
      <c r="B97" t="s">
        <v>40</v>
      </c>
      <c r="C97" s="4">
        <v>15278437</v>
      </c>
      <c r="D97" t="s">
        <v>169</v>
      </c>
      <c r="E97" s="4">
        <v>15278437</v>
      </c>
      <c r="F97" t="s">
        <v>169</v>
      </c>
      <c r="G97" s="3">
        <v>45597</v>
      </c>
      <c r="H97" s="2">
        <v>4.17</v>
      </c>
      <c r="I97" t="s">
        <v>383</v>
      </c>
      <c r="J97" t="str">
        <f>CONCATENATE(I97,6)</f>
        <v>3KE7U67EV686</v>
      </c>
      <c r="K97" t="s">
        <v>384</v>
      </c>
      <c r="L97" s="3">
        <v>45215</v>
      </c>
      <c r="M97" s="3">
        <v>45231</v>
      </c>
      <c r="N97" t="s">
        <v>55</v>
      </c>
      <c r="O97" t="s">
        <v>45</v>
      </c>
      <c r="P97" t="s">
        <v>84</v>
      </c>
      <c r="Q97" t="s">
        <v>426</v>
      </c>
      <c r="R97" s="3">
        <v>45231</v>
      </c>
      <c r="S97" t="s">
        <v>423</v>
      </c>
    </row>
    <row r="98" spans="1:19" x14ac:dyDescent="0.25">
      <c r="A98" t="s">
        <v>39</v>
      </c>
      <c r="B98" t="s">
        <v>40</v>
      </c>
      <c r="C98" s="4">
        <v>15278437</v>
      </c>
      <c r="D98" t="s">
        <v>169</v>
      </c>
      <c r="E98" s="4">
        <v>15278437</v>
      </c>
      <c r="F98" t="s">
        <v>169</v>
      </c>
      <c r="G98" s="3">
        <v>45597</v>
      </c>
      <c r="H98" s="2">
        <v>4.17</v>
      </c>
      <c r="I98" t="s">
        <v>385</v>
      </c>
      <c r="J98" t="str">
        <f>CONCATENATE(I98,6)</f>
        <v>7WH1QT3FX136</v>
      </c>
      <c r="K98" t="s">
        <v>386</v>
      </c>
      <c r="L98" s="3">
        <v>45216</v>
      </c>
      <c r="M98" s="3">
        <v>45231</v>
      </c>
      <c r="N98" t="s">
        <v>55</v>
      </c>
      <c r="O98" t="s">
        <v>45</v>
      </c>
      <c r="P98" t="s">
        <v>84</v>
      </c>
      <c r="Q98" t="s">
        <v>426</v>
      </c>
      <c r="R98" s="3">
        <v>45231</v>
      </c>
      <c r="S98" t="s">
        <v>423</v>
      </c>
    </row>
    <row r="99" spans="1:19" x14ac:dyDescent="0.25">
      <c r="A99" t="s">
        <v>39</v>
      </c>
      <c r="B99" t="s">
        <v>40</v>
      </c>
      <c r="C99" s="4">
        <v>15278437</v>
      </c>
      <c r="D99" t="s">
        <v>169</v>
      </c>
      <c r="E99" s="4">
        <v>15278437</v>
      </c>
      <c r="F99" t="s">
        <v>169</v>
      </c>
      <c r="G99" s="3">
        <v>45597</v>
      </c>
      <c r="H99" s="2">
        <v>4.17</v>
      </c>
      <c r="I99" t="s">
        <v>389</v>
      </c>
      <c r="J99" t="str">
        <f>CONCATENATE(I99,6)</f>
        <v>8GA9YF3XN586</v>
      </c>
      <c r="K99" t="s">
        <v>390</v>
      </c>
      <c r="L99" s="3">
        <v>45224</v>
      </c>
      <c r="M99" s="3">
        <v>45231</v>
      </c>
      <c r="N99" t="s">
        <v>55</v>
      </c>
      <c r="O99" t="s">
        <v>45</v>
      </c>
      <c r="P99" t="s">
        <v>84</v>
      </c>
      <c r="Q99" t="s">
        <v>426</v>
      </c>
      <c r="R99" s="3">
        <v>45231</v>
      </c>
      <c r="S99" t="s">
        <v>423</v>
      </c>
    </row>
    <row r="100" spans="1:19" x14ac:dyDescent="0.25">
      <c r="A100" t="s">
        <v>39</v>
      </c>
      <c r="B100" t="s">
        <v>40</v>
      </c>
      <c r="C100" s="4">
        <v>15278437</v>
      </c>
      <c r="D100" t="s">
        <v>169</v>
      </c>
      <c r="E100" s="4">
        <v>15278437</v>
      </c>
      <c r="F100" t="s">
        <v>169</v>
      </c>
      <c r="G100" s="3">
        <v>45597</v>
      </c>
      <c r="H100" s="2">
        <v>4.17</v>
      </c>
      <c r="I100" t="s">
        <v>397</v>
      </c>
      <c r="J100" t="str">
        <f>CONCATENATE(I100,6)</f>
        <v>4AJ5GD9MV726</v>
      </c>
      <c r="K100" t="s">
        <v>398</v>
      </c>
      <c r="L100" s="3">
        <v>45211</v>
      </c>
      <c r="M100" s="3">
        <v>45231</v>
      </c>
      <c r="N100" t="s">
        <v>84</v>
      </c>
      <c r="O100" t="s">
        <v>373</v>
      </c>
      <c r="P100" t="s">
        <v>84</v>
      </c>
      <c r="Q100" t="s">
        <v>426</v>
      </c>
      <c r="R100" s="3">
        <v>42736</v>
      </c>
      <c r="S100" t="s">
        <v>423</v>
      </c>
    </row>
    <row r="101" spans="1:19" x14ac:dyDescent="0.25">
      <c r="A101" t="s">
        <v>39</v>
      </c>
      <c r="B101" t="s">
        <v>40</v>
      </c>
      <c r="C101" s="4">
        <v>15278437</v>
      </c>
      <c r="D101" t="s">
        <v>169</v>
      </c>
      <c r="E101" s="4">
        <v>15278437</v>
      </c>
      <c r="F101" t="s">
        <v>169</v>
      </c>
      <c r="G101" s="3">
        <v>45597</v>
      </c>
      <c r="H101" s="2">
        <v>4.17</v>
      </c>
      <c r="I101" t="s">
        <v>399</v>
      </c>
      <c r="J101" t="str">
        <f>CONCATENATE(I101,6)</f>
        <v>1PJ0DV9RH026</v>
      </c>
      <c r="K101" t="s">
        <v>400</v>
      </c>
      <c r="L101" s="3">
        <v>45231</v>
      </c>
      <c r="M101" s="3">
        <v>45261</v>
      </c>
      <c r="N101" t="s">
        <v>55</v>
      </c>
      <c r="O101" t="s">
        <v>45</v>
      </c>
      <c r="P101" t="s">
        <v>84</v>
      </c>
      <c r="Q101" t="s">
        <v>426</v>
      </c>
      <c r="R101" s="3">
        <v>45261</v>
      </c>
      <c r="S101" t="s">
        <v>423</v>
      </c>
    </row>
    <row r="102" spans="1:19" x14ac:dyDescent="0.25">
      <c r="A102" t="s">
        <v>39</v>
      </c>
      <c r="B102" t="s">
        <v>40</v>
      </c>
      <c r="C102" s="4">
        <v>15278437</v>
      </c>
      <c r="D102" t="s">
        <v>169</v>
      </c>
      <c r="E102" s="4">
        <v>15278437</v>
      </c>
      <c r="F102" t="s">
        <v>169</v>
      </c>
      <c r="G102" s="3">
        <v>45597</v>
      </c>
      <c r="H102" s="2">
        <v>4.17</v>
      </c>
      <c r="I102" t="s">
        <v>403</v>
      </c>
      <c r="J102" t="str">
        <f>CONCATENATE(I102,6)</f>
        <v>1Q47YW9HF376</v>
      </c>
      <c r="K102" t="s">
        <v>404</v>
      </c>
      <c r="L102" s="3">
        <v>45231</v>
      </c>
      <c r="M102" s="3">
        <v>45261</v>
      </c>
      <c r="N102" t="s">
        <v>55</v>
      </c>
      <c r="O102" t="s">
        <v>45</v>
      </c>
      <c r="P102" t="s">
        <v>84</v>
      </c>
      <c r="Q102" t="s">
        <v>426</v>
      </c>
      <c r="R102" s="3">
        <v>45261</v>
      </c>
      <c r="S102" t="s">
        <v>423</v>
      </c>
    </row>
    <row r="103" spans="1:19" x14ac:dyDescent="0.25">
      <c r="A103" t="s">
        <v>39</v>
      </c>
      <c r="B103" t="s">
        <v>40</v>
      </c>
      <c r="C103" s="4">
        <v>15278437</v>
      </c>
      <c r="D103" t="s">
        <v>169</v>
      </c>
      <c r="E103" s="4">
        <v>15278437</v>
      </c>
      <c r="F103" t="s">
        <v>169</v>
      </c>
      <c r="G103" s="3">
        <v>45597</v>
      </c>
      <c r="H103" s="2">
        <v>4.17</v>
      </c>
      <c r="I103" t="s">
        <v>405</v>
      </c>
      <c r="J103" t="str">
        <f>CONCATENATE(I103,6)</f>
        <v>8YU4MR7QY636</v>
      </c>
      <c r="K103" t="s">
        <v>406</v>
      </c>
      <c r="L103" s="3">
        <v>45230</v>
      </c>
      <c r="M103" s="3">
        <v>45261</v>
      </c>
      <c r="N103" t="s">
        <v>55</v>
      </c>
      <c r="O103" t="s">
        <v>45</v>
      </c>
      <c r="P103" t="s">
        <v>84</v>
      </c>
      <c r="Q103" t="s">
        <v>426</v>
      </c>
      <c r="R103" s="3">
        <v>45261</v>
      </c>
      <c r="S103" t="s">
        <v>423</v>
      </c>
    </row>
    <row r="104" spans="1:19" x14ac:dyDescent="0.25">
      <c r="A104" t="s">
        <v>39</v>
      </c>
      <c r="B104" t="s">
        <v>40</v>
      </c>
      <c r="C104" s="4">
        <v>15278437</v>
      </c>
      <c r="D104" t="s">
        <v>169</v>
      </c>
      <c r="E104" s="4">
        <v>15278437</v>
      </c>
      <c r="F104" t="s">
        <v>169</v>
      </c>
      <c r="G104" s="3">
        <v>45597</v>
      </c>
      <c r="H104" s="2">
        <v>4.17</v>
      </c>
      <c r="I104" t="s">
        <v>413</v>
      </c>
      <c r="J104" t="str">
        <f>CONCATENATE(I104,6)</f>
        <v>3FC7U13PP616</v>
      </c>
      <c r="K104" t="s">
        <v>414</v>
      </c>
      <c r="L104" s="3">
        <v>45257</v>
      </c>
      <c r="M104" s="3">
        <v>45261</v>
      </c>
      <c r="N104" t="s">
        <v>55</v>
      </c>
      <c r="O104" t="s">
        <v>45</v>
      </c>
      <c r="P104" t="s">
        <v>84</v>
      </c>
      <c r="Q104" t="s">
        <v>426</v>
      </c>
      <c r="R104" s="3">
        <v>45261</v>
      </c>
      <c r="S104" t="s">
        <v>423</v>
      </c>
    </row>
    <row r="105" spans="1:19" x14ac:dyDescent="0.25">
      <c r="A105" t="s">
        <v>39</v>
      </c>
      <c r="B105" t="s">
        <v>40</v>
      </c>
      <c r="C105" s="4">
        <v>15278437</v>
      </c>
      <c r="D105" t="s">
        <v>169</v>
      </c>
      <c r="E105" s="4">
        <v>15278437</v>
      </c>
      <c r="F105" t="s">
        <v>169</v>
      </c>
      <c r="G105" s="3">
        <v>45597</v>
      </c>
      <c r="H105" s="2">
        <v>4.17</v>
      </c>
      <c r="I105" t="s">
        <v>417</v>
      </c>
      <c r="J105" t="str">
        <f>CONCATENATE(I105,6)</f>
        <v>5T24PM4QG666</v>
      </c>
      <c r="K105" t="s">
        <v>418</v>
      </c>
      <c r="L105" s="3">
        <v>45277</v>
      </c>
      <c r="M105" s="3">
        <v>45292</v>
      </c>
      <c r="N105" t="s">
        <v>84</v>
      </c>
      <c r="O105" t="s">
        <v>45</v>
      </c>
      <c r="P105" t="s">
        <v>84</v>
      </c>
      <c r="Q105" t="s">
        <v>426</v>
      </c>
      <c r="R105" s="3">
        <v>45231</v>
      </c>
      <c r="S105" t="s">
        <v>423</v>
      </c>
    </row>
    <row r="106" spans="1:19" x14ac:dyDescent="0.25">
      <c r="A106" t="s">
        <v>39</v>
      </c>
      <c r="B106" t="s">
        <v>40</v>
      </c>
      <c r="C106" s="4">
        <v>19562245</v>
      </c>
      <c r="D106" t="s">
        <v>308</v>
      </c>
      <c r="E106" s="4">
        <v>19562245</v>
      </c>
      <c r="F106" t="s">
        <v>308</v>
      </c>
      <c r="G106" s="3">
        <v>45597</v>
      </c>
      <c r="H106" s="2">
        <v>4.17</v>
      </c>
      <c r="I106" t="s">
        <v>309</v>
      </c>
      <c r="J106" t="str">
        <f>CONCATENATE(I106,6)</f>
        <v>7WU2AM0NU196</v>
      </c>
      <c r="K106" t="s">
        <v>310</v>
      </c>
      <c r="L106" s="3">
        <v>45065</v>
      </c>
      <c r="M106" s="3">
        <v>45139</v>
      </c>
      <c r="N106" t="s">
        <v>55</v>
      </c>
      <c r="O106" t="s">
        <v>45</v>
      </c>
      <c r="P106" t="s">
        <v>84</v>
      </c>
      <c r="Q106" t="s">
        <v>426</v>
      </c>
      <c r="R106" s="3">
        <v>45139</v>
      </c>
      <c r="S106" t="s">
        <v>423</v>
      </c>
    </row>
    <row r="107" spans="1:19" x14ac:dyDescent="0.25">
      <c r="A107" t="s">
        <v>39</v>
      </c>
      <c r="B107" t="s">
        <v>40</v>
      </c>
      <c r="C107" s="4">
        <v>19562245</v>
      </c>
      <c r="D107" t="s">
        <v>308</v>
      </c>
      <c r="E107" s="4">
        <v>19562245</v>
      </c>
      <c r="F107" t="s">
        <v>308</v>
      </c>
      <c r="G107" s="3">
        <v>45597</v>
      </c>
      <c r="H107" s="2">
        <v>4.17</v>
      </c>
      <c r="I107" t="s">
        <v>321</v>
      </c>
      <c r="J107" t="str">
        <f>CONCATENATE(I107,6)</f>
        <v>8VY2EU3GG126</v>
      </c>
      <c r="K107" t="s">
        <v>322</v>
      </c>
      <c r="L107" s="3">
        <v>45082</v>
      </c>
      <c r="M107" s="3">
        <v>45108</v>
      </c>
      <c r="N107" t="s">
        <v>55</v>
      </c>
      <c r="O107" t="s">
        <v>45</v>
      </c>
      <c r="P107" t="s">
        <v>84</v>
      </c>
      <c r="Q107" t="s">
        <v>426</v>
      </c>
      <c r="R107" s="3">
        <v>45108</v>
      </c>
      <c r="S107" t="s">
        <v>423</v>
      </c>
    </row>
    <row r="108" spans="1:19" x14ac:dyDescent="0.25">
      <c r="A108" t="s">
        <v>39</v>
      </c>
      <c r="B108" t="s">
        <v>40</v>
      </c>
      <c r="C108" s="4">
        <v>19562245</v>
      </c>
      <c r="D108" t="s">
        <v>308</v>
      </c>
      <c r="E108" s="4">
        <v>19562245</v>
      </c>
      <c r="F108" t="s">
        <v>308</v>
      </c>
      <c r="G108" s="3">
        <v>45597</v>
      </c>
      <c r="H108" s="2">
        <v>4.17</v>
      </c>
      <c r="I108" t="s">
        <v>323</v>
      </c>
      <c r="J108" t="str">
        <f>CONCATENATE(I108,6)</f>
        <v>7CD3W50YE746</v>
      </c>
      <c r="K108" t="s">
        <v>324</v>
      </c>
      <c r="L108" s="3">
        <v>45090</v>
      </c>
      <c r="M108" s="3">
        <v>45170</v>
      </c>
      <c r="N108" t="s">
        <v>55</v>
      </c>
      <c r="O108" t="s">
        <v>45</v>
      </c>
      <c r="P108" t="s">
        <v>84</v>
      </c>
      <c r="Q108" t="s">
        <v>426</v>
      </c>
      <c r="R108" s="3">
        <v>45170</v>
      </c>
      <c r="S108" t="s">
        <v>423</v>
      </c>
    </row>
    <row r="109" spans="1:19" x14ac:dyDescent="0.25">
      <c r="A109" t="s">
        <v>39</v>
      </c>
      <c r="B109" t="s">
        <v>40</v>
      </c>
      <c r="C109" s="4">
        <v>19562245</v>
      </c>
      <c r="D109" t="s">
        <v>308</v>
      </c>
      <c r="E109" s="4">
        <v>19562245</v>
      </c>
      <c r="F109" t="s">
        <v>308</v>
      </c>
      <c r="G109" s="3">
        <v>45597</v>
      </c>
      <c r="H109" s="2">
        <v>4.17</v>
      </c>
      <c r="I109" t="s">
        <v>331</v>
      </c>
      <c r="J109" t="str">
        <f>CONCATENATE(I109,6)</f>
        <v>4MP0KG4UX906</v>
      </c>
      <c r="K109" t="s">
        <v>332</v>
      </c>
      <c r="L109" s="3">
        <v>45105</v>
      </c>
      <c r="M109" s="3">
        <v>45170</v>
      </c>
      <c r="N109" t="s">
        <v>55</v>
      </c>
      <c r="O109" t="s">
        <v>45</v>
      </c>
      <c r="P109" t="s">
        <v>84</v>
      </c>
      <c r="Q109" t="s">
        <v>426</v>
      </c>
      <c r="R109" s="3">
        <v>45170</v>
      </c>
      <c r="S109" t="s">
        <v>423</v>
      </c>
    </row>
    <row r="110" spans="1:19" x14ac:dyDescent="0.25">
      <c r="A110" t="s">
        <v>39</v>
      </c>
      <c r="B110" t="s">
        <v>40</v>
      </c>
      <c r="C110" s="4">
        <v>19562245</v>
      </c>
      <c r="D110" t="s">
        <v>308</v>
      </c>
      <c r="E110" s="4">
        <v>19562245</v>
      </c>
      <c r="F110" t="s">
        <v>308</v>
      </c>
      <c r="G110" s="3">
        <v>45597</v>
      </c>
      <c r="H110" s="2">
        <v>4.17</v>
      </c>
      <c r="I110" t="s">
        <v>377</v>
      </c>
      <c r="J110" t="str">
        <f>CONCATENATE(I110,6)</f>
        <v>7G70U63AG316</v>
      </c>
      <c r="K110" t="s">
        <v>378</v>
      </c>
      <c r="L110" s="3">
        <v>45212</v>
      </c>
      <c r="M110" s="3">
        <v>45261</v>
      </c>
      <c r="N110" t="s">
        <v>55</v>
      </c>
      <c r="O110" t="s">
        <v>45</v>
      </c>
      <c r="P110" t="s">
        <v>84</v>
      </c>
      <c r="Q110" t="s">
        <v>426</v>
      </c>
      <c r="R110" s="3">
        <v>45261</v>
      </c>
      <c r="S110" t="s">
        <v>423</v>
      </c>
    </row>
    <row r="111" spans="1:19" x14ac:dyDescent="0.25">
      <c r="A111" t="s">
        <v>39</v>
      </c>
      <c r="B111" t="s">
        <v>40</v>
      </c>
      <c r="C111" s="4">
        <v>19562245</v>
      </c>
      <c r="D111" t="s">
        <v>308</v>
      </c>
      <c r="E111" s="4">
        <v>19562245</v>
      </c>
      <c r="F111" t="s">
        <v>308</v>
      </c>
      <c r="G111" s="3">
        <v>45597</v>
      </c>
      <c r="H111" s="2">
        <v>4.17</v>
      </c>
      <c r="I111" t="s">
        <v>379</v>
      </c>
      <c r="J111" t="str">
        <f>CONCATENATE(I111,6)</f>
        <v>2P17HT0HV656</v>
      </c>
      <c r="K111" t="s">
        <v>380</v>
      </c>
      <c r="L111" s="3">
        <v>45216</v>
      </c>
      <c r="M111" s="3">
        <v>45292</v>
      </c>
      <c r="N111" t="s">
        <v>84</v>
      </c>
      <c r="O111" t="s">
        <v>45</v>
      </c>
      <c r="P111" t="s">
        <v>84</v>
      </c>
      <c r="Q111" t="s">
        <v>426</v>
      </c>
      <c r="R111" s="3">
        <v>44743</v>
      </c>
      <c r="S111" t="s">
        <v>423</v>
      </c>
    </row>
    <row r="112" spans="1:19" x14ac:dyDescent="0.25">
      <c r="A112" t="s">
        <v>39</v>
      </c>
      <c r="B112" t="s">
        <v>40</v>
      </c>
      <c r="C112" s="4">
        <v>19562245</v>
      </c>
      <c r="D112" t="s">
        <v>308</v>
      </c>
      <c r="E112" s="4">
        <v>19562245</v>
      </c>
      <c r="F112" t="s">
        <v>308</v>
      </c>
      <c r="G112" s="3">
        <v>45597</v>
      </c>
      <c r="H112" s="2">
        <v>4.17</v>
      </c>
      <c r="I112" t="s">
        <v>387</v>
      </c>
      <c r="J112" t="str">
        <f>CONCATENATE(I112,6)</f>
        <v>9MC1JD7DK286</v>
      </c>
      <c r="K112" t="s">
        <v>388</v>
      </c>
      <c r="L112" s="3">
        <v>45217</v>
      </c>
      <c r="M112" s="3">
        <v>45231</v>
      </c>
      <c r="N112" t="s">
        <v>55</v>
      </c>
      <c r="O112" t="s">
        <v>45</v>
      </c>
      <c r="P112" t="s">
        <v>84</v>
      </c>
      <c r="Q112" t="s">
        <v>426</v>
      </c>
      <c r="R112" s="3">
        <v>45231</v>
      </c>
      <c r="S112" t="s">
        <v>423</v>
      </c>
    </row>
    <row r="113" spans="1:19" x14ac:dyDescent="0.25">
      <c r="A113" t="s">
        <v>39</v>
      </c>
      <c r="B113" t="s">
        <v>40</v>
      </c>
      <c r="C113" s="4">
        <v>19562245</v>
      </c>
      <c r="D113" t="s">
        <v>308</v>
      </c>
      <c r="E113" s="4">
        <v>19562245</v>
      </c>
      <c r="F113" t="s">
        <v>308</v>
      </c>
      <c r="G113" s="3">
        <v>45597</v>
      </c>
      <c r="H113" s="2">
        <v>4.17</v>
      </c>
      <c r="I113" t="s">
        <v>391</v>
      </c>
      <c r="J113" t="str">
        <f>CONCATENATE(I113,6)</f>
        <v>5UN8JP4PY576</v>
      </c>
      <c r="K113" t="s">
        <v>392</v>
      </c>
      <c r="L113" s="3">
        <v>45230</v>
      </c>
      <c r="M113" s="3">
        <v>45292</v>
      </c>
      <c r="N113" t="s">
        <v>84</v>
      </c>
      <c r="O113" t="s">
        <v>45</v>
      </c>
      <c r="P113" t="s">
        <v>84</v>
      </c>
      <c r="Q113" t="s">
        <v>426</v>
      </c>
      <c r="R113" s="3">
        <v>44197</v>
      </c>
      <c r="S113" t="s">
        <v>423</v>
      </c>
    </row>
    <row r="114" spans="1:19" x14ac:dyDescent="0.25">
      <c r="A114" t="s">
        <v>39</v>
      </c>
      <c r="B114" t="s">
        <v>40</v>
      </c>
      <c r="C114" s="4">
        <v>19562245</v>
      </c>
      <c r="D114" t="s">
        <v>308</v>
      </c>
      <c r="E114" s="4">
        <v>19562245</v>
      </c>
      <c r="F114" t="s">
        <v>308</v>
      </c>
      <c r="G114" s="3">
        <v>45597</v>
      </c>
      <c r="H114" s="2">
        <v>4.17</v>
      </c>
      <c r="I114" t="s">
        <v>393</v>
      </c>
      <c r="J114" t="str">
        <f>CONCATENATE(I114,6)</f>
        <v>9QT0DR3RD456</v>
      </c>
      <c r="K114" t="s">
        <v>394</v>
      </c>
      <c r="L114" s="3">
        <v>45230</v>
      </c>
      <c r="M114" s="3">
        <v>45292</v>
      </c>
      <c r="N114" t="s">
        <v>84</v>
      </c>
      <c r="O114" t="s">
        <v>45</v>
      </c>
      <c r="P114" t="s">
        <v>84</v>
      </c>
      <c r="Q114" t="s">
        <v>426</v>
      </c>
      <c r="R114" s="3">
        <v>44927</v>
      </c>
      <c r="S114" t="s">
        <v>423</v>
      </c>
    </row>
    <row r="115" spans="1:19" x14ac:dyDescent="0.25">
      <c r="A115" t="s">
        <v>39</v>
      </c>
      <c r="B115" t="s">
        <v>40</v>
      </c>
      <c r="C115" s="4">
        <v>19562245</v>
      </c>
      <c r="D115" t="s">
        <v>308</v>
      </c>
      <c r="E115" s="4">
        <v>19562245</v>
      </c>
      <c r="F115" t="s">
        <v>308</v>
      </c>
      <c r="G115" s="3">
        <v>45597</v>
      </c>
      <c r="H115" s="2">
        <v>4.17</v>
      </c>
      <c r="I115" t="s">
        <v>409</v>
      </c>
      <c r="J115" t="str">
        <f>CONCATENATE(I115,6)</f>
        <v>5MU8WT0HX226</v>
      </c>
      <c r="K115" t="s">
        <v>410</v>
      </c>
      <c r="L115" s="3">
        <v>45243</v>
      </c>
      <c r="M115" s="3">
        <v>45292</v>
      </c>
      <c r="N115" t="s">
        <v>84</v>
      </c>
      <c r="O115" t="s">
        <v>45</v>
      </c>
      <c r="P115" t="s">
        <v>84</v>
      </c>
      <c r="Q115" t="s">
        <v>426</v>
      </c>
      <c r="R115" s="3">
        <v>44562</v>
      </c>
      <c r="S115" t="s">
        <v>423</v>
      </c>
    </row>
    <row r="116" spans="1:19" x14ac:dyDescent="0.25">
      <c r="A116" t="s">
        <v>39</v>
      </c>
      <c r="B116" t="s">
        <v>40</v>
      </c>
      <c r="C116" s="4">
        <v>13496370</v>
      </c>
      <c r="D116" t="s">
        <v>67</v>
      </c>
      <c r="E116" s="4">
        <v>13496370</v>
      </c>
      <c r="F116" t="s">
        <v>67</v>
      </c>
      <c r="G116" s="3">
        <v>45597</v>
      </c>
      <c r="H116" s="2">
        <v>25.5</v>
      </c>
      <c r="I116" t="s">
        <v>68</v>
      </c>
      <c r="J116" t="str">
        <f>CONCATENATE(I116,6)</f>
        <v>8JY2HT0WT216</v>
      </c>
      <c r="K116" t="s">
        <v>69</v>
      </c>
      <c r="L116" s="3">
        <v>45132</v>
      </c>
      <c r="M116" s="3">
        <v>45139</v>
      </c>
      <c r="N116" t="s">
        <v>46</v>
      </c>
      <c r="O116" t="s">
        <v>70</v>
      </c>
      <c r="P116" t="s">
        <v>46</v>
      </c>
      <c r="Q116" t="s">
        <v>427</v>
      </c>
      <c r="R116" s="3">
        <v>44805</v>
      </c>
      <c r="S116" t="s">
        <v>424</v>
      </c>
    </row>
    <row r="117" spans="1:19" x14ac:dyDescent="0.25">
      <c r="A117" t="s">
        <v>39</v>
      </c>
      <c r="B117" t="s">
        <v>40</v>
      </c>
      <c r="C117" s="4">
        <v>20697692</v>
      </c>
      <c r="D117" t="s">
        <v>316</v>
      </c>
      <c r="E117" s="4">
        <v>20697692</v>
      </c>
      <c r="F117" t="s">
        <v>316</v>
      </c>
      <c r="G117" s="3">
        <v>45597</v>
      </c>
      <c r="H117" s="2">
        <v>4.17</v>
      </c>
      <c r="I117" t="s">
        <v>317</v>
      </c>
      <c r="J117" t="str">
        <f>CONCATENATE(I117,6)</f>
        <v>4R60HC3VF196</v>
      </c>
      <c r="K117" t="s">
        <v>318</v>
      </c>
      <c r="L117" s="3">
        <v>45076</v>
      </c>
      <c r="M117" s="3">
        <v>45139</v>
      </c>
      <c r="N117" t="s">
        <v>55</v>
      </c>
      <c r="O117" t="s">
        <v>92</v>
      </c>
      <c r="P117" t="s">
        <v>84</v>
      </c>
      <c r="Q117" t="s">
        <v>426</v>
      </c>
      <c r="R117" s="3">
        <v>45139</v>
      </c>
      <c r="S117" t="s">
        <v>423</v>
      </c>
    </row>
    <row r="118" spans="1:19" x14ac:dyDescent="0.25">
      <c r="A118" t="s">
        <v>39</v>
      </c>
      <c r="B118" t="s">
        <v>40</v>
      </c>
      <c r="C118" s="4">
        <v>20697692</v>
      </c>
      <c r="D118" t="s">
        <v>316</v>
      </c>
      <c r="E118" s="4">
        <v>20697692</v>
      </c>
      <c r="F118" t="s">
        <v>316</v>
      </c>
      <c r="G118" s="3">
        <v>45597</v>
      </c>
      <c r="H118" s="2">
        <v>4.17</v>
      </c>
      <c r="I118" t="s">
        <v>355</v>
      </c>
      <c r="J118" t="str">
        <f>CONCATENATE(I118,6)</f>
        <v>4T35QK9DF766</v>
      </c>
      <c r="K118" t="s">
        <v>356</v>
      </c>
      <c r="L118" s="3">
        <v>45187</v>
      </c>
      <c r="M118" s="3">
        <v>45200</v>
      </c>
      <c r="N118" t="s">
        <v>55</v>
      </c>
      <c r="O118" t="s">
        <v>92</v>
      </c>
      <c r="P118" t="s">
        <v>84</v>
      </c>
      <c r="Q118" t="s">
        <v>426</v>
      </c>
      <c r="R118" s="3">
        <v>45200</v>
      </c>
      <c r="S118" t="s">
        <v>423</v>
      </c>
    </row>
    <row r="119" spans="1:19" x14ac:dyDescent="0.25">
      <c r="A119" t="s">
        <v>39</v>
      </c>
      <c r="B119" t="s">
        <v>40</v>
      </c>
      <c r="C119" s="4">
        <v>16212649</v>
      </c>
      <c r="D119" t="s">
        <v>80</v>
      </c>
      <c r="E119" s="4">
        <v>16212649</v>
      </c>
      <c r="F119" t="s">
        <v>80</v>
      </c>
      <c r="G119" s="3">
        <v>45597</v>
      </c>
      <c r="H119" s="2">
        <v>4.17</v>
      </c>
      <c r="I119" t="s">
        <v>93</v>
      </c>
      <c r="J119" t="str">
        <f>CONCATENATE(I119,6)</f>
        <v>1XJ9GP8CU116</v>
      </c>
      <c r="K119" t="s">
        <v>94</v>
      </c>
      <c r="L119" s="3">
        <v>44124</v>
      </c>
      <c r="M119" s="3">
        <v>44197</v>
      </c>
      <c r="N119" t="s">
        <v>46</v>
      </c>
      <c r="O119" t="s">
        <v>45</v>
      </c>
      <c r="P119" t="s">
        <v>84</v>
      </c>
      <c r="Q119" t="s">
        <v>426</v>
      </c>
      <c r="R119" s="3">
        <v>44197</v>
      </c>
      <c r="S119" t="s">
        <v>423</v>
      </c>
    </row>
    <row r="120" spans="1:19" x14ac:dyDescent="0.25">
      <c r="A120" t="s">
        <v>39</v>
      </c>
      <c r="B120" t="s">
        <v>40</v>
      </c>
      <c r="C120" s="4">
        <v>16212649</v>
      </c>
      <c r="D120" t="s">
        <v>80</v>
      </c>
      <c r="E120" s="4">
        <v>16212649</v>
      </c>
      <c r="F120" t="s">
        <v>80</v>
      </c>
      <c r="G120" s="3">
        <v>45597</v>
      </c>
      <c r="H120" s="2">
        <v>4.17</v>
      </c>
      <c r="I120" t="s">
        <v>100</v>
      </c>
      <c r="J120" t="str">
        <f>CONCATENATE(I120,6)</f>
        <v>5QF2E53GR266</v>
      </c>
      <c r="K120" t="s">
        <v>101</v>
      </c>
      <c r="L120" s="3">
        <v>44169</v>
      </c>
      <c r="M120" s="3">
        <v>44197</v>
      </c>
      <c r="N120" t="s">
        <v>84</v>
      </c>
      <c r="O120" t="s">
        <v>102</v>
      </c>
      <c r="P120" t="s">
        <v>84</v>
      </c>
      <c r="Q120" t="s">
        <v>426</v>
      </c>
      <c r="R120" s="3">
        <v>44197</v>
      </c>
      <c r="S120" t="s">
        <v>423</v>
      </c>
    </row>
    <row r="121" spans="1:19" x14ac:dyDescent="0.25">
      <c r="A121" t="s">
        <v>39</v>
      </c>
      <c r="B121" t="s">
        <v>40</v>
      </c>
      <c r="C121" s="4">
        <v>16212649</v>
      </c>
      <c r="D121" t="s">
        <v>80</v>
      </c>
      <c r="E121" s="4">
        <v>16212649</v>
      </c>
      <c r="F121" t="s">
        <v>80</v>
      </c>
      <c r="G121" s="3">
        <v>45597</v>
      </c>
      <c r="H121" s="2">
        <v>4.17</v>
      </c>
      <c r="I121" t="s">
        <v>104</v>
      </c>
      <c r="J121" t="str">
        <f>CONCATENATE(I121,6)</f>
        <v>2XH8ME1QW326</v>
      </c>
      <c r="K121" t="s">
        <v>105</v>
      </c>
      <c r="L121" s="3">
        <v>44166</v>
      </c>
      <c r="M121" s="3">
        <v>44197</v>
      </c>
      <c r="N121" t="s">
        <v>84</v>
      </c>
      <c r="O121" t="s">
        <v>102</v>
      </c>
      <c r="P121" t="s">
        <v>84</v>
      </c>
      <c r="Q121" t="s">
        <v>426</v>
      </c>
      <c r="R121" s="3">
        <v>44197</v>
      </c>
      <c r="S121" t="s">
        <v>423</v>
      </c>
    </row>
    <row r="122" spans="1:19" x14ac:dyDescent="0.25">
      <c r="A122" t="s">
        <v>39</v>
      </c>
      <c r="B122" t="s">
        <v>40</v>
      </c>
      <c r="C122" s="4">
        <v>16212649</v>
      </c>
      <c r="D122" t="s">
        <v>80</v>
      </c>
      <c r="E122" s="4">
        <v>16212649</v>
      </c>
      <c r="F122" t="s">
        <v>80</v>
      </c>
      <c r="G122" s="3">
        <v>45597</v>
      </c>
      <c r="H122" s="2">
        <v>4.17</v>
      </c>
      <c r="I122" t="s">
        <v>106</v>
      </c>
      <c r="J122" t="str">
        <f>CONCATENATE(I122,6)</f>
        <v>2YV7AQ9AR306</v>
      </c>
      <c r="K122" t="s">
        <v>107</v>
      </c>
      <c r="L122" s="3">
        <v>44039</v>
      </c>
      <c r="M122" s="3">
        <v>44044</v>
      </c>
      <c r="N122" t="s">
        <v>55</v>
      </c>
      <c r="O122" t="s">
        <v>102</v>
      </c>
      <c r="P122" t="s">
        <v>84</v>
      </c>
      <c r="Q122" t="s">
        <v>426</v>
      </c>
      <c r="R122" s="3">
        <v>44044</v>
      </c>
      <c r="S122" t="s">
        <v>423</v>
      </c>
    </row>
    <row r="123" spans="1:19" x14ac:dyDescent="0.25">
      <c r="A123" t="s">
        <v>39</v>
      </c>
      <c r="B123" t="s">
        <v>40</v>
      </c>
      <c r="C123" s="4">
        <v>16212649</v>
      </c>
      <c r="D123" t="s">
        <v>80</v>
      </c>
      <c r="E123" s="4">
        <v>16212649</v>
      </c>
      <c r="F123" t="s">
        <v>80</v>
      </c>
      <c r="G123" s="3">
        <v>45597</v>
      </c>
      <c r="H123" s="2">
        <v>4.17</v>
      </c>
      <c r="I123" t="s">
        <v>119</v>
      </c>
      <c r="J123" t="str">
        <f>CONCATENATE(I123,6)</f>
        <v>5M90D97WH346</v>
      </c>
      <c r="K123" t="s">
        <v>120</v>
      </c>
      <c r="L123" s="3">
        <v>43757</v>
      </c>
      <c r="M123" s="3">
        <v>43831</v>
      </c>
      <c r="N123" t="s">
        <v>55</v>
      </c>
      <c r="O123" t="s">
        <v>45</v>
      </c>
      <c r="P123" t="s">
        <v>84</v>
      </c>
      <c r="Q123" t="s">
        <v>426</v>
      </c>
      <c r="R123" s="3">
        <v>43831</v>
      </c>
      <c r="S123" t="s">
        <v>423</v>
      </c>
    </row>
    <row r="124" spans="1:19" x14ac:dyDescent="0.25">
      <c r="A124" t="s">
        <v>39</v>
      </c>
      <c r="B124" t="s">
        <v>40</v>
      </c>
      <c r="C124" s="4">
        <v>16212649</v>
      </c>
      <c r="D124" t="s">
        <v>80</v>
      </c>
      <c r="E124" s="4">
        <v>16212649</v>
      </c>
      <c r="F124" t="s">
        <v>80</v>
      </c>
      <c r="G124" s="3">
        <v>45597</v>
      </c>
      <c r="H124" s="2">
        <v>4.17</v>
      </c>
      <c r="I124" t="s">
        <v>121</v>
      </c>
      <c r="J124" t="str">
        <f>CONCATENATE(I124,6)</f>
        <v>6G44EF8EQ846</v>
      </c>
      <c r="K124" t="s">
        <v>122</v>
      </c>
      <c r="L124" s="3">
        <v>43591</v>
      </c>
      <c r="M124" s="3">
        <v>43647</v>
      </c>
      <c r="N124" t="s">
        <v>55</v>
      </c>
      <c r="O124" t="s">
        <v>102</v>
      </c>
      <c r="P124" t="s">
        <v>84</v>
      </c>
      <c r="Q124" t="s">
        <v>426</v>
      </c>
      <c r="R124" s="3">
        <v>43647</v>
      </c>
      <c r="S124" t="s">
        <v>423</v>
      </c>
    </row>
    <row r="125" spans="1:19" x14ac:dyDescent="0.25">
      <c r="A125" t="s">
        <v>39</v>
      </c>
      <c r="B125" t="s">
        <v>40</v>
      </c>
      <c r="C125" s="4">
        <v>16212649</v>
      </c>
      <c r="D125" t="s">
        <v>80</v>
      </c>
      <c r="E125" s="4">
        <v>16212649</v>
      </c>
      <c r="F125" t="s">
        <v>80</v>
      </c>
      <c r="G125" s="3">
        <v>45597</v>
      </c>
      <c r="H125" s="2">
        <v>4.17</v>
      </c>
      <c r="I125" t="s">
        <v>125</v>
      </c>
      <c r="J125" t="str">
        <f>CONCATENATE(I125,6)</f>
        <v>7F63VK1PV716</v>
      </c>
      <c r="K125" t="s">
        <v>126</v>
      </c>
      <c r="L125" s="3">
        <v>43675</v>
      </c>
      <c r="M125" s="3">
        <v>43709</v>
      </c>
      <c r="N125" t="s">
        <v>55</v>
      </c>
      <c r="O125" t="s">
        <v>83</v>
      </c>
      <c r="P125" t="s">
        <v>84</v>
      </c>
      <c r="Q125" t="s">
        <v>426</v>
      </c>
      <c r="R125" s="3">
        <v>43709</v>
      </c>
      <c r="S125" t="s">
        <v>423</v>
      </c>
    </row>
    <row r="126" spans="1:19" x14ac:dyDescent="0.25">
      <c r="A126" t="s">
        <v>39</v>
      </c>
      <c r="B126" t="s">
        <v>40</v>
      </c>
      <c r="C126" s="4">
        <v>16212649</v>
      </c>
      <c r="D126" t="s">
        <v>80</v>
      </c>
      <c r="E126" s="4">
        <v>16212649</v>
      </c>
      <c r="F126" t="s">
        <v>80</v>
      </c>
      <c r="G126" s="3">
        <v>45597</v>
      </c>
      <c r="H126" s="2">
        <v>4.17</v>
      </c>
      <c r="I126" t="s">
        <v>127</v>
      </c>
      <c r="J126" t="str">
        <f>CONCATENATE(I126,6)</f>
        <v>7MD9G31KF156</v>
      </c>
      <c r="K126" t="s">
        <v>128</v>
      </c>
      <c r="L126" s="3">
        <v>43557</v>
      </c>
      <c r="M126" s="3">
        <v>43586</v>
      </c>
      <c r="N126" t="s">
        <v>55</v>
      </c>
      <c r="O126" t="s">
        <v>45</v>
      </c>
      <c r="P126" t="s">
        <v>84</v>
      </c>
      <c r="Q126" t="s">
        <v>426</v>
      </c>
      <c r="R126" s="3">
        <v>43586</v>
      </c>
      <c r="S126" t="s">
        <v>423</v>
      </c>
    </row>
    <row r="127" spans="1:19" x14ac:dyDescent="0.25">
      <c r="A127" t="s">
        <v>39</v>
      </c>
      <c r="B127" t="s">
        <v>40</v>
      </c>
      <c r="C127" s="4">
        <v>16212649</v>
      </c>
      <c r="D127" t="s">
        <v>80</v>
      </c>
      <c r="E127" s="4">
        <v>16212649</v>
      </c>
      <c r="F127" t="s">
        <v>80</v>
      </c>
      <c r="G127" s="3">
        <v>45597</v>
      </c>
      <c r="H127" s="2">
        <v>4.17</v>
      </c>
      <c r="I127" t="s">
        <v>129</v>
      </c>
      <c r="J127" t="str">
        <f>CONCATENATE(I127,6)</f>
        <v>2GR4K76PA016</v>
      </c>
      <c r="K127" t="s">
        <v>130</v>
      </c>
      <c r="L127" s="3">
        <v>44076</v>
      </c>
      <c r="M127" s="3">
        <v>44105</v>
      </c>
      <c r="N127" t="s">
        <v>55</v>
      </c>
      <c r="O127" t="s">
        <v>102</v>
      </c>
      <c r="P127" t="s">
        <v>84</v>
      </c>
      <c r="Q127" t="s">
        <v>426</v>
      </c>
      <c r="R127" s="3">
        <v>44105</v>
      </c>
      <c r="S127" t="s">
        <v>423</v>
      </c>
    </row>
    <row r="128" spans="1:19" x14ac:dyDescent="0.25">
      <c r="A128" t="s">
        <v>39</v>
      </c>
      <c r="B128" t="s">
        <v>40</v>
      </c>
      <c r="C128" s="4">
        <v>16212649</v>
      </c>
      <c r="D128" t="s">
        <v>80</v>
      </c>
      <c r="E128" s="4">
        <v>16212649</v>
      </c>
      <c r="F128" t="s">
        <v>80</v>
      </c>
      <c r="G128" s="3">
        <v>45597</v>
      </c>
      <c r="H128" s="2">
        <v>4.17</v>
      </c>
      <c r="I128" t="s">
        <v>135</v>
      </c>
      <c r="J128" t="str">
        <f>CONCATENATE(I128,6)</f>
        <v>3Y44YV2PP836</v>
      </c>
      <c r="K128" t="s">
        <v>136</v>
      </c>
      <c r="L128" s="3">
        <v>43776</v>
      </c>
      <c r="M128" s="3">
        <v>43800</v>
      </c>
      <c r="N128" t="s">
        <v>84</v>
      </c>
      <c r="O128" t="s">
        <v>137</v>
      </c>
      <c r="P128" t="s">
        <v>84</v>
      </c>
      <c r="Q128" t="s">
        <v>426</v>
      </c>
      <c r="R128" s="3">
        <v>43709</v>
      </c>
      <c r="S128" t="s">
        <v>423</v>
      </c>
    </row>
    <row r="129" spans="1:19" x14ac:dyDescent="0.25">
      <c r="A129" t="s">
        <v>39</v>
      </c>
      <c r="B129" t="s">
        <v>40</v>
      </c>
      <c r="C129" s="4">
        <v>16212649</v>
      </c>
      <c r="D129" t="s">
        <v>80</v>
      </c>
      <c r="E129" s="4">
        <v>16212649</v>
      </c>
      <c r="F129" t="s">
        <v>80</v>
      </c>
      <c r="G129" s="3">
        <v>45597</v>
      </c>
      <c r="H129" s="2">
        <v>4.17</v>
      </c>
      <c r="I129" t="s">
        <v>143</v>
      </c>
      <c r="J129" t="str">
        <f>CONCATENATE(I129,6)</f>
        <v>1KF9UR2WN136</v>
      </c>
      <c r="K129" t="s">
        <v>144</v>
      </c>
      <c r="L129" s="3">
        <v>43769</v>
      </c>
      <c r="M129" s="3">
        <v>44562</v>
      </c>
      <c r="N129" t="s">
        <v>84</v>
      </c>
      <c r="O129" t="s">
        <v>102</v>
      </c>
      <c r="P129" t="s">
        <v>84</v>
      </c>
      <c r="Q129" t="s">
        <v>426</v>
      </c>
      <c r="R129" s="3">
        <v>43831</v>
      </c>
      <c r="S129" t="s">
        <v>423</v>
      </c>
    </row>
    <row r="130" spans="1:19" x14ac:dyDescent="0.25">
      <c r="A130" t="s">
        <v>39</v>
      </c>
      <c r="B130" t="s">
        <v>40</v>
      </c>
      <c r="C130" s="4">
        <v>16212649</v>
      </c>
      <c r="D130" t="s">
        <v>80</v>
      </c>
      <c r="E130" s="4">
        <v>16212649</v>
      </c>
      <c r="F130" t="s">
        <v>80</v>
      </c>
      <c r="G130" s="3">
        <v>45597</v>
      </c>
      <c r="H130" s="2">
        <v>4.17</v>
      </c>
      <c r="I130" t="s">
        <v>145</v>
      </c>
      <c r="J130" t="str">
        <f>CONCATENATE(I130,6)</f>
        <v>2DR9QT5EK596</v>
      </c>
      <c r="K130" t="s">
        <v>146</v>
      </c>
      <c r="L130" s="3">
        <v>43943</v>
      </c>
      <c r="M130" s="3">
        <v>44562</v>
      </c>
      <c r="N130" t="s">
        <v>84</v>
      </c>
      <c r="O130" t="s">
        <v>102</v>
      </c>
      <c r="P130" t="s">
        <v>84</v>
      </c>
      <c r="Q130" t="s">
        <v>426</v>
      </c>
      <c r="R130" s="3">
        <v>43952</v>
      </c>
      <c r="S130" t="s">
        <v>423</v>
      </c>
    </row>
    <row r="131" spans="1:19" x14ac:dyDescent="0.25">
      <c r="A131" t="s">
        <v>39</v>
      </c>
      <c r="B131" t="s">
        <v>40</v>
      </c>
      <c r="C131" s="4">
        <v>16212649</v>
      </c>
      <c r="D131" t="s">
        <v>80</v>
      </c>
      <c r="E131" s="4">
        <v>16212649</v>
      </c>
      <c r="F131" t="s">
        <v>80</v>
      </c>
      <c r="G131" s="3">
        <v>45597</v>
      </c>
      <c r="H131" s="2">
        <v>4.17</v>
      </c>
      <c r="I131" t="s">
        <v>149</v>
      </c>
      <c r="J131" t="str">
        <f>CONCATENATE(I131,6)</f>
        <v>3XX0M58WC086</v>
      </c>
      <c r="K131" t="s">
        <v>150</v>
      </c>
      <c r="L131" s="3">
        <v>44168</v>
      </c>
      <c r="M131" s="3">
        <v>44562</v>
      </c>
      <c r="N131" t="s">
        <v>84</v>
      </c>
      <c r="O131" t="s">
        <v>102</v>
      </c>
      <c r="P131" t="s">
        <v>84</v>
      </c>
      <c r="Q131" t="s">
        <v>426</v>
      </c>
      <c r="R131" s="3">
        <v>44197</v>
      </c>
      <c r="S131" t="s">
        <v>423</v>
      </c>
    </row>
    <row r="132" spans="1:19" x14ac:dyDescent="0.25">
      <c r="A132" t="s">
        <v>39</v>
      </c>
      <c r="B132" t="s">
        <v>40</v>
      </c>
      <c r="C132" s="4">
        <v>16212649</v>
      </c>
      <c r="D132" t="s">
        <v>80</v>
      </c>
      <c r="E132" s="4">
        <v>16212649</v>
      </c>
      <c r="F132" t="s">
        <v>80</v>
      </c>
      <c r="G132" s="3">
        <v>45597</v>
      </c>
      <c r="H132" s="2">
        <v>4.17</v>
      </c>
      <c r="I132" t="s">
        <v>153</v>
      </c>
      <c r="J132" t="str">
        <f>CONCATENATE(I132,6)</f>
        <v>3Q61GQ9NR806</v>
      </c>
      <c r="K132" t="s">
        <v>154</v>
      </c>
      <c r="L132" s="3">
        <v>44274</v>
      </c>
      <c r="M132" s="3">
        <v>44562</v>
      </c>
      <c r="N132" t="s">
        <v>84</v>
      </c>
      <c r="O132" t="s">
        <v>102</v>
      </c>
      <c r="P132" t="s">
        <v>84</v>
      </c>
      <c r="Q132" t="s">
        <v>426</v>
      </c>
      <c r="R132" s="3">
        <v>44287</v>
      </c>
      <c r="S132" t="s">
        <v>423</v>
      </c>
    </row>
    <row r="133" spans="1:19" x14ac:dyDescent="0.25">
      <c r="A133" t="s">
        <v>39</v>
      </c>
      <c r="B133" t="s">
        <v>40</v>
      </c>
      <c r="C133" s="4">
        <v>16212649</v>
      </c>
      <c r="D133" t="s">
        <v>80</v>
      </c>
      <c r="E133" s="4">
        <v>16212649</v>
      </c>
      <c r="F133" t="s">
        <v>80</v>
      </c>
      <c r="G133" s="3">
        <v>45597</v>
      </c>
      <c r="H133" s="2">
        <v>4.17</v>
      </c>
      <c r="I133" t="s">
        <v>155</v>
      </c>
      <c r="J133" t="str">
        <f>CONCATENATE(I133,6)</f>
        <v>8H93KN6FX866</v>
      </c>
      <c r="K133" t="s">
        <v>80</v>
      </c>
      <c r="L133" s="3">
        <v>43753</v>
      </c>
      <c r="M133" s="3">
        <v>44562</v>
      </c>
      <c r="N133" t="s">
        <v>84</v>
      </c>
      <c r="O133" t="s">
        <v>102</v>
      </c>
      <c r="P133" t="s">
        <v>84</v>
      </c>
      <c r="Q133" t="s">
        <v>426</v>
      </c>
      <c r="R133" s="3">
        <v>43831</v>
      </c>
      <c r="S133" t="s">
        <v>423</v>
      </c>
    </row>
    <row r="134" spans="1:19" x14ac:dyDescent="0.25">
      <c r="A134" t="s">
        <v>39</v>
      </c>
      <c r="B134" t="s">
        <v>40</v>
      </c>
      <c r="C134" s="4">
        <v>16212649</v>
      </c>
      <c r="D134" t="s">
        <v>80</v>
      </c>
      <c r="E134" s="4">
        <v>16212649</v>
      </c>
      <c r="F134" t="s">
        <v>80</v>
      </c>
      <c r="G134" s="3">
        <v>45597</v>
      </c>
      <c r="H134" s="2">
        <v>4.17</v>
      </c>
      <c r="I134" t="s">
        <v>158</v>
      </c>
      <c r="J134" t="str">
        <f>CONCATENATE(I134,6)</f>
        <v>2A80G81AV136</v>
      </c>
      <c r="K134" t="s">
        <v>159</v>
      </c>
      <c r="L134" s="3">
        <v>43902</v>
      </c>
      <c r="M134" s="3">
        <v>44562</v>
      </c>
      <c r="N134" t="s">
        <v>84</v>
      </c>
      <c r="O134" t="s">
        <v>102</v>
      </c>
      <c r="P134" t="s">
        <v>84</v>
      </c>
      <c r="Q134" t="s">
        <v>426</v>
      </c>
      <c r="R134" s="3">
        <v>43922</v>
      </c>
      <c r="S134" t="s">
        <v>423</v>
      </c>
    </row>
    <row r="135" spans="1:19" x14ac:dyDescent="0.25">
      <c r="A135" t="s">
        <v>39</v>
      </c>
      <c r="B135" t="s">
        <v>40</v>
      </c>
      <c r="C135" s="4">
        <v>16212649</v>
      </c>
      <c r="D135" t="s">
        <v>80</v>
      </c>
      <c r="E135" s="4">
        <v>16212649</v>
      </c>
      <c r="F135" t="s">
        <v>80</v>
      </c>
      <c r="G135" s="3">
        <v>45597</v>
      </c>
      <c r="H135" s="2">
        <v>4.17</v>
      </c>
      <c r="I135" t="s">
        <v>160</v>
      </c>
      <c r="J135" t="str">
        <f>CONCATENATE(I135,6)</f>
        <v>2DY0UH3UE316</v>
      </c>
      <c r="K135" t="s">
        <v>161</v>
      </c>
      <c r="L135" s="3">
        <v>43784</v>
      </c>
      <c r="M135" s="3">
        <v>44562</v>
      </c>
      <c r="N135" t="s">
        <v>84</v>
      </c>
      <c r="O135" t="s">
        <v>102</v>
      </c>
      <c r="P135" t="s">
        <v>84</v>
      </c>
      <c r="Q135" t="s">
        <v>426</v>
      </c>
      <c r="R135" s="3">
        <v>43831</v>
      </c>
      <c r="S135" t="s">
        <v>423</v>
      </c>
    </row>
    <row r="136" spans="1:19" x14ac:dyDescent="0.25">
      <c r="A136" t="s">
        <v>39</v>
      </c>
      <c r="B136" t="s">
        <v>40</v>
      </c>
      <c r="C136" s="4">
        <v>16212649</v>
      </c>
      <c r="D136" t="s">
        <v>80</v>
      </c>
      <c r="E136" s="4">
        <v>16212649</v>
      </c>
      <c r="F136" t="s">
        <v>80</v>
      </c>
      <c r="G136" s="3">
        <v>45597</v>
      </c>
      <c r="H136" s="2">
        <v>4.17</v>
      </c>
      <c r="I136" t="s">
        <v>162</v>
      </c>
      <c r="J136" t="str">
        <f>CONCATENATE(I136,6)</f>
        <v>2M86JR3UG726</v>
      </c>
      <c r="K136" t="s">
        <v>163</v>
      </c>
      <c r="L136" s="3">
        <v>44072</v>
      </c>
      <c r="M136" s="3">
        <v>44562</v>
      </c>
      <c r="N136" t="s">
        <v>84</v>
      </c>
      <c r="O136" t="s">
        <v>102</v>
      </c>
      <c r="P136" t="s">
        <v>84</v>
      </c>
      <c r="Q136" t="s">
        <v>426</v>
      </c>
      <c r="R136" s="3">
        <v>44075</v>
      </c>
      <c r="S136" t="s">
        <v>423</v>
      </c>
    </row>
    <row r="137" spans="1:19" x14ac:dyDescent="0.25">
      <c r="A137" t="s">
        <v>39</v>
      </c>
      <c r="B137" t="s">
        <v>40</v>
      </c>
      <c r="C137" s="4">
        <v>16212649</v>
      </c>
      <c r="D137" t="s">
        <v>80</v>
      </c>
      <c r="E137" s="4">
        <v>16212649</v>
      </c>
      <c r="F137" t="s">
        <v>80</v>
      </c>
      <c r="G137" s="3">
        <v>45597</v>
      </c>
      <c r="H137" s="2">
        <v>4.17</v>
      </c>
      <c r="I137" t="s">
        <v>164</v>
      </c>
      <c r="J137" t="str">
        <f>CONCATENATE(I137,6)</f>
        <v>2N07KP4KJ366</v>
      </c>
      <c r="K137" t="s">
        <v>165</v>
      </c>
      <c r="L137" s="3">
        <v>43784</v>
      </c>
      <c r="M137" s="3">
        <v>44562</v>
      </c>
      <c r="N137" t="s">
        <v>84</v>
      </c>
      <c r="O137" t="s">
        <v>102</v>
      </c>
      <c r="P137" t="s">
        <v>84</v>
      </c>
      <c r="Q137" t="s">
        <v>426</v>
      </c>
      <c r="R137" s="3">
        <v>43831</v>
      </c>
      <c r="S137" t="s">
        <v>423</v>
      </c>
    </row>
    <row r="138" spans="1:19" x14ac:dyDescent="0.25">
      <c r="A138" t="s">
        <v>39</v>
      </c>
      <c r="B138" t="s">
        <v>40</v>
      </c>
      <c r="C138" s="4">
        <v>16212649</v>
      </c>
      <c r="D138" t="s">
        <v>80</v>
      </c>
      <c r="E138" s="4">
        <v>16212649</v>
      </c>
      <c r="F138" t="s">
        <v>80</v>
      </c>
      <c r="G138" s="3">
        <v>45597</v>
      </c>
      <c r="H138" s="2">
        <v>4.17</v>
      </c>
      <c r="I138" t="s">
        <v>166</v>
      </c>
      <c r="J138" t="str">
        <f>CONCATENATE(I138,6)</f>
        <v>3Y15WM1YP616</v>
      </c>
      <c r="K138" t="s">
        <v>167</v>
      </c>
      <c r="L138" s="3">
        <v>43770</v>
      </c>
      <c r="M138" s="3">
        <v>44562</v>
      </c>
      <c r="N138" t="s">
        <v>84</v>
      </c>
      <c r="O138" t="s">
        <v>102</v>
      </c>
      <c r="P138" t="s">
        <v>84</v>
      </c>
      <c r="Q138" t="s">
        <v>426</v>
      </c>
      <c r="R138" s="3">
        <v>43831</v>
      </c>
      <c r="S138" t="s">
        <v>423</v>
      </c>
    </row>
    <row r="139" spans="1:19" x14ac:dyDescent="0.25">
      <c r="A139" t="s">
        <v>39</v>
      </c>
      <c r="B139" t="s">
        <v>40</v>
      </c>
      <c r="C139" s="4">
        <v>16212649</v>
      </c>
      <c r="D139" t="s">
        <v>80</v>
      </c>
      <c r="E139" s="4">
        <v>16212649</v>
      </c>
      <c r="F139" t="s">
        <v>80</v>
      </c>
      <c r="G139" s="3">
        <v>45597</v>
      </c>
      <c r="H139" s="2">
        <v>4.17</v>
      </c>
      <c r="I139" t="s">
        <v>174</v>
      </c>
      <c r="J139" t="str">
        <f>CONCATENATE(I139,6)</f>
        <v>6X64CA2NV616</v>
      </c>
      <c r="K139" t="s">
        <v>175</v>
      </c>
      <c r="L139" s="3">
        <v>44414</v>
      </c>
      <c r="M139" s="3">
        <v>44562</v>
      </c>
      <c r="N139" t="s">
        <v>84</v>
      </c>
      <c r="O139" t="s">
        <v>176</v>
      </c>
      <c r="P139" t="s">
        <v>84</v>
      </c>
      <c r="Q139" t="s">
        <v>426</v>
      </c>
      <c r="R139" s="3">
        <v>44166</v>
      </c>
      <c r="S139" t="s">
        <v>423</v>
      </c>
    </row>
    <row r="140" spans="1:19" x14ac:dyDescent="0.25">
      <c r="A140" t="s">
        <v>39</v>
      </c>
      <c r="B140" t="s">
        <v>40</v>
      </c>
      <c r="C140" s="4">
        <v>16212649</v>
      </c>
      <c r="D140" t="s">
        <v>80</v>
      </c>
      <c r="E140" s="4">
        <v>16212649</v>
      </c>
      <c r="F140" t="s">
        <v>80</v>
      </c>
      <c r="G140" s="3">
        <v>45597</v>
      </c>
      <c r="H140" s="2">
        <v>4.17</v>
      </c>
      <c r="I140" t="s">
        <v>178</v>
      </c>
      <c r="J140" t="str">
        <f>CONCATENATE(I140,6)</f>
        <v>7T11WP1WD016</v>
      </c>
      <c r="K140" t="s">
        <v>179</v>
      </c>
      <c r="L140" s="3">
        <v>44167</v>
      </c>
      <c r="M140" s="3">
        <v>44562</v>
      </c>
      <c r="N140" t="s">
        <v>84</v>
      </c>
      <c r="O140" t="s">
        <v>180</v>
      </c>
      <c r="P140" t="s">
        <v>84</v>
      </c>
      <c r="Q140" t="s">
        <v>426</v>
      </c>
      <c r="R140" s="3">
        <v>44197</v>
      </c>
      <c r="S140" t="s">
        <v>423</v>
      </c>
    </row>
    <row r="141" spans="1:19" x14ac:dyDescent="0.25">
      <c r="A141" t="s">
        <v>39</v>
      </c>
      <c r="B141" t="s">
        <v>40</v>
      </c>
      <c r="C141" s="4">
        <v>16212649</v>
      </c>
      <c r="D141" t="s">
        <v>80</v>
      </c>
      <c r="E141" s="4">
        <v>16212649</v>
      </c>
      <c r="F141" t="s">
        <v>80</v>
      </c>
      <c r="G141" s="3">
        <v>45597</v>
      </c>
      <c r="H141" s="2">
        <v>4.17</v>
      </c>
      <c r="I141" t="s">
        <v>190</v>
      </c>
      <c r="J141" t="str">
        <f>CONCATENATE(I141,6)</f>
        <v>1U50MT3JM236</v>
      </c>
      <c r="K141" t="s">
        <v>191</v>
      </c>
      <c r="L141" s="3">
        <v>44582</v>
      </c>
      <c r="M141" s="3">
        <v>44593</v>
      </c>
      <c r="N141" t="s">
        <v>55</v>
      </c>
      <c r="O141" t="s">
        <v>102</v>
      </c>
      <c r="P141" t="s">
        <v>84</v>
      </c>
      <c r="Q141" t="s">
        <v>426</v>
      </c>
      <c r="R141" s="3">
        <v>44593</v>
      </c>
      <c r="S141" t="s">
        <v>423</v>
      </c>
    </row>
    <row r="142" spans="1:19" x14ac:dyDescent="0.25">
      <c r="A142" t="s">
        <v>39</v>
      </c>
      <c r="B142" t="s">
        <v>40</v>
      </c>
      <c r="C142" s="4">
        <v>16212649</v>
      </c>
      <c r="D142" t="s">
        <v>80</v>
      </c>
      <c r="E142" s="4">
        <v>16212649</v>
      </c>
      <c r="F142" t="s">
        <v>80</v>
      </c>
      <c r="G142" s="3">
        <v>45597</v>
      </c>
      <c r="H142" s="2">
        <v>4.17</v>
      </c>
      <c r="I142" t="s">
        <v>246</v>
      </c>
      <c r="J142" t="str">
        <f>CONCATENATE(I142,6)</f>
        <v>7CX0NM4JQ006</v>
      </c>
      <c r="K142" t="s">
        <v>247</v>
      </c>
      <c r="L142" s="3">
        <v>44908</v>
      </c>
      <c r="M142" s="3">
        <v>44986</v>
      </c>
      <c r="N142" t="s">
        <v>55</v>
      </c>
      <c r="O142" t="s">
        <v>102</v>
      </c>
      <c r="P142" t="s">
        <v>84</v>
      </c>
      <c r="Q142" t="s">
        <v>426</v>
      </c>
      <c r="R142" s="3">
        <v>44986</v>
      </c>
      <c r="S142" t="s">
        <v>423</v>
      </c>
    </row>
    <row r="143" spans="1:19" x14ac:dyDescent="0.25">
      <c r="A143" t="s">
        <v>39</v>
      </c>
      <c r="B143" t="s">
        <v>40</v>
      </c>
      <c r="C143" s="4">
        <v>16212649</v>
      </c>
      <c r="D143" t="s">
        <v>80</v>
      </c>
      <c r="E143" s="4">
        <v>16212649</v>
      </c>
      <c r="F143" t="s">
        <v>80</v>
      </c>
      <c r="G143" s="3">
        <v>45597</v>
      </c>
      <c r="H143" s="2">
        <v>4.17</v>
      </c>
      <c r="I143" t="s">
        <v>264</v>
      </c>
      <c r="J143" t="str">
        <f>CONCATENATE(I143,6)</f>
        <v>4EM2TW7TF116</v>
      </c>
      <c r="K143" t="s">
        <v>265</v>
      </c>
      <c r="L143" s="3">
        <v>44946</v>
      </c>
      <c r="M143" s="3">
        <v>44958</v>
      </c>
      <c r="N143" t="s">
        <v>55</v>
      </c>
      <c r="O143" t="s">
        <v>102</v>
      </c>
      <c r="P143" t="s">
        <v>84</v>
      </c>
      <c r="Q143" t="s">
        <v>426</v>
      </c>
      <c r="R143" s="3">
        <v>44958</v>
      </c>
      <c r="S143" t="s">
        <v>423</v>
      </c>
    </row>
    <row r="144" spans="1:19" x14ac:dyDescent="0.25">
      <c r="A144" t="s">
        <v>39</v>
      </c>
      <c r="B144" t="s">
        <v>40</v>
      </c>
      <c r="C144" s="4">
        <v>16212649</v>
      </c>
      <c r="D144" t="s">
        <v>80</v>
      </c>
      <c r="E144" s="4">
        <v>16212649</v>
      </c>
      <c r="F144" t="s">
        <v>80</v>
      </c>
      <c r="G144" s="3">
        <v>45597</v>
      </c>
      <c r="H144" s="2">
        <v>4.17</v>
      </c>
      <c r="I144" t="s">
        <v>282</v>
      </c>
      <c r="J144" t="str">
        <f>CONCATENATE(I144,6)</f>
        <v>9V19J99FC116</v>
      </c>
      <c r="K144" t="s">
        <v>283</v>
      </c>
      <c r="L144" s="3">
        <v>44977</v>
      </c>
      <c r="M144" s="3">
        <v>44986</v>
      </c>
      <c r="N144" t="s">
        <v>46</v>
      </c>
      <c r="O144" t="s">
        <v>280</v>
      </c>
      <c r="P144" t="s">
        <v>84</v>
      </c>
      <c r="Q144" t="s">
        <v>426</v>
      </c>
      <c r="R144" s="3">
        <v>44986</v>
      </c>
      <c r="S144" t="s">
        <v>423</v>
      </c>
    </row>
    <row r="145" spans="1:19" x14ac:dyDescent="0.25">
      <c r="A145" t="s">
        <v>39</v>
      </c>
      <c r="B145" t="s">
        <v>40</v>
      </c>
      <c r="C145" s="4">
        <v>16212649</v>
      </c>
      <c r="D145" t="s">
        <v>80</v>
      </c>
      <c r="E145" s="4">
        <v>16212649</v>
      </c>
      <c r="F145" t="s">
        <v>80</v>
      </c>
      <c r="G145" s="3">
        <v>45597</v>
      </c>
      <c r="H145" s="2">
        <v>4.17</v>
      </c>
      <c r="I145" t="s">
        <v>299</v>
      </c>
      <c r="J145" t="str">
        <f>CONCATENATE(I145,6)</f>
        <v>2CF0WV0UJ496</v>
      </c>
      <c r="K145" t="s">
        <v>300</v>
      </c>
      <c r="L145" s="3">
        <v>45027</v>
      </c>
      <c r="M145" s="3">
        <v>45078</v>
      </c>
      <c r="N145" t="s">
        <v>55</v>
      </c>
      <c r="O145" t="s">
        <v>102</v>
      </c>
      <c r="P145" t="s">
        <v>84</v>
      </c>
      <c r="Q145" t="s">
        <v>426</v>
      </c>
      <c r="R145" s="3">
        <v>45078</v>
      </c>
      <c r="S145" t="s">
        <v>423</v>
      </c>
    </row>
    <row r="146" spans="1:19" x14ac:dyDescent="0.25">
      <c r="A146" t="s">
        <v>39</v>
      </c>
      <c r="B146" t="s">
        <v>40</v>
      </c>
      <c r="C146" s="4">
        <v>16212649</v>
      </c>
      <c r="D146" t="s">
        <v>80</v>
      </c>
      <c r="E146" s="4">
        <v>16212649</v>
      </c>
      <c r="F146" t="s">
        <v>80</v>
      </c>
      <c r="G146" s="3">
        <v>45597</v>
      </c>
      <c r="H146" s="2">
        <v>4.17</v>
      </c>
      <c r="I146" t="s">
        <v>311</v>
      </c>
      <c r="J146" t="str">
        <f>CONCATENATE(I146,6)</f>
        <v>4HK5WM5DM656</v>
      </c>
      <c r="K146" t="s">
        <v>312</v>
      </c>
      <c r="L146" s="3">
        <v>45069</v>
      </c>
      <c r="M146" s="3">
        <v>45139</v>
      </c>
      <c r="N146" t="s">
        <v>55</v>
      </c>
      <c r="O146" t="s">
        <v>102</v>
      </c>
      <c r="P146" t="s">
        <v>84</v>
      </c>
      <c r="Q146" t="s">
        <v>426</v>
      </c>
      <c r="R146" s="3">
        <v>45139</v>
      </c>
      <c r="S146" t="s">
        <v>423</v>
      </c>
    </row>
    <row r="147" spans="1:19" x14ac:dyDescent="0.25">
      <c r="A147" t="s">
        <v>39</v>
      </c>
      <c r="B147" t="s">
        <v>40</v>
      </c>
      <c r="C147" s="4">
        <v>16212649</v>
      </c>
      <c r="D147" t="s">
        <v>80</v>
      </c>
      <c r="E147" s="4">
        <v>16212649</v>
      </c>
      <c r="F147" t="s">
        <v>80</v>
      </c>
      <c r="G147" s="3">
        <v>45597</v>
      </c>
      <c r="H147" s="2">
        <v>4.17</v>
      </c>
      <c r="I147" t="s">
        <v>325</v>
      </c>
      <c r="J147" t="str">
        <f>CONCATENATE(I147,6)</f>
        <v>9X81JN2HY166</v>
      </c>
      <c r="K147" t="s">
        <v>326</v>
      </c>
      <c r="L147" s="3">
        <v>45097</v>
      </c>
      <c r="M147" s="3">
        <v>45108</v>
      </c>
      <c r="N147" t="s">
        <v>84</v>
      </c>
      <c r="O147" t="s">
        <v>280</v>
      </c>
      <c r="P147" t="s">
        <v>84</v>
      </c>
      <c r="Q147" t="s">
        <v>426</v>
      </c>
      <c r="R147" s="3">
        <v>44013</v>
      </c>
      <c r="S147" t="s">
        <v>423</v>
      </c>
    </row>
    <row r="148" spans="1:19" x14ac:dyDescent="0.25">
      <c r="A148" t="s">
        <v>39</v>
      </c>
      <c r="B148" t="s">
        <v>40</v>
      </c>
      <c r="C148" s="4">
        <v>16212649</v>
      </c>
      <c r="D148" t="s">
        <v>80</v>
      </c>
      <c r="E148" s="4">
        <v>16212649</v>
      </c>
      <c r="F148" t="s">
        <v>80</v>
      </c>
      <c r="G148" s="3">
        <v>45597</v>
      </c>
      <c r="H148" s="2">
        <v>4.17</v>
      </c>
      <c r="I148" t="s">
        <v>327</v>
      </c>
      <c r="J148" t="str">
        <f>CONCATENATE(I148,6)</f>
        <v>9Q89TM5AU526</v>
      </c>
      <c r="K148" t="s">
        <v>328</v>
      </c>
      <c r="L148" s="3">
        <v>45099</v>
      </c>
      <c r="M148" s="3">
        <v>45108</v>
      </c>
      <c r="N148" t="s">
        <v>55</v>
      </c>
      <c r="O148" t="s">
        <v>102</v>
      </c>
      <c r="P148" t="s">
        <v>84</v>
      </c>
      <c r="Q148" t="s">
        <v>426</v>
      </c>
      <c r="R148" s="3">
        <v>45108</v>
      </c>
      <c r="S148" t="s">
        <v>423</v>
      </c>
    </row>
    <row r="149" spans="1:19" x14ac:dyDescent="0.25">
      <c r="A149" t="s">
        <v>39</v>
      </c>
      <c r="B149" t="s">
        <v>40</v>
      </c>
      <c r="C149" s="4">
        <v>16212649</v>
      </c>
      <c r="D149" t="s">
        <v>80</v>
      </c>
      <c r="E149" s="4">
        <v>16212649</v>
      </c>
      <c r="F149" t="s">
        <v>80</v>
      </c>
      <c r="G149" s="3">
        <v>45597</v>
      </c>
      <c r="H149" s="2">
        <v>4.17</v>
      </c>
      <c r="I149" t="s">
        <v>363</v>
      </c>
      <c r="J149" t="str">
        <f>CONCATENATE(I149,6)</f>
        <v>7TK3C00RN876</v>
      </c>
      <c r="K149" t="s">
        <v>364</v>
      </c>
      <c r="L149" s="3">
        <v>45197</v>
      </c>
      <c r="M149" s="3">
        <v>45231</v>
      </c>
      <c r="N149" t="s">
        <v>55</v>
      </c>
      <c r="O149" t="s">
        <v>102</v>
      </c>
      <c r="P149" t="s">
        <v>84</v>
      </c>
      <c r="Q149" t="s">
        <v>426</v>
      </c>
      <c r="R149" s="3">
        <v>45231</v>
      </c>
      <c r="S149" t="s">
        <v>423</v>
      </c>
    </row>
    <row r="150" spans="1:19" x14ac:dyDescent="0.25">
      <c r="A150" t="s">
        <v>39</v>
      </c>
      <c r="B150" t="s">
        <v>40</v>
      </c>
      <c r="C150" s="4">
        <v>16212649</v>
      </c>
      <c r="D150" t="s">
        <v>80</v>
      </c>
      <c r="E150" s="4">
        <v>16212649</v>
      </c>
      <c r="F150" t="s">
        <v>80</v>
      </c>
      <c r="G150" s="3">
        <v>45597</v>
      </c>
      <c r="H150" s="2">
        <v>4.17</v>
      </c>
      <c r="I150" t="s">
        <v>375</v>
      </c>
      <c r="J150" t="str">
        <f>CONCATENATE(I150,6)</f>
        <v>3E71Q39FH326</v>
      </c>
      <c r="K150" t="s">
        <v>376</v>
      </c>
      <c r="L150" s="3">
        <v>45202</v>
      </c>
      <c r="M150" s="3">
        <v>45261</v>
      </c>
      <c r="N150" t="s">
        <v>55</v>
      </c>
      <c r="O150" t="s">
        <v>102</v>
      </c>
      <c r="P150" t="s">
        <v>84</v>
      </c>
      <c r="Q150" t="s">
        <v>426</v>
      </c>
      <c r="R150" s="3">
        <v>45261</v>
      </c>
      <c r="S150" t="s">
        <v>423</v>
      </c>
    </row>
    <row r="151" spans="1:19" x14ac:dyDescent="0.25">
      <c r="A151" t="s">
        <v>39</v>
      </c>
      <c r="B151" t="s">
        <v>40</v>
      </c>
      <c r="C151" s="4">
        <v>16212649</v>
      </c>
      <c r="D151" t="s">
        <v>80</v>
      </c>
      <c r="E151" s="4">
        <v>16212649</v>
      </c>
      <c r="F151" t="s">
        <v>80</v>
      </c>
      <c r="G151" s="3">
        <v>45597</v>
      </c>
      <c r="H151" s="2">
        <v>4.17</v>
      </c>
      <c r="I151" t="s">
        <v>381</v>
      </c>
      <c r="J151" t="str">
        <f>CONCATENATE(I151,6)</f>
        <v>4JK9T29PX556</v>
      </c>
      <c r="K151" t="s">
        <v>382</v>
      </c>
      <c r="L151" s="3">
        <v>45218</v>
      </c>
      <c r="M151" s="3">
        <v>45231</v>
      </c>
      <c r="N151" t="s">
        <v>55</v>
      </c>
      <c r="O151" t="s">
        <v>56</v>
      </c>
      <c r="P151" t="s">
        <v>84</v>
      </c>
      <c r="Q151" t="s">
        <v>426</v>
      </c>
      <c r="R151" s="3">
        <v>45231</v>
      </c>
      <c r="S151" t="s">
        <v>423</v>
      </c>
    </row>
    <row r="152" spans="1:19" x14ac:dyDescent="0.25">
      <c r="A152" t="s">
        <v>39</v>
      </c>
      <c r="B152" t="s">
        <v>40</v>
      </c>
      <c r="C152" s="4">
        <v>16212649</v>
      </c>
      <c r="D152" t="s">
        <v>80</v>
      </c>
      <c r="E152" s="4">
        <v>16212649</v>
      </c>
      <c r="F152" t="s">
        <v>80</v>
      </c>
      <c r="G152" s="3">
        <v>45597</v>
      </c>
      <c r="H152" s="2">
        <v>4.17</v>
      </c>
      <c r="I152" t="s">
        <v>411</v>
      </c>
      <c r="J152" t="str">
        <f>CONCATENATE(I152,6)</f>
        <v>6YG4Q49NJ816</v>
      </c>
      <c r="K152" t="s">
        <v>412</v>
      </c>
      <c r="L152" s="3">
        <v>45244</v>
      </c>
      <c r="M152" s="3">
        <v>45292</v>
      </c>
      <c r="N152" t="s">
        <v>84</v>
      </c>
      <c r="O152" t="s">
        <v>45</v>
      </c>
      <c r="P152" t="s">
        <v>84</v>
      </c>
      <c r="Q152" t="s">
        <v>426</v>
      </c>
      <c r="R152" s="3">
        <v>43101</v>
      </c>
      <c r="S152" t="s">
        <v>423</v>
      </c>
    </row>
    <row r="153" spans="1:19" x14ac:dyDescent="0.25">
      <c r="A153" t="s">
        <v>39</v>
      </c>
      <c r="B153" t="s">
        <v>40</v>
      </c>
      <c r="C153" s="4">
        <v>16212649</v>
      </c>
      <c r="D153" t="s">
        <v>80</v>
      </c>
      <c r="E153" s="4">
        <v>16212649</v>
      </c>
      <c r="F153" t="s">
        <v>80</v>
      </c>
      <c r="G153" s="3">
        <v>45597</v>
      </c>
      <c r="H153" s="2">
        <v>4.17</v>
      </c>
      <c r="I153" t="s">
        <v>415</v>
      </c>
      <c r="J153" t="str">
        <f>CONCATENATE(I153,6)</f>
        <v>2E43X89RM016</v>
      </c>
      <c r="K153" t="s">
        <v>416</v>
      </c>
      <c r="L153" s="3">
        <v>45244</v>
      </c>
      <c r="M153" s="3">
        <v>45292</v>
      </c>
      <c r="N153" t="s">
        <v>84</v>
      </c>
      <c r="O153" t="s">
        <v>45</v>
      </c>
      <c r="P153" t="s">
        <v>84</v>
      </c>
      <c r="Q153" t="s">
        <v>426</v>
      </c>
      <c r="R153" s="3">
        <v>43101</v>
      </c>
      <c r="S153" t="s">
        <v>423</v>
      </c>
    </row>
    <row r="154" spans="1:19" x14ac:dyDescent="0.25">
      <c r="A154" t="s">
        <v>39</v>
      </c>
      <c r="B154" t="s">
        <v>40</v>
      </c>
      <c r="C154" s="4">
        <v>371819</v>
      </c>
      <c r="D154" t="s">
        <v>52</v>
      </c>
      <c r="E154" s="4">
        <v>371819</v>
      </c>
      <c r="F154" t="s">
        <v>52</v>
      </c>
      <c r="G154" s="3">
        <v>45597</v>
      </c>
      <c r="H154" s="2">
        <v>4.17</v>
      </c>
      <c r="I154" t="s">
        <v>270</v>
      </c>
      <c r="J154" t="str">
        <f>CONCATENATE(I154,6)</f>
        <v>2YH3U70PX736</v>
      </c>
      <c r="K154" t="s">
        <v>271</v>
      </c>
      <c r="L154" s="3">
        <v>44949</v>
      </c>
      <c r="M154" s="3">
        <v>44958</v>
      </c>
      <c r="N154" t="s">
        <v>55</v>
      </c>
      <c r="O154" t="s">
        <v>272</v>
      </c>
      <c r="P154" t="s">
        <v>84</v>
      </c>
      <c r="Q154" t="s">
        <v>426</v>
      </c>
      <c r="R154" s="3">
        <v>44958</v>
      </c>
      <c r="S154" t="s">
        <v>423</v>
      </c>
    </row>
    <row r="155" spans="1:19" x14ac:dyDescent="0.25">
      <c r="A155" t="s">
        <v>39</v>
      </c>
      <c r="B155" t="s">
        <v>40</v>
      </c>
      <c r="C155" s="4">
        <v>371819</v>
      </c>
      <c r="D155" t="s">
        <v>52</v>
      </c>
      <c r="E155" s="4">
        <v>371819</v>
      </c>
      <c r="F155" t="s">
        <v>52</v>
      </c>
      <c r="G155" s="3">
        <v>45597</v>
      </c>
      <c r="H155" s="2">
        <v>4.17</v>
      </c>
      <c r="I155" t="s">
        <v>295</v>
      </c>
      <c r="J155" t="str">
        <f>CONCATENATE(I155,6)</f>
        <v>5UE1NQ7NF166</v>
      </c>
      <c r="K155" t="s">
        <v>296</v>
      </c>
      <c r="L155" s="3">
        <v>45022</v>
      </c>
      <c r="M155" s="3">
        <v>45047</v>
      </c>
      <c r="N155" t="s">
        <v>55</v>
      </c>
      <c r="O155" t="s">
        <v>297</v>
      </c>
      <c r="P155" t="s">
        <v>84</v>
      </c>
      <c r="Q155" t="s">
        <v>426</v>
      </c>
      <c r="R155" s="3">
        <v>45047</v>
      </c>
      <c r="S155" t="s">
        <v>423</v>
      </c>
    </row>
    <row r="156" spans="1:19" x14ac:dyDescent="0.25">
      <c r="A156" t="s">
        <v>39</v>
      </c>
      <c r="B156" t="s">
        <v>40</v>
      </c>
      <c r="C156" s="4">
        <v>371819</v>
      </c>
      <c r="D156" t="s">
        <v>52</v>
      </c>
      <c r="E156" s="4">
        <v>371819</v>
      </c>
      <c r="F156" t="s">
        <v>52</v>
      </c>
      <c r="G156" s="3">
        <v>45597</v>
      </c>
      <c r="H156" s="2">
        <v>25.5</v>
      </c>
      <c r="I156" t="s">
        <v>53</v>
      </c>
      <c r="J156" t="str">
        <f>CONCATENATE(I156,6)</f>
        <v>7VJ0E51WM356</v>
      </c>
      <c r="K156" t="s">
        <v>54</v>
      </c>
      <c r="L156" s="3">
        <v>45100</v>
      </c>
      <c r="M156" s="3">
        <v>45108</v>
      </c>
      <c r="N156" t="s">
        <v>55</v>
      </c>
      <c r="O156" t="s">
        <v>56</v>
      </c>
      <c r="P156" t="s">
        <v>46</v>
      </c>
      <c r="Q156" t="s">
        <v>427</v>
      </c>
      <c r="R156" s="3">
        <v>45108</v>
      </c>
      <c r="S156" t="s">
        <v>424</v>
      </c>
    </row>
    <row r="157" spans="1:19" x14ac:dyDescent="0.25">
      <c r="A157" t="s">
        <v>39</v>
      </c>
      <c r="B157" t="s">
        <v>40</v>
      </c>
      <c r="C157" s="4">
        <v>371819</v>
      </c>
      <c r="D157" t="s">
        <v>52</v>
      </c>
      <c r="E157" s="4">
        <v>371819</v>
      </c>
      <c r="F157" t="s">
        <v>52</v>
      </c>
      <c r="G157" s="3">
        <v>45597</v>
      </c>
      <c r="H157" s="2">
        <v>25.5</v>
      </c>
      <c r="I157" t="s">
        <v>60</v>
      </c>
      <c r="J157" t="str">
        <f>CONCATENATE(I157,6)</f>
        <v>8R62G87AK936</v>
      </c>
      <c r="K157" t="s">
        <v>61</v>
      </c>
      <c r="L157" s="3">
        <v>45120</v>
      </c>
      <c r="M157" s="3">
        <v>45139</v>
      </c>
      <c r="N157" t="s">
        <v>55</v>
      </c>
      <c r="O157" t="s">
        <v>62</v>
      </c>
      <c r="P157" t="s">
        <v>46</v>
      </c>
      <c r="Q157" t="s">
        <v>427</v>
      </c>
      <c r="R157" s="3">
        <v>45139</v>
      </c>
      <c r="S157" t="s">
        <v>424</v>
      </c>
    </row>
  </sheetData>
  <sortState xmlns:xlrd2="http://schemas.microsoft.com/office/spreadsheetml/2017/richdata2" ref="A3:S157">
    <sortCondition ref="D3:D157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AB52A-4F5D-4232-8786-179D8D7B808E}">
  <dimension ref="A1:B156"/>
  <sheetViews>
    <sheetView workbookViewId="0">
      <selection activeCell="B1" sqref="B1:B156"/>
    </sheetView>
  </sheetViews>
  <sheetFormatPr defaultRowHeight="15" x14ac:dyDescent="0.25"/>
  <cols>
    <col min="1" max="1" width="12.5703125" bestFit="1" customWidth="1"/>
  </cols>
  <sheetData>
    <row r="1" spans="1:2" x14ac:dyDescent="0.25">
      <c r="A1" s="3">
        <v>44013</v>
      </c>
      <c r="B1" s="5">
        <f>DATE(YEAR(A1), MONTH(A1) +1, DAY(A1))</f>
        <v>44044</v>
      </c>
    </row>
    <row r="2" spans="1:2" x14ac:dyDescent="0.25">
      <c r="A2" s="3">
        <v>43800</v>
      </c>
      <c r="B2" s="5">
        <f t="shared" ref="B2:B65" si="0">DATE(YEAR(A2), MONTH(A2) +1, DAY(A2))</f>
        <v>43831</v>
      </c>
    </row>
    <row r="3" spans="1:2" x14ac:dyDescent="0.25">
      <c r="A3" s="3">
        <v>43862</v>
      </c>
      <c r="B3" s="5">
        <f t="shared" si="0"/>
        <v>43891</v>
      </c>
    </row>
    <row r="4" spans="1:2" x14ac:dyDescent="0.25">
      <c r="A4" s="3">
        <v>43800</v>
      </c>
      <c r="B4" s="5">
        <f t="shared" si="0"/>
        <v>43831</v>
      </c>
    </row>
    <row r="5" spans="1:2" x14ac:dyDescent="0.25">
      <c r="A5" s="3">
        <v>43891</v>
      </c>
      <c r="B5" s="5">
        <f t="shared" si="0"/>
        <v>43922</v>
      </c>
    </row>
    <row r="6" spans="1:2" x14ac:dyDescent="0.25">
      <c r="A6" s="3">
        <v>43831</v>
      </c>
      <c r="B6" s="5">
        <f t="shared" si="0"/>
        <v>43862</v>
      </c>
    </row>
    <row r="7" spans="1:2" x14ac:dyDescent="0.25">
      <c r="A7" s="3">
        <v>43831</v>
      </c>
      <c r="B7" s="5">
        <f t="shared" si="0"/>
        <v>43862</v>
      </c>
    </row>
    <row r="8" spans="1:2" x14ac:dyDescent="0.25">
      <c r="A8" s="3">
        <v>43800</v>
      </c>
      <c r="B8" s="5">
        <f t="shared" si="0"/>
        <v>43831</v>
      </c>
    </row>
    <row r="9" spans="1:2" x14ac:dyDescent="0.25">
      <c r="A9" s="3">
        <v>43922</v>
      </c>
      <c r="B9" s="5">
        <f t="shared" si="0"/>
        <v>43952</v>
      </c>
    </row>
    <row r="10" spans="1:2" x14ac:dyDescent="0.25">
      <c r="A10" s="3">
        <v>43800</v>
      </c>
      <c r="B10" s="5">
        <f t="shared" si="0"/>
        <v>43831</v>
      </c>
    </row>
    <row r="11" spans="1:2" x14ac:dyDescent="0.25">
      <c r="A11" s="3">
        <v>43831</v>
      </c>
      <c r="B11" s="5">
        <f t="shared" si="0"/>
        <v>43862</v>
      </c>
    </row>
    <row r="12" spans="1:2" x14ac:dyDescent="0.25">
      <c r="A12" s="3">
        <v>43891</v>
      </c>
      <c r="B12" s="5">
        <f t="shared" si="0"/>
        <v>43922</v>
      </c>
    </row>
    <row r="13" spans="1:2" x14ac:dyDescent="0.25">
      <c r="A13" s="3">
        <v>43922</v>
      </c>
      <c r="B13" s="5">
        <f t="shared" si="0"/>
        <v>43952</v>
      </c>
    </row>
    <row r="14" spans="1:2" x14ac:dyDescent="0.25">
      <c r="A14" s="3">
        <v>44562</v>
      </c>
      <c r="B14" s="5">
        <f t="shared" si="0"/>
        <v>44593</v>
      </c>
    </row>
    <row r="15" spans="1:2" x14ac:dyDescent="0.25">
      <c r="A15" s="3">
        <v>44562</v>
      </c>
      <c r="B15" s="5">
        <f t="shared" si="0"/>
        <v>44593</v>
      </c>
    </row>
    <row r="16" spans="1:2" x14ac:dyDescent="0.25">
      <c r="A16" s="3">
        <v>44562</v>
      </c>
      <c r="B16" s="5">
        <f t="shared" si="0"/>
        <v>44593</v>
      </c>
    </row>
    <row r="17" spans="1:2" x14ac:dyDescent="0.25">
      <c r="A17" s="3">
        <v>44562</v>
      </c>
      <c r="B17" s="5">
        <f t="shared" si="0"/>
        <v>44593</v>
      </c>
    </row>
    <row r="18" spans="1:2" x14ac:dyDescent="0.25">
      <c r="A18" s="3">
        <v>44562</v>
      </c>
      <c r="B18" s="5">
        <f t="shared" si="0"/>
        <v>44593</v>
      </c>
    </row>
    <row r="19" spans="1:2" x14ac:dyDescent="0.25">
      <c r="A19" s="3">
        <v>44562</v>
      </c>
      <c r="B19" s="5">
        <f t="shared" si="0"/>
        <v>44593</v>
      </c>
    </row>
    <row r="20" spans="1:2" x14ac:dyDescent="0.25">
      <c r="A20" s="3">
        <v>44562</v>
      </c>
      <c r="B20" s="5">
        <f t="shared" si="0"/>
        <v>44593</v>
      </c>
    </row>
    <row r="21" spans="1:2" x14ac:dyDescent="0.25">
      <c r="A21" s="3">
        <v>45261</v>
      </c>
      <c r="B21" s="5">
        <f t="shared" si="0"/>
        <v>45292</v>
      </c>
    </row>
    <row r="22" spans="1:2" x14ac:dyDescent="0.25">
      <c r="A22" s="3">
        <v>43831</v>
      </c>
      <c r="B22" s="5">
        <f t="shared" si="0"/>
        <v>43862</v>
      </c>
    </row>
    <row r="23" spans="1:2" x14ac:dyDescent="0.25">
      <c r="A23" s="3">
        <v>44927</v>
      </c>
      <c r="B23" s="5">
        <f t="shared" si="0"/>
        <v>44958</v>
      </c>
    </row>
    <row r="24" spans="1:2" x14ac:dyDescent="0.25">
      <c r="A24" s="3">
        <v>44927</v>
      </c>
      <c r="B24" s="5">
        <f t="shared" si="0"/>
        <v>44958</v>
      </c>
    </row>
    <row r="25" spans="1:2" x14ac:dyDescent="0.25">
      <c r="A25" s="3">
        <v>44927</v>
      </c>
      <c r="B25" s="5">
        <f t="shared" si="0"/>
        <v>44958</v>
      </c>
    </row>
    <row r="26" spans="1:2" x14ac:dyDescent="0.25">
      <c r="A26" s="3">
        <v>44927</v>
      </c>
      <c r="B26" s="5">
        <f t="shared" si="0"/>
        <v>44958</v>
      </c>
    </row>
    <row r="27" spans="1:2" x14ac:dyDescent="0.25">
      <c r="A27" s="3">
        <v>45200</v>
      </c>
      <c r="B27" s="5">
        <f t="shared" si="0"/>
        <v>45231</v>
      </c>
    </row>
    <row r="28" spans="1:2" x14ac:dyDescent="0.25">
      <c r="A28" s="3">
        <v>45231</v>
      </c>
      <c r="B28" s="5">
        <f t="shared" si="0"/>
        <v>45261</v>
      </c>
    </row>
    <row r="29" spans="1:2" x14ac:dyDescent="0.25">
      <c r="A29" s="3">
        <v>45292</v>
      </c>
      <c r="B29" s="5">
        <f t="shared" si="0"/>
        <v>45323</v>
      </c>
    </row>
    <row r="30" spans="1:2" x14ac:dyDescent="0.25">
      <c r="A30" s="3">
        <v>45261</v>
      </c>
      <c r="B30" s="5">
        <f t="shared" si="0"/>
        <v>45292</v>
      </c>
    </row>
    <row r="31" spans="1:2" x14ac:dyDescent="0.25">
      <c r="A31" s="3">
        <v>45413</v>
      </c>
      <c r="B31" s="5">
        <f t="shared" si="0"/>
        <v>45444</v>
      </c>
    </row>
    <row r="32" spans="1:2" x14ac:dyDescent="0.25">
      <c r="A32" s="3">
        <v>45292</v>
      </c>
      <c r="B32" s="5">
        <f t="shared" si="0"/>
        <v>45323</v>
      </c>
    </row>
    <row r="33" spans="1:2" x14ac:dyDescent="0.25">
      <c r="A33" s="3">
        <v>44927</v>
      </c>
      <c r="B33" s="5">
        <f t="shared" si="0"/>
        <v>44958</v>
      </c>
    </row>
    <row r="34" spans="1:2" x14ac:dyDescent="0.25">
      <c r="A34" s="3">
        <v>44562</v>
      </c>
      <c r="B34" s="5">
        <f t="shared" si="0"/>
        <v>44593</v>
      </c>
    </row>
    <row r="35" spans="1:2" x14ac:dyDescent="0.25">
      <c r="A35" s="3">
        <v>44743</v>
      </c>
      <c r="B35" s="5">
        <f t="shared" si="0"/>
        <v>44774</v>
      </c>
    </row>
    <row r="36" spans="1:2" x14ac:dyDescent="0.25">
      <c r="A36" s="3">
        <v>44774</v>
      </c>
      <c r="B36" s="5">
        <f t="shared" si="0"/>
        <v>44805</v>
      </c>
    </row>
    <row r="37" spans="1:2" x14ac:dyDescent="0.25">
      <c r="A37" s="3">
        <v>44805</v>
      </c>
      <c r="B37" s="5">
        <f t="shared" si="0"/>
        <v>44835</v>
      </c>
    </row>
    <row r="38" spans="1:2" x14ac:dyDescent="0.25">
      <c r="A38" s="3">
        <v>44805</v>
      </c>
      <c r="B38" s="5">
        <f t="shared" si="0"/>
        <v>44835</v>
      </c>
    </row>
    <row r="39" spans="1:2" x14ac:dyDescent="0.25">
      <c r="A39" s="3">
        <v>44805</v>
      </c>
      <c r="B39" s="5">
        <f t="shared" si="0"/>
        <v>44835</v>
      </c>
    </row>
    <row r="40" spans="1:2" x14ac:dyDescent="0.25">
      <c r="A40" s="3">
        <v>44805</v>
      </c>
      <c r="B40" s="5">
        <f t="shared" si="0"/>
        <v>44835</v>
      </c>
    </row>
    <row r="41" spans="1:2" x14ac:dyDescent="0.25">
      <c r="A41" s="3">
        <v>44835</v>
      </c>
      <c r="B41" s="5">
        <f t="shared" si="0"/>
        <v>44866</v>
      </c>
    </row>
    <row r="42" spans="1:2" x14ac:dyDescent="0.25">
      <c r="A42" s="3">
        <v>44835</v>
      </c>
      <c r="B42" s="5">
        <f t="shared" si="0"/>
        <v>44866</v>
      </c>
    </row>
    <row r="43" spans="1:2" x14ac:dyDescent="0.25">
      <c r="A43" s="3">
        <v>44896</v>
      </c>
      <c r="B43" s="5">
        <f t="shared" si="0"/>
        <v>44927</v>
      </c>
    </row>
    <row r="44" spans="1:2" x14ac:dyDescent="0.25">
      <c r="A44" s="3">
        <v>44927</v>
      </c>
      <c r="B44" s="5">
        <f t="shared" si="0"/>
        <v>44958</v>
      </c>
    </row>
    <row r="45" spans="1:2" x14ac:dyDescent="0.25">
      <c r="A45" s="3">
        <v>44927</v>
      </c>
      <c r="B45" s="5">
        <f t="shared" si="0"/>
        <v>44958</v>
      </c>
    </row>
    <row r="46" spans="1:2" x14ac:dyDescent="0.25">
      <c r="A46" s="3">
        <v>44927</v>
      </c>
      <c r="B46" s="5">
        <f t="shared" si="0"/>
        <v>44958</v>
      </c>
    </row>
    <row r="47" spans="1:2" x14ac:dyDescent="0.25">
      <c r="A47" s="3">
        <v>44927</v>
      </c>
      <c r="B47" s="5">
        <f t="shared" si="0"/>
        <v>44958</v>
      </c>
    </row>
    <row r="48" spans="1:2" x14ac:dyDescent="0.25">
      <c r="A48" s="3">
        <v>44927</v>
      </c>
      <c r="B48" s="5">
        <f t="shared" si="0"/>
        <v>44958</v>
      </c>
    </row>
    <row r="49" spans="1:2" x14ac:dyDescent="0.25">
      <c r="A49" s="3">
        <v>44927</v>
      </c>
      <c r="B49" s="5">
        <f t="shared" si="0"/>
        <v>44958</v>
      </c>
    </row>
    <row r="50" spans="1:2" x14ac:dyDescent="0.25">
      <c r="A50" s="3">
        <v>44927</v>
      </c>
      <c r="B50" s="5">
        <f t="shared" si="0"/>
        <v>44958</v>
      </c>
    </row>
    <row r="51" spans="1:2" x14ac:dyDescent="0.25">
      <c r="A51" s="3">
        <v>44927</v>
      </c>
      <c r="B51" s="5">
        <f t="shared" si="0"/>
        <v>44958</v>
      </c>
    </row>
    <row r="52" spans="1:2" x14ac:dyDescent="0.25">
      <c r="A52" s="3">
        <v>44927</v>
      </c>
      <c r="B52" s="5">
        <f t="shared" si="0"/>
        <v>44958</v>
      </c>
    </row>
    <row r="53" spans="1:2" x14ac:dyDescent="0.25">
      <c r="A53" s="3">
        <v>44927</v>
      </c>
      <c r="B53" s="5">
        <f t="shared" si="0"/>
        <v>44958</v>
      </c>
    </row>
    <row r="54" spans="1:2" x14ac:dyDescent="0.25">
      <c r="A54" s="3">
        <v>44927</v>
      </c>
      <c r="B54" s="5">
        <f t="shared" si="0"/>
        <v>44958</v>
      </c>
    </row>
    <row r="55" spans="1:2" x14ac:dyDescent="0.25">
      <c r="A55" s="3">
        <v>44958</v>
      </c>
      <c r="B55" s="5">
        <f t="shared" si="0"/>
        <v>44986</v>
      </c>
    </row>
    <row r="56" spans="1:2" x14ac:dyDescent="0.25">
      <c r="A56" s="3">
        <v>44927</v>
      </c>
      <c r="B56" s="5">
        <f t="shared" si="0"/>
        <v>44958</v>
      </c>
    </row>
    <row r="57" spans="1:2" x14ac:dyDescent="0.25">
      <c r="A57" s="3">
        <v>44927</v>
      </c>
      <c r="B57" s="5">
        <f t="shared" si="0"/>
        <v>44958</v>
      </c>
    </row>
    <row r="58" spans="1:2" x14ac:dyDescent="0.25">
      <c r="A58" s="3">
        <v>44958</v>
      </c>
      <c r="B58" s="5">
        <f t="shared" si="0"/>
        <v>44986</v>
      </c>
    </row>
    <row r="59" spans="1:2" x14ac:dyDescent="0.25">
      <c r="A59" s="3">
        <v>44958</v>
      </c>
      <c r="B59" s="5">
        <f t="shared" si="0"/>
        <v>44986</v>
      </c>
    </row>
    <row r="60" spans="1:2" x14ac:dyDescent="0.25">
      <c r="A60" s="3">
        <v>44986</v>
      </c>
      <c r="B60" s="5">
        <f t="shared" si="0"/>
        <v>45017</v>
      </c>
    </row>
    <row r="61" spans="1:2" x14ac:dyDescent="0.25">
      <c r="A61" s="3">
        <v>44958</v>
      </c>
      <c r="B61" s="5">
        <f t="shared" si="0"/>
        <v>44986</v>
      </c>
    </row>
    <row r="62" spans="1:2" x14ac:dyDescent="0.25">
      <c r="A62" s="3">
        <v>44986</v>
      </c>
      <c r="B62" s="5">
        <f t="shared" si="0"/>
        <v>45017</v>
      </c>
    </row>
    <row r="63" spans="1:2" x14ac:dyDescent="0.25">
      <c r="A63" s="3">
        <v>44958</v>
      </c>
      <c r="B63" s="5">
        <f t="shared" si="0"/>
        <v>44986</v>
      </c>
    </row>
    <row r="64" spans="1:2" x14ac:dyDescent="0.25">
      <c r="A64" s="3">
        <v>44958</v>
      </c>
      <c r="B64" s="5">
        <f t="shared" si="0"/>
        <v>44986</v>
      </c>
    </row>
    <row r="65" spans="1:2" x14ac:dyDescent="0.25">
      <c r="A65" s="3">
        <v>44958</v>
      </c>
      <c r="B65" s="5">
        <f t="shared" si="0"/>
        <v>44986</v>
      </c>
    </row>
    <row r="66" spans="1:2" x14ac:dyDescent="0.25">
      <c r="A66" s="3">
        <v>44958</v>
      </c>
      <c r="B66" s="5">
        <f t="shared" ref="B66:B129" si="1">DATE(YEAR(A66), MONTH(A66) +1, DAY(A66))</f>
        <v>44986</v>
      </c>
    </row>
    <row r="67" spans="1:2" x14ac:dyDescent="0.25">
      <c r="A67" s="3">
        <v>44958</v>
      </c>
      <c r="B67" s="5">
        <f t="shared" si="1"/>
        <v>44986</v>
      </c>
    </row>
    <row r="68" spans="1:2" x14ac:dyDescent="0.25">
      <c r="A68" s="3">
        <v>44986</v>
      </c>
      <c r="B68" s="5">
        <f t="shared" si="1"/>
        <v>45017</v>
      </c>
    </row>
    <row r="69" spans="1:2" x14ac:dyDescent="0.25">
      <c r="A69" s="3">
        <v>44986</v>
      </c>
      <c r="B69" s="5">
        <f t="shared" si="1"/>
        <v>45017</v>
      </c>
    </row>
    <row r="70" spans="1:2" x14ac:dyDescent="0.25">
      <c r="A70" s="3">
        <v>45017</v>
      </c>
      <c r="B70" s="5">
        <f t="shared" si="1"/>
        <v>45047</v>
      </c>
    </row>
    <row r="71" spans="1:2" x14ac:dyDescent="0.25">
      <c r="A71" s="3">
        <v>45017</v>
      </c>
      <c r="B71" s="5">
        <f t="shared" si="1"/>
        <v>45047</v>
      </c>
    </row>
    <row r="72" spans="1:2" x14ac:dyDescent="0.25">
      <c r="A72" s="3">
        <v>45078</v>
      </c>
      <c r="B72" s="5">
        <f t="shared" si="1"/>
        <v>45108</v>
      </c>
    </row>
    <row r="73" spans="1:2" x14ac:dyDescent="0.25">
      <c r="A73" s="3">
        <v>45047</v>
      </c>
      <c r="B73" s="5">
        <f t="shared" si="1"/>
        <v>45078</v>
      </c>
    </row>
    <row r="74" spans="1:2" x14ac:dyDescent="0.25">
      <c r="A74" s="3">
        <v>45047</v>
      </c>
      <c r="B74" s="5">
        <f t="shared" si="1"/>
        <v>45078</v>
      </c>
    </row>
    <row r="75" spans="1:2" x14ac:dyDescent="0.25">
      <c r="A75" s="3">
        <v>45078</v>
      </c>
      <c r="B75" s="5">
        <f t="shared" si="1"/>
        <v>45108</v>
      </c>
    </row>
    <row r="76" spans="1:2" x14ac:dyDescent="0.25">
      <c r="A76" s="3">
        <v>45078</v>
      </c>
      <c r="B76" s="5">
        <f t="shared" si="1"/>
        <v>45108</v>
      </c>
    </row>
    <row r="77" spans="1:2" x14ac:dyDescent="0.25">
      <c r="A77" s="3">
        <v>45108</v>
      </c>
      <c r="B77" s="5">
        <f t="shared" si="1"/>
        <v>45139</v>
      </c>
    </row>
    <row r="78" spans="1:2" x14ac:dyDescent="0.25">
      <c r="A78" s="3">
        <v>45108</v>
      </c>
      <c r="B78" s="5">
        <f t="shared" si="1"/>
        <v>45139</v>
      </c>
    </row>
    <row r="79" spans="1:2" x14ac:dyDescent="0.25">
      <c r="A79" s="3">
        <v>45108</v>
      </c>
      <c r="B79" s="5">
        <f t="shared" si="1"/>
        <v>45139</v>
      </c>
    </row>
    <row r="80" spans="1:2" x14ac:dyDescent="0.25">
      <c r="A80" s="3">
        <v>45139</v>
      </c>
      <c r="B80" s="5">
        <f t="shared" si="1"/>
        <v>45170</v>
      </c>
    </row>
    <row r="81" spans="1:2" x14ac:dyDescent="0.25">
      <c r="A81" s="3">
        <v>45231</v>
      </c>
      <c r="B81" s="5">
        <f t="shared" si="1"/>
        <v>45261</v>
      </c>
    </row>
    <row r="82" spans="1:2" x14ac:dyDescent="0.25">
      <c r="A82" s="3">
        <v>45200</v>
      </c>
      <c r="B82" s="5">
        <f t="shared" si="1"/>
        <v>45231</v>
      </c>
    </row>
    <row r="83" spans="1:2" x14ac:dyDescent="0.25">
      <c r="A83" s="3">
        <v>45200</v>
      </c>
      <c r="B83" s="5">
        <f t="shared" si="1"/>
        <v>45231</v>
      </c>
    </row>
    <row r="84" spans="1:2" x14ac:dyDescent="0.25">
      <c r="A84" s="3">
        <v>45170</v>
      </c>
      <c r="B84" s="5">
        <f t="shared" si="1"/>
        <v>45200</v>
      </c>
    </row>
    <row r="85" spans="1:2" x14ac:dyDescent="0.25">
      <c r="A85" s="3">
        <v>45200</v>
      </c>
      <c r="B85" s="5">
        <f t="shared" si="1"/>
        <v>45231</v>
      </c>
    </row>
    <row r="86" spans="1:2" x14ac:dyDescent="0.25">
      <c r="A86" s="3">
        <v>45200</v>
      </c>
      <c r="B86" s="5">
        <f t="shared" si="1"/>
        <v>45231</v>
      </c>
    </row>
    <row r="87" spans="1:2" x14ac:dyDescent="0.25">
      <c r="A87" s="3">
        <v>45200</v>
      </c>
      <c r="B87" s="5">
        <f t="shared" si="1"/>
        <v>45231</v>
      </c>
    </row>
    <row r="88" spans="1:2" x14ac:dyDescent="0.25">
      <c r="A88" s="3">
        <v>45200</v>
      </c>
      <c r="B88" s="5">
        <f t="shared" si="1"/>
        <v>45231</v>
      </c>
    </row>
    <row r="89" spans="1:2" x14ac:dyDescent="0.25">
      <c r="A89" s="3">
        <v>45200</v>
      </c>
      <c r="B89" s="5">
        <f t="shared" si="1"/>
        <v>45231</v>
      </c>
    </row>
    <row r="90" spans="1:2" x14ac:dyDescent="0.25">
      <c r="A90" s="3">
        <v>45200</v>
      </c>
      <c r="B90" s="5">
        <f t="shared" si="1"/>
        <v>45231</v>
      </c>
    </row>
    <row r="91" spans="1:2" x14ac:dyDescent="0.25">
      <c r="A91" s="3">
        <v>45200</v>
      </c>
      <c r="B91" s="5">
        <f t="shared" si="1"/>
        <v>45231</v>
      </c>
    </row>
    <row r="92" spans="1:2" x14ac:dyDescent="0.25">
      <c r="A92" s="3">
        <v>45200</v>
      </c>
      <c r="B92" s="5">
        <f t="shared" si="1"/>
        <v>45231</v>
      </c>
    </row>
    <row r="93" spans="1:2" x14ac:dyDescent="0.25">
      <c r="A93" s="3">
        <v>45231</v>
      </c>
      <c r="B93" s="5">
        <f t="shared" si="1"/>
        <v>45261</v>
      </c>
    </row>
    <row r="94" spans="1:2" x14ac:dyDescent="0.25">
      <c r="A94" s="3">
        <v>45231</v>
      </c>
      <c r="B94" s="5">
        <f t="shared" si="1"/>
        <v>45261</v>
      </c>
    </row>
    <row r="95" spans="1:2" x14ac:dyDescent="0.25">
      <c r="A95" s="3">
        <v>45231</v>
      </c>
      <c r="B95" s="5">
        <f t="shared" si="1"/>
        <v>45261</v>
      </c>
    </row>
    <row r="96" spans="1:2" x14ac:dyDescent="0.25">
      <c r="A96" s="3">
        <v>45231</v>
      </c>
      <c r="B96" s="5">
        <f t="shared" si="1"/>
        <v>45261</v>
      </c>
    </row>
    <row r="97" spans="1:2" x14ac:dyDescent="0.25">
      <c r="A97" s="3">
        <v>45231</v>
      </c>
      <c r="B97" s="5">
        <f t="shared" si="1"/>
        <v>45261</v>
      </c>
    </row>
    <row r="98" spans="1:2" x14ac:dyDescent="0.25">
      <c r="A98" s="3">
        <v>45231</v>
      </c>
      <c r="B98" s="5">
        <f t="shared" si="1"/>
        <v>45261</v>
      </c>
    </row>
    <row r="99" spans="1:2" x14ac:dyDescent="0.25">
      <c r="A99" s="3">
        <v>45231</v>
      </c>
      <c r="B99" s="5">
        <f t="shared" si="1"/>
        <v>45261</v>
      </c>
    </row>
    <row r="100" spans="1:2" x14ac:dyDescent="0.25">
      <c r="A100" s="3">
        <v>45261</v>
      </c>
      <c r="B100" s="5">
        <f t="shared" si="1"/>
        <v>45292</v>
      </c>
    </row>
    <row r="101" spans="1:2" x14ac:dyDescent="0.25">
      <c r="A101" s="3">
        <v>45261</v>
      </c>
      <c r="B101" s="5">
        <f t="shared" si="1"/>
        <v>45292</v>
      </c>
    </row>
    <row r="102" spans="1:2" x14ac:dyDescent="0.25">
      <c r="A102" s="3">
        <v>45261</v>
      </c>
      <c r="B102" s="5">
        <f t="shared" si="1"/>
        <v>45292</v>
      </c>
    </row>
    <row r="103" spans="1:2" x14ac:dyDescent="0.25">
      <c r="A103" s="3">
        <v>45261</v>
      </c>
      <c r="B103" s="5">
        <f t="shared" si="1"/>
        <v>45292</v>
      </c>
    </row>
    <row r="104" spans="1:2" x14ac:dyDescent="0.25">
      <c r="A104" s="3">
        <v>45292</v>
      </c>
      <c r="B104" s="5">
        <f t="shared" si="1"/>
        <v>45323</v>
      </c>
    </row>
    <row r="105" spans="1:2" x14ac:dyDescent="0.25">
      <c r="A105" s="3">
        <v>45139</v>
      </c>
      <c r="B105" s="5">
        <f t="shared" si="1"/>
        <v>45170</v>
      </c>
    </row>
    <row r="106" spans="1:2" x14ac:dyDescent="0.25">
      <c r="A106" s="3">
        <v>45108</v>
      </c>
      <c r="B106" s="5">
        <f t="shared" si="1"/>
        <v>45139</v>
      </c>
    </row>
    <row r="107" spans="1:2" x14ac:dyDescent="0.25">
      <c r="A107" s="3">
        <v>45170</v>
      </c>
      <c r="B107" s="5">
        <f t="shared" si="1"/>
        <v>45200</v>
      </c>
    </row>
    <row r="108" spans="1:2" x14ac:dyDescent="0.25">
      <c r="A108" s="3">
        <v>45170</v>
      </c>
      <c r="B108" s="5">
        <f t="shared" si="1"/>
        <v>45200</v>
      </c>
    </row>
    <row r="109" spans="1:2" x14ac:dyDescent="0.25">
      <c r="A109" s="3">
        <v>45261</v>
      </c>
      <c r="B109" s="5">
        <f t="shared" si="1"/>
        <v>45292</v>
      </c>
    </row>
    <row r="110" spans="1:2" x14ac:dyDescent="0.25">
      <c r="A110" s="3">
        <v>45292</v>
      </c>
      <c r="B110" s="5">
        <f t="shared" si="1"/>
        <v>45323</v>
      </c>
    </row>
    <row r="111" spans="1:2" x14ac:dyDescent="0.25">
      <c r="A111" s="3">
        <v>45231</v>
      </c>
      <c r="B111" s="5">
        <f t="shared" si="1"/>
        <v>45261</v>
      </c>
    </row>
    <row r="112" spans="1:2" x14ac:dyDescent="0.25">
      <c r="A112" s="3">
        <v>45292</v>
      </c>
      <c r="B112" s="5">
        <f t="shared" si="1"/>
        <v>45323</v>
      </c>
    </row>
    <row r="113" spans="1:2" x14ac:dyDescent="0.25">
      <c r="A113" s="3">
        <v>45292</v>
      </c>
      <c r="B113" s="5">
        <f t="shared" si="1"/>
        <v>45323</v>
      </c>
    </row>
    <row r="114" spans="1:2" x14ac:dyDescent="0.25">
      <c r="A114" s="3">
        <v>45292</v>
      </c>
      <c r="B114" s="5">
        <f t="shared" si="1"/>
        <v>45323</v>
      </c>
    </row>
    <row r="115" spans="1:2" x14ac:dyDescent="0.25">
      <c r="A115" s="3">
        <v>45139</v>
      </c>
      <c r="B115" s="5">
        <f t="shared" si="1"/>
        <v>45170</v>
      </c>
    </row>
    <row r="116" spans="1:2" x14ac:dyDescent="0.25">
      <c r="A116" s="3">
        <v>45139</v>
      </c>
      <c r="B116" s="5">
        <f t="shared" si="1"/>
        <v>45170</v>
      </c>
    </row>
    <row r="117" spans="1:2" x14ac:dyDescent="0.25">
      <c r="A117" s="3">
        <v>45200</v>
      </c>
      <c r="B117" s="5">
        <f t="shared" si="1"/>
        <v>45231</v>
      </c>
    </row>
    <row r="118" spans="1:2" x14ac:dyDescent="0.25">
      <c r="A118" s="3">
        <v>44197</v>
      </c>
      <c r="B118" s="5">
        <f t="shared" si="1"/>
        <v>44228</v>
      </c>
    </row>
    <row r="119" spans="1:2" x14ac:dyDescent="0.25">
      <c r="A119" s="3">
        <v>44197</v>
      </c>
      <c r="B119" s="5">
        <f t="shared" si="1"/>
        <v>44228</v>
      </c>
    </row>
    <row r="120" spans="1:2" x14ac:dyDescent="0.25">
      <c r="A120" s="3">
        <v>44197</v>
      </c>
      <c r="B120" s="5">
        <f t="shared" si="1"/>
        <v>44228</v>
      </c>
    </row>
    <row r="121" spans="1:2" x14ac:dyDescent="0.25">
      <c r="A121" s="3">
        <v>44044</v>
      </c>
      <c r="B121" s="5">
        <f t="shared" si="1"/>
        <v>44075</v>
      </c>
    </row>
    <row r="122" spans="1:2" x14ac:dyDescent="0.25">
      <c r="A122" s="3">
        <v>43831</v>
      </c>
      <c r="B122" s="5">
        <f t="shared" si="1"/>
        <v>43862</v>
      </c>
    </row>
    <row r="123" spans="1:2" x14ac:dyDescent="0.25">
      <c r="A123" s="3">
        <v>43647</v>
      </c>
      <c r="B123" s="5">
        <f t="shared" si="1"/>
        <v>43678</v>
      </c>
    </row>
    <row r="124" spans="1:2" x14ac:dyDescent="0.25">
      <c r="A124" s="3">
        <v>43709</v>
      </c>
      <c r="B124" s="5">
        <f t="shared" si="1"/>
        <v>43739</v>
      </c>
    </row>
    <row r="125" spans="1:2" x14ac:dyDescent="0.25">
      <c r="A125" s="3">
        <v>43586</v>
      </c>
      <c r="B125" s="5">
        <f t="shared" si="1"/>
        <v>43617</v>
      </c>
    </row>
    <row r="126" spans="1:2" x14ac:dyDescent="0.25">
      <c r="A126" s="3">
        <v>44105</v>
      </c>
      <c r="B126" s="5">
        <f t="shared" si="1"/>
        <v>44136</v>
      </c>
    </row>
    <row r="127" spans="1:2" x14ac:dyDescent="0.25">
      <c r="A127" s="3">
        <v>43800</v>
      </c>
      <c r="B127" s="5">
        <f t="shared" si="1"/>
        <v>43831</v>
      </c>
    </row>
    <row r="128" spans="1:2" x14ac:dyDescent="0.25">
      <c r="A128" s="3">
        <v>44562</v>
      </c>
      <c r="B128" s="5">
        <f t="shared" si="1"/>
        <v>44593</v>
      </c>
    </row>
    <row r="129" spans="1:2" x14ac:dyDescent="0.25">
      <c r="A129" s="3">
        <v>44562</v>
      </c>
      <c r="B129" s="5">
        <f t="shared" si="1"/>
        <v>44593</v>
      </c>
    </row>
    <row r="130" spans="1:2" x14ac:dyDescent="0.25">
      <c r="A130" s="3">
        <v>44562</v>
      </c>
      <c r="B130" s="5">
        <f t="shared" ref="B130:B156" si="2">DATE(YEAR(A130), MONTH(A130) +1, DAY(A130))</f>
        <v>44593</v>
      </c>
    </row>
    <row r="131" spans="1:2" x14ac:dyDescent="0.25">
      <c r="A131" s="3">
        <v>44562</v>
      </c>
      <c r="B131" s="5">
        <f t="shared" si="2"/>
        <v>44593</v>
      </c>
    </row>
    <row r="132" spans="1:2" x14ac:dyDescent="0.25">
      <c r="A132" s="3">
        <v>44562</v>
      </c>
      <c r="B132" s="5">
        <f t="shared" si="2"/>
        <v>44593</v>
      </c>
    </row>
    <row r="133" spans="1:2" x14ac:dyDescent="0.25">
      <c r="A133" s="3">
        <v>44562</v>
      </c>
      <c r="B133" s="5">
        <f t="shared" si="2"/>
        <v>44593</v>
      </c>
    </row>
    <row r="134" spans="1:2" x14ac:dyDescent="0.25">
      <c r="A134" s="3">
        <v>44562</v>
      </c>
      <c r="B134" s="5">
        <f t="shared" si="2"/>
        <v>44593</v>
      </c>
    </row>
    <row r="135" spans="1:2" x14ac:dyDescent="0.25">
      <c r="A135" s="3">
        <v>44562</v>
      </c>
      <c r="B135" s="5">
        <f t="shared" si="2"/>
        <v>44593</v>
      </c>
    </row>
    <row r="136" spans="1:2" x14ac:dyDescent="0.25">
      <c r="A136" s="3">
        <v>44562</v>
      </c>
      <c r="B136" s="5">
        <f t="shared" si="2"/>
        <v>44593</v>
      </c>
    </row>
    <row r="137" spans="1:2" x14ac:dyDescent="0.25">
      <c r="A137" s="3">
        <v>44562</v>
      </c>
      <c r="B137" s="5">
        <f t="shared" si="2"/>
        <v>44593</v>
      </c>
    </row>
    <row r="138" spans="1:2" x14ac:dyDescent="0.25">
      <c r="A138" s="3">
        <v>44562</v>
      </c>
      <c r="B138" s="5">
        <f t="shared" si="2"/>
        <v>44593</v>
      </c>
    </row>
    <row r="139" spans="1:2" x14ac:dyDescent="0.25">
      <c r="A139" s="3">
        <v>44562</v>
      </c>
      <c r="B139" s="5">
        <f t="shared" si="2"/>
        <v>44593</v>
      </c>
    </row>
    <row r="140" spans="1:2" x14ac:dyDescent="0.25">
      <c r="A140" s="3">
        <v>44593</v>
      </c>
      <c r="B140" s="5">
        <f t="shared" si="2"/>
        <v>44621</v>
      </c>
    </row>
    <row r="141" spans="1:2" x14ac:dyDescent="0.25">
      <c r="A141" s="3">
        <v>44986</v>
      </c>
      <c r="B141" s="5">
        <f t="shared" si="2"/>
        <v>45017</v>
      </c>
    </row>
    <row r="142" spans="1:2" x14ac:dyDescent="0.25">
      <c r="A142" s="3">
        <v>44958</v>
      </c>
      <c r="B142" s="5">
        <f t="shared" si="2"/>
        <v>44986</v>
      </c>
    </row>
    <row r="143" spans="1:2" x14ac:dyDescent="0.25">
      <c r="A143" s="3">
        <v>44986</v>
      </c>
      <c r="B143" s="5">
        <f t="shared" si="2"/>
        <v>45017</v>
      </c>
    </row>
    <row r="144" spans="1:2" x14ac:dyDescent="0.25">
      <c r="A144" s="3">
        <v>45078</v>
      </c>
      <c r="B144" s="5">
        <f t="shared" si="2"/>
        <v>45108</v>
      </c>
    </row>
    <row r="145" spans="1:2" x14ac:dyDescent="0.25">
      <c r="A145" s="3">
        <v>45139</v>
      </c>
      <c r="B145" s="5">
        <f t="shared" si="2"/>
        <v>45170</v>
      </c>
    </row>
    <row r="146" spans="1:2" x14ac:dyDescent="0.25">
      <c r="A146" s="3">
        <v>45108</v>
      </c>
      <c r="B146" s="5">
        <f t="shared" si="2"/>
        <v>45139</v>
      </c>
    </row>
    <row r="147" spans="1:2" x14ac:dyDescent="0.25">
      <c r="A147" s="3">
        <v>45108</v>
      </c>
      <c r="B147" s="5">
        <f t="shared" si="2"/>
        <v>45139</v>
      </c>
    </row>
    <row r="148" spans="1:2" x14ac:dyDescent="0.25">
      <c r="A148" s="3">
        <v>45231</v>
      </c>
      <c r="B148" s="5">
        <f t="shared" si="2"/>
        <v>45261</v>
      </c>
    </row>
    <row r="149" spans="1:2" x14ac:dyDescent="0.25">
      <c r="A149" s="3">
        <v>45261</v>
      </c>
      <c r="B149" s="5">
        <f t="shared" si="2"/>
        <v>45292</v>
      </c>
    </row>
    <row r="150" spans="1:2" x14ac:dyDescent="0.25">
      <c r="A150" s="3">
        <v>45231</v>
      </c>
      <c r="B150" s="5">
        <f t="shared" si="2"/>
        <v>45261</v>
      </c>
    </row>
    <row r="151" spans="1:2" x14ac:dyDescent="0.25">
      <c r="A151" s="3">
        <v>45292</v>
      </c>
      <c r="B151" s="5">
        <f t="shared" si="2"/>
        <v>45323</v>
      </c>
    </row>
    <row r="152" spans="1:2" x14ac:dyDescent="0.25">
      <c r="A152" s="3">
        <v>45292</v>
      </c>
      <c r="B152" s="5">
        <f t="shared" si="2"/>
        <v>45323</v>
      </c>
    </row>
    <row r="153" spans="1:2" x14ac:dyDescent="0.25">
      <c r="A153" s="3">
        <v>44958</v>
      </c>
      <c r="B153" s="5">
        <f t="shared" si="2"/>
        <v>44986</v>
      </c>
    </row>
    <row r="154" spans="1:2" x14ac:dyDescent="0.25">
      <c r="A154" s="3">
        <v>45047</v>
      </c>
      <c r="B154" s="5">
        <f t="shared" si="2"/>
        <v>45078</v>
      </c>
    </row>
    <row r="155" spans="1:2" x14ac:dyDescent="0.25">
      <c r="A155" s="3">
        <v>45108</v>
      </c>
      <c r="B155" s="5">
        <f t="shared" si="2"/>
        <v>45139</v>
      </c>
    </row>
    <row r="156" spans="1:2" x14ac:dyDescent="0.25">
      <c r="A156" s="3">
        <v>45139</v>
      </c>
      <c r="B156" s="5">
        <f t="shared" si="2"/>
        <v>45170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Detail</vt:lpstr>
      <vt:lpstr>Legacy</vt:lpstr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Janki Patel</cp:lastModifiedBy>
  <dcterms:created xsi:type="dcterms:W3CDTF">2024-11-29T16:32:46Z</dcterms:created>
  <dcterms:modified xsi:type="dcterms:W3CDTF">2024-12-04T14:40:02Z</dcterms:modified>
</cp:coreProperties>
</file>