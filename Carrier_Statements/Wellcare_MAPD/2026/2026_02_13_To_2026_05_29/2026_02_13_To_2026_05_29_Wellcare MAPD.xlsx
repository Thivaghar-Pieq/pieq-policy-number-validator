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Wellcare_MAPD\2026\2026_02_13_To_2026_05_29\"/>
    </mc:Choice>
  </mc:AlternateContent>
  <xr:revisionPtr revIDLastSave="0" documentId="13_ncr:1_{5DB64FD2-84CA-460D-961A-0F7627826C5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ummary" sheetId="1" r:id="rId1"/>
    <sheet name="Detail" sheetId="2" r:id="rId2"/>
    <sheet name="Sheet2" sheetId="6" r:id="rId3"/>
    <sheet name="Sheet1" sheetId="5" r:id="rId4"/>
    <sheet name="Legacy" sheetId="3" r:id="rId5"/>
    <sheet name="Misc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2" i="6"/>
  <c r="F52" i="5"/>
  <c r="F55" i="5"/>
  <c r="F67" i="5"/>
  <c r="F68" i="5"/>
  <c r="F69" i="5"/>
  <c r="F61" i="5"/>
  <c r="F62" i="5"/>
  <c r="F70" i="5"/>
  <c r="F73" i="5"/>
  <c r="F71" i="5"/>
  <c r="F51" i="5"/>
  <c r="F56" i="5"/>
  <c r="F72" i="5"/>
  <c r="F53" i="5"/>
  <c r="F74" i="5"/>
  <c r="F75" i="5"/>
  <c r="F63" i="5"/>
  <c r="F64" i="5"/>
  <c r="F65" i="5"/>
  <c r="F66" i="5"/>
  <c r="F54" i="5"/>
  <c r="F57" i="5"/>
  <c r="F58" i="5"/>
  <c r="F59" i="5"/>
  <c r="F60" i="5"/>
  <c r="F76" i="5"/>
  <c r="K52" i="5"/>
  <c r="K55" i="5"/>
  <c r="K67" i="5"/>
  <c r="K68" i="5"/>
  <c r="K69" i="5"/>
  <c r="K61" i="5"/>
  <c r="K62" i="5"/>
  <c r="K70" i="5"/>
  <c r="K73" i="5"/>
  <c r="K71" i="5"/>
  <c r="K51" i="5"/>
  <c r="K56" i="5"/>
  <c r="K72" i="5"/>
  <c r="K53" i="5"/>
  <c r="K74" i="5"/>
  <c r="K75" i="5"/>
  <c r="K63" i="5"/>
  <c r="K64" i="5"/>
  <c r="K65" i="5"/>
  <c r="K66" i="5"/>
  <c r="K54" i="5"/>
  <c r="K57" i="5"/>
  <c r="K58" i="5"/>
  <c r="K59" i="5"/>
  <c r="K60" i="5"/>
  <c r="K76" i="5"/>
  <c r="K28" i="5"/>
  <c r="K27" i="5"/>
  <c r="K26" i="5"/>
  <c r="K25" i="5"/>
  <c r="K19" i="5"/>
  <c r="K18" i="5"/>
  <c r="K17" i="5"/>
  <c r="K16" i="5"/>
  <c r="K33" i="5"/>
  <c r="K32" i="5"/>
  <c r="K31" i="5"/>
  <c r="K30" i="5"/>
  <c r="K24" i="5"/>
  <c r="K23" i="5"/>
  <c r="K22" i="5"/>
  <c r="K21" i="5"/>
  <c r="K43" i="5"/>
  <c r="K42" i="5"/>
  <c r="K41" i="5"/>
  <c r="K40" i="5"/>
  <c r="K20" i="5"/>
  <c r="K39" i="5"/>
  <c r="K38" i="5"/>
  <c r="K37" i="5"/>
  <c r="K36" i="5"/>
  <c r="K50" i="5"/>
  <c r="K49" i="5"/>
  <c r="K12" i="5"/>
  <c r="K48" i="5"/>
  <c r="K47" i="5"/>
  <c r="K29" i="5"/>
  <c r="K35" i="5"/>
  <c r="K34" i="5"/>
  <c r="K15" i="5"/>
  <c r="K46" i="5"/>
  <c r="K45" i="5"/>
  <c r="K44" i="5"/>
  <c r="K14" i="5"/>
  <c r="K13" i="5"/>
  <c r="K11" i="5"/>
  <c r="K10" i="5"/>
  <c r="K9" i="5"/>
  <c r="K8" i="5"/>
  <c r="K2" i="5"/>
  <c r="K5" i="5"/>
  <c r="K4" i="5"/>
  <c r="K6" i="5"/>
  <c r="K3" i="5"/>
  <c r="K7" i="5"/>
  <c r="T13" i="5"/>
  <c r="T35" i="5"/>
  <c r="T8" i="5"/>
  <c r="T45" i="5"/>
  <c r="T44" i="5"/>
  <c r="T34" i="5"/>
</calcChain>
</file>

<file path=xl/sharedStrings.xml><?xml version="1.0" encoding="utf-8"?>
<sst xmlns="http://schemas.openxmlformats.org/spreadsheetml/2006/main" count="3425" uniqueCount="217">
  <si>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</si>
  <si>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</si>
  <si>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</si>
  <si>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</si>
  <si>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</si>
  <si>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</si>
  <si>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</si>
  <si>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</si>
  <si>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</si>
  <si>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</si>
  <si>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</si>
  <si>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</si>
  <si>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</si>
  <si>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</si>
  <si>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</si>
  <si>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</si>
  <si>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</si>
  <si>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</si>
  <si>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</si>
  <si>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</si>
  <si>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</si>
  <si>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</si>
  <si>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</si>
  <si>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</si>
  <si>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</si>
  <si>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</si>
  <si>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</si>
  <si>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</si>
  <si>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</si>
  <si>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</si>
  <si>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</si>
  <si>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</si>
  <si>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</si>
  <si>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</si>
  <si>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</si>
  <si>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</si>
  <si>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</si>
  <si>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</si>
  <si>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</si>
  <si>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</si>
  <si>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21104854</t>
  </si>
  <si>
    <t>Brian Strohman</t>
  </si>
  <si>
    <t>2J36T36TU87</t>
  </si>
  <si>
    <t>JENNIFER CHUQUI</t>
  </si>
  <si>
    <t>PDP</t>
  </si>
  <si>
    <t>IL</t>
  </si>
  <si>
    <t>MAPD</t>
  </si>
  <si>
    <t>Wellcare Meridian Dual Align (HMO D-SNP)</t>
  </si>
  <si>
    <t>H6971</t>
  </si>
  <si>
    <t>001</t>
  </si>
  <si>
    <t>C4118828501</t>
  </si>
  <si>
    <t>8325282</t>
  </si>
  <si>
    <t>Dale Walenga</t>
  </si>
  <si>
    <t>8GP5TG3VW67</t>
  </si>
  <si>
    <t>JESSICA JIRASEK</t>
  </si>
  <si>
    <t>C4118184301</t>
  </si>
  <si>
    <t>Initial - NOT New to CMS</t>
  </si>
  <si>
    <t>16912722</t>
  </si>
  <si>
    <t>Andrea Petrungaro</t>
  </si>
  <si>
    <t>5JH4RM5RD87</t>
  </si>
  <si>
    <t>LISSA JACOBSON</t>
  </si>
  <si>
    <t>MI</t>
  </si>
  <si>
    <t>Wellcare Dual Access (HMO-POS D-SNP)</t>
  </si>
  <si>
    <t>H5475</t>
  </si>
  <si>
    <t>47099238</t>
  </si>
  <si>
    <t>18754354</t>
  </si>
  <si>
    <t>Jacob Yale</t>
  </si>
  <si>
    <t>4HH8NR2AK23</t>
  </si>
  <si>
    <t>FRED BIERBAUM JR</t>
  </si>
  <si>
    <t>Wellcare No Premium Essential (HMO)</t>
  </si>
  <si>
    <t>H5779</t>
  </si>
  <si>
    <t>002</t>
  </si>
  <si>
    <t>46989652</t>
  </si>
  <si>
    <t>Non-Enrollment Service</t>
  </si>
  <si>
    <t>20411454</t>
  </si>
  <si>
    <t>21435997</t>
  </si>
  <si>
    <t>Christopher Brousseau</t>
  </si>
  <si>
    <t>6DH5R24GV61</t>
  </si>
  <si>
    <t>LINDA CASKEY</t>
  </si>
  <si>
    <t>FL</t>
  </si>
  <si>
    <t>Wellcare Sunshine Health Dual Align (HMO D-SNP)</t>
  </si>
  <si>
    <t>H1032</t>
  </si>
  <si>
    <t>242</t>
  </si>
  <si>
    <t>47015986</t>
  </si>
  <si>
    <t>16865615</t>
  </si>
  <si>
    <t>Heather Geske</t>
  </si>
  <si>
    <t>1FQ3V24HG16</t>
  </si>
  <si>
    <t>KENNETH KERN</t>
  </si>
  <si>
    <t>LA</t>
  </si>
  <si>
    <t>Wellcare Simple (HMO-POS)</t>
  </si>
  <si>
    <t>H2491</t>
  </si>
  <si>
    <t>028</t>
  </si>
  <si>
    <t>47502144</t>
  </si>
  <si>
    <t>19200754</t>
  </si>
  <si>
    <t>Ricardo Santos</t>
  </si>
  <si>
    <t>9V22K15TC21</t>
  </si>
  <si>
    <t>RUTHIE GRIFFIN WALLS</t>
  </si>
  <si>
    <t>NONE</t>
  </si>
  <si>
    <t>Wellcare No Premium (HMO-POS)</t>
  </si>
  <si>
    <t>H1416</t>
  </si>
  <si>
    <t>009</t>
  </si>
  <si>
    <t>47541639</t>
  </si>
  <si>
    <t>Note</t>
  </si>
  <si>
    <t>VBE Payment,NPN,8325282,MbrName,JESSICA JIRASEK,MBI,8GP5TG3VW67,SubID,C4118184301,EffDate,2/1/2026,H6971</t>
  </si>
  <si>
    <t>9213293</t>
  </si>
  <si>
    <t>GARY PORTUGAL</t>
  </si>
  <si>
    <t>4WF0YT2TH30</t>
  </si>
  <si>
    <t>JAMES PETTY</t>
  </si>
  <si>
    <t>C4118596201</t>
  </si>
  <si>
    <t>VBE Payment,NPN,9213293,MbrName,JAMES PETTY,MBI,4WF0YT2TH30,SubID,C4118596201,EffDate,2/1/2026,H6971</t>
  </si>
  <si>
    <t>Renewal</t>
  </si>
  <si>
    <t>16509456</t>
  </si>
  <si>
    <t>Peter Richter</t>
  </si>
  <si>
    <t>5R83P54NJ13</t>
  </si>
  <si>
    <t>JOANNE BARDER</t>
  </si>
  <si>
    <t>PA</t>
  </si>
  <si>
    <t>Wellcare No Premium (HMO)</t>
  </si>
  <si>
    <t>H2915</t>
  </si>
  <si>
    <t>003</t>
  </si>
  <si>
    <t>C4096102501</t>
  </si>
  <si>
    <t>17425766</t>
  </si>
  <si>
    <t>CAROL FOLEY</t>
  </si>
  <si>
    <t>9MU4EA3KA64</t>
  </si>
  <si>
    <t>RICKY GOLDMAN</t>
  </si>
  <si>
    <t>196</t>
  </si>
  <si>
    <t>30279415</t>
  </si>
  <si>
    <t>18828278</t>
  </si>
  <si>
    <t>MICHAEL DUNAVANT</t>
  </si>
  <si>
    <t>3YC7ME4VK47</t>
  </si>
  <si>
    <t>JENNELLE LERMA</t>
  </si>
  <si>
    <t>TX</t>
  </si>
  <si>
    <t>Wellcare Dual Liberty (HMO D-SNP)</t>
  </si>
  <si>
    <t>H0174</t>
  </si>
  <si>
    <t>006</t>
  </si>
  <si>
    <t>31261721</t>
  </si>
  <si>
    <t>6AK3K26NJ04</t>
  </si>
  <si>
    <t>SHERMAN LAWRENCE</t>
  </si>
  <si>
    <t>WA</t>
  </si>
  <si>
    <t>H0029</t>
  </si>
  <si>
    <t>008</t>
  </si>
  <si>
    <t>42906532</t>
  </si>
  <si>
    <t>19681796</t>
  </si>
  <si>
    <t>CHRISTIAN TAUGNER</t>
  </si>
  <si>
    <t>4X05PQ6CY80</t>
  </si>
  <si>
    <t>SANDRA OLEKOSKI</t>
  </si>
  <si>
    <t>211</t>
  </si>
  <si>
    <t>15008196</t>
  </si>
  <si>
    <t>9ED3UU0DK79</t>
  </si>
  <si>
    <t>DOROTHY RENIER</t>
  </si>
  <si>
    <t>WI</t>
  </si>
  <si>
    <t>Wellcare Dual Access (HMO D-SNP)</t>
  </si>
  <si>
    <t>H8189</t>
  </si>
  <si>
    <t>C4085035601</t>
  </si>
  <si>
    <t>20003537</t>
  </si>
  <si>
    <t>Chad Yale</t>
  </si>
  <si>
    <t>8WK6NQ3KA47</t>
  </si>
  <si>
    <t>WILLIAM EMPSON</t>
  </si>
  <si>
    <t>44212518</t>
  </si>
  <si>
    <t>8814784</t>
  </si>
  <si>
    <t>Frank Liskovec</t>
  </si>
  <si>
    <t>8WR3AN6HR75</t>
  </si>
  <si>
    <t>LINDA LIVESAY</t>
  </si>
  <si>
    <t>27912063</t>
  </si>
  <si>
    <t>2GA8K93UK56</t>
  </si>
  <si>
    <t>TERESA SILVA</t>
  </si>
  <si>
    <t>47182852</t>
  </si>
  <si>
    <t>5CF0MY3WK11</t>
  </si>
  <si>
    <t>KEENAN PENSON</t>
  </si>
  <si>
    <t>Wellcare No Premium Value (HMO-POS)</t>
  </si>
  <si>
    <t>082</t>
  </si>
  <si>
    <t>42012732</t>
  </si>
  <si>
    <t>19279958</t>
  </si>
  <si>
    <t>Jared Kinyua</t>
  </si>
  <si>
    <t>7F01YU6WJ26</t>
  </si>
  <si>
    <t>SANDRA BONIN</t>
  </si>
  <si>
    <t>Wellcare Assist (HMO)</t>
  </si>
  <si>
    <t>010</t>
  </si>
  <si>
    <t>47113968</t>
  </si>
  <si>
    <t>8H36RG9EF65</t>
  </si>
  <si>
    <t>Frances Asenbauer</t>
  </si>
  <si>
    <t>NY</t>
  </si>
  <si>
    <t>Wellcare Fidelis No Premium (HMO)</t>
  </si>
  <si>
    <t>H5599</t>
  </si>
  <si>
    <t>004</t>
  </si>
  <si>
    <t>500317678</t>
  </si>
  <si>
    <t>7V93VG8QC79</t>
  </si>
  <si>
    <t>CAROL PETERSEN</t>
  </si>
  <si>
    <t>47078230</t>
  </si>
  <si>
    <t>21646325</t>
  </si>
  <si>
    <t>Antonia Nevarez</t>
  </si>
  <si>
    <t>4RT4MU3DC64</t>
  </si>
  <si>
    <t>ALI AL SHEMARY</t>
  </si>
  <si>
    <t>47994423</t>
  </si>
  <si>
    <t>19645587</t>
  </si>
  <si>
    <t>Stacey Portugal</t>
  </si>
  <si>
    <t>2JE3KH2KA82</t>
  </si>
  <si>
    <t>DONALD JACKSON JR</t>
  </si>
  <si>
    <t>48112685</t>
  </si>
  <si>
    <t>8K10XJ6CH26</t>
  </si>
  <si>
    <t>9F12R28QC81</t>
  </si>
  <si>
    <t>RODNEY BILDERBACK</t>
  </si>
  <si>
    <t>Wellcare No Premium Essential Value (HMO)</t>
  </si>
  <si>
    <t>46515362</t>
  </si>
  <si>
    <t>9MJ6CF8GG61</t>
  </si>
  <si>
    <t>Wellcare 2026</t>
  </si>
  <si>
    <t>Wellcare MAPD 2026*</t>
  </si>
  <si>
    <t>[%/$=347][prorate=12/12]</t>
  </si>
  <si>
    <t>[%/$=347][prorate=11/12]</t>
  </si>
  <si>
    <t>[%/$=347][prorate=10/12]</t>
  </si>
  <si>
    <t>Wellcare MAPD Ovr</t>
  </si>
  <si>
    <t>[%/$=347][prorate=1/12]</t>
  </si>
  <si>
    <t>[%/$=347][prorate=2/12]</t>
  </si>
  <si>
    <t>[%/$=347][prorate=9/12]</t>
  </si>
  <si>
    <t>Wellcare 2026 CT, PA, DC *</t>
  </si>
  <si>
    <t>[%/$=391][prorate=1/12]</t>
  </si>
  <si>
    <t>[%/$=694]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</si>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</sst>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" fontId="0" fillId="0" borderId="0" xfId="0" applyNumberFormat="1"/>
    <xf numFmtId="0" fontId="0" fillId="0" borderId="0" xfId="0" applyNumberFormat="1" applyAlignment="1">
      <alignment horizontal="left"/>
    </xf>
    <xf numFmtId="0" fontId="0" fillId="2" borderId="0" xfId="0" applyFill="1"/>
    <xf numFmtId="0" fontId="0" fillId="2" borderId="0" xfId="0" applyNumberFormat="1" applyFill="1" applyAlignment="1">
      <alignment horizontal="left"/>
    </xf>
    <xf numFmtId="166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0" fillId="3" borderId="0" xfId="0" applyNumberFormat="1" applyFill="1" applyAlignment="1">
      <alignment horizontal="left"/>
    </xf>
    <xf numFmtId="166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0" fillId="0" borderId="0" xfId="0" applyFill="1"/>
    <xf numFmtId="0" fontId="0" fillId="0" borderId="0" xfId="0" applyNumberFormat="1" applyFill="1" applyAlignment="1">
      <alignment horizontal="left"/>
    </xf>
    <xf numFmtId="166" fontId="0" fillId="0" borderId="0" xfId="0" applyNumberFormat="1" applyFill="1"/>
    <xf numFmtId="165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workbookViewId="0">
      <selection activeCell="F13" sqref="F13"/>
    </sheetView>
  </sheetViews>
  <sheetFormatPr defaultRowHeight="15" x14ac:dyDescent="0.25"/>
  <cols>
    <col min="1" max="1" width="25" customWidth="1"/>
    <col min="2" max="2" width="35" customWidth="1"/>
    <col min="3" max="3" width="20" customWidth="1"/>
    <col min="6" max="6" width="20.42578125" bestFit="1" customWidth="1"/>
  </cols>
  <sheetData>
    <row r="1" spans="1:6" x14ac:dyDescent="0.25">
      <c r="A1" t="s">
        <v>1</v>
      </c>
      <c r="B1" t="s">
        <v>4</v>
      </c>
    </row>
    <row r="2" spans="1:6" x14ac:dyDescent="0.25">
      <c r="A2" t="s">
        <v>2</v>
      </c>
      <c r="B2">
        <v>20411454</v>
      </c>
    </row>
    <row r="3" spans="1:6" x14ac:dyDescent="0.25">
      <c r="A3" t="s">
        <v>3</v>
      </c>
      <c r="B3" s="1">
        <v>46066</v>
      </c>
    </row>
    <row r="5" spans="1:6" x14ac:dyDescent="0.25">
      <c r="A5" t="s">
        <v>5</v>
      </c>
      <c r="B5" t="s">
        <v>6</v>
      </c>
      <c r="C5" s="2" t="s">
        <v>7</v>
      </c>
    </row>
    <row r="6" spans="1:6" x14ac:dyDescent="0.25">
      <c r="A6" t="s">
        <v>8</v>
      </c>
      <c r="B6">
        <v>2</v>
      </c>
      <c r="C6" s="2">
        <v>636.17999999999995</v>
      </c>
    </row>
    <row r="7" spans="1:6" x14ac:dyDescent="0.25">
      <c r="A7" t="s">
        <v>9</v>
      </c>
      <c r="B7">
        <v>0</v>
      </c>
      <c r="C7" s="2">
        <v>0</v>
      </c>
    </row>
    <row r="8" spans="1:6" x14ac:dyDescent="0.25">
      <c r="A8" t="s">
        <v>10</v>
      </c>
      <c r="B8">
        <v>2</v>
      </c>
      <c r="C8" s="2">
        <v>-994</v>
      </c>
    </row>
    <row r="9" spans="1:6" x14ac:dyDescent="0.25">
      <c r="A9" t="s">
        <v>11</v>
      </c>
      <c r="B9">
        <v>0</v>
      </c>
      <c r="C9" s="2">
        <v>0</v>
      </c>
    </row>
    <row r="10" spans="1:6" x14ac:dyDescent="0.25">
      <c r="A10" t="s">
        <v>12</v>
      </c>
      <c r="B10">
        <v>0</v>
      </c>
      <c r="C10" s="2">
        <v>0</v>
      </c>
    </row>
    <row r="11" spans="1:6" x14ac:dyDescent="0.25">
      <c r="A11" t="s">
        <v>13</v>
      </c>
      <c r="B11">
        <v>0</v>
      </c>
      <c r="C11" s="2">
        <v>0</v>
      </c>
    </row>
    <row r="12" spans="1:6" x14ac:dyDescent="0.25">
      <c r="A12" t="s">
        <v>14</v>
      </c>
      <c r="C12" s="2">
        <v>0</v>
      </c>
    </row>
    <row r="13" spans="1:6" x14ac:dyDescent="0.25">
      <c r="A13" t="s">
        <v>15</v>
      </c>
      <c r="B13">
        <v>4</v>
      </c>
      <c r="C13" s="2">
        <v>-357.82</v>
      </c>
      <c r="F13" s="4"/>
    </row>
    <row r="16" spans="1:6" x14ac:dyDescent="0.25">
      <c r="A16" t="s">
        <v>1</v>
      </c>
      <c r="B16" t="s">
        <v>4</v>
      </c>
    </row>
    <row r="17" spans="1:3" x14ac:dyDescent="0.25">
      <c r="A17" t="s">
        <v>2</v>
      </c>
      <c r="B17">
        <v>20411454</v>
      </c>
    </row>
    <row r="18" spans="1:3" x14ac:dyDescent="0.25">
      <c r="A18" t="s">
        <v>3</v>
      </c>
      <c r="B18" s="1">
        <v>46073</v>
      </c>
    </row>
    <row r="20" spans="1:3" x14ac:dyDescent="0.25">
      <c r="A20" t="s">
        <v>5</v>
      </c>
      <c r="B20" t="s">
        <v>6</v>
      </c>
      <c r="C20" s="2" t="s">
        <v>7</v>
      </c>
    </row>
    <row r="21" spans="1:3" x14ac:dyDescent="0.25">
      <c r="A21" t="s">
        <v>8</v>
      </c>
      <c r="B21">
        <v>2</v>
      </c>
      <c r="C21" s="2">
        <v>936.16</v>
      </c>
    </row>
    <row r="22" spans="1:3" x14ac:dyDescent="0.25">
      <c r="A22" t="s">
        <v>9</v>
      </c>
      <c r="B22">
        <v>0</v>
      </c>
      <c r="C22" s="2">
        <v>0</v>
      </c>
    </row>
    <row r="23" spans="1:3" x14ac:dyDescent="0.25">
      <c r="A23" t="s">
        <v>10</v>
      </c>
      <c r="B23">
        <v>1</v>
      </c>
      <c r="C23" s="2">
        <v>-844</v>
      </c>
    </row>
    <row r="24" spans="1:3" x14ac:dyDescent="0.25">
      <c r="A24" t="s">
        <v>11</v>
      </c>
      <c r="B24">
        <v>0</v>
      </c>
      <c r="C24" s="2">
        <v>0</v>
      </c>
    </row>
    <row r="25" spans="1:3" x14ac:dyDescent="0.25">
      <c r="A25" t="s">
        <v>12</v>
      </c>
      <c r="B25">
        <v>0</v>
      </c>
      <c r="C25" s="2">
        <v>0</v>
      </c>
    </row>
    <row r="26" spans="1:3" x14ac:dyDescent="0.25">
      <c r="A26" t="s">
        <v>13</v>
      </c>
      <c r="B26">
        <v>2</v>
      </c>
      <c r="C26" s="2">
        <v>100</v>
      </c>
    </row>
    <row r="27" spans="1:3" x14ac:dyDescent="0.25">
      <c r="A27" t="s">
        <v>14</v>
      </c>
      <c r="C27" s="2">
        <v>-357.82</v>
      </c>
    </row>
    <row r="28" spans="1:3" x14ac:dyDescent="0.25">
      <c r="A28" t="s">
        <v>15</v>
      </c>
      <c r="B28">
        <v>5</v>
      </c>
      <c r="C28" s="2">
        <v>-165.66</v>
      </c>
    </row>
    <row r="30" spans="1:3" x14ac:dyDescent="0.25">
      <c r="A30" t="s">
        <v>1</v>
      </c>
      <c r="B30" t="s">
        <v>4</v>
      </c>
    </row>
    <row r="31" spans="1:3" x14ac:dyDescent="0.25">
      <c r="A31" t="s">
        <v>2</v>
      </c>
      <c r="B31">
        <v>20411454</v>
      </c>
    </row>
    <row r="32" spans="1:3" x14ac:dyDescent="0.25">
      <c r="A32" t="s">
        <v>3</v>
      </c>
      <c r="B32" s="1">
        <v>46080</v>
      </c>
    </row>
    <row r="34" spans="1:3" x14ac:dyDescent="0.25">
      <c r="A34" t="s">
        <v>5</v>
      </c>
      <c r="B34" t="s">
        <v>6</v>
      </c>
      <c r="C34" s="2" t="s">
        <v>7</v>
      </c>
    </row>
    <row r="35" spans="1:3" x14ac:dyDescent="0.25">
      <c r="A35" t="s">
        <v>8</v>
      </c>
      <c r="B35">
        <v>0</v>
      </c>
      <c r="C35" s="2">
        <v>0</v>
      </c>
    </row>
    <row r="36" spans="1:3" x14ac:dyDescent="0.25">
      <c r="A36" t="s">
        <v>9</v>
      </c>
      <c r="B36">
        <v>10</v>
      </c>
      <c r="C36" s="2">
        <v>266.27999999999997</v>
      </c>
    </row>
    <row r="37" spans="1:3" x14ac:dyDescent="0.25">
      <c r="A37" t="s">
        <v>10</v>
      </c>
      <c r="B37">
        <v>0</v>
      </c>
      <c r="C37" s="2">
        <v>0</v>
      </c>
    </row>
    <row r="38" spans="1:3" x14ac:dyDescent="0.25">
      <c r="A38" t="s">
        <v>11</v>
      </c>
      <c r="B38">
        <v>0</v>
      </c>
      <c r="C38" s="2">
        <v>0</v>
      </c>
    </row>
    <row r="39" spans="1:3" x14ac:dyDescent="0.25">
      <c r="A39" t="s">
        <v>12</v>
      </c>
      <c r="B39">
        <v>0</v>
      </c>
      <c r="C39" s="2">
        <v>0</v>
      </c>
    </row>
    <row r="40" spans="1:3" x14ac:dyDescent="0.25">
      <c r="A40" t="s">
        <v>13</v>
      </c>
      <c r="B40">
        <v>0</v>
      </c>
      <c r="C40" s="2">
        <v>0</v>
      </c>
    </row>
    <row r="41" spans="1:3" x14ac:dyDescent="0.25">
      <c r="A41" t="s">
        <v>14</v>
      </c>
      <c r="C41" s="2">
        <v>-165.66</v>
      </c>
    </row>
    <row r="42" spans="1:3" x14ac:dyDescent="0.25">
      <c r="A42" t="s">
        <v>15</v>
      </c>
      <c r="B42">
        <v>10</v>
      </c>
      <c r="C42" s="2">
        <v>100.62</v>
      </c>
    </row>
    <row r="45" spans="1:3" x14ac:dyDescent="0.25">
      <c r="A45" t="s">
        <v>1</v>
      </c>
      <c r="B45" t="s">
        <v>4</v>
      </c>
    </row>
    <row r="46" spans="1:3" x14ac:dyDescent="0.25">
      <c r="A46" t="s">
        <v>2</v>
      </c>
      <c r="B46">
        <v>20411454</v>
      </c>
    </row>
    <row r="47" spans="1:3" x14ac:dyDescent="0.25">
      <c r="A47" t="s">
        <v>3</v>
      </c>
      <c r="B47" s="1">
        <v>46087</v>
      </c>
    </row>
    <row r="49" spans="1:3" x14ac:dyDescent="0.25">
      <c r="A49" t="s">
        <v>5</v>
      </c>
      <c r="B49" t="s">
        <v>6</v>
      </c>
      <c r="C49" s="2" t="s">
        <v>7</v>
      </c>
    </row>
    <row r="50" spans="1:3" x14ac:dyDescent="0.25">
      <c r="A50" t="s">
        <v>8</v>
      </c>
      <c r="B50">
        <v>0</v>
      </c>
      <c r="C50" s="2">
        <v>0</v>
      </c>
    </row>
    <row r="51" spans="1:3" x14ac:dyDescent="0.25">
      <c r="A51" t="s">
        <v>9</v>
      </c>
      <c r="B51">
        <v>0</v>
      </c>
      <c r="C51" s="2">
        <v>0</v>
      </c>
    </row>
    <row r="52" spans="1:3" x14ac:dyDescent="0.25">
      <c r="A52" t="s">
        <v>10</v>
      </c>
      <c r="B52">
        <v>1</v>
      </c>
      <c r="C52" s="2">
        <v>-414.14</v>
      </c>
    </row>
    <row r="53" spans="1:3" x14ac:dyDescent="0.25">
      <c r="A53" t="s">
        <v>11</v>
      </c>
      <c r="B53">
        <v>0</v>
      </c>
      <c r="C53" s="2">
        <v>0</v>
      </c>
    </row>
    <row r="54" spans="1:3" x14ac:dyDescent="0.25">
      <c r="A54" t="s">
        <v>12</v>
      </c>
      <c r="B54">
        <v>0</v>
      </c>
      <c r="C54" s="2">
        <v>0</v>
      </c>
    </row>
    <row r="55" spans="1:3" x14ac:dyDescent="0.25">
      <c r="A55" t="s">
        <v>13</v>
      </c>
      <c r="B55">
        <v>0</v>
      </c>
      <c r="C55" s="2">
        <v>0</v>
      </c>
    </row>
    <row r="56" spans="1:3" x14ac:dyDescent="0.25">
      <c r="A56" t="s">
        <v>14</v>
      </c>
      <c r="C56" s="2">
        <v>0</v>
      </c>
    </row>
    <row r="57" spans="1:3" x14ac:dyDescent="0.25">
      <c r="A57" t="s">
        <v>15</v>
      </c>
      <c r="B57">
        <v>1</v>
      </c>
      <c r="C57" s="2">
        <v>-414.14</v>
      </c>
    </row>
    <row r="60" spans="1:3" x14ac:dyDescent="0.25">
      <c r="A60" t="s">
        <v>1</v>
      </c>
      <c r="B60" t="s">
        <v>4</v>
      </c>
    </row>
    <row r="61" spans="1:3" x14ac:dyDescent="0.25">
      <c r="A61" t="s">
        <v>2</v>
      </c>
      <c r="B61">
        <v>20411454</v>
      </c>
    </row>
    <row r="62" spans="1:3" x14ac:dyDescent="0.25">
      <c r="A62" t="s">
        <v>3</v>
      </c>
      <c r="B62" s="1">
        <v>46094</v>
      </c>
    </row>
    <row r="64" spans="1:3" x14ac:dyDescent="0.25">
      <c r="A64" t="s">
        <v>5</v>
      </c>
      <c r="B64" t="s">
        <v>6</v>
      </c>
      <c r="C64" s="2" t="s">
        <v>7</v>
      </c>
    </row>
    <row r="65" spans="1:3" x14ac:dyDescent="0.25">
      <c r="A65" t="s">
        <v>8</v>
      </c>
      <c r="B65">
        <v>0</v>
      </c>
      <c r="C65" s="2">
        <v>0</v>
      </c>
    </row>
    <row r="66" spans="1:3" x14ac:dyDescent="0.25">
      <c r="A66" t="s">
        <v>9</v>
      </c>
      <c r="B66">
        <v>0</v>
      </c>
      <c r="C66" s="2">
        <v>0</v>
      </c>
    </row>
    <row r="67" spans="1:3" x14ac:dyDescent="0.25">
      <c r="A67" t="s">
        <v>10</v>
      </c>
      <c r="B67">
        <v>1</v>
      </c>
      <c r="C67" s="2">
        <v>-844</v>
      </c>
    </row>
    <row r="68" spans="1:3" x14ac:dyDescent="0.25">
      <c r="A68" t="s">
        <v>11</v>
      </c>
      <c r="B68">
        <v>0</v>
      </c>
      <c r="C68" s="2">
        <v>0</v>
      </c>
    </row>
    <row r="69" spans="1:3" x14ac:dyDescent="0.25">
      <c r="A69" t="s">
        <v>12</v>
      </c>
      <c r="B69">
        <v>0</v>
      </c>
      <c r="C69" s="2">
        <v>0</v>
      </c>
    </row>
    <row r="70" spans="1:3" x14ac:dyDescent="0.25">
      <c r="A70" t="s">
        <v>13</v>
      </c>
      <c r="B70">
        <v>0</v>
      </c>
      <c r="C70" s="2">
        <v>0</v>
      </c>
    </row>
    <row r="71" spans="1:3" x14ac:dyDescent="0.25">
      <c r="A71" t="s">
        <v>14</v>
      </c>
      <c r="C71" s="2">
        <v>-414.14</v>
      </c>
    </row>
    <row r="72" spans="1:3" x14ac:dyDescent="0.25">
      <c r="A72" t="s">
        <v>15</v>
      </c>
      <c r="B72">
        <v>1</v>
      </c>
      <c r="C72" s="2">
        <v>-1258.1400000000001</v>
      </c>
    </row>
    <row r="75" spans="1:3" x14ac:dyDescent="0.25">
      <c r="A75" t="s">
        <v>1</v>
      </c>
      <c r="B75" t="s">
        <v>4</v>
      </c>
    </row>
    <row r="76" spans="1:3" x14ac:dyDescent="0.25">
      <c r="A76" t="s">
        <v>2</v>
      </c>
      <c r="B76">
        <v>20411454</v>
      </c>
    </row>
    <row r="77" spans="1:3" x14ac:dyDescent="0.25">
      <c r="A77" t="s">
        <v>3</v>
      </c>
      <c r="B77" s="1">
        <v>46101</v>
      </c>
    </row>
    <row r="79" spans="1:3" x14ac:dyDescent="0.25">
      <c r="A79" t="s">
        <v>5</v>
      </c>
      <c r="B79" t="s">
        <v>6</v>
      </c>
      <c r="C79" s="2" t="s">
        <v>7</v>
      </c>
    </row>
    <row r="80" spans="1:3" x14ac:dyDescent="0.25">
      <c r="A80" t="s">
        <v>8</v>
      </c>
      <c r="B80">
        <v>1</v>
      </c>
      <c r="C80" s="2">
        <v>375.92</v>
      </c>
    </row>
    <row r="81" spans="1:3" x14ac:dyDescent="0.25">
      <c r="A81" t="s">
        <v>9</v>
      </c>
      <c r="B81">
        <v>0</v>
      </c>
      <c r="C81" s="2">
        <v>0</v>
      </c>
    </row>
    <row r="82" spans="1:3" x14ac:dyDescent="0.25">
      <c r="A82" t="s">
        <v>10</v>
      </c>
      <c r="B82">
        <v>0</v>
      </c>
      <c r="C82" s="2">
        <v>0</v>
      </c>
    </row>
    <row r="83" spans="1:3" x14ac:dyDescent="0.25">
      <c r="A83" t="s">
        <v>11</v>
      </c>
      <c r="B83">
        <v>0</v>
      </c>
      <c r="C83" s="2">
        <v>0</v>
      </c>
    </row>
    <row r="84" spans="1:3" x14ac:dyDescent="0.25">
      <c r="A84" t="s">
        <v>12</v>
      </c>
      <c r="B84">
        <v>0</v>
      </c>
      <c r="C84" s="2">
        <v>0</v>
      </c>
    </row>
    <row r="85" spans="1:3" x14ac:dyDescent="0.25">
      <c r="A85" t="s">
        <v>13</v>
      </c>
      <c r="B85">
        <v>0</v>
      </c>
      <c r="C85" s="2">
        <v>0</v>
      </c>
    </row>
    <row r="86" spans="1:3" x14ac:dyDescent="0.25">
      <c r="A86" t="s">
        <v>14</v>
      </c>
      <c r="C86" s="2">
        <v>-1258.1400000000001</v>
      </c>
    </row>
    <row r="87" spans="1:3" x14ac:dyDescent="0.25">
      <c r="A87" t="s">
        <v>15</v>
      </c>
      <c r="B87">
        <v>1</v>
      </c>
      <c r="C87" s="2">
        <v>-882.22</v>
      </c>
    </row>
    <row r="89" spans="1:3" x14ac:dyDescent="0.25">
      <c r="A89" t="s">
        <v>1</v>
      </c>
      <c r="B89" t="s">
        <v>4</v>
      </c>
    </row>
    <row r="90" spans="1:3" x14ac:dyDescent="0.25">
      <c r="A90" t="s">
        <v>2</v>
      </c>
      <c r="B90">
        <v>20411454</v>
      </c>
    </row>
    <row r="91" spans="1:3" x14ac:dyDescent="0.25">
      <c r="A91" t="s">
        <v>3</v>
      </c>
      <c r="B91" s="1">
        <v>46108</v>
      </c>
    </row>
    <row r="93" spans="1:3" x14ac:dyDescent="0.25">
      <c r="A93" t="s">
        <v>5</v>
      </c>
      <c r="B93" t="s">
        <v>6</v>
      </c>
      <c r="C93" s="2" t="s">
        <v>7</v>
      </c>
    </row>
    <row r="94" spans="1:3" x14ac:dyDescent="0.25">
      <c r="A94" t="s">
        <v>8</v>
      </c>
      <c r="B94">
        <v>1</v>
      </c>
      <c r="C94" s="2">
        <v>439.16</v>
      </c>
    </row>
    <row r="95" spans="1:3" x14ac:dyDescent="0.25">
      <c r="A95" t="s">
        <v>9</v>
      </c>
      <c r="B95">
        <v>9</v>
      </c>
      <c r="C95" s="2">
        <v>224.85</v>
      </c>
    </row>
    <row r="96" spans="1:3" x14ac:dyDescent="0.25">
      <c r="A96" t="s">
        <v>10</v>
      </c>
      <c r="B96">
        <v>0</v>
      </c>
      <c r="C96" s="2">
        <v>0</v>
      </c>
    </row>
    <row r="97" spans="1:3" x14ac:dyDescent="0.25">
      <c r="A97" t="s">
        <v>11</v>
      </c>
      <c r="B97">
        <v>0</v>
      </c>
      <c r="C97" s="2">
        <v>0</v>
      </c>
    </row>
    <row r="98" spans="1:3" x14ac:dyDescent="0.25">
      <c r="A98" t="s">
        <v>12</v>
      </c>
      <c r="B98">
        <v>0</v>
      </c>
      <c r="C98" s="2">
        <v>0</v>
      </c>
    </row>
    <row r="99" spans="1:3" x14ac:dyDescent="0.25">
      <c r="A99" t="s">
        <v>13</v>
      </c>
      <c r="B99">
        <v>0</v>
      </c>
      <c r="C99" s="2">
        <v>0</v>
      </c>
    </row>
    <row r="100" spans="1:3" x14ac:dyDescent="0.25">
      <c r="A100" t="s">
        <v>14</v>
      </c>
      <c r="C100" s="2">
        <v>-882.22</v>
      </c>
    </row>
    <row r="101" spans="1:3" x14ac:dyDescent="0.25">
      <c r="A101" t="s">
        <v>15</v>
      </c>
      <c r="B101">
        <v>10</v>
      </c>
      <c r="C101" s="2">
        <v>-218.21</v>
      </c>
    </row>
    <row r="104" spans="1:3" x14ac:dyDescent="0.25">
      <c r="A104" t="s">
        <v>1</v>
      </c>
      <c r="B104" t="s">
        <v>4</v>
      </c>
    </row>
    <row r="105" spans="1:3" x14ac:dyDescent="0.25">
      <c r="A105" t="s">
        <v>2</v>
      </c>
      <c r="B105">
        <v>20411454</v>
      </c>
    </row>
    <row r="106" spans="1:3" x14ac:dyDescent="0.25">
      <c r="A106" t="s">
        <v>3</v>
      </c>
      <c r="B106" s="1">
        <v>46115</v>
      </c>
    </row>
    <row r="108" spans="1:3" x14ac:dyDescent="0.25">
      <c r="A108" t="s">
        <v>5</v>
      </c>
      <c r="B108" t="s">
        <v>6</v>
      </c>
      <c r="C108" s="2" t="s">
        <v>7</v>
      </c>
    </row>
    <row r="109" spans="1:3" x14ac:dyDescent="0.25">
      <c r="A109" t="s">
        <v>8</v>
      </c>
      <c r="B109">
        <v>0</v>
      </c>
      <c r="C109" s="2">
        <v>0</v>
      </c>
    </row>
    <row r="110" spans="1:3" x14ac:dyDescent="0.25">
      <c r="A110" t="s">
        <v>9</v>
      </c>
      <c r="B110">
        <v>0</v>
      </c>
      <c r="C110" s="2">
        <v>0</v>
      </c>
    </row>
    <row r="111" spans="1:3" x14ac:dyDescent="0.25">
      <c r="A111" t="s">
        <v>10</v>
      </c>
      <c r="B111">
        <v>1</v>
      </c>
      <c r="C111" s="2">
        <v>-468.08</v>
      </c>
    </row>
    <row r="112" spans="1:3" x14ac:dyDescent="0.25">
      <c r="A112" t="s">
        <v>11</v>
      </c>
      <c r="B112">
        <v>0</v>
      </c>
      <c r="C112" s="2">
        <v>0</v>
      </c>
    </row>
    <row r="113" spans="1:3" x14ac:dyDescent="0.25">
      <c r="A113" t="s">
        <v>12</v>
      </c>
      <c r="B113">
        <v>0</v>
      </c>
      <c r="C113" s="2">
        <v>0</v>
      </c>
    </row>
    <row r="114" spans="1:3" x14ac:dyDescent="0.25">
      <c r="A114" t="s">
        <v>13</v>
      </c>
      <c r="B114">
        <v>0</v>
      </c>
      <c r="C114" s="2">
        <v>0</v>
      </c>
    </row>
    <row r="115" spans="1:3" x14ac:dyDescent="0.25">
      <c r="A115" t="s">
        <v>14</v>
      </c>
      <c r="C115" s="2">
        <v>-218.21</v>
      </c>
    </row>
    <row r="116" spans="1:3" x14ac:dyDescent="0.25">
      <c r="A116" t="s">
        <v>15</v>
      </c>
      <c r="B116">
        <v>1</v>
      </c>
      <c r="C116" s="2">
        <v>-686.29</v>
      </c>
    </row>
    <row r="118" spans="1:3" x14ac:dyDescent="0.25">
      <c r="A118" t="s">
        <v>1</v>
      </c>
      <c r="B118" t="s">
        <v>4</v>
      </c>
    </row>
    <row r="119" spans="1:3" x14ac:dyDescent="0.25">
      <c r="A119" t="s">
        <v>2</v>
      </c>
      <c r="B119">
        <v>20411454</v>
      </c>
    </row>
    <row r="120" spans="1:3" x14ac:dyDescent="0.25">
      <c r="A120" t="s">
        <v>3</v>
      </c>
      <c r="B120" s="1">
        <v>46129</v>
      </c>
    </row>
    <row r="122" spans="1:3" x14ac:dyDescent="0.25">
      <c r="A122" t="s">
        <v>5</v>
      </c>
      <c r="B122" t="s">
        <v>6</v>
      </c>
      <c r="C122" s="2" t="s">
        <v>7</v>
      </c>
    </row>
    <row r="123" spans="1:3" x14ac:dyDescent="0.25">
      <c r="A123" t="s">
        <v>8</v>
      </c>
      <c r="B123">
        <v>0</v>
      </c>
      <c r="C123" s="2">
        <v>0</v>
      </c>
    </row>
    <row r="124" spans="1:3" x14ac:dyDescent="0.25">
      <c r="A124" t="s">
        <v>9</v>
      </c>
      <c r="B124">
        <v>0</v>
      </c>
      <c r="C124" s="2">
        <v>0</v>
      </c>
    </row>
    <row r="125" spans="1:3" x14ac:dyDescent="0.25">
      <c r="A125" t="s">
        <v>10</v>
      </c>
      <c r="B125">
        <v>1</v>
      </c>
      <c r="C125" s="2">
        <v>-844</v>
      </c>
    </row>
    <row r="126" spans="1:3" x14ac:dyDescent="0.25">
      <c r="A126" t="s">
        <v>11</v>
      </c>
      <c r="B126">
        <v>0</v>
      </c>
      <c r="C126" s="2">
        <v>0</v>
      </c>
    </row>
    <row r="127" spans="1:3" x14ac:dyDescent="0.25">
      <c r="A127" t="s">
        <v>12</v>
      </c>
      <c r="B127">
        <v>0</v>
      </c>
      <c r="C127" s="2">
        <v>0</v>
      </c>
    </row>
    <row r="128" spans="1:3" x14ac:dyDescent="0.25">
      <c r="A128" t="s">
        <v>13</v>
      </c>
      <c r="B128">
        <v>0</v>
      </c>
      <c r="C128" s="2">
        <v>0</v>
      </c>
    </row>
    <row r="129" spans="1:3" x14ac:dyDescent="0.25">
      <c r="A129" t="s">
        <v>14</v>
      </c>
      <c r="C129" s="2">
        <v>-686.29</v>
      </c>
    </row>
    <row r="130" spans="1:3" x14ac:dyDescent="0.25">
      <c r="A130" t="s">
        <v>15</v>
      </c>
      <c r="B130">
        <v>1</v>
      </c>
      <c r="C130" s="2">
        <v>-1530.29</v>
      </c>
    </row>
    <row r="133" spans="1:3" x14ac:dyDescent="0.25">
      <c r="A133" t="s">
        <v>1</v>
      </c>
      <c r="B133" t="s">
        <v>4</v>
      </c>
    </row>
    <row r="134" spans="1:3" x14ac:dyDescent="0.25">
      <c r="A134" t="s">
        <v>2</v>
      </c>
      <c r="B134">
        <v>20411454</v>
      </c>
    </row>
    <row r="135" spans="1:3" x14ac:dyDescent="0.25">
      <c r="A135" t="s">
        <v>3</v>
      </c>
      <c r="B135" s="1">
        <v>46136</v>
      </c>
    </row>
    <row r="137" spans="1:3" x14ac:dyDescent="0.25">
      <c r="A137" t="s">
        <v>5</v>
      </c>
      <c r="B137" t="s">
        <v>6</v>
      </c>
      <c r="C137" s="2" t="s">
        <v>7</v>
      </c>
    </row>
    <row r="138" spans="1:3" x14ac:dyDescent="0.25">
      <c r="A138" t="s">
        <v>8</v>
      </c>
      <c r="B138">
        <v>2</v>
      </c>
      <c r="C138" s="2">
        <v>721.36</v>
      </c>
    </row>
    <row r="139" spans="1:3" x14ac:dyDescent="0.25">
      <c r="A139" t="s">
        <v>9</v>
      </c>
      <c r="B139">
        <v>9</v>
      </c>
      <c r="C139" s="2">
        <v>224.85</v>
      </c>
    </row>
    <row r="140" spans="1:3" x14ac:dyDescent="0.25">
      <c r="A140" t="s">
        <v>10</v>
      </c>
      <c r="B140">
        <v>0</v>
      </c>
      <c r="C140" s="2">
        <v>0</v>
      </c>
    </row>
    <row r="141" spans="1:3" x14ac:dyDescent="0.25">
      <c r="A141" t="s">
        <v>11</v>
      </c>
      <c r="B141">
        <v>0</v>
      </c>
      <c r="C141" s="2">
        <v>0</v>
      </c>
    </row>
    <row r="142" spans="1:3" x14ac:dyDescent="0.25">
      <c r="A142" t="s">
        <v>12</v>
      </c>
      <c r="B142">
        <v>0</v>
      </c>
      <c r="C142" s="2">
        <v>0</v>
      </c>
    </row>
    <row r="143" spans="1:3" x14ac:dyDescent="0.25">
      <c r="A143" t="s">
        <v>13</v>
      </c>
      <c r="B143">
        <v>0</v>
      </c>
      <c r="C143" s="2">
        <v>0</v>
      </c>
    </row>
    <row r="144" spans="1:3" x14ac:dyDescent="0.25">
      <c r="A144" t="s">
        <v>14</v>
      </c>
      <c r="C144" s="2">
        <v>-1530.29</v>
      </c>
    </row>
    <row r="145" spans="1:3" x14ac:dyDescent="0.25">
      <c r="A145" t="s">
        <v>15</v>
      </c>
      <c r="B145">
        <v>11</v>
      </c>
      <c r="C145" s="2">
        <v>-584.08000000000004</v>
      </c>
    </row>
    <row r="147" spans="1:3" x14ac:dyDescent="0.25">
      <c r="A147" t="s">
        <v>1</v>
      </c>
      <c r="B147" t="s">
        <v>4</v>
      </c>
    </row>
    <row r="148" spans="1:3" x14ac:dyDescent="0.25">
      <c r="A148" t="s">
        <v>2</v>
      </c>
      <c r="B148">
        <v>20411454</v>
      </c>
    </row>
    <row r="149" spans="1:3" x14ac:dyDescent="0.25">
      <c r="A149" t="s">
        <v>3</v>
      </c>
      <c r="B149" s="1">
        <v>46150</v>
      </c>
    </row>
    <row r="151" spans="1:3" x14ac:dyDescent="0.25">
      <c r="A151" t="s">
        <v>5</v>
      </c>
      <c r="B151" t="s">
        <v>6</v>
      </c>
      <c r="C151" s="2" t="s">
        <v>7</v>
      </c>
    </row>
    <row r="152" spans="1:3" x14ac:dyDescent="0.25">
      <c r="A152" t="s">
        <v>8</v>
      </c>
      <c r="B152">
        <v>1</v>
      </c>
      <c r="C152" s="2">
        <v>246.2</v>
      </c>
    </row>
    <row r="153" spans="1:3" x14ac:dyDescent="0.25">
      <c r="A153" t="s">
        <v>9</v>
      </c>
      <c r="B153">
        <v>0</v>
      </c>
      <c r="C153" s="2">
        <v>0</v>
      </c>
    </row>
    <row r="154" spans="1:3" x14ac:dyDescent="0.25">
      <c r="A154" t="s">
        <v>10</v>
      </c>
      <c r="B154">
        <v>0</v>
      </c>
      <c r="C154" s="2">
        <v>0</v>
      </c>
    </row>
    <row r="155" spans="1:3" x14ac:dyDescent="0.25">
      <c r="A155" t="s">
        <v>11</v>
      </c>
      <c r="B155">
        <v>0</v>
      </c>
      <c r="C155" s="2">
        <v>0</v>
      </c>
    </row>
    <row r="156" spans="1:3" x14ac:dyDescent="0.25">
      <c r="A156" t="s">
        <v>12</v>
      </c>
      <c r="B156">
        <v>0</v>
      </c>
      <c r="C156" s="2">
        <v>0</v>
      </c>
    </row>
    <row r="157" spans="1:3" x14ac:dyDescent="0.25">
      <c r="A157" t="s">
        <v>13</v>
      </c>
      <c r="B157">
        <v>0</v>
      </c>
      <c r="C157" s="2">
        <v>0</v>
      </c>
    </row>
    <row r="158" spans="1:3" x14ac:dyDescent="0.25">
      <c r="A158" t="s">
        <v>14</v>
      </c>
      <c r="C158" s="2">
        <v>-584.08000000000004</v>
      </c>
    </row>
    <row r="159" spans="1:3" x14ac:dyDescent="0.25">
      <c r="A159" t="s">
        <v>15</v>
      </c>
      <c r="B159">
        <v>1</v>
      </c>
      <c r="C159" s="2">
        <v>-337.88</v>
      </c>
    </row>
    <row r="162" spans="1:3" x14ac:dyDescent="0.25">
      <c r="A162" t="s">
        <v>1</v>
      </c>
      <c r="B162" t="s">
        <v>4</v>
      </c>
    </row>
    <row r="163" spans="1:3" x14ac:dyDescent="0.25">
      <c r="A163" t="s">
        <v>2</v>
      </c>
      <c r="B163">
        <v>20411454</v>
      </c>
    </row>
    <row r="164" spans="1:3" x14ac:dyDescent="0.25">
      <c r="A164" t="s">
        <v>3</v>
      </c>
      <c r="B164" s="1">
        <v>46164</v>
      </c>
    </row>
    <row r="166" spans="1:3" x14ac:dyDescent="0.25">
      <c r="A166" t="s">
        <v>5</v>
      </c>
      <c r="B166" t="s">
        <v>6</v>
      </c>
      <c r="C166" s="2" t="s">
        <v>7</v>
      </c>
    </row>
    <row r="167" spans="1:3" x14ac:dyDescent="0.25">
      <c r="A167" t="s">
        <v>8</v>
      </c>
      <c r="B167">
        <v>2</v>
      </c>
      <c r="C167" s="2">
        <v>751.87</v>
      </c>
    </row>
    <row r="168" spans="1:3" x14ac:dyDescent="0.25">
      <c r="A168" t="s">
        <v>9</v>
      </c>
      <c r="B168">
        <v>0</v>
      </c>
      <c r="C168" s="2">
        <v>0</v>
      </c>
    </row>
    <row r="169" spans="1:3" x14ac:dyDescent="0.25">
      <c r="A169" t="s">
        <v>10</v>
      </c>
      <c r="B169">
        <v>1</v>
      </c>
      <c r="C169" s="2">
        <v>95.37</v>
      </c>
    </row>
    <row r="170" spans="1:3" x14ac:dyDescent="0.25">
      <c r="A170" t="s">
        <v>11</v>
      </c>
      <c r="B170">
        <v>0</v>
      </c>
      <c r="C170" s="2">
        <v>0</v>
      </c>
    </row>
    <row r="171" spans="1:3" x14ac:dyDescent="0.25">
      <c r="A171" t="s">
        <v>12</v>
      </c>
      <c r="B171">
        <v>0</v>
      </c>
      <c r="C171" s="2">
        <v>0</v>
      </c>
    </row>
    <row r="172" spans="1:3" x14ac:dyDescent="0.25">
      <c r="A172" t="s">
        <v>13</v>
      </c>
      <c r="B172">
        <v>0</v>
      </c>
      <c r="C172" s="2">
        <v>0</v>
      </c>
    </row>
    <row r="173" spans="1:3" x14ac:dyDescent="0.25">
      <c r="A173" t="s">
        <v>14</v>
      </c>
      <c r="C173" s="2">
        <v>-337.88</v>
      </c>
    </row>
    <row r="174" spans="1:3" x14ac:dyDescent="0.25">
      <c r="A174" t="s">
        <v>15</v>
      </c>
      <c r="B174">
        <v>3</v>
      </c>
      <c r="C174" s="2">
        <v>509.36</v>
      </c>
    </row>
    <row r="177" spans="1:3" x14ac:dyDescent="0.25">
      <c r="A177" t="s">
        <v>1</v>
      </c>
      <c r="B177" t="s">
        <v>4</v>
      </c>
    </row>
    <row r="178" spans="1:3" x14ac:dyDescent="0.25">
      <c r="A178" t="s">
        <v>2</v>
      </c>
      <c r="B178">
        <v>20411454</v>
      </c>
    </row>
    <row r="179" spans="1:3" x14ac:dyDescent="0.25">
      <c r="A179" t="s">
        <v>3</v>
      </c>
      <c r="B179" s="1">
        <v>46171</v>
      </c>
    </row>
    <row r="181" spans="1:3" x14ac:dyDescent="0.25">
      <c r="A181" t="s">
        <v>5</v>
      </c>
      <c r="B181" t="s">
        <v>6</v>
      </c>
      <c r="C181" s="2" t="s">
        <v>7</v>
      </c>
    </row>
    <row r="182" spans="1:3" x14ac:dyDescent="0.25">
      <c r="A182" t="s">
        <v>8</v>
      </c>
      <c r="B182">
        <v>1</v>
      </c>
      <c r="C182" s="2">
        <v>497</v>
      </c>
    </row>
    <row r="183" spans="1:3" x14ac:dyDescent="0.25">
      <c r="A183" t="s">
        <v>9</v>
      </c>
      <c r="B183">
        <v>9</v>
      </c>
      <c r="C183" s="2">
        <v>224.85</v>
      </c>
    </row>
    <row r="184" spans="1:3" x14ac:dyDescent="0.25">
      <c r="A184" t="s">
        <v>10</v>
      </c>
      <c r="B184">
        <v>3</v>
      </c>
      <c r="C184" s="2">
        <v>-497</v>
      </c>
    </row>
    <row r="185" spans="1:3" x14ac:dyDescent="0.25">
      <c r="A185" t="s">
        <v>11</v>
      </c>
      <c r="B185">
        <v>0</v>
      </c>
      <c r="C185" s="2">
        <v>0</v>
      </c>
    </row>
    <row r="186" spans="1:3" x14ac:dyDescent="0.25">
      <c r="A186" t="s">
        <v>12</v>
      </c>
      <c r="B186">
        <v>0</v>
      </c>
      <c r="C186" s="2">
        <v>0</v>
      </c>
    </row>
    <row r="187" spans="1:3" x14ac:dyDescent="0.25">
      <c r="A187" t="s">
        <v>13</v>
      </c>
      <c r="B187">
        <v>0</v>
      </c>
      <c r="C187" s="2">
        <v>0</v>
      </c>
    </row>
    <row r="188" spans="1:3" x14ac:dyDescent="0.25">
      <c r="A188" t="s">
        <v>14</v>
      </c>
      <c r="C188" s="2">
        <v>0</v>
      </c>
    </row>
    <row r="189" spans="1:3" x14ac:dyDescent="0.25">
      <c r="A189" t="s">
        <v>15</v>
      </c>
      <c r="B189">
        <v>13</v>
      </c>
      <c r="C189" s="2">
        <v>224.85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9"/>
  <sheetViews>
    <sheetView topLeftCell="A49" workbookViewId="0">
      <selection activeCell="I67" sqref="I67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20.42578125" bestFit="1" customWidth="1"/>
    <col min="7" max="7" width="11.7109375" bestFit="1" customWidth="1"/>
    <col min="8" max="8" width="16.7109375" bestFit="1" customWidth="1"/>
    <col min="9" max="9" width="34.140625" bestFit="1" customWidth="1"/>
    <col min="10" max="10" width="18.285156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39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3.425781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41</v>
      </c>
      <c r="G2" s="3">
        <v>46054</v>
      </c>
      <c r="H2" s="2">
        <v>318.08999999999997</v>
      </c>
      <c r="I2" t="s">
        <v>42</v>
      </c>
      <c r="J2" t="s">
        <v>43</v>
      </c>
      <c r="K2" s="3">
        <v>46034</v>
      </c>
      <c r="L2" s="3">
        <v>46054</v>
      </c>
      <c r="M2">
        <v>1</v>
      </c>
      <c r="N2" t="s">
        <v>44</v>
      </c>
      <c r="O2" t="s">
        <v>45</v>
      </c>
      <c r="P2" t="s">
        <v>46</v>
      </c>
      <c r="Q2" t="s">
        <v>47</v>
      </c>
      <c r="R2" s="3">
        <v>46054</v>
      </c>
      <c r="S2" t="s">
        <v>0</v>
      </c>
      <c r="T2" t="s">
        <v>48</v>
      </c>
      <c r="U2" t="s">
        <v>49</v>
      </c>
      <c r="V2" t="s">
        <v>0</v>
      </c>
      <c r="W2" t="s">
        <v>50</v>
      </c>
    </row>
    <row r="3" spans="1:23" x14ac:dyDescent="0.25">
      <c r="A3" t="s">
        <v>38</v>
      </c>
      <c r="B3" t="s">
        <v>39</v>
      </c>
      <c r="C3" t="s">
        <v>51</v>
      </c>
      <c r="D3" t="s">
        <v>52</v>
      </c>
      <c r="E3" t="s">
        <v>51</v>
      </c>
      <c r="F3" t="s">
        <v>52</v>
      </c>
      <c r="G3" s="3">
        <v>46054</v>
      </c>
      <c r="H3" s="2">
        <v>318.08999999999997</v>
      </c>
      <c r="I3" t="s">
        <v>53</v>
      </c>
      <c r="J3" t="s">
        <v>54</v>
      </c>
      <c r="K3" s="3">
        <v>46028</v>
      </c>
      <c r="L3" s="3">
        <v>46054</v>
      </c>
      <c r="M3">
        <v>1</v>
      </c>
      <c r="N3" t="s">
        <v>46</v>
      </c>
      <c r="O3" t="s">
        <v>45</v>
      </c>
      <c r="P3" t="s">
        <v>46</v>
      </c>
      <c r="Q3" t="s">
        <v>47</v>
      </c>
      <c r="R3" s="3">
        <v>46054</v>
      </c>
      <c r="S3" t="s">
        <v>0</v>
      </c>
      <c r="T3" t="s">
        <v>48</v>
      </c>
      <c r="U3" t="s">
        <v>49</v>
      </c>
      <c r="V3" t="s">
        <v>0</v>
      </c>
      <c r="W3" t="s">
        <v>55</v>
      </c>
    </row>
    <row r="4" spans="1:23" x14ac:dyDescent="0.25">
      <c r="A4" t="s">
        <v>56</v>
      </c>
      <c r="B4" t="s">
        <v>39</v>
      </c>
      <c r="C4" t="s">
        <v>57</v>
      </c>
      <c r="D4" t="s">
        <v>58</v>
      </c>
      <c r="E4" t="s">
        <v>57</v>
      </c>
      <c r="F4" t="s">
        <v>58</v>
      </c>
      <c r="G4" s="3">
        <v>46023</v>
      </c>
      <c r="H4" s="2">
        <v>-347</v>
      </c>
      <c r="I4" t="s">
        <v>59</v>
      </c>
      <c r="J4" t="s">
        <v>60</v>
      </c>
      <c r="K4" s="3">
        <v>45997</v>
      </c>
      <c r="L4" s="3">
        <v>46023</v>
      </c>
      <c r="M4">
        <v>6</v>
      </c>
      <c r="N4" t="s">
        <v>46</v>
      </c>
      <c r="O4" t="s">
        <v>61</v>
      </c>
      <c r="P4" t="s">
        <v>46</v>
      </c>
      <c r="Q4" t="s">
        <v>62</v>
      </c>
      <c r="R4" s="3">
        <v>46023</v>
      </c>
      <c r="S4" s="3">
        <v>46053</v>
      </c>
      <c r="T4" t="s">
        <v>63</v>
      </c>
      <c r="U4" t="s">
        <v>49</v>
      </c>
      <c r="V4" t="s">
        <v>0</v>
      </c>
      <c r="W4" t="s">
        <v>64</v>
      </c>
    </row>
    <row r="5" spans="1:23" x14ac:dyDescent="0.25">
      <c r="A5" t="s">
        <v>56</v>
      </c>
      <c r="B5" t="s">
        <v>39</v>
      </c>
      <c r="C5" t="s">
        <v>65</v>
      </c>
      <c r="D5" t="s">
        <v>66</v>
      </c>
      <c r="E5" t="s">
        <v>65</v>
      </c>
      <c r="F5" t="s">
        <v>66</v>
      </c>
      <c r="G5" s="3">
        <v>46023</v>
      </c>
      <c r="H5" s="2">
        <v>-347</v>
      </c>
      <c r="I5" t="s">
        <v>67</v>
      </c>
      <c r="J5" t="s">
        <v>68</v>
      </c>
      <c r="K5" s="3">
        <v>45997</v>
      </c>
      <c r="L5" s="3">
        <v>46023</v>
      </c>
      <c r="M5">
        <v>7</v>
      </c>
      <c r="N5" t="s">
        <v>46</v>
      </c>
      <c r="O5" t="s">
        <v>45</v>
      </c>
      <c r="P5" t="s">
        <v>46</v>
      </c>
      <c r="Q5" t="s">
        <v>69</v>
      </c>
      <c r="R5" s="3">
        <v>46023</v>
      </c>
      <c r="S5" s="3">
        <v>46053</v>
      </c>
      <c r="T5" t="s">
        <v>70</v>
      </c>
      <c r="U5" t="s">
        <v>71</v>
      </c>
      <c r="V5" t="s">
        <v>0</v>
      </c>
      <c r="W5" t="s">
        <v>72</v>
      </c>
    </row>
    <row r="6" spans="1:23" x14ac:dyDescent="0.25">
      <c r="A6" t="s">
        <v>56</v>
      </c>
      <c r="B6" t="s">
        <v>73</v>
      </c>
      <c r="C6" t="s">
        <v>57</v>
      </c>
      <c r="D6" t="s">
        <v>58</v>
      </c>
      <c r="E6" t="s">
        <v>74</v>
      </c>
      <c r="F6" t="s">
        <v>4</v>
      </c>
      <c r="G6" s="3">
        <v>46023</v>
      </c>
      <c r="H6" s="2">
        <v>-150</v>
      </c>
      <c r="I6" t="s">
        <v>59</v>
      </c>
      <c r="J6" t="s">
        <v>60</v>
      </c>
      <c r="K6" s="3">
        <v>45997</v>
      </c>
      <c r="L6" s="3">
        <v>46023</v>
      </c>
      <c r="M6">
        <v>6</v>
      </c>
      <c r="N6" t="s">
        <v>46</v>
      </c>
      <c r="O6" t="s">
        <v>61</v>
      </c>
      <c r="P6" t="s">
        <v>46</v>
      </c>
      <c r="Q6" t="s">
        <v>62</v>
      </c>
      <c r="R6" s="3">
        <v>46023</v>
      </c>
      <c r="S6" s="3">
        <v>46053</v>
      </c>
      <c r="T6" t="s">
        <v>63</v>
      </c>
      <c r="U6" t="s">
        <v>49</v>
      </c>
      <c r="V6" t="s">
        <v>0</v>
      </c>
      <c r="W6" t="s">
        <v>64</v>
      </c>
    </row>
    <row r="7" spans="1:23" x14ac:dyDescent="0.25">
      <c r="A7" t="s">
        <v>56</v>
      </c>
      <c r="B7" t="s">
        <v>73</v>
      </c>
      <c r="C7" t="s">
        <v>65</v>
      </c>
      <c r="D7" t="s">
        <v>66</v>
      </c>
      <c r="E7" t="s">
        <v>74</v>
      </c>
      <c r="F7" t="s">
        <v>4</v>
      </c>
      <c r="G7" s="3">
        <v>46023</v>
      </c>
      <c r="H7" s="2">
        <v>-150</v>
      </c>
      <c r="I7" t="s">
        <v>67</v>
      </c>
      <c r="J7" t="s">
        <v>68</v>
      </c>
      <c r="K7" s="3">
        <v>45997</v>
      </c>
      <c r="L7" s="3">
        <v>46023</v>
      </c>
      <c r="M7">
        <v>7</v>
      </c>
      <c r="N7" t="s">
        <v>46</v>
      </c>
      <c r="O7" t="s">
        <v>45</v>
      </c>
      <c r="P7" t="s">
        <v>46</v>
      </c>
      <c r="Q7" t="s">
        <v>69</v>
      </c>
      <c r="R7" s="3">
        <v>46023</v>
      </c>
      <c r="S7" s="3">
        <v>46053</v>
      </c>
      <c r="T7" t="s">
        <v>70</v>
      </c>
      <c r="U7" t="s">
        <v>71</v>
      </c>
      <c r="V7" t="s">
        <v>0</v>
      </c>
      <c r="W7" t="s">
        <v>72</v>
      </c>
    </row>
    <row r="9" spans="1:23" x14ac:dyDescent="0.2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s="2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 t="s">
        <v>33</v>
      </c>
      <c r="S9" t="s">
        <v>34</v>
      </c>
      <c r="T9" t="s">
        <v>35</v>
      </c>
      <c r="U9" t="s">
        <v>36</v>
      </c>
      <c r="V9" t="s">
        <v>5</v>
      </c>
      <c r="W9" t="s">
        <v>37</v>
      </c>
    </row>
    <row r="10" spans="1:23" x14ac:dyDescent="0.25">
      <c r="A10" t="s">
        <v>38</v>
      </c>
      <c r="B10" t="s">
        <v>39</v>
      </c>
      <c r="C10" t="s">
        <v>75</v>
      </c>
      <c r="D10" t="s">
        <v>76</v>
      </c>
      <c r="E10" t="s">
        <v>75</v>
      </c>
      <c r="F10" t="s">
        <v>76</v>
      </c>
      <c r="G10" s="3">
        <v>46023</v>
      </c>
      <c r="H10" s="2">
        <v>-694</v>
      </c>
      <c r="I10" t="s">
        <v>77</v>
      </c>
      <c r="J10" t="s">
        <v>78</v>
      </c>
      <c r="K10" s="3">
        <v>45996</v>
      </c>
      <c r="L10" s="3">
        <v>46023</v>
      </c>
      <c r="M10">
        <v>1</v>
      </c>
      <c r="N10" t="s">
        <v>44</v>
      </c>
      <c r="O10" t="s">
        <v>79</v>
      </c>
      <c r="P10" t="s">
        <v>46</v>
      </c>
      <c r="Q10" t="s">
        <v>80</v>
      </c>
      <c r="R10" s="3">
        <v>46023</v>
      </c>
      <c r="S10" s="3">
        <v>46081</v>
      </c>
      <c r="T10" t="s">
        <v>81</v>
      </c>
      <c r="U10" t="s">
        <v>82</v>
      </c>
      <c r="V10" t="s">
        <v>0</v>
      </c>
      <c r="W10" t="s">
        <v>83</v>
      </c>
    </row>
    <row r="11" spans="1:23" x14ac:dyDescent="0.25">
      <c r="A11" t="s">
        <v>38</v>
      </c>
      <c r="B11" t="s">
        <v>73</v>
      </c>
      <c r="C11" t="s">
        <v>75</v>
      </c>
      <c r="D11" t="s">
        <v>76</v>
      </c>
      <c r="E11" t="s">
        <v>74</v>
      </c>
      <c r="F11" t="s">
        <v>4</v>
      </c>
      <c r="G11" s="3">
        <v>46023</v>
      </c>
      <c r="H11" s="2">
        <v>-150</v>
      </c>
      <c r="I11" t="s">
        <v>77</v>
      </c>
      <c r="J11" t="s">
        <v>78</v>
      </c>
      <c r="K11" s="3">
        <v>45996</v>
      </c>
      <c r="L11" s="3">
        <v>46023</v>
      </c>
      <c r="M11">
        <v>1</v>
      </c>
      <c r="N11" t="s">
        <v>44</v>
      </c>
      <c r="O11" t="s">
        <v>79</v>
      </c>
      <c r="P11" t="s">
        <v>46</v>
      </c>
      <c r="Q11" t="s">
        <v>80</v>
      </c>
      <c r="R11" s="3">
        <v>46023</v>
      </c>
      <c r="S11" s="3">
        <v>46081</v>
      </c>
      <c r="T11" t="s">
        <v>81</v>
      </c>
      <c r="U11" t="s">
        <v>82</v>
      </c>
      <c r="V11" t="s">
        <v>0</v>
      </c>
      <c r="W11" t="s">
        <v>83</v>
      </c>
    </row>
    <row r="12" spans="1:23" x14ac:dyDescent="0.25">
      <c r="A12" t="s">
        <v>56</v>
      </c>
      <c r="B12" t="s">
        <v>39</v>
      </c>
      <c r="C12" t="s">
        <v>84</v>
      </c>
      <c r="D12" t="s">
        <v>85</v>
      </c>
      <c r="E12" t="s">
        <v>84</v>
      </c>
      <c r="F12" t="s">
        <v>85</v>
      </c>
      <c r="G12" s="3">
        <v>46054</v>
      </c>
      <c r="H12" s="2">
        <v>318.08</v>
      </c>
      <c r="I12" t="s">
        <v>86</v>
      </c>
      <c r="J12" t="s">
        <v>87</v>
      </c>
      <c r="K12" s="3">
        <v>46050</v>
      </c>
      <c r="L12" s="3">
        <v>46054</v>
      </c>
      <c r="M12">
        <v>2</v>
      </c>
      <c r="N12" t="s">
        <v>46</v>
      </c>
      <c r="O12" t="s">
        <v>88</v>
      </c>
      <c r="P12" t="s">
        <v>46</v>
      </c>
      <c r="Q12" t="s">
        <v>89</v>
      </c>
      <c r="R12" s="3">
        <v>46054</v>
      </c>
      <c r="S12" t="s">
        <v>0</v>
      </c>
      <c r="T12" t="s">
        <v>90</v>
      </c>
      <c r="U12" t="s">
        <v>91</v>
      </c>
      <c r="V12" t="s">
        <v>0</v>
      </c>
      <c r="W12" t="s">
        <v>92</v>
      </c>
    </row>
    <row r="13" spans="1:23" x14ac:dyDescent="0.25">
      <c r="A13" t="s">
        <v>56</v>
      </c>
      <c r="B13" t="s">
        <v>39</v>
      </c>
      <c r="C13" t="s">
        <v>93</v>
      </c>
      <c r="D13" t="s">
        <v>94</v>
      </c>
      <c r="E13" t="s">
        <v>93</v>
      </c>
      <c r="F13" t="s">
        <v>94</v>
      </c>
      <c r="G13" s="3">
        <v>46054</v>
      </c>
      <c r="H13" s="2">
        <v>318.08</v>
      </c>
      <c r="I13" t="s">
        <v>95</v>
      </c>
      <c r="J13" t="s">
        <v>96</v>
      </c>
      <c r="K13" s="3">
        <v>46053</v>
      </c>
      <c r="L13" s="3">
        <v>46054</v>
      </c>
      <c r="M13">
        <v>2</v>
      </c>
      <c r="N13" t="s">
        <v>97</v>
      </c>
      <c r="O13" t="s">
        <v>45</v>
      </c>
      <c r="P13" t="s">
        <v>46</v>
      </c>
      <c r="Q13" t="s">
        <v>98</v>
      </c>
      <c r="R13" s="3">
        <v>46054</v>
      </c>
      <c r="S13" t="s">
        <v>0</v>
      </c>
      <c r="T13" t="s">
        <v>99</v>
      </c>
      <c r="U13" t="s">
        <v>100</v>
      </c>
      <c r="V13" t="s">
        <v>0</v>
      </c>
      <c r="W13" t="s">
        <v>101</v>
      </c>
    </row>
    <row r="14" spans="1:23" x14ac:dyDescent="0.25">
      <c r="A14" t="s">
        <v>56</v>
      </c>
      <c r="B14" t="s">
        <v>73</v>
      </c>
      <c r="C14" t="s">
        <v>84</v>
      </c>
      <c r="D14" t="s">
        <v>85</v>
      </c>
      <c r="E14" t="s">
        <v>74</v>
      </c>
      <c r="F14" t="s">
        <v>4</v>
      </c>
      <c r="G14" s="3">
        <v>46054</v>
      </c>
      <c r="H14" s="2">
        <v>150</v>
      </c>
      <c r="I14" t="s">
        <v>86</v>
      </c>
      <c r="J14" t="s">
        <v>87</v>
      </c>
      <c r="K14" s="3">
        <v>46050</v>
      </c>
      <c r="L14" s="3">
        <v>46054</v>
      </c>
      <c r="M14">
        <v>2</v>
      </c>
      <c r="N14" t="s">
        <v>46</v>
      </c>
      <c r="O14" t="s">
        <v>88</v>
      </c>
      <c r="P14" t="s">
        <v>46</v>
      </c>
      <c r="Q14" t="s">
        <v>89</v>
      </c>
      <c r="R14" s="3">
        <v>46054</v>
      </c>
      <c r="S14" t="s">
        <v>0</v>
      </c>
      <c r="T14" t="s">
        <v>90</v>
      </c>
      <c r="U14" t="s">
        <v>91</v>
      </c>
      <c r="V14" t="s">
        <v>0</v>
      </c>
      <c r="W14" t="s">
        <v>92</v>
      </c>
    </row>
    <row r="15" spans="1:23" x14ac:dyDescent="0.25">
      <c r="A15" t="s">
        <v>56</v>
      </c>
      <c r="B15" t="s">
        <v>73</v>
      </c>
      <c r="C15" t="s">
        <v>93</v>
      </c>
      <c r="D15" t="s">
        <v>94</v>
      </c>
      <c r="E15" t="s">
        <v>74</v>
      </c>
      <c r="F15" t="s">
        <v>4</v>
      </c>
      <c r="G15" s="3">
        <v>46054</v>
      </c>
      <c r="H15" s="2">
        <v>150</v>
      </c>
      <c r="I15" t="s">
        <v>95</v>
      </c>
      <c r="J15" t="s">
        <v>96</v>
      </c>
      <c r="K15" s="3">
        <v>46053</v>
      </c>
      <c r="L15" s="3">
        <v>46054</v>
      </c>
      <c r="M15">
        <v>2</v>
      </c>
      <c r="N15" t="s">
        <v>97</v>
      </c>
      <c r="O15" t="s">
        <v>45</v>
      </c>
      <c r="P15" t="s">
        <v>46</v>
      </c>
      <c r="Q15" t="s">
        <v>98</v>
      </c>
      <c r="R15" s="3">
        <v>46054</v>
      </c>
      <c r="S15" t="s">
        <v>0</v>
      </c>
      <c r="T15" t="s">
        <v>99</v>
      </c>
      <c r="U15" t="s">
        <v>100</v>
      </c>
      <c r="V15" t="s">
        <v>0</v>
      </c>
      <c r="W15" t="s">
        <v>101</v>
      </c>
    </row>
    <row r="18" spans="1:23" x14ac:dyDescent="0.25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s="2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28</v>
      </c>
      <c r="N18" t="s">
        <v>29</v>
      </c>
      <c r="O18" t="s">
        <v>30</v>
      </c>
      <c r="P18" t="s">
        <v>31</v>
      </c>
      <c r="Q18" t="s">
        <v>32</v>
      </c>
      <c r="R18" t="s">
        <v>33</v>
      </c>
      <c r="S18" t="s">
        <v>34</v>
      </c>
      <c r="T18" t="s">
        <v>35</v>
      </c>
      <c r="U18" t="s">
        <v>36</v>
      </c>
      <c r="V18" t="s">
        <v>5</v>
      </c>
      <c r="W18" t="s">
        <v>37</v>
      </c>
    </row>
    <row r="19" spans="1:23" x14ac:dyDescent="0.25">
      <c r="A19" t="s">
        <v>110</v>
      </c>
      <c r="B19" t="s">
        <v>39</v>
      </c>
      <c r="C19" t="s">
        <v>111</v>
      </c>
      <c r="D19" t="s">
        <v>112</v>
      </c>
      <c r="E19" t="s">
        <v>111</v>
      </c>
      <c r="F19" t="s">
        <v>112</v>
      </c>
      <c r="G19" s="3">
        <v>46054</v>
      </c>
      <c r="H19" s="2">
        <v>32.58</v>
      </c>
      <c r="I19" t="s">
        <v>113</v>
      </c>
      <c r="J19" t="s">
        <v>114</v>
      </c>
      <c r="K19" s="3">
        <v>45588</v>
      </c>
      <c r="L19" s="3">
        <v>46023</v>
      </c>
      <c r="M19">
        <v>10</v>
      </c>
      <c r="N19" t="s">
        <v>46</v>
      </c>
      <c r="O19" t="s">
        <v>115</v>
      </c>
      <c r="P19" t="s">
        <v>46</v>
      </c>
      <c r="Q19" t="s">
        <v>116</v>
      </c>
      <c r="R19" s="3">
        <v>45658</v>
      </c>
      <c r="S19" t="s">
        <v>0</v>
      </c>
      <c r="T19" t="s">
        <v>117</v>
      </c>
      <c r="U19" t="s">
        <v>118</v>
      </c>
      <c r="V19" t="s">
        <v>0</v>
      </c>
      <c r="W19" t="s">
        <v>119</v>
      </c>
    </row>
    <row r="20" spans="1:23" x14ac:dyDescent="0.25">
      <c r="A20" t="s">
        <v>110</v>
      </c>
      <c r="B20" t="s">
        <v>39</v>
      </c>
      <c r="C20" t="s">
        <v>120</v>
      </c>
      <c r="D20" t="s">
        <v>121</v>
      </c>
      <c r="E20" t="s">
        <v>120</v>
      </c>
      <c r="F20" t="s">
        <v>121</v>
      </c>
      <c r="G20" s="3">
        <v>46054</v>
      </c>
      <c r="H20" s="2">
        <v>28.92</v>
      </c>
      <c r="I20" t="s">
        <v>122</v>
      </c>
      <c r="J20" t="s">
        <v>123</v>
      </c>
      <c r="K20" s="3">
        <v>45216</v>
      </c>
      <c r="L20" s="3">
        <v>45292</v>
      </c>
      <c r="M20">
        <v>6</v>
      </c>
      <c r="N20" t="s">
        <v>46</v>
      </c>
      <c r="O20" t="s">
        <v>79</v>
      </c>
      <c r="P20" t="s">
        <v>46</v>
      </c>
      <c r="Q20" t="s">
        <v>116</v>
      </c>
      <c r="R20" s="3">
        <v>44197</v>
      </c>
      <c r="S20" t="s">
        <v>0</v>
      </c>
      <c r="T20" t="s">
        <v>81</v>
      </c>
      <c r="U20" t="s">
        <v>124</v>
      </c>
      <c r="V20" t="s">
        <v>0</v>
      </c>
      <c r="W20" t="s">
        <v>125</v>
      </c>
    </row>
    <row r="21" spans="1:23" x14ac:dyDescent="0.25">
      <c r="A21" t="s">
        <v>110</v>
      </c>
      <c r="B21" t="s">
        <v>39</v>
      </c>
      <c r="C21" t="s">
        <v>126</v>
      </c>
      <c r="D21" t="s">
        <v>127</v>
      </c>
      <c r="E21" t="s">
        <v>126</v>
      </c>
      <c r="F21" t="s">
        <v>127</v>
      </c>
      <c r="G21" s="3">
        <v>46054</v>
      </c>
      <c r="H21" s="2">
        <v>0</v>
      </c>
      <c r="I21" t="s">
        <v>128</v>
      </c>
      <c r="J21" t="s">
        <v>129</v>
      </c>
      <c r="K21" s="3">
        <v>46008</v>
      </c>
      <c r="L21" s="3">
        <v>46023</v>
      </c>
      <c r="M21">
        <v>6</v>
      </c>
      <c r="N21" t="s">
        <v>46</v>
      </c>
      <c r="O21" t="s">
        <v>130</v>
      </c>
      <c r="P21" t="s">
        <v>46</v>
      </c>
      <c r="Q21" t="s">
        <v>131</v>
      </c>
      <c r="R21" s="3">
        <v>44256</v>
      </c>
      <c r="S21" t="s">
        <v>0</v>
      </c>
      <c r="T21" t="s">
        <v>132</v>
      </c>
      <c r="U21" t="s">
        <v>133</v>
      </c>
      <c r="V21" t="s">
        <v>0</v>
      </c>
      <c r="W21" t="s">
        <v>134</v>
      </c>
    </row>
    <row r="22" spans="1:23" x14ac:dyDescent="0.25">
      <c r="A22" t="s">
        <v>110</v>
      </c>
      <c r="B22" t="s">
        <v>39</v>
      </c>
      <c r="C22" t="s">
        <v>126</v>
      </c>
      <c r="D22" t="s">
        <v>127</v>
      </c>
      <c r="E22" t="s">
        <v>126</v>
      </c>
      <c r="F22" t="s">
        <v>127</v>
      </c>
      <c r="G22" s="3">
        <v>46054</v>
      </c>
      <c r="H22" s="2">
        <v>0</v>
      </c>
      <c r="I22" t="s">
        <v>135</v>
      </c>
      <c r="J22" t="s">
        <v>136</v>
      </c>
      <c r="K22" s="3">
        <v>45615</v>
      </c>
      <c r="L22" s="3">
        <v>45658</v>
      </c>
      <c r="M22">
        <v>6</v>
      </c>
      <c r="N22" t="s">
        <v>46</v>
      </c>
      <c r="O22" t="s">
        <v>137</v>
      </c>
      <c r="P22" t="s">
        <v>46</v>
      </c>
      <c r="Q22" t="s">
        <v>62</v>
      </c>
      <c r="R22" s="3">
        <v>44287</v>
      </c>
      <c r="S22" t="s">
        <v>0</v>
      </c>
      <c r="T22" t="s">
        <v>138</v>
      </c>
      <c r="U22" t="s">
        <v>139</v>
      </c>
      <c r="V22" t="s">
        <v>0</v>
      </c>
      <c r="W22" t="s">
        <v>140</v>
      </c>
    </row>
    <row r="23" spans="1:23" x14ac:dyDescent="0.25">
      <c r="A23" t="s">
        <v>110</v>
      </c>
      <c r="B23" t="s">
        <v>39</v>
      </c>
      <c r="C23" t="s">
        <v>141</v>
      </c>
      <c r="D23" t="s">
        <v>142</v>
      </c>
      <c r="E23" t="s">
        <v>141</v>
      </c>
      <c r="F23" t="s">
        <v>142</v>
      </c>
      <c r="G23" s="3">
        <v>46054</v>
      </c>
      <c r="H23" s="2">
        <v>28.92</v>
      </c>
      <c r="I23" t="s">
        <v>143</v>
      </c>
      <c r="J23" t="s">
        <v>144</v>
      </c>
      <c r="K23" s="3">
        <v>45633</v>
      </c>
      <c r="L23" s="3">
        <v>45658</v>
      </c>
      <c r="M23">
        <v>16</v>
      </c>
      <c r="N23" t="s">
        <v>46</v>
      </c>
      <c r="O23" t="s">
        <v>79</v>
      </c>
      <c r="P23" t="s">
        <v>46</v>
      </c>
      <c r="Q23" t="s">
        <v>116</v>
      </c>
      <c r="R23" s="3">
        <v>41760</v>
      </c>
      <c r="S23" t="s">
        <v>0</v>
      </c>
      <c r="T23" t="s">
        <v>81</v>
      </c>
      <c r="U23" t="s">
        <v>145</v>
      </c>
      <c r="V23" t="s">
        <v>0</v>
      </c>
      <c r="W23" t="s">
        <v>146</v>
      </c>
    </row>
    <row r="24" spans="1:23" x14ac:dyDescent="0.25">
      <c r="A24" t="s">
        <v>110</v>
      </c>
      <c r="B24" t="s">
        <v>39</v>
      </c>
      <c r="C24" t="s">
        <v>141</v>
      </c>
      <c r="D24" t="s">
        <v>142</v>
      </c>
      <c r="E24" t="s">
        <v>141</v>
      </c>
      <c r="F24" t="s">
        <v>142</v>
      </c>
      <c r="G24" s="3">
        <v>46054</v>
      </c>
      <c r="H24" s="2">
        <v>28.92</v>
      </c>
      <c r="I24" t="s">
        <v>147</v>
      </c>
      <c r="J24" t="s">
        <v>148</v>
      </c>
      <c r="K24" s="3">
        <v>45259</v>
      </c>
      <c r="L24" s="3">
        <v>45292</v>
      </c>
      <c r="M24">
        <v>4</v>
      </c>
      <c r="N24" t="s">
        <v>46</v>
      </c>
      <c r="O24" t="s">
        <v>149</v>
      </c>
      <c r="P24" t="s">
        <v>46</v>
      </c>
      <c r="Q24" t="s">
        <v>150</v>
      </c>
      <c r="R24" s="3">
        <v>45292</v>
      </c>
      <c r="S24" t="s">
        <v>0</v>
      </c>
      <c r="T24" t="s">
        <v>151</v>
      </c>
      <c r="U24" t="s">
        <v>49</v>
      </c>
      <c r="V24" t="s">
        <v>0</v>
      </c>
      <c r="W24" t="s">
        <v>152</v>
      </c>
    </row>
    <row r="25" spans="1:23" x14ac:dyDescent="0.25">
      <c r="A25" t="s">
        <v>110</v>
      </c>
      <c r="B25" t="s">
        <v>39</v>
      </c>
      <c r="C25" t="s">
        <v>153</v>
      </c>
      <c r="D25" t="s">
        <v>154</v>
      </c>
      <c r="E25" t="s">
        <v>153</v>
      </c>
      <c r="F25" t="s">
        <v>154</v>
      </c>
      <c r="G25" s="3">
        <v>46054</v>
      </c>
      <c r="H25" s="2">
        <v>28.92</v>
      </c>
      <c r="I25" t="s">
        <v>155</v>
      </c>
      <c r="J25" t="s">
        <v>156</v>
      </c>
      <c r="K25" s="3">
        <v>45992</v>
      </c>
      <c r="L25" s="3">
        <v>45778</v>
      </c>
      <c r="M25">
        <v>2</v>
      </c>
      <c r="N25" t="s">
        <v>97</v>
      </c>
      <c r="O25" t="s">
        <v>45</v>
      </c>
      <c r="P25" t="s">
        <v>46</v>
      </c>
      <c r="Q25" t="s">
        <v>98</v>
      </c>
      <c r="R25" s="3">
        <v>45778</v>
      </c>
      <c r="S25" t="s">
        <v>0</v>
      </c>
      <c r="T25" t="s">
        <v>99</v>
      </c>
      <c r="U25" t="s">
        <v>100</v>
      </c>
      <c r="V25" t="s">
        <v>0</v>
      </c>
      <c r="W25" t="s">
        <v>157</v>
      </c>
    </row>
    <row r="26" spans="1:23" x14ac:dyDescent="0.25">
      <c r="A26" t="s">
        <v>110</v>
      </c>
      <c r="B26" t="s">
        <v>39</v>
      </c>
      <c r="C26" t="s">
        <v>158</v>
      </c>
      <c r="D26" t="s">
        <v>159</v>
      </c>
      <c r="E26" t="s">
        <v>158</v>
      </c>
      <c r="F26" t="s">
        <v>159</v>
      </c>
      <c r="G26" s="3">
        <v>46054</v>
      </c>
      <c r="H26" s="2">
        <v>28.92</v>
      </c>
      <c r="I26" t="s">
        <v>160</v>
      </c>
      <c r="J26" t="s">
        <v>161</v>
      </c>
      <c r="K26" s="3">
        <v>45992</v>
      </c>
      <c r="L26" s="3">
        <v>46023</v>
      </c>
      <c r="M26">
        <v>15</v>
      </c>
      <c r="N26" t="s">
        <v>46</v>
      </c>
      <c r="O26" t="s">
        <v>45</v>
      </c>
      <c r="P26" t="s">
        <v>46</v>
      </c>
      <c r="Q26" t="s">
        <v>69</v>
      </c>
      <c r="R26" s="3">
        <v>44562</v>
      </c>
      <c r="S26" t="s">
        <v>0</v>
      </c>
      <c r="T26" t="s">
        <v>70</v>
      </c>
      <c r="U26" t="s">
        <v>71</v>
      </c>
      <c r="V26" t="s">
        <v>0</v>
      </c>
      <c r="W26" t="s">
        <v>162</v>
      </c>
    </row>
    <row r="27" spans="1:23" x14ac:dyDescent="0.25">
      <c r="A27" t="s">
        <v>110</v>
      </c>
      <c r="B27" t="s">
        <v>39</v>
      </c>
      <c r="C27" t="s">
        <v>104</v>
      </c>
      <c r="D27" t="s">
        <v>105</v>
      </c>
      <c r="E27" t="s">
        <v>104</v>
      </c>
      <c r="F27" t="s">
        <v>105</v>
      </c>
      <c r="G27" s="3">
        <v>46054</v>
      </c>
      <c r="H27" s="2">
        <v>28.92</v>
      </c>
      <c r="I27" t="s">
        <v>163</v>
      </c>
      <c r="J27" t="s">
        <v>164</v>
      </c>
      <c r="K27" s="3">
        <v>46010</v>
      </c>
      <c r="L27" s="3">
        <v>46023</v>
      </c>
      <c r="M27">
        <v>2</v>
      </c>
      <c r="N27" t="s">
        <v>46</v>
      </c>
      <c r="O27" t="s">
        <v>45</v>
      </c>
      <c r="P27" t="s">
        <v>46</v>
      </c>
      <c r="Q27" t="s">
        <v>98</v>
      </c>
      <c r="R27" s="3">
        <v>45870</v>
      </c>
      <c r="S27" t="s">
        <v>0</v>
      </c>
      <c r="T27" t="s">
        <v>99</v>
      </c>
      <c r="U27" t="s">
        <v>100</v>
      </c>
      <c r="V27" t="s">
        <v>0</v>
      </c>
      <c r="W27" t="s">
        <v>165</v>
      </c>
    </row>
    <row r="28" spans="1:23" x14ac:dyDescent="0.25">
      <c r="A28" t="s">
        <v>110</v>
      </c>
      <c r="B28" t="s">
        <v>39</v>
      </c>
      <c r="C28" t="s">
        <v>104</v>
      </c>
      <c r="D28" t="s">
        <v>105</v>
      </c>
      <c r="E28" t="s">
        <v>104</v>
      </c>
      <c r="F28" t="s">
        <v>105</v>
      </c>
      <c r="G28" s="3">
        <v>46054</v>
      </c>
      <c r="H28" s="2">
        <v>28.92</v>
      </c>
      <c r="I28" t="s">
        <v>166</v>
      </c>
      <c r="J28" t="s">
        <v>167</v>
      </c>
      <c r="K28" s="3">
        <v>45809</v>
      </c>
      <c r="L28" s="3">
        <v>45658</v>
      </c>
      <c r="M28">
        <v>3</v>
      </c>
      <c r="N28" t="s">
        <v>46</v>
      </c>
      <c r="O28" t="s">
        <v>45</v>
      </c>
      <c r="P28" t="s">
        <v>46</v>
      </c>
      <c r="Q28" t="s">
        <v>168</v>
      </c>
      <c r="R28" s="3">
        <v>45658</v>
      </c>
      <c r="S28" t="s">
        <v>0</v>
      </c>
      <c r="T28" t="s">
        <v>99</v>
      </c>
      <c r="U28" t="s">
        <v>169</v>
      </c>
      <c r="V28" t="s">
        <v>0</v>
      </c>
      <c r="W28" t="s">
        <v>170</v>
      </c>
    </row>
    <row r="29" spans="1:23" x14ac:dyDescent="0.25">
      <c r="A29" t="s">
        <v>110</v>
      </c>
      <c r="B29" t="s">
        <v>73</v>
      </c>
      <c r="C29" t="s">
        <v>126</v>
      </c>
      <c r="D29" t="s">
        <v>127</v>
      </c>
      <c r="E29" t="s">
        <v>74</v>
      </c>
      <c r="F29" t="s">
        <v>4</v>
      </c>
      <c r="G29" s="3">
        <v>46054</v>
      </c>
      <c r="H29" s="2">
        <v>0</v>
      </c>
      <c r="I29" t="s">
        <v>128</v>
      </c>
      <c r="J29" t="s">
        <v>129</v>
      </c>
      <c r="K29" s="3">
        <v>46008</v>
      </c>
      <c r="L29" s="3">
        <v>46023</v>
      </c>
      <c r="M29">
        <v>6</v>
      </c>
      <c r="N29" t="s">
        <v>46</v>
      </c>
      <c r="O29" t="s">
        <v>130</v>
      </c>
      <c r="P29" t="s">
        <v>46</v>
      </c>
      <c r="Q29" t="s">
        <v>131</v>
      </c>
      <c r="R29" s="3">
        <v>44256</v>
      </c>
      <c r="S29" t="s">
        <v>0</v>
      </c>
      <c r="T29" t="s">
        <v>132</v>
      </c>
      <c r="U29" t="s">
        <v>133</v>
      </c>
      <c r="V29" t="s">
        <v>0</v>
      </c>
      <c r="W29" t="s">
        <v>134</v>
      </c>
    </row>
    <row r="30" spans="1:23" x14ac:dyDescent="0.25">
      <c r="A30" t="s">
        <v>110</v>
      </c>
      <c r="B30" t="s">
        <v>73</v>
      </c>
      <c r="C30" t="s">
        <v>153</v>
      </c>
      <c r="D30" t="s">
        <v>154</v>
      </c>
      <c r="E30" t="s">
        <v>74</v>
      </c>
      <c r="F30" t="s">
        <v>4</v>
      </c>
      <c r="G30" s="3">
        <v>46054</v>
      </c>
      <c r="H30" s="2">
        <v>12.51</v>
      </c>
      <c r="I30" t="s">
        <v>155</v>
      </c>
      <c r="J30" t="s">
        <v>156</v>
      </c>
      <c r="K30" s="3">
        <v>45992</v>
      </c>
      <c r="L30" s="3">
        <v>45778</v>
      </c>
      <c r="M30">
        <v>2</v>
      </c>
      <c r="N30" t="s">
        <v>97</v>
      </c>
      <c r="O30" t="s">
        <v>45</v>
      </c>
      <c r="P30" t="s">
        <v>46</v>
      </c>
      <c r="Q30" t="s">
        <v>98</v>
      </c>
      <c r="R30" s="3">
        <v>45778</v>
      </c>
      <c r="S30" t="s">
        <v>0</v>
      </c>
      <c r="T30" t="s">
        <v>99</v>
      </c>
      <c r="U30" t="s">
        <v>100</v>
      </c>
      <c r="V30" t="s">
        <v>0</v>
      </c>
      <c r="W30" t="s">
        <v>157</v>
      </c>
    </row>
    <row r="31" spans="1:23" x14ac:dyDescent="0.25">
      <c r="A31" t="s">
        <v>110</v>
      </c>
      <c r="B31" t="s">
        <v>73</v>
      </c>
      <c r="C31" t="s">
        <v>158</v>
      </c>
      <c r="D31" t="s">
        <v>159</v>
      </c>
      <c r="E31" t="s">
        <v>74</v>
      </c>
      <c r="F31" t="s">
        <v>4</v>
      </c>
      <c r="G31" s="3">
        <v>46054</v>
      </c>
      <c r="H31" s="2">
        <v>6.24</v>
      </c>
      <c r="I31" t="s">
        <v>160</v>
      </c>
      <c r="J31" t="s">
        <v>161</v>
      </c>
      <c r="K31" s="3">
        <v>45992</v>
      </c>
      <c r="L31" s="3">
        <v>46023</v>
      </c>
      <c r="M31">
        <v>15</v>
      </c>
      <c r="N31" t="s">
        <v>46</v>
      </c>
      <c r="O31" t="s">
        <v>45</v>
      </c>
      <c r="P31" t="s">
        <v>46</v>
      </c>
      <c r="Q31" t="s">
        <v>69</v>
      </c>
      <c r="R31" s="3">
        <v>44562</v>
      </c>
      <c r="S31" t="s">
        <v>0</v>
      </c>
      <c r="T31" t="s">
        <v>70</v>
      </c>
      <c r="U31" t="s">
        <v>71</v>
      </c>
      <c r="V31" t="s">
        <v>0</v>
      </c>
      <c r="W31" t="s">
        <v>162</v>
      </c>
    </row>
    <row r="32" spans="1:23" x14ac:dyDescent="0.25">
      <c r="A32" t="s">
        <v>110</v>
      </c>
      <c r="B32" t="s">
        <v>73</v>
      </c>
      <c r="C32" t="s">
        <v>104</v>
      </c>
      <c r="D32" t="s">
        <v>105</v>
      </c>
      <c r="E32" t="s">
        <v>74</v>
      </c>
      <c r="F32" t="s">
        <v>4</v>
      </c>
      <c r="G32" s="3">
        <v>46054</v>
      </c>
      <c r="H32" s="2">
        <v>12.51</v>
      </c>
      <c r="I32" t="s">
        <v>163</v>
      </c>
      <c r="J32" t="s">
        <v>164</v>
      </c>
      <c r="K32" s="3">
        <v>46010</v>
      </c>
      <c r="L32" s="3">
        <v>46023</v>
      </c>
      <c r="M32">
        <v>2</v>
      </c>
      <c r="N32" t="s">
        <v>46</v>
      </c>
      <c r="O32" t="s">
        <v>45</v>
      </c>
      <c r="P32" t="s">
        <v>46</v>
      </c>
      <c r="Q32" t="s">
        <v>98</v>
      </c>
      <c r="R32" s="3">
        <v>45870</v>
      </c>
      <c r="S32" t="s">
        <v>0</v>
      </c>
      <c r="T32" t="s">
        <v>99</v>
      </c>
      <c r="U32" t="s">
        <v>100</v>
      </c>
      <c r="V32" t="s">
        <v>0</v>
      </c>
      <c r="W32" t="s">
        <v>165</v>
      </c>
    </row>
    <row r="34" spans="1:23" x14ac:dyDescent="0.25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s="2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O34" t="s">
        <v>30</v>
      </c>
      <c r="P34" t="s">
        <v>31</v>
      </c>
      <c r="Q34" t="s">
        <v>32</v>
      </c>
      <c r="R34" t="s">
        <v>33</v>
      </c>
      <c r="S34" t="s">
        <v>34</v>
      </c>
      <c r="T34" t="s">
        <v>35</v>
      </c>
      <c r="U34" t="s">
        <v>36</v>
      </c>
      <c r="V34" t="s">
        <v>5</v>
      </c>
      <c r="W34" t="s">
        <v>37</v>
      </c>
    </row>
    <row r="35" spans="1:23" x14ac:dyDescent="0.25">
      <c r="A35" t="s">
        <v>56</v>
      </c>
      <c r="B35" t="s">
        <v>39</v>
      </c>
      <c r="C35" t="s">
        <v>84</v>
      </c>
      <c r="D35" t="s">
        <v>85</v>
      </c>
      <c r="E35" t="s">
        <v>84</v>
      </c>
      <c r="F35" t="s">
        <v>85</v>
      </c>
      <c r="G35" s="3">
        <v>46054</v>
      </c>
      <c r="H35" s="2">
        <v>-289.16000000000003</v>
      </c>
      <c r="I35" t="s">
        <v>86</v>
      </c>
      <c r="J35" t="s">
        <v>87</v>
      </c>
      <c r="K35" s="3">
        <v>46050</v>
      </c>
      <c r="L35" s="3">
        <v>46054</v>
      </c>
      <c r="M35">
        <v>2</v>
      </c>
      <c r="N35" t="s">
        <v>46</v>
      </c>
      <c r="O35" t="s">
        <v>88</v>
      </c>
      <c r="P35" t="s">
        <v>46</v>
      </c>
      <c r="Q35" t="s">
        <v>89</v>
      </c>
      <c r="R35" s="3">
        <v>46054</v>
      </c>
      <c r="S35" s="3">
        <v>46081</v>
      </c>
      <c r="T35" t="s">
        <v>90</v>
      </c>
      <c r="U35" t="s">
        <v>91</v>
      </c>
      <c r="V35" t="s">
        <v>0</v>
      </c>
      <c r="W35" t="s">
        <v>92</v>
      </c>
    </row>
    <row r="36" spans="1:23" x14ac:dyDescent="0.25">
      <c r="A36" t="s">
        <v>56</v>
      </c>
      <c r="B36" t="s">
        <v>73</v>
      </c>
      <c r="C36" t="s">
        <v>84</v>
      </c>
      <c r="D36" t="s">
        <v>85</v>
      </c>
      <c r="E36" t="s">
        <v>74</v>
      </c>
      <c r="F36" t="s">
        <v>4</v>
      </c>
      <c r="G36" s="3">
        <v>46054</v>
      </c>
      <c r="H36" s="2">
        <v>-124.98</v>
      </c>
      <c r="I36" t="s">
        <v>86</v>
      </c>
      <c r="J36" t="s">
        <v>87</v>
      </c>
      <c r="K36" s="3">
        <v>46050</v>
      </c>
      <c r="L36" s="3">
        <v>46054</v>
      </c>
      <c r="M36">
        <v>2</v>
      </c>
      <c r="N36" t="s">
        <v>46</v>
      </c>
      <c r="O36" t="s">
        <v>88</v>
      </c>
      <c r="P36" t="s">
        <v>46</v>
      </c>
      <c r="Q36" t="s">
        <v>89</v>
      </c>
      <c r="R36" s="3">
        <v>46054</v>
      </c>
      <c r="S36" s="3">
        <v>46081</v>
      </c>
      <c r="T36" t="s">
        <v>90</v>
      </c>
      <c r="U36" t="s">
        <v>91</v>
      </c>
      <c r="V36" t="s">
        <v>0</v>
      </c>
      <c r="W36" t="s">
        <v>92</v>
      </c>
    </row>
    <row r="39" spans="1:23" x14ac:dyDescent="0.25">
      <c r="A39" t="s">
        <v>16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s="2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29</v>
      </c>
      <c r="O39" t="s">
        <v>30</v>
      </c>
      <c r="P39" t="s">
        <v>31</v>
      </c>
      <c r="Q39" t="s">
        <v>32</v>
      </c>
      <c r="R39" t="s">
        <v>33</v>
      </c>
      <c r="S39" t="s">
        <v>34</v>
      </c>
      <c r="T39" t="s">
        <v>35</v>
      </c>
      <c r="U39" t="s">
        <v>36</v>
      </c>
      <c r="V39" t="s">
        <v>5</v>
      </c>
      <c r="W39" t="s">
        <v>37</v>
      </c>
    </row>
    <row r="40" spans="1:23" x14ac:dyDescent="0.25">
      <c r="A40" t="s">
        <v>38</v>
      </c>
      <c r="B40" t="s">
        <v>39</v>
      </c>
      <c r="C40" t="s">
        <v>171</v>
      </c>
      <c r="D40" t="s">
        <v>172</v>
      </c>
      <c r="E40" t="s">
        <v>171</v>
      </c>
      <c r="F40" t="s">
        <v>172</v>
      </c>
      <c r="G40" s="3">
        <v>46023</v>
      </c>
      <c r="H40" s="2">
        <v>-694</v>
      </c>
      <c r="I40" t="s">
        <v>173</v>
      </c>
      <c r="J40" t="s">
        <v>174</v>
      </c>
      <c r="K40" s="3">
        <v>46002</v>
      </c>
      <c r="L40" s="3">
        <v>46023</v>
      </c>
      <c r="M40">
        <v>1</v>
      </c>
      <c r="N40" t="s">
        <v>97</v>
      </c>
      <c r="O40" t="s">
        <v>88</v>
      </c>
      <c r="P40" t="s">
        <v>46</v>
      </c>
      <c r="Q40" t="s">
        <v>175</v>
      </c>
      <c r="R40" s="3">
        <v>46023</v>
      </c>
      <c r="S40" s="3">
        <v>46081</v>
      </c>
      <c r="T40" t="s">
        <v>90</v>
      </c>
      <c r="U40" t="s">
        <v>176</v>
      </c>
      <c r="V40" t="s">
        <v>0</v>
      </c>
      <c r="W40" t="s">
        <v>177</v>
      </c>
    </row>
    <row r="41" spans="1:23" x14ac:dyDescent="0.25">
      <c r="A41" t="s">
        <v>38</v>
      </c>
      <c r="B41" t="s">
        <v>73</v>
      </c>
      <c r="C41" t="s">
        <v>171</v>
      </c>
      <c r="D41" t="s">
        <v>172</v>
      </c>
      <c r="E41" t="s">
        <v>74</v>
      </c>
      <c r="F41" t="s">
        <v>4</v>
      </c>
      <c r="G41" s="3">
        <v>46023</v>
      </c>
      <c r="H41" s="2">
        <v>-150</v>
      </c>
      <c r="I41" t="s">
        <v>173</v>
      </c>
      <c r="J41" t="s">
        <v>174</v>
      </c>
      <c r="K41" s="3">
        <v>46002</v>
      </c>
      <c r="L41" s="3">
        <v>46023</v>
      </c>
      <c r="M41">
        <v>1</v>
      </c>
      <c r="N41" t="s">
        <v>97</v>
      </c>
      <c r="O41" t="s">
        <v>88</v>
      </c>
      <c r="P41" t="s">
        <v>46</v>
      </c>
      <c r="Q41" t="s">
        <v>175</v>
      </c>
      <c r="R41" s="3">
        <v>46023</v>
      </c>
      <c r="S41" s="3">
        <v>46081</v>
      </c>
      <c r="T41" t="s">
        <v>90</v>
      </c>
      <c r="U41" t="s">
        <v>176</v>
      </c>
      <c r="V41" t="s">
        <v>0</v>
      </c>
      <c r="W41" t="s">
        <v>177</v>
      </c>
    </row>
    <row r="43" spans="1:23" x14ac:dyDescent="0.25">
      <c r="A43" t="s">
        <v>16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s="2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28</v>
      </c>
      <c r="N43" t="s">
        <v>29</v>
      </c>
      <c r="O43" t="s">
        <v>30</v>
      </c>
      <c r="P43" t="s">
        <v>31</v>
      </c>
      <c r="Q43" t="s">
        <v>32</v>
      </c>
      <c r="R43" t="s">
        <v>33</v>
      </c>
      <c r="S43" t="s">
        <v>34</v>
      </c>
      <c r="T43" t="s">
        <v>35</v>
      </c>
      <c r="U43" t="s">
        <v>36</v>
      </c>
      <c r="V43" t="s">
        <v>5</v>
      </c>
      <c r="W43" t="s">
        <v>37</v>
      </c>
    </row>
    <row r="44" spans="1:23" x14ac:dyDescent="0.25">
      <c r="A44" t="s">
        <v>38</v>
      </c>
      <c r="B44" t="s">
        <v>39</v>
      </c>
      <c r="C44" t="s">
        <v>93</v>
      </c>
      <c r="D44" t="s">
        <v>94</v>
      </c>
      <c r="E44" t="s">
        <v>93</v>
      </c>
      <c r="F44" t="s">
        <v>94</v>
      </c>
      <c r="G44" s="3">
        <v>46054</v>
      </c>
      <c r="H44" s="2">
        <v>375.92</v>
      </c>
      <c r="I44" t="s">
        <v>95</v>
      </c>
      <c r="J44" t="s">
        <v>96</v>
      </c>
      <c r="K44" s="3">
        <v>46053</v>
      </c>
      <c r="L44" s="3">
        <v>46054</v>
      </c>
      <c r="M44">
        <v>1</v>
      </c>
      <c r="N44" t="s">
        <v>97</v>
      </c>
      <c r="O44" t="s">
        <v>45</v>
      </c>
      <c r="P44" t="s">
        <v>46</v>
      </c>
      <c r="Q44" t="s">
        <v>98</v>
      </c>
      <c r="R44" s="3">
        <v>46054</v>
      </c>
      <c r="S44" t="s">
        <v>0</v>
      </c>
      <c r="T44" t="s">
        <v>99</v>
      </c>
      <c r="U44" t="s">
        <v>100</v>
      </c>
      <c r="V44" t="s">
        <v>0</v>
      </c>
      <c r="W44" t="s">
        <v>101</v>
      </c>
    </row>
    <row r="46" spans="1:23" x14ac:dyDescent="0.25">
      <c r="A46" t="s">
        <v>16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s="2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28</v>
      </c>
      <c r="N46" t="s">
        <v>29</v>
      </c>
      <c r="O46" t="s">
        <v>30</v>
      </c>
      <c r="P46" t="s">
        <v>31</v>
      </c>
      <c r="Q46" t="s">
        <v>32</v>
      </c>
      <c r="R46" t="s">
        <v>33</v>
      </c>
      <c r="S46" t="s">
        <v>34</v>
      </c>
      <c r="T46" t="s">
        <v>35</v>
      </c>
      <c r="U46" t="s">
        <v>36</v>
      </c>
      <c r="V46" t="s">
        <v>5</v>
      </c>
      <c r="W46" t="s">
        <v>37</v>
      </c>
    </row>
    <row r="47" spans="1:23" x14ac:dyDescent="0.25">
      <c r="A47" t="s">
        <v>56</v>
      </c>
      <c r="B47" t="s">
        <v>39</v>
      </c>
      <c r="C47" t="s">
        <v>75</v>
      </c>
      <c r="D47" t="s">
        <v>76</v>
      </c>
      <c r="E47" t="s">
        <v>75</v>
      </c>
      <c r="F47" t="s">
        <v>76</v>
      </c>
      <c r="G47" s="3">
        <v>46082</v>
      </c>
      <c r="H47" s="2">
        <v>289.16000000000003</v>
      </c>
      <c r="I47" t="s">
        <v>178</v>
      </c>
      <c r="J47" t="s">
        <v>179</v>
      </c>
      <c r="K47" s="3">
        <v>46080</v>
      </c>
      <c r="L47" s="3">
        <v>46082</v>
      </c>
      <c r="M47">
        <v>2</v>
      </c>
      <c r="N47" t="s">
        <v>97</v>
      </c>
      <c r="O47" t="s">
        <v>180</v>
      </c>
      <c r="P47" t="s">
        <v>46</v>
      </c>
      <c r="Q47" t="s">
        <v>181</v>
      </c>
      <c r="R47" s="3">
        <v>46082</v>
      </c>
      <c r="S47" t="s">
        <v>0</v>
      </c>
      <c r="T47" t="s">
        <v>182</v>
      </c>
      <c r="U47" t="s">
        <v>183</v>
      </c>
      <c r="V47" t="s">
        <v>0</v>
      </c>
      <c r="W47" t="s">
        <v>184</v>
      </c>
    </row>
    <row r="48" spans="1:23" x14ac:dyDescent="0.25">
      <c r="A48" t="s">
        <v>56</v>
      </c>
      <c r="B48" t="s">
        <v>73</v>
      </c>
      <c r="C48" t="s">
        <v>75</v>
      </c>
      <c r="D48" t="s">
        <v>76</v>
      </c>
      <c r="E48" t="s">
        <v>74</v>
      </c>
      <c r="F48" t="s">
        <v>4</v>
      </c>
      <c r="G48" s="3">
        <v>46082</v>
      </c>
      <c r="H48" s="2">
        <v>150</v>
      </c>
      <c r="I48" t="s">
        <v>178</v>
      </c>
      <c r="J48" t="s">
        <v>179</v>
      </c>
      <c r="K48" s="3">
        <v>46080</v>
      </c>
      <c r="L48" s="3">
        <v>46082</v>
      </c>
      <c r="M48">
        <v>2</v>
      </c>
      <c r="N48" t="s">
        <v>97</v>
      </c>
      <c r="O48" t="s">
        <v>180</v>
      </c>
      <c r="P48" t="s">
        <v>46</v>
      </c>
      <c r="Q48" t="s">
        <v>181</v>
      </c>
      <c r="R48" s="3">
        <v>46082</v>
      </c>
      <c r="S48" t="s">
        <v>0</v>
      </c>
      <c r="T48" t="s">
        <v>182</v>
      </c>
      <c r="U48" t="s">
        <v>183</v>
      </c>
      <c r="V48" t="s">
        <v>0</v>
      </c>
      <c r="W48" t="s">
        <v>184</v>
      </c>
    </row>
    <row r="49" spans="1:23" x14ac:dyDescent="0.25">
      <c r="A49" t="s">
        <v>110</v>
      </c>
      <c r="B49" t="s">
        <v>39</v>
      </c>
      <c r="C49" t="s">
        <v>111</v>
      </c>
      <c r="D49" t="s">
        <v>112</v>
      </c>
      <c r="E49" t="s">
        <v>111</v>
      </c>
      <c r="F49" t="s">
        <v>112</v>
      </c>
      <c r="G49" s="3">
        <v>46082</v>
      </c>
      <c r="H49" s="2">
        <v>32.58</v>
      </c>
      <c r="I49" t="s">
        <v>113</v>
      </c>
      <c r="J49" t="s">
        <v>114</v>
      </c>
      <c r="K49" s="3">
        <v>45588</v>
      </c>
      <c r="L49" s="3">
        <v>46023</v>
      </c>
      <c r="M49">
        <v>10</v>
      </c>
      <c r="N49" t="s">
        <v>46</v>
      </c>
      <c r="O49" t="s">
        <v>115</v>
      </c>
      <c r="P49" t="s">
        <v>46</v>
      </c>
      <c r="Q49" t="s">
        <v>116</v>
      </c>
      <c r="R49" s="3">
        <v>45658</v>
      </c>
      <c r="S49" t="s">
        <v>0</v>
      </c>
      <c r="T49" t="s">
        <v>117</v>
      </c>
      <c r="U49" t="s">
        <v>118</v>
      </c>
      <c r="V49" t="s">
        <v>0</v>
      </c>
      <c r="W49" t="s">
        <v>119</v>
      </c>
    </row>
    <row r="50" spans="1:23" x14ac:dyDescent="0.25">
      <c r="A50" t="s">
        <v>110</v>
      </c>
      <c r="B50" t="s">
        <v>39</v>
      </c>
      <c r="C50" t="s">
        <v>120</v>
      </c>
      <c r="D50" t="s">
        <v>121</v>
      </c>
      <c r="E50" t="s">
        <v>120</v>
      </c>
      <c r="F50" t="s">
        <v>121</v>
      </c>
      <c r="G50" s="3">
        <v>46082</v>
      </c>
      <c r="H50" s="2">
        <v>28.92</v>
      </c>
      <c r="I50" t="s">
        <v>122</v>
      </c>
      <c r="J50" t="s">
        <v>123</v>
      </c>
      <c r="K50" s="3">
        <v>45216</v>
      </c>
      <c r="L50" s="3">
        <v>45292</v>
      </c>
      <c r="M50">
        <v>6</v>
      </c>
      <c r="N50" t="s">
        <v>46</v>
      </c>
      <c r="O50" t="s">
        <v>79</v>
      </c>
      <c r="P50" t="s">
        <v>46</v>
      </c>
      <c r="Q50" t="s">
        <v>116</v>
      </c>
      <c r="R50" s="3">
        <v>44197</v>
      </c>
      <c r="S50" t="s">
        <v>0</v>
      </c>
      <c r="T50" t="s">
        <v>81</v>
      </c>
      <c r="U50" t="s">
        <v>124</v>
      </c>
      <c r="V50" t="s">
        <v>0</v>
      </c>
      <c r="W50" t="s">
        <v>125</v>
      </c>
    </row>
    <row r="51" spans="1:23" x14ac:dyDescent="0.25">
      <c r="A51" t="s">
        <v>110</v>
      </c>
      <c r="B51" t="s">
        <v>39</v>
      </c>
      <c r="C51" t="s">
        <v>126</v>
      </c>
      <c r="D51" t="s">
        <v>127</v>
      </c>
      <c r="E51" t="s">
        <v>126</v>
      </c>
      <c r="F51" t="s">
        <v>127</v>
      </c>
      <c r="G51" s="3">
        <v>46082</v>
      </c>
      <c r="H51" s="2">
        <v>0</v>
      </c>
      <c r="I51" t="s">
        <v>128</v>
      </c>
      <c r="J51" t="s">
        <v>129</v>
      </c>
      <c r="K51" s="3">
        <v>46008</v>
      </c>
      <c r="L51" s="3">
        <v>46023</v>
      </c>
      <c r="M51">
        <v>6</v>
      </c>
      <c r="N51" t="s">
        <v>46</v>
      </c>
      <c r="O51" t="s">
        <v>130</v>
      </c>
      <c r="P51" t="s">
        <v>46</v>
      </c>
      <c r="Q51" t="s">
        <v>131</v>
      </c>
      <c r="R51" s="3">
        <v>44256</v>
      </c>
      <c r="S51" t="s">
        <v>0</v>
      </c>
      <c r="T51" t="s">
        <v>132</v>
      </c>
      <c r="U51" t="s">
        <v>133</v>
      </c>
      <c r="V51" t="s">
        <v>0</v>
      </c>
      <c r="W51" t="s">
        <v>134</v>
      </c>
    </row>
    <row r="52" spans="1:23" x14ac:dyDescent="0.25">
      <c r="A52" t="s">
        <v>110</v>
      </c>
      <c r="B52" t="s">
        <v>39</v>
      </c>
      <c r="C52" t="s">
        <v>126</v>
      </c>
      <c r="D52" t="s">
        <v>127</v>
      </c>
      <c r="E52" t="s">
        <v>126</v>
      </c>
      <c r="F52" t="s">
        <v>127</v>
      </c>
      <c r="G52" s="3">
        <v>46082</v>
      </c>
      <c r="H52" s="2">
        <v>0</v>
      </c>
      <c r="I52" t="s">
        <v>135</v>
      </c>
      <c r="J52" t="s">
        <v>136</v>
      </c>
      <c r="K52" s="3">
        <v>45615</v>
      </c>
      <c r="L52" s="3">
        <v>45658</v>
      </c>
      <c r="M52">
        <v>6</v>
      </c>
      <c r="N52" t="s">
        <v>46</v>
      </c>
      <c r="O52" t="s">
        <v>137</v>
      </c>
      <c r="P52" t="s">
        <v>46</v>
      </c>
      <c r="Q52" t="s">
        <v>62</v>
      </c>
      <c r="R52" s="3">
        <v>44287</v>
      </c>
      <c r="S52" t="s">
        <v>0</v>
      </c>
      <c r="T52" t="s">
        <v>138</v>
      </c>
      <c r="U52" t="s">
        <v>139</v>
      </c>
      <c r="V52" t="s">
        <v>0</v>
      </c>
      <c r="W52" t="s">
        <v>140</v>
      </c>
    </row>
    <row r="53" spans="1:23" x14ac:dyDescent="0.25">
      <c r="A53" t="s">
        <v>110</v>
      </c>
      <c r="B53" t="s">
        <v>39</v>
      </c>
      <c r="C53" t="s">
        <v>141</v>
      </c>
      <c r="D53" t="s">
        <v>142</v>
      </c>
      <c r="E53" t="s">
        <v>141</v>
      </c>
      <c r="F53" t="s">
        <v>142</v>
      </c>
      <c r="G53" s="3">
        <v>46082</v>
      </c>
      <c r="H53" s="2">
        <v>28.92</v>
      </c>
      <c r="I53" t="s">
        <v>143</v>
      </c>
      <c r="J53" t="s">
        <v>144</v>
      </c>
      <c r="K53" s="3">
        <v>45633</v>
      </c>
      <c r="L53" s="3">
        <v>45658</v>
      </c>
      <c r="M53">
        <v>16</v>
      </c>
      <c r="N53" t="s">
        <v>46</v>
      </c>
      <c r="O53" t="s">
        <v>79</v>
      </c>
      <c r="P53" t="s">
        <v>46</v>
      </c>
      <c r="Q53" t="s">
        <v>116</v>
      </c>
      <c r="R53" s="3">
        <v>41760</v>
      </c>
      <c r="S53" t="s">
        <v>0</v>
      </c>
      <c r="T53" t="s">
        <v>81</v>
      </c>
      <c r="U53" t="s">
        <v>145</v>
      </c>
      <c r="V53" t="s">
        <v>0</v>
      </c>
      <c r="W53" t="s">
        <v>146</v>
      </c>
    </row>
    <row r="54" spans="1:23" x14ac:dyDescent="0.25">
      <c r="A54" t="s">
        <v>110</v>
      </c>
      <c r="B54" t="s">
        <v>39</v>
      </c>
      <c r="C54" t="s">
        <v>141</v>
      </c>
      <c r="D54" t="s">
        <v>142</v>
      </c>
      <c r="E54" t="s">
        <v>141</v>
      </c>
      <c r="F54" t="s">
        <v>142</v>
      </c>
      <c r="G54" s="3">
        <v>46082</v>
      </c>
      <c r="H54" s="2">
        <v>28.92</v>
      </c>
      <c r="I54" t="s">
        <v>147</v>
      </c>
      <c r="J54" t="s">
        <v>148</v>
      </c>
      <c r="K54" s="3">
        <v>45259</v>
      </c>
      <c r="L54" s="3">
        <v>45292</v>
      </c>
      <c r="M54">
        <v>4</v>
      </c>
      <c r="N54" t="s">
        <v>46</v>
      </c>
      <c r="O54" t="s">
        <v>149</v>
      </c>
      <c r="P54" t="s">
        <v>46</v>
      </c>
      <c r="Q54" t="s">
        <v>150</v>
      </c>
      <c r="R54" s="3">
        <v>45292</v>
      </c>
      <c r="S54" t="s">
        <v>0</v>
      </c>
      <c r="T54" t="s">
        <v>151</v>
      </c>
      <c r="U54" t="s">
        <v>49</v>
      </c>
      <c r="V54" t="s">
        <v>0</v>
      </c>
      <c r="W54" t="s">
        <v>152</v>
      </c>
    </row>
    <row r="55" spans="1:23" x14ac:dyDescent="0.25">
      <c r="A55" t="s">
        <v>110</v>
      </c>
      <c r="B55" t="s">
        <v>39</v>
      </c>
      <c r="C55" t="s">
        <v>158</v>
      </c>
      <c r="D55" t="s">
        <v>159</v>
      </c>
      <c r="E55" t="s">
        <v>158</v>
      </c>
      <c r="F55" t="s">
        <v>159</v>
      </c>
      <c r="G55" s="3">
        <v>46082</v>
      </c>
      <c r="H55" s="2">
        <v>28.92</v>
      </c>
      <c r="I55" t="s">
        <v>160</v>
      </c>
      <c r="J55" t="s">
        <v>161</v>
      </c>
      <c r="K55" s="3">
        <v>45992</v>
      </c>
      <c r="L55" s="3">
        <v>46023</v>
      </c>
      <c r="M55">
        <v>15</v>
      </c>
      <c r="N55" t="s">
        <v>46</v>
      </c>
      <c r="O55" t="s">
        <v>45</v>
      </c>
      <c r="P55" t="s">
        <v>46</v>
      </c>
      <c r="Q55" t="s">
        <v>69</v>
      </c>
      <c r="R55" s="3">
        <v>44562</v>
      </c>
      <c r="S55" t="s">
        <v>0</v>
      </c>
      <c r="T55" t="s">
        <v>70</v>
      </c>
      <c r="U55" t="s">
        <v>71</v>
      </c>
      <c r="V55" t="s">
        <v>0</v>
      </c>
      <c r="W55" t="s">
        <v>162</v>
      </c>
    </row>
    <row r="56" spans="1:23" x14ac:dyDescent="0.25">
      <c r="A56" t="s">
        <v>110</v>
      </c>
      <c r="B56" t="s">
        <v>39</v>
      </c>
      <c r="C56" t="s">
        <v>104</v>
      </c>
      <c r="D56" t="s">
        <v>105</v>
      </c>
      <c r="E56" t="s">
        <v>104</v>
      </c>
      <c r="F56" t="s">
        <v>105</v>
      </c>
      <c r="G56" s="3">
        <v>46082</v>
      </c>
      <c r="H56" s="2">
        <v>28.92</v>
      </c>
      <c r="I56" t="s">
        <v>163</v>
      </c>
      <c r="J56" t="s">
        <v>164</v>
      </c>
      <c r="K56" s="3">
        <v>46010</v>
      </c>
      <c r="L56" s="3">
        <v>46023</v>
      </c>
      <c r="M56">
        <v>2</v>
      </c>
      <c r="N56" t="s">
        <v>46</v>
      </c>
      <c r="O56" t="s">
        <v>45</v>
      </c>
      <c r="P56" t="s">
        <v>46</v>
      </c>
      <c r="Q56" t="s">
        <v>98</v>
      </c>
      <c r="R56" s="3">
        <v>45870</v>
      </c>
      <c r="S56" t="s">
        <v>0</v>
      </c>
      <c r="T56" t="s">
        <v>99</v>
      </c>
      <c r="U56" t="s">
        <v>100</v>
      </c>
      <c r="V56" t="s">
        <v>0</v>
      </c>
      <c r="W56" t="s">
        <v>165</v>
      </c>
    </row>
    <row r="57" spans="1:23" x14ac:dyDescent="0.25">
      <c r="A57" t="s">
        <v>110</v>
      </c>
      <c r="B57" t="s">
        <v>39</v>
      </c>
      <c r="C57" t="s">
        <v>104</v>
      </c>
      <c r="D57" t="s">
        <v>105</v>
      </c>
      <c r="E57" t="s">
        <v>104</v>
      </c>
      <c r="F57" t="s">
        <v>105</v>
      </c>
      <c r="G57" s="3">
        <v>46082</v>
      </c>
      <c r="H57" s="2">
        <v>28.92</v>
      </c>
      <c r="I57" t="s">
        <v>166</v>
      </c>
      <c r="J57" t="s">
        <v>167</v>
      </c>
      <c r="K57" s="3">
        <v>45809</v>
      </c>
      <c r="L57" s="3">
        <v>45658</v>
      </c>
      <c r="M57">
        <v>3</v>
      </c>
      <c r="N57" t="s">
        <v>46</v>
      </c>
      <c r="O57" t="s">
        <v>45</v>
      </c>
      <c r="P57" t="s">
        <v>46</v>
      </c>
      <c r="Q57" t="s">
        <v>168</v>
      </c>
      <c r="R57" s="3">
        <v>45658</v>
      </c>
      <c r="S57" t="s">
        <v>0</v>
      </c>
      <c r="T57" t="s">
        <v>99</v>
      </c>
      <c r="U57" t="s">
        <v>169</v>
      </c>
      <c r="V57" t="s">
        <v>0</v>
      </c>
      <c r="W57" t="s">
        <v>170</v>
      </c>
    </row>
    <row r="58" spans="1:23" x14ac:dyDescent="0.25">
      <c r="A58" t="s">
        <v>110</v>
      </c>
      <c r="B58" t="s">
        <v>73</v>
      </c>
      <c r="C58" t="s">
        <v>126</v>
      </c>
      <c r="D58" t="s">
        <v>127</v>
      </c>
      <c r="E58" t="s">
        <v>74</v>
      </c>
      <c r="F58" t="s">
        <v>4</v>
      </c>
      <c r="G58" s="3">
        <v>46082</v>
      </c>
      <c r="H58" s="2">
        <v>0</v>
      </c>
      <c r="I58" t="s">
        <v>128</v>
      </c>
      <c r="J58" t="s">
        <v>129</v>
      </c>
      <c r="K58" s="3">
        <v>46008</v>
      </c>
      <c r="L58" s="3">
        <v>46023</v>
      </c>
      <c r="M58">
        <v>6</v>
      </c>
      <c r="N58" t="s">
        <v>46</v>
      </c>
      <c r="O58" t="s">
        <v>130</v>
      </c>
      <c r="P58" t="s">
        <v>46</v>
      </c>
      <c r="Q58" t="s">
        <v>131</v>
      </c>
      <c r="R58" s="3">
        <v>44256</v>
      </c>
      <c r="S58" t="s">
        <v>0</v>
      </c>
      <c r="T58" t="s">
        <v>132</v>
      </c>
      <c r="U58" t="s">
        <v>133</v>
      </c>
      <c r="V58" t="s">
        <v>0</v>
      </c>
      <c r="W58" t="s">
        <v>134</v>
      </c>
    </row>
    <row r="59" spans="1:23" x14ac:dyDescent="0.25">
      <c r="A59" t="s">
        <v>110</v>
      </c>
      <c r="B59" t="s">
        <v>73</v>
      </c>
      <c r="C59" t="s">
        <v>158</v>
      </c>
      <c r="D59" t="s">
        <v>159</v>
      </c>
      <c r="E59" t="s">
        <v>74</v>
      </c>
      <c r="F59" t="s">
        <v>4</v>
      </c>
      <c r="G59" s="3">
        <v>46082</v>
      </c>
      <c r="H59" s="2">
        <v>6.24</v>
      </c>
      <c r="I59" t="s">
        <v>160</v>
      </c>
      <c r="J59" t="s">
        <v>161</v>
      </c>
      <c r="K59" s="3">
        <v>45992</v>
      </c>
      <c r="L59" s="3">
        <v>46023</v>
      </c>
      <c r="M59">
        <v>15</v>
      </c>
      <c r="N59" t="s">
        <v>46</v>
      </c>
      <c r="O59" t="s">
        <v>45</v>
      </c>
      <c r="P59" t="s">
        <v>46</v>
      </c>
      <c r="Q59" t="s">
        <v>69</v>
      </c>
      <c r="R59" s="3">
        <v>44562</v>
      </c>
      <c r="S59" t="s">
        <v>0</v>
      </c>
      <c r="T59" t="s">
        <v>70</v>
      </c>
      <c r="U59" t="s">
        <v>71</v>
      </c>
      <c r="V59" t="s">
        <v>0</v>
      </c>
      <c r="W59" t="s">
        <v>162</v>
      </c>
    </row>
    <row r="60" spans="1:23" x14ac:dyDescent="0.25">
      <c r="A60" t="s">
        <v>110</v>
      </c>
      <c r="B60" t="s">
        <v>73</v>
      </c>
      <c r="C60" t="s">
        <v>104</v>
      </c>
      <c r="D60" t="s">
        <v>105</v>
      </c>
      <c r="E60" t="s">
        <v>74</v>
      </c>
      <c r="F60" t="s">
        <v>4</v>
      </c>
      <c r="G60" s="3">
        <v>46082</v>
      </c>
      <c r="H60" s="2">
        <v>12.51</v>
      </c>
      <c r="I60" t="s">
        <v>163</v>
      </c>
      <c r="J60" t="s">
        <v>164</v>
      </c>
      <c r="K60" s="3">
        <v>46010</v>
      </c>
      <c r="L60" s="3">
        <v>46023</v>
      </c>
      <c r="M60">
        <v>2</v>
      </c>
      <c r="N60" t="s">
        <v>46</v>
      </c>
      <c r="O60" t="s">
        <v>45</v>
      </c>
      <c r="P60" t="s">
        <v>46</v>
      </c>
      <c r="Q60" t="s">
        <v>98</v>
      </c>
      <c r="R60" s="3">
        <v>45870</v>
      </c>
      <c r="S60" t="s">
        <v>0</v>
      </c>
      <c r="T60" t="s">
        <v>99</v>
      </c>
      <c r="U60" t="s">
        <v>100</v>
      </c>
      <c r="V60" t="s">
        <v>0</v>
      </c>
      <c r="W60" t="s">
        <v>165</v>
      </c>
    </row>
    <row r="62" spans="1:23" x14ac:dyDescent="0.25">
      <c r="A62" t="s">
        <v>16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s="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28</v>
      </c>
      <c r="N62" t="s">
        <v>29</v>
      </c>
      <c r="O62" t="s">
        <v>30</v>
      </c>
      <c r="P62" t="s">
        <v>31</v>
      </c>
      <c r="Q62" t="s">
        <v>32</v>
      </c>
      <c r="R62" t="s">
        <v>33</v>
      </c>
      <c r="S62" t="s">
        <v>34</v>
      </c>
      <c r="T62" t="s">
        <v>35</v>
      </c>
      <c r="U62" t="s">
        <v>36</v>
      </c>
      <c r="V62" t="s">
        <v>5</v>
      </c>
      <c r="W62" t="s">
        <v>37</v>
      </c>
    </row>
    <row r="63" spans="1:23" x14ac:dyDescent="0.25">
      <c r="A63" t="s">
        <v>56</v>
      </c>
      <c r="B63" t="s">
        <v>39</v>
      </c>
      <c r="C63" t="s">
        <v>104</v>
      </c>
      <c r="D63" t="s">
        <v>105</v>
      </c>
      <c r="E63" t="s">
        <v>104</v>
      </c>
      <c r="F63" t="s">
        <v>105</v>
      </c>
      <c r="G63" s="3">
        <v>46054</v>
      </c>
      <c r="H63" s="2">
        <v>-318.08</v>
      </c>
      <c r="I63" t="s">
        <v>106</v>
      </c>
      <c r="J63" t="s">
        <v>107</v>
      </c>
      <c r="K63" s="3">
        <v>46028</v>
      </c>
      <c r="L63" s="3">
        <v>46054</v>
      </c>
      <c r="M63">
        <v>7</v>
      </c>
      <c r="N63" t="s">
        <v>46</v>
      </c>
      <c r="O63" t="s">
        <v>45</v>
      </c>
      <c r="P63" t="s">
        <v>46</v>
      </c>
      <c r="Q63" t="s">
        <v>47</v>
      </c>
      <c r="R63" s="3">
        <v>46054</v>
      </c>
      <c r="S63" s="3">
        <v>46112</v>
      </c>
      <c r="T63" t="s">
        <v>48</v>
      </c>
      <c r="U63" t="s">
        <v>49</v>
      </c>
      <c r="V63" t="s">
        <v>0</v>
      </c>
      <c r="W63" t="s">
        <v>108</v>
      </c>
    </row>
    <row r="64" spans="1:23" x14ac:dyDescent="0.25">
      <c r="A64" t="s">
        <v>56</v>
      </c>
      <c r="B64" t="s">
        <v>73</v>
      </c>
      <c r="C64" t="s">
        <v>104</v>
      </c>
      <c r="D64" t="s">
        <v>105</v>
      </c>
      <c r="E64" t="s">
        <v>74</v>
      </c>
      <c r="F64" t="s">
        <v>4</v>
      </c>
      <c r="G64" s="3">
        <v>46054</v>
      </c>
      <c r="H64" s="2">
        <v>-150</v>
      </c>
      <c r="I64" t="s">
        <v>106</v>
      </c>
      <c r="J64" t="s">
        <v>107</v>
      </c>
      <c r="K64" s="3">
        <v>46028</v>
      </c>
      <c r="L64" s="3">
        <v>46054</v>
      </c>
      <c r="M64">
        <v>7</v>
      </c>
      <c r="N64" t="s">
        <v>46</v>
      </c>
      <c r="O64" t="s">
        <v>45</v>
      </c>
      <c r="P64" t="s">
        <v>46</v>
      </c>
      <c r="Q64" t="s">
        <v>47</v>
      </c>
      <c r="R64" s="3">
        <v>46054</v>
      </c>
      <c r="S64" s="3">
        <v>46112</v>
      </c>
      <c r="T64" t="s">
        <v>48</v>
      </c>
      <c r="U64" t="s">
        <v>49</v>
      </c>
      <c r="V64" t="s">
        <v>0</v>
      </c>
      <c r="W64" t="s">
        <v>108</v>
      </c>
    </row>
    <row r="66" spans="1:23" x14ac:dyDescent="0.25">
      <c r="A66" t="s">
        <v>16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s="2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28</v>
      </c>
      <c r="N66" t="s">
        <v>29</v>
      </c>
      <c r="O66" t="s">
        <v>30</v>
      </c>
      <c r="P66" t="s">
        <v>31</v>
      </c>
      <c r="Q66" t="s">
        <v>32</v>
      </c>
      <c r="R66" t="s">
        <v>33</v>
      </c>
      <c r="S66" t="s">
        <v>34</v>
      </c>
      <c r="T66" t="s">
        <v>35</v>
      </c>
      <c r="U66" t="s">
        <v>36</v>
      </c>
      <c r="V66" t="s">
        <v>5</v>
      </c>
      <c r="W66" t="s">
        <v>37</v>
      </c>
    </row>
    <row r="67" spans="1:23" x14ac:dyDescent="0.25">
      <c r="A67" t="s">
        <v>38</v>
      </c>
      <c r="B67" t="s">
        <v>39</v>
      </c>
      <c r="C67" t="s">
        <v>153</v>
      </c>
      <c r="D67" t="s">
        <v>154</v>
      </c>
      <c r="E67" t="s">
        <v>153</v>
      </c>
      <c r="F67" t="s">
        <v>154</v>
      </c>
      <c r="G67" s="3">
        <v>46023</v>
      </c>
      <c r="H67" s="2">
        <v>-694</v>
      </c>
      <c r="I67" t="s">
        <v>185</v>
      </c>
      <c r="J67" t="s">
        <v>186</v>
      </c>
      <c r="K67" s="3">
        <v>45998</v>
      </c>
      <c r="L67" s="3">
        <v>46023</v>
      </c>
      <c r="M67">
        <v>1</v>
      </c>
      <c r="N67" t="s">
        <v>44</v>
      </c>
      <c r="O67" t="s">
        <v>130</v>
      </c>
      <c r="P67" t="s">
        <v>46</v>
      </c>
      <c r="Q67" t="s">
        <v>116</v>
      </c>
      <c r="R67" s="3">
        <v>46023</v>
      </c>
      <c r="S67" s="3">
        <v>46112</v>
      </c>
      <c r="T67" t="s">
        <v>132</v>
      </c>
      <c r="U67" t="s">
        <v>176</v>
      </c>
      <c r="V67" t="s">
        <v>0</v>
      </c>
      <c r="W67" t="s">
        <v>187</v>
      </c>
    </row>
    <row r="68" spans="1:23" x14ac:dyDescent="0.25">
      <c r="A68" t="s">
        <v>38</v>
      </c>
      <c r="B68" t="s">
        <v>73</v>
      </c>
      <c r="C68" t="s">
        <v>153</v>
      </c>
      <c r="D68" t="s">
        <v>154</v>
      </c>
      <c r="E68" t="s">
        <v>74</v>
      </c>
      <c r="F68" t="s">
        <v>4</v>
      </c>
      <c r="G68" s="3">
        <v>46023</v>
      </c>
      <c r="H68" s="2">
        <v>-150</v>
      </c>
      <c r="I68" t="s">
        <v>185</v>
      </c>
      <c r="J68" t="s">
        <v>186</v>
      </c>
      <c r="K68" s="3">
        <v>45998</v>
      </c>
      <c r="L68" s="3">
        <v>46023</v>
      </c>
      <c r="M68">
        <v>1</v>
      </c>
      <c r="N68" t="s">
        <v>44</v>
      </c>
      <c r="O68" t="s">
        <v>130</v>
      </c>
      <c r="P68" t="s">
        <v>46</v>
      </c>
      <c r="Q68" t="s">
        <v>116</v>
      </c>
      <c r="R68" s="3">
        <v>46023</v>
      </c>
      <c r="S68" s="3">
        <v>46112</v>
      </c>
      <c r="T68" t="s">
        <v>132</v>
      </c>
      <c r="U68" t="s">
        <v>176</v>
      </c>
      <c r="V68" t="s">
        <v>0</v>
      </c>
      <c r="W68" t="s">
        <v>187</v>
      </c>
    </row>
    <row r="70" spans="1:23" x14ac:dyDescent="0.25">
      <c r="A70" t="s">
        <v>16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s="2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28</v>
      </c>
      <c r="N70" t="s">
        <v>29</v>
      </c>
      <c r="O70" t="s">
        <v>30</v>
      </c>
      <c r="P70" t="s">
        <v>31</v>
      </c>
      <c r="Q70" t="s">
        <v>32</v>
      </c>
      <c r="R70" t="s">
        <v>33</v>
      </c>
      <c r="S70" t="s">
        <v>34</v>
      </c>
      <c r="T70" t="s">
        <v>35</v>
      </c>
      <c r="U70" t="s">
        <v>36</v>
      </c>
      <c r="V70" t="s">
        <v>5</v>
      </c>
      <c r="W70" t="s">
        <v>37</v>
      </c>
    </row>
    <row r="71" spans="1:23" x14ac:dyDescent="0.25">
      <c r="A71" t="s">
        <v>38</v>
      </c>
      <c r="B71" t="s">
        <v>39</v>
      </c>
      <c r="C71" t="s">
        <v>75</v>
      </c>
      <c r="D71" t="s">
        <v>76</v>
      </c>
      <c r="E71" t="s">
        <v>75</v>
      </c>
      <c r="F71" t="s">
        <v>76</v>
      </c>
      <c r="G71" s="3">
        <v>46082</v>
      </c>
      <c r="H71" s="2">
        <v>404.84</v>
      </c>
      <c r="I71" t="s">
        <v>178</v>
      </c>
      <c r="J71" t="s">
        <v>179</v>
      </c>
      <c r="K71" s="3">
        <v>46080</v>
      </c>
      <c r="L71" s="3">
        <v>46082</v>
      </c>
      <c r="M71">
        <v>1</v>
      </c>
      <c r="N71" t="s">
        <v>97</v>
      </c>
      <c r="O71" t="s">
        <v>180</v>
      </c>
      <c r="P71" t="s">
        <v>46</v>
      </c>
      <c r="Q71" t="s">
        <v>181</v>
      </c>
      <c r="R71" s="3">
        <v>46082</v>
      </c>
      <c r="S71" t="s">
        <v>0</v>
      </c>
      <c r="T71" t="s">
        <v>182</v>
      </c>
      <c r="U71" t="s">
        <v>183</v>
      </c>
      <c r="V71" t="s">
        <v>0</v>
      </c>
      <c r="W71" t="s">
        <v>184</v>
      </c>
    </row>
    <row r="72" spans="1:23" x14ac:dyDescent="0.25">
      <c r="A72" t="s">
        <v>56</v>
      </c>
      <c r="B72" t="s">
        <v>39</v>
      </c>
      <c r="C72" t="s">
        <v>188</v>
      </c>
      <c r="D72" t="s">
        <v>189</v>
      </c>
      <c r="E72" t="s">
        <v>188</v>
      </c>
      <c r="F72" t="s">
        <v>189</v>
      </c>
      <c r="G72" s="3">
        <v>46113</v>
      </c>
      <c r="H72" s="2">
        <v>260.24</v>
      </c>
      <c r="I72" t="s">
        <v>190</v>
      </c>
      <c r="J72" t="s">
        <v>191</v>
      </c>
      <c r="K72" s="3">
        <v>46111</v>
      </c>
      <c r="L72" s="3">
        <v>46113</v>
      </c>
      <c r="M72">
        <v>2</v>
      </c>
      <c r="N72" t="s">
        <v>46</v>
      </c>
      <c r="O72" t="s">
        <v>45</v>
      </c>
      <c r="P72" t="s">
        <v>46</v>
      </c>
      <c r="Q72" t="s">
        <v>98</v>
      </c>
      <c r="R72" s="3">
        <v>46113</v>
      </c>
      <c r="S72" t="s">
        <v>0</v>
      </c>
      <c r="T72" t="s">
        <v>99</v>
      </c>
      <c r="U72" t="s">
        <v>100</v>
      </c>
      <c r="V72" t="s">
        <v>0</v>
      </c>
      <c r="W72" t="s">
        <v>192</v>
      </c>
    </row>
    <row r="73" spans="1:23" x14ac:dyDescent="0.25">
      <c r="A73" t="s">
        <v>56</v>
      </c>
      <c r="B73" t="s">
        <v>73</v>
      </c>
      <c r="C73" t="s">
        <v>188</v>
      </c>
      <c r="D73" t="s">
        <v>189</v>
      </c>
      <c r="E73" t="s">
        <v>74</v>
      </c>
      <c r="F73" t="s">
        <v>4</v>
      </c>
      <c r="G73" s="3">
        <v>46113</v>
      </c>
      <c r="H73" s="2">
        <v>56.28</v>
      </c>
      <c r="I73" t="s">
        <v>190</v>
      </c>
      <c r="J73" t="s">
        <v>191</v>
      </c>
      <c r="K73" s="3">
        <v>46111</v>
      </c>
      <c r="L73" s="3">
        <v>46113</v>
      </c>
      <c r="M73">
        <v>2</v>
      </c>
      <c r="N73" t="s">
        <v>46</v>
      </c>
      <c r="O73" t="s">
        <v>45</v>
      </c>
      <c r="P73" t="s">
        <v>46</v>
      </c>
      <c r="Q73" t="s">
        <v>98</v>
      </c>
      <c r="R73" s="3">
        <v>46113</v>
      </c>
      <c r="S73" t="s">
        <v>0</v>
      </c>
      <c r="T73" t="s">
        <v>99</v>
      </c>
      <c r="U73" t="s">
        <v>100</v>
      </c>
      <c r="V73" t="s">
        <v>0</v>
      </c>
      <c r="W73" t="s">
        <v>192</v>
      </c>
    </row>
    <row r="74" spans="1:23" x14ac:dyDescent="0.25">
      <c r="A74" t="s">
        <v>110</v>
      </c>
      <c r="B74" t="s">
        <v>39</v>
      </c>
      <c r="C74" t="s">
        <v>111</v>
      </c>
      <c r="D74" t="s">
        <v>112</v>
      </c>
      <c r="E74" t="s">
        <v>111</v>
      </c>
      <c r="F74" t="s">
        <v>112</v>
      </c>
      <c r="G74" s="3">
        <v>46113</v>
      </c>
      <c r="H74" s="2">
        <v>32.58</v>
      </c>
      <c r="I74" t="s">
        <v>113</v>
      </c>
      <c r="J74" t="s">
        <v>114</v>
      </c>
      <c r="K74" s="3">
        <v>45588</v>
      </c>
      <c r="L74" s="3">
        <v>46023</v>
      </c>
      <c r="M74">
        <v>10</v>
      </c>
      <c r="N74" t="s">
        <v>46</v>
      </c>
      <c r="O74" t="s">
        <v>115</v>
      </c>
      <c r="P74" t="s">
        <v>46</v>
      </c>
      <c r="Q74" t="s">
        <v>116</v>
      </c>
      <c r="R74" s="3">
        <v>45658</v>
      </c>
      <c r="S74" t="s">
        <v>0</v>
      </c>
      <c r="T74" t="s">
        <v>117</v>
      </c>
      <c r="U74" t="s">
        <v>118</v>
      </c>
      <c r="V74" t="s">
        <v>0</v>
      </c>
      <c r="W74" t="s">
        <v>119</v>
      </c>
    </row>
    <row r="75" spans="1:23" x14ac:dyDescent="0.25">
      <c r="A75" t="s">
        <v>110</v>
      </c>
      <c r="B75" t="s">
        <v>39</v>
      </c>
      <c r="C75" t="s">
        <v>120</v>
      </c>
      <c r="D75" t="s">
        <v>121</v>
      </c>
      <c r="E75" t="s">
        <v>120</v>
      </c>
      <c r="F75" t="s">
        <v>121</v>
      </c>
      <c r="G75" s="3">
        <v>46113</v>
      </c>
      <c r="H75" s="2">
        <v>28.92</v>
      </c>
      <c r="I75" t="s">
        <v>122</v>
      </c>
      <c r="J75" t="s">
        <v>123</v>
      </c>
      <c r="K75" s="3">
        <v>45216</v>
      </c>
      <c r="L75" s="3">
        <v>45292</v>
      </c>
      <c r="M75">
        <v>6</v>
      </c>
      <c r="N75" t="s">
        <v>46</v>
      </c>
      <c r="O75" t="s">
        <v>79</v>
      </c>
      <c r="P75" t="s">
        <v>46</v>
      </c>
      <c r="Q75" t="s">
        <v>116</v>
      </c>
      <c r="R75" s="3">
        <v>44197</v>
      </c>
      <c r="S75" t="s">
        <v>0</v>
      </c>
      <c r="T75" t="s">
        <v>81</v>
      </c>
      <c r="U75" t="s">
        <v>124</v>
      </c>
      <c r="V75" t="s">
        <v>0</v>
      </c>
      <c r="W75" t="s">
        <v>125</v>
      </c>
    </row>
    <row r="76" spans="1:23" x14ac:dyDescent="0.25">
      <c r="A76" t="s">
        <v>110</v>
      </c>
      <c r="B76" t="s">
        <v>39</v>
      </c>
      <c r="C76" t="s">
        <v>126</v>
      </c>
      <c r="D76" t="s">
        <v>127</v>
      </c>
      <c r="E76" t="s">
        <v>126</v>
      </c>
      <c r="F76" t="s">
        <v>127</v>
      </c>
      <c r="G76" s="3">
        <v>46113</v>
      </c>
      <c r="H76" s="2">
        <v>0</v>
      </c>
      <c r="I76" t="s">
        <v>128</v>
      </c>
      <c r="J76" t="s">
        <v>129</v>
      </c>
      <c r="K76" s="3">
        <v>46008</v>
      </c>
      <c r="L76" s="3">
        <v>46023</v>
      </c>
      <c r="M76">
        <v>6</v>
      </c>
      <c r="N76" t="s">
        <v>46</v>
      </c>
      <c r="O76" t="s">
        <v>130</v>
      </c>
      <c r="P76" t="s">
        <v>46</v>
      </c>
      <c r="Q76" t="s">
        <v>131</v>
      </c>
      <c r="R76" s="3">
        <v>44256</v>
      </c>
      <c r="S76" t="s">
        <v>0</v>
      </c>
      <c r="T76" t="s">
        <v>132</v>
      </c>
      <c r="U76" t="s">
        <v>133</v>
      </c>
      <c r="V76" t="s">
        <v>0</v>
      </c>
      <c r="W76" t="s">
        <v>134</v>
      </c>
    </row>
    <row r="77" spans="1:23" x14ac:dyDescent="0.25">
      <c r="A77" t="s">
        <v>110</v>
      </c>
      <c r="B77" t="s">
        <v>39</v>
      </c>
      <c r="C77" t="s">
        <v>126</v>
      </c>
      <c r="D77" t="s">
        <v>127</v>
      </c>
      <c r="E77" t="s">
        <v>126</v>
      </c>
      <c r="F77" t="s">
        <v>127</v>
      </c>
      <c r="G77" s="3">
        <v>46113</v>
      </c>
      <c r="H77" s="2">
        <v>0</v>
      </c>
      <c r="I77" t="s">
        <v>135</v>
      </c>
      <c r="J77" t="s">
        <v>136</v>
      </c>
      <c r="K77" s="3">
        <v>45615</v>
      </c>
      <c r="L77" s="3">
        <v>45658</v>
      </c>
      <c r="M77">
        <v>6</v>
      </c>
      <c r="N77" t="s">
        <v>46</v>
      </c>
      <c r="O77" t="s">
        <v>137</v>
      </c>
      <c r="P77" t="s">
        <v>46</v>
      </c>
      <c r="Q77" t="s">
        <v>62</v>
      </c>
      <c r="R77" s="3">
        <v>44287</v>
      </c>
      <c r="S77" t="s">
        <v>0</v>
      </c>
      <c r="T77" t="s">
        <v>138</v>
      </c>
      <c r="U77" t="s">
        <v>139</v>
      </c>
      <c r="V77" t="s">
        <v>0</v>
      </c>
      <c r="W77" t="s">
        <v>140</v>
      </c>
    </row>
    <row r="78" spans="1:23" x14ac:dyDescent="0.25">
      <c r="A78" t="s">
        <v>110</v>
      </c>
      <c r="B78" t="s">
        <v>39</v>
      </c>
      <c r="C78" t="s">
        <v>141</v>
      </c>
      <c r="D78" t="s">
        <v>142</v>
      </c>
      <c r="E78" t="s">
        <v>141</v>
      </c>
      <c r="F78" t="s">
        <v>142</v>
      </c>
      <c r="G78" s="3">
        <v>46113</v>
      </c>
      <c r="H78" s="2">
        <v>28.92</v>
      </c>
      <c r="I78" t="s">
        <v>143</v>
      </c>
      <c r="J78" t="s">
        <v>144</v>
      </c>
      <c r="K78" s="3">
        <v>45633</v>
      </c>
      <c r="L78" s="3">
        <v>45658</v>
      </c>
      <c r="M78">
        <v>16</v>
      </c>
      <c r="N78" t="s">
        <v>46</v>
      </c>
      <c r="O78" t="s">
        <v>79</v>
      </c>
      <c r="P78" t="s">
        <v>46</v>
      </c>
      <c r="Q78" t="s">
        <v>116</v>
      </c>
      <c r="R78" s="3">
        <v>41760</v>
      </c>
      <c r="S78" t="s">
        <v>0</v>
      </c>
      <c r="T78" t="s">
        <v>81</v>
      </c>
      <c r="U78" t="s">
        <v>145</v>
      </c>
      <c r="V78" t="s">
        <v>0</v>
      </c>
      <c r="W78" t="s">
        <v>146</v>
      </c>
    </row>
    <row r="79" spans="1:23" x14ac:dyDescent="0.25">
      <c r="A79" t="s">
        <v>110</v>
      </c>
      <c r="B79" t="s">
        <v>39</v>
      </c>
      <c r="C79" t="s">
        <v>141</v>
      </c>
      <c r="D79" t="s">
        <v>142</v>
      </c>
      <c r="E79" t="s">
        <v>141</v>
      </c>
      <c r="F79" t="s">
        <v>142</v>
      </c>
      <c r="G79" s="3">
        <v>46113</v>
      </c>
      <c r="H79" s="2">
        <v>28.92</v>
      </c>
      <c r="I79" t="s">
        <v>147</v>
      </c>
      <c r="J79" t="s">
        <v>148</v>
      </c>
      <c r="K79" s="3">
        <v>45259</v>
      </c>
      <c r="L79" s="3">
        <v>45292</v>
      </c>
      <c r="M79">
        <v>4</v>
      </c>
      <c r="N79" t="s">
        <v>46</v>
      </c>
      <c r="O79" t="s">
        <v>149</v>
      </c>
      <c r="P79" t="s">
        <v>46</v>
      </c>
      <c r="Q79" t="s">
        <v>150</v>
      </c>
      <c r="R79" s="3">
        <v>45292</v>
      </c>
      <c r="S79" t="s">
        <v>0</v>
      </c>
      <c r="T79" t="s">
        <v>151</v>
      </c>
      <c r="U79" t="s">
        <v>49</v>
      </c>
      <c r="V79" t="s">
        <v>0</v>
      </c>
      <c r="W79" t="s">
        <v>152</v>
      </c>
    </row>
    <row r="80" spans="1:23" x14ac:dyDescent="0.25">
      <c r="A80" t="s">
        <v>110</v>
      </c>
      <c r="B80" t="s">
        <v>39</v>
      </c>
      <c r="C80" t="s">
        <v>158</v>
      </c>
      <c r="D80" t="s">
        <v>159</v>
      </c>
      <c r="E80" t="s">
        <v>158</v>
      </c>
      <c r="F80" t="s">
        <v>159</v>
      </c>
      <c r="G80" s="3">
        <v>46113</v>
      </c>
      <c r="H80" s="2">
        <v>28.92</v>
      </c>
      <c r="I80" t="s">
        <v>160</v>
      </c>
      <c r="J80" t="s">
        <v>161</v>
      </c>
      <c r="K80" s="3">
        <v>45992</v>
      </c>
      <c r="L80" s="3">
        <v>46023</v>
      </c>
      <c r="M80">
        <v>15</v>
      </c>
      <c r="N80" t="s">
        <v>46</v>
      </c>
      <c r="O80" t="s">
        <v>45</v>
      </c>
      <c r="P80" t="s">
        <v>46</v>
      </c>
      <c r="Q80" t="s">
        <v>69</v>
      </c>
      <c r="R80" s="3">
        <v>44562</v>
      </c>
      <c r="S80" t="s">
        <v>0</v>
      </c>
      <c r="T80" t="s">
        <v>70</v>
      </c>
      <c r="U80" t="s">
        <v>71</v>
      </c>
      <c r="V80" t="s">
        <v>0</v>
      </c>
      <c r="W80" t="s">
        <v>162</v>
      </c>
    </row>
    <row r="81" spans="1:23" x14ac:dyDescent="0.25">
      <c r="A81" t="s">
        <v>110</v>
      </c>
      <c r="B81" t="s">
        <v>39</v>
      </c>
      <c r="C81" t="s">
        <v>104</v>
      </c>
      <c r="D81" t="s">
        <v>105</v>
      </c>
      <c r="E81" t="s">
        <v>104</v>
      </c>
      <c r="F81" t="s">
        <v>105</v>
      </c>
      <c r="G81" s="3">
        <v>46113</v>
      </c>
      <c r="H81" s="2">
        <v>28.92</v>
      </c>
      <c r="I81" t="s">
        <v>163</v>
      </c>
      <c r="J81" t="s">
        <v>164</v>
      </c>
      <c r="K81" s="3">
        <v>46010</v>
      </c>
      <c r="L81" s="3">
        <v>46023</v>
      </c>
      <c r="M81">
        <v>2</v>
      </c>
      <c r="N81" t="s">
        <v>46</v>
      </c>
      <c r="O81" t="s">
        <v>45</v>
      </c>
      <c r="P81" t="s">
        <v>46</v>
      </c>
      <c r="Q81" t="s">
        <v>98</v>
      </c>
      <c r="R81" s="3">
        <v>45870</v>
      </c>
      <c r="S81" t="s">
        <v>0</v>
      </c>
      <c r="T81" t="s">
        <v>99</v>
      </c>
      <c r="U81" t="s">
        <v>100</v>
      </c>
      <c r="V81" t="s">
        <v>0</v>
      </c>
      <c r="W81" t="s">
        <v>165</v>
      </c>
    </row>
    <row r="82" spans="1:23" x14ac:dyDescent="0.25">
      <c r="A82" t="s">
        <v>110</v>
      </c>
      <c r="B82" t="s">
        <v>39</v>
      </c>
      <c r="C82" t="s">
        <v>104</v>
      </c>
      <c r="D82" t="s">
        <v>105</v>
      </c>
      <c r="E82" t="s">
        <v>104</v>
      </c>
      <c r="F82" t="s">
        <v>105</v>
      </c>
      <c r="G82" s="3">
        <v>46113</v>
      </c>
      <c r="H82" s="2">
        <v>28.92</v>
      </c>
      <c r="I82" t="s">
        <v>166</v>
      </c>
      <c r="J82" t="s">
        <v>167</v>
      </c>
      <c r="K82" s="3">
        <v>45809</v>
      </c>
      <c r="L82" s="3">
        <v>45658</v>
      </c>
      <c r="M82">
        <v>3</v>
      </c>
      <c r="N82" t="s">
        <v>46</v>
      </c>
      <c r="O82" t="s">
        <v>45</v>
      </c>
      <c r="P82" t="s">
        <v>46</v>
      </c>
      <c r="Q82" t="s">
        <v>168</v>
      </c>
      <c r="R82" s="3">
        <v>45658</v>
      </c>
      <c r="S82" t="s">
        <v>0</v>
      </c>
      <c r="T82" t="s">
        <v>99</v>
      </c>
      <c r="U82" t="s">
        <v>169</v>
      </c>
      <c r="V82" t="s">
        <v>0</v>
      </c>
      <c r="W82" t="s">
        <v>170</v>
      </c>
    </row>
    <row r="83" spans="1:23" x14ac:dyDescent="0.25">
      <c r="A83" t="s">
        <v>110</v>
      </c>
      <c r="B83" t="s">
        <v>73</v>
      </c>
      <c r="C83" t="s">
        <v>126</v>
      </c>
      <c r="D83" t="s">
        <v>127</v>
      </c>
      <c r="E83" t="s">
        <v>74</v>
      </c>
      <c r="F83" t="s">
        <v>4</v>
      </c>
      <c r="G83" s="3">
        <v>46113</v>
      </c>
      <c r="H83" s="2">
        <v>0</v>
      </c>
      <c r="I83" t="s">
        <v>128</v>
      </c>
      <c r="J83" t="s">
        <v>129</v>
      </c>
      <c r="K83" s="3">
        <v>46008</v>
      </c>
      <c r="L83" s="3">
        <v>46023</v>
      </c>
      <c r="M83">
        <v>6</v>
      </c>
      <c r="N83" t="s">
        <v>46</v>
      </c>
      <c r="O83" t="s">
        <v>130</v>
      </c>
      <c r="P83" t="s">
        <v>46</v>
      </c>
      <c r="Q83" t="s">
        <v>131</v>
      </c>
      <c r="R83" s="3">
        <v>44256</v>
      </c>
      <c r="S83" t="s">
        <v>0</v>
      </c>
      <c r="T83" t="s">
        <v>132</v>
      </c>
      <c r="U83" t="s">
        <v>133</v>
      </c>
      <c r="V83" t="s">
        <v>0</v>
      </c>
      <c r="W83" t="s">
        <v>134</v>
      </c>
    </row>
    <row r="84" spans="1:23" x14ac:dyDescent="0.25">
      <c r="A84" t="s">
        <v>110</v>
      </c>
      <c r="B84" t="s">
        <v>73</v>
      </c>
      <c r="C84" t="s">
        <v>158</v>
      </c>
      <c r="D84" t="s">
        <v>159</v>
      </c>
      <c r="E84" t="s">
        <v>74</v>
      </c>
      <c r="F84" t="s">
        <v>4</v>
      </c>
      <c r="G84" s="3">
        <v>46113</v>
      </c>
      <c r="H84" s="2">
        <v>6.24</v>
      </c>
      <c r="I84" t="s">
        <v>160</v>
      </c>
      <c r="J84" t="s">
        <v>161</v>
      </c>
      <c r="K84" s="3">
        <v>45992</v>
      </c>
      <c r="L84" s="3">
        <v>46023</v>
      </c>
      <c r="M84">
        <v>15</v>
      </c>
      <c r="N84" t="s">
        <v>46</v>
      </c>
      <c r="O84" t="s">
        <v>45</v>
      </c>
      <c r="P84" t="s">
        <v>46</v>
      </c>
      <c r="Q84" t="s">
        <v>69</v>
      </c>
      <c r="R84" s="3">
        <v>44562</v>
      </c>
      <c r="S84" t="s">
        <v>0</v>
      </c>
      <c r="T84" t="s">
        <v>70</v>
      </c>
      <c r="U84" t="s">
        <v>71</v>
      </c>
      <c r="V84" t="s">
        <v>0</v>
      </c>
      <c r="W84" t="s">
        <v>162</v>
      </c>
    </row>
    <row r="85" spans="1:23" x14ac:dyDescent="0.25">
      <c r="A85" t="s">
        <v>110</v>
      </c>
      <c r="B85" t="s">
        <v>73</v>
      </c>
      <c r="C85" t="s">
        <v>104</v>
      </c>
      <c r="D85" t="s">
        <v>105</v>
      </c>
      <c r="E85" t="s">
        <v>74</v>
      </c>
      <c r="F85" t="s">
        <v>4</v>
      </c>
      <c r="G85" s="3">
        <v>46113</v>
      </c>
      <c r="H85" s="2">
        <v>12.51</v>
      </c>
      <c r="I85" t="s">
        <v>163</v>
      </c>
      <c r="J85" t="s">
        <v>164</v>
      </c>
      <c r="K85" s="3">
        <v>46010</v>
      </c>
      <c r="L85" s="3">
        <v>46023</v>
      </c>
      <c r="M85">
        <v>2</v>
      </c>
      <c r="N85" t="s">
        <v>46</v>
      </c>
      <c r="O85" t="s">
        <v>45</v>
      </c>
      <c r="P85" t="s">
        <v>46</v>
      </c>
      <c r="Q85" t="s">
        <v>98</v>
      </c>
      <c r="R85" s="3">
        <v>45870</v>
      </c>
      <c r="S85" t="s">
        <v>0</v>
      </c>
      <c r="T85" t="s">
        <v>99</v>
      </c>
      <c r="U85" t="s">
        <v>100</v>
      </c>
      <c r="V85" t="s">
        <v>0</v>
      </c>
      <c r="W85" t="s">
        <v>165</v>
      </c>
    </row>
    <row r="87" spans="1:23" x14ac:dyDescent="0.25">
      <c r="A87" t="s">
        <v>16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s="2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28</v>
      </c>
      <c r="N87" t="s">
        <v>29</v>
      </c>
      <c r="O87" t="s">
        <v>30</v>
      </c>
      <c r="P87" t="s">
        <v>31</v>
      </c>
      <c r="Q87" t="s">
        <v>32</v>
      </c>
      <c r="R87" t="s">
        <v>33</v>
      </c>
      <c r="S87" t="s">
        <v>34</v>
      </c>
      <c r="T87" t="s">
        <v>35</v>
      </c>
      <c r="U87" t="s">
        <v>36</v>
      </c>
      <c r="V87" t="s">
        <v>5</v>
      </c>
      <c r="W87" t="s">
        <v>37</v>
      </c>
    </row>
    <row r="88" spans="1:23" x14ac:dyDescent="0.25">
      <c r="A88" t="s">
        <v>56</v>
      </c>
      <c r="B88" t="s">
        <v>39</v>
      </c>
      <c r="C88" t="s">
        <v>193</v>
      </c>
      <c r="D88" t="s">
        <v>194</v>
      </c>
      <c r="E88" t="s">
        <v>193</v>
      </c>
      <c r="F88" t="s">
        <v>194</v>
      </c>
      <c r="G88" s="3">
        <v>46174</v>
      </c>
      <c r="H88" s="2">
        <v>202.4</v>
      </c>
      <c r="I88" t="s">
        <v>195</v>
      </c>
      <c r="J88" t="s">
        <v>196</v>
      </c>
      <c r="K88" s="3">
        <v>46127</v>
      </c>
      <c r="L88" s="3">
        <v>46174</v>
      </c>
      <c r="M88">
        <v>2</v>
      </c>
      <c r="N88" t="s">
        <v>97</v>
      </c>
      <c r="O88" t="s">
        <v>45</v>
      </c>
      <c r="P88" t="s">
        <v>46</v>
      </c>
      <c r="Q88" t="s">
        <v>98</v>
      </c>
      <c r="R88" s="3">
        <v>46174</v>
      </c>
      <c r="S88" t="s">
        <v>0</v>
      </c>
      <c r="T88" t="s">
        <v>99</v>
      </c>
      <c r="U88" t="s">
        <v>100</v>
      </c>
      <c r="V88" t="s">
        <v>0</v>
      </c>
      <c r="W88" t="s">
        <v>197</v>
      </c>
    </row>
    <row r="89" spans="1:23" x14ac:dyDescent="0.25">
      <c r="A89" t="s">
        <v>56</v>
      </c>
      <c r="B89" t="s">
        <v>73</v>
      </c>
      <c r="C89" t="s">
        <v>193</v>
      </c>
      <c r="D89" t="s">
        <v>194</v>
      </c>
      <c r="E89" t="s">
        <v>74</v>
      </c>
      <c r="F89" t="s">
        <v>4</v>
      </c>
      <c r="G89" s="3">
        <v>46174</v>
      </c>
      <c r="H89" s="2">
        <v>43.8</v>
      </c>
      <c r="I89" t="s">
        <v>195</v>
      </c>
      <c r="J89" t="s">
        <v>196</v>
      </c>
      <c r="K89" s="3">
        <v>46127</v>
      </c>
      <c r="L89" s="3">
        <v>46174</v>
      </c>
      <c r="M89">
        <v>2</v>
      </c>
      <c r="N89" t="s">
        <v>97</v>
      </c>
      <c r="O89" t="s">
        <v>45</v>
      </c>
      <c r="P89" t="s">
        <v>46</v>
      </c>
      <c r="Q89" t="s">
        <v>98</v>
      </c>
      <c r="R89" s="3">
        <v>46174</v>
      </c>
      <c r="S89" t="s">
        <v>0</v>
      </c>
      <c r="T89" t="s">
        <v>99</v>
      </c>
      <c r="U89" t="s">
        <v>100</v>
      </c>
      <c r="V89" t="s">
        <v>0</v>
      </c>
      <c r="W89" t="s">
        <v>197</v>
      </c>
    </row>
    <row r="91" spans="1:23" x14ac:dyDescent="0.25">
      <c r="A91" t="s">
        <v>16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s="2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 t="s">
        <v>33</v>
      </c>
      <c r="S91" t="s">
        <v>34</v>
      </c>
      <c r="T91" t="s">
        <v>35</v>
      </c>
      <c r="U91" t="s">
        <v>36</v>
      </c>
      <c r="V91" t="s">
        <v>5</v>
      </c>
      <c r="W91" t="s">
        <v>37</v>
      </c>
    </row>
    <row r="92" spans="1:23" x14ac:dyDescent="0.25">
      <c r="A92" t="s">
        <v>38</v>
      </c>
      <c r="B92" t="s">
        <v>39</v>
      </c>
      <c r="C92" t="s">
        <v>193</v>
      </c>
      <c r="D92" t="s">
        <v>194</v>
      </c>
      <c r="E92" t="s">
        <v>193</v>
      </c>
      <c r="F92" t="s">
        <v>194</v>
      </c>
      <c r="G92" s="3">
        <v>46174</v>
      </c>
      <c r="H92" s="2">
        <v>491.6</v>
      </c>
      <c r="I92" t="s">
        <v>195</v>
      </c>
      <c r="J92" t="s">
        <v>196</v>
      </c>
      <c r="K92" s="3">
        <v>46127</v>
      </c>
      <c r="L92" s="3">
        <v>46174</v>
      </c>
      <c r="M92">
        <v>1</v>
      </c>
      <c r="N92" t="s">
        <v>97</v>
      </c>
      <c r="O92" t="s">
        <v>45</v>
      </c>
      <c r="P92" t="s">
        <v>46</v>
      </c>
      <c r="Q92" t="s">
        <v>98</v>
      </c>
      <c r="R92" s="3">
        <v>46174</v>
      </c>
      <c r="S92" t="s">
        <v>0</v>
      </c>
      <c r="T92" t="s">
        <v>99</v>
      </c>
      <c r="U92" t="s">
        <v>100</v>
      </c>
      <c r="V92" t="s">
        <v>0</v>
      </c>
      <c r="W92" t="s">
        <v>197</v>
      </c>
    </row>
    <row r="93" spans="1:23" x14ac:dyDescent="0.25">
      <c r="A93" t="s">
        <v>38</v>
      </c>
      <c r="B93" t="s">
        <v>39</v>
      </c>
      <c r="C93" t="s">
        <v>188</v>
      </c>
      <c r="D93" t="s">
        <v>189</v>
      </c>
      <c r="E93" t="s">
        <v>188</v>
      </c>
      <c r="F93" t="s">
        <v>189</v>
      </c>
      <c r="G93" s="3">
        <v>46113</v>
      </c>
      <c r="H93" s="2">
        <v>260.27</v>
      </c>
      <c r="I93" t="s">
        <v>190</v>
      </c>
      <c r="J93" t="s">
        <v>191</v>
      </c>
      <c r="K93" s="3">
        <v>46111</v>
      </c>
      <c r="L93" s="3">
        <v>46113</v>
      </c>
      <c r="M93">
        <v>1</v>
      </c>
      <c r="N93" t="s">
        <v>46</v>
      </c>
      <c r="O93" t="s">
        <v>45</v>
      </c>
      <c r="P93" t="s">
        <v>46</v>
      </c>
      <c r="Q93" t="s">
        <v>98</v>
      </c>
      <c r="R93" s="3">
        <v>46113</v>
      </c>
      <c r="S93" t="s">
        <v>0</v>
      </c>
      <c r="T93" t="s">
        <v>99</v>
      </c>
      <c r="U93" t="s">
        <v>100</v>
      </c>
      <c r="V93" t="s">
        <v>0</v>
      </c>
      <c r="W93" t="s">
        <v>192</v>
      </c>
    </row>
    <row r="94" spans="1:23" x14ac:dyDescent="0.25">
      <c r="A94" t="s">
        <v>56</v>
      </c>
      <c r="B94" t="s">
        <v>39</v>
      </c>
      <c r="C94" t="s">
        <v>104</v>
      </c>
      <c r="D94" t="s">
        <v>105</v>
      </c>
      <c r="E94" t="s">
        <v>104</v>
      </c>
      <c r="F94" t="s">
        <v>105</v>
      </c>
      <c r="G94" s="3">
        <v>46054</v>
      </c>
      <c r="H94" s="2">
        <v>57.84</v>
      </c>
      <c r="I94" t="s">
        <v>106</v>
      </c>
      <c r="J94" t="s">
        <v>107</v>
      </c>
      <c r="K94" s="3">
        <v>46028</v>
      </c>
      <c r="L94" s="3">
        <v>46054</v>
      </c>
      <c r="M94">
        <v>7</v>
      </c>
      <c r="N94" t="s">
        <v>46</v>
      </c>
      <c r="O94" t="s">
        <v>45</v>
      </c>
      <c r="P94" t="s">
        <v>46</v>
      </c>
      <c r="Q94" t="s">
        <v>47</v>
      </c>
      <c r="R94" s="3">
        <v>46054</v>
      </c>
      <c r="S94" s="3">
        <v>46112</v>
      </c>
      <c r="T94" t="s">
        <v>48</v>
      </c>
      <c r="U94" t="s">
        <v>49</v>
      </c>
      <c r="V94" t="s">
        <v>0</v>
      </c>
      <c r="W94" t="s">
        <v>108</v>
      </c>
    </row>
    <row r="95" spans="1:23" x14ac:dyDescent="0.25">
      <c r="A95" t="s">
        <v>56</v>
      </c>
      <c r="B95" t="s">
        <v>73</v>
      </c>
      <c r="C95" t="s">
        <v>104</v>
      </c>
      <c r="D95" t="s">
        <v>105</v>
      </c>
      <c r="E95" t="s">
        <v>74</v>
      </c>
      <c r="F95" t="s">
        <v>4</v>
      </c>
      <c r="G95" s="3">
        <v>46054</v>
      </c>
      <c r="H95" s="2">
        <v>37.53</v>
      </c>
      <c r="I95" t="s">
        <v>106</v>
      </c>
      <c r="J95" t="s">
        <v>107</v>
      </c>
      <c r="K95" s="3">
        <v>46028</v>
      </c>
      <c r="L95" s="3">
        <v>46054</v>
      </c>
      <c r="M95">
        <v>7</v>
      </c>
      <c r="N95" t="s">
        <v>46</v>
      </c>
      <c r="O95" t="s">
        <v>45</v>
      </c>
      <c r="P95" t="s">
        <v>46</v>
      </c>
      <c r="Q95" t="s">
        <v>47</v>
      </c>
      <c r="R95" s="3">
        <v>46054</v>
      </c>
      <c r="S95" s="3">
        <v>46112</v>
      </c>
      <c r="T95" t="s">
        <v>48</v>
      </c>
      <c r="U95" t="s">
        <v>49</v>
      </c>
      <c r="V95" t="s">
        <v>0</v>
      </c>
      <c r="W95" t="s">
        <v>108</v>
      </c>
    </row>
    <row r="99" spans="1:23" x14ac:dyDescent="0.25">
      <c r="A99" t="s">
        <v>16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s="2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28</v>
      </c>
      <c r="N99" t="s">
        <v>29</v>
      </c>
      <c r="O99" t="s">
        <v>30</v>
      </c>
      <c r="P99" t="s">
        <v>31</v>
      </c>
      <c r="Q99" t="s">
        <v>32</v>
      </c>
      <c r="R99" t="s">
        <v>33</v>
      </c>
      <c r="S99" t="s">
        <v>34</v>
      </c>
      <c r="T99" t="s">
        <v>35</v>
      </c>
      <c r="U99" t="s">
        <v>36</v>
      </c>
      <c r="V99" t="s">
        <v>5</v>
      </c>
      <c r="W99" t="s">
        <v>37</v>
      </c>
    </row>
    <row r="100" spans="1:23" x14ac:dyDescent="0.25">
      <c r="A100" t="s">
        <v>56</v>
      </c>
      <c r="B100" t="s">
        <v>39</v>
      </c>
      <c r="C100" t="s">
        <v>84</v>
      </c>
      <c r="D100" t="s">
        <v>85</v>
      </c>
      <c r="E100" t="s">
        <v>84</v>
      </c>
      <c r="F100" t="s">
        <v>85</v>
      </c>
      <c r="G100" s="3">
        <v>46054</v>
      </c>
      <c r="H100" s="2">
        <v>-28.92</v>
      </c>
      <c r="I100" t="s">
        <v>86</v>
      </c>
      <c r="J100" t="s">
        <v>87</v>
      </c>
      <c r="K100" s="3">
        <v>46050</v>
      </c>
      <c r="L100" s="3">
        <v>46054</v>
      </c>
      <c r="M100">
        <v>2</v>
      </c>
      <c r="N100" t="s">
        <v>46</v>
      </c>
      <c r="O100" t="s">
        <v>88</v>
      </c>
      <c r="P100" t="s">
        <v>46</v>
      </c>
      <c r="Q100" t="s">
        <v>89</v>
      </c>
      <c r="R100" s="3">
        <v>46054</v>
      </c>
      <c r="S100" s="3">
        <v>46054</v>
      </c>
      <c r="T100" t="s">
        <v>90</v>
      </c>
      <c r="U100" t="s">
        <v>91</v>
      </c>
      <c r="V100" t="s">
        <v>0</v>
      </c>
      <c r="W100" t="s">
        <v>92</v>
      </c>
    </row>
    <row r="101" spans="1:23" x14ac:dyDescent="0.25">
      <c r="A101" t="s">
        <v>56</v>
      </c>
      <c r="B101" t="s">
        <v>39</v>
      </c>
      <c r="C101" t="s">
        <v>84</v>
      </c>
      <c r="D101" t="s">
        <v>85</v>
      </c>
      <c r="E101" t="s">
        <v>84</v>
      </c>
      <c r="F101" t="s">
        <v>85</v>
      </c>
      <c r="G101" s="3">
        <v>46054</v>
      </c>
      <c r="H101" s="2">
        <v>28.92</v>
      </c>
      <c r="I101" t="s">
        <v>198</v>
      </c>
      <c r="J101" t="s">
        <v>87</v>
      </c>
      <c r="K101" s="3">
        <v>46050</v>
      </c>
      <c r="L101" s="3">
        <v>46054</v>
      </c>
      <c r="M101">
        <v>2</v>
      </c>
      <c r="N101" t="s">
        <v>46</v>
      </c>
      <c r="O101" t="s">
        <v>88</v>
      </c>
      <c r="P101" t="s">
        <v>46</v>
      </c>
      <c r="Q101" t="s">
        <v>89</v>
      </c>
      <c r="R101" s="3">
        <v>46054</v>
      </c>
      <c r="S101" s="3">
        <v>46081</v>
      </c>
      <c r="T101" t="s">
        <v>90</v>
      </c>
      <c r="U101" t="s">
        <v>91</v>
      </c>
      <c r="V101" t="s">
        <v>0</v>
      </c>
      <c r="W101" t="s">
        <v>92</v>
      </c>
    </row>
    <row r="102" spans="1:23" x14ac:dyDescent="0.25">
      <c r="A102" t="s">
        <v>56</v>
      </c>
      <c r="B102" t="s">
        <v>39</v>
      </c>
      <c r="C102" t="s">
        <v>93</v>
      </c>
      <c r="D102" t="s">
        <v>94</v>
      </c>
      <c r="E102" t="s">
        <v>93</v>
      </c>
      <c r="F102" t="s">
        <v>94</v>
      </c>
      <c r="G102" s="3">
        <v>46023</v>
      </c>
      <c r="H102" s="2">
        <v>-347</v>
      </c>
      <c r="I102" t="s">
        <v>199</v>
      </c>
      <c r="J102" t="s">
        <v>200</v>
      </c>
      <c r="K102" s="3">
        <v>45980</v>
      </c>
      <c r="L102" s="3">
        <v>46023</v>
      </c>
      <c r="M102">
        <v>3</v>
      </c>
      <c r="N102" t="s">
        <v>46</v>
      </c>
      <c r="O102" t="s">
        <v>45</v>
      </c>
      <c r="P102" t="s">
        <v>46</v>
      </c>
      <c r="Q102" t="s">
        <v>201</v>
      </c>
      <c r="R102" s="3">
        <v>46023</v>
      </c>
      <c r="S102" s="3">
        <v>46023</v>
      </c>
      <c r="T102" t="s">
        <v>70</v>
      </c>
      <c r="U102" t="s">
        <v>100</v>
      </c>
      <c r="V102" t="s">
        <v>0</v>
      </c>
      <c r="W102" t="s">
        <v>202</v>
      </c>
    </row>
    <row r="103" spans="1:23" x14ac:dyDescent="0.25">
      <c r="A103" t="s">
        <v>56</v>
      </c>
      <c r="B103" t="s">
        <v>39</v>
      </c>
      <c r="C103" t="s">
        <v>93</v>
      </c>
      <c r="D103" t="s">
        <v>94</v>
      </c>
      <c r="E103" t="s">
        <v>93</v>
      </c>
      <c r="F103" t="s">
        <v>94</v>
      </c>
      <c r="G103" s="3">
        <v>46023</v>
      </c>
      <c r="H103" s="2">
        <v>347</v>
      </c>
      <c r="I103" t="s">
        <v>203</v>
      </c>
      <c r="J103" t="s">
        <v>200</v>
      </c>
      <c r="K103" s="3">
        <v>45980</v>
      </c>
      <c r="L103" s="3">
        <v>46023</v>
      </c>
      <c r="M103">
        <v>2</v>
      </c>
      <c r="N103" t="s">
        <v>46</v>
      </c>
      <c r="O103" t="s">
        <v>45</v>
      </c>
      <c r="P103" t="s">
        <v>46</v>
      </c>
      <c r="Q103" t="s">
        <v>201</v>
      </c>
      <c r="R103" s="3">
        <v>46023</v>
      </c>
      <c r="S103" t="s">
        <v>0</v>
      </c>
      <c r="T103" t="s">
        <v>70</v>
      </c>
      <c r="U103" t="s">
        <v>100</v>
      </c>
      <c r="V103" t="s">
        <v>0</v>
      </c>
      <c r="W103" t="s">
        <v>202</v>
      </c>
    </row>
    <row r="104" spans="1:23" x14ac:dyDescent="0.25">
      <c r="A104" t="s">
        <v>56</v>
      </c>
      <c r="B104" t="s">
        <v>73</v>
      </c>
      <c r="C104" t="s">
        <v>84</v>
      </c>
      <c r="D104" t="s">
        <v>85</v>
      </c>
      <c r="E104" t="s">
        <v>74</v>
      </c>
      <c r="F104" t="s">
        <v>4</v>
      </c>
      <c r="G104" s="3">
        <v>46054</v>
      </c>
      <c r="H104" s="2">
        <v>-25.02</v>
      </c>
      <c r="I104" t="s">
        <v>86</v>
      </c>
      <c r="J104" t="s">
        <v>87</v>
      </c>
      <c r="K104" s="3">
        <v>46050</v>
      </c>
      <c r="L104" s="3">
        <v>46054</v>
      </c>
      <c r="M104">
        <v>2</v>
      </c>
      <c r="N104" t="s">
        <v>46</v>
      </c>
      <c r="O104" t="s">
        <v>88</v>
      </c>
      <c r="P104" t="s">
        <v>46</v>
      </c>
      <c r="Q104" t="s">
        <v>89</v>
      </c>
      <c r="R104" s="3">
        <v>46054</v>
      </c>
      <c r="S104" s="3">
        <v>46054</v>
      </c>
      <c r="T104" t="s">
        <v>90</v>
      </c>
      <c r="U104" t="s">
        <v>91</v>
      </c>
      <c r="V104" t="s">
        <v>0</v>
      </c>
      <c r="W104" t="s">
        <v>92</v>
      </c>
    </row>
    <row r="105" spans="1:23" x14ac:dyDescent="0.25">
      <c r="A105" t="s">
        <v>56</v>
      </c>
      <c r="B105" t="s">
        <v>73</v>
      </c>
      <c r="C105" t="s">
        <v>84</v>
      </c>
      <c r="D105" t="s">
        <v>85</v>
      </c>
      <c r="E105" t="s">
        <v>74</v>
      </c>
      <c r="F105" t="s">
        <v>4</v>
      </c>
      <c r="G105" s="3">
        <v>46054</v>
      </c>
      <c r="H105" s="2">
        <v>25.02</v>
      </c>
      <c r="I105" t="s">
        <v>198</v>
      </c>
      <c r="J105" t="s">
        <v>87</v>
      </c>
      <c r="K105" s="3">
        <v>46050</v>
      </c>
      <c r="L105" s="3">
        <v>46054</v>
      </c>
      <c r="M105">
        <v>2</v>
      </c>
      <c r="N105" t="s">
        <v>46</v>
      </c>
      <c r="O105" t="s">
        <v>88</v>
      </c>
      <c r="P105" t="s">
        <v>46</v>
      </c>
      <c r="Q105" t="s">
        <v>89</v>
      </c>
      <c r="R105" s="3">
        <v>46054</v>
      </c>
      <c r="S105" s="3">
        <v>46081</v>
      </c>
      <c r="T105" t="s">
        <v>90</v>
      </c>
      <c r="U105" t="s">
        <v>91</v>
      </c>
      <c r="V105" t="s">
        <v>0</v>
      </c>
      <c r="W105" t="s">
        <v>92</v>
      </c>
    </row>
    <row r="106" spans="1:23" x14ac:dyDescent="0.25">
      <c r="A106" t="s">
        <v>56</v>
      </c>
      <c r="B106" t="s">
        <v>73</v>
      </c>
      <c r="C106" t="s">
        <v>93</v>
      </c>
      <c r="D106" t="s">
        <v>94</v>
      </c>
      <c r="E106" t="s">
        <v>74</v>
      </c>
      <c r="F106" t="s">
        <v>4</v>
      </c>
      <c r="G106" s="3">
        <v>46023</v>
      </c>
      <c r="H106" s="2">
        <v>-150</v>
      </c>
      <c r="I106" t="s">
        <v>199</v>
      </c>
      <c r="J106" t="s">
        <v>200</v>
      </c>
      <c r="K106" s="3">
        <v>45980</v>
      </c>
      <c r="L106" s="3">
        <v>46023</v>
      </c>
      <c r="M106">
        <v>3</v>
      </c>
      <c r="N106" t="s">
        <v>46</v>
      </c>
      <c r="O106" t="s">
        <v>45</v>
      </c>
      <c r="P106" t="s">
        <v>46</v>
      </c>
      <c r="Q106" t="s">
        <v>201</v>
      </c>
      <c r="R106" s="3">
        <v>46023</v>
      </c>
      <c r="S106" s="3">
        <v>46023</v>
      </c>
      <c r="T106" t="s">
        <v>70</v>
      </c>
      <c r="U106" t="s">
        <v>100</v>
      </c>
      <c r="V106" t="s">
        <v>0</v>
      </c>
      <c r="W106" t="s">
        <v>202</v>
      </c>
    </row>
    <row r="107" spans="1:23" x14ac:dyDescent="0.25">
      <c r="A107" t="s">
        <v>56</v>
      </c>
      <c r="B107" t="s">
        <v>73</v>
      </c>
      <c r="C107" t="s">
        <v>93</v>
      </c>
      <c r="D107" t="s">
        <v>94</v>
      </c>
      <c r="E107" t="s">
        <v>74</v>
      </c>
      <c r="F107" t="s">
        <v>4</v>
      </c>
      <c r="G107" s="3">
        <v>46023</v>
      </c>
      <c r="H107" s="2">
        <v>150</v>
      </c>
      <c r="I107" t="s">
        <v>203</v>
      </c>
      <c r="J107" t="s">
        <v>200</v>
      </c>
      <c r="K107" s="3">
        <v>45980</v>
      </c>
      <c r="L107" s="3">
        <v>46023</v>
      </c>
      <c r="M107">
        <v>2</v>
      </c>
      <c r="N107" t="s">
        <v>46</v>
      </c>
      <c r="O107" t="s">
        <v>45</v>
      </c>
      <c r="P107" t="s">
        <v>46</v>
      </c>
      <c r="Q107" t="s">
        <v>201</v>
      </c>
      <c r="R107" s="3">
        <v>46023</v>
      </c>
      <c r="S107" t="s">
        <v>0</v>
      </c>
      <c r="T107" t="s">
        <v>70</v>
      </c>
      <c r="U107" t="s">
        <v>100</v>
      </c>
      <c r="V107" t="s">
        <v>0</v>
      </c>
      <c r="W107" t="s">
        <v>202</v>
      </c>
    </row>
    <row r="108" spans="1:23" x14ac:dyDescent="0.25">
      <c r="A108" t="s">
        <v>110</v>
      </c>
      <c r="B108" t="s">
        <v>39</v>
      </c>
      <c r="C108" t="s">
        <v>111</v>
      </c>
      <c r="D108" t="s">
        <v>112</v>
      </c>
      <c r="E108" t="s">
        <v>111</v>
      </c>
      <c r="F108" t="s">
        <v>112</v>
      </c>
      <c r="G108" s="3">
        <v>46143</v>
      </c>
      <c r="H108" s="2">
        <v>32.58</v>
      </c>
      <c r="I108" t="s">
        <v>113</v>
      </c>
      <c r="J108" t="s">
        <v>114</v>
      </c>
      <c r="K108" s="3">
        <v>45588</v>
      </c>
      <c r="L108" s="3">
        <v>46023</v>
      </c>
      <c r="M108">
        <v>10</v>
      </c>
      <c r="N108" t="s">
        <v>46</v>
      </c>
      <c r="O108" t="s">
        <v>115</v>
      </c>
      <c r="P108" t="s">
        <v>46</v>
      </c>
      <c r="Q108" t="s">
        <v>116</v>
      </c>
      <c r="R108" s="3">
        <v>45658</v>
      </c>
      <c r="S108" t="s">
        <v>0</v>
      </c>
      <c r="T108" t="s">
        <v>117</v>
      </c>
      <c r="U108" t="s">
        <v>118</v>
      </c>
      <c r="V108" t="s">
        <v>0</v>
      </c>
      <c r="W108" t="s">
        <v>119</v>
      </c>
    </row>
    <row r="109" spans="1:23" x14ac:dyDescent="0.25">
      <c r="A109" t="s">
        <v>110</v>
      </c>
      <c r="B109" t="s">
        <v>39</v>
      </c>
      <c r="C109" t="s">
        <v>120</v>
      </c>
      <c r="D109" t="s">
        <v>121</v>
      </c>
      <c r="E109" t="s">
        <v>120</v>
      </c>
      <c r="F109" t="s">
        <v>121</v>
      </c>
      <c r="G109" s="3">
        <v>46143</v>
      </c>
      <c r="H109" s="2">
        <v>28.92</v>
      </c>
      <c r="I109" t="s">
        <v>122</v>
      </c>
      <c r="J109" t="s">
        <v>123</v>
      </c>
      <c r="K109" s="3">
        <v>45216</v>
      </c>
      <c r="L109" s="3">
        <v>45292</v>
      </c>
      <c r="M109">
        <v>6</v>
      </c>
      <c r="N109" t="s">
        <v>46</v>
      </c>
      <c r="O109" t="s">
        <v>79</v>
      </c>
      <c r="P109" t="s">
        <v>46</v>
      </c>
      <c r="Q109" t="s">
        <v>116</v>
      </c>
      <c r="R109" s="3">
        <v>44197</v>
      </c>
      <c r="S109" t="s">
        <v>0</v>
      </c>
      <c r="T109" t="s">
        <v>81</v>
      </c>
      <c r="U109" t="s">
        <v>124</v>
      </c>
      <c r="V109" t="s">
        <v>0</v>
      </c>
      <c r="W109" t="s">
        <v>125</v>
      </c>
    </row>
    <row r="110" spans="1:23" x14ac:dyDescent="0.25">
      <c r="A110" t="s">
        <v>110</v>
      </c>
      <c r="B110" t="s">
        <v>39</v>
      </c>
      <c r="C110" t="s">
        <v>126</v>
      </c>
      <c r="D110" t="s">
        <v>127</v>
      </c>
      <c r="E110" t="s">
        <v>126</v>
      </c>
      <c r="F110" t="s">
        <v>127</v>
      </c>
      <c r="G110" s="3">
        <v>46143</v>
      </c>
      <c r="H110" s="2">
        <v>0</v>
      </c>
      <c r="I110" t="s">
        <v>128</v>
      </c>
      <c r="J110" t="s">
        <v>129</v>
      </c>
      <c r="K110" s="3">
        <v>46008</v>
      </c>
      <c r="L110" s="3">
        <v>46023</v>
      </c>
      <c r="M110">
        <v>6</v>
      </c>
      <c r="N110" t="s">
        <v>46</v>
      </c>
      <c r="O110" t="s">
        <v>130</v>
      </c>
      <c r="P110" t="s">
        <v>46</v>
      </c>
      <c r="Q110" t="s">
        <v>131</v>
      </c>
      <c r="R110" s="3">
        <v>44256</v>
      </c>
      <c r="S110" t="s">
        <v>0</v>
      </c>
      <c r="T110" t="s">
        <v>132</v>
      </c>
      <c r="U110" t="s">
        <v>133</v>
      </c>
      <c r="V110" t="s">
        <v>0</v>
      </c>
      <c r="W110" t="s">
        <v>134</v>
      </c>
    </row>
    <row r="111" spans="1:23" x14ac:dyDescent="0.25">
      <c r="A111" t="s">
        <v>110</v>
      </c>
      <c r="B111" t="s">
        <v>39</v>
      </c>
      <c r="C111" t="s">
        <v>126</v>
      </c>
      <c r="D111" t="s">
        <v>127</v>
      </c>
      <c r="E111" t="s">
        <v>126</v>
      </c>
      <c r="F111" t="s">
        <v>127</v>
      </c>
      <c r="G111" s="3">
        <v>46143</v>
      </c>
      <c r="H111" s="2">
        <v>0</v>
      </c>
      <c r="I111" t="s">
        <v>135</v>
      </c>
      <c r="J111" t="s">
        <v>136</v>
      </c>
      <c r="K111" s="3">
        <v>45615</v>
      </c>
      <c r="L111" s="3">
        <v>45658</v>
      </c>
      <c r="M111">
        <v>6</v>
      </c>
      <c r="N111" t="s">
        <v>46</v>
      </c>
      <c r="O111" t="s">
        <v>137</v>
      </c>
      <c r="P111" t="s">
        <v>46</v>
      </c>
      <c r="Q111" t="s">
        <v>62</v>
      </c>
      <c r="R111" s="3">
        <v>44287</v>
      </c>
      <c r="S111" t="s">
        <v>0</v>
      </c>
      <c r="T111" t="s">
        <v>138</v>
      </c>
      <c r="U111" t="s">
        <v>139</v>
      </c>
      <c r="V111" t="s">
        <v>0</v>
      </c>
      <c r="W111" t="s">
        <v>140</v>
      </c>
    </row>
    <row r="112" spans="1:23" x14ac:dyDescent="0.25">
      <c r="A112" t="s">
        <v>110</v>
      </c>
      <c r="B112" t="s">
        <v>39</v>
      </c>
      <c r="C112" t="s">
        <v>141</v>
      </c>
      <c r="D112" t="s">
        <v>142</v>
      </c>
      <c r="E112" t="s">
        <v>141</v>
      </c>
      <c r="F112" t="s">
        <v>142</v>
      </c>
      <c r="G112" s="3">
        <v>46143</v>
      </c>
      <c r="H112" s="2">
        <v>28.92</v>
      </c>
      <c r="I112" t="s">
        <v>143</v>
      </c>
      <c r="J112" t="s">
        <v>144</v>
      </c>
      <c r="K112" s="3">
        <v>45633</v>
      </c>
      <c r="L112" s="3">
        <v>45658</v>
      </c>
      <c r="M112">
        <v>16</v>
      </c>
      <c r="N112" t="s">
        <v>46</v>
      </c>
      <c r="O112" t="s">
        <v>79</v>
      </c>
      <c r="P112" t="s">
        <v>46</v>
      </c>
      <c r="Q112" t="s">
        <v>116</v>
      </c>
      <c r="R112" s="3">
        <v>41760</v>
      </c>
      <c r="S112" t="s">
        <v>0</v>
      </c>
      <c r="T112" t="s">
        <v>81</v>
      </c>
      <c r="U112" t="s">
        <v>145</v>
      </c>
      <c r="V112" t="s">
        <v>0</v>
      </c>
      <c r="W112" t="s">
        <v>146</v>
      </c>
    </row>
    <row r="113" spans="1:23" x14ac:dyDescent="0.25">
      <c r="A113" t="s">
        <v>110</v>
      </c>
      <c r="B113" t="s">
        <v>39</v>
      </c>
      <c r="C113" t="s">
        <v>141</v>
      </c>
      <c r="D113" t="s">
        <v>142</v>
      </c>
      <c r="E113" t="s">
        <v>141</v>
      </c>
      <c r="F113" t="s">
        <v>142</v>
      </c>
      <c r="G113" s="3">
        <v>46143</v>
      </c>
      <c r="H113" s="2">
        <v>28.92</v>
      </c>
      <c r="I113" t="s">
        <v>147</v>
      </c>
      <c r="J113" t="s">
        <v>148</v>
      </c>
      <c r="K113" s="3">
        <v>45259</v>
      </c>
      <c r="L113" s="3">
        <v>45292</v>
      </c>
      <c r="M113">
        <v>4</v>
      </c>
      <c r="N113" t="s">
        <v>46</v>
      </c>
      <c r="O113" t="s">
        <v>149</v>
      </c>
      <c r="P113" t="s">
        <v>46</v>
      </c>
      <c r="Q113" t="s">
        <v>150</v>
      </c>
      <c r="R113" s="3">
        <v>45292</v>
      </c>
      <c r="S113" t="s">
        <v>0</v>
      </c>
      <c r="T113" t="s">
        <v>151</v>
      </c>
      <c r="U113" t="s">
        <v>49</v>
      </c>
      <c r="V113" t="s">
        <v>0</v>
      </c>
      <c r="W113" t="s">
        <v>152</v>
      </c>
    </row>
    <row r="114" spans="1:23" x14ac:dyDescent="0.25">
      <c r="A114" t="s">
        <v>110</v>
      </c>
      <c r="B114" t="s">
        <v>39</v>
      </c>
      <c r="C114" t="s">
        <v>158</v>
      </c>
      <c r="D114" t="s">
        <v>159</v>
      </c>
      <c r="E114" t="s">
        <v>158</v>
      </c>
      <c r="F114" t="s">
        <v>159</v>
      </c>
      <c r="G114" s="3">
        <v>46143</v>
      </c>
      <c r="H114" s="2">
        <v>28.92</v>
      </c>
      <c r="I114" t="s">
        <v>160</v>
      </c>
      <c r="J114" t="s">
        <v>161</v>
      </c>
      <c r="K114" s="3">
        <v>45992</v>
      </c>
      <c r="L114" s="3">
        <v>46023</v>
      </c>
      <c r="M114">
        <v>15</v>
      </c>
      <c r="N114" t="s">
        <v>46</v>
      </c>
      <c r="O114" t="s">
        <v>45</v>
      </c>
      <c r="P114" t="s">
        <v>46</v>
      </c>
      <c r="Q114" t="s">
        <v>69</v>
      </c>
      <c r="R114" s="3">
        <v>44562</v>
      </c>
      <c r="S114" t="s">
        <v>0</v>
      </c>
      <c r="T114" t="s">
        <v>70</v>
      </c>
      <c r="U114" t="s">
        <v>71</v>
      </c>
      <c r="V114" t="s">
        <v>0</v>
      </c>
      <c r="W114" t="s">
        <v>162</v>
      </c>
    </row>
    <row r="115" spans="1:23" x14ac:dyDescent="0.25">
      <c r="A115" t="s">
        <v>110</v>
      </c>
      <c r="B115" t="s">
        <v>39</v>
      </c>
      <c r="C115" t="s">
        <v>104</v>
      </c>
      <c r="D115" t="s">
        <v>105</v>
      </c>
      <c r="E115" t="s">
        <v>104</v>
      </c>
      <c r="F115" t="s">
        <v>105</v>
      </c>
      <c r="G115" s="3">
        <v>46143</v>
      </c>
      <c r="H115" s="2">
        <v>28.92</v>
      </c>
      <c r="I115" t="s">
        <v>163</v>
      </c>
      <c r="J115" t="s">
        <v>164</v>
      </c>
      <c r="K115" s="3">
        <v>46010</v>
      </c>
      <c r="L115" s="3">
        <v>46023</v>
      </c>
      <c r="M115">
        <v>2</v>
      </c>
      <c r="N115" t="s">
        <v>46</v>
      </c>
      <c r="O115" t="s">
        <v>45</v>
      </c>
      <c r="P115" t="s">
        <v>46</v>
      </c>
      <c r="Q115" t="s">
        <v>98</v>
      </c>
      <c r="R115" s="3">
        <v>45870</v>
      </c>
      <c r="S115" t="s">
        <v>0</v>
      </c>
      <c r="T115" t="s">
        <v>99</v>
      </c>
      <c r="U115" t="s">
        <v>100</v>
      </c>
      <c r="V115" t="s">
        <v>0</v>
      </c>
      <c r="W115" t="s">
        <v>165</v>
      </c>
    </row>
    <row r="116" spans="1:23" x14ac:dyDescent="0.25">
      <c r="A116" t="s">
        <v>110</v>
      </c>
      <c r="B116" t="s">
        <v>39</v>
      </c>
      <c r="C116" t="s">
        <v>104</v>
      </c>
      <c r="D116" t="s">
        <v>105</v>
      </c>
      <c r="E116" t="s">
        <v>104</v>
      </c>
      <c r="F116" t="s">
        <v>105</v>
      </c>
      <c r="G116" s="3">
        <v>46143</v>
      </c>
      <c r="H116" s="2">
        <v>28.92</v>
      </c>
      <c r="I116" t="s">
        <v>166</v>
      </c>
      <c r="J116" t="s">
        <v>167</v>
      </c>
      <c r="K116" s="3">
        <v>45809</v>
      </c>
      <c r="L116" s="3">
        <v>45658</v>
      </c>
      <c r="M116">
        <v>3</v>
      </c>
      <c r="N116" t="s">
        <v>46</v>
      </c>
      <c r="O116" t="s">
        <v>45</v>
      </c>
      <c r="P116" t="s">
        <v>46</v>
      </c>
      <c r="Q116" t="s">
        <v>168</v>
      </c>
      <c r="R116" s="3">
        <v>45658</v>
      </c>
      <c r="S116" t="s">
        <v>0</v>
      </c>
      <c r="T116" t="s">
        <v>99</v>
      </c>
      <c r="U116" t="s">
        <v>169</v>
      </c>
      <c r="V116" t="s">
        <v>0</v>
      </c>
      <c r="W116" t="s">
        <v>170</v>
      </c>
    </row>
    <row r="117" spans="1:23" x14ac:dyDescent="0.25">
      <c r="A117" t="s">
        <v>110</v>
      </c>
      <c r="B117" t="s">
        <v>73</v>
      </c>
      <c r="C117" t="s">
        <v>126</v>
      </c>
      <c r="D117" t="s">
        <v>127</v>
      </c>
      <c r="E117" t="s">
        <v>74</v>
      </c>
      <c r="F117" t="s">
        <v>4</v>
      </c>
      <c r="G117" s="3">
        <v>46143</v>
      </c>
      <c r="H117" s="2">
        <v>0</v>
      </c>
      <c r="I117" t="s">
        <v>128</v>
      </c>
      <c r="J117" t="s">
        <v>129</v>
      </c>
      <c r="K117" s="3">
        <v>46008</v>
      </c>
      <c r="L117" s="3">
        <v>46023</v>
      </c>
      <c r="M117">
        <v>6</v>
      </c>
      <c r="N117" t="s">
        <v>46</v>
      </c>
      <c r="O117" t="s">
        <v>130</v>
      </c>
      <c r="P117" t="s">
        <v>46</v>
      </c>
      <c r="Q117" t="s">
        <v>131</v>
      </c>
      <c r="R117" s="3">
        <v>44256</v>
      </c>
      <c r="S117" t="s">
        <v>0</v>
      </c>
      <c r="T117" t="s">
        <v>132</v>
      </c>
      <c r="U117" t="s">
        <v>133</v>
      </c>
      <c r="V117" t="s">
        <v>0</v>
      </c>
      <c r="W117" t="s">
        <v>134</v>
      </c>
    </row>
    <row r="118" spans="1:23" x14ac:dyDescent="0.25">
      <c r="A118" t="s">
        <v>110</v>
      </c>
      <c r="B118" t="s">
        <v>73</v>
      </c>
      <c r="C118" t="s">
        <v>158</v>
      </c>
      <c r="D118" t="s">
        <v>159</v>
      </c>
      <c r="E118" t="s">
        <v>74</v>
      </c>
      <c r="F118" t="s">
        <v>4</v>
      </c>
      <c r="G118" s="3">
        <v>46143</v>
      </c>
      <c r="H118" s="2">
        <v>6.24</v>
      </c>
      <c r="I118" t="s">
        <v>160</v>
      </c>
      <c r="J118" t="s">
        <v>161</v>
      </c>
      <c r="K118" s="3">
        <v>45992</v>
      </c>
      <c r="L118" s="3">
        <v>46023</v>
      </c>
      <c r="M118">
        <v>15</v>
      </c>
      <c r="N118" t="s">
        <v>46</v>
      </c>
      <c r="O118" t="s">
        <v>45</v>
      </c>
      <c r="P118" t="s">
        <v>46</v>
      </c>
      <c r="Q118" t="s">
        <v>69</v>
      </c>
      <c r="R118" s="3">
        <v>44562</v>
      </c>
      <c r="S118" t="s">
        <v>0</v>
      </c>
      <c r="T118" t="s">
        <v>70</v>
      </c>
      <c r="U118" t="s">
        <v>71</v>
      </c>
      <c r="V118" t="s">
        <v>0</v>
      </c>
      <c r="W118" t="s">
        <v>162</v>
      </c>
    </row>
    <row r="119" spans="1:23" x14ac:dyDescent="0.25">
      <c r="A119" t="s">
        <v>110</v>
      </c>
      <c r="B119" t="s">
        <v>73</v>
      </c>
      <c r="C119" t="s">
        <v>104</v>
      </c>
      <c r="D119" t="s">
        <v>105</v>
      </c>
      <c r="E119" t="s">
        <v>74</v>
      </c>
      <c r="F119" t="s">
        <v>4</v>
      </c>
      <c r="G119" s="3">
        <v>46143</v>
      </c>
      <c r="H119" s="2">
        <v>12.51</v>
      </c>
      <c r="I119" t="s">
        <v>163</v>
      </c>
      <c r="J119" t="s">
        <v>164</v>
      </c>
      <c r="K119" s="3">
        <v>46010</v>
      </c>
      <c r="L119" s="3">
        <v>46023</v>
      </c>
      <c r="M119">
        <v>2</v>
      </c>
      <c r="N119" t="s">
        <v>46</v>
      </c>
      <c r="O119" t="s">
        <v>45</v>
      </c>
      <c r="P119" t="s">
        <v>46</v>
      </c>
      <c r="Q119" t="s">
        <v>98</v>
      </c>
      <c r="R119" s="3">
        <v>45870</v>
      </c>
      <c r="S119" t="s">
        <v>0</v>
      </c>
      <c r="T119" t="s">
        <v>99</v>
      </c>
      <c r="U119" t="s">
        <v>100</v>
      </c>
      <c r="V119" t="s">
        <v>0</v>
      </c>
      <c r="W119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3438-2640-4D65-99E8-A86CE192E9E6}">
  <dimension ref="A1:J91"/>
  <sheetViews>
    <sheetView workbookViewId="0">
      <selection activeCell="I2" sqref="I2"/>
    </sheetView>
  </sheetViews>
  <sheetFormatPr defaultRowHeight="15" x14ac:dyDescent="0.25"/>
  <cols>
    <col min="1" max="1" width="34.140625" bestFit="1" customWidth="1"/>
    <col min="2" max="3" width="15" customWidth="1"/>
    <col min="4" max="4" width="11.42578125" bestFit="1" customWidth="1"/>
    <col min="5" max="5" width="20.42578125" bestFit="1" customWidth="1"/>
    <col min="6" max="6" width="16.7109375" bestFit="1" customWidth="1"/>
    <col min="7" max="7" width="11.42578125" bestFit="1" customWidth="1"/>
    <col min="9" max="9" width="14.42578125" bestFit="1" customWidth="1"/>
  </cols>
  <sheetData>
    <row r="1" spans="1:10" x14ac:dyDescent="0.25">
      <c r="A1" t="s">
        <v>24</v>
      </c>
      <c r="B1" t="s">
        <v>18</v>
      </c>
      <c r="C1" t="s">
        <v>19</v>
      </c>
      <c r="D1" t="s">
        <v>20</v>
      </c>
      <c r="E1" t="s">
        <v>21</v>
      </c>
      <c r="F1" s="2" t="s">
        <v>23</v>
      </c>
      <c r="G1" t="s">
        <v>30</v>
      </c>
    </row>
    <row r="2" spans="1:10" x14ac:dyDescent="0.25">
      <c r="A2" t="s">
        <v>59</v>
      </c>
      <c r="B2" t="s">
        <v>57</v>
      </c>
      <c r="C2" t="s">
        <v>58</v>
      </c>
      <c r="D2" t="s">
        <v>57</v>
      </c>
      <c r="E2" t="s">
        <v>58</v>
      </c>
      <c r="F2" s="2">
        <v>-347</v>
      </c>
      <c r="G2" t="s">
        <v>61</v>
      </c>
      <c r="I2" t="s">
        <v>185</v>
      </c>
      <c r="J2" t="str">
        <f>VLOOKUP(I2,A:G,7,FALSE)</f>
        <v>TX</v>
      </c>
    </row>
    <row r="3" spans="1:10" x14ac:dyDescent="0.25">
      <c r="A3" t="s">
        <v>190</v>
      </c>
      <c r="B3" t="s">
        <v>188</v>
      </c>
      <c r="C3" t="s">
        <v>189</v>
      </c>
      <c r="D3" t="s">
        <v>188</v>
      </c>
      <c r="E3" t="s">
        <v>189</v>
      </c>
      <c r="F3" s="2">
        <v>260.24</v>
      </c>
      <c r="G3" t="s">
        <v>45</v>
      </c>
      <c r="I3" t="s">
        <v>178</v>
      </c>
      <c r="J3" t="str">
        <f t="shared" ref="J3:J66" si="0">VLOOKUP(I3,A:G,7,FALSE)</f>
        <v>NY</v>
      </c>
    </row>
    <row r="4" spans="1:10" x14ac:dyDescent="0.25">
      <c r="A4" t="s">
        <v>190</v>
      </c>
      <c r="B4" t="s">
        <v>188</v>
      </c>
      <c r="C4" t="s">
        <v>189</v>
      </c>
      <c r="D4" t="s">
        <v>188</v>
      </c>
      <c r="E4" t="s">
        <v>189</v>
      </c>
      <c r="F4" s="2">
        <v>260.27</v>
      </c>
      <c r="G4" t="s">
        <v>45</v>
      </c>
      <c r="I4" t="s">
        <v>77</v>
      </c>
      <c r="J4" t="str">
        <f t="shared" si="0"/>
        <v>FL</v>
      </c>
    </row>
    <row r="5" spans="1:10" x14ac:dyDescent="0.25">
      <c r="A5" t="s">
        <v>42</v>
      </c>
      <c r="B5" t="s">
        <v>40</v>
      </c>
      <c r="C5" t="s">
        <v>41</v>
      </c>
      <c r="D5" t="s">
        <v>40</v>
      </c>
      <c r="E5" t="s">
        <v>41</v>
      </c>
      <c r="F5" s="2">
        <v>318.08999999999997</v>
      </c>
      <c r="G5" t="s">
        <v>45</v>
      </c>
      <c r="I5" t="s">
        <v>173</v>
      </c>
      <c r="J5" t="str">
        <f t="shared" si="0"/>
        <v>LA</v>
      </c>
    </row>
    <row r="6" spans="1:10" x14ac:dyDescent="0.25">
      <c r="A6" t="s">
        <v>122</v>
      </c>
      <c r="B6" t="s">
        <v>120</v>
      </c>
      <c r="C6" t="s">
        <v>121</v>
      </c>
      <c r="D6" t="s">
        <v>120</v>
      </c>
      <c r="E6" t="s">
        <v>121</v>
      </c>
      <c r="F6" s="2">
        <v>28.92</v>
      </c>
      <c r="G6" t="s">
        <v>79</v>
      </c>
      <c r="I6" t="s">
        <v>95</v>
      </c>
      <c r="J6" t="str">
        <f t="shared" si="0"/>
        <v>IL</v>
      </c>
    </row>
    <row r="7" spans="1:10" x14ac:dyDescent="0.25">
      <c r="A7" t="s">
        <v>122</v>
      </c>
      <c r="B7" t="s">
        <v>120</v>
      </c>
      <c r="C7" t="s">
        <v>121</v>
      </c>
      <c r="D7" t="s">
        <v>120</v>
      </c>
      <c r="E7" t="s">
        <v>121</v>
      </c>
      <c r="F7" s="2">
        <v>28.92</v>
      </c>
      <c r="G7" t="s">
        <v>79</v>
      </c>
      <c r="I7" t="s">
        <v>195</v>
      </c>
      <c r="J7" t="str">
        <f t="shared" si="0"/>
        <v>IL</v>
      </c>
    </row>
    <row r="8" spans="1:10" x14ac:dyDescent="0.25">
      <c r="A8" t="s">
        <v>122</v>
      </c>
      <c r="B8" t="s">
        <v>120</v>
      </c>
      <c r="C8" t="s">
        <v>121</v>
      </c>
      <c r="D8" t="s">
        <v>120</v>
      </c>
      <c r="E8" t="s">
        <v>121</v>
      </c>
      <c r="F8" s="2">
        <v>28.92</v>
      </c>
      <c r="G8" t="s">
        <v>79</v>
      </c>
      <c r="I8" t="s">
        <v>113</v>
      </c>
      <c r="J8" t="str">
        <f t="shared" si="0"/>
        <v>PA</v>
      </c>
    </row>
    <row r="9" spans="1:10" x14ac:dyDescent="0.25">
      <c r="A9" t="s">
        <v>122</v>
      </c>
      <c r="B9" t="s">
        <v>120</v>
      </c>
      <c r="C9" t="s">
        <v>121</v>
      </c>
      <c r="D9" t="s">
        <v>120</v>
      </c>
      <c r="E9" t="s">
        <v>121</v>
      </c>
      <c r="F9" s="2">
        <v>28.92</v>
      </c>
      <c r="G9" t="s">
        <v>79</v>
      </c>
      <c r="I9" t="s">
        <v>113</v>
      </c>
      <c r="J9" t="str">
        <f t="shared" si="0"/>
        <v>PA</v>
      </c>
    </row>
    <row r="10" spans="1:10" x14ac:dyDescent="0.25">
      <c r="A10" t="s">
        <v>155</v>
      </c>
      <c r="B10" t="s">
        <v>153</v>
      </c>
      <c r="C10" t="s">
        <v>154</v>
      </c>
      <c r="D10" t="s">
        <v>153</v>
      </c>
      <c r="E10" t="s">
        <v>154</v>
      </c>
      <c r="F10" s="2">
        <v>28.92</v>
      </c>
      <c r="G10" t="s">
        <v>45</v>
      </c>
      <c r="I10" t="s">
        <v>113</v>
      </c>
      <c r="J10" t="str">
        <f t="shared" si="0"/>
        <v>PA</v>
      </c>
    </row>
    <row r="11" spans="1:10" x14ac:dyDescent="0.25">
      <c r="A11" t="s">
        <v>185</v>
      </c>
      <c r="B11" t="s">
        <v>153</v>
      </c>
      <c r="C11" t="s">
        <v>154</v>
      </c>
      <c r="D11" t="s">
        <v>153</v>
      </c>
      <c r="E11" t="s">
        <v>154</v>
      </c>
      <c r="F11" s="2">
        <v>-694</v>
      </c>
      <c r="G11" t="s">
        <v>130</v>
      </c>
      <c r="I11" t="s">
        <v>113</v>
      </c>
      <c r="J11" t="str">
        <f t="shared" si="0"/>
        <v>PA</v>
      </c>
    </row>
    <row r="12" spans="1:10" x14ac:dyDescent="0.25">
      <c r="A12" t="s">
        <v>143</v>
      </c>
      <c r="B12" t="s">
        <v>141</v>
      </c>
      <c r="C12" t="s">
        <v>142</v>
      </c>
      <c r="D12" t="s">
        <v>141</v>
      </c>
      <c r="E12" t="s">
        <v>142</v>
      </c>
      <c r="F12" s="2">
        <v>28.92</v>
      </c>
      <c r="G12" t="s">
        <v>79</v>
      </c>
      <c r="I12" t="s">
        <v>59</v>
      </c>
      <c r="J12" t="str">
        <f t="shared" si="0"/>
        <v>MI</v>
      </c>
    </row>
    <row r="13" spans="1:10" x14ac:dyDescent="0.25">
      <c r="A13" t="s">
        <v>147</v>
      </c>
      <c r="B13" t="s">
        <v>141</v>
      </c>
      <c r="C13" t="s">
        <v>142</v>
      </c>
      <c r="D13" t="s">
        <v>141</v>
      </c>
      <c r="E13" t="s">
        <v>142</v>
      </c>
      <c r="F13" s="2">
        <v>28.92</v>
      </c>
      <c r="G13" t="s">
        <v>149</v>
      </c>
      <c r="I13" t="s">
        <v>190</v>
      </c>
      <c r="J13" t="str">
        <f t="shared" si="0"/>
        <v>IL</v>
      </c>
    </row>
    <row r="14" spans="1:10" x14ac:dyDescent="0.25">
      <c r="A14" t="s">
        <v>143</v>
      </c>
      <c r="B14" t="s">
        <v>141</v>
      </c>
      <c r="C14" t="s">
        <v>142</v>
      </c>
      <c r="D14" t="s">
        <v>141</v>
      </c>
      <c r="E14" t="s">
        <v>142</v>
      </c>
      <c r="F14" s="2">
        <v>28.92</v>
      </c>
      <c r="G14" t="s">
        <v>79</v>
      </c>
      <c r="I14" t="s">
        <v>190</v>
      </c>
      <c r="J14" t="str">
        <f t="shared" si="0"/>
        <v>IL</v>
      </c>
    </row>
    <row r="15" spans="1:10" x14ac:dyDescent="0.25">
      <c r="A15" t="s">
        <v>147</v>
      </c>
      <c r="B15" t="s">
        <v>141</v>
      </c>
      <c r="C15" t="s">
        <v>142</v>
      </c>
      <c r="D15" t="s">
        <v>141</v>
      </c>
      <c r="E15" t="s">
        <v>142</v>
      </c>
      <c r="F15" s="2">
        <v>28.92</v>
      </c>
      <c r="G15" t="s">
        <v>149</v>
      </c>
      <c r="I15" t="s">
        <v>42</v>
      </c>
      <c r="J15" t="str">
        <f t="shared" si="0"/>
        <v>IL</v>
      </c>
    </row>
    <row r="16" spans="1:10" x14ac:dyDescent="0.25">
      <c r="A16" t="s">
        <v>143</v>
      </c>
      <c r="B16" t="s">
        <v>141</v>
      </c>
      <c r="C16" t="s">
        <v>142</v>
      </c>
      <c r="D16" t="s">
        <v>141</v>
      </c>
      <c r="E16" t="s">
        <v>142</v>
      </c>
      <c r="F16" s="2">
        <v>28.92</v>
      </c>
      <c r="G16" t="s">
        <v>79</v>
      </c>
      <c r="I16" t="s">
        <v>122</v>
      </c>
      <c r="J16" t="str">
        <f t="shared" si="0"/>
        <v>FL</v>
      </c>
    </row>
    <row r="17" spans="1:10" x14ac:dyDescent="0.25">
      <c r="A17" t="s">
        <v>147</v>
      </c>
      <c r="B17" t="s">
        <v>141</v>
      </c>
      <c r="C17" t="s">
        <v>142</v>
      </c>
      <c r="D17" t="s">
        <v>141</v>
      </c>
      <c r="E17" t="s">
        <v>142</v>
      </c>
      <c r="F17" s="2">
        <v>28.92</v>
      </c>
      <c r="G17" t="s">
        <v>149</v>
      </c>
      <c r="I17" t="s">
        <v>122</v>
      </c>
      <c r="J17" t="str">
        <f t="shared" si="0"/>
        <v>FL</v>
      </c>
    </row>
    <row r="18" spans="1:10" x14ac:dyDescent="0.25">
      <c r="A18" t="s">
        <v>143</v>
      </c>
      <c r="B18" t="s">
        <v>141</v>
      </c>
      <c r="C18" t="s">
        <v>142</v>
      </c>
      <c r="D18" t="s">
        <v>141</v>
      </c>
      <c r="E18" t="s">
        <v>142</v>
      </c>
      <c r="F18" s="2">
        <v>28.92</v>
      </c>
      <c r="G18" t="s">
        <v>79</v>
      </c>
      <c r="I18" t="s">
        <v>122</v>
      </c>
      <c r="J18" t="str">
        <f t="shared" si="0"/>
        <v>FL</v>
      </c>
    </row>
    <row r="19" spans="1:10" x14ac:dyDescent="0.25">
      <c r="A19" t="s">
        <v>147</v>
      </c>
      <c r="B19" t="s">
        <v>141</v>
      </c>
      <c r="C19" t="s">
        <v>142</v>
      </c>
      <c r="D19" t="s">
        <v>141</v>
      </c>
      <c r="E19" t="s">
        <v>142</v>
      </c>
      <c r="F19" s="2">
        <v>28.92</v>
      </c>
      <c r="G19" t="s">
        <v>149</v>
      </c>
      <c r="I19" t="s">
        <v>122</v>
      </c>
      <c r="J19" t="str">
        <f t="shared" si="0"/>
        <v>FL</v>
      </c>
    </row>
    <row r="20" spans="1:10" x14ac:dyDescent="0.25">
      <c r="A20" t="s">
        <v>77</v>
      </c>
      <c r="B20" t="s">
        <v>75</v>
      </c>
      <c r="C20" t="s">
        <v>76</v>
      </c>
      <c r="D20" t="s">
        <v>75</v>
      </c>
      <c r="E20" t="s">
        <v>76</v>
      </c>
      <c r="F20" s="2">
        <v>-694</v>
      </c>
      <c r="G20" t="s">
        <v>79</v>
      </c>
      <c r="I20" t="s">
        <v>155</v>
      </c>
      <c r="J20" t="str">
        <f t="shared" si="0"/>
        <v>IL</v>
      </c>
    </row>
    <row r="21" spans="1:10" x14ac:dyDescent="0.25">
      <c r="A21" t="s">
        <v>178</v>
      </c>
      <c r="B21" t="s">
        <v>75</v>
      </c>
      <c r="C21" t="s">
        <v>76</v>
      </c>
      <c r="D21" t="s">
        <v>75</v>
      </c>
      <c r="E21" t="s">
        <v>76</v>
      </c>
      <c r="F21" s="2">
        <v>289.16000000000003</v>
      </c>
      <c r="G21" t="s">
        <v>180</v>
      </c>
      <c r="I21" t="s">
        <v>147</v>
      </c>
      <c r="J21" t="str">
        <f t="shared" si="0"/>
        <v>WI</v>
      </c>
    </row>
    <row r="22" spans="1:10" x14ac:dyDescent="0.25">
      <c r="A22" t="s">
        <v>178</v>
      </c>
      <c r="B22" t="s">
        <v>75</v>
      </c>
      <c r="C22" t="s">
        <v>76</v>
      </c>
      <c r="D22" t="s">
        <v>75</v>
      </c>
      <c r="E22" t="s">
        <v>76</v>
      </c>
      <c r="F22" s="2">
        <v>404.84</v>
      </c>
      <c r="G22" t="s">
        <v>180</v>
      </c>
      <c r="I22" t="s">
        <v>147</v>
      </c>
      <c r="J22" t="str">
        <f t="shared" si="0"/>
        <v>WI</v>
      </c>
    </row>
    <row r="23" spans="1:10" x14ac:dyDescent="0.25">
      <c r="A23" t="s">
        <v>53</v>
      </c>
      <c r="B23" t="s">
        <v>51</v>
      </c>
      <c r="C23" t="s">
        <v>52</v>
      </c>
      <c r="D23" t="s">
        <v>51</v>
      </c>
      <c r="E23" t="s">
        <v>52</v>
      </c>
      <c r="F23" s="2">
        <v>318.08999999999997</v>
      </c>
      <c r="G23" t="s">
        <v>45</v>
      </c>
      <c r="I23" t="s">
        <v>147</v>
      </c>
      <c r="J23" t="str">
        <f t="shared" si="0"/>
        <v>WI</v>
      </c>
    </row>
    <row r="24" spans="1:10" x14ac:dyDescent="0.25">
      <c r="A24" t="s">
        <v>160</v>
      </c>
      <c r="B24" t="s">
        <v>158</v>
      </c>
      <c r="C24" t="s">
        <v>159</v>
      </c>
      <c r="D24" t="s">
        <v>158</v>
      </c>
      <c r="E24" t="s">
        <v>159</v>
      </c>
      <c r="F24" s="2">
        <v>28.92</v>
      </c>
      <c r="G24" t="s">
        <v>45</v>
      </c>
      <c r="I24" t="s">
        <v>147</v>
      </c>
      <c r="J24" t="str">
        <f t="shared" si="0"/>
        <v>WI</v>
      </c>
    </row>
    <row r="25" spans="1:10" x14ac:dyDescent="0.25">
      <c r="A25" t="s">
        <v>160</v>
      </c>
      <c r="B25" t="s">
        <v>158</v>
      </c>
      <c r="C25" t="s">
        <v>159</v>
      </c>
      <c r="D25" t="s">
        <v>158</v>
      </c>
      <c r="E25" t="s">
        <v>159</v>
      </c>
      <c r="F25" s="2">
        <v>28.92</v>
      </c>
      <c r="G25" t="s">
        <v>45</v>
      </c>
      <c r="I25" t="s">
        <v>143</v>
      </c>
      <c r="J25" t="str">
        <f t="shared" si="0"/>
        <v>FL</v>
      </c>
    </row>
    <row r="26" spans="1:10" x14ac:dyDescent="0.25">
      <c r="A26" t="s">
        <v>160</v>
      </c>
      <c r="B26" t="s">
        <v>158</v>
      </c>
      <c r="C26" t="s">
        <v>159</v>
      </c>
      <c r="D26" t="s">
        <v>158</v>
      </c>
      <c r="E26" t="s">
        <v>159</v>
      </c>
      <c r="F26" s="2">
        <v>28.92</v>
      </c>
      <c r="G26" t="s">
        <v>45</v>
      </c>
      <c r="I26" t="s">
        <v>143</v>
      </c>
      <c r="J26" t="str">
        <f t="shared" si="0"/>
        <v>FL</v>
      </c>
    </row>
    <row r="27" spans="1:10" x14ac:dyDescent="0.25">
      <c r="A27" t="s">
        <v>160</v>
      </c>
      <c r="B27" t="s">
        <v>158</v>
      </c>
      <c r="C27" t="s">
        <v>159</v>
      </c>
      <c r="D27" t="s">
        <v>158</v>
      </c>
      <c r="E27" t="s">
        <v>159</v>
      </c>
      <c r="F27" s="2">
        <v>28.92</v>
      </c>
      <c r="G27" t="s">
        <v>45</v>
      </c>
      <c r="I27" t="s">
        <v>143</v>
      </c>
      <c r="J27" t="str">
        <f t="shared" si="0"/>
        <v>FL</v>
      </c>
    </row>
    <row r="28" spans="1:10" x14ac:dyDescent="0.25">
      <c r="A28" t="s">
        <v>163</v>
      </c>
      <c r="B28" t="s">
        <v>104</v>
      </c>
      <c r="C28" t="s">
        <v>105</v>
      </c>
      <c r="D28" t="s">
        <v>104</v>
      </c>
      <c r="E28" t="s">
        <v>105</v>
      </c>
      <c r="F28" s="2">
        <v>28.92</v>
      </c>
      <c r="G28" t="s">
        <v>45</v>
      </c>
      <c r="I28" t="s">
        <v>143</v>
      </c>
      <c r="J28" t="str">
        <f t="shared" si="0"/>
        <v>FL</v>
      </c>
    </row>
    <row r="29" spans="1:10" x14ac:dyDescent="0.25">
      <c r="A29" t="s">
        <v>166</v>
      </c>
      <c r="B29" t="s">
        <v>104</v>
      </c>
      <c r="C29" t="s">
        <v>105</v>
      </c>
      <c r="D29" t="s">
        <v>104</v>
      </c>
      <c r="E29" t="s">
        <v>105</v>
      </c>
      <c r="F29" s="2">
        <v>28.92</v>
      </c>
      <c r="G29" t="s">
        <v>45</v>
      </c>
      <c r="I29" t="s">
        <v>53</v>
      </c>
      <c r="J29" t="str">
        <f t="shared" si="0"/>
        <v>IL</v>
      </c>
    </row>
    <row r="30" spans="1:10" x14ac:dyDescent="0.25">
      <c r="A30" t="s">
        <v>163</v>
      </c>
      <c r="B30" t="s">
        <v>104</v>
      </c>
      <c r="C30" t="s">
        <v>105</v>
      </c>
      <c r="D30" t="s">
        <v>104</v>
      </c>
      <c r="E30" t="s">
        <v>105</v>
      </c>
      <c r="F30" s="2">
        <v>28.92</v>
      </c>
      <c r="G30" t="s">
        <v>45</v>
      </c>
      <c r="I30" t="s">
        <v>160</v>
      </c>
      <c r="J30" t="str">
        <f t="shared" si="0"/>
        <v>IL</v>
      </c>
    </row>
    <row r="31" spans="1:10" x14ac:dyDescent="0.25">
      <c r="A31" t="s">
        <v>166</v>
      </c>
      <c r="B31" t="s">
        <v>104</v>
      </c>
      <c r="C31" t="s">
        <v>105</v>
      </c>
      <c r="D31" t="s">
        <v>104</v>
      </c>
      <c r="E31" t="s">
        <v>105</v>
      </c>
      <c r="F31" s="2">
        <v>28.92</v>
      </c>
      <c r="G31" t="s">
        <v>45</v>
      </c>
      <c r="I31" t="s">
        <v>160</v>
      </c>
      <c r="J31" t="str">
        <f t="shared" si="0"/>
        <v>IL</v>
      </c>
    </row>
    <row r="32" spans="1:10" x14ac:dyDescent="0.25">
      <c r="A32" t="s">
        <v>106</v>
      </c>
      <c r="B32" t="s">
        <v>104</v>
      </c>
      <c r="C32" t="s">
        <v>105</v>
      </c>
      <c r="D32" t="s">
        <v>104</v>
      </c>
      <c r="E32" t="s">
        <v>105</v>
      </c>
      <c r="F32" s="2">
        <v>-318.08</v>
      </c>
      <c r="G32" t="s">
        <v>45</v>
      </c>
      <c r="I32" t="s">
        <v>160</v>
      </c>
      <c r="J32" t="str">
        <f t="shared" si="0"/>
        <v>IL</v>
      </c>
    </row>
    <row r="33" spans="1:10" x14ac:dyDescent="0.25">
      <c r="A33" t="s">
        <v>163</v>
      </c>
      <c r="B33" t="s">
        <v>104</v>
      </c>
      <c r="C33" t="s">
        <v>105</v>
      </c>
      <c r="D33" t="s">
        <v>104</v>
      </c>
      <c r="E33" t="s">
        <v>105</v>
      </c>
      <c r="F33" s="2">
        <v>28.92</v>
      </c>
      <c r="G33" t="s">
        <v>45</v>
      </c>
      <c r="I33" t="s">
        <v>160</v>
      </c>
      <c r="J33" t="str">
        <f t="shared" si="0"/>
        <v>IL</v>
      </c>
    </row>
    <row r="34" spans="1:10" x14ac:dyDescent="0.25">
      <c r="A34" t="s">
        <v>166</v>
      </c>
      <c r="B34" t="s">
        <v>104</v>
      </c>
      <c r="C34" t="s">
        <v>105</v>
      </c>
      <c r="D34" t="s">
        <v>104</v>
      </c>
      <c r="E34" t="s">
        <v>105</v>
      </c>
      <c r="F34" s="2">
        <v>28.92</v>
      </c>
      <c r="G34" t="s">
        <v>45</v>
      </c>
      <c r="I34" t="s">
        <v>106</v>
      </c>
      <c r="J34" t="str">
        <f t="shared" si="0"/>
        <v>IL</v>
      </c>
    </row>
    <row r="35" spans="1:10" x14ac:dyDescent="0.25">
      <c r="A35" t="s">
        <v>106</v>
      </c>
      <c r="B35" t="s">
        <v>104</v>
      </c>
      <c r="C35" t="s">
        <v>105</v>
      </c>
      <c r="D35" t="s">
        <v>104</v>
      </c>
      <c r="E35" t="s">
        <v>105</v>
      </c>
      <c r="F35" s="2">
        <v>57.84</v>
      </c>
      <c r="G35" t="s">
        <v>45</v>
      </c>
      <c r="I35" t="s">
        <v>106</v>
      </c>
      <c r="J35" t="str">
        <f t="shared" si="0"/>
        <v>IL</v>
      </c>
    </row>
    <row r="36" spans="1:10" x14ac:dyDescent="0.25">
      <c r="A36" t="s">
        <v>163</v>
      </c>
      <c r="B36" t="s">
        <v>104</v>
      </c>
      <c r="C36" t="s">
        <v>105</v>
      </c>
      <c r="D36" t="s">
        <v>104</v>
      </c>
      <c r="E36" t="s">
        <v>105</v>
      </c>
      <c r="F36" s="2">
        <v>28.92</v>
      </c>
      <c r="G36" t="s">
        <v>45</v>
      </c>
      <c r="I36" t="s">
        <v>163</v>
      </c>
      <c r="J36" t="str">
        <f t="shared" si="0"/>
        <v>IL</v>
      </c>
    </row>
    <row r="37" spans="1:10" x14ac:dyDescent="0.25">
      <c r="A37" t="s">
        <v>166</v>
      </c>
      <c r="B37" t="s">
        <v>104</v>
      </c>
      <c r="C37" t="s">
        <v>105</v>
      </c>
      <c r="D37" t="s">
        <v>104</v>
      </c>
      <c r="E37" t="s">
        <v>105</v>
      </c>
      <c r="F37" s="2">
        <v>28.92</v>
      </c>
      <c r="G37" t="s">
        <v>45</v>
      </c>
      <c r="I37" t="s">
        <v>163</v>
      </c>
      <c r="J37" t="str">
        <f t="shared" si="0"/>
        <v>IL</v>
      </c>
    </row>
    <row r="38" spans="1:10" x14ac:dyDescent="0.25">
      <c r="A38" t="s">
        <v>86</v>
      </c>
      <c r="B38" t="s">
        <v>84</v>
      </c>
      <c r="C38" t="s">
        <v>85</v>
      </c>
      <c r="D38" t="s">
        <v>84</v>
      </c>
      <c r="E38" t="s">
        <v>85</v>
      </c>
      <c r="F38" s="2">
        <v>318.08</v>
      </c>
      <c r="G38" t="s">
        <v>88</v>
      </c>
      <c r="I38" t="s">
        <v>163</v>
      </c>
      <c r="J38" t="str">
        <f t="shared" si="0"/>
        <v>IL</v>
      </c>
    </row>
    <row r="39" spans="1:10" x14ac:dyDescent="0.25">
      <c r="A39" t="s">
        <v>86</v>
      </c>
      <c r="B39" t="s">
        <v>84</v>
      </c>
      <c r="C39" t="s">
        <v>85</v>
      </c>
      <c r="D39" t="s">
        <v>84</v>
      </c>
      <c r="E39" t="s">
        <v>85</v>
      </c>
      <c r="F39" s="2">
        <v>-289.16000000000003</v>
      </c>
      <c r="G39" t="s">
        <v>88</v>
      </c>
      <c r="I39" t="s">
        <v>163</v>
      </c>
      <c r="J39" t="str">
        <f t="shared" si="0"/>
        <v>IL</v>
      </c>
    </row>
    <row r="40" spans="1:10" x14ac:dyDescent="0.25">
      <c r="A40" t="s">
        <v>86</v>
      </c>
      <c r="B40" t="s">
        <v>84</v>
      </c>
      <c r="C40" t="s">
        <v>85</v>
      </c>
      <c r="D40" t="s">
        <v>84</v>
      </c>
      <c r="E40" t="s">
        <v>85</v>
      </c>
      <c r="F40" s="2">
        <v>-28.92</v>
      </c>
      <c r="G40" t="s">
        <v>88</v>
      </c>
      <c r="I40" t="s">
        <v>166</v>
      </c>
      <c r="J40" t="str">
        <f t="shared" si="0"/>
        <v>IL</v>
      </c>
    </row>
    <row r="41" spans="1:10" x14ac:dyDescent="0.25">
      <c r="A41" t="s">
        <v>198</v>
      </c>
      <c r="B41" t="s">
        <v>84</v>
      </c>
      <c r="C41" t="s">
        <v>85</v>
      </c>
      <c r="D41" t="s">
        <v>84</v>
      </c>
      <c r="E41" t="s">
        <v>85</v>
      </c>
      <c r="F41" s="2">
        <v>28.92</v>
      </c>
      <c r="G41" t="s">
        <v>88</v>
      </c>
      <c r="I41" t="s">
        <v>166</v>
      </c>
      <c r="J41" t="str">
        <f t="shared" si="0"/>
        <v>IL</v>
      </c>
    </row>
    <row r="42" spans="1:10" x14ac:dyDescent="0.25">
      <c r="A42" t="s">
        <v>67</v>
      </c>
      <c r="B42" t="s">
        <v>65</v>
      </c>
      <c r="C42" t="s">
        <v>66</v>
      </c>
      <c r="D42" t="s">
        <v>65</v>
      </c>
      <c r="E42" t="s">
        <v>66</v>
      </c>
      <c r="F42" s="2">
        <v>-347</v>
      </c>
      <c r="G42" t="s">
        <v>45</v>
      </c>
      <c r="I42" t="s">
        <v>166</v>
      </c>
      <c r="J42" t="str">
        <f t="shared" si="0"/>
        <v>IL</v>
      </c>
    </row>
    <row r="43" spans="1:10" x14ac:dyDescent="0.25">
      <c r="A43" t="s">
        <v>173</v>
      </c>
      <c r="B43" t="s">
        <v>171</v>
      </c>
      <c r="C43" t="s">
        <v>172</v>
      </c>
      <c r="D43" t="s">
        <v>171</v>
      </c>
      <c r="E43" t="s">
        <v>172</v>
      </c>
      <c r="F43" s="2">
        <v>-694</v>
      </c>
      <c r="G43" t="s">
        <v>88</v>
      </c>
      <c r="I43" t="s">
        <v>166</v>
      </c>
      <c r="J43" t="str">
        <f t="shared" si="0"/>
        <v>IL</v>
      </c>
    </row>
    <row r="44" spans="1:10" x14ac:dyDescent="0.25">
      <c r="A44" t="s">
        <v>59</v>
      </c>
      <c r="B44" t="s">
        <v>57</v>
      </c>
      <c r="C44" t="s">
        <v>58</v>
      </c>
      <c r="D44" t="s">
        <v>74</v>
      </c>
      <c r="E44" t="s">
        <v>4</v>
      </c>
      <c r="F44" s="2">
        <v>-150</v>
      </c>
      <c r="G44" t="s">
        <v>61</v>
      </c>
      <c r="I44" t="s">
        <v>86</v>
      </c>
      <c r="J44" t="str">
        <f t="shared" si="0"/>
        <v>LA</v>
      </c>
    </row>
    <row r="45" spans="1:10" x14ac:dyDescent="0.25">
      <c r="A45" t="s">
        <v>67</v>
      </c>
      <c r="B45" t="s">
        <v>65</v>
      </c>
      <c r="C45" t="s">
        <v>66</v>
      </c>
      <c r="D45" t="s">
        <v>74</v>
      </c>
      <c r="E45" t="s">
        <v>4</v>
      </c>
      <c r="F45" s="2">
        <v>-150</v>
      </c>
      <c r="G45" t="s">
        <v>45</v>
      </c>
      <c r="I45" t="s">
        <v>86</v>
      </c>
      <c r="J45" t="str">
        <f t="shared" si="0"/>
        <v>LA</v>
      </c>
    </row>
    <row r="46" spans="1:10" x14ac:dyDescent="0.25">
      <c r="A46" t="s">
        <v>77</v>
      </c>
      <c r="B46" t="s">
        <v>75</v>
      </c>
      <c r="C46" t="s">
        <v>76</v>
      </c>
      <c r="D46" t="s">
        <v>74</v>
      </c>
      <c r="E46" t="s">
        <v>4</v>
      </c>
      <c r="F46" s="2">
        <v>-150</v>
      </c>
      <c r="G46" t="s">
        <v>79</v>
      </c>
      <c r="I46" t="s">
        <v>86</v>
      </c>
      <c r="J46" t="str">
        <f t="shared" si="0"/>
        <v>LA</v>
      </c>
    </row>
    <row r="47" spans="1:10" x14ac:dyDescent="0.25">
      <c r="A47" t="s">
        <v>86</v>
      </c>
      <c r="B47" t="s">
        <v>84</v>
      </c>
      <c r="C47" t="s">
        <v>85</v>
      </c>
      <c r="D47" t="s">
        <v>74</v>
      </c>
      <c r="E47" t="s">
        <v>4</v>
      </c>
      <c r="F47" s="2">
        <v>150</v>
      </c>
      <c r="G47" t="s">
        <v>88</v>
      </c>
      <c r="I47" t="s">
        <v>198</v>
      </c>
      <c r="J47" t="str">
        <f t="shared" si="0"/>
        <v>LA</v>
      </c>
    </row>
    <row r="48" spans="1:10" x14ac:dyDescent="0.25">
      <c r="A48" t="s">
        <v>95</v>
      </c>
      <c r="B48" t="s">
        <v>93</v>
      </c>
      <c r="C48" t="s">
        <v>94</v>
      </c>
      <c r="D48" t="s">
        <v>74</v>
      </c>
      <c r="E48" t="s">
        <v>4</v>
      </c>
      <c r="F48" s="2">
        <v>150</v>
      </c>
      <c r="G48" t="s">
        <v>45</v>
      </c>
      <c r="I48" t="s">
        <v>67</v>
      </c>
      <c r="J48" t="str">
        <f t="shared" si="0"/>
        <v>IL</v>
      </c>
    </row>
    <row r="49" spans="1:10" x14ac:dyDescent="0.25">
      <c r="A49" t="s">
        <v>128</v>
      </c>
      <c r="B49" t="s">
        <v>126</v>
      </c>
      <c r="C49" t="s">
        <v>127</v>
      </c>
      <c r="D49" t="s">
        <v>74</v>
      </c>
      <c r="E49" t="s">
        <v>4</v>
      </c>
      <c r="F49" s="2">
        <v>0</v>
      </c>
      <c r="G49" t="s">
        <v>130</v>
      </c>
      <c r="I49" t="s">
        <v>199</v>
      </c>
      <c r="J49" t="str">
        <f t="shared" si="0"/>
        <v>IL</v>
      </c>
    </row>
    <row r="50" spans="1:10" x14ac:dyDescent="0.25">
      <c r="A50" t="s">
        <v>155</v>
      </c>
      <c r="B50" t="s">
        <v>153</v>
      </c>
      <c r="C50" t="s">
        <v>154</v>
      </c>
      <c r="D50" t="s">
        <v>74</v>
      </c>
      <c r="E50" t="s">
        <v>4</v>
      </c>
      <c r="F50" s="2">
        <v>12.51</v>
      </c>
      <c r="G50" t="s">
        <v>45</v>
      </c>
      <c r="I50" t="s">
        <v>203</v>
      </c>
      <c r="J50" t="str">
        <f t="shared" si="0"/>
        <v>IL</v>
      </c>
    </row>
    <row r="51" spans="1:10" x14ac:dyDescent="0.25">
      <c r="A51" t="s">
        <v>160</v>
      </c>
      <c r="B51" t="s">
        <v>158</v>
      </c>
      <c r="C51" t="s">
        <v>159</v>
      </c>
      <c r="D51" t="s">
        <v>74</v>
      </c>
      <c r="E51" t="s">
        <v>4</v>
      </c>
      <c r="F51" s="2">
        <v>6.24</v>
      </c>
      <c r="G51" t="s">
        <v>45</v>
      </c>
      <c r="I51" t="s">
        <v>59</v>
      </c>
      <c r="J51" t="str">
        <f t="shared" si="0"/>
        <v>MI</v>
      </c>
    </row>
    <row r="52" spans="1:10" x14ac:dyDescent="0.25">
      <c r="A52" t="s">
        <v>163</v>
      </c>
      <c r="B52" t="s">
        <v>104</v>
      </c>
      <c r="C52" t="s">
        <v>105</v>
      </c>
      <c r="D52" t="s">
        <v>74</v>
      </c>
      <c r="E52" t="s">
        <v>4</v>
      </c>
      <c r="F52" s="2">
        <v>12.51</v>
      </c>
      <c r="G52" t="s">
        <v>45</v>
      </c>
      <c r="I52" t="s">
        <v>190</v>
      </c>
      <c r="J52" t="str">
        <f t="shared" si="0"/>
        <v>IL</v>
      </c>
    </row>
    <row r="53" spans="1:10" x14ac:dyDescent="0.25">
      <c r="A53" t="s">
        <v>86</v>
      </c>
      <c r="B53" t="s">
        <v>84</v>
      </c>
      <c r="C53" t="s">
        <v>85</v>
      </c>
      <c r="D53" t="s">
        <v>74</v>
      </c>
      <c r="E53" t="s">
        <v>4</v>
      </c>
      <c r="F53" s="2">
        <v>-124.98</v>
      </c>
      <c r="G53" t="s">
        <v>88</v>
      </c>
      <c r="I53" t="s">
        <v>185</v>
      </c>
      <c r="J53" t="str">
        <f t="shared" si="0"/>
        <v>TX</v>
      </c>
    </row>
    <row r="54" spans="1:10" x14ac:dyDescent="0.25">
      <c r="A54" t="s">
        <v>173</v>
      </c>
      <c r="B54" t="s">
        <v>171</v>
      </c>
      <c r="C54" t="s">
        <v>172</v>
      </c>
      <c r="D54" t="s">
        <v>74</v>
      </c>
      <c r="E54" t="s">
        <v>4</v>
      </c>
      <c r="F54" s="2">
        <v>-150</v>
      </c>
      <c r="G54" t="s">
        <v>88</v>
      </c>
      <c r="I54" t="s">
        <v>155</v>
      </c>
      <c r="J54" t="str">
        <f t="shared" si="0"/>
        <v>IL</v>
      </c>
    </row>
    <row r="55" spans="1:10" x14ac:dyDescent="0.25">
      <c r="A55" t="s">
        <v>178</v>
      </c>
      <c r="B55" t="s">
        <v>75</v>
      </c>
      <c r="C55" t="s">
        <v>76</v>
      </c>
      <c r="D55" t="s">
        <v>74</v>
      </c>
      <c r="E55" t="s">
        <v>4</v>
      </c>
      <c r="F55" s="2">
        <v>150</v>
      </c>
      <c r="G55" t="s">
        <v>180</v>
      </c>
      <c r="I55" t="s">
        <v>178</v>
      </c>
      <c r="J55" t="str">
        <f t="shared" si="0"/>
        <v>NY</v>
      </c>
    </row>
    <row r="56" spans="1:10" x14ac:dyDescent="0.25">
      <c r="A56" t="s">
        <v>128</v>
      </c>
      <c r="B56" t="s">
        <v>126</v>
      </c>
      <c r="C56" t="s">
        <v>127</v>
      </c>
      <c r="D56" t="s">
        <v>74</v>
      </c>
      <c r="E56" t="s">
        <v>4</v>
      </c>
      <c r="F56" s="2">
        <v>0</v>
      </c>
      <c r="G56" t="s">
        <v>130</v>
      </c>
      <c r="I56" t="s">
        <v>77</v>
      </c>
      <c r="J56" t="str">
        <f t="shared" si="0"/>
        <v>FL</v>
      </c>
    </row>
    <row r="57" spans="1:10" x14ac:dyDescent="0.25">
      <c r="A57" t="s">
        <v>160</v>
      </c>
      <c r="B57" t="s">
        <v>158</v>
      </c>
      <c r="C57" t="s">
        <v>159</v>
      </c>
      <c r="D57" t="s">
        <v>74</v>
      </c>
      <c r="E57" t="s">
        <v>4</v>
      </c>
      <c r="F57" s="2">
        <v>6.24</v>
      </c>
      <c r="G57" t="s">
        <v>45</v>
      </c>
      <c r="I57" t="s">
        <v>160</v>
      </c>
      <c r="J57" t="str">
        <f t="shared" si="0"/>
        <v>IL</v>
      </c>
    </row>
    <row r="58" spans="1:10" x14ac:dyDescent="0.25">
      <c r="A58" t="s">
        <v>163</v>
      </c>
      <c r="B58" t="s">
        <v>104</v>
      </c>
      <c r="C58" t="s">
        <v>105</v>
      </c>
      <c r="D58" t="s">
        <v>74</v>
      </c>
      <c r="E58" t="s">
        <v>4</v>
      </c>
      <c r="F58" s="2">
        <v>12.51</v>
      </c>
      <c r="G58" t="s">
        <v>45</v>
      </c>
      <c r="I58" t="s">
        <v>160</v>
      </c>
      <c r="J58" t="str">
        <f t="shared" si="0"/>
        <v>IL</v>
      </c>
    </row>
    <row r="59" spans="1:10" x14ac:dyDescent="0.25">
      <c r="A59" t="s">
        <v>106</v>
      </c>
      <c r="B59" t="s">
        <v>104</v>
      </c>
      <c r="C59" t="s">
        <v>105</v>
      </c>
      <c r="D59" t="s">
        <v>74</v>
      </c>
      <c r="E59" t="s">
        <v>4</v>
      </c>
      <c r="F59" s="2">
        <v>-150</v>
      </c>
      <c r="G59" t="s">
        <v>45</v>
      </c>
      <c r="I59" t="s">
        <v>160</v>
      </c>
      <c r="J59" t="str">
        <f t="shared" si="0"/>
        <v>IL</v>
      </c>
    </row>
    <row r="60" spans="1:10" x14ac:dyDescent="0.25">
      <c r="A60" t="s">
        <v>185</v>
      </c>
      <c r="B60" t="s">
        <v>153</v>
      </c>
      <c r="C60" t="s">
        <v>154</v>
      </c>
      <c r="D60" t="s">
        <v>74</v>
      </c>
      <c r="E60" t="s">
        <v>4</v>
      </c>
      <c r="F60" s="2">
        <v>-150</v>
      </c>
      <c r="G60" t="s">
        <v>130</v>
      </c>
      <c r="I60" t="s">
        <v>160</v>
      </c>
      <c r="J60" t="str">
        <f t="shared" si="0"/>
        <v>IL</v>
      </c>
    </row>
    <row r="61" spans="1:10" x14ac:dyDescent="0.25">
      <c r="A61" t="s">
        <v>190</v>
      </c>
      <c r="B61" t="s">
        <v>188</v>
      </c>
      <c r="C61" t="s">
        <v>189</v>
      </c>
      <c r="D61" t="s">
        <v>74</v>
      </c>
      <c r="E61" t="s">
        <v>4</v>
      </c>
      <c r="F61" s="2">
        <v>56.28</v>
      </c>
      <c r="G61" t="s">
        <v>45</v>
      </c>
      <c r="I61" t="s">
        <v>106</v>
      </c>
      <c r="J61" t="str">
        <f t="shared" si="0"/>
        <v>IL</v>
      </c>
    </row>
    <row r="62" spans="1:10" x14ac:dyDescent="0.25">
      <c r="A62" t="s">
        <v>128</v>
      </c>
      <c r="B62" t="s">
        <v>126</v>
      </c>
      <c r="C62" t="s">
        <v>127</v>
      </c>
      <c r="D62" t="s">
        <v>74</v>
      </c>
      <c r="E62" t="s">
        <v>4</v>
      </c>
      <c r="F62" s="2">
        <v>0</v>
      </c>
      <c r="G62" t="s">
        <v>130</v>
      </c>
      <c r="I62" t="s">
        <v>106</v>
      </c>
      <c r="J62" t="str">
        <f t="shared" si="0"/>
        <v>IL</v>
      </c>
    </row>
    <row r="63" spans="1:10" x14ac:dyDescent="0.25">
      <c r="A63" t="s">
        <v>160</v>
      </c>
      <c r="B63" t="s">
        <v>158</v>
      </c>
      <c r="C63" t="s">
        <v>159</v>
      </c>
      <c r="D63" t="s">
        <v>74</v>
      </c>
      <c r="E63" t="s">
        <v>4</v>
      </c>
      <c r="F63" s="2">
        <v>6.24</v>
      </c>
      <c r="G63" t="s">
        <v>45</v>
      </c>
      <c r="I63" t="s">
        <v>163</v>
      </c>
      <c r="J63" t="str">
        <f t="shared" si="0"/>
        <v>IL</v>
      </c>
    </row>
    <row r="64" spans="1:10" x14ac:dyDescent="0.25">
      <c r="A64" t="s">
        <v>163</v>
      </c>
      <c r="B64" t="s">
        <v>104</v>
      </c>
      <c r="C64" t="s">
        <v>105</v>
      </c>
      <c r="D64" t="s">
        <v>74</v>
      </c>
      <c r="E64" t="s">
        <v>4</v>
      </c>
      <c r="F64" s="2">
        <v>12.51</v>
      </c>
      <c r="G64" t="s">
        <v>45</v>
      </c>
      <c r="I64" t="s">
        <v>163</v>
      </c>
      <c r="J64" t="str">
        <f t="shared" si="0"/>
        <v>IL</v>
      </c>
    </row>
    <row r="65" spans="1:10" x14ac:dyDescent="0.25">
      <c r="A65" t="s">
        <v>195</v>
      </c>
      <c r="B65" t="s">
        <v>193</v>
      </c>
      <c r="C65" t="s">
        <v>194</v>
      </c>
      <c r="D65" t="s">
        <v>74</v>
      </c>
      <c r="E65" t="s">
        <v>4</v>
      </c>
      <c r="F65" s="2">
        <v>43.8</v>
      </c>
      <c r="G65" t="s">
        <v>45</v>
      </c>
      <c r="I65" t="s">
        <v>163</v>
      </c>
      <c r="J65" t="str">
        <f t="shared" si="0"/>
        <v>IL</v>
      </c>
    </row>
    <row r="66" spans="1:10" x14ac:dyDescent="0.25">
      <c r="A66" t="s">
        <v>106</v>
      </c>
      <c r="B66" t="s">
        <v>104</v>
      </c>
      <c r="C66" t="s">
        <v>105</v>
      </c>
      <c r="D66" t="s">
        <v>74</v>
      </c>
      <c r="E66" t="s">
        <v>4</v>
      </c>
      <c r="F66" s="2">
        <v>37.53</v>
      </c>
      <c r="G66" t="s">
        <v>45</v>
      </c>
      <c r="I66" t="s">
        <v>163</v>
      </c>
      <c r="J66" t="str">
        <f t="shared" si="0"/>
        <v>IL</v>
      </c>
    </row>
    <row r="67" spans="1:10" x14ac:dyDescent="0.25">
      <c r="A67" t="s">
        <v>86</v>
      </c>
      <c r="B67" t="s">
        <v>84</v>
      </c>
      <c r="C67" t="s">
        <v>85</v>
      </c>
      <c r="D67" t="s">
        <v>74</v>
      </c>
      <c r="E67" t="s">
        <v>4</v>
      </c>
      <c r="F67" s="2">
        <v>-25.02</v>
      </c>
      <c r="G67" t="s">
        <v>88</v>
      </c>
      <c r="I67" t="s">
        <v>86</v>
      </c>
      <c r="J67" t="str">
        <f t="shared" ref="J67:J76" si="1">VLOOKUP(I67,A:G,7,FALSE)</f>
        <v>LA</v>
      </c>
    </row>
    <row r="68" spans="1:10" x14ac:dyDescent="0.25">
      <c r="A68" t="s">
        <v>198</v>
      </c>
      <c r="B68" t="s">
        <v>84</v>
      </c>
      <c r="C68" t="s">
        <v>85</v>
      </c>
      <c r="D68" t="s">
        <v>74</v>
      </c>
      <c r="E68" t="s">
        <v>4</v>
      </c>
      <c r="F68" s="2">
        <v>25.02</v>
      </c>
      <c r="G68" t="s">
        <v>88</v>
      </c>
      <c r="I68" t="s">
        <v>86</v>
      </c>
      <c r="J68" t="str">
        <f t="shared" si="1"/>
        <v>LA</v>
      </c>
    </row>
    <row r="69" spans="1:10" x14ac:dyDescent="0.25">
      <c r="A69" t="s">
        <v>199</v>
      </c>
      <c r="B69" t="s">
        <v>93</v>
      </c>
      <c r="C69" t="s">
        <v>94</v>
      </c>
      <c r="D69" t="s">
        <v>74</v>
      </c>
      <c r="E69" t="s">
        <v>4</v>
      </c>
      <c r="F69" s="2">
        <v>-150</v>
      </c>
      <c r="G69" t="s">
        <v>45</v>
      </c>
      <c r="I69" t="s">
        <v>86</v>
      </c>
      <c r="J69" t="str">
        <f t="shared" si="1"/>
        <v>LA</v>
      </c>
    </row>
    <row r="70" spans="1:10" x14ac:dyDescent="0.25">
      <c r="A70" t="s">
        <v>203</v>
      </c>
      <c r="B70" t="s">
        <v>93</v>
      </c>
      <c r="C70" t="s">
        <v>94</v>
      </c>
      <c r="D70" t="s">
        <v>74</v>
      </c>
      <c r="E70" t="s">
        <v>4</v>
      </c>
      <c r="F70" s="2">
        <v>150</v>
      </c>
      <c r="G70" t="s">
        <v>45</v>
      </c>
      <c r="I70" t="s">
        <v>198</v>
      </c>
      <c r="J70" t="str">
        <f t="shared" si="1"/>
        <v>LA</v>
      </c>
    </row>
    <row r="71" spans="1:10" x14ac:dyDescent="0.25">
      <c r="A71" t="s">
        <v>128</v>
      </c>
      <c r="B71" t="s">
        <v>126</v>
      </c>
      <c r="C71" t="s">
        <v>127</v>
      </c>
      <c r="D71" t="s">
        <v>74</v>
      </c>
      <c r="E71" t="s">
        <v>4</v>
      </c>
      <c r="F71" s="2">
        <v>0</v>
      </c>
      <c r="G71" t="s">
        <v>130</v>
      </c>
      <c r="I71" t="s">
        <v>67</v>
      </c>
      <c r="J71" t="str">
        <f t="shared" si="1"/>
        <v>IL</v>
      </c>
    </row>
    <row r="72" spans="1:10" x14ac:dyDescent="0.25">
      <c r="A72" t="s">
        <v>160</v>
      </c>
      <c r="B72" t="s">
        <v>158</v>
      </c>
      <c r="C72" t="s">
        <v>159</v>
      </c>
      <c r="D72" t="s">
        <v>74</v>
      </c>
      <c r="E72" t="s">
        <v>4</v>
      </c>
      <c r="F72" s="2">
        <v>6.24</v>
      </c>
      <c r="G72" t="s">
        <v>45</v>
      </c>
      <c r="I72" t="s">
        <v>173</v>
      </c>
      <c r="J72" t="str">
        <f t="shared" si="1"/>
        <v>LA</v>
      </c>
    </row>
    <row r="73" spans="1:10" x14ac:dyDescent="0.25">
      <c r="A73" t="s">
        <v>163</v>
      </c>
      <c r="B73" t="s">
        <v>104</v>
      </c>
      <c r="C73" t="s">
        <v>105</v>
      </c>
      <c r="D73" t="s">
        <v>74</v>
      </c>
      <c r="E73" t="s">
        <v>4</v>
      </c>
      <c r="F73" s="2">
        <v>12.51</v>
      </c>
      <c r="G73" t="s">
        <v>45</v>
      </c>
      <c r="I73" t="s">
        <v>95</v>
      </c>
      <c r="J73" t="str">
        <f t="shared" si="1"/>
        <v>IL</v>
      </c>
    </row>
    <row r="74" spans="1:10" x14ac:dyDescent="0.25">
      <c r="A74" t="s">
        <v>128</v>
      </c>
      <c r="B74" t="s">
        <v>126</v>
      </c>
      <c r="C74" t="s">
        <v>127</v>
      </c>
      <c r="D74" t="s">
        <v>126</v>
      </c>
      <c r="E74" t="s">
        <v>127</v>
      </c>
      <c r="F74" s="2">
        <v>0</v>
      </c>
      <c r="G74" t="s">
        <v>130</v>
      </c>
      <c r="I74" t="s">
        <v>199</v>
      </c>
      <c r="J74" t="str">
        <f t="shared" si="1"/>
        <v>IL</v>
      </c>
    </row>
    <row r="75" spans="1:10" x14ac:dyDescent="0.25">
      <c r="A75" t="s">
        <v>135</v>
      </c>
      <c r="B75" t="s">
        <v>126</v>
      </c>
      <c r="C75" t="s">
        <v>127</v>
      </c>
      <c r="D75" t="s">
        <v>126</v>
      </c>
      <c r="E75" t="s">
        <v>127</v>
      </c>
      <c r="F75" s="2">
        <v>0</v>
      </c>
      <c r="G75" t="s">
        <v>137</v>
      </c>
      <c r="I75" t="s">
        <v>203</v>
      </c>
      <c r="J75" t="str">
        <f t="shared" si="1"/>
        <v>IL</v>
      </c>
    </row>
    <row r="76" spans="1:10" x14ac:dyDescent="0.25">
      <c r="A76" t="s">
        <v>128</v>
      </c>
      <c r="B76" t="s">
        <v>126</v>
      </c>
      <c r="C76" t="s">
        <v>127</v>
      </c>
      <c r="D76" t="s">
        <v>126</v>
      </c>
      <c r="E76" t="s">
        <v>127</v>
      </c>
      <c r="F76" s="2">
        <v>0</v>
      </c>
      <c r="G76" t="s">
        <v>130</v>
      </c>
      <c r="I76" t="s">
        <v>195</v>
      </c>
      <c r="J76" t="str">
        <f t="shared" si="1"/>
        <v>IL</v>
      </c>
    </row>
    <row r="77" spans="1:10" x14ac:dyDescent="0.25">
      <c r="A77" t="s">
        <v>135</v>
      </c>
      <c r="B77" t="s">
        <v>126</v>
      </c>
      <c r="C77" t="s">
        <v>127</v>
      </c>
      <c r="D77" t="s">
        <v>126</v>
      </c>
      <c r="E77" t="s">
        <v>127</v>
      </c>
      <c r="F77" s="2">
        <v>0</v>
      </c>
      <c r="G77" t="s">
        <v>137</v>
      </c>
    </row>
    <row r="78" spans="1:10" x14ac:dyDescent="0.25">
      <c r="A78" t="s">
        <v>128</v>
      </c>
      <c r="B78" t="s">
        <v>126</v>
      </c>
      <c r="C78" t="s">
        <v>127</v>
      </c>
      <c r="D78" t="s">
        <v>126</v>
      </c>
      <c r="E78" t="s">
        <v>127</v>
      </c>
      <c r="F78" s="2">
        <v>0</v>
      </c>
      <c r="G78" t="s">
        <v>130</v>
      </c>
    </row>
    <row r="79" spans="1:10" x14ac:dyDescent="0.25">
      <c r="A79" t="s">
        <v>135</v>
      </c>
      <c r="B79" t="s">
        <v>126</v>
      </c>
      <c r="C79" t="s">
        <v>127</v>
      </c>
      <c r="D79" t="s">
        <v>126</v>
      </c>
      <c r="E79" t="s">
        <v>127</v>
      </c>
      <c r="F79" s="2">
        <v>0</v>
      </c>
      <c r="G79" t="s">
        <v>137</v>
      </c>
    </row>
    <row r="80" spans="1:10" x14ac:dyDescent="0.25">
      <c r="A80" t="s">
        <v>128</v>
      </c>
      <c r="B80" t="s">
        <v>126</v>
      </c>
      <c r="C80" t="s">
        <v>127</v>
      </c>
      <c r="D80" t="s">
        <v>126</v>
      </c>
      <c r="E80" t="s">
        <v>127</v>
      </c>
      <c r="F80" s="2">
        <v>0</v>
      </c>
      <c r="G80" t="s">
        <v>130</v>
      </c>
    </row>
    <row r="81" spans="1:7" x14ac:dyDescent="0.25">
      <c r="A81" t="s">
        <v>135</v>
      </c>
      <c r="B81" t="s">
        <v>126</v>
      </c>
      <c r="C81" t="s">
        <v>127</v>
      </c>
      <c r="D81" t="s">
        <v>126</v>
      </c>
      <c r="E81" t="s">
        <v>127</v>
      </c>
      <c r="F81" s="2">
        <v>0</v>
      </c>
      <c r="G81" t="s">
        <v>137</v>
      </c>
    </row>
    <row r="82" spans="1:7" x14ac:dyDescent="0.25">
      <c r="A82" t="s">
        <v>113</v>
      </c>
      <c r="B82" t="s">
        <v>111</v>
      </c>
      <c r="C82" t="s">
        <v>112</v>
      </c>
      <c r="D82" t="s">
        <v>111</v>
      </c>
      <c r="E82" t="s">
        <v>112</v>
      </c>
      <c r="F82" s="2">
        <v>32.58</v>
      </c>
      <c r="G82" t="s">
        <v>115</v>
      </c>
    </row>
    <row r="83" spans="1:7" x14ac:dyDescent="0.25">
      <c r="A83" t="s">
        <v>113</v>
      </c>
      <c r="B83" t="s">
        <v>111</v>
      </c>
      <c r="C83" t="s">
        <v>112</v>
      </c>
      <c r="D83" t="s">
        <v>111</v>
      </c>
      <c r="E83" t="s">
        <v>112</v>
      </c>
      <c r="F83" s="2">
        <v>32.58</v>
      </c>
      <c r="G83" t="s">
        <v>115</v>
      </c>
    </row>
    <row r="84" spans="1:7" x14ac:dyDescent="0.25">
      <c r="A84" t="s">
        <v>113</v>
      </c>
      <c r="B84" t="s">
        <v>111</v>
      </c>
      <c r="C84" t="s">
        <v>112</v>
      </c>
      <c r="D84" t="s">
        <v>111</v>
      </c>
      <c r="E84" t="s">
        <v>112</v>
      </c>
      <c r="F84" s="2">
        <v>32.58</v>
      </c>
      <c r="G84" t="s">
        <v>115</v>
      </c>
    </row>
    <row r="85" spans="1:7" x14ac:dyDescent="0.25">
      <c r="A85" t="s">
        <v>113</v>
      </c>
      <c r="B85" t="s">
        <v>111</v>
      </c>
      <c r="C85" t="s">
        <v>112</v>
      </c>
      <c r="D85" t="s">
        <v>111</v>
      </c>
      <c r="E85" t="s">
        <v>112</v>
      </c>
      <c r="F85" s="2">
        <v>32.58</v>
      </c>
      <c r="G85" t="s">
        <v>115</v>
      </c>
    </row>
    <row r="86" spans="1:7" x14ac:dyDescent="0.25">
      <c r="A86" t="s">
        <v>95</v>
      </c>
      <c r="B86" t="s">
        <v>93</v>
      </c>
      <c r="C86" t="s">
        <v>94</v>
      </c>
      <c r="D86" t="s">
        <v>93</v>
      </c>
      <c r="E86" t="s">
        <v>94</v>
      </c>
      <c r="F86" s="2">
        <v>318.08</v>
      </c>
      <c r="G86" t="s">
        <v>45</v>
      </c>
    </row>
    <row r="87" spans="1:7" x14ac:dyDescent="0.25">
      <c r="A87" t="s">
        <v>95</v>
      </c>
      <c r="B87" t="s">
        <v>93</v>
      </c>
      <c r="C87" t="s">
        <v>94</v>
      </c>
      <c r="D87" t="s">
        <v>93</v>
      </c>
      <c r="E87" t="s">
        <v>94</v>
      </c>
      <c r="F87" s="2">
        <v>375.92</v>
      </c>
      <c r="G87" t="s">
        <v>45</v>
      </c>
    </row>
    <row r="88" spans="1:7" x14ac:dyDescent="0.25">
      <c r="A88" t="s">
        <v>199</v>
      </c>
      <c r="B88" t="s">
        <v>93</v>
      </c>
      <c r="C88" t="s">
        <v>94</v>
      </c>
      <c r="D88" t="s">
        <v>93</v>
      </c>
      <c r="E88" t="s">
        <v>94</v>
      </c>
      <c r="F88" s="2">
        <v>-347</v>
      </c>
      <c r="G88" t="s">
        <v>45</v>
      </c>
    </row>
    <row r="89" spans="1:7" x14ac:dyDescent="0.25">
      <c r="A89" t="s">
        <v>203</v>
      </c>
      <c r="B89" t="s">
        <v>93</v>
      </c>
      <c r="C89" t="s">
        <v>94</v>
      </c>
      <c r="D89" t="s">
        <v>93</v>
      </c>
      <c r="E89" t="s">
        <v>94</v>
      </c>
      <c r="F89" s="2">
        <v>347</v>
      </c>
      <c r="G89" t="s">
        <v>45</v>
      </c>
    </row>
    <row r="90" spans="1:7" x14ac:dyDescent="0.25">
      <c r="A90" t="s">
        <v>195</v>
      </c>
      <c r="B90" t="s">
        <v>193</v>
      </c>
      <c r="C90" t="s">
        <v>194</v>
      </c>
      <c r="D90" t="s">
        <v>193</v>
      </c>
      <c r="E90" t="s">
        <v>194</v>
      </c>
      <c r="F90" s="2">
        <v>202.4</v>
      </c>
      <c r="G90" t="s">
        <v>45</v>
      </c>
    </row>
    <row r="91" spans="1:7" x14ac:dyDescent="0.25">
      <c r="A91" t="s">
        <v>195</v>
      </c>
      <c r="B91" t="s">
        <v>193</v>
      </c>
      <c r="C91" t="s">
        <v>194</v>
      </c>
      <c r="D91" t="s">
        <v>193</v>
      </c>
      <c r="E91" t="s">
        <v>194</v>
      </c>
      <c r="F91" s="2">
        <v>491.6</v>
      </c>
      <c r="G91" t="s">
        <v>45</v>
      </c>
    </row>
  </sheetData>
  <sortState xmlns:xlrd2="http://schemas.microsoft.com/office/spreadsheetml/2017/richdata2" ref="B2:W91">
    <sortCondition ref="E2:E9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1835E-7466-405D-BDA2-368F23CB8672}">
  <dimension ref="A1:AA76"/>
  <sheetViews>
    <sheetView tabSelected="1" topLeftCell="C4" workbookViewId="0">
      <selection activeCell="J50" sqref="J50"/>
    </sheetView>
  </sheetViews>
  <sheetFormatPr defaultRowHeight="15" x14ac:dyDescent="0.25"/>
  <cols>
    <col min="1" max="1" width="14.140625" customWidth="1"/>
    <col min="2" max="2" width="20" customWidth="1"/>
    <col min="3" max="4" width="15" customWidth="1"/>
    <col min="5" max="5" width="11.42578125" bestFit="1" customWidth="1"/>
    <col min="6" max="6" width="11.42578125" customWidth="1"/>
    <col min="7" max="7" width="20.42578125" bestFit="1" customWidth="1"/>
    <col min="8" max="8" width="11.7109375" bestFit="1" customWidth="1"/>
    <col min="9" max="9" width="16.7109375" bestFit="1" customWidth="1"/>
    <col min="10" max="11" width="15.7109375" customWidth="1"/>
    <col min="12" max="12" width="18.28515625" bestFit="1" customWidth="1"/>
    <col min="13" max="13" width="18.28515625" customWidth="1"/>
    <col min="14" max="14" width="13.5703125" bestFit="1" customWidth="1"/>
    <col min="15" max="15" width="21" bestFit="1" customWidth="1"/>
    <col min="16" max="16" width="21" customWidth="1"/>
    <col min="17" max="17" width="18.7109375" bestFit="1" customWidth="1"/>
    <col min="18" max="18" width="20.42578125" bestFit="1" customWidth="1"/>
    <col min="19" max="19" width="24.140625" bestFit="1" customWidth="1"/>
  </cols>
  <sheetData>
    <row r="1" spans="1:2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G1" t="s">
        <v>21</v>
      </c>
      <c r="H1" t="s">
        <v>22</v>
      </c>
      <c r="I1" s="2" t="s">
        <v>23</v>
      </c>
      <c r="J1" t="s">
        <v>24</v>
      </c>
      <c r="L1" t="s">
        <v>25</v>
      </c>
      <c r="N1" t="s">
        <v>27</v>
      </c>
      <c r="O1" t="s">
        <v>33</v>
      </c>
      <c r="Q1" t="s">
        <v>34</v>
      </c>
    </row>
    <row r="2" spans="1:27" s="10" customFormat="1" x14ac:dyDescent="0.25">
      <c r="A2" s="10" t="s">
        <v>38</v>
      </c>
      <c r="B2" s="10" t="s">
        <v>39</v>
      </c>
      <c r="C2" s="11">
        <v>20003537</v>
      </c>
      <c r="D2" s="10" t="s">
        <v>154</v>
      </c>
      <c r="E2" s="11">
        <v>20003537</v>
      </c>
      <c r="F2" s="11">
        <v>20003537</v>
      </c>
      <c r="G2" s="10" t="s">
        <v>154</v>
      </c>
      <c r="H2" s="12">
        <v>46023</v>
      </c>
      <c r="I2" s="13">
        <v>-694</v>
      </c>
      <c r="J2" s="10" t="s">
        <v>185</v>
      </c>
      <c r="K2" s="10" t="str">
        <f>CONCATENATE(J2,88)</f>
        <v>7V93VG8QC7988</v>
      </c>
      <c r="L2" s="10" t="s">
        <v>186</v>
      </c>
      <c r="M2" s="10" t="s">
        <v>130</v>
      </c>
      <c r="N2" s="12">
        <v>46023</v>
      </c>
      <c r="O2" s="12">
        <v>46023</v>
      </c>
      <c r="P2" s="12">
        <v>46054</v>
      </c>
      <c r="Q2" s="12">
        <v>46112</v>
      </c>
      <c r="R2" s="10" t="s">
        <v>204</v>
      </c>
      <c r="S2" s="10" t="s">
        <v>215</v>
      </c>
    </row>
    <row r="3" spans="1:27" s="10" customFormat="1" x14ac:dyDescent="0.25">
      <c r="A3" s="10" t="s">
        <v>38</v>
      </c>
      <c r="B3" s="10" t="s">
        <v>39</v>
      </c>
      <c r="C3" s="11">
        <v>21435997</v>
      </c>
      <c r="D3" s="10" t="s">
        <v>76</v>
      </c>
      <c r="E3" s="11">
        <v>21435997</v>
      </c>
      <c r="F3" s="11">
        <v>21435997</v>
      </c>
      <c r="G3" s="10" t="s">
        <v>76</v>
      </c>
      <c r="H3" s="12">
        <v>46082</v>
      </c>
      <c r="I3" s="13">
        <v>694</v>
      </c>
      <c r="J3" s="10" t="s">
        <v>178</v>
      </c>
      <c r="K3" s="10" t="str">
        <f>CONCATENATE(J3,88)</f>
        <v>8H36RG9EF6588</v>
      </c>
      <c r="L3" s="10" t="s">
        <v>179</v>
      </c>
      <c r="M3" s="10" t="s">
        <v>180</v>
      </c>
      <c r="N3" s="12">
        <v>46082</v>
      </c>
      <c r="O3" s="12">
        <v>46082</v>
      </c>
      <c r="P3" s="12">
        <v>46387</v>
      </c>
      <c r="Q3" s="10" t="s">
        <v>0</v>
      </c>
      <c r="R3" s="10" t="s">
        <v>204</v>
      </c>
      <c r="S3" s="10" t="s">
        <v>215</v>
      </c>
    </row>
    <row r="4" spans="1:27" s="10" customFormat="1" x14ac:dyDescent="0.25">
      <c r="A4" s="10" t="s">
        <v>38</v>
      </c>
      <c r="B4" s="10" t="s">
        <v>39</v>
      </c>
      <c r="C4" s="11">
        <v>21435997</v>
      </c>
      <c r="D4" s="10" t="s">
        <v>76</v>
      </c>
      <c r="E4" s="11">
        <v>21435997</v>
      </c>
      <c r="F4" s="11">
        <v>21435997</v>
      </c>
      <c r="G4" s="10" t="s">
        <v>76</v>
      </c>
      <c r="H4" s="12">
        <v>46023</v>
      </c>
      <c r="I4" s="13">
        <v>-694</v>
      </c>
      <c r="J4" s="10" t="s">
        <v>77</v>
      </c>
      <c r="K4" s="10" t="str">
        <f>CONCATENATE(J4,88)</f>
        <v>6DH5R24GV6188</v>
      </c>
      <c r="L4" s="10" t="s">
        <v>78</v>
      </c>
      <c r="M4" s="10" t="s">
        <v>79</v>
      </c>
      <c r="N4" s="12">
        <v>46023</v>
      </c>
      <c r="O4" s="12">
        <v>46023</v>
      </c>
      <c r="P4" s="12">
        <v>46054</v>
      </c>
      <c r="Q4" s="12">
        <v>46081</v>
      </c>
      <c r="R4" s="10" t="s">
        <v>204</v>
      </c>
      <c r="S4" s="10" t="s">
        <v>215</v>
      </c>
    </row>
    <row r="5" spans="1:27" x14ac:dyDescent="0.25">
      <c r="A5" s="10" t="s">
        <v>38</v>
      </c>
      <c r="B5" s="10" t="s">
        <v>39</v>
      </c>
      <c r="C5" s="11">
        <v>19279958</v>
      </c>
      <c r="D5" s="10" t="s">
        <v>172</v>
      </c>
      <c r="E5" s="11">
        <v>19279958</v>
      </c>
      <c r="F5" s="11">
        <v>19279958</v>
      </c>
      <c r="G5" s="10" t="s">
        <v>172</v>
      </c>
      <c r="H5" s="12">
        <v>46023</v>
      </c>
      <c r="I5" s="13">
        <v>-694</v>
      </c>
      <c r="J5" s="10" t="s">
        <v>173</v>
      </c>
      <c r="K5" s="10" t="str">
        <f>CONCATENATE(J5,88)</f>
        <v>7F01YU6WJ2688</v>
      </c>
      <c r="L5" s="10" t="s">
        <v>174</v>
      </c>
      <c r="M5" s="10" t="s">
        <v>88</v>
      </c>
      <c r="N5" s="12">
        <v>46023</v>
      </c>
      <c r="O5" s="12">
        <v>46023</v>
      </c>
      <c r="P5" s="12">
        <v>46054</v>
      </c>
      <c r="Q5" s="12">
        <v>46081</v>
      </c>
      <c r="R5" s="10" t="s">
        <v>204</v>
      </c>
      <c r="S5" s="10" t="s">
        <v>215</v>
      </c>
      <c r="T5" s="10"/>
      <c r="U5" s="10"/>
      <c r="V5" s="10"/>
      <c r="W5" s="10"/>
      <c r="X5" s="10"/>
      <c r="Y5" s="10"/>
      <c r="Z5" s="10"/>
      <c r="AA5" s="10"/>
    </row>
    <row r="6" spans="1:27" x14ac:dyDescent="0.25">
      <c r="A6" s="10" t="s">
        <v>38</v>
      </c>
      <c r="B6" s="10" t="s">
        <v>39</v>
      </c>
      <c r="C6" s="11">
        <v>19200754</v>
      </c>
      <c r="D6" s="10" t="s">
        <v>94</v>
      </c>
      <c r="E6" s="11">
        <v>19200754</v>
      </c>
      <c r="F6" s="11">
        <v>19200754</v>
      </c>
      <c r="G6" s="10" t="s">
        <v>94</v>
      </c>
      <c r="H6" s="12">
        <v>46054</v>
      </c>
      <c r="I6" s="13">
        <v>694</v>
      </c>
      <c r="J6" s="10" t="s">
        <v>95</v>
      </c>
      <c r="K6" s="10" t="str">
        <f>CONCATENATE(J6,88)</f>
        <v>9V22K15TC2188</v>
      </c>
      <c r="L6" s="10" t="s">
        <v>96</v>
      </c>
      <c r="M6" s="10" t="s">
        <v>45</v>
      </c>
      <c r="N6" s="12">
        <v>46054</v>
      </c>
      <c r="O6" s="12">
        <v>46054</v>
      </c>
      <c r="P6" s="12">
        <v>46387</v>
      </c>
      <c r="Q6" s="10" t="s">
        <v>0</v>
      </c>
      <c r="R6" s="10" t="s">
        <v>204</v>
      </c>
      <c r="S6" s="10" t="s">
        <v>215</v>
      </c>
      <c r="T6" s="10"/>
      <c r="U6" s="10"/>
      <c r="V6" s="10"/>
      <c r="W6" s="10"/>
      <c r="X6" s="10"/>
      <c r="Y6" s="10"/>
      <c r="Z6" s="10"/>
      <c r="AA6" s="10"/>
    </row>
    <row r="7" spans="1:27" x14ac:dyDescent="0.25">
      <c r="A7" s="10" t="s">
        <v>38</v>
      </c>
      <c r="B7" s="10" t="s">
        <v>39</v>
      </c>
      <c r="C7" s="11">
        <v>19645587</v>
      </c>
      <c r="D7" s="10" t="s">
        <v>194</v>
      </c>
      <c r="E7" s="11">
        <v>19645587</v>
      </c>
      <c r="F7" s="11">
        <v>19645587</v>
      </c>
      <c r="G7" s="10" t="s">
        <v>194</v>
      </c>
      <c r="H7" s="12">
        <v>46174</v>
      </c>
      <c r="I7" s="13">
        <v>694</v>
      </c>
      <c r="J7" s="10" t="s">
        <v>195</v>
      </c>
      <c r="K7" s="10" t="str">
        <f>CONCATENATE(J7,88)</f>
        <v>2JE3KH2KA8288</v>
      </c>
      <c r="L7" s="10" t="s">
        <v>196</v>
      </c>
      <c r="M7" s="10" t="s">
        <v>45</v>
      </c>
      <c r="N7" s="12">
        <v>46174</v>
      </c>
      <c r="O7" s="12">
        <v>46174</v>
      </c>
      <c r="P7" s="12">
        <v>46387</v>
      </c>
      <c r="Q7" s="10" t="s">
        <v>0</v>
      </c>
      <c r="R7" s="10" t="s">
        <v>204</v>
      </c>
      <c r="S7" s="10" t="s">
        <v>215</v>
      </c>
      <c r="T7" s="10"/>
      <c r="U7" s="10"/>
      <c r="V7" s="10"/>
      <c r="W7" s="10"/>
      <c r="X7" s="10"/>
      <c r="Y7" s="10"/>
      <c r="Z7" s="10"/>
      <c r="AA7" s="10"/>
    </row>
    <row r="8" spans="1:27" s="15" customFormat="1" x14ac:dyDescent="0.25">
      <c r="A8" s="15" t="s">
        <v>110</v>
      </c>
      <c r="B8" s="15" t="s">
        <v>39</v>
      </c>
      <c r="C8" s="16">
        <v>16509456</v>
      </c>
      <c r="D8" s="15" t="s">
        <v>112</v>
      </c>
      <c r="E8" s="16">
        <v>16509456</v>
      </c>
      <c r="F8" s="16">
        <v>16509456</v>
      </c>
      <c r="G8" s="15" t="s">
        <v>112</v>
      </c>
      <c r="H8" s="17">
        <v>46054</v>
      </c>
      <c r="I8" s="18">
        <v>32.58</v>
      </c>
      <c r="J8" s="15" t="s">
        <v>113</v>
      </c>
      <c r="K8" s="15" t="str">
        <f>CONCATENATE(J8,99)</f>
        <v>5R83P54NJ1399</v>
      </c>
      <c r="L8" s="15" t="s">
        <v>114</v>
      </c>
      <c r="M8" s="15" t="s">
        <v>115</v>
      </c>
      <c r="N8" s="17">
        <v>46023</v>
      </c>
      <c r="O8" s="17">
        <v>45658</v>
      </c>
      <c r="P8" s="17">
        <v>46054</v>
      </c>
      <c r="Q8" s="15" t="s">
        <v>0</v>
      </c>
      <c r="R8" s="15" t="s">
        <v>213</v>
      </c>
      <c r="S8" s="15" t="s">
        <v>214</v>
      </c>
      <c r="T8" s="15">
        <f>391/12</f>
        <v>32.583333333333336</v>
      </c>
    </row>
    <row r="9" spans="1:27" x14ac:dyDescent="0.25">
      <c r="A9" t="s">
        <v>110</v>
      </c>
      <c r="B9" t="s">
        <v>39</v>
      </c>
      <c r="C9" s="5">
        <v>16509456</v>
      </c>
      <c r="D9" t="s">
        <v>112</v>
      </c>
      <c r="E9" s="5">
        <v>16509456</v>
      </c>
      <c r="F9" s="5">
        <v>16509456</v>
      </c>
      <c r="G9" t="s">
        <v>112</v>
      </c>
      <c r="H9" s="3">
        <v>46082</v>
      </c>
      <c r="I9" s="2">
        <v>32.58</v>
      </c>
      <c r="J9" t="s">
        <v>113</v>
      </c>
      <c r="K9" s="15" t="str">
        <f>CONCATENATE(J9,99)</f>
        <v>5R83P54NJ1399</v>
      </c>
      <c r="L9" t="s">
        <v>114</v>
      </c>
      <c r="M9" t="s">
        <v>115</v>
      </c>
      <c r="N9" s="3">
        <v>46023</v>
      </c>
      <c r="O9" s="3">
        <v>45658</v>
      </c>
      <c r="P9" s="3">
        <v>46082</v>
      </c>
      <c r="Q9" t="s">
        <v>0</v>
      </c>
      <c r="R9" t="s">
        <v>213</v>
      </c>
      <c r="S9" t="s">
        <v>214</v>
      </c>
    </row>
    <row r="10" spans="1:27" x14ac:dyDescent="0.25">
      <c r="A10" t="s">
        <v>110</v>
      </c>
      <c r="B10" t="s">
        <v>39</v>
      </c>
      <c r="C10" s="5">
        <v>16509456</v>
      </c>
      <c r="D10" t="s">
        <v>112</v>
      </c>
      <c r="E10" s="5">
        <v>16509456</v>
      </c>
      <c r="F10" s="5">
        <v>16509456</v>
      </c>
      <c r="G10" t="s">
        <v>112</v>
      </c>
      <c r="H10" s="3">
        <v>46113</v>
      </c>
      <c r="I10" s="2">
        <v>32.58</v>
      </c>
      <c r="J10" t="s">
        <v>113</v>
      </c>
      <c r="K10" s="15" t="str">
        <f>CONCATENATE(J10,99)</f>
        <v>5R83P54NJ1399</v>
      </c>
      <c r="L10" t="s">
        <v>114</v>
      </c>
      <c r="M10" t="s">
        <v>115</v>
      </c>
      <c r="N10" s="3">
        <v>46023</v>
      </c>
      <c r="O10" s="3">
        <v>45658</v>
      </c>
      <c r="P10" s="3">
        <v>46113</v>
      </c>
      <c r="Q10" t="s">
        <v>0</v>
      </c>
      <c r="R10" t="s">
        <v>213</v>
      </c>
      <c r="S10" t="s">
        <v>214</v>
      </c>
    </row>
    <row r="11" spans="1:27" x14ac:dyDescent="0.25">
      <c r="A11" t="s">
        <v>110</v>
      </c>
      <c r="B11" t="s">
        <v>39</v>
      </c>
      <c r="C11" s="5">
        <v>16509456</v>
      </c>
      <c r="D11" t="s">
        <v>112</v>
      </c>
      <c r="E11" s="5">
        <v>16509456</v>
      </c>
      <c r="F11" s="5">
        <v>16509456</v>
      </c>
      <c r="G11" t="s">
        <v>112</v>
      </c>
      <c r="H11" s="3">
        <v>46143</v>
      </c>
      <c r="I11" s="2">
        <v>32.58</v>
      </c>
      <c r="J11" t="s">
        <v>113</v>
      </c>
      <c r="K11" s="15" t="str">
        <f>CONCATENATE(J11,99)</f>
        <v>5R83P54NJ1399</v>
      </c>
      <c r="L11" t="s">
        <v>114</v>
      </c>
      <c r="M11" t="s">
        <v>115</v>
      </c>
      <c r="N11" s="3">
        <v>46023</v>
      </c>
      <c r="O11" s="3">
        <v>45658</v>
      </c>
      <c r="P11" s="3">
        <v>46143</v>
      </c>
      <c r="Q11" t="s">
        <v>0</v>
      </c>
      <c r="R11" t="s">
        <v>213</v>
      </c>
      <c r="S11" t="s">
        <v>214</v>
      </c>
    </row>
    <row r="12" spans="1:27" x14ac:dyDescent="0.25">
      <c r="A12" t="s">
        <v>56</v>
      </c>
      <c r="B12" t="s">
        <v>39</v>
      </c>
      <c r="C12" s="5">
        <v>16912722</v>
      </c>
      <c r="D12" t="s">
        <v>58</v>
      </c>
      <c r="E12" s="5">
        <v>16912722</v>
      </c>
      <c r="F12" s="5">
        <v>16912722</v>
      </c>
      <c r="G12" t="s">
        <v>58</v>
      </c>
      <c r="H12" s="3">
        <v>46023</v>
      </c>
      <c r="I12" s="2">
        <v>-347</v>
      </c>
      <c r="J12" t="s">
        <v>59</v>
      </c>
      <c r="K12" s="15" t="str">
        <f>CONCATENATE(J12,99)</f>
        <v>5JH4RM5RD8799</v>
      </c>
      <c r="L12" t="s">
        <v>60</v>
      </c>
      <c r="M12" t="s">
        <v>61</v>
      </c>
      <c r="N12" s="3">
        <v>46023</v>
      </c>
      <c r="O12" s="3">
        <v>46023</v>
      </c>
      <c r="P12" s="3">
        <v>46054</v>
      </c>
      <c r="Q12" s="3">
        <v>46053</v>
      </c>
      <c r="R12" t="s">
        <v>205</v>
      </c>
      <c r="S12" t="s">
        <v>206</v>
      </c>
    </row>
    <row r="13" spans="1:27" x14ac:dyDescent="0.25">
      <c r="A13" t="s">
        <v>56</v>
      </c>
      <c r="B13" t="s">
        <v>39</v>
      </c>
      <c r="C13" s="5">
        <v>21646325</v>
      </c>
      <c r="D13" t="s">
        <v>189</v>
      </c>
      <c r="E13" s="5">
        <v>21646325</v>
      </c>
      <c r="F13" s="5">
        <v>21646325</v>
      </c>
      <c r="G13" t="s">
        <v>189</v>
      </c>
      <c r="H13" s="3">
        <v>46113</v>
      </c>
      <c r="I13" s="2">
        <v>260.24</v>
      </c>
      <c r="J13" t="s">
        <v>190</v>
      </c>
      <c r="K13" s="15" t="str">
        <f>CONCATENATE(J13,99)</f>
        <v>4RT4MU3DC6499</v>
      </c>
      <c r="L13" t="s">
        <v>191</v>
      </c>
      <c r="M13" t="s">
        <v>45</v>
      </c>
      <c r="N13" s="3">
        <v>46113</v>
      </c>
      <c r="O13" s="3">
        <v>46113</v>
      </c>
      <c r="P13" s="3">
        <v>46387</v>
      </c>
      <c r="Q13" t="s">
        <v>0</v>
      </c>
      <c r="R13" t="s">
        <v>205</v>
      </c>
      <c r="S13" t="s">
        <v>212</v>
      </c>
      <c r="T13">
        <f>347/12*9</f>
        <v>260.25</v>
      </c>
    </row>
    <row r="14" spans="1:27" x14ac:dyDescent="0.25">
      <c r="A14" t="s">
        <v>38</v>
      </c>
      <c r="B14" t="s">
        <v>39</v>
      </c>
      <c r="C14" s="5">
        <v>21646325</v>
      </c>
      <c r="D14" t="s">
        <v>189</v>
      </c>
      <c r="E14" s="5">
        <v>21646325</v>
      </c>
      <c r="F14" s="5">
        <v>21646325</v>
      </c>
      <c r="G14" t="s">
        <v>189</v>
      </c>
      <c r="H14" s="3">
        <v>46113</v>
      </c>
      <c r="I14" s="2">
        <v>260.27</v>
      </c>
      <c r="J14" t="s">
        <v>190</v>
      </c>
      <c r="K14" s="15" t="str">
        <f>CONCATENATE(J14,99)</f>
        <v>4RT4MU3DC6499</v>
      </c>
      <c r="L14" t="s">
        <v>191</v>
      </c>
      <c r="M14" t="s">
        <v>45</v>
      </c>
      <c r="N14" s="3">
        <v>46113</v>
      </c>
      <c r="O14" s="3">
        <v>46113</v>
      </c>
      <c r="P14" s="3">
        <v>46387</v>
      </c>
      <c r="Q14" t="s">
        <v>0</v>
      </c>
      <c r="R14" t="s">
        <v>205</v>
      </c>
      <c r="S14" t="s">
        <v>212</v>
      </c>
    </row>
    <row r="15" spans="1:27" x14ac:dyDescent="0.25">
      <c r="A15" t="s">
        <v>38</v>
      </c>
      <c r="B15" t="s">
        <v>39</v>
      </c>
      <c r="C15" s="5">
        <v>21104854</v>
      </c>
      <c r="D15" t="s">
        <v>41</v>
      </c>
      <c r="E15" s="5">
        <v>21104854</v>
      </c>
      <c r="F15" s="5">
        <v>21104854</v>
      </c>
      <c r="G15" t="s">
        <v>41</v>
      </c>
      <c r="H15" s="3">
        <v>46054</v>
      </c>
      <c r="I15" s="2">
        <v>318.08999999999997</v>
      </c>
      <c r="J15" t="s">
        <v>42</v>
      </c>
      <c r="K15" s="15" t="str">
        <f>CONCATENATE(J15,99)</f>
        <v>2J36T36TU8799</v>
      </c>
      <c r="L15" t="s">
        <v>43</v>
      </c>
      <c r="M15" t="s">
        <v>45</v>
      </c>
      <c r="N15" s="3">
        <v>46054</v>
      </c>
      <c r="O15" s="3">
        <v>46054</v>
      </c>
      <c r="P15" s="3">
        <v>46387</v>
      </c>
      <c r="Q15" t="s">
        <v>0</v>
      </c>
      <c r="R15" t="s">
        <v>205</v>
      </c>
      <c r="S15" t="s">
        <v>207</v>
      </c>
    </row>
    <row r="16" spans="1:27" x14ac:dyDescent="0.25">
      <c r="A16" t="s">
        <v>110</v>
      </c>
      <c r="B16" t="s">
        <v>39</v>
      </c>
      <c r="C16" s="5">
        <v>17425766</v>
      </c>
      <c r="D16" t="s">
        <v>121</v>
      </c>
      <c r="E16" s="5">
        <v>17425766</v>
      </c>
      <c r="F16" s="5">
        <v>17425766</v>
      </c>
      <c r="G16" t="s">
        <v>121</v>
      </c>
      <c r="H16" s="3">
        <v>46054</v>
      </c>
      <c r="I16" s="2">
        <v>28.92</v>
      </c>
      <c r="J16" t="s">
        <v>122</v>
      </c>
      <c r="K16" s="15" t="str">
        <f>CONCATENATE(J16,99)</f>
        <v>9MU4EA3KA6499</v>
      </c>
      <c r="L16" t="s">
        <v>123</v>
      </c>
      <c r="M16" t="s">
        <v>79</v>
      </c>
      <c r="N16" s="3">
        <v>45292</v>
      </c>
      <c r="O16" s="3">
        <v>44197</v>
      </c>
      <c r="P16" s="3">
        <v>46054</v>
      </c>
      <c r="Q16" t="s">
        <v>0</v>
      </c>
      <c r="R16" t="s">
        <v>205</v>
      </c>
      <c r="S16" t="s">
        <v>210</v>
      </c>
    </row>
    <row r="17" spans="1:27" x14ac:dyDescent="0.25">
      <c r="A17" t="s">
        <v>110</v>
      </c>
      <c r="B17" t="s">
        <v>39</v>
      </c>
      <c r="C17" s="5">
        <v>17425766</v>
      </c>
      <c r="D17" t="s">
        <v>121</v>
      </c>
      <c r="E17" s="5">
        <v>17425766</v>
      </c>
      <c r="F17" s="5">
        <v>17425766</v>
      </c>
      <c r="G17" t="s">
        <v>121</v>
      </c>
      <c r="H17" s="3">
        <v>46082</v>
      </c>
      <c r="I17" s="2">
        <v>28.92</v>
      </c>
      <c r="J17" t="s">
        <v>122</v>
      </c>
      <c r="K17" s="15" t="str">
        <f>CONCATENATE(J17,99)</f>
        <v>9MU4EA3KA6499</v>
      </c>
      <c r="L17" t="s">
        <v>123</v>
      </c>
      <c r="M17" t="s">
        <v>79</v>
      </c>
      <c r="N17" s="3">
        <v>45292</v>
      </c>
      <c r="O17" s="3">
        <v>44197</v>
      </c>
      <c r="P17" s="3">
        <v>46082</v>
      </c>
      <c r="Q17" t="s">
        <v>0</v>
      </c>
      <c r="R17" t="s">
        <v>205</v>
      </c>
      <c r="S17" t="s">
        <v>210</v>
      </c>
    </row>
    <row r="18" spans="1:27" s="10" customFormat="1" x14ac:dyDescent="0.25">
      <c r="A18" t="s">
        <v>110</v>
      </c>
      <c r="B18" t="s">
        <v>39</v>
      </c>
      <c r="C18" s="5">
        <v>17425766</v>
      </c>
      <c r="D18" t="s">
        <v>121</v>
      </c>
      <c r="E18" s="5">
        <v>17425766</v>
      </c>
      <c r="F18" s="5">
        <v>17425766</v>
      </c>
      <c r="G18" t="s">
        <v>121</v>
      </c>
      <c r="H18" s="3">
        <v>46113</v>
      </c>
      <c r="I18" s="2">
        <v>28.92</v>
      </c>
      <c r="J18" t="s">
        <v>122</v>
      </c>
      <c r="K18" s="15" t="str">
        <f>CONCATENATE(J18,99)</f>
        <v>9MU4EA3KA6499</v>
      </c>
      <c r="L18" t="s">
        <v>123</v>
      </c>
      <c r="M18" t="s">
        <v>79</v>
      </c>
      <c r="N18" s="3">
        <v>45292</v>
      </c>
      <c r="O18" s="3">
        <v>44197</v>
      </c>
      <c r="P18" s="3">
        <v>46113</v>
      </c>
      <c r="Q18" t="s">
        <v>0</v>
      </c>
      <c r="R18" t="s">
        <v>205</v>
      </c>
      <c r="S18" t="s">
        <v>210</v>
      </c>
      <c r="T18"/>
      <c r="U18"/>
      <c r="V18"/>
      <c r="W18"/>
      <c r="X18"/>
      <c r="Y18"/>
      <c r="Z18"/>
      <c r="AA18"/>
    </row>
    <row r="19" spans="1:27" x14ac:dyDescent="0.25">
      <c r="A19" t="s">
        <v>110</v>
      </c>
      <c r="B19" t="s">
        <v>39</v>
      </c>
      <c r="C19" s="5">
        <v>17425766</v>
      </c>
      <c r="D19" t="s">
        <v>121</v>
      </c>
      <c r="E19" s="5">
        <v>17425766</v>
      </c>
      <c r="F19" s="5">
        <v>17425766</v>
      </c>
      <c r="G19" t="s">
        <v>121</v>
      </c>
      <c r="H19" s="3">
        <v>46143</v>
      </c>
      <c r="I19" s="2">
        <v>28.92</v>
      </c>
      <c r="J19" t="s">
        <v>122</v>
      </c>
      <c r="K19" s="15" t="str">
        <f>CONCATENATE(J19,99)</f>
        <v>9MU4EA3KA6499</v>
      </c>
      <c r="L19" t="s">
        <v>123</v>
      </c>
      <c r="M19" t="s">
        <v>79</v>
      </c>
      <c r="N19" s="3">
        <v>45292</v>
      </c>
      <c r="O19" s="3">
        <v>44197</v>
      </c>
      <c r="P19" s="3">
        <v>46143</v>
      </c>
      <c r="Q19" t="s">
        <v>0</v>
      </c>
      <c r="R19" t="s">
        <v>205</v>
      </c>
      <c r="S19" t="s">
        <v>210</v>
      </c>
    </row>
    <row r="20" spans="1:27" x14ac:dyDescent="0.25">
      <c r="A20" t="s">
        <v>110</v>
      </c>
      <c r="B20" t="s">
        <v>39</v>
      </c>
      <c r="C20" s="5">
        <v>20003537</v>
      </c>
      <c r="D20" t="s">
        <v>154</v>
      </c>
      <c r="E20" s="5" t="s">
        <v>216</v>
      </c>
      <c r="F20" s="5" t="s">
        <v>216</v>
      </c>
      <c r="G20" t="s">
        <v>154</v>
      </c>
      <c r="H20" s="3">
        <v>46054</v>
      </c>
      <c r="I20" s="2">
        <v>28.92</v>
      </c>
      <c r="J20" t="s">
        <v>155</v>
      </c>
      <c r="K20" s="15" t="str">
        <f>CONCATENATE(J20,99)</f>
        <v>8WK6NQ3KA4799</v>
      </c>
      <c r="L20" t="s">
        <v>156</v>
      </c>
      <c r="M20" t="s">
        <v>45</v>
      </c>
      <c r="N20" s="3">
        <v>45778</v>
      </c>
      <c r="O20" s="3">
        <v>45778</v>
      </c>
      <c r="P20" s="3">
        <v>46054</v>
      </c>
      <c r="Q20" t="s">
        <v>0</v>
      </c>
      <c r="R20" t="s">
        <v>205</v>
      </c>
      <c r="S20" t="s">
        <v>210</v>
      </c>
    </row>
    <row r="21" spans="1:27" x14ac:dyDescent="0.25">
      <c r="A21" t="s">
        <v>110</v>
      </c>
      <c r="B21" t="s">
        <v>39</v>
      </c>
      <c r="C21" s="5">
        <v>19681796</v>
      </c>
      <c r="D21" t="s">
        <v>142</v>
      </c>
      <c r="E21" s="5">
        <v>19681796</v>
      </c>
      <c r="F21" s="5">
        <v>19681796</v>
      </c>
      <c r="G21" t="s">
        <v>142</v>
      </c>
      <c r="H21" s="3">
        <v>46054</v>
      </c>
      <c r="I21" s="2">
        <v>28.92</v>
      </c>
      <c r="J21" t="s">
        <v>147</v>
      </c>
      <c r="K21" s="15" t="str">
        <f>CONCATENATE(J21,99)</f>
        <v>9ED3UU0DK7999</v>
      </c>
      <c r="L21" t="s">
        <v>148</v>
      </c>
      <c r="M21" t="s">
        <v>149</v>
      </c>
      <c r="N21" s="3">
        <v>45292</v>
      </c>
      <c r="O21" s="3">
        <v>45292</v>
      </c>
      <c r="P21" s="3">
        <v>46054</v>
      </c>
      <c r="Q21" t="s">
        <v>0</v>
      </c>
      <c r="R21" t="s">
        <v>205</v>
      </c>
      <c r="S21" t="s">
        <v>210</v>
      </c>
    </row>
    <row r="22" spans="1:27" x14ac:dyDescent="0.25">
      <c r="A22" t="s">
        <v>110</v>
      </c>
      <c r="B22" t="s">
        <v>39</v>
      </c>
      <c r="C22" s="5">
        <v>19681796</v>
      </c>
      <c r="D22" t="s">
        <v>142</v>
      </c>
      <c r="E22" s="5">
        <v>19681796</v>
      </c>
      <c r="F22" s="5">
        <v>19681796</v>
      </c>
      <c r="G22" t="s">
        <v>142</v>
      </c>
      <c r="H22" s="3">
        <v>46082</v>
      </c>
      <c r="I22" s="2">
        <v>28.92</v>
      </c>
      <c r="J22" t="s">
        <v>147</v>
      </c>
      <c r="K22" s="15" t="str">
        <f>CONCATENATE(J22,99)</f>
        <v>9ED3UU0DK7999</v>
      </c>
      <c r="L22" t="s">
        <v>148</v>
      </c>
      <c r="M22" t="s">
        <v>149</v>
      </c>
      <c r="N22" s="3">
        <v>45292</v>
      </c>
      <c r="O22" s="3">
        <v>45292</v>
      </c>
      <c r="P22" s="3">
        <v>46082</v>
      </c>
      <c r="Q22" t="s">
        <v>0</v>
      </c>
      <c r="R22" t="s">
        <v>205</v>
      </c>
      <c r="S22" t="s">
        <v>210</v>
      </c>
    </row>
    <row r="23" spans="1:27" x14ac:dyDescent="0.25">
      <c r="A23" t="s">
        <v>110</v>
      </c>
      <c r="B23" t="s">
        <v>39</v>
      </c>
      <c r="C23" s="5">
        <v>19681796</v>
      </c>
      <c r="D23" t="s">
        <v>142</v>
      </c>
      <c r="E23" s="5">
        <v>19681796</v>
      </c>
      <c r="F23" s="5">
        <v>19681796</v>
      </c>
      <c r="G23" t="s">
        <v>142</v>
      </c>
      <c r="H23" s="3">
        <v>46113</v>
      </c>
      <c r="I23" s="2">
        <v>28.92</v>
      </c>
      <c r="J23" t="s">
        <v>147</v>
      </c>
      <c r="K23" s="15" t="str">
        <f>CONCATENATE(J23,99)</f>
        <v>9ED3UU0DK7999</v>
      </c>
      <c r="L23" t="s">
        <v>148</v>
      </c>
      <c r="M23" t="s">
        <v>149</v>
      </c>
      <c r="N23" s="3">
        <v>45292</v>
      </c>
      <c r="O23" s="3">
        <v>45292</v>
      </c>
      <c r="P23" s="3">
        <v>46113</v>
      </c>
      <c r="Q23" t="s">
        <v>0</v>
      </c>
      <c r="R23" t="s">
        <v>205</v>
      </c>
      <c r="S23" t="s">
        <v>210</v>
      </c>
    </row>
    <row r="24" spans="1:27" x14ac:dyDescent="0.25">
      <c r="A24" t="s">
        <v>110</v>
      </c>
      <c r="B24" t="s">
        <v>39</v>
      </c>
      <c r="C24" s="5">
        <v>19681796</v>
      </c>
      <c r="D24" t="s">
        <v>142</v>
      </c>
      <c r="E24" s="5">
        <v>19681796</v>
      </c>
      <c r="F24" s="5">
        <v>19681796</v>
      </c>
      <c r="G24" t="s">
        <v>142</v>
      </c>
      <c r="H24" s="3">
        <v>46143</v>
      </c>
      <c r="I24" s="2">
        <v>28.92</v>
      </c>
      <c r="J24" t="s">
        <v>147</v>
      </c>
      <c r="K24" s="15" t="str">
        <f>CONCATENATE(J24,99)</f>
        <v>9ED3UU0DK7999</v>
      </c>
      <c r="L24" t="s">
        <v>148</v>
      </c>
      <c r="M24" t="s">
        <v>149</v>
      </c>
      <c r="N24" s="3">
        <v>45292</v>
      </c>
      <c r="O24" s="3">
        <v>45292</v>
      </c>
      <c r="P24" s="3">
        <v>46143</v>
      </c>
      <c r="Q24" t="s">
        <v>0</v>
      </c>
      <c r="R24" t="s">
        <v>205</v>
      </c>
      <c r="S24" t="s">
        <v>210</v>
      </c>
    </row>
    <row r="25" spans="1:27" x14ac:dyDescent="0.25">
      <c r="A25" t="s">
        <v>110</v>
      </c>
      <c r="B25" t="s">
        <v>39</v>
      </c>
      <c r="C25" s="5">
        <v>19681796</v>
      </c>
      <c r="D25" t="s">
        <v>142</v>
      </c>
      <c r="E25" s="5">
        <v>19681796</v>
      </c>
      <c r="F25" s="5">
        <v>19681796</v>
      </c>
      <c r="G25" t="s">
        <v>142</v>
      </c>
      <c r="H25" s="3">
        <v>46054</v>
      </c>
      <c r="I25" s="2">
        <v>28.92</v>
      </c>
      <c r="J25" t="s">
        <v>143</v>
      </c>
      <c r="K25" s="15" t="str">
        <f>CONCATENATE(J25,99)</f>
        <v>4X05PQ6CY8099</v>
      </c>
      <c r="L25" t="s">
        <v>144</v>
      </c>
      <c r="M25" t="s">
        <v>79</v>
      </c>
      <c r="N25" s="3">
        <v>45658</v>
      </c>
      <c r="O25" s="3">
        <v>41760</v>
      </c>
      <c r="P25" s="3">
        <v>46054</v>
      </c>
      <c r="Q25" t="s">
        <v>0</v>
      </c>
      <c r="R25" t="s">
        <v>205</v>
      </c>
      <c r="S25" t="s">
        <v>210</v>
      </c>
    </row>
    <row r="26" spans="1:27" x14ac:dyDescent="0.25">
      <c r="A26" t="s">
        <v>110</v>
      </c>
      <c r="B26" t="s">
        <v>39</v>
      </c>
      <c r="C26" s="5">
        <v>19681796</v>
      </c>
      <c r="D26" t="s">
        <v>142</v>
      </c>
      <c r="E26" s="5">
        <v>19681796</v>
      </c>
      <c r="F26" s="5">
        <v>19681796</v>
      </c>
      <c r="G26" t="s">
        <v>142</v>
      </c>
      <c r="H26" s="3">
        <v>46082</v>
      </c>
      <c r="I26" s="2">
        <v>28.92</v>
      </c>
      <c r="J26" t="s">
        <v>143</v>
      </c>
      <c r="K26" s="15" t="str">
        <f>CONCATENATE(J26,99)</f>
        <v>4X05PQ6CY8099</v>
      </c>
      <c r="L26" t="s">
        <v>144</v>
      </c>
      <c r="M26" t="s">
        <v>79</v>
      </c>
      <c r="N26" s="3">
        <v>45658</v>
      </c>
      <c r="O26" s="3">
        <v>41760</v>
      </c>
      <c r="P26" s="3">
        <v>46082</v>
      </c>
      <c r="Q26" t="s">
        <v>0</v>
      </c>
      <c r="R26" t="s">
        <v>205</v>
      </c>
      <c r="S26" t="s">
        <v>210</v>
      </c>
    </row>
    <row r="27" spans="1:27" x14ac:dyDescent="0.25">
      <c r="A27" t="s">
        <v>110</v>
      </c>
      <c r="B27" t="s">
        <v>39</v>
      </c>
      <c r="C27" s="5">
        <v>19681796</v>
      </c>
      <c r="D27" t="s">
        <v>142</v>
      </c>
      <c r="E27" s="5">
        <v>19681796</v>
      </c>
      <c r="F27" s="5">
        <v>19681796</v>
      </c>
      <c r="G27" t="s">
        <v>142</v>
      </c>
      <c r="H27" s="3">
        <v>46113</v>
      </c>
      <c r="I27" s="2">
        <v>28.92</v>
      </c>
      <c r="J27" t="s">
        <v>143</v>
      </c>
      <c r="K27" s="15" t="str">
        <f>CONCATENATE(J27,99)</f>
        <v>4X05PQ6CY8099</v>
      </c>
      <c r="L27" t="s">
        <v>144</v>
      </c>
      <c r="M27" t="s">
        <v>79</v>
      </c>
      <c r="N27" s="3">
        <v>45658</v>
      </c>
      <c r="O27" s="3">
        <v>41760</v>
      </c>
      <c r="P27" s="3">
        <v>46113</v>
      </c>
      <c r="Q27" t="s">
        <v>0</v>
      </c>
      <c r="R27" t="s">
        <v>205</v>
      </c>
      <c r="S27" t="s">
        <v>210</v>
      </c>
    </row>
    <row r="28" spans="1:27" x14ac:dyDescent="0.25">
      <c r="A28" t="s">
        <v>110</v>
      </c>
      <c r="B28" t="s">
        <v>39</v>
      </c>
      <c r="C28" s="5">
        <v>19681796</v>
      </c>
      <c r="D28" t="s">
        <v>142</v>
      </c>
      <c r="E28" s="5">
        <v>19681796</v>
      </c>
      <c r="F28" s="5">
        <v>19681796</v>
      </c>
      <c r="G28" t="s">
        <v>142</v>
      </c>
      <c r="H28" s="3">
        <v>46143</v>
      </c>
      <c r="I28" s="2">
        <v>28.92</v>
      </c>
      <c r="J28" t="s">
        <v>143</v>
      </c>
      <c r="K28" s="15" t="str">
        <f>CONCATENATE(J28,99)</f>
        <v>4X05PQ6CY8099</v>
      </c>
      <c r="L28" t="s">
        <v>144</v>
      </c>
      <c r="M28" t="s">
        <v>79</v>
      </c>
      <c r="N28" s="3">
        <v>45658</v>
      </c>
      <c r="O28" s="3">
        <v>41760</v>
      </c>
      <c r="P28" s="3">
        <v>46143</v>
      </c>
      <c r="Q28" t="s">
        <v>0</v>
      </c>
      <c r="R28" t="s">
        <v>205</v>
      </c>
      <c r="S28" t="s">
        <v>210</v>
      </c>
    </row>
    <row r="29" spans="1:27" x14ac:dyDescent="0.25">
      <c r="A29" t="s">
        <v>38</v>
      </c>
      <c r="B29" t="s">
        <v>39</v>
      </c>
      <c r="C29" s="5">
        <v>8325282</v>
      </c>
      <c r="D29" t="s">
        <v>52</v>
      </c>
      <c r="E29" s="5">
        <v>8325282</v>
      </c>
      <c r="F29" s="5">
        <v>8325282</v>
      </c>
      <c r="G29" t="s">
        <v>52</v>
      </c>
      <c r="H29" s="3">
        <v>46054</v>
      </c>
      <c r="I29" s="2">
        <v>318.08999999999997</v>
      </c>
      <c r="J29" t="s">
        <v>53</v>
      </c>
      <c r="K29" s="15" t="str">
        <f>CONCATENATE(J29,99)</f>
        <v>8GP5TG3VW6799</v>
      </c>
      <c r="L29" t="s">
        <v>54</v>
      </c>
      <c r="M29" t="s">
        <v>45</v>
      </c>
      <c r="N29" s="3">
        <v>46054</v>
      </c>
      <c r="O29" s="3">
        <v>46054</v>
      </c>
      <c r="P29" s="3">
        <v>46387</v>
      </c>
      <c r="Q29" t="s">
        <v>0</v>
      </c>
      <c r="R29" t="s">
        <v>205</v>
      </c>
      <c r="S29" t="s">
        <v>207</v>
      </c>
    </row>
    <row r="30" spans="1:27" x14ac:dyDescent="0.25">
      <c r="A30" t="s">
        <v>110</v>
      </c>
      <c r="B30" t="s">
        <v>39</v>
      </c>
      <c r="C30" s="5">
        <v>8814784</v>
      </c>
      <c r="D30" t="s">
        <v>159</v>
      </c>
      <c r="E30" s="5">
        <v>8814784</v>
      </c>
      <c r="F30" s="5">
        <v>8814784</v>
      </c>
      <c r="G30" t="s">
        <v>159</v>
      </c>
      <c r="H30" s="3">
        <v>46054</v>
      </c>
      <c r="I30" s="2">
        <v>28.92</v>
      </c>
      <c r="J30" t="s">
        <v>160</v>
      </c>
      <c r="K30" s="15" t="str">
        <f>CONCATENATE(J30,99)</f>
        <v>8WR3AN6HR7599</v>
      </c>
      <c r="L30" t="s">
        <v>161</v>
      </c>
      <c r="M30" t="s">
        <v>45</v>
      </c>
      <c r="N30" s="3">
        <v>46023</v>
      </c>
      <c r="O30" s="3">
        <v>44562</v>
      </c>
      <c r="P30" s="3">
        <v>46054</v>
      </c>
      <c r="Q30" t="s">
        <v>0</v>
      </c>
      <c r="R30" t="s">
        <v>205</v>
      </c>
      <c r="S30" t="s">
        <v>210</v>
      </c>
    </row>
    <row r="31" spans="1:27" s="6" customFormat="1" x14ac:dyDescent="0.25">
      <c r="A31" t="s">
        <v>110</v>
      </c>
      <c r="B31" t="s">
        <v>39</v>
      </c>
      <c r="C31" s="5">
        <v>8814784</v>
      </c>
      <c r="D31" t="s">
        <v>159</v>
      </c>
      <c r="E31" s="5">
        <v>8814784</v>
      </c>
      <c r="F31" s="5">
        <v>8814784</v>
      </c>
      <c r="G31" t="s">
        <v>159</v>
      </c>
      <c r="H31" s="3">
        <v>46082</v>
      </c>
      <c r="I31" s="2">
        <v>28.92</v>
      </c>
      <c r="J31" t="s">
        <v>160</v>
      </c>
      <c r="K31" s="15" t="str">
        <f>CONCATENATE(J31,99)</f>
        <v>8WR3AN6HR7599</v>
      </c>
      <c r="L31" t="s">
        <v>161</v>
      </c>
      <c r="M31" t="s">
        <v>45</v>
      </c>
      <c r="N31" s="3">
        <v>46023</v>
      </c>
      <c r="O31" s="3">
        <v>44562</v>
      </c>
      <c r="P31" s="3">
        <v>46082</v>
      </c>
      <c r="Q31" t="s">
        <v>0</v>
      </c>
      <c r="R31" t="s">
        <v>205</v>
      </c>
      <c r="S31" t="s">
        <v>210</v>
      </c>
      <c r="T31"/>
      <c r="U31"/>
      <c r="V31"/>
      <c r="W31"/>
      <c r="X31"/>
      <c r="Y31"/>
      <c r="Z31"/>
      <c r="AA31"/>
    </row>
    <row r="32" spans="1:27" s="6" customFormat="1" x14ac:dyDescent="0.25">
      <c r="A32" t="s">
        <v>110</v>
      </c>
      <c r="B32" t="s">
        <v>39</v>
      </c>
      <c r="C32" s="5">
        <v>8814784</v>
      </c>
      <c r="D32" t="s">
        <v>159</v>
      </c>
      <c r="E32" s="5">
        <v>8814784</v>
      </c>
      <c r="F32" s="5">
        <v>8814784</v>
      </c>
      <c r="G32" t="s">
        <v>159</v>
      </c>
      <c r="H32" s="3">
        <v>46113</v>
      </c>
      <c r="I32" s="2">
        <v>28.92</v>
      </c>
      <c r="J32" t="s">
        <v>160</v>
      </c>
      <c r="K32" s="15" t="str">
        <f>CONCATENATE(J32,99)</f>
        <v>8WR3AN6HR7599</v>
      </c>
      <c r="L32" t="s">
        <v>161</v>
      </c>
      <c r="M32" t="s">
        <v>45</v>
      </c>
      <c r="N32" s="3">
        <v>46023</v>
      </c>
      <c r="O32" s="3">
        <v>44562</v>
      </c>
      <c r="P32" s="3">
        <v>46113</v>
      </c>
      <c r="Q32" t="s">
        <v>0</v>
      </c>
      <c r="R32" t="s">
        <v>205</v>
      </c>
      <c r="S32" t="s">
        <v>210</v>
      </c>
      <c r="T32"/>
      <c r="U32"/>
      <c r="V32"/>
      <c r="W32"/>
      <c r="X32"/>
      <c r="Y32"/>
      <c r="Z32"/>
      <c r="AA32"/>
    </row>
    <row r="33" spans="1:27" s="6" customFormat="1" x14ac:dyDescent="0.25">
      <c r="A33" t="s">
        <v>110</v>
      </c>
      <c r="B33" t="s">
        <v>39</v>
      </c>
      <c r="C33" s="5">
        <v>8814784</v>
      </c>
      <c r="D33" t="s">
        <v>159</v>
      </c>
      <c r="E33" s="5">
        <v>8814784</v>
      </c>
      <c r="F33" s="5">
        <v>8814784</v>
      </c>
      <c r="G33" t="s">
        <v>159</v>
      </c>
      <c r="H33" s="3">
        <v>46143</v>
      </c>
      <c r="I33" s="2">
        <v>28.92</v>
      </c>
      <c r="J33" t="s">
        <v>160</v>
      </c>
      <c r="K33" s="15" t="str">
        <f>CONCATENATE(J33,99)</f>
        <v>8WR3AN6HR7599</v>
      </c>
      <c r="L33" t="s">
        <v>161</v>
      </c>
      <c r="M33" t="s">
        <v>45</v>
      </c>
      <c r="N33" s="3">
        <v>46023</v>
      </c>
      <c r="O33" s="3">
        <v>44562</v>
      </c>
      <c r="P33" s="3">
        <v>46143</v>
      </c>
      <c r="Q33" t="s">
        <v>0</v>
      </c>
      <c r="R33" t="s">
        <v>205</v>
      </c>
      <c r="S33" t="s">
        <v>210</v>
      </c>
      <c r="T33"/>
      <c r="U33"/>
      <c r="V33"/>
      <c r="W33"/>
      <c r="X33"/>
      <c r="Y33"/>
      <c r="Z33"/>
      <c r="AA33"/>
    </row>
    <row r="34" spans="1:27" s="6" customFormat="1" x14ac:dyDescent="0.25">
      <c r="A34" t="s">
        <v>56</v>
      </c>
      <c r="B34" t="s">
        <v>39</v>
      </c>
      <c r="C34" s="5">
        <v>9213293</v>
      </c>
      <c r="D34" t="s">
        <v>105</v>
      </c>
      <c r="E34" s="5">
        <v>9213293</v>
      </c>
      <c r="F34" s="5">
        <v>9213293</v>
      </c>
      <c r="G34" t="s">
        <v>105</v>
      </c>
      <c r="H34" s="3">
        <v>46054</v>
      </c>
      <c r="I34" s="2">
        <v>-318.08</v>
      </c>
      <c r="J34" t="s">
        <v>106</v>
      </c>
      <c r="K34" s="15" t="str">
        <f>CONCATENATE(J34,99)</f>
        <v>4WF0YT2TH3099</v>
      </c>
      <c r="L34" t="s">
        <v>107</v>
      </c>
      <c r="M34" t="s">
        <v>45</v>
      </c>
      <c r="N34" s="3">
        <v>46054</v>
      </c>
      <c r="O34" s="3">
        <v>46054</v>
      </c>
      <c r="P34" s="3">
        <v>46387</v>
      </c>
      <c r="Q34" s="3">
        <v>46112</v>
      </c>
      <c r="R34" t="s">
        <v>205</v>
      </c>
      <c r="S34" t="s">
        <v>207</v>
      </c>
      <c r="T34">
        <f>347/12*11</f>
        <v>318.08333333333337</v>
      </c>
      <c r="U34"/>
      <c r="V34"/>
      <c r="W34"/>
      <c r="X34"/>
      <c r="Y34"/>
      <c r="Z34"/>
      <c r="AA34"/>
    </row>
    <row r="35" spans="1:27" s="6" customFormat="1" x14ac:dyDescent="0.25">
      <c r="A35" t="s">
        <v>56</v>
      </c>
      <c r="B35" t="s">
        <v>39</v>
      </c>
      <c r="C35" s="5">
        <v>9213293</v>
      </c>
      <c r="D35" t="s">
        <v>105</v>
      </c>
      <c r="E35" s="5">
        <v>9213293</v>
      </c>
      <c r="F35" s="5">
        <v>9213293</v>
      </c>
      <c r="G35" t="s">
        <v>105</v>
      </c>
      <c r="H35" s="3">
        <v>46054</v>
      </c>
      <c r="I35" s="2">
        <v>57.84</v>
      </c>
      <c r="J35" t="s">
        <v>106</v>
      </c>
      <c r="K35" s="15" t="str">
        <f>CONCATENATE(J35,99)</f>
        <v>4WF0YT2TH3099</v>
      </c>
      <c r="L35" t="s">
        <v>107</v>
      </c>
      <c r="M35" t="s">
        <v>45</v>
      </c>
      <c r="N35" s="3">
        <v>46054</v>
      </c>
      <c r="O35" s="3">
        <v>46054</v>
      </c>
      <c r="P35" s="3">
        <v>46113</v>
      </c>
      <c r="Q35" s="3">
        <v>46112</v>
      </c>
      <c r="R35" t="s">
        <v>205</v>
      </c>
      <c r="S35" t="s">
        <v>211</v>
      </c>
      <c r="T35">
        <f>347/12*2</f>
        <v>57.833333333333336</v>
      </c>
      <c r="U35"/>
      <c r="V35"/>
      <c r="W35"/>
      <c r="X35"/>
      <c r="Y35"/>
      <c r="Z35"/>
      <c r="AA35"/>
    </row>
    <row r="36" spans="1:27" s="6" customFormat="1" x14ac:dyDescent="0.25">
      <c r="A36" t="s">
        <v>110</v>
      </c>
      <c r="B36" t="s">
        <v>39</v>
      </c>
      <c r="C36" s="5">
        <v>9213293</v>
      </c>
      <c r="D36" t="s">
        <v>105</v>
      </c>
      <c r="E36" s="5">
        <v>9213293</v>
      </c>
      <c r="F36" s="5">
        <v>9213293</v>
      </c>
      <c r="G36" t="s">
        <v>105</v>
      </c>
      <c r="H36" s="3">
        <v>46054</v>
      </c>
      <c r="I36" s="2">
        <v>28.92</v>
      </c>
      <c r="J36" t="s">
        <v>163</v>
      </c>
      <c r="K36" s="15" t="str">
        <f>CONCATENATE(J36,99)</f>
        <v>2GA8K93UK5699</v>
      </c>
      <c r="L36" t="s">
        <v>164</v>
      </c>
      <c r="M36" t="s">
        <v>45</v>
      </c>
      <c r="N36" s="3">
        <v>46023</v>
      </c>
      <c r="O36" s="3">
        <v>45870</v>
      </c>
      <c r="P36" s="3">
        <v>46054</v>
      </c>
      <c r="Q36" t="s">
        <v>0</v>
      </c>
      <c r="R36" t="s">
        <v>205</v>
      </c>
      <c r="S36" t="s">
        <v>210</v>
      </c>
      <c r="T36"/>
      <c r="U36"/>
      <c r="V36"/>
      <c r="W36"/>
      <c r="X36"/>
      <c r="Y36"/>
      <c r="Z36"/>
      <c r="AA36"/>
    </row>
    <row r="37" spans="1:27" s="6" customFormat="1" x14ac:dyDescent="0.25">
      <c r="A37" t="s">
        <v>110</v>
      </c>
      <c r="B37" t="s">
        <v>39</v>
      </c>
      <c r="C37" s="5">
        <v>9213293</v>
      </c>
      <c r="D37" t="s">
        <v>105</v>
      </c>
      <c r="E37" s="5">
        <v>9213293</v>
      </c>
      <c r="F37" s="5">
        <v>9213293</v>
      </c>
      <c r="G37" t="s">
        <v>105</v>
      </c>
      <c r="H37" s="3">
        <v>46082</v>
      </c>
      <c r="I37" s="2">
        <v>28.92</v>
      </c>
      <c r="J37" t="s">
        <v>163</v>
      </c>
      <c r="K37" s="15" t="str">
        <f>CONCATENATE(J37,99)</f>
        <v>2GA8K93UK5699</v>
      </c>
      <c r="L37" t="s">
        <v>164</v>
      </c>
      <c r="M37" t="s">
        <v>45</v>
      </c>
      <c r="N37" s="3">
        <v>46023</v>
      </c>
      <c r="O37" s="3">
        <v>45870</v>
      </c>
      <c r="P37" s="3">
        <v>46082</v>
      </c>
      <c r="Q37" t="s">
        <v>0</v>
      </c>
      <c r="R37" t="s">
        <v>205</v>
      </c>
      <c r="S37" t="s">
        <v>210</v>
      </c>
      <c r="T37"/>
      <c r="U37"/>
      <c r="V37"/>
      <c r="W37"/>
      <c r="X37"/>
      <c r="Y37"/>
      <c r="Z37"/>
      <c r="AA37"/>
    </row>
    <row r="38" spans="1:27" s="6" customFormat="1" x14ac:dyDescent="0.25">
      <c r="A38" t="s">
        <v>110</v>
      </c>
      <c r="B38" t="s">
        <v>39</v>
      </c>
      <c r="C38" s="5">
        <v>9213293</v>
      </c>
      <c r="D38" t="s">
        <v>105</v>
      </c>
      <c r="E38" s="5">
        <v>9213293</v>
      </c>
      <c r="F38" s="5">
        <v>9213293</v>
      </c>
      <c r="G38" t="s">
        <v>105</v>
      </c>
      <c r="H38" s="3">
        <v>46113</v>
      </c>
      <c r="I38" s="2">
        <v>28.92</v>
      </c>
      <c r="J38" t="s">
        <v>163</v>
      </c>
      <c r="K38" s="15" t="str">
        <f>CONCATENATE(J38,99)</f>
        <v>2GA8K93UK5699</v>
      </c>
      <c r="L38" t="s">
        <v>164</v>
      </c>
      <c r="M38" t="s">
        <v>45</v>
      </c>
      <c r="N38" s="3">
        <v>46023</v>
      </c>
      <c r="O38" s="3">
        <v>45870</v>
      </c>
      <c r="P38" s="3">
        <v>46113</v>
      </c>
      <c r="Q38" t="s">
        <v>0</v>
      </c>
      <c r="R38" t="s">
        <v>205</v>
      </c>
      <c r="S38" t="s">
        <v>210</v>
      </c>
      <c r="T38"/>
      <c r="U38"/>
      <c r="V38"/>
      <c r="W38"/>
      <c r="X38"/>
      <c r="Y38"/>
      <c r="Z38"/>
      <c r="AA38"/>
    </row>
    <row r="39" spans="1:27" s="6" customFormat="1" x14ac:dyDescent="0.25">
      <c r="A39" t="s">
        <v>110</v>
      </c>
      <c r="B39" t="s">
        <v>39</v>
      </c>
      <c r="C39" s="5">
        <v>9213293</v>
      </c>
      <c r="D39" t="s">
        <v>105</v>
      </c>
      <c r="E39" s="5">
        <v>9213293</v>
      </c>
      <c r="F39" s="5">
        <v>9213293</v>
      </c>
      <c r="G39" t="s">
        <v>105</v>
      </c>
      <c r="H39" s="3">
        <v>46143</v>
      </c>
      <c r="I39" s="2">
        <v>28.92</v>
      </c>
      <c r="J39" t="s">
        <v>163</v>
      </c>
      <c r="K39" s="15" t="str">
        <f>CONCATENATE(J39,99)</f>
        <v>2GA8K93UK5699</v>
      </c>
      <c r="L39" t="s">
        <v>164</v>
      </c>
      <c r="M39" t="s">
        <v>45</v>
      </c>
      <c r="N39" s="3">
        <v>46023</v>
      </c>
      <c r="O39" s="3">
        <v>45870</v>
      </c>
      <c r="P39" s="3">
        <v>46143</v>
      </c>
      <c r="Q39" t="s">
        <v>0</v>
      </c>
      <c r="R39" t="s">
        <v>205</v>
      </c>
      <c r="S39" t="s">
        <v>210</v>
      </c>
      <c r="T39"/>
      <c r="U39"/>
      <c r="V39"/>
      <c r="W39"/>
      <c r="X39"/>
      <c r="Y39"/>
      <c r="Z39"/>
      <c r="AA39"/>
    </row>
    <row r="40" spans="1:27" s="6" customFormat="1" x14ac:dyDescent="0.25">
      <c r="A40" t="s">
        <v>110</v>
      </c>
      <c r="B40" t="s">
        <v>39</v>
      </c>
      <c r="C40" s="5">
        <v>9213293</v>
      </c>
      <c r="D40" t="s">
        <v>105</v>
      </c>
      <c r="E40" s="5">
        <v>9213293</v>
      </c>
      <c r="F40" s="5">
        <v>9213293</v>
      </c>
      <c r="G40" t="s">
        <v>105</v>
      </c>
      <c r="H40" s="3">
        <v>46054</v>
      </c>
      <c r="I40" s="2">
        <v>28.92</v>
      </c>
      <c r="J40" t="s">
        <v>166</v>
      </c>
      <c r="K40" s="15" t="str">
        <f>CONCATENATE(J40,99)</f>
        <v>5CF0MY3WK1199</v>
      </c>
      <c r="L40" t="s">
        <v>167</v>
      </c>
      <c r="M40" t="s">
        <v>45</v>
      </c>
      <c r="N40" s="3">
        <v>45658</v>
      </c>
      <c r="O40" s="3">
        <v>45658</v>
      </c>
      <c r="P40" s="3">
        <v>46054</v>
      </c>
      <c r="Q40" t="s">
        <v>0</v>
      </c>
      <c r="R40" t="s">
        <v>205</v>
      </c>
      <c r="S40" t="s">
        <v>210</v>
      </c>
      <c r="T40"/>
      <c r="U40"/>
      <c r="V40"/>
      <c r="W40"/>
      <c r="X40"/>
      <c r="Y40"/>
      <c r="Z40"/>
      <c r="AA40"/>
    </row>
    <row r="41" spans="1:27" s="6" customFormat="1" x14ac:dyDescent="0.25">
      <c r="A41" t="s">
        <v>110</v>
      </c>
      <c r="B41" t="s">
        <v>39</v>
      </c>
      <c r="C41" s="5">
        <v>9213293</v>
      </c>
      <c r="D41" t="s">
        <v>105</v>
      </c>
      <c r="E41" s="5">
        <v>9213293</v>
      </c>
      <c r="F41" s="5">
        <v>9213293</v>
      </c>
      <c r="G41" t="s">
        <v>105</v>
      </c>
      <c r="H41" s="3">
        <v>46082</v>
      </c>
      <c r="I41" s="2">
        <v>28.92</v>
      </c>
      <c r="J41" t="s">
        <v>166</v>
      </c>
      <c r="K41" s="15" t="str">
        <f>CONCATENATE(J41,99)</f>
        <v>5CF0MY3WK1199</v>
      </c>
      <c r="L41" t="s">
        <v>167</v>
      </c>
      <c r="M41" t="s">
        <v>45</v>
      </c>
      <c r="N41" s="3">
        <v>45658</v>
      </c>
      <c r="O41" s="3">
        <v>45658</v>
      </c>
      <c r="P41" s="3">
        <v>46082</v>
      </c>
      <c r="Q41" t="s">
        <v>0</v>
      </c>
      <c r="R41" t="s">
        <v>205</v>
      </c>
      <c r="S41" t="s">
        <v>210</v>
      </c>
      <c r="T41"/>
      <c r="U41"/>
      <c r="V41"/>
      <c r="W41"/>
      <c r="X41"/>
      <c r="Y41"/>
      <c r="Z41"/>
      <c r="AA41"/>
    </row>
    <row r="42" spans="1:27" s="6" customFormat="1" x14ac:dyDescent="0.25">
      <c r="A42" t="s">
        <v>110</v>
      </c>
      <c r="B42" t="s">
        <v>39</v>
      </c>
      <c r="C42" s="5">
        <v>9213293</v>
      </c>
      <c r="D42" t="s">
        <v>105</v>
      </c>
      <c r="E42" s="5">
        <v>9213293</v>
      </c>
      <c r="F42" s="5">
        <v>9213293</v>
      </c>
      <c r="G42" t="s">
        <v>105</v>
      </c>
      <c r="H42" s="3">
        <v>46113</v>
      </c>
      <c r="I42" s="2">
        <v>28.92</v>
      </c>
      <c r="J42" t="s">
        <v>166</v>
      </c>
      <c r="K42" s="15" t="str">
        <f>CONCATENATE(J42,99)</f>
        <v>5CF0MY3WK1199</v>
      </c>
      <c r="L42" t="s">
        <v>167</v>
      </c>
      <c r="M42" t="s">
        <v>45</v>
      </c>
      <c r="N42" s="3">
        <v>45658</v>
      </c>
      <c r="O42" s="3">
        <v>45658</v>
      </c>
      <c r="P42" s="3">
        <v>46113</v>
      </c>
      <c r="Q42" t="s">
        <v>0</v>
      </c>
      <c r="R42" t="s">
        <v>205</v>
      </c>
      <c r="S42" t="s">
        <v>210</v>
      </c>
      <c r="T42"/>
      <c r="U42"/>
      <c r="V42"/>
      <c r="W42"/>
      <c r="X42"/>
      <c r="Y42"/>
      <c r="Z42"/>
      <c r="AA42"/>
    </row>
    <row r="43" spans="1:27" s="6" customFormat="1" x14ac:dyDescent="0.25">
      <c r="A43" t="s">
        <v>110</v>
      </c>
      <c r="B43" t="s">
        <v>39</v>
      </c>
      <c r="C43" s="5">
        <v>9213293</v>
      </c>
      <c r="D43" t="s">
        <v>105</v>
      </c>
      <c r="E43" s="5">
        <v>9213293</v>
      </c>
      <c r="F43" s="5">
        <v>9213293</v>
      </c>
      <c r="G43" t="s">
        <v>105</v>
      </c>
      <c r="H43" s="3">
        <v>46143</v>
      </c>
      <c r="I43" s="2">
        <v>28.92</v>
      </c>
      <c r="J43" t="s">
        <v>166</v>
      </c>
      <c r="K43" s="15" t="str">
        <f>CONCATENATE(J43,99)</f>
        <v>5CF0MY3WK1199</v>
      </c>
      <c r="L43" t="s">
        <v>167</v>
      </c>
      <c r="M43" t="s">
        <v>45</v>
      </c>
      <c r="N43" s="3">
        <v>45658</v>
      </c>
      <c r="O43" s="3">
        <v>45658</v>
      </c>
      <c r="P43" s="3">
        <v>46143</v>
      </c>
      <c r="Q43" t="s">
        <v>0</v>
      </c>
      <c r="R43" t="s">
        <v>205</v>
      </c>
      <c r="S43" t="s">
        <v>210</v>
      </c>
      <c r="T43"/>
      <c r="U43"/>
      <c r="V43"/>
      <c r="W43"/>
      <c r="X43"/>
      <c r="Y43"/>
      <c r="Z43"/>
      <c r="AA43"/>
    </row>
    <row r="44" spans="1:27" s="6" customFormat="1" x14ac:dyDescent="0.25">
      <c r="A44" t="s">
        <v>56</v>
      </c>
      <c r="B44" t="s">
        <v>39</v>
      </c>
      <c r="C44" s="5">
        <v>16865615</v>
      </c>
      <c r="D44" t="s">
        <v>85</v>
      </c>
      <c r="E44" s="5">
        <v>16865615</v>
      </c>
      <c r="F44" s="5">
        <v>16865615</v>
      </c>
      <c r="G44" t="s">
        <v>85</v>
      </c>
      <c r="H44" s="3">
        <v>46054</v>
      </c>
      <c r="I44" s="2">
        <v>-289.16000000000003</v>
      </c>
      <c r="J44" t="s">
        <v>86</v>
      </c>
      <c r="K44" s="15" t="str">
        <f>CONCATENATE(J44,99)</f>
        <v>1FQ3V24HG1699</v>
      </c>
      <c r="L44" t="s">
        <v>87</v>
      </c>
      <c r="M44" t="s">
        <v>88</v>
      </c>
      <c r="N44" s="3">
        <v>46054</v>
      </c>
      <c r="O44" s="3">
        <v>46054</v>
      </c>
      <c r="P44" s="3">
        <v>46387</v>
      </c>
      <c r="Q44" s="3">
        <v>46081</v>
      </c>
      <c r="R44" t="s">
        <v>205</v>
      </c>
      <c r="S44" t="s">
        <v>208</v>
      </c>
      <c r="T44">
        <f>347/12*10</f>
        <v>289.16666666666669</v>
      </c>
      <c r="U44"/>
      <c r="V44"/>
      <c r="W44"/>
      <c r="X44"/>
      <c r="Y44"/>
      <c r="Z44"/>
      <c r="AA44"/>
    </row>
    <row r="45" spans="1:27" s="6" customFormat="1" x14ac:dyDescent="0.25">
      <c r="A45" t="s">
        <v>56</v>
      </c>
      <c r="B45" t="s">
        <v>39</v>
      </c>
      <c r="C45" s="5">
        <v>16865615</v>
      </c>
      <c r="D45" t="s">
        <v>85</v>
      </c>
      <c r="E45" s="5">
        <v>16865615</v>
      </c>
      <c r="F45" s="5">
        <v>16865615</v>
      </c>
      <c r="G45" t="s">
        <v>85</v>
      </c>
      <c r="H45" s="3">
        <v>46054</v>
      </c>
      <c r="I45" s="2">
        <v>-28.92</v>
      </c>
      <c r="J45" t="s">
        <v>86</v>
      </c>
      <c r="K45" s="15" t="str">
        <f>CONCATENATE(J45,99)</f>
        <v>1FQ3V24HG1699</v>
      </c>
      <c r="L45" t="s">
        <v>87</v>
      </c>
      <c r="M45" t="s">
        <v>88</v>
      </c>
      <c r="N45" s="3">
        <v>46054</v>
      </c>
      <c r="O45" s="3">
        <v>46054</v>
      </c>
      <c r="P45" s="3">
        <v>46082</v>
      </c>
      <c r="Q45" s="3">
        <v>46054</v>
      </c>
      <c r="R45" t="s">
        <v>205</v>
      </c>
      <c r="S45" t="s">
        <v>210</v>
      </c>
      <c r="T45">
        <f>347/12</f>
        <v>28.916666666666668</v>
      </c>
      <c r="U45"/>
      <c r="V45"/>
      <c r="W45"/>
      <c r="X45"/>
      <c r="Y45"/>
      <c r="Z45"/>
      <c r="AA45"/>
    </row>
    <row r="46" spans="1:27" s="6" customFormat="1" x14ac:dyDescent="0.25">
      <c r="A46" t="s">
        <v>56</v>
      </c>
      <c r="B46" t="s">
        <v>39</v>
      </c>
      <c r="C46" s="5">
        <v>16865615</v>
      </c>
      <c r="D46" t="s">
        <v>85</v>
      </c>
      <c r="E46" s="5">
        <v>16865615</v>
      </c>
      <c r="F46" s="5">
        <v>16865615</v>
      </c>
      <c r="G46" t="s">
        <v>85</v>
      </c>
      <c r="H46" s="3">
        <v>46054</v>
      </c>
      <c r="I46" s="2">
        <v>318.08</v>
      </c>
      <c r="J46" t="s">
        <v>86</v>
      </c>
      <c r="K46" s="15" t="str">
        <f>CONCATENATE(J46,99)</f>
        <v>1FQ3V24HG1699</v>
      </c>
      <c r="L46" t="s">
        <v>87</v>
      </c>
      <c r="M46" t="s">
        <v>88</v>
      </c>
      <c r="N46" s="3">
        <v>46054</v>
      </c>
      <c r="O46" s="3">
        <v>46054</v>
      </c>
      <c r="P46" s="3">
        <v>46387</v>
      </c>
      <c r="Q46" t="s">
        <v>0</v>
      </c>
      <c r="R46" t="s">
        <v>205</v>
      </c>
      <c r="S46" t="s">
        <v>207</v>
      </c>
      <c r="T46"/>
      <c r="U46"/>
      <c r="V46"/>
      <c r="W46"/>
      <c r="X46"/>
      <c r="Y46"/>
      <c r="Z46"/>
      <c r="AA46"/>
    </row>
    <row r="47" spans="1:27" s="6" customFormat="1" x14ac:dyDescent="0.25">
      <c r="A47" t="s">
        <v>56</v>
      </c>
      <c r="B47" t="s">
        <v>39</v>
      </c>
      <c r="C47" s="5">
        <v>16865615</v>
      </c>
      <c r="D47" t="s">
        <v>85</v>
      </c>
      <c r="E47" s="5">
        <v>16865615</v>
      </c>
      <c r="F47" s="5">
        <v>16865615</v>
      </c>
      <c r="G47" t="s">
        <v>85</v>
      </c>
      <c r="H47" s="3">
        <v>46054</v>
      </c>
      <c r="I47" s="2">
        <v>28.92</v>
      </c>
      <c r="J47" t="s">
        <v>198</v>
      </c>
      <c r="K47" s="15" t="str">
        <f>CONCATENATE(J47,99)</f>
        <v>8K10XJ6CH2699</v>
      </c>
      <c r="L47" t="s">
        <v>87</v>
      </c>
      <c r="M47" t="s">
        <v>88</v>
      </c>
      <c r="N47" s="3">
        <v>46054</v>
      </c>
      <c r="O47" s="3">
        <v>46054</v>
      </c>
      <c r="P47" s="3">
        <v>46082</v>
      </c>
      <c r="Q47" s="3">
        <v>46081</v>
      </c>
      <c r="R47" t="s">
        <v>205</v>
      </c>
      <c r="S47" t="s">
        <v>210</v>
      </c>
      <c r="T47"/>
      <c r="U47"/>
      <c r="V47"/>
      <c r="W47"/>
      <c r="X47"/>
      <c r="Y47"/>
      <c r="Z47"/>
      <c r="AA47"/>
    </row>
    <row r="48" spans="1:27" s="6" customFormat="1" x14ac:dyDescent="0.25">
      <c r="A48" t="s">
        <v>56</v>
      </c>
      <c r="B48" t="s">
        <v>39</v>
      </c>
      <c r="C48" s="5">
        <v>18754354</v>
      </c>
      <c r="D48" t="s">
        <v>66</v>
      </c>
      <c r="E48" s="5">
        <v>18754354</v>
      </c>
      <c r="F48" s="5">
        <v>18754354</v>
      </c>
      <c r="G48" t="s">
        <v>66</v>
      </c>
      <c r="H48" s="3">
        <v>46023</v>
      </c>
      <c r="I48" s="2">
        <v>-347</v>
      </c>
      <c r="J48" t="s">
        <v>67</v>
      </c>
      <c r="K48" s="15" t="str">
        <f>CONCATENATE(J48,99)</f>
        <v>4HH8NR2AK2399</v>
      </c>
      <c r="L48" t="s">
        <v>68</v>
      </c>
      <c r="M48" t="s">
        <v>45</v>
      </c>
      <c r="N48" s="3">
        <v>46023</v>
      </c>
      <c r="O48" s="3">
        <v>46023</v>
      </c>
      <c r="P48" s="3">
        <v>46054</v>
      </c>
      <c r="Q48" s="3">
        <v>46053</v>
      </c>
      <c r="R48" t="s">
        <v>205</v>
      </c>
      <c r="S48" t="s">
        <v>206</v>
      </c>
      <c r="T48"/>
      <c r="U48"/>
      <c r="V48"/>
      <c r="W48"/>
      <c r="X48"/>
      <c r="Y48"/>
      <c r="Z48"/>
      <c r="AA48"/>
    </row>
    <row r="49" spans="1:27" s="6" customFormat="1" x14ac:dyDescent="0.25">
      <c r="A49" t="s">
        <v>56</v>
      </c>
      <c r="B49" t="s">
        <v>39</v>
      </c>
      <c r="C49" s="5">
        <v>19200754</v>
      </c>
      <c r="D49" t="s">
        <v>94</v>
      </c>
      <c r="E49" s="5">
        <v>19200754</v>
      </c>
      <c r="F49" s="5">
        <v>19200754</v>
      </c>
      <c r="G49" t="s">
        <v>94</v>
      </c>
      <c r="H49" s="3">
        <v>46023</v>
      </c>
      <c r="I49" s="2">
        <v>-347</v>
      </c>
      <c r="J49" t="s">
        <v>199</v>
      </c>
      <c r="K49" s="15" t="str">
        <f>CONCATENATE(J49,99)</f>
        <v>9F12R28QC8199</v>
      </c>
      <c r="L49" t="s">
        <v>200</v>
      </c>
      <c r="M49" t="s">
        <v>45</v>
      </c>
      <c r="N49" s="3">
        <v>46023</v>
      </c>
      <c r="O49" s="3">
        <v>46023</v>
      </c>
      <c r="P49" s="3">
        <v>46054</v>
      </c>
      <c r="Q49" s="3">
        <v>46023</v>
      </c>
      <c r="R49" t="s">
        <v>205</v>
      </c>
      <c r="S49" t="s">
        <v>206</v>
      </c>
      <c r="T49"/>
      <c r="U49"/>
      <c r="V49"/>
      <c r="W49"/>
      <c r="X49"/>
      <c r="Y49"/>
      <c r="Z49"/>
      <c r="AA49"/>
    </row>
    <row r="50" spans="1:27" s="10" customFormat="1" x14ac:dyDescent="0.25">
      <c r="A50" t="s">
        <v>56</v>
      </c>
      <c r="B50" t="s">
        <v>39</v>
      </c>
      <c r="C50" s="5">
        <v>19200754</v>
      </c>
      <c r="D50" t="s">
        <v>94</v>
      </c>
      <c r="E50" s="5">
        <v>19200754</v>
      </c>
      <c r="F50" s="5">
        <v>19200754</v>
      </c>
      <c r="G50" t="s">
        <v>94</v>
      </c>
      <c r="H50" s="3">
        <v>46023</v>
      </c>
      <c r="I50" s="2">
        <v>347</v>
      </c>
      <c r="J50" t="s">
        <v>203</v>
      </c>
      <c r="K50" s="15" t="str">
        <f>CONCATENATE(J50,99)</f>
        <v>9MJ6CF8GG6199</v>
      </c>
      <c r="L50" t="s">
        <v>200</v>
      </c>
      <c r="M50" t="s">
        <v>45</v>
      </c>
      <c r="N50" s="3">
        <v>46023</v>
      </c>
      <c r="O50" s="3">
        <v>46023</v>
      </c>
      <c r="P50" s="3">
        <v>46387</v>
      </c>
      <c r="Q50" t="s">
        <v>0</v>
      </c>
      <c r="R50" t="s">
        <v>205</v>
      </c>
      <c r="S50" t="s">
        <v>206</v>
      </c>
      <c r="T50"/>
      <c r="U50"/>
      <c r="V50"/>
      <c r="W50"/>
      <c r="X50"/>
      <c r="Y50"/>
      <c r="Z50"/>
      <c r="AA50"/>
    </row>
    <row r="51" spans="1:27" s="6" customFormat="1" x14ac:dyDescent="0.25">
      <c r="A51" s="6" t="s">
        <v>56</v>
      </c>
      <c r="B51" s="6" t="s">
        <v>73</v>
      </c>
      <c r="C51" s="7">
        <v>16912722</v>
      </c>
      <c r="D51" s="6" t="s">
        <v>58</v>
      </c>
      <c r="E51" s="7">
        <v>16912722</v>
      </c>
      <c r="F51" s="7" t="str">
        <f>CONCATENATE(E51,"OVR")</f>
        <v>16912722OVR</v>
      </c>
      <c r="G51" s="6" t="s">
        <v>4</v>
      </c>
      <c r="H51" s="8">
        <v>46023</v>
      </c>
      <c r="I51" s="9">
        <v>-150</v>
      </c>
      <c r="J51" s="6" t="s">
        <v>59</v>
      </c>
      <c r="K51" s="6" t="str">
        <f>CONCATENATE(J51,"OVR")</f>
        <v>5JH4RM5RD87OVR</v>
      </c>
      <c r="L51" s="6" t="s">
        <v>60</v>
      </c>
      <c r="M51" s="6" t="s">
        <v>61</v>
      </c>
      <c r="N51" s="8">
        <v>46023</v>
      </c>
      <c r="O51" s="8">
        <v>46023</v>
      </c>
      <c r="P51" s="8">
        <v>46054</v>
      </c>
      <c r="Q51" s="8">
        <v>46053</v>
      </c>
      <c r="R51" s="6" t="s">
        <v>209</v>
      </c>
    </row>
    <row r="52" spans="1:27" s="6" customFormat="1" x14ac:dyDescent="0.25">
      <c r="A52" s="6" t="s">
        <v>56</v>
      </c>
      <c r="B52" s="6" t="s">
        <v>73</v>
      </c>
      <c r="C52" s="7">
        <v>21646325</v>
      </c>
      <c r="D52" s="6" t="s">
        <v>189</v>
      </c>
      <c r="E52" s="7">
        <v>21646325</v>
      </c>
      <c r="F52" s="7" t="str">
        <f>CONCATENATE(E52,"OVR")</f>
        <v>21646325OVR</v>
      </c>
      <c r="G52" s="6" t="s">
        <v>4</v>
      </c>
      <c r="H52" s="8">
        <v>46113</v>
      </c>
      <c r="I52" s="9">
        <v>56.28</v>
      </c>
      <c r="J52" s="6" t="s">
        <v>190</v>
      </c>
      <c r="K52" s="6" t="str">
        <f>CONCATENATE(J52,"OVR")</f>
        <v>4RT4MU3DC64OVR</v>
      </c>
      <c r="L52" s="6" t="s">
        <v>191</v>
      </c>
      <c r="M52" s="6" t="s">
        <v>45</v>
      </c>
      <c r="N52" s="8">
        <v>46113</v>
      </c>
      <c r="O52" s="8">
        <v>46113</v>
      </c>
      <c r="P52" s="8">
        <v>46387</v>
      </c>
      <c r="Q52" s="6" t="s">
        <v>0</v>
      </c>
      <c r="R52" s="6" t="s">
        <v>209</v>
      </c>
    </row>
    <row r="53" spans="1:27" s="6" customFormat="1" x14ac:dyDescent="0.25">
      <c r="A53" s="6" t="s">
        <v>38</v>
      </c>
      <c r="B53" s="6" t="s">
        <v>73</v>
      </c>
      <c r="C53" s="7">
        <v>20003537</v>
      </c>
      <c r="D53" s="6" t="s">
        <v>154</v>
      </c>
      <c r="E53" s="7">
        <v>20003537</v>
      </c>
      <c r="F53" s="7" t="str">
        <f>CONCATENATE(E53,"OVR")</f>
        <v>20003537OVR</v>
      </c>
      <c r="G53" s="6" t="s">
        <v>4</v>
      </c>
      <c r="H53" s="8">
        <v>46023</v>
      </c>
      <c r="I53" s="9">
        <v>-150</v>
      </c>
      <c r="J53" s="6" t="s">
        <v>185</v>
      </c>
      <c r="K53" s="6" t="str">
        <f>CONCATENATE(J53,"OVR")</f>
        <v>7V93VG8QC79OVR</v>
      </c>
      <c r="L53" s="6" t="s">
        <v>186</v>
      </c>
      <c r="M53" s="6" t="s">
        <v>130</v>
      </c>
      <c r="N53" s="8">
        <v>46023</v>
      </c>
      <c r="O53" s="8">
        <v>46023</v>
      </c>
      <c r="P53" s="8">
        <v>46054</v>
      </c>
      <c r="Q53" s="8">
        <v>46112</v>
      </c>
      <c r="R53" s="6" t="s">
        <v>209</v>
      </c>
    </row>
    <row r="54" spans="1:27" s="6" customFormat="1" x14ac:dyDescent="0.25">
      <c r="A54" s="6" t="s">
        <v>110</v>
      </c>
      <c r="B54" s="6" t="s">
        <v>73</v>
      </c>
      <c r="C54" s="7">
        <v>20003537</v>
      </c>
      <c r="D54" s="6" t="s">
        <v>154</v>
      </c>
      <c r="E54" s="7">
        <v>20003537</v>
      </c>
      <c r="F54" s="7" t="str">
        <f>CONCATENATE(E54,"OVR")</f>
        <v>20003537OVR</v>
      </c>
      <c r="G54" s="6" t="s">
        <v>4</v>
      </c>
      <c r="H54" s="8">
        <v>46054</v>
      </c>
      <c r="I54" s="9">
        <v>12.51</v>
      </c>
      <c r="J54" s="6" t="s">
        <v>155</v>
      </c>
      <c r="K54" s="6" t="str">
        <f>CONCATENATE(J54,"OVR")</f>
        <v>8WK6NQ3KA47OVR</v>
      </c>
      <c r="L54" s="6" t="s">
        <v>156</v>
      </c>
      <c r="M54" s="6" t="s">
        <v>45</v>
      </c>
      <c r="N54" s="8">
        <v>45778</v>
      </c>
      <c r="O54" s="8">
        <v>45778</v>
      </c>
      <c r="P54" s="8">
        <v>46054</v>
      </c>
      <c r="Q54" s="6" t="s">
        <v>0</v>
      </c>
      <c r="R54" s="6" t="s">
        <v>209</v>
      </c>
    </row>
    <row r="55" spans="1:27" s="6" customFormat="1" x14ac:dyDescent="0.25">
      <c r="A55" s="6" t="s">
        <v>56</v>
      </c>
      <c r="B55" s="6" t="s">
        <v>73</v>
      </c>
      <c r="C55" s="7">
        <v>21435997</v>
      </c>
      <c r="D55" s="6" t="s">
        <v>76</v>
      </c>
      <c r="E55" s="7">
        <v>21435997</v>
      </c>
      <c r="F55" s="7" t="str">
        <f>CONCATENATE(E55,"OVR")</f>
        <v>21435997OVR</v>
      </c>
      <c r="G55" s="6" t="s">
        <v>4</v>
      </c>
      <c r="H55" s="8">
        <v>46082</v>
      </c>
      <c r="I55" s="9">
        <v>150</v>
      </c>
      <c r="J55" s="6" t="s">
        <v>178</v>
      </c>
      <c r="K55" s="6" t="str">
        <f>CONCATENATE(J55,"OVR")</f>
        <v>8H36RG9EF65OVR</v>
      </c>
      <c r="L55" s="6" t="s">
        <v>179</v>
      </c>
      <c r="M55" s="6" t="s">
        <v>180</v>
      </c>
      <c r="N55" s="8">
        <v>46082</v>
      </c>
      <c r="O55" s="8">
        <v>46082</v>
      </c>
      <c r="P55" s="8">
        <v>46387</v>
      </c>
      <c r="Q55" s="6" t="s">
        <v>0</v>
      </c>
      <c r="R55" s="6" t="s">
        <v>209</v>
      </c>
    </row>
    <row r="56" spans="1:27" s="6" customFormat="1" x14ac:dyDescent="0.25">
      <c r="A56" s="6" t="s">
        <v>38</v>
      </c>
      <c r="B56" s="6" t="s">
        <v>73</v>
      </c>
      <c r="C56" s="7">
        <v>21435997</v>
      </c>
      <c r="D56" s="6" t="s">
        <v>76</v>
      </c>
      <c r="E56" s="7">
        <v>21435997</v>
      </c>
      <c r="F56" s="7" t="str">
        <f>CONCATENATE(E56,"OVR")</f>
        <v>21435997OVR</v>
      </c>
      <c r="G56" s="6" t="s">
        <v>4</v>
      </c>
      <c r="H56" s="8">
        <v>46023</v>
      </c>
      <c r="I56" s="9">
        <v>-150</v>
      </c>
      <c r="J56" s="6" t="s">
        <v>77</v>
      </c>
      <c r="K56" s="6" t="str">
        <f>CONCATENATE(J56,"OVR")</f>
        <v>6DH5R24GV61OVR</v>
      </c>
      <c r="L56" s="6" t="s">
        <v>78</v>
      </c>
      <c r="M56" s="6" t="s">
        <v>79</v>
      </c>
      <c r="N56" s="8">
        <v>46023</v>
      </c>
      <c r="O56" s="8">
        <v>46023</v>
      </c>
      <c r="P56" s="8">
        <v>46054</v>
      </c>
      <c r="Q56" s="8">
        <v>46081</v>
      </c>
      <c r="R56" s="6" t="s">
        <v>209</v>
      </c>
    </row>
    <row r="57" spans="1:27" s="6" customFormat="1" x14ac:dyDescent="0.25">
      <c r="A57" s="6" t="s">
        <v>110</v>
      </c>
      <c r="B57" s="6" t="s">
        <v>73</v>
      </c>
      <c r="C57" s="7">
        <v>8814784</v>
      </c>
      <c r="D57" s="6" t="s">
        <v>159</v>
      </c>
      <c r="E57" s="7">
        <v>8814784</v>
      </c>
      <c r="F57" s="7" t="str">
        <f>CONCATENATE(E57,"OVR")</f>
        <v>8814784OVR</v>
      </c>
      <c r="G57" s="6" t="s">
        <v>4</v>
      </c>
      <c r="H57" s="8">
        <v>46054</v>
      </c>
      <c r="I57" s="9">
        <v>6.24</v>
      </c>
      <c r="J57" s="6" t="s">
        <v>160</v>
      </c>
      <c r="K57" s="6" t="str">
        <f>CONCATENATE(J57,"OVR")</f>
        <v>8WR3AN6HR75OVR</v>
      </c>
      <c r="L57" s="6" t="s">
        <v>161</v>
      </c>
      <c r="M57" s="6" t="s">
        <v>45</v>
      </c>
      <c r="N57" s="8">
        <v>46023</v>
      </c>
      <c r="O57" s="8">
        <v>44562</v>
      </c>
      <c r="P57" s="8">
        <v>46054</v>
      </c>
      <c r="Q57" s="6" t="s">
        <v>0</v>
      </c>
      <c r="R57" s="6" t="s">
        <v>209</v>
      </c>
    </row>
    <row r="58" spans="1:27" s="6" customFormat="1" x14ac:dyDescent="0.25">
      <c r="A58" s="6" t="s">
        <v>110</v>
      </c>
      <c r="B58" s="6" t="s">
        <v>73</v>
      </c>
      <c r="C58" s="7">
        <v>8814784</v>
      </c>
      <c r="D58" s="6" t="s">
        <v>159</v>
      </c>
      <c r="E58" s="7">
        <v>8814784</v>
      </c>
      <c r="F58" s="7" t="str">
        <f>CONCATENATE(E58,"OVR")</f>
        <v>8814784OVR</v>
      </c>
      <c r="G58" s="6" t="s">
        <v>4</v>
      </c>
      <c r="H58" s="8">
        <v>46082</v>
      </c>
      <c r="I58" s="9">
        <v>6.24</v>
      </c>
      <c r="J58" s="6" t="s">
        <v>160</v>
      </c>
      <c r="K58" s="6" t="str">
        <f>CONCATENATE(J58,"OVR")</f>
        <v>8WR3AN6HR75OVR</v>
      </c>
      <c r="L58" s="6" t="s">
        <v>161</v>
      </c>
      <c r="M58" s="6" t="s">
        <v>45</v>
      </c>
      <c r="N58" s="8">
        <v>46023</v>
      </c>
      <c r="O58" s="8">
        <v>44562</v>
      </c>
      <c r="P58" s="8">
        <v>46082</v>
      </c>
      <c r="Q58" s="6" t="s">
        <v>0</v>
      </c>
      <c r="R58" s="6" t="s">
        <v>209</v>
      </c>
    </row>
    <row r="59" spans="1:27" s="6" customFormat="1" x14ac:dyDescent="0.25">
      <c r="A59" s="6" t="s">
        <v>110</v>
      </c>
      <c r="B59" s="6" t="s">
        <v>73</v>
      </c>
      <c r="C59" s="7">
        <v>8814784</v>
      </c>
      <c r="D59" s="6" t="s">
        <v>159</v>
      </c>
      <c r="E59" s="7">
        <v>8814784</v>
      </c>
      <c r="F59" s="7" t="str">
        <f>CONCATENATE(E59,"OVR")</f>
        <v>8814784OVR</v>
      </c>
      <c r="G59" s="6" t="s">
        <v>4</v>
      </c>
      <c r="H59" s="8">
        <v>46113</v>
      </c>
      <c r="I59" s="9">
        <v>6.24</v>
      </c>
      <c r="J59" s="6" t="s">
        <v>160</v>
      </c>
      <c r="K59" s="6" t="str">
        <f>CONCATENATE(J59,"OVR")</f>
        <v>8WR3AN6HR75OVR</v>
      </c>
      <c r="L59" s="6" t="s">
        <v>161</v>
      </c>
      <c r="M59" s="6" t="s">
        <v>45</v>
      </c>
      <c r="N59" s="8">
        <v>46023</v>
      </c>
      <c r="O59" s="8">
        <v>44562</v>
      </c>
      <c r="P59" s="8">
        <v>46113</v>
      </c>
      <c r="Q59" s="6" t="s">
        <v>0</v>
      </c>
      <c r="R59" s="6" t="s">
        <v>209</v>
      </c>
    </row>
    <row r="60" spans="1:27" x14ac:dyDescent="0.25">
      <c r="A60" s="6" t="s">
        <v>110</v>
      </c>
      <c r="B60" s="6" t="s">
        <v>73</v>
      </c>
      <c r="C60" s="7">
        <v>8814784</v>
      </c>
      <c r="D60" s="6" t="s">
        <v>159</v>
      </c>
      <c r="E60" s="7">
        <v>8814784</v>
      </c>
      <c r="F60" s="7" t="str">
        <f>CONCATENATE(E60,"OVR")</f>
        <v>8814784OVR</v>
      </c>
      <c r="G60" s="6" t="s">
        <v>4</v>
      </c>
      <c r="H60" s="8">
        <v>46143</v>
      </c>
      <c r="I60" s="9">
        <v>6.24</v>
      </c>
      <c r="J60" s="6" t="s">
        <v>160</v>
      </c>
      <c r="K60" s="6" t="str">
        <f>CONCATENATE(J60,"OVR")</f>
        <v>8WR3AN6HR75OVR</v>
      </c>
      <c r="L60" s="6" t="s">
        <v>161</v>
      </c>
      <c r="M60" s="6" t="s">
        <v>45</v>
      </c>
      <c r="N60" s="8">
        <v>46023</v>
      </c>
      <c r="O60" s="8">
        <v>44562</v>
      </c>
      <c r="P60" s="8">
        <v>46143</v>
      </c>
      <c r="Q60" s="6" t="s">
        <v>0</v>
      </c>
      <c r="R60" s="6" t="s">
        <v>209</v>
      </c>
      <c r="S60" s="6"/>
      <c r="T60" s="6"/>
      <c r="U60" s="6"/>
      <c r="V60" s="6"/>
      <c r="W60" s="6"/>
      <c r="X60" s="6"/>
      <c r="Y60" s="6"/>
      <c r="Z60" s="6"/>
      <c r="AA60" s="6"/>
    </row>
    <row r="61" spans="1:27" x14ac:dyDescent="0.25">
      <c r="A61" s="6" t="s">
        <v>56</v>
      </c>
      <c r="B61" s="6" t="s">
        <v>73</v>
      </c>
      <c r="C61" s="7">
        <v>9213293</v>
      </c>
      <c r="D61" s="6" t="s">
        <v>105</v>
      </c>
      <c r="E61" s="7">
        <v>9213293</v>
      </c>
      <c r="F61" s="7" t="str">
        <f>CONCATENATE(E61,"OVR")</f>
        <v>9213293OVR</v>
      </c>
      <c r="G61" s="6" t="s">
        <v>4</v>
      </c>
      <c r="H61" s="8">
        <v>46054</v>
      </c>
      <c r="I61" s="9">
        <v>-150</v>
      </c>
      <c r="J61" s="6" t="s">
        <v>106</v>
      </c>
      <c r="K61" s="6" t="str">
        <f>CONCATENATE(J61,"OVR")</f>
        <v>4WF0YT2TH30OVR</v>
      </c>
      <c r="L61" s="6" t="s">
        <v>107</v>
      </c>
      <c r="M61" s="6" t="s">
        <v>45</v>
      </c>
      <c r="N61" s="8">
        <v>46054</v>
      </c>
      <c r="O61" s="8">
        <v>46054</v>
      </c>
      <c r="P61" s="8">
        <v>46387</v>
      </c>
      <c r="Q61" s="8">
        <v>46112</v>
      </c>
      <c r="R61" s="6" t="s">
        <v>209</v>
      </c>
      <c r="S61" s="6"/>
      <c r="T61" s="6"/>
      <c r="U61" s="6"/>
      <c r="V61" s="6"/>
      <c r="W61" s="6"/>
      <c r="X61" s="6"/>
      <c r="Y61" s="6"/>
      <c r="Z61" s="6"/>
      <c r="AA61" s="6"/>
    </row>
    <row r="62" spans="1:27" x14ac:dyDescent="0.25">
      <c r="A62" s="6" t="s">
        <v>56</v>
      </c>
      <c r="B62" s="6" t="s">
        <v>73</v>
      </c>
      <c r="C62" s="7">
        <v>9213293</v>
      </c>
      <c r="D62" s="6" t="s">
        <v>105</v>
      </c>
      <c r="E62" s="7">
        <v>9213293</v>
      </c>
      <c r="F62" s="7" t="str">
        <f>CONCATENATE(E62,"OVR")</f>
        <v>9213293OVR</v>
      </c>
      <c r="G62" s="6" t="s">
        <v>4</v>
      </c>
      <c r="H62" s="8">
        <v>46054</v>
      </c>
      <c r="I62" s="9">
        <v>37.53</v>
      </c>
      <c r="J62" s="6" t="s">
        <v>106</v>
      </c>
      <c r="K62" s="6" t="str">
        <f>CONCATENATE(J62,"OVR")</f>
        <v>4WF0YT2TH30OVR</v>
      </c>
      <c r="L62" s="6" t="s">
        <v>107</v>
      </c>
      <c r="M62" s="6" t="s">
        <v>45</v>
      </c>
      <c r="N62" s="8">
        <v>46054</v>
      </c>
      <c r="O62" s="8">
        <v>46054</v>
      </c>
      <c r="P62" s="8">
        <v>46113</v>
      </c>
      <c r="Q62" s="8">
        <v>46112</v>
      </c>
      <c r="R62" s="6" t="s">
        <v>209</v>
      </c>
      <c r="S62" s="6"/>
      <c r="T62" s="6"/>
      <c r="U62" s="6"/>
      <c r="V62" s="6"/>
      <c r="W62" s="6"/>
      <c r="X62" s="6"/>
      <c r="Y62" s="6"/>
      <c r="Z62" s="6"/>
      <c r="AA62" s="6"/>
    </row>
    <row r="63" spans="1:27" x14ac:dyDescent="0.25">
      <c r="A63" s="6" t="s">
        <v>110</v>
      </c>
      <c r="B63" s="6" t="s">
        <v>73</v>
      </c>
      <c r="C63" s="7">
        <v>9213293</v>
      </c>
      <c r="D63" s="6" t="s">
        <v>105</v>
      </c>
      <c r="E63" s="7">
        <v>9213293</v>
      </c>
      <c r="F63" s="7" t="str">
        <f>CONCATENATE(E63,"OVR")</f>
        <v>9213293OVR</v>
      </c>
      <c r="G63" s="6" t="s">
        <v>4</v>
      </c>
      <c r="H63" s="8">
        <v>46054</v>
      </c>
      <c r="I63" s="9">
        <v>12.51</v>
      </c>
      <c r="J63" s="6" t="s">
        <v>163</v>
      </c>
      <c r="K63" s="6" t="str">
        <f>CONCATENATE(J63,"OVR")</f>
        <v>2GA8K93UK56OVR</v>
      </c>
      <c r="L63" s="6" t="s">
        <v>164</v>
      </c>
      <c r="M63" s="6" t="s">
        <v>45</v>
      </c>
      <c r="N63" s="8">
        <v>46023</v>
      </c>
      <c r="O63" s="8">
        <v>45870</v>
      </c>
      <c r="P63" s="8">
        <v>46054</v>
      </c>
      <c r="Q63" s="6" t="s">
        <v>0</v>
      </c>
      <c r="R63" s="6" t="s">
        <v>209</v>
      </c>
      <c r="S63" s="6"/>
      <c r="T63" s="6"/>
      <c r="U63" s="6"/>
      <c r="V63" s="6"/>
      <c r="W63" s="6"/>
      <c r="X63" s="6"/>
      <c r="Y63" s="6"/>
      <c r="Z63" s="6"/>
      <c r="AA63" s="6"/>
    </row>
    <row r="64" spans="1:27" x14ac:dyDescent="0.25">
      <c r="A64" s="6" t="s">
        <v>110</v>
      </c>
      <c r="B64" s="6" t="s">
        <v>73</v>
      </c>
      <c r="C64" s="7">
        <v>9213293</v>
      </c>
      <c r="D64" s="6" t="s">
        <v>105</v>
      </c>
      <c r="E64" s="7">
        <v>9213293</v>
      </c>
      <c r="F64" s="7" t="str">
        <f>CONCATENATE(E64,"OVR")</f>
        <v>9213293OVR</v>
      </c>
      <c r="G64" s="6" t="s">
        <v>4</v>
      </c>
      <c r="H64" s="8">
        <v>46082</v>
      </c>
      <c r="I64" s="9">
        <v>12.51</v>
      </c>
      <c r="J64" s="6" t="s">
        <v>163</v>
      </c>
      <c r="K64" s="6" t="str">
        <f>CONCATENATE(J64,"OVR")</f>
        <v>2GA8K93UK56OVR</v>
      </c>
      <c r="L64" s="6" t="s">
        <v>164</v>
      </c>
      <c r="M64" s="6" t="s">
        <v>45</v>
      </c>
      <c r="N64" s="8">
        <v>46023</v>
      </c>
      <c r="O64" s="8">
        <v>45870</v>
      </c>
      <c r="P64" s="8">
        <v>46082</v>
      </c>
      <c r="Q64" s="6" t="s">
        <v>0</v>
      </c>
      <c r="R64" s="6" t="s">
        <v>209</v>
      </c>
      <c r="S64" s="6"/>
      <c r="T64" s="6"/>
      <c r="U64" s="6"/>
      <c r="V64" s="6"/>
      <c r="W64" s="6"/>
      <c r="X64" s="6"/>
      <c r="Y64" s="6"/>
      <c r="Z64" s="6"/>
      <c r="AA64" s="6"/>
    </row>
    <row r="65" spans="1:27" x14ac:dyDescent="0.25">
      <c r="A65" s="6" t="s">
        <v>110</v>
      </c>
      <c r="B65" s="6" t="s">
        <v>73</v>
      </c>
      <c r="C65" s="7">
        <v>9213293</v>
      </c>
      <c r="D65" s="6" t="s">
        <v>105</v>
      </c>
      <c r="E65" s="7">
        <v>9213293</v>
      </c>
      <c r="F65" s="7" t="str">
        <f>CONCATENATE(E65,"OVR")</f>
        <v>9213293OVR</v>
      </c>
      <c r="G65" s="6" t="s">
        <v>4</v>
      </c>
      <c r="H65" s="8">
        <v>46113</v>
      </c>
      <c r="I65" s="9">
        <v>12.51</v>
      </c>
      <c r="J65" s="6" t="s">
        <v>163</v>
      </c>
      <c r="K65" s="6" t="str">
        <f>CONCATENATE(J65,"OVR")</f>
        <v>2GA8K93UK56OVR</v>
      </c>
      <c r="L65" s="6" t="s">
        <v>164</v>
      </c>
      <c r="M65" s="6" t="s">
        <v>45</v>
      </c>
      <c r="N65" s="8">
        <v>46023</v>
      </c>
      <c r="O65" s="8">
        <v>45870</v>
      </c>
      <c r="P65" s="8">
        <v>46113</v>
      </c>
      <c r="Q65" s="6" t="s">
        <v>0</v>
      </c>
      <c r="R65" s="6" t="s">
        <v>209</v>
      </c>
      <c r="S65" s="6"/>
      <c r="T65" s="6"/>
      <c r="U65" s="6"/>
      <c r="V65" s="6"/>
      <c r="W65" s="6"/>
      <c r="X65" s="6"/>
      <c r="Y65" s="6"/>
      <c r="Z65" s="6"/>
      <c r="AA65" s="6"/>
    </row>
    <row r="66" spans="1:27" x14ac:dyDescent="0.25">
      <c r="A66" s="6" t="s">
        <v>110</v>
      </c>
      <c r="B66" s="6" t="s">
        <v>73</v>
      </c>
      <c r="C66" s="7">
        <v>9213293</v>
      </c>
      <c r="D66" s="6" t="s">
        <v>105</v>
      </c>
      <c r="E66" s="7">
        <v>9213293</v>
      </c>
      <c r="F66" s="7" t="str">
        <f>CONCATENATE(E66,"OVR")</f>
        <v>9213293OVR</v>
      </c>
      <c r="G66" s="6" t="s">
        <v>4</v>
      </c>
      <c r="H66" s="8">
        <v>46143</v>
      </c>
      <c r="I66" s="9">
        <v>12.51</v>
      </c>
      <c r="J66" s="6" t="s">
        <v>163</v>
      </c>
      <c r="K66" s="6" t="str">
        <f>CONCATENATE(J66,"OVR")</f>
        <v>2GA8K93UK56OVR</v>
      </c>
      <c r="L66" s="6" t="s">
        <v>164</v>
      </c>
      <c r="M66" s="6" t="s">
        <v>45</v>
      </c>
      <c r="N66" s="8">
        <v>46023</v>
      </c>
      <c r="O66" s="8">
        <v>45870</v>
      </c>
      <c r="P66" s="8">
        <v>46143</v>
      </c>
      <c r="Q66" s="6" t="s">
        <v>0</v>
      </c>
      <c r="R66" s="6" t="s">
        <v>209</v>
      </c>
      <c r="S66" s="6"/>
      <c r="T66" s="6"/>
      <c r="U66" s="6"/>
      <c r="V66" s="6"/>
      <c r="W66" s="6"/>
      <c r="X66" s="6"/>
      <c r="Y66" s="6"/>
      <c r="Z66" s="6"/>
      <c r="AA66" s="6"/>
    </row>
    <row r="67" spans="1:27" x14ac:dyDescent="0.25">
      <c r="A67" s="6" t="s">
        <v>56</v>
      </c>
      <c r="B67" s="6" t="s">
        <v>73</v>
      </c>
      <c r="C67" s="7">
        <v>16865615</v>
      </c>
      <c r="D67" s="6" t="s">
        <v>85</v>
      </c>
      <c r="E67" s="7">
        <v>16865615</v>
      </c>
      <c r="F67" s="7" t="str">
        <f>CONCATENATE(E67,"OVR")</f>
        <v>16865615OVR</v>
      </c>
      <c r="G67" s="6" t="s">
        <v>4</v>
      </c>
      <c r="H67" s="8">
        <v>46054</v>
      </c>
      <c r="I67" s="9">
        <v>-124.98</v>
      </c>
      <c r="J67" s="6" t="s">
        <v>86</v>
      </c>
      <c r="K67" s="6" t="str">
        <f>CONCATENATE(J67,"OVR")</f>
        <v>1FQ3V24HG16OVR</v>
      </c>
      <c r="L67" s="6" t="s">
        <v>87</v>
      </c>
      <c r="M67" s="6" t="s">
        <v>88</v>
      </c>
      <c r="N67" s="8">
        <v>46054</v>
      </c>
      <c r="O67" s="8">
        <v>46054</v>
      </c>
      <c r="P67" s="8">
        <v>46387</v>
      </c>
      <c r="Q67" s="8">
        <v>46081</v>
      </c>
      <c r="R67" s="6" t="s">
        <v>209</v>
      </c>
      <c r="S67" s="6"/>
      <c r="T67" s="6"/>
      <c r="U67" s="6"/>
      <c r="V67" s="6"/>
      <c r="W67" s="6"/>
      <c r="X67" s="6"/>
      <c r="Y67" s="6"/>
      <c r="Z67" s="6"/>
      <c r="AA67" s="6"/>
    </row>
    <row r="68" spans="1:27" x14ac:dyDescent="0.25">
      <c r="A68" s="6" t="s">
        <v>56</v>
      </c>
      <c r="B68" s="6" t="s">
        <v>73</v>
      </c>
      <c r="C68" s="7">
        <v>16865615</v>
      </c>
      <c r="D68" s="6" t="s">
        <v>85</v>
      </c>
      <c r="E68" s="7">
        <v>16865615</v>
      </c>
      <c r="F68" s="7" t="str">
        <f>CONCATENATE(E68,"OVR")</f>
        <v>16865615OVR</v>
      </c>
      <c r="G68" s="6" t="s">
        <v>4</v>
      </c>
      <c r="H68" s="8">
        <v>46054</v>
      </c>
      <c r="I68" s="9">
        <v>-25.02</v>
      </c>
      <c r="J68" s="6" t="s">
        <v>86</v>
      </c>
      <c r="K68" s="6" t="str">
        <f>CONCATENATE(J68,"OVR")</f>
        <v>1FQ3V24HG16OVR</v>
      </c>
      <c r="L68" s="6" t="s">
        <v>87</v>
      </c>
      <c r="M68" s="6" t="s">
        <v>88</v>
      </c>
      <c r="N68" s="8">
        <v>46054</v>
      </c>
      <c r="O68" s="8">
        <v>46054</v>
      </c>
      <c r="P68" s="8">
        <v>46082</v>
      </c>
      <c r="Q68" s="8">
        <v>46054</v>
      </c>
      <c r="R68" s="6" t="s">
        <v>209</v>
      </c>
      <c r="S68" s="6"/>
      <c r="T68" s="6"/>
      <c r="U68" s="6"/>
      <c r="V68" s="6"/>
      <c r="W68" s="6"/>
      <c r="X68" s="6"/>
      <c r="Y68" s="6"/>
      <c r="Z68" s="6"/>
      <c r="AA68" s="6"/>
    </row>
    <row r="69" spans="1:27" x14ac:dyDescent="0.25">
      <c r="A69" s="6" t="s">
        <v>56</v>
      </c>
      <c r="B69" s="6" t="s">
        <v>73</v>
      </c>
      <c r="C69" s="7">
        <v>16865615</v>
      </c>
      <c r="D69" s="6" t="s">
        <v>85</v>
      </c>
      <c r="E69" s="7">
        <v>16865615</v>
      </c>
      <c r="F69" s="7" t="str">
        <f>CONCATENATE(E69,"OVR")</f>
        <v>16865615OVR</v>
      </c>
      <c r="G69" s="6" t="s">
        <v>4</v>
      </c>
      <c r="H69" s="8">
        <v>46054</v>
      </c>
      <c r="I69" s="9">
        <v>150</v>
      </c>
      <c r="J69" s="6" t="s">
        <v>86</v>
      </c>
      <c r="K69" s="6" t="str">
        <f>CONCATENATE(J69,"OVR")</f>
        <v>1FQ3V24HG16OVR</v>
      </c>
      <c r="L69" s="6" t="s">
        <v>87</v>
      </c>
      <c r="M69" s="6" t="s">
        <v>88</v>
      </c>
      <c r="N69" s="8">
        <v>46054</v>
      </c>
      <c r="O69" s="8">
        <v>46054</v>
      </c>
      <c r="P69" s="8">
        <v>46387</v>
      </c>
      <c r="Q69" s="6" t="s">
        <v>0</v>
      </c>
      <c r="R69" s="6" t="s">
        <v>209</v>
      </c>
      <c r="S69" s="6"/>
      <c r="T69" s="6"/>
      <c r="U69" s="6"/>
      <c r="V69" s="6"/>
      <c r="W69" s="6"/>
      <c r="X69" s="6"/>
      <c r="Y69" s="6"/>
      <c r="Z69" s="6"/>
      <c r="AA69" s="6"/>
    </row>
    <row r="70" spans="1:27" x14ac:dyDescent="0.25">
      <c r="A70" s="6" t="s">
        <v>56</v>
      </c>
      <c r="B70" s="6" t="s">
        <v>73</v>
      </c>
      <c r="C70" s="7">
        <v>16865615</v>
      </c>
      <c r="D70" s="6" t="s">
        <v>85</v>
      </c>
      <c r="E70" s="7">
        <v>16865615</v>
      </c>
      <c r="F70" s="7" t="str">
        <f>CONCATENATE(E70,"OVR")</f>
        <v>16865615OVR</v>
      </c>
      <c r="G70" s="6" t="s">
        <v>4</v>
      </c>
      <c r="H70" s="8">
        <v>46054</v>
      </c>
      <c r="I70" s="9">
        <v>25.02</v>
      </c>
      <c r="J70" s="6" t="s">
        <v>198</v>
      </c>
      <c r="K70" s="6" t="str">
        <f>CONCATENATE(J70,"OVR")</f>
        <v>8K10XJ6CH26OVR</v>
      </c>
      <c r="L70" s="6" t="s">
        <v>87</v>
      </c>
      <c r="M70" s="6" t="s">
        <v>88</v>
      </c>
      <c r="N70" s="8">
        <v>46054</v>
      </c>
      <c r="O70" s="8">
        <v>46054</v>
      </c>
      <c r="P70" s="8">
        <v>46082</v>
      </c>
      <c r="Q70" s="8">
        <v>46081</v>
      </c>
      <c r="R70" s="6" t="s">
        <v>209</v>
      </c>
      <c r="S70" s="6"/>
      <c r="T70" s="6"/>
      <c r="U70" s="6"/>
      <c r="V70" s="6"/>
      <c r="W70" s="6"/>
      <c r="X70" s="6"/>
      <c r="Y70" s="6"/>
      <c r="Z70" s="6"/>
      <c r="AA70" s="6"/>
    </row>
    <row r="71" spans="1:27" x14ac:dyDescent="0.25">
      <c r="A71" s="6" t="s">
        <v>56</v>
      </c>
      <c r="B71" s="6" t="s">
        <v>73</v>
      </c>
      <c r="C71" s="7">
        <v>18754354</v>
      </c>
      <c r="D71" s="6" t="s">
        <v>66</v>
      </c>
      <c r="E71" s="7">
        <v>18754354</v>
      </c>
      <c r="F71" s="7" t="str">
        <f>CONCATENATE(E71,"OVR")</f>
        <v>18754354OVR</v>
      </c>
      <c r="G71" s="6" t="s">
        <v>4</v>
      </c>
      <c r="H71" s="8">
        <v>46023</v>
      </c>
      <c r="I71" s="9">
        <v>-150</v>
      </c>
      <c r="J71" s="6" t="s">
        <v>67</v>
      </c>
      <c r="K71" s="6" t="str">
        <f>CONCATENATE(J71,"OVR")</f>
        <v>4HH8NR2AK23OVR</v>
      </c>
      <c r="L71" s="6" t="s">
        <v>68</v>
      </c>
      <c r="M71" s="6" t="s">
        <v>45</v>
      </c>
      <c r="N71" s="8">
        <v>46023</v>
      </c>
      <c r="O71" s="8">
        <v>46023</v>
      </c>
      <c r="P71" s="8">
        <v>46054</v>
      </c>
      <c r="Q71" s="8">
        <v>46053</v>
      </c>
      <c r="R71" s="6" t="s">
        <v>209</v>
      </c>
      <c r="S71" s="6"/>
      <c r="T71" s="6"/>
      <c r="U71" s="6"/>
      <c r="V71" s="6"/>
      <c r="W71" s="6"/>
      <c r="X71" s="6"/>
      <c r="Y71" s="6"/>
      <c r="Z71" s="6"/>
      <c r="AA71" s="6"/>
    </row>
    <row r="72" spans="1:27" x14ac:dyDescent="0.25">
      <c r="A72" s="6" t="s">
        <v>38</v>
      </c>
      <c r="B72" s="6" t="s">
        <v>73</v>
      </c>
      <c r="C72" s="7">
        <v>19279958</v>
      </c>
      <c r="D72" s="6" t="s">
        <v>172</v>
      </c>
      <c r="E72" s="7">
        <v>19279958</v>
      </c>
      <c r="F72" s="7" t="str">
        <f>CONCATENATE(E72,"OVR")</f>
        <v>19279958OVR</v>
      </c>
      <c r="G72" s="6" t="s">
        <v>4</v>
      </c>
      <c r="H72" s="8">
        <v>46023</v>
      </c>
      <c r="I72" s="9">
        <v>-150</v>
      </c>
      <c r="J72" s="6" t="s">
        <v>173</v>
      </c>
      <c r="K72" s="6" t="str">
        <f>CONCATENATE(J72,"OVR")</f>
        <v>7F01YU6WJ26OVR</v>
      </c>
      <c r="L72" s="6" t="s">
        <v>174</v>
      </c>
      <c r="M72" s="6" t="s">
        <v>88</v>
      </c>
      <c r="N72" s="8">
        <v>46023</v>
      </c>
      <c r="O72" s="8">
        <v>46023</v>
      </c>
      <c r="P72" s="8">
        <v>46054</v>
      </c>
      <c r="Q72" s="8">
        <v>46081</v>
      </c>
      <c r="R72" s="6" t="s">
        <v>209</v>
      </c>
      <c r="S72" s="6"/>
      <c r="T72" s="6"/>
      <c r="U72" s="6"/>
      <c r="V72" s="6"/>
      <c r="W72" s="6"/>
      <c r="X72" s="6"/>
      <c r="Y72" s="6"/>
      <c r="Z72" s="6"/>
      <c r="AA72" s="6"/>
    </row>
    <row r="73" spans="1:27" x14ac:dyDescent="0.25">
      <c r="A73" s="6" t="s">
        <v>56</v>
      </c>
      <c r="B73" s="6" t="s">
        <v>73</v>
      </c>
      <c r="C73" s="7">
        <v>19200754</v>
      </c>
      <c r="D73" s="6" t="s">
        <v>94</v>
      </c>
      <c r="E73" s="7">
        <v>19200754</v>
      </c>
      <c r="F73" s="7" t="str">
        <f>CONCATENATE(E73,"OVR")</f>
        <v>19200754OVR</v>
      </c>
      <c r="G73" s="6" t="s">
        <v>4</v>
      </c>
      <c r="H73" s="8">
        <v>46054</v>
      </c>
      <c r="I73" s="9">
        <v>150</v>
      </c>
      <c r="J73" s="6" t="s">
        <v>95</v>
      </c>
      <c r="K73" s="6" t="str">
        <f>CONCATENATE(J73,"OVR")</f>
        <v>9V22K15TC21OVR</v>
      </c>
      <c r="L73" s="6" t="s">
        <v>96</v>
      </c>
      <c r="M73" s="6" t="s">
        <v>45</v>
      </c>
      <c r="N73" s="8">
        <v>46054</v>
      </c>
      <c r="O73" s="8">
        <v>46054</v>
      </c>
      <c r="P73" s="8">
        <v>46387</v>
      </c>
      <c r="Q73" s="6" t="s">
        <v>0</v>
      </c>
      <c r="R73" s="6" t="s">
        <v>209</v>
      </c>
      <c r="S73" s="6"/>
      <c r="T73" s="6"/>
      <c r="U73" s="6"/>
      <c r="V73" s="6"/>
      <c r="W73" s="6"/>
      <c r="X73" s="6"/>
      <c r="Y73" s="6"/>
      <c r="Z73" s="6"/>
      <c r="AA73" s="6"/>
    </row>
    <row r="74" spans="1:27" x14ac:dyDescent="0.25">
      <c r="A74" s="6" t="s">
        <v>56</v>
      </c>
      <c r="B74" s="6" t="s">
        <v>73</v>
      </c>
      <c r="C74" s="7">
        <v>19200754</v>
      </c>
      <c r="D74" s="6" t="s">
        <v>94</v>
      </c>
      <c r="E74" s="7">
        <v>19200754</v>
      </c>
      <c r="F74" s="7" t="str">
        <f>CONCATENATE(E74,"OVR")</f>
        <v>19200754OVR</v>
      </c>
      <c r="G74" s="6" t="s">
        <v>4</v>
      </c>
      <c r="H74" s="8">
        <v>46023</v>
      </c>
      <c r="I74" s="9">
        <v>-150</v>
      </c>
      <c r="J74" s="6" t="s">
        <v>199</v>
      </c>
      <c r="K74" s="6" t="str">
        <f>CONCATENATE(J74,"OVR")</f>
        <v>9F12R28QC81OVR</v>
      </c>
      <c r="L74" s="6" t="s">
        <v>200</v>
      </c>
      <c r="M74" s="6" t="s">
        <v>45</v>
      </c>
      <c r="N74" s="8">
        <v>46023</v>
      </c>
      <c r="O74" s="8">
        <v>46023</v>
      </c>
      <c r="P74" s="8">
        <v>46054</v>
      </c>
      <c r="Q74" s="8">
        <v>46023</v>
      </c>
      <c r="R74" s="6" t="s">
        <v>209</v>
      </c>
      <c r="S74" s="6"/>
      <c r="T74" s="6"/>
      <c r="U74" s="6"/>
      <c r="V74" s="6"/>
      <c r="W74" s="6"/>
      <c r="X74" s="6"/>
      <c r="Y74" s="6"/>
      <c r="Z74" s="6"/>
      <c r="AA74" s="6"/>
    </row>
    <row r="75" spans="1:27" s="14" customFormat="1" x14ac:dyDescent="0.25">
      <c r="A75" s="6" t="s">
        <v>56</v>
      </c>
      <c r="B75" s="6" t="s">
        <v>73</v>
      </c>
      <c r="C75" s="7">
        <v>19200754</v>
      </c>
      <c r="D75" s="6" t="s">
        <v>94</v>
      </c>
      <c r="E75" s="7">
        <v>19200754</v>
      </c>
      <c r="F75" s="7" t="str">
        <f>CONCATENATE(E75,"OVR")</f>
        <v>19200754OVR</v>
      </c>
      <c r="G75" s="6" t="s">
        <v>4</v>
      </c>
      <c r="H75" s="8">
        <v>46023</v>
      </c>
      <c r="I75" s="9">
        <v>150</v>
      </c>
      <c r="J75" s="6" t="s">
        <v>203</v>
      </c>
      <c r="K75" s="6" t="str">
        <f>CONCATENATE(J75,"OVR")</f>
        <v>9MJ6CF8GG61OVR</v>
      </c>
      <c r="L75" s="6" t="s">
        <v>200</v>
      </c>
      <c r="M75" s="6" t="s">
        <v>45</v>
      </c>
      <c r="N75" s="8">
        <v>46023</v>
      </c>
      <c r="O75" s="8">
        <v>46023</v>
      </c>
      <c r="P75" s="8">
        <v>46387</v>
      </c>
      <c r="Q75" s="6" t="s">
        <v>0</v>
      </c>
      <c r="R75" s="6" t="s">
        <v>209</v>
      </c>
      <c r="S75" s="6"/>
      <c r="T75" s="6"/>
      <c r="U75" s="6"/>
      <c r="V75" s="6"/>
      <c r="W75" s="6"/>
      <c r="X75" s="6"/>
      <c r="Y75" s="6"/>
      <c r="Z75" s="6"/>
      <c r="AA75" s="6"/>
    </row>
    <row r="76" spans="1:27" s="10" customFormat="1" x14ac:dyDescent="0.25">
      <c r="A76" s="6" t="s">
        <v>56</v>
      </c>
      <c r="B76" s="6" t="s">
        <v>73</v>
      </c>
      <c r="C76" s="7">
        <v>19645587</v>
      </c>
      <c r="D76" s="6" t="s">
        <v>194</v>
      </c>
      <c r="E76" s="7">
        <v>19645587</v>
      </c>
      <c r="F76" s="7" t="str">
        <f>CONCATENATE(E76,"OVR")</f>
        <v>19645587OVR</v>
      </c>
      <c r="G76" s="6" t="s">
        <v>4</v>
      </c>
      <c r="H76" s="8">
        <v>46174</v>
      </c>
      <c r="I76" s="9">
        <v>43.8</v>
      </c>
      <c r="J76" s="6" t="s">
        <v>195</v>
      </c>
      <c r="K76" s="6" t="str">
        <f>CONCATENATE(J76,"OVR")</f>
        <v>2JE3KH2KA82OVR</v>
      </c>
      <c r="L76" s="6" t="s">
        <v>196</v>
      </c>
      <c r="M76" s="6" t="s">
        <v>45</v>
      </c>
      <c r="N76" s="8">
        <v>46174</v>
      </c>
      <c r="O76" s="8">
        <v>46174</v>
      </c>
      <c r="P76" s="8">
        <v>46387</v>
      </c>
      <c r="Q76" s="6" t="s">
        <v>0</v>
      </c>
      <c r="R76" s="6" t="s">
        <v>209</v>
      </c>
      <c r="S76" s="6"/>
      <c r="T76" s="6"/>
      <c r="U76" s="6"/>
      <c r="V76" s="6"/>
      <c r="W76" s="6"/>
      <c r="X76" s="6"/>
      <c r="Y76" s="6"/>
      <c r="Z76" s="6"/>
      <c r="AA76" s="6"/>
    </row>
  </sheetData>
  <sortState xmlns:xlrd2="http://schemas.microsoft.com/office/spreadsheetml/2017/richdata2" ref="A2:AA124">
    <sortCondition ref="R2:R12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1.42578125" bestFit="1" customWidth="1"/>
    <col min="6" max="6" width="12.7109375" bestFit="1" customWidth="1"/>
    <col min="7" max="7" width="10.5703125" bestFit="1" customWidth="1"/>
    <col min="8" max="8" width="16.7109375" bestFit="1" customWidth="1"/>
    <col min="9" max="9" width="34.140625" bestFit="1" customWidth="1"/>
    <col min="10" max="10" width="14.5703125" bestFit="1" customWidth="1"/>
    <col min="11" max="11" width="11.7109375" bestFit="1" customWidth="1"/>
    <col min="12" max="12" width="13.5703125" bestFit="1" customWidth="1"/>
    <col min="13" max="13" width="10.28515625" bestFit="1" customWidth="1"/>
    <col min="14" max="14" width="14.5703125" bestFit="1" customWidth="1"/>
    <col min="15" max="15" width="11.42578125" bestFit="1" customWidth="1"/>
    <col min="16" max="16" width="9.7109375" bestFit="1" customWidth="1"/>
    <col min="17" max="17" width="10.7109375" bestFit="1" customWidth="1"/>
    <col min="18" max="18" width="21" bestFit="1" customWidth="1"/>
    <col min="19" max="19" width="18.7109375" bestFit="1" customWidth="1"/>
    <col min="20" max="20" width="13.28515625" bestFit="1" customWidth="1"/>
    <col min="21" max="21" width="4.5703125" bestFit="1" customWidth="1"/>
    <col min="22" max="22" width="11.28515625" bestFit="1" customWidth="1"/>
    <col min="23" max="23" width="11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E8BF-470D-4A69-9905-11C4B24C1962}">
  <dimension ref="A1:X3"/>
  <sheetViews>
    <sheetView topLeftCell="B1" workbookViewId="0">
      <selection activeCell="K11" sqref="K11"/>
    </sheetView>
  </sheetViews>
  <sheetFormatPr defaultRowHeight="15" x14ac:dyDescent="0.25"/>
  <cols>
    <col min="7" max="7" width="12" customWidth="1"/>
    <col min="18" max="18" width="21.140625" bestFit="1" customWidth="1"/>
    <col min="19" max="19" width="15.42578125" customWidth="1"/>
  </cols>
  <sheetData>
    <row r="1" spans="1:24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  <c r="X1" t="s">
        <v>102</v>
      </c>
    </row>
    <row r="2" spans="1:24" x14ac:dyDescent="0.25">
      <c r="A2" t="s">
        <v>38</v>
      </c>
      <c r="B2" t="s">
        <v>0</v>
      </c>
      <c r="C2" t="s">
        <v>51</v>
      </c>
      <c r="D2" t="s">
        <v>52</v>
      </c>
      <c r="E2" t="s">
        <v>51</v>
      </c>
      <c r="F2" t="s">
        <v>52</v>
      </c>
      <c r="G2" s="3">
        <v>46054</v>
      </c>
      <c r="H2">
        <v>50</v>
      </c>
      <c r="I2" t="s">
        <v>53</v>
      </c>
      <c r="J2" t="s">
        <v>54</v>
      </c>
      <c r="K2" s="3">
        <v>46028</v>
      </c>
      <c r="L2" s="3">
        <v>46054</v>
      </c>
      <c r="M2" t="s">
        <v>0</v>
      </c>
      <c r="N2" t="s">
        <v>46</v>
      </c>
      <c r="O2" t="s">
        <v>45</v>
      </c>
      <c r="P2" t="s">
        <v>46</v>
      </c>
      <c r="Q2" t="s">
        <v>47</v>
      </c>
      <c r="R2" s="3">
        <v>46054</v>
      </c>
      <c r="S2" t="s">
        <v>0</v>
      </c>
      <c r="T2" t="s">
        <v>48</v>
      </c>
      <c r="U2" t="s">
        <v>49</v>
      </c>
      <c r="V2" t="s">
        <v>0</v>
      </c>
      <c r="W2" t="s">
        <v>55</v>
      </c>
      <c r="X2" t="s">
        <v>103</v>
      </c>
    </row>
    <row r="3" spans="1:24" x14ac:dyDescent="0.25">
      <c r="A3" t="s">
        <v>56</v>
      </c>
      <c r="B3" t="s">
        <v>0</v>
      </c>
      <c r="C3" t="s">
        <v>104</v>
      </c>
      <c r="D3" t="s">
        <v>105</v>
      </c>
      <c r="E3" t="s">
        <v>104</v>
      </c>
      <c r="F3" t="s">
        <v>105</v>
      </c>
      <c r="G3" s="3">
        <v>46054</v>
      </c>
      <c r="H3">
        <v>50</v>
      </c>
      <c r="I3" t="s">
        <v>106</v>
      </c>
      <c r="J3" t="s">
        <v>107</v>
      </c>
      <c r="K3" s="3">
        <v>46028</v>
      </c>
      <c r="L3" s="3">
        <v>46054</v>
      </c>
      <c r="M3" t="s">
        <v>0</v>
      </c>
      <c r="N3" t="s">
        <v>46</v>
      </c>
      <c r="O3" t="s">
        <v>45</v>
      </c>
      <c r="P3" t="s">
        <v>46</v>
      </c>
      <c r="Q3" t="s">
        <v>47</v>
      </c>
      <c r="R3" s="3">
        <v>46054</v>
      </c>
      <c r="S3" s="3">
        <v>46112</v>
      </c>
      <c r="T3" t="s">
        <v>48</v>
      </c>
      <c r="U3" t="s">
        <v>49</v>
      </c>
      <c r="V3" t="s">
        <v>0</v>
      </c>
      <c r="W3" t="s">
        <v>108</v>
      </c>
      <c r="X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Detail</vt:lpstr>
      <vt:lpstr>Sheet2</vt:lpstr>
      <vt:lpstr>Sheet1</vt:lpstr>
      <vt:lpstr>Legacy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2026-02-17T13:19:42Z</dcterms:created>
  <dcterms:modified xsi:type="dcterms:W3CDTF">2026-06-23T20:05:05Z</dcterms:modified>
</cp:coreProperties>
</file>