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2026\1-30-26\"/>
    </mc:Choice>
  </mc:AlternateContent>
  <xr:revisionPtr revIDLastSave="0" documentId="13_ncr:1_{170EFFFE-66CE-4202-9B95-DCC13BAF1CA7}" xr6:coauthVersionLast="47" xr6:coauthVersionMax="47" xr10:uidLastSave="{00000000-0000-0000-0000-000000000000}"/>
  <bookViews>
    <workbookView xWindow="-28920" yWindow="-6420" windowWidth="29040" windowHeight="16440" activeTab="1" xr2:uid="{00000000-000D-0000-FFFF-FFFF00000000}"/>
  </bookViews>
  <sheets>
    <sheet name="446_3206403_Detail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2" i="3" l="1"/>
  <c r="H81" i="3"/>
  <c r="H80" i="3"/>
  <c r="H79" i="3"/>
  <c r="H78" i="3"/>
  <c r="H77" i="3"/>
  <c r="H76" i="3"/>
  <c r="H75" i="3"/>
  <c r="H74" i="3"/>
  <c r="H73" i="3"/>
  <c r="H72" i="3"/>
  <c r="H71" i="3"/>
  <c r="H27" i="3"/>
  <c r="H67" i="3"/>
  <c r="H44" i="3"/>
  <c r="H58" i="3"/>
  <c r="H57" i="3"/>
  <c r="H59" i="3"/>
  <c r="H51" i="3"/>
  <c r="H48" i="3"/>
  <c r="H33" i="3"/>
  <c r="H61" i="3"/>
  <c r="H60" i="3"/>
  <c r="H66" i="3"/>
  <c r="H68" i="3"/>
  <c r="H53" i="3"/>
  <c r="H25" i="3"/>
  <c r="H56" i="3"/>
  <c r="H31" i="3"/>
  <c r="H26" i="3"/>
  <c r="H63" i="3"/>
  <c r="H22" i="3"/>
  <c r="H21" i="3"/>
  <c r="H65" i="3"/>
  <c r="H49" i="3"/>
  <c r="H41" i="3"/>
  <c r="H40" i="3"/>
  <c r="H50" i="3"/>
  <c r="H39" i="3"/>
  <c r="H62" i="3"/>
  <c r="H38" i="3"/>
  <c r="H43" i="3"/>
  <c r="H42" i="3"/>
  <c r="H24" i="3"/>
  <c r="H23" i="3"/>
  <c r="H47" i="3"/>
  <c r="H46" i="3"/>
  <c r="H52" i="3"/>
  <c r="H37" i="3"/>
  <c r="H55" i="3"/>
  <c r="H54" i="3"/>
  <c r="H36" i="3"/>
  <c r="H32" i="3"/>
  <c r="H45" i="3"/>
  <c r="H35" i="3"/>
  <c r="H30" i="3"/>
  <c r="H64" i="3"/>
  <c r="H34" i="3"/>
  <c r="H69" i="3"/>
  <c r="H29" i="3"/>
  <c r="H17" i="3"/>
  <c r="H19" i="3"/>
  <c r="H16" i="3"/>
  <c r="H20" i="3"/>
  <c r="H18" i="3"/>
  <c r="H15" i="3"/>
  <c r="H14" i="3"/>
  <c r="H13" i="3"/>
  <c r="H12" i="3"/>
  <c r="H11" i="3"/>
  <c r="H10" i="3"/>
  <c r="H9" i="3"/>
  <c r="H8" i="3"/>
  <c r="H7" i="3"/>
  <c r="H5" i="3"/>
  <c r="H3" i="3"/>
  <c r="H2" i="3"/>
  <c r="H95" i="3"/>
  <c r="H96" i="3"/>
  <c r="H97" i="3"/>
  <c r="H98" i="3"/>
  <c r="H99" i="3"/>
  <c r="H100" i="3"/>
  <c r="H101" i="3"/>
  <c r="H102" i="3"/>
  <c r="H82" i="3"/>
  <c r="H103" i="3"/>
  <c r="H104" i="3"/>
  <c r="H105" i="3"/>
  <c r="H83" i="3"/>
  <c r="H106" i="3"/>
  <c r="H107" i="3"/>
  <c r="H108" i="3"/>
  <c r="H109" i="3"/>
  <c r="H110" i="3"/>
  <c r="H111" i="3"/>
  <c r="H112" i="3"/>
  <c r="H86" i="3"/>
  <c r="H113" i="3"/>
  <c r="H84" i="3"/>
  <c r="H114" i="3"/>
  <c r="H115" i="3"/>
  <c r="H116" i="3"/>
  <c r="H85" i="3"/>
  <c r="H117" i="3"/>
  <c r="H118" i="3"/>
  <c r="H119" i="3"/>
  <c r="H120" i="3"/>
  <c r="H121" i="3"/>
  <c r="H122" i="3"/>
  <c r="H123" i="3"/>
  <c r="H88" i="3"/>
  <c r="H124" i="3"/>
  <c r="H125" i="3"/>
  <c r="H126" i="3"/>
  <c r="H127" i="3"/>
  <c r="H87" i="3"/>
  <c r="H89" i="3"/>
  <c r="H90" i="3"/>
  <c r="H91" i="3"/>
  <c r="H92" i="3"/>
  <c r="H93" i="3"/>
  <c r="H94" i="3"/>
  <c r="P5" i="3"/>
  <c r="P49" i="3"/>
  <c r="P17" i="3"/>
  <c r="H4" i="3"/>
  <c r="H28" i="3"/>
  <c r="P26" i="3"/>
  <c r="H70" i="3"/>
  <c r="H6" i="3"/>
</calcChain>
</file>

<file path=xl/sharedStrings.xml><?xml version="1.0" encoding="utf-8"?>
<sst xmlns="http://schemas.openxmlformats.org/spreadsheetml/2006/main" count="2859" uniqueCount="270">
  <si>
    <t>Main Line Benefits Llc</t>
  </si>
  <si>
    <t>Description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</si>
  <si>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</si>
  <si>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</si>
  <si>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</si>
  <si>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</si>
  <si>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</si>
  <si>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</si>
  <si>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</si>
  <si>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</si>
  <si>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</si>
  <si>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</si>
  <si>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</si>
  <si>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</si>
  <si>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</si>
  <si>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</si>
  <si>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</si>
  <si>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</si>
  <si>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</si>
  <si>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</si>
  <si>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</si>
  <si>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</si>
  <si>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</si>
  <si>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</si>
  <si>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Initial - New to CMS</t>
  </si>
  <si>
    <t>Broker Level</t>
  </si>
  <si>
    <t>Chad Yale</t>
  </si>
  <si>
    <t>8WK6NQ3KA47</t>
  </si>
  <si>
    <t>WILLIAM EMPSON</t>
  </si>
  <si>
    <t>NONE</t>
  </si>
  <si>
    <t>IL</t>
  </si>
  <si>
    <t>MAPD</t>
  </si>
  <si>
    <t>Wellcare No Premium (HMO-POS)</t>
  </si>
  <si>
    <t>H1416</t>
  </si>
  <si>
    <t>44212518</t>
  </si>
  <si>
    <t>Non-Enrollment Service</t>
  </si>
  <si>
    <t>Renewal</t>
  </si>
  <si>
    <t>Healthmarkets Insurance Agency, Inc.</t>
  </si>
  <si>
    <t>CAROL FOLEY</t>
  </si>
  <si>
    <t>4QK1T20WP08</t>
  </si>
  <si>
    <t>RALPH SMITH</t>
  </si>
  <si>
    <t>PA</t>
  </si>
  <si>
    <t>Wellcare Giveback Open (PPO)</t>
  </si>
  <si>
    <t>H2128</t>
  </si>
  <si>
    <t>C4046627001</t>
  </si>
  <si>
    <t>9MU4EA3KA64</t>
  </si>
  <si>
    <t>RICKY GOLDMAN</t>
  </si>
  <si>
    <t>FL</t>
  </si>
  <si>
    <t>Wellcare No Premium (HMO)</t>
  </si>
  <si>
    <t>H1032</t>
  </si>
  <si>
    <t>30279415</t>
  </si>
  <si>
    <t>MICHAEL DUNAVANT</t>
  </si>
  <si>
    <t>6AK3K26NJ04</t>
  </si>
  <si>
    <t>SHERMAN LAWRENCE</t>
  </si>
  <si>
    <t>WA</t>
  </si>
  <si>
    <t>Wellcare Dual Access (HMO-POS D-SNP)</t>
  </si>
  <si>
    <t>H0029</t>
  </si>
  <si>
    <t>42906532</t>
  </si>
  <si>
    <t>CHRISTIAN TAUGNER</t>
  </si>
  <si>
    <t>4X05PQ6CY80</t>
  </si>
  <si>
    <t>SANDRA OLEKOSKI</t>
  </si>
  <si>
    <t>15008196</t>
  </si>
  <si>
    <t>9ED3UU0DK79</t>
  </si>
  <si>
    <t>DOROTHY RENIER</t>
  </si>
  <si>
    <t>WI</t>
  </si>
  <si>
    <t>Wellcare Dual Access (HMO D-SNP)</t>
  </si>
  <si>
    <t>H8189</t>
  </si>
  <si>
    <t>C4085035601</t>
  </si>
  <si>
    <t>8JY2HT0WT21</t>
  </si>
  <si>
    <t>EDWARDO ESTRADA</t>
  </si>
  <si>
    <t>TX</t>
  </si>
  <si>
    <t>Wellcare Complement Assist (HMO)</t>
  </si>
  <si>
    <t>H5294</t>
  </si>
  <si>
    <t>C4062655301</t>
  </si>
  <si>
    <t>Thomas Pardue</t>
  </si>
  <si>
    <t>8R62G87AK93</t>
  </si>
  <si>
    <t>BRENDA HESS</t>
  </si>
  <si>
    <t>TN</t>
  </si>
  <si>
    <t>37097691</t>
  </si>
  <si>
    <t>3WH2GG0KD17</t>
  </si>
  <si>
    <t>MARY STEPP</t>
  </si>
  <si>
    <t>PDP</t>
  </si>
  <si>
    <t>NC</t>
  </si>
  <si>
    <t>Wellcare All Dual Assure (HMO D-SNP)</t>
  </si>
  <si>
    <t>H4073</t>
  </si>
  <si>
    <t>46586206</t>
  </si>
  <si>
    <t>Initial - NOT New to CMS</t>
  </si>
  <si>
    <t>MURRAY STERNER</t>
  </si>
  <si>
    <t>2TD8YP4RW57</t>
  </si>
  <si>
    <t>CARMEN MESSINA</t>
  </si>
  <si>
    <t>NJ</t>
  </si>
  <si>
    <t>Wellcare Giveback (HMO)</t>
  </si>
  <si>
    <t>H0913</t>
  </si>
  <si>
    <t>46255654</t>
  </si>
  <si>
    <t>Andrea Petrungaro</t>
  </si>
  <si>
    <t>5JH4RM5RD87</t>
  </si>
  <si>
    <t>LISSA JACOBSON</t>
  </si>
  <si>
    <t>MI</t>
  </si>
  <si>
    <t>H5475</t>
  </si>
  <si>
    <t>47099238</t>
  </si>
  <si>
    <t>Stephanie Drapac</t>
  </si>
  <si>
    <t>2QY6PD9CA50</t>
  </si>
  <si>
    <t>ROBERT SIGLER</t>
  </si>
  <si>
    <t>Wellcare Patriot Giveback (HMO)</t>
  </si>
  <si>
    <t>H5779</t>
  </si>
  <si>
    <t>47099901</t>
  </si>
  <si>
    <t>Jacob Yale</t>
  </si>
  <si>
    <t>4HH8NR2AK23</t>
  </si>
  <si>
    <t>FRED BIERBAUM JR</t>
  </si>
  <si>
    <t>Wellcare No Premium Essential (HMO)</t>
  </si>
  <si>
    <t>46989652</t>
  </si>
  <si>
    <t>6EY5MG1TU92</t>
  </si>
  <si>
    <t>RAYMOND HALL JR</t>
  </si>
  <si>
    <t>Wellcare No Premium Essential Value (HMO)</t>
  </si>
  <si>
    <t>45673770</t>
  </si>
  <si>
    <t>7WJ7QJ1TH52</t>
  </si>
  <si>
    <t>VALERIE ANDERSON</t>
  </si>
  <si>
    <t>C4117851901</t>
  </si>
  <si>
    <t>Ricardo Santos</t>
  </si>
  <si>
    <t>1WC9F52HG45</t>
  </si>
  <si>
    <t>DARLA BILDERBACK</t>
  </si>
  <si>
    <t>46515361</t>
  </si>
  <si>
    <t>2XC7NJ9HW56</t>
  </si>
  <si>
    <t>LISA BALLARD</t>
  </si>
  <si>
    <t>46381565</t>
  </si>
  <si>
    <t>5FT2DF7HE96</t>
  </si>
  <si>
    <t>WALTER BALLARD</t>
  </si>
  <si>
    <t>46381566</t>
  </si>
  <si>
    <t>9F12R28QC81</t>
  </si>
  <si>
    <t>RODNEY BILDERBACK</t>
  </si>
  <si>
    <t>46515362</t>
  </si>
  <si>
    <t>Jared Kinyua</t>
  </si>
  <si>
    <t>7F01YU6WJ26</t>
  </si>
  <si>
    <t>SANDRA BONIN</t>
  </si>
  <si>
    <t>LA</t>
  </si>
  <si>
    <t>Wellcare Assist (HMO)</t>
  </si>
  <si>
    <t>H2491</t>
  </si>
  <si>
    <t>47113968</t>
  </si>
  <si>
    <t>Steven Brandt</t>
  </si>
  <si>
    <t>6MH5Y03WA84</t>
  </si>
  <si>
    <t>CINDY DAILY</t>
  </si>
  <si>
    <t>OH</t>
  </si>
  <si>
    <t>H0908</t>
  </si>
  <si>
    <t>C4112342701</t>
  </si>
  <si>
    <t>6Q71D09TY35</t>
  </si>
  <si>
    <t>DEBRA TRONE</t>
  </si>
  <si>
    <t>45648685</t>
  </si>
  <si>
    <t>7V93VG8QC79</t>
  </si>
  <si>
    <t>CAROL PETERSEN</t>
  </si>
  <si>
    <t>H0174</t>
  </si>
  <si>
    <t>47078230</t>
  </si>
  <si>
    <t>9WP1CV2XW37</t>
  </si>
  <si>
    <t>MITCHELL HARRELL</t>
  </si>
  <si>
    <t>46334852</t>
  </si>
  <si>
    <t>Marsha Sanderock</t>
  </si>
  <si>
    <t>5XP2MX7QK80</t>
  </si>
  <si>
    <t>JOSEPH STEVENS</t>
  </si>
  <si>
    <t>IN</t>
  </si>
  <si>
    <t>Wellcare No Premium Open (PPO)</t>
  </si>
  <si>
    <t>H6348</t>
  </si>
  <si>
    <t>C4112111501</t>
  </si>
  <si>
    <t>8WC1GX7PN29</t>
  </si>
  <si>
    <t>MARY DRAKE</t>
  </si>
  <si>
    <t>H3499</t>
  </si>
  <si>
    <t>C4117837801</t>
  </si>
  <si>
    <t>Christopher Brousseau</t>
  </si>
  <si>
    <t>4C59KD0TT18</t>
  </si>
  <si>
    <t>JAMES ALLEN</t>
  </si>
  <si>
    <t>MO</t>
  </si>
  <si>
    <t>H1664</t>
  </si>
  <si>
    <t>C4116890501</t>
  </si>
  <si>
    <t>5CW1G24TT39</t>
  </si>
  <si>
    <t>DIANE KLEMPKE</t>
  </si>
  <si>
    <t>46910065</t>
  </si>
  <si>
    <t>5KK8EG1KJ54</t>
  </si>
  <si>
    <t>CONSTANCE SNIPES</t>
  </si>
  <si>
    <t>C4116534001</t>
  </si>
  <si>
    <t>6DH5R24GV61</t>
  </si>
  <si>
    <t>LINDA CASKEY</t>
  </si>
  <si>
    <t>Wellcare Sunshine Health Dual Align (HMO D-SNP)</t>
  </si>
  <si>
    <t>47015986</t>
  </si>
  <si>
    <t>7GW0MM9FX04</t>
  </si>
  <si>
    <t>KATHLEEN STONEHAM</t>
  </si>
  <si>
    <t>C4093449401</t>
  </si>
  <si>
    <t>7M41GH7AR96</t>
  </si>
  <si>
    <t>EMMA BUENO</t>
  </si>
  <si>
    <t>34097422</t>
  </si>
  <si>
    <t>9H74RQ8EY85</t>
  </si>
  <si>
    <t>JORGE BUENO</t>
  </si>
  <si>
    <t>34097423</t>
  </si>
  <si>
    <t>Daniel Carney</t>
  </si>
  <si>
    <t>2RK7A27EA66</t>
  </si>
  <si>
    <t>DOROTHY HESTER</t>
  </si>
  <si>
    <t>47080419</t>
  </si>
  <si>
    <t>8U70JY7MM45</t>
  </si>
  <si>
    <t>JANICE GREER</t>
  </si>
  <si>
    <t>46922255</t>
  </si>
  <si>
    <t>9U89VC3EP28</t>
  </si>
  <si>
    <t>STEVEN GODFREY</t>
  </si>
  <si>
    <t>C4116521701</t>
  </si>
  <si>
    <t>Dale Walenga</t>
  </si>
  <si>
    <t>3Y35Q73QQ64</t>
  </si>
  <si>
    <t>VICTORIA MADEJ</t>
  </si>
  <si>
    <t>Wellcare Meridian Dual Align (HMO D-SNP)</t>
  </si>
  <si>
    <t>H6971</t>
  </si>
  <si>
    <t>C4112869301</t>
  </si>
  <si>
    <t>GARY PORTUGAL</t>
  </si>
  <si>
    <t>9U67WU6HE20</t>
  </si>
  <si>
    <t>RICKY SWAILES</t>
  </si>
  <si>
    <t>IA</t>
  </si>
  <si>
    <t>Wellcare Simple (HMO-POS)</t>
  </si>
  <si>
    <t>H1862</t>
  </si>
  <si>
    <t>C4115465001</t>
  </si>
  <si>
    <t>Jake Shulman</t>
  </si>
  <si>
    <t>6F61RW5DW92</t>
  </si>
  <si>
    <t>TOSHA SLENNING</t>
  </si>
  <si>
    <t>Wellcare Dual Reserve (HMO-POS D-SNP)</t>
  </si>
  <si>
    <t>47267810</t>
  </si>
  <si>
    <t>8GP5TG3VW67</t>
  </si>
  <si>
    <t>JESSICA JIRASEK</t>
  </si>
  <si>
    <t>C4118184301</t>
  </si>
  <si>
    <t>4WF0YT2TH30</t>
  </si>
  <si>
    <t>JAMES PETTY</t>
  </si>
  <si>
    <t>C4118596201</t>
  </si>
  <si>
    <t>VBE Payment,NPN,8325282,MbrName,VICTORIA MADEJ,MBI,3Y35Q73QQ64,SubID,C4112869301,EffDate,1/1/2026,H6971</t>
  </si>
  <si>
    <t>Brian Strohman</t>
  </si>
  <si>
    <t>2J36T36TU87</t>
  </si>
  <si>
    <t>JENNIFER CHUQUI</t>
  </si>
  <si>
    <t>C4118828501</t>
  </si>
  <si>
    <t>Peter Richter</t>
  </si>
  <si>
    <t>5R83P54NJ13</t>
  </si>
  <si>
    <t>JOANNE BARDER</t>
  </si>
  <si>
    <t>H2915</t>
  </si>
  <si>
    <t>C4096102501</t>
  </si>
  <si>
    <t>3YC7ME4VK47</t>
  </si>
  <si>
    <t>JENNELLE LERMA</t>
  </si>
  <si>
    <t>Wellcare Dual Liberty (HMO D-SNP)</t>
  </si>
  <si>
    <t>31261721</t>
  </si>
  <si>
    <t>Frank Liskovec</t>
  </si>
  <si>
    <t>8WR3AN6HR75</t>
  </si>
  <si>
    <t>LINDA LIVESAY</t>
  </si>
  <si>
    <t>27912063</t>
  </si>
  <si>
    <t>2GA8K93UK56</t>
  </si>
  <si>
    <t>TERESA SILVA</t>
  </si>
  <si>
    <t>47182852</t>
  </si>
  <si>
    <t>5CF0MY3WK11</t>
  </si>
  <si>
    <t>KEENAN PENSON</t>
  </si>
  <si>
    <t>Wellcare No Premium Value (HMO-POS)</t>
  </si>
  <si>
    <t>42012732</t>
  </si>
  <si>
    <t>[%/$=353][prorate=1/12]</t>
  </si>
  <si>
    <t>WellCare MAPD 2025 CT, PA, DC*</t>
  </si>
  <si>
    <t>Wellcare MAPD CT, PA, DC 2024!</t>
  </si>
  <si>
    <t>[%/$=345][prorate=1/12]</t>
  </si>
  <si>
    <t>Wellcare MAPD 2026*</t>
  </si>
  <si>
    <t>[%/$=347][prorate=12/12]</t>
  </si>
  <si>
    <t>[%/$=347][prorate=11/12]</t>
  </si>
  <si>
    <t>Wellcare 2026 CA, NJ*</t>
  </si>
  <si>
    <t>[%/$=432][prorate=12/12]</t>
  </si>
  <si>
    <t>Wellcare 2026</t>
  </si>
  <si>
    <t>[%/$=694]</t>
  </si>
  <si>
    <t>Wellcare MAPD 2025*</t>
  </si>
  <si>
    <t>[%/$=313][prorate=1/12]</t>
  </si>
  <si>
    <t>[%/$=313][prorate=2/12]</t>
  </si>
  <si>
    <t>[%/$=347][prorate=1/12]</t>
  </si>
  <si>
    <t>Wellcare 2026 CT, PA, DC *</t>
  </si>
  <si>
    <t>[%/$=391][prorate=1/12]</t>
  </si>
  <si>
    <t>Wellcare MAPD Ovr</t>
  </si>
  <si>
    <t>LANEECE WHITE</t>
  </si>
  <si>
    <t>17425766old</t>
  </si>
  <si>
    <t>20003537old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</si>
</sst>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0" fontId="0" fillId="0" borderId="0" xfId="0" applyFill="1"/>
    <xf numFmtId="14" fontId="0" fillId="0" borderId="0" xfId="0" applyNumberFormat="1" applyFill="1"/>
    <xf numFmtId="0" fontId="2" fillId="0" borderId="0" xfId="0" applyFont="1"/>
    <xf numFmtId="0" fontId="2" fillId="0" borderId="0" xfId="0" applyFont="1" applyFill="1"/>
    <xf numFmtId="0" fontId="3" fillId="0" borderId="0" xfId="0" applyFont="1" applyFill="1"/>
    <xf numFmtId="14" fontId="3" fillId="0" borderId="0" xfId="0" applyNumberFormat="1" applyFont="1" applyFill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37"/>
  <sheetViews>
    <sheetView workbookViewId="0">
      <selection activeCell="A36" sqref="A36:XFD36"/>
    </sheetView>
  </sheetViews>
  <sheetFormatPr defaultRowHeight="14.4" x14ac:dyDescent="0.3"/>
  <cols>
    <col min="1" max="1" width="23.109375" bestFit="1" customWidth="1"/>
    <col min="2" max="2" width="22.5546875" bestFit="1" customWidth="1"/>
    <col min="3" max="3" width="18.6640625" bestFit="1" customWidth="1"/>
    <col min="4" max="4" width="34.88671875" bestFit="1" customWidth="1"/>
    <col min="5" max="5" width="11.109375" bestFit="1" customWidth="1"/>
    <col min="6" max="6" width="21.44140625" bestFit="1" customWidth="1"/>
    <col min="7" max="7" width="18.33203125" bestFit="1" customWidth="1"/>
    <col min="8" max="8" width="16.5546875" bestFit="1" customWidth="1"/>
    <col min="9" max="9" width="35" bestFit="1" customWidth="1"/>
    <col min="10" max="10" width="20.88671875" bestFit="1" customWidth="1"/>
    <col min="11" max="12" width="18.33203125" bestFit="1" customWidth="1"/>
    <col min="13" max="13" width="10.109375" bestFit="1" customWidth="1"/>
    <col min="14" max="14" width="14.44140625" bestFit="1" customWidth="1"/>
    <col min="15" max="15" width="11.33203125" bestFit="1" customWidth="1"/>
    <col min="16" max="16" width="9.5546875" bestFit="1" customWidth="1"/>
    <col min="17" max="17" width="46.6640625" bestFit="1" customWidth="1"/>
    <col min="18" max="18" width="21.109375" bestFit="1" customWidth="1"/>
    <col min="19" max="19" width="18.5546875" bestFit="1" customWidth="1"/>
    <col min="20" max="20" width="12.88671875" bestFit="1" customWidth="1"/>
    <col min="21" max="21" width="4.44140625" bestFit="1" customWidth="1"/>
    <col min="22" max="22" width="11.109375" bestFit="1" customWidth="1"/>
    <col min="23" max="23" width="12.109375" bestFit="1" customWidth="1"/>
    <col min="24" max="24" width="108.6640625" bestFit="1" customWidth="1"/>
  </cols>
  <sheetData>
    <row r="1" spans="1:23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1</v>
      </c>
      <c r="W1" s="1" t="s">
        <v>23</v>
      </c>
    </row>
    <row r="2" spans="1:23" x14ac:dyDescent="0.3">
      <c r="A2" t="s">
        <v>24</v>
      </c>
      <c r="B2" t="s">
        <v>25</v>
      </c>
      <c r="C2">
        <v>20003537</v>
      </c>
      <c r="D2" t="s">
        <v>26</v>
      </c>
      <c r="E2">
        <v>20003537</v>
      </c>
      <c r="F2" t="s">
        <v>26</v>
      </c>
      <c r="G2" s="2">
        <v>45778</v>
      </c>
      <c r="H2">
        <v>52.13</v>
      </c>
      <c r="I2" t="s">
        <v>27</v>
      </c>
      <c r="J2" t="s">
        <v>28</v>
      </c>
      <c r="K2" s="2">
        <v>45992</v>
      </c>
      <c r="L2" s="2">
        <v>45778</v>
      </c>
      <c r="M2">
        <v>1</v>
      </c>
      <c r="N2" t="s">
        <v>29</v>
      </c>
      <c r="O2" t="s">
        <v>30</v>
      </c>
      <c r="P2" t="s">
        <v>31</v>
      </c>
      <c r="Q2" t="s">
        <v>32</v>
      </c>
      <c r="R2" s="2">
        <v>45778</v>
      </c>
      <c r="T2" t="s">
        <v>33</v>
      </c>
      <c r="U2">
        <v>9</v>
      </c>
      <c r="W2" t="s">
        <v>34</v>
      </c>
    </row>
    <row r="3" spans="1:23" x14ac:dyDescent="0.3">
      <c r="A3" t="s">
        <v>24</v>
      </c>
      <c r="B3" t="s">
        <v>35</v>
      </c>
      <c r="C3">
        <v>20003537</v>
      </c>
      <c r="D3" t="s">
        <v>26</v>
      </c>
      <c r="E3">
        <v>20411454</v>
      </c>
      <c r="F3" t="s">
        <v>0</v>
      </c>
      <c r="G3" s="2">
        <v>45778</v>
      </c>
      <c r="H3">
        <v>12.39</v>
      </c>
      <c r="I3" t="s">
        <v>27</v>
      </c>
      <c r="J3" t="s">
        <v>28</v>
      </c>
      <c r="K3" s="2">
        <v>45992</v>
      </c>
      <c r="L3" s="2">
        <v>45778</v>
      </c>
      <c r="M3">
        <v>1</v>
      </c>
      <c r="N3" t="s">
        <v>29</v>
      </c>
      <c r="O3" t="s">
        <v>30</v>
      </c>
      <c r="P3" t="s">
        <v>31</v>
      </c>
      <c r="Q3" t="s">
        <v>32</v>
      </c>
      <c r="R3" s="2">
        <v>45778</v>
      </c>
      <c r="T3" t="s">
        <v>33</v>
      </c>
      <c r="U3">
        <v>9</v>
      </c>
      <c r="W3" t="s">
        <v>34</v>
      </c>
    </row>
    <row r="4" spans="1:23" x14ac:dyDescent="0.3">
      <c r="A4" t="s">
        <v>36</v>
      </c>
      <c r="B4" t="s">
        <v>25</v>
      </c>
      <c r="C4">
        <v>14412207</v>
      </c>
      <c r="D4" t="s">
        <v>37</v>
      </c>
      <c r="E4">
        <v>17425766</v>
      </c>
      <c r="F4" t="s">
        <v>38</v>
      </c>
      <c r="G4" s="2">
        <v>45292</v>
      </c>
      <c r="H4">
        <v>-28.75</v>
      </c>
      <c r="I4" t="s">
        <v>39</v>
      </c>
      <c r="J4" t="s">
        <v>40</v>
      </c>
      <c r="K4" s="2">
        <v>44860</v>
      </c>
      <c r="L4" s="2">
        <v>44927</v>
      </c>
      <c r="M4">
        <v>6</v>
      </c>
      <c r="O4" t="s">
        <v>41</v>
      </c>
      <c r="P4" t="s">
        <v>31</v>
      </c>
      <c r="Q4" t="s">
        <v>42</v>
      </c>
      <c r="R4" s="2">
        <v>44927</v>
      </c>
      <c r="S4" s="2">
        <v>46022</v>
      </c>
      <c r="T4" t="s">
        <v>43</v>
      </c>
      <c r="U4">
        <v>4</v>
      </c>
      <c r="W4" t="s">
        <v>44</v>
      </c>
    </row>
    <row r="5" spans="1:23" x14ac:dyDescent="0.3">
      <c r="A5" t="s">
        <v>36</v>
      </c>
      <c r="B5" t="s">
        <v>25</v>
      </c>
      <c r="C5">
        <v>14412207</v>
      </c>
      <c r="D5" t="s">
        <v>37</v>
      </c>
      <c r="E5">
        <v>17425766</v>
      </c>
      <c r="F5" t="s">
        <v>38</v>
      </c>
      <c r="G5" s="2">
        <v>45658</v>
      </c>
      <c r="H5">
        <v>-29.42</v>
      </c>
      <c r="I5" t="s">
        <v>39</v>
      </c>
      <c r="J5" t="s">
        <v>40</v>
      </c>
      <c r="K5" s="2">
        <v>44860</v>
      </c>
      <c r="L5" s="2">
        <v>44927</v>
      </c>
      <c r="M5">
        <v>7</v>
      </c>
      <c r="O5" t="s">
        <v>41</v>
      </c>
      <c r="P5" t="s">
        <v>31</v>
      </c>
      <c r="Q5" t="s">
        <v>42</v>
      </c>
      <c r="R5" s="2">
        <v>44927</v>
      </c>
      <c r="S5" s="2">
        <v>46022</v>
      </c>
      <c r="T5" t="s">
        <v>43</v>
      </c>
      <c r="U5">
        <v>4</v>
      </c>
      <c r="W5" t="s">
        <v>44</v>
      </c>
    </row>
    <row r="6" spans="1:23" x14ac:dyDescent="0.3">
      <c r="A6" t="s">
        <v>36</v>
      </c>
      <c r="B6" t="s">
        <v>25</v>
      </c>
      <c r="C6">
        <v>14412207</v>
      </c>
      <c r="D6" t="s">
        <v>37</v>
      </c>
      <c r="E6">
        <v>17425766</v>
      </c>
      <c r="F6" t="s">
        <v>38</v>
      </c>
      <c r="G6" s="2">
        <v>45323</v>
      </c>
      <c r="H6">
        <v>-28.75</v>
      </c>
      <c r="I6" t="s">
        <v>39</v>
      </c>
      <c r="J6" t="s">
        <v>40</v>
      </c>
      <c r="K6" s="2">
        <v>44860</v>
      </c>
      <c r="L6" s="2">
        <v>44927</v>
      </c>
      <c r="M6">
        <v>6</v>
      </c>
      <c r="O6" t="s">
        <v>41</v>
      </c>
      <c r="P6" t="s">
        <v>31</v>
      </c>
      <c r="Q6" t="s">
        <v>42</v>
      </c>
      <c r="R6" s="2">
        <v>44927</v>
      </c>
      <c r="S6" s="2">
        <v>46022</v>
      </c>
      <c r="T6" t="s">
        <v>43</v>
      </c>
      <c r="U6">
        <v>4</v>
      </c>
      <c r="W6" t="s">
        <v>44</v>
      </c>
    </row>
    <row r="7" spans="1:23" x14ac:dyDescent="0.3">
      <c r="A7" t="s">
        <v>36</v>
      </c>
      <c r="B7" t="s">
        <v>25</v>
      </c>
      <c r="C7">
        <v>14412207</v>
      </c>
      <c r="D7" t="s">
        <v>37</v>
      </c>
      <c r="E7">
        <v>17425766</v>
      </c>
      <c r="F7" t="s">
        <v>38</v>
      </c>
      <c r="G7" s="2">
        <v>45689</v>
      </c>
      <c r="H7">
        <v>-29.42</v>
      </c>
      <c r="I7" t="s">
        <v>39</v>
      </c>
      <c r="J7" t="s">
        <v>40</v>
      </c>
      <c r="K7" s="2">
        <v>44860</v>
      </c>
      <c r="L7" s="2">
        <v>44927</v>
      </c>
      <c r="M7">
        <v>7</v>
      </c>
      <c r="O7" t="s">
        <v>41</v>
      </c>
      <c r="P7" t="s">
        <v>31</v>
      </c>
      <c r="Q7" t="s">
        <v>42</v>
      </c>
      <c r="R7" s="2">
        <v>44927</v>
      </c>
      <c r="S7" s="2">
        <v>46022</v>
      </c>
      <c r="T7" t="s">
        <v>43</v>
      </c>
      <c r="U7">
        <v>4</v>
      </c>
      <c r="W7" t="s">
        <v>44</v>
      </c>
    </row>
    <row r="8" spans="1:23" x14ac:dyDescent="0.3">
      <c r="A8" t="s">
        <v>36</v>
      </c>
      <c r="B8" t="s">
        <v>25</v>
      </c>
      <c r="C8">
        <v>14412207</v>
      </c>
      <c r="D8" t="s">
        <v>37</v>
      </c>
      <c r="E8">
        <v>17425766</v>
      </c>
      <c r="F8" t="s">
        <v>38</v>
      </c>
      <c r="G8" s="2">
        <v>45352</v>
      </c>
      <c r="H8">
        <v>-28.75</v>
      </c>
      <c r="I8" t="s">
        <v>39</v>
      </c>
      <c r="J8" t="s">
        <v>40</v>
      </c>
      <c r="K8" s="2">
        <v>44860</v>
      </c>
      <c r="L8" s="2">
        <v>44927</v>
      </c>
      <c r="M8">
        <v>6</v>
      </c>
      <c r="O8" t="s">
        <v>41</v>
      </c>
      <c r="P8" t="s">
        <v>31</v>
      </c>
      <c r="Q8" t="s">
        <v>42</v>
      </c>
      <c r="R8" s="2">
        <v>44927</v>
      </c>
      <c r="S8" s="2">
        <v>46022</v>
      </c>
      <c r="T8" t="s">
        <v>43</v>
      </c>
      <c r="U8">
        <v>4</v>
      </c>
      <c r="W8" t="s">
        <v>44</v>
      </c>
    </row>
    <row r="9" spans="1:23" x14ac:dyDescent="0.3">
      <c r="A9" t="s">
        <v>36</v>
      </c>
      <c r="B9" t="s">
        <v>25</v>
      </c>
      <c r="C9">
        <v>14412207</v>
      </c>
      <c r="D9" t="s">
        <v>37</v>
      </c>
      <c r="E9">
        <v>17425766</v>
      </c>
      <c r="F9" t="s">
        <v>38</v>
      </c>
      <c r="G9" s="2">
        <v>45717</v>
      </c>
      <c r="H9">
        <v>-29.42</v>
      </c>
      <c r="I9" t="s">
        <v>39</v>
      </c>
      <c r="J9" t="s">
        <v>40</v>
      </c>
      <c r="K9" s="2">
        <v>44860</v>
      </c>
      <c r="L9" s="2">
        <v>44927</v>
      </c>
      <c r="M9">
        <v>7</v>
      </c>
      <c r="O9" t="s">
        <v>41</v>
      </c>
      <c r="P9" t="s">
        <v>31</v>
      </c>
      <c r="Q9" t="s">
        <v>42</v>
      </c>
      <c r="R9" s="2">
        <v>44927</v>
      </c>
      <c r="S9" s="2">
        <v>46022</v>
      </c>
      <c r="T9" t="s">
        <v>43</v>
      </c>
      <c r="U9">
        <v>4</v>
      </c>
      <c r="W9" t="s">
        <v>44</v>
      </c>
    </row>
    <row r="10" spans="1:23" x14ac:dyDescent="0.3">
      <c r="A10" t="s">
        <v>36</v>
      </c>
      <c r="B10" t="s">
        <v>25</v>
      </c>
      <c r="C10">
        <v>14412207</v>
      </c>
      <c r="D10" t="s">
        <v>37</v>
      </c>
      <c r="E10">
        <v>17425766</v>
      </c>
      <c r="F10" t="s">
        <v>38</v>
      </c>
      <c r="G10" s="2">
        <v>45383</v>
      </c>
      <c r="H10">
        <v>-28.75</v>
      </c>
      <c r="I10" t="s">
        <v>39</v>
      </c>
      <c r="J10" t="s">
        <v>40</v>
      </c>
      <c r="K10" s="2">
        <v>44860</v>
      </c>
      <c r="L10" s="2">
        <v>44927</v>
      </c>
      <c r="M10">
        <v>6</v>
      </c>
      <c r="O10" t="s">
        <v>41</v>
      </c>
      <c r="P10" t="s">
        <v>31</v>
      </c>
      <c r="Q10" t="s">
        <v>42</v>
      </c>
      <c r="R10" s="2">
        <v>44927</v>
      </c>
      <c r="S10" s="2">
        <v>46022</v>
      </c>
      <c r="T10" t="s">
        <v>43</v>
      </c>
      <c r="U10">
        <v>4</v>
      </c>
      <c r="W10" t="s">
        <v>44</v>
      </c>
    </row>
    <row r="11" spans="1:23" x14ac:dyDescent="0.3">
      <c r="A11" t="s">
        <v>36</v>
      </c>
      <c r="B11" t="s">
        <v>25</v>
      </c>
      <c r="C11">
        <v>14412207</v>
      </c>
      <c r="D11" t="s">
        <v>37</v>
      </c>
      <c r="E11">
        <v>17425766</v>
      </c>
      <c r="F11" t="s">
        <v>38</v>
      </c>
      <c r="G11" s="2">
        <v>45748</v>
      </c>
      <c r="H11">
        <v>-29.42</v>
      </c>
      <c r="I11" t="s">
        <v>39</v>
      </c>
      <c r="J11" t="s">
        <v>40</v>
      </c>
      <c r="K11" s="2">
        <v>44860</v>
      </c>
      <c r="L11" s="2">
        <v>44927</v>
      </c>
      <c r="M11">
        <v>7</v>
      </c>
      <c r="O11" t="s">
        <v>41</v>
      </c>
      <c r="P11" t="s">
        <v>31</v>
      </c>
      <c r="Q11" t="s">
        <v>42</v>
      </c>
      <c r="R11" s="2">
        <v>44927</v>
      </c>
      <c r="S11" s="2">
        <v>46022</v>
      </c>
      <c r="T11" t="s">
        <v>43</v>
      </c>
      <c r="U11">
        <v>4</v>
      </c>
      <c r="W11" t="s">
        <v>44</v>
      </c>
    </row>
    <row r="12" spans="1:23" x14ac:dyDescent="0.3">
      <c r="A12" t="s">
        <v>36</v>
      </c>
      <c r="B12" t="s">
        <v>25</v>
      </c>
      <c r="C12">
        <v>14412207</v>
      </c>
      <c r="D12" t="s">
        <v>37</v>
      </c>
      <c r="E12">
        <v>17425766</v>
      </c>
      <c r="F12" t="s">
        <v>38</v>
      </c>
      <c r="G12" s="2">
        <v>45413</v>
      </c>
      <c r="H12">
        <v>-28.75</v>
      </c>
      <c r="I12" t="s">
        <v>39</v>
      </c>
      <c r="J12" t="s">
        <v>40</v>
      </c>
      <c r="K12" s="2">
        <v>44860</v>
      </c>
      <c r="L12" s="2">
        <v>44927</v>
      </c>
      <c r="M12">
        <v>6</v>
      </c>
      <c r="O12" t="s">
        <v>41</v>
      </c>
      <c r="P12" t="s">
        <v>31</v>
      </c>
      <c r="Q12" t="s">
        <v>42</v>
      </c>
      <c r="R12" s="2">
        <v>44927</v>
      </c>
      <c r="S12" s="2">
        <v>46022</v>
      </c>
      <c r="T12" t="s">
        <v>43</v>
      </c>
      <c r="U12">
        <v>4</v>
      </c>
      <c r="W12" t="s">
        <v>44</v>
      </c>
    </row>
    <row r="13" spans="1:23" x14ac:dyDescent="0.3">
      <c r="A13" t="s">
        <v>36</v>
      </c>
      <c r="B13" t="s">
        <v>25</v>
      </c>
      <c r="C13">
        <v>14412207</v>
      </c>
      <c r="D13" t="s">
        <v>37</v>
      </c>
      <c r="E13">
        <v>17425766</v>
      </c>
      <c r="F13" t="s">
        <v>38</v>
      </c>
      <c r="G13" s="2">
        <v>45778</v>
      </c>
      <c r="H13">
        <v>-29.42</v>
      </c>
      <c r="I13" t="s">
        <v>39</v>
      </c>
      <c r="J13" t="s">
        <v>40</v>
      </c>
      <c r="K13" s="2">
        <v>44860</v>
      </c>
      <c r="L13" s="2">
        <v>44927</v>
      </c>
      <c r="M13">
        <v>7</v>
      </c>
      <c r="O13" t="s">
        <v>41</v>
      </c>
      <c r="P13" t="s">
        <v>31</v>
      </c>
      <c r="Q13" t="s">
        <v>42</v>
      </c>
      <c r="R13" s="2">
        <v>44927</v>
      </c>
      <c r="S13" s="2">
        <v>46022</v>
      </c>
      <c r="T13" t="s">
        <v>43</v>
      </c>
      <c r="U13">
        <v>4</v>
      </c>
      <c r="W13" t="s">
        <v>44</v>
      </c>
    </row>
    <row r="14" spans="1:23" x14ac:dyDescent="0.3">
      <c r="A14" t="s">
        <v>36</v>
      </c>
      <c r="B14" t="s">
        <v>25</v>
      </c>
      <c r="C14">
        <v>14412207</v>
      </c>
      <c r="D14" t="s">
        <v>37</v>
      </c>
      <c r="E14">
        <v>17425766</v>
      </c>
      <c r="F14" t="s">
        <v>38</v>
      </c>
      <c r="G14" s="2">
        <v>45444</v>
      </c>
      <c r="H14">
        <v>-28.75</v>
      </c>
      <c r="I14" t="s">
        <v>39</v>
      </c>
      <c r="J14" t="s">
        <v>40</v>
      </c>
      <c r="K14" s="2">
        <v>44860</v>
      </c>
      <c r="L14" s="2">
        <v>44927</v>
      </c>
      <c r="M14">
        <v>6</v>
      </c>
      <c r="O14" t="s">
        <v>41</v>
      </c>
      <c r="P14" t="s">
        <v>31</v>
      </c>
      <c r="Q14" t="s">
        <v>42</v>
      </c>
      <c r="R14" s="2">
        <v>44927</v>
      </c>
      <c r="S14" s="2">
        <v>46022</v>
      </c>
      <c r="T14" t="s">
        <v>43</v>
      </c>
      <c r="U14">
        <v>4</v>
      </c>
      <c r="W14" t="s">
        <v>44</v>
      </c>
    </row>
    <row r="15" spans="1:23" x14ac:dyDescent="0.3">
      <c r="A15" t="s">
        <v>36</v>
      </c>
      <c r="B15" t="s">
        <v>25</v>
      </c>
      <c r="C15">
        <v>14412207</v>
      </c>
      <c r="D15" t="s">
        <v>37</v>
      </c>
      <c r="E15">
        <v>17425766</v>
      </c>
      <c r="F15" t="s">
        <v>38</v>
      </c>
      <c r="G15" s="2">
        <v>45809</v>
      </c>
      <c r="H15">
        <v>-29.42</v>
      </c>
      <c r="I15" t="s">
        <v>39</v>
      </c>
      <c r="J15" t="s">
        <v>40</v>
      </c>
      <c r="K15" s="2">
        <v>44860</v>
      </c>
      <c r="L15" s="2">
        <v>44927</v>
      </c>
      <c r="M15">
        <v>7</v>
      </c>
      <c r="O15" t="s">
        <v>41</v>
      </c>
      <c r="P15" t="s">
        <v>31</v>
      </c>
      <c r="Q15" t="s">
        <v>42</v>
      </c>
      <c r="R15" s="2">
        <v>44927</v>
      </c>
      <c r="S15" s="2">
        <v>46022</v>
      </c>
      <c r="T15" t="s">
        <v>43</v>
      </c>
      <c r="U15">
        <v>4</v>
      </c>
      <c r="W15" t="s">
        <v>44</v>
      </c>
    </row>
    <row r="16" spans="1:23" x14ac:dyDescent="0.3">
      <c r="A16" t="s">
        <v>36</v>
      </c>
      <c r="B16" t="s">
        <v>25</v>
      </c>
      <c r="C16">
        <v>14412207</v>
      </c>
      <c r="D16" t="s">
        <v>37</v>
      </c>
      <c r="E16">
        <v>17425766</v>
      </c>
      <c r="F16" t="s">
        <v>38</v>
      </c>
      <c r="G16" s="2">
        <v>45474</v>
      </c>
      <c r="H16">
        <v>-28.75</v>
      </c>
      <c r="I16" t="s">
        <v>39</v>
      </c>
      <c r="J16" t="s">
        <v>40</v>
      </c>
      <c r="K16" s="2">
        <v>44860</v>
      </c>
      <c r="L16" s="2">
        <v>44927</v>
      </c>
      <c r="M16">
        <v>6</v>
      </c>
      <c r="O16" t="s">
        <v>41</v>
      </c>
      <c r="P16" t="s">
        <v>31</v>
      </c>
      <c r="Q16" t="s">
        <v>42</v>
      </c>
      <c r="R16" s="2">
        <v>44927</v>
      </c>
      <c r="S16" s="2">
        <v>46022</v>
      </c>
      <c r="T16" t="s">
        <v>43</v>
      </c>
      <c r="U16">
        <v>4</v>
      </c>
      <c r="W16" t="s">
        <v>44</v>
      </c>
    </row>
    <row r="17" spans="1:23" x14ac:dyDescent="0.3">
      <c r="A17" t="s">
        <v>36</v>
      </c>
      <c r="B17" t="s">
        <v>25</v>
      </c>
      <c r="C17">
        <v>14412207</v>
      </c>
      <c r="D17" t="s">
        <v>37</v>
      </c>
      <c r="E17">
        <v>17425766</v>
      </c>
      <c r="F17" t="s">
        <v>38</v>
      </c>
      <c r="G17" s="2">
        <v>45839</v>
      </c>
      <c r="H17">
        <v>-29.42</v>
      </c>
      <c r="I17" t="s">
        <v>39</v>
      </c>
      <c r="J17" t="s">
        <v>40</v>
      </c>
      <c r="K17" s="2">
        <v>44860</v>
      </c>
      <c r="L17" s="2">
        <v>44927</v>
      </c>
      <c r="M17">
        <v>7</v>
      </c>
      <c r="O17" t="s">
        <v>41</v>
      </c>
      <c r="P17" t="s">
        <v>31</v>
      </c>
      <c r="Q17" t="s">
        <v>42</v>
      </c>
      <c r="R17" s="2">
        <v>44927</v>
      </c>
      <c r="S17" s="2">
        <v>46022</v>
      </c>
      <c r="T17" t="s">
        <v>43</v>
      </c>
      <c r="U17">
        <v>4</v>
      </c>
      <c r="W17" t="s">
        <v>44</v>
      </c>
    </row>
    <row r="18" spans="1:23" x14ac:dyDescent="0.3">
      <c r="A18" t="s">
        <v>36</v>
      </c>
      <c r="B18" t="s">
        <v>25</v>
      </c>
      <c r="C18">
        <v>14412207</v>
      </c>
      <c r="D18" t="s">
        <v>37</v>
      </c>
      <c r="E18">
        <v>17425766</v>
      </c>
      <c r="F18" t="s">
        <v>38</v>
      </c>
      <c r="G18" s="2">
        <v>45505</v>
      </c>
      <c r="H18">
        <v>-28.75</v>
      </c>
      <c r="I18" t="s">
        <v>39</v>
      </c>
      <c r="J18" t="s">
        <v>40</v>
      </c>
      <c r="K18" s="2">
        <v>44860</v>
      </c>
      <c r="L18" s="2">
        <v>44927</v>
      </c>
      <c r="M18">
        <v>6</v>
      </c>
      <c r="O18" t="s">
        <v>41</v>
      </c>
      <c r="P18" t="s">
        <v>31</v>
      </c>
      <c r="Q18" t="s">
        <v>42</v>
      </c>
      <c r="R18" s="2">
        <v>44927</v>
      </c>
      <c r="S18" s="2">
        <v>46022</v>
      </c>
      <c r="T18" t="s">
        <v>43</v>
      </c>
      <c r="U18">
        <v>4</v>
      </c>
      <c r="W18" t="s">
        <v>44</v>
      </c>
    </row>
    <row r="19" spans="1:23" x14ac:dyDescent="0.3">
      <c r="A19" t="s">
        <v>36</v>
      </c>
      <c r="B19" t="s">
        <v>25</v>
      </c>
      <c r="C19">
        <v>14412207</v>
      </c>
      <c r="D19" t="s">
        <v>37</v>
      </c>
      <c r="E19">
        <v>17425766</v>
      </c>
      <c r="F19" t="s">
        <v>38</v>
      </c>
      <c r="G19" s="2">
        <v>45870</v>
      </c>
      <c r="H19">
        <v>-29.42</v>
      </c>
      <c r="I19" t="s">
        <v>39</v>
      </c>
      <c r="J19" t="s">
        <v>40</v>
      </c>
      <c r="K19" s="2">
        <v>44860</v>
      </c>
      <c r="L19" s="2">
        <v>44927</v>
      </c>
      <c r="M19">
        <v>7</v>
      </c>
      <c r="O19" t="s">
        <v>41</v>
      </c>
      <c r="P19" t="s">
        <v>31</v>
      </c>
      <c r="Q19" t="s">
        <v>42</v>
      </c>
      <c r="R19" s="2">
        <v>44927</v>
      </c>
      <c r="S19" s="2">
        <v>46022</v>
      </c>
      <c r="T19" t="s">
        <v>43</v>
      </c>
      <c r="U19">
        <v>4</v>
      </c>
      <c r="W19" t="s">
        <v>44</v>
      </c>
    </row>
    <row r="20" spans="1:23" x14ac:dyDescent="0.3">
      <c r="A20" t="s">
        <v>36</v>
      </c>
      <c r="B20" t="s">
        <v>25</v>
      </c>
      <c r="C20">
        <v>14412207</v>
      </c>
      <c r="D20" t="s">
        <v>37</v>
      </c>
      <c r="E20">
        <v>17425766</v>
      </c>
      <c r="F20" t="s">
        <v>38</v>
      </c>
      <c r="G20" s="2">
        <v>45536</v>
      </c>
      <c r="H20">
        <v>-28.75</v>
      </c>
      <c r="I20" t="s">
        <v>39</v>
      </c>
      <c r="J20" t="s">
        <v>40</v>
      </c>
      <c r="K20" s="2">
        <v>44860</v>
      </c>
      <c r="L20" s="2">
        <v>44927</v>
      </c>
      <c r="M20">
        <v>6</v>
      </c>
      <c r="O20" t="s">
        <v>41</v>
      </c>
      <c r="P20" t="s">
        <v>31</v>
      </c>
      <c r="Q20" t="s">
        <v>42</v>
      </c>
      <c r="R20" s="2">
        <v>44927</v>
      </c>
      <c r="S20" s="2">
        <v>46022</v>
      </c>
      <c r="T20" t="s">
        <v>43</v>
      </c>
      <c r="U20">
        <v>4</v>
      </c>
      <c r="W20" t="s">
        <v>44</v>
      </c>
    </row>
    <row r="21" spans="1:23" x14ac:dyDescent="0.3">
      <c r="A21" t="s">
        <v>36</v>
      </c>
      <c r="B21" t="s">
        <v>25</v>
      </c>
      <c r="C21">
        <v>14412207</v>
      </c>
      <c r="D21" t="s">
        <v>37</v>
      </c>
      <c r="E21">
        <v>17425766</v>
      </c>
      <c r="F21" t="s">
        <v>38</v>
      </c>
      <c r="G21" s="2">
        <v>45901</v>
      </c>
      <c r="H21">
        <v>-29.42</v>
      </c>
      <c r="I21" t="s">
        <v>39</v>
      </c>
      <c r="J21" t="s">
        <v>40</v>
      </c>
      <c r="K21" s="2">
        <v>44860</v>
      </c>
      <c r="L21" s="2">
        <v>44927</v>
      </c>
      <c r="M21">
        <v>7</v>
      </c>
      <c r="O21" t="s">
        <v>41</v>
      </c>
      <c r="P21" t="s">
        <v>31</v>
      </c>
      <c r="Q21" t="s">
        <v>42</v>
      </c>
      <c r="R21" s="2">
        <v>44927</v>
      </c>
      <c r="S21" s="2">
        <v>46022</v>
      </c>
      <c r="T21" t="s">
        <v>43</v>
      </c>
      <c r="U21">
        <v>4</v>
      </c>
      <c r="W21" t="s">
        <v>44</v>
      </c>
    </row>
    <row r="22" spans="1:23" x14ac:dyDescent="0.3">
      <c r="A22" t="s">
        <v>36</v>
      </c>
      <c r="B22" t="s">
        <v>25</v>
      </c>
      <c r="C22">
        <v>14412207</v>
      </c>
      <c r="D22" t="s">
        <v>37</v>
      </c>
      <c r="E22">
        <v>17425766</v>
      </c>
      <c r="F22" t="s">
        <v>38</v>
      </c>
      <c r="G22" s="2">
        <v>45566</v>
      </c>
      <c r="H22">
        <v>-28.75</v>
      </c>
      <c r="I22" t="s">
        <v>39</v>
      </c>
      <c r="J22" t="s">
        <v>40</v>
      </c>
      <c r="K22" s="2">
        <v>44860</v>
      </c>
      <c r="L22" s="2">
        <v>44927</v>
      </c>
      <c r="M22">
        <v>6</v>
      </c>
      <c r="O22" t="s">
        <v>41</v>
      </c>
      <c r="P22" t="s">
        <v>31</v>
      </c>
      <c r="Q22" t="s">
        <v>42</v>
      </c>
      <c r="R22" s="2">
        <v>44927</v>
      </c>
      <c r="S22" s="2">
        <v>46022</v>
      </c>
      <c r="T22" t="s">
        <v>43</v>
      </c>
      <c r="U22">
        <v>4</v>
      </c>
      <c r="W22" t="s">
        <v>44</v>
      </c>
    </row>
    <row r="23" spans="1:23" x14ac:dyDescent="0.3">
      <c r="A23" t="s">
        <v>36</v>
      </c>
      <c r="B23" t="s">
        <v>25</v>
      </c>
      <c r="C23">
        <v>14412207</v>
      </c>
      <c r="D23" t="s">
        <v>37</v>
      </c>
      <c r="E23">
        <v>17425766</v>
      </c>
      <c r="F23" t="s">
        <v>38</v>
      </c>
      <c r="G23" s="2">
        <v>45931</v>
      </c>
      <c r="H23">
        <v>-29.42</v>
      </c>
      <c r="I23" t="s">
        <v>39</v>
      </c>
      <c r="J23" t="s">
        <v>40</v>
      </c>
      <c r="K23" s="2">
        <v>44860</v>
      </c>
      <c r="L23" s="2">
        <v>44927</v>
      </c>
      <c r="M23">
        <v>7</v>
      </c>
      <c r="O23" t="s">
        <v>41</v>
      </c>
      <c r="P23" t="s">
        <v>31</v>
      </c>
      <c r="Q23" t="s">
        <v>42</v>
      </c>
      <c r="R23" s="2">
        <v>44927</v>
      </c>
      <c r="S23" s="2">
        <v>46022</v>
      </c>
      <c r="T23" t="s">
        <v>43</v>
      </c>
      <c r="U23">
        <v>4</v>
      </c>
      <c r="W23" t="s">
        <v>44</v>
      </c>
    </row>
    <row r="24" spans="1:23" x14ac:dyDescent="0.3">
      <c r="A24" t="s">
        <v>36</v>
      </c>
      <c r="B24" t="s">
        <v>25</v>
      </c>
      <c r="C24">
        <v>14412207</v>
      </c>
      <c r="D24" t="s">
        <v>37</v>
      </c>
      <c r="E24">
        <v>17425766</v>
      </c>
      <c r="F24" t="s">
        <v>38</v>
      </c>
      <c r="G24" s="2">
        <v>45597</v>
      </c>
      <c r="H24">
        <v>-28.75</v>
      </c>
      <c r="I24" t="s">
        <v>39</v>
      </c>
      <c r="J24" t="s">
        <v>40</v>
      </c>
      <c r="K24" s="2">
        <v>44860</v>
      </c>
      <c r="L24" s="2">
        <v>44927</v>
      </c>
      <c r="M24">
        <v>6</v>
      </c>
      <c r="O24" t="s">
        <v>41</v>
      </c>
      <c r="P24" t="s">
        <v>31</v>
      </c>
      <c r="Q24" t="s">
        <v>42</v>
      </c>
      <c r="R24" s="2">
        <v>44927</v>
      </c>
      <c r="S24" s="2">
        <v>46022</v>
      </c>
      <c r="T24" t="s">
        <v>43</v>
      </c>
      <c r="U24">
        <v>4</v>
      </c>
      <c r="W24" t="s">
        <v>44</v>
      </c>
    </row>
    <row r="25" spans="1:23" x14ac:dyDescent="0.3">
      <c r="A25" t="s">
        <v>36</v>
      </c>
      <c r="B25" t="s">
        <v>25</v>
      </c>
      <c r="C25">
        <v>14412207</v>
      </c>
      <c r="D25" t="s">
        <v>37</v>
      </c>
      <c r="E25">
        <v>17425766</v>
      </c>
      <c r="F25" t="s">
        <v>38</v>
      </c>
      <c r="G25" s="2">
        <v>45627</v>
      </c>
      <c r="H25">
        <v>-28.75</v>
      </c>
      <c r="I25" t="s">
        <v>39</v>
      </c>
      <c r="J25" t="s">
        <v>40</v>
      </c>
      <c r="K25" s="2">
        <v>44860</v>
      </c>
      <c r="L25" s="2">
        <v>44927</v>
      </c>
      <c r="M25">
        <v>6</v>
      </c>
      <c r="O25" t="s">
        <v>41</v>
      </c>
      <c r="P25" t="s">
        <v>31</v>
      </c>
      <c r="Q25" t="s">
        <v>42</v>
      </c>
      <c r="R25" s="2">
        <v>44927</v>
      </c>
      <c r="S25" s="2">
        <v>46022</v>
      </c>
      <c r="T25" t="s">
        <v>43</v>
      </c>
      <c r="U25">
        <v>4</v>
      </c>
      <c r="W25" t="s">
        <v>44</v>
      </c>
    </row>
    <row r="26" spans="1:23" x14ac:dyDescent="0.3">
      <c r="A26" t="s">
        <v>36</v>
      </c>
      <c r="B26" t="s">
        <v>25</v>
      </c>
      <c r="C26">
        <v>17425766</v>
      </c>
      <c r="D26" t="s">
        <v>38</v>
      </c>
      <c r="E26">
        <v>17425766</v>
      </c>
      <c r="F26" t="s">
        <v>38</v>
      </c>
      <c r="G26" s="2">
        <v>45962</v>
      </c>
      <c r="H26">
        <v>26.08</v>
      </c>
      <c r="I26" t="s">
        <v>45</v>
      </c>
      <c r="J26" t="s">
        <v>46</v>
      </c>
      <c r="K26" s="2">
        <v>45216</v>
      </c>
      <c r="L26" s="2">
        <v>45292</v>
      </c>
      <c r="M26">
        <v>5</v>
      </c>
      <c r="N26" t="s">
        <v>31</v>
      </c>
      <c r="O26" t="s">
        <v>47</v>
      </c>
      <c r="P26" t="s">
        <v>31</v>
      </c>
      <c r="Q26" t="s">
        <v>48</v>
      </c>
      <c r="R26" s="2">
        <v>44197</v>
      </c>
      <c r="T26" t="s">
        <v>49</v>
      </c>
      <c r="U26">
        <v>196</v>
      </c>
      <c r="W26" t="s">
        <v>50</v>
      </c>
    </row>
    <row r="27" spans="1:23" x14ac:dyDescent="0.3">
      <c r="A27" t="s">
        <v>36</v>
      </c>
      <c r="B27" t="s">
        <v>25</v>
      </c>
      <c r="C27">
        <v>18828278</v>
      </c>
      <c r="D27" t="s">
        <v>51</v>
      </c>
      <c r="E27">
        <v>18828278</v>
      </c>
      <c r="F27" t="s">
        <v>51</v>
      </c>
      <c r="G27" s="2">
        <v>45962</v>
      </c>
      <c r="H27">
        <v>0</v>
      </c>
      <c r="I27" t="s">
        <v>52</v>
      </c>
      <c r="J27" t="s">
        <v>53</v>
      </c>
      <c r="K27" s="2">
        <v>45615</v>
      </c>
      <c r="L27" s="2">
        <v>45658</v>
      </c>
      <c r="M27">
        <v>5</v>
      </c>
      <c r="N27" t="s">
        <v>31</v>
      </c>
      <c r="O27" t="s">
        <v>54</v>
      </c>
      <c r="P27" t="s">
        <v>31</v>
      </c>
      <c r="Q27" t="s">
        <v>55</v>
      </c>
      <c r="R27" s="2">
        <v>44287</v>
      </c>
      <c r="T27" t="s">
        <v>56</v>
      </c>
      <c r="U27">
        <v>8</v>
      </c>
      <c r="W27" t="s">
        <v>57</v>
      </c>
    </row>
    <row r="28" spans="1:23" x14ac:dyDescent="0.3">
      <c r="A28" t="s">
        <v>36</v>
      </c>
      <c r="B28" t="s">
        <v>25</v>
      </c>
      <c r="C28">
        <v>19681796</v>
      </c>
      <c r="D28" t="s">
        <v>58</v>
      </c>
      <c r="E28">
        <v>19681796</v>
      </c>
      <c r="F28" t="s">
        <v>58</v>
      </c>
      <c r="G28" s="2">
        <v>45962</v>
      </c>
      <c r="H28">
        <v>26.08</v>
      </c>
      <c r="I28" t="s">
        <v>59</v>
      </c>
      <c r="J28" t="s">
        <v>60</v>
      </c>
      <c r="K28" s="2">
        <v>45633</v>
      </c>
      <c r="L28" s="2">
        <v>45658</v>
      </c>
      <c r="M28">
        <v>15</v>
      </c>
      <c r="N28" t="s">
        <v>31</v>
      </c>
      <c r="O28" t="s">
        <v>47</v>
      </c>
      <c r="P28" t="s">
        <v>31</v>
      </c>
      <c r="Q28" t="s">
        <v>48</v>
      </c>
      <c r="R28" s="2">
        <v>41760</v>
      </c>
      <c r="T28" t="s">
        <v>49</v>
      </c>
      <c r="U28">
        <v>211</v>
      </c>
      <c r="W28" t="s">
        <v>61</v>
      </c>
    </row>
    <row r="29" spans="1:23" x14ac:dyDescent="0.3">
      <c r="A29" t="s">
        <v>36</v>
      </c>
      <c r="B29" t="s">
        <v>25</v>
      </c>
      <c r="C29">
        <v>19681796</v>
      </c>
      <c r="D29" t="s">
        <v>58</v>
      </c>
      <c r="E29">
        <v>19681796</v>
      </c>
      <c r="F29" t="s">
        <v>58</v>
      </c>
      <c r="G29" s="2">
        <v>45962</v>
      </c>
      <c r="H29">
        <v>26.08</v>
      </c>
      <c r="I29" t="s">
        <v>62</v>
      </c>
      <c r="J29" t="s">
        <v>63</v>
      </c>
      <c r="K29" s="2">
        <v>45259</v>
      </c>
      <c r="L29" s="2">
        <v>45292</v>
      </c>
      <c r="M29">
        <v>3</v>
      </c>
      <c r="N29" t="s">
        <v>31</v>
      </c>
      <c r="O29" t="s">
        <v>64</v>
      </c>
      <c r="P29" t="s">
        <v>31</v>
      </c>
      <c r="Q29" t="s">
        <v>65</v>
      </c>
      <c r="R29" s="2">
        <v>45292</v>
      </c>
      <c r="T29" t="s">
        <v>66</v>
      </c>
      <c r="U29">
        <v>1</v>
      </c>
      <c r="W29" t="s">
        <v>67</v>
      </c>
    </row>
    <row r="30" spans="1:23" x14ac:dyDescent="0.3">
      <c r="A30" t="s">
        <v>36</v>
      </c>
      <c r="B30" t="s">
        <v>25</v>
      </c>
      <c r="C30">
        <v>20411454</v>
      </c>
      <c r="D30" t="s">
        <v>0</v>
      </c>
      <c r="E30">
        <v>20411454</v>
      </c>
      <c r="F30" t="s">
        <v>0</v>
      </c>
      <c r="G30" s="2">
        <v>45962</v>
      </c>
      <c r="H30">
        <v>26.08</v>
      </c>
      <c r="I30" t="s">
        <v>68</v>
      </c>
      <c r="J30" t="s">
        <v>69</v>
      </c>
      <c r="K30" s="2">
        <v>45715</v>
      </c>
      <c r="L30" s="2">
        <v>45717</v>
      </c>
      <c r="M30">
        <v>4</v>
      </c>
      <c r="N30" t="s">
        <v>31</v>
      </c>
      <c r="O30" t="s">
        <v>70</v>
      </c>
      <c r="P30" t="s">
        <v>31</v>
      </c>
      <c r="Q30" t="s">
        <v>71</v>
      </c>
      <c r="R30" s="2">
        <v>44805</v>
      </c>
      <c r="S30" s="2">
        <v>46022</v>
      </c>
      <c r="T30" t="s">
        <v>72</v>
      </c>
      <c r="U30">
        <v>16</v>
      </c>
      <c r="W30" t="s">
        <v>73</v>
      </c>
    </row>
    <row r="31" spans="1:23" x14ac:dyDescent="0.3">
      <c r="A31" t="s">
        <v>36</v>
      </c>
      <c r="B31" t="s">
        <v>25</v>
      </c>
      <c r="C31">
        <v>371819</v>
      </c>
      <c r="D31" t="s">
        <v>74</v>
      </c>
      <c r="E31">
        <v>371819</v>
      </c>
      <c r="F31" t="s">
        <v>74</v>
      </c>
      <c r="G31" s="2">
        <v>45962</v>
      </c>
      <c r="H31">
        <v>0</v>
      </c>
      <c r="I31" t="s">
        <v>75</v>
      </c>
      <c r="J31" t="s">
        <v>76</v>
      </c>
      <c r="K31" s="2">
        <v>45120</v>
      </c>
      <c r="L31" s="2">
        <v>45139</v>
      </c>
      <c r="M31">
        <v>3</v>
      </c>
      <c r="N31" t="s">
        <v>29</v>
      </c>
      <c r="O31" t="s">
        <v>77</v>
      </c>
      <c r="P31" t="s">
        <v>31</v>
      </c>
      <c r="Q31" t="s">
        <v>32</v>
      </c>
      <c r="R31" s="2">
        <v>45139</v>
      </c>
      <c r="T31" t="s">
        <v>33</v>
      </c>
      <c r="U31">
        <v>77</v>
      </c>
      <c r="W31" t="s">
        <v>78</v>
      </c>
    </row>
    <row r="32" spans="1:23" x14ac:dyDescent="0.3">
      <c r="A32" t="s">
        <v>36</v>
      </c>
      <c r="B32" t="s">
        <v>25</v>
      </c>
      <c r="C32">
        <v>17425766</v>
      </c>
      <c r="D32" t="s">
        <v>38</v>
      </c>
      <c r="E32">
        <v>17425766</v>
      </c>
      <c r="F32" t="s">
        <v>38</v>
      </c>
      <c r="G32" s="2">
        <v>45992</v>
      </c>
      <c r="H32">
        <v>26.12</v>
      </c>
      <c r="I32" t="s">
        <v>45</v>
      </c>
      <c r="J32" t="s">
        <v>46</v>
      </c>
      <c r="K32" s="2">
        <v>45216</v>
      </c>
      <c r="L32" s="2">
        <v>45292</v>
      </c>
      <c r="M32">
        <v>5</v>
      </c>
      <c r="N32" t="s">
        <v>31</v>
      </c>
      <c r="O32" t="s">
        <v>47</v>
      </c>
      <c r="P32" t="s">
        <v>31</v>
      </c>
      <c r="Q32" t="s">
        <v>48</v>
      </c>
      <c r="R32" s="2">
        <v>44197</v>
      </c>
      <c r="T32" t="s">
        <v>49</v>
      </c>
      <c r="U32">
        <v>196</v>
      </c>
      <c r="W32" t="s">
        <v>50</v>
      </c>
    </row>
    <row r="33" spans="1:23" x14ac:dyDescent="0.3">
      <c r="A33" t="s">
        <v>36</v>
      </c>
      <c r="B33" t="s">
        <v>25</v>
      </c>
      <c r="C33">
        <v>18828278</v>
      </c>
      <c r="D33" t="s">
        <v>51</v>
      </c>
      <c r="E33">
        <v>18828278</v>
      </c>
      <c r="F33" t="s">
        <v>51</v>
      </c>
      <c r="G33" s="2">
        <v>45992</v>
      </c>
      <c r="H33">
        <v>0</v>
      </c>
      <c r="I33" t="s">
        <v>52</v>
      </c>
      <c r="J33" t="s">
        <v>53</v>
      </c>
      <c r="K33" s="2">
        <v>45615</v>
      </c>
      <c r="L33" s="2">
        <v>45658</v>
      </c>
      <c r="M33">
        <v>5</v>
      </c>
      <c r="N33" t="s">
        <v>31</v>
      </c>
      <c r="O33" t="s">
        <v>54</v>
      </c>
      <c r="P33" t="s">
        <v>31</v>
      </c>
      <c r="Q33" t="s">
        <v>55</v>
      </c>
      <c r="R33" s="2">
        <v>44287</v>
      </c>
      <c r="T33" t="s">
        <v>56</v>
      </c>
      <c r="U33">
        <v>8</v>
      </c>
      <c r="W33" t="s">
        <v>57</v>
      </c>
    </row>
    <row r="34" spans="1:23" x14ac:dyDescent="0.3">
      <c r="A34" t="s">
        <v>36</v>
      </c>
      <c r="B34" t="s">
        <v>25</v>
      </c>
      <c r="C34">
        <v>19681796</v>
      </c>
      <c r="D34" t="s">
        <v>58</v>
      </c>
      <c r="E34">
        <v>19681796</v>
      </c>
      <c r="F34" t="s">
        <v>58</v>
      </c>
      <c r="G34" s="2">
        <v>45992</v>
      </c>
      <c r="H34">
        <v>26.12</v>
      </c>
      <c r="I34" t="s">
        <v>59</v>
      </c>
      <c r="J34" t="s">
        <v>60</v>
      </c>
      <c r="K34" s="2">
        <v>45633</v>
      </c>
      <c r="L34" s="2">
        <v>45658</v>
      </c>
      <c r="M34">
        <v>15</v>
      </c>
      <c r="N34" t="s">
        <v>31</v>
      </c>
      <c r="O34" t="s">
        <v>47</v>
      </c>
      <c r="P34" t="s">
        <v>31</v>
      </c>
      <c r="Q34" t="s">
        <v>48</v>
      </c>
      <c r="R34" s="2">
        <v>41760</v>
      </c>
      <c r="T34" t="s">
        <v>49</v>
      </c>
      <c r="U34">
        <v>211</v>
      </c>
      <c r="W34" t="s">
        <v>61</v>
      </c>
    </row>
    <row r="35" spans="1:23" x14ac:dyDescent="0.3">
      <c r="A35" t="s">
        <v>36</v>
      </c>
      <c r="B35" t="s">
        <v>25</v>
      </c>
      <c r="C35">
        <v>19681796</v>
      </c>
      <c r="D35" t="s">
        <v>58</v>
      </c>
      <c r="E35">
        <v>19681796</v>
      </c>
      <c r="F35" t="s">
        <v>58</v>
      </c>
      <c r="G35" s="2">
        <v>45992</v>
      </c>
      <c r="H35">
        <v>26.12</v>
      </c>
      <c r="I35" t="s">
        <v>62</v>
      </c>
      <c r="J35" t="s">
        <v>63</v>
      </c>
      <c r="K35" s="2">
        <v>45259</v>
      </c>
      <c r="L35" s="2">
        <v>45292</v>
      </c>
      <c r="M35">
        <v>3</v>
      </c>
      <c r="N35" t="s">
        <v>31</v>
      </c>
      <c r="O35" t="s">
        <v>64</v>
      </c>
      <c r="P35" t="s">
        <v>31</v>
      </c>
      <c r="Q35" t="s">
        <v>65</v>
      </c>
      <c r="R35" s="2">
        <v>45292</v>
      </c>
      <c r="T35" t="s">
        <v>66</v>
      </c>
      <c r="U35">
        <v>1</v>
      </c>
      <c r="W35" t="s">
        <v>67</v>
      </c>
    </row>
    <row r="36" spans="1:23" x14ac:dyDescent="0.3">
      <c r="A36" t="s">
        <v>36</v>
      </c>
      <c r="B36" t="s">
        <v>25</v>
      </c>
      <c r="C36">
        <v>20411454</v>
      </c>
      <c r="D36" t="s">
        <v>0</v>
      </c>
      <c r="E36">
        <v>20411454</v>
      </c>
      <c r="F36" t="s">
        <v>0</v>
      </c>
      <c r="G36" s="2">
        <v>45992</v>
      </c>
      <c r="H36">
        <v>26.12</v>
      </c>
      <c r="I36" t="s">
        <v>68</v>
      </c>
      <c r="J36" t="s">
        <v>69</v>
      </c>
      <c r="K36" s="2">
        <v>45715</v>
      </c>
      <c r="L36" s="2">
        <v>45717</v>
      </c>
      <c r="M36">
        <v>4</v>
      </c>
      <c r="N36" t="s">
        <v>31</v>
      </c>
      <c r="O36" t="s">
        <v>70</v>
      </c>
      <c r="P36" t="s">
        <v>31</v>
      </c>
      <c r="Q36" t="s">
        <v>71</v>
      </c>
      <c r="R36" s="2">
        <v>44805</v>
      </c>
      <c r="S36" s="2">
        <v>46022</v>
      </c>
      <c r="T36" t="s">
        <v>72</v>
      </c>
      <c r="U36">
        <v>16</v>
      </c>
      <c r="W36" t="s">
        <v>73</v>
      </c>
    </row>
    <row r="37" spans="1:23" x14ac:dyDescent="0.3">
      <c r="A37" t="s">
        <v>36</v>
      </c>
      <c r="B37" t="s">
        <v>25</v>
      </c>
      <c r="C37">
        <v>371819</v>
      </c>
      <c r="D37" t="s">
        <v>74</v>
      </c>
      <c r="E37">
        <v>371819</v>
      </c>
      <c r="F37" t="s">
        <v>74</v>
      </c>
      <c r="G37" s="2">
        <v>45992</v>
      </c>
      <c r="H37">
        <v>0</v>
      </c>
      <c r="I37" t="s">
        <v>75</v>
      </c>
      <c r="J37" t="s">
        <v>76</v>
      </c>
      <c r="K37" s="2">
        <v>45120</v>
      </c>
      <c r="L37" s="2">
        <v>45139</v>
      </c>
      <c r="M37">
        <v>3</v>
      </c>
      <c r="N37" t="s">
        <v>29</v>
      </c>
      <c r="O37" t="s">
        <v>77</v>
      </c>
      <c r="P37" t="s">
        <v>31</v>
      </c>
      <c r="Q37" t="s">
        <v>32</v>
      </c>
      <c r="R37" s="2">
        <v>45139</v>
      </c>
      <c r="T37" t="s">
        <v>33</v>
      </c>
      <c r="U37">
        <v>77</v>
      </c>
      <c r="W37" t="s">
        <v>78</v>
      </c>
    </row>
    <row r="38" spans="1:23" x14ac:dyDescent="0.3">
      <c r="A38" t="s">
        <v>24</v>
      </c>
      <c r="B38" t="s">
        <v>25</v>
      </c>
      <c r="C38">
        <v>18828278</v>
      </c>
      <c r="D38" t="s">
        <v>51</v>
      </c>
      <c r="E38">
        <v>18828278</v>
      </c>
      <c r="F38" t="s">
        <v>51</v>
      </c>
      <c r="G38" s="2">
        <v>46023</v>
      </c>
      <c r="H38">
        <v>694</v>
      </c>
      <c r="I38" t="s">
        <v>79</v>
      </c>
      <c r="J38" t="s">
        <v>80</v>
      </c>
      <c r="K38" s="2">
        <v>45985</v>
      </c>
      <c r="L38" s="2">
        <v>46023</v>
      </c>
      <c r="M38">
        <v>1</v>
      </c>
      <c r="N38" t="s">
        <v>81</v>
      </c>
      <c r="O38" t="s">
        <v>82</v>
      </c>
      <c r="P38" t="s">
        <v>31</v>
      </c>
      <c r="Q38" t="s">
        <v>83</v>
      </c>
      <c r="R38" s="2">
        <v>46023</v>
      </c>
      <c r="T38" t="s">
        <v>84</v>
      </c>
      <c r="U38">
        <v>3</v>
      </c>
      <c r="W38" t="s">
        <v>85</v>
      </c>
    </row>
    <row r="39" spans="1:23" x14ac:dyDescent="0.3">
      <c r="A39" t="s">
        <v>24</v>
      </c>
      <c r="B39" t="s">
        <v>35</v>
      </c>
      <c r="C39">
        <v>18828278</v>
      </c>
      <c r="D39" t="s">
        <v>51</v>
      </c>
      <c r="E39">
        <v>20411454</v>
      </c>
      <c r="F39" t="s">
        <v>0</v>
      </c>
      <c r="G39" s="2">
        <v>46023</v>
      </c>
      <c r="H39">
        <v>150</v>
      </c>
      <c r="I39" t="s">
        <v>79</v>
      </c>
      <c r="J39" t="s">
        <v>80</v>
      </c>
      <c r="K39" s="2">
        <v>45985</v>
      </c>
      <c r="L39" s="2">
        <v>46023</v>
      </c>
      <c r="M39">
        <v>1</v>
      </c>
      <c r="N39" t="s">
        <v>81</v>
      </c>
      <c r="O39" t="s">
        <v>82</v>
      </c>
      <c r="P39" t="s">
        <v>31</v>
      </c>
      <c r="Q39" t="s">
        <v>83</v>
      </c>
      <c r="R39" s="2">
        <v>46023</v>
      </c>
      <c r="T39" t="s">
        <v>84</v>
      </c>
      <c r="U39">
        <v>3</v>
      </c>
      <c r="W39" t="s">
        <v>85</v>
      </c>
    </row>
    <row r="40" spans="1:23" x14ac:dyDescent="0.3">
      <c r="A40" t="s">
        <v>86</v>
      </c>
      <c r="B40" t="s">
        <v>25</v>
      </c>
      <c r="C40">
        <v>16212649</v>
      </c>
      <c r="D40" t="s">
        <v>87</v>
      </c>
      <c r="E40">
        <v>16212649</v>
      </c>
      <c r="F40" t="s">
        <v>87</v>
      </c>
      <c r="G40" s="2">
        <v>46023</v>
      </c>
      <c r="H40">
        <v>432</v>
      </c>
      <c r="I40" t="s">
        <v>88</v>
      </c>
      <c r="J40" t="s">
        <v>89</v>
      </c>
      <c r="K40" s="2">
        <v>45971</v>
      </c>
      <c r="L40" s="2">
        <v>46023</v>
      </c>
      <c r="M40">
        <v>9</v>
      </c>
      <c r="N40" t="s">
        <v>31</v>
      </c>
      <c r="O40" t="s">
        <v>90</v>
      </c>
      <c r="P40" t="s">
        <v>31</v>
      </c>
      <c r="Q40" t="s">
        <v>91</v>
      </c>
      <c r="R40" s="2">
        <v>46023</v>
      </c>
      <c r="T40" t="s">
        <v>92</v>
      </c>
      <c r="U40">
        <v>21</v>
      </c>
      <c r="W40" t="s">
        <v>93</v>
      </c>
    </row>
    <row r="41" spans="1:23" x14ac:dyDescent="0.3">
      <c r="A41" t="s">
        <v>86</v>
      </c>
      <c r="B41" t="s">
        <v>25</v>
      </c>
      <c r="C41">
        <v>16912722</v>
      </c>
      <c r="D41" t="s">
        <v>94</v>
      </c>
      <c r="E41">
        <v>16912722</v>
      </c>
      <c r="F41" t="s">
        <v>94</v>
      </c>
      <c r="G41" s="2">
        <v>46023</v>
      </c>
      <c r="H41">
        <v>347</v>
      </c>
      <c r="I41" t="s">
        <v>95</v>
      </c>
      <c r="J41" t="s">
        <v>96</v>
      </c>
      <c r="K41" s="2">
        <v>45997</v>
      </c>
      <c r="L41" s="2">
        <v>46023</v>
      </c>
      <c r="M41">
        <v>2</v>
      </c>
      <c r="N41" t="s">
        <v>31</v>
      </c>
      <c r="O41" t="s">
        <v>97</v>
      </c>
      <c r="P41" t="s">
        <v>31</v>
      </c>
      <c r="Q41" t="s">
        <v>55</v>
      </c>
      <c r="R41" s="2">
        <v>46023</v>
      </c>
      <c r="T41" t="s">
        <v>98</v>
      </c>
      <c r="U41">
        <v>1</v>
      </c>
      <c r="W41" t="s">
        <v>99</v>
      </c>
    </row>
    <row r="42" spans="1:23" x14ac:dyDescent="0.3">
      <c r="A42" t="s">
        <v>86</v>
      </c>
      <c r="B42" t="s">
        <v>25</v>
      </c>
      <c r="C42">
        <v>17126004</v>
      </c>
      <c r="D42" t="s">
        <v>100</v>
      </c>
      <c r="E42">
        <v>17126004</v>
      </c>
      <c r="F42" t="s">
        <v>100</v>
      </c>
      <c r="G42" s="2">
        <v>46023</v>
      </c>
      <c r="H42">
        <v>347</v>
      </c>
      <c r="I42" t="s">
        <v>101</v>
      </c>
      <c r="J42" t="s">
        <v>102</v>
      </c>
      <c r="K42" s="2">
        <v>45998</v>
      </c>
      <c r="L42" s="2">
        <v>46023</v>
      </c>
      <c r="M42">
        <v>2</v>
      </c>
      <c r="O42" t="s">
        <v>30</v>
      </c>
      <c r="P42" t="s">
        <v>31</v>
      </c>
      <c r="Q42" t="s">
        <v>103</v>
      </c>
      <c r="R42" s="2">
        <v>46023</v>
      </c>
      <c r="T42" t="s">
        <v>104</v>
      </c>
      <c r="U42">
        <v>11</v>
      </c>
      <c r="W42" t="s">
        <v>105</v>
      </c>
    </row>
    <row r="43" spans="1:23" x14ac:dyDescent="0.3">
      <c r="A43" t="s">
        <v>86</v>
      </c>
      <c r="B43" t="s">
        <v>25</v>
      </c>
      <c r="C43">
        <v>18754354</v>
      </c>
      <c r="D43" t="s">
        <v>106</v>
      </c>
      <c r="E43">
        <v>18754354</v>
      </c>
      <c r="F43" t="s">
        <v>106</v>
      </c>
      <c r="G43" s="2">
        <v>46023</v>
      </c>
      <c r="H43">
        <v>347</v>
      </c>
      <c r="I43" t="s">
        <v>107</v>
      </c>
      <c r="J43" t="s">
        <v>108</v>
      </c>
      <c r="K43" s="2">
        <v>45997</v>
      </c>
      <c r="L43" s="2">
        <v>46023</v>
      </c>
      <c r="M43">
        <v>2</v>
      </c>
      <c r="N43" t="s">
        <v>31</v>
      </c>
      <c r="O43" t="s">
        <v>30</v>
      </c>
      <c r="P43" t="s">
        <v>31</v>
      </c>
      <c r="Q43" t="s">
        <v>109</v>
      </c>
      <c r="R43" s="2">
        <v>46023</v>
      </c>
      <c r="T43" t="s">
        <v>104</v>
      </c>
      <c r="U43">
        <v>2</v>
      </c>
      <c r="W43" t="s">
        <v>110</v>
      </c>
    </row>
    <row r="44" spans="1:23" x14ac:dyDescent="0.3">
      <c r="A44" t="s">
        <v>86</v>
      </c>
      <c r="B44" t="s">
        <v>25</v>
      </c>
      <c r="C44">
        <v>18754354</v>
      </c>
      <c r="D44" t="s">
        <v>106</v>
      </c>
      <c r="E44">
        <v>18754354</v>
      </c>
      <c r="F44" t="s">
        <v>106</v>
      </c>
      <c r="G44" s="2">
        <v>46023</v>
      </c>
      <c r="H44">
        <v>347</v>
      </c>
      <c r="I44" t="s">
        <v>111</v>
      </c>
      <c r="J44" t="s">
        <v>112</v>
      </c>
      <c r="K44" s="2">
        <v>45951</v>
      </c>
      <c r="L44" s="2">
        <v>46023</v>
      </c>
      <c r="M44">
        <v>2</v>
      </c>
      <c r="N44" t="s">
        <v>31</v>
      </c>
      <c r="O44" t="s">
        <v>30</v>
      </c>
      <c r="P44" t="s">
        <v>31</v>
      </c>
      <c r="Q44" t="s">
        <v>113</v>
      </c>
      <c r="R44" s="2">
        <v>46023</v>
      </c>
      <c r="T44" t="s">
        <v>104</v>
      </c>
      <c r="U44">
        <v>9</v>
      </c>
      <c r="W44" t="s">
        <v>114</v>
      </c>
    </row>
    <row r="45" spans="1:23" x14ac:dyDescent="0.3">
      <c r="A45" t="s">
        <v>86</v>
      </c>
      <c r="B45" t="s">
        <v>25</v>
      </c>
      <c r="C45">
        <v>18754354</v>
      </c>
      <c r="D45" t="s">
        <v>106</v>
      </c>
      <c r="E45">
        <v>18754354</v>
      </c>
      <c r="F45" t="s">
        <v>106</v>
      </c>
      <c r="G45" s="2">
        <v>46023</v>
      </c>
      <c r="H45">
        <v>347</v>
      </c>
      <c r="I45" t="s">
        <v>115</v>
      </c>
      <c r="J45" t="s">
        <v>116</v>
      </c>
      <c r="K45" s="2">
        <v>45998</v>
      </c>
      <c r="L45" s="2">
        <v>46023</v>
      </c>
      <c r="M45">
        <v>2</v>
      </c>
      <c r="N45" t="s">
        <v>81</v>
      </c>
      <c r="O45" t="s">
        <v>70</v>
      </c>
      <c r="P45" t="s">
        <v>31</v>
      </c>
      <c r="Q45" t="s">
        <v>48</v>
      </c>
      <c r="R45" s="2">
        <v>46023</v>
      </c>
      <c r="T45" t="s">
        <v>72</v>
      </c>
      <c r="U45">
        <v>18</v>
      </c>
      <c r="W45" t="s">
        <v>117</v>
      </c>
    </row>
    <row r="46" spans="1:23" x14ac:dyDescent="0.3">
      <c r="A46" t="s">
        <v>86</v>
      </c>
      <c r="B46" t="s">
        <v>25</v>
      </c>
      <c r="C46">
        <v>19200754</v>
      </c>
      <c r="D46" t="s">
        <v>118</v>
      </c>
      <c r="E46">
        <v>19200754</v>
      </c>
      <c r="F46" t="s">
        <v>118</v>
      </c>
      <c r="G46" s="2">
        <v>46023</v>
      </c>
      <c r="H46">
        <v>347</v>
      </c>
      <c r="I46" t="s">
        <v>119</v>
      </c>
      <c r="J46" t="s">
        <v>120</v>
      </c>
      <c r="K46" s="2">
        <v>45980</v>
      </c>
      <c r="L46" s="2">
        <v>46023</v>
      </c>
      <c r="M46">
        <v>7</v>
      </c>
      <c r="N46" t="s">
        <v>31</v>
      </c>
      <c r="O46" t="s">
        <v>30</v>
      </c>
      <c r="P46" t="s">
        <v>31</v>
      </c>
      <c r="Q46" t="s">
        <v>113</v>
      </c>
      <c r="R46" s="2">
        <v>46023</v>
      </c>
      <c r="T46" t="s">
        <v>104</v>
      </c>
      <c r="U46">
        <v>9</v>
      </c>
      <c r="W46" t="s">
        <v>121</v>
      </c>
    </row>
    <row r="47" spans="1:23" x14ac:dyDescent="0.3">
      <c r="A47" t="s">
        <v>86</v>
      </c>
      <c r="B47" t="s">
        <v>25</v>
      </c>
      <c r="C47">
        <v>19200754</v>
      </c>
      <c r="D47" t="s">
        <v>118</v>
      </c>
      <c r="E47">
        <v>19200754</v>
      </c>
      <c r="F47" t="s">
        <v>118</v>
      </c>
      <c r="G47" s="2">
        <v>46023</v>
      </c>
      <c r="H47">
        <v>347</v>
      </c>
      <c r="I47" t="s">
        <v>122</v>
      </c>
      <c r="J47" t="s">
        <v>123</v>
      </c>
      <c r="K47" s="2">
        <v>45975</v>
      </c>
      <c r="L47" s="2">
        <v>46023</v>
      </c>
      <c r="M47">
        <v>4</v>
      </c>
      <c r="N47" t="s">
        <v>31</v>
      </c>
      <c r="O47" t="s">
        <v>30</v>
      </c>
      <c r="P47" t="s">
        <v>31</v>
      </c>
      <c r="Q47" t="s">
        <v>113</v>
      </c>
      <c r="R47" s="2">
        <v>46023</v>
      </c>
      <c r="T47" t="s">
        <v>104</v>
      </c>
      <c r="U47">
        <v>9</v>
      </c>
      <c r="W47" t="s">
        <v>124</v>
      </c>
    </row>
    <row r="48" spans="1:23" x14ac:dyDescent="0.3">
      <c r="A48" t="s">
        <v>86</v>
      </c>
      <c r="B48" t="s">
        <v>25</v>
      </c>
      <c r="C48">
        <v>19200754</v>
      </c>
      <c r="D48" t="s">
        <v>118</v>
      </c>
      <c r="E48">
        <v>19200754</v>
      </c>
      <c r="F48" t="s">
        <v>118</v>
      </c>
      <c r="G48" s="2">
        <v>46023</v>
      </c>
      <c r="H48">
        <v>347</v>
      </c>
      <c r="I48" t="s">
        <v>125</v>
      </c>
      <c r="J48" t="s">
        <v>126</v>
      </c>
      <c r="K48" s="2">
        <v>45975</v>
      </c>
      <c r="L48" s="2">
        <v>46023</v>
      </c>
      <c r="M48">
        <v>5</v>
      </c>
      <c r="N48" t="s">
        <v>31</v>
      </c>
      <c r="O48" t="s">
        <v>30</v>
      </c>
      <c r="P48" t="s">
        <v>31</v>
      </c>
      <c r="Q48" t="s">
        <v>113</v>
      </c>
      <c r="R48" s="2">
        <v>46023</v>
      </c>
      <c r="T48" t="s">
        <v>104</v>
      </c>
      <c r="U48">
        <v>9</v>
      </c>
      <c r="W48" t="s">
        <v>127</v>
      </c>
    </row>
    <row r="49" spans="1:23" x14ac:dyDescent="0.3">
      <c r="A49" t="s">
        <v>86</v>
      </c>
      <c r="B49" t="s">
        <v>25</v>
      </c>
      <c r="C49">
        <v>19200754</v>
      </c>
      <c r="D49" t="s">
        <v>118</v>
      </c>
      <c r="E49">
        <v>19200754</v>
      </c>
      <c r="F49" t="s">
        <v>118</v>
      </c>
      <c r="G49" s="2">
        <v>46023</v>
      </c>
      <c r="H49">
        <v>347</v>
      </c>
      <c r="I49" t="s">
        <v>128</v>
      </c>
      <c r="J49" t="s">
        <v>129</v>
      </c>
      <c r="K49" s="2">
        <v>45980</v>
      </c>
      <c r="L49" s="2">
        <v>46023</v>
      </c>
      <c r="M49">
        <v>3</v>
      </c>
      <c r="N49" t="s">
        <v>31</v>
      </c>
      <c r="O49" t="s">
        <v>30</v>
      </c>
      <c r="P49" t="s">
        <v>31</v>
      </c>
      <c r="Q49" t="s">
        <v>113</v>
      </c>
      <c r="R49" s="2">
        <v>46023</v>
      </c>
      <c r="T49" t="s">
        <v>104</v>
      </c>
      <c r="U49">
        <v>9</v>
      </c>
      <c r="W49" t="s">
        <v>130</v>
      </c>
    </row>
    <row r="50" spans="1:23" x14ac:dyDescent="0.3">
      <c r="A50" t="s">
        <v>86</v>
      </c>
      <c r="B50" t="s">
        <v>25</v>
      </c>
      <c r="C50">
        <v>19279958</v>
      </c>
      <c r="D50" t="s">
        <v>131</v>
      </c>
      <c r="E50">
        <v>19279958</v>
      </c>
      <c r="F50" t="s">
        <v>131</v>
      </c>
      <c r="G50" s="2">
        <v>46023</v>
      </c>
      <c r="H50">
        <v>347</v>
      </c>
      <c r="I50" t="s">
        <v>132</v>
      </c>
      <c r="J50" t="s">
        <v>133</v>
      </c>
      <c r="K50" s="2">
        <v>46002</v>
      </c>
      <c r="L50" s="2">
        <v>46023</v>
      </c>
      <c r="M50">
        <v>2</v>
      </c>
      <c r="N50" t="s">
        <v>29</v>
      </c>
      <c r="O50" t="s">
        <v>134</v>
      </c>
      <c r="P50" t="s">
        <v>31</v>
      </c>
      <c r="Q50" t="s">
        <v>135</v>
      </c>
      <c r="R50" s="2">
        <v>46023</v>
      </c>
      <c r="T50" t="s">
        <v>136</v>
      </c>
      <c r="U50">
        <v>10</v>
      </c>
      <c r="W50" t="s">
        <v>137</v>
      </c>
    </row>
    <row r="51" spans="1:23" x14ac:dyDescent="0.3">
      <c r="A51" t="s">
        <v>86</v>
      </c>
      <c r="B51" t="s">
        <v>25</v>
      </c>
      <c r="C51">
        <v>19491313</v>
      </c>
      <c r="D51" t="s">
        <v>138</v>
      </c>
      <c r="E51">
        <v>19491313</v>
      </c>
      <c r="F51" t="s">
        <v>138</v>
      </c>
      <c r="G51" s="2">
        <v>46023</v>
      </c>
      <c r="H51">
        <v>347</v>
      </c>
      <c r="I51" t="s">
        <v>139</v>
      </c>
      <c r="J51" t="s">
        <v>140</v>
      </c>
      <c r="K51" s="2">
        <v>45945</v>
      </c>
      <c r="L51" s="2">
        <v>46023</v>
      </c>
      <c r="M51">
        <v>2</v>
      </c>
      <c r="N51" t="s">
        <v>31</v>
      </c>
      <c r="O51" t="s">
        <v>141</v>
      </c>
      <c r="P51" t="s">
        <v>31</v>
      </c>
      <c r="Q51" t="s">
        <v>83</v>
      </c>
      <c r="R51" s="2">
        <v>46023</v>
      </c>
      <c r="T51" t="s">
        <v>142</v>
      </c>
      <c r="U51">
        <v>6</v>
      </c>
      <c r="W51" t="s">
        <v>143</v>
      </c>
    </row>
    <row r="52" spans="1:23" x14ac:dyDescent="0.3">
      <c r="A52" t="s">
        <v>86</v>
      </c>
      <c r="B52" t="s">
        <v>25</v>
      </c>
      <c r="C52">
        <v>20003537</v>
      </c>
      <c r="D52" t="s">
        <v>26</v>
      </c>
      <c r="E52">
        <v>20003537</v>
      </c>
      <c r="F52" t="s">
        <v>26</v>
      </c>
      <c r="G52" s="2">
        <v>46023</v>
      </c>
      <c r="H52">
        <v>347</v>
      </c>
      <c r="I52" t="s">
        <v>144</v>
      </c>
      <c r="J52" t="s">
        <v>145</v>
      </c>
      <c r="K52" s="2">
        <v>45951</v>
      </c>
      <c r="L52" s="2">
        <v>46023</v>
      </c>
      <c r="M52">
        <v>3</v>
      </c>
      <c r="N52" t="s">
        <v>31</v>
      </c>
      <c r="O52" t="s">
        <v>30</v>
      </c>
      <c r="P52" t="s">
        <v>31</v>
      </c>
      <c r="Q52" t="s">
        <v>113</v>
      </c>
      <c r="R52" s="2">
        <v>46023</v>
      </c>
      <c r="T52" t="s">
        <v>104</v>
      </c>
      <c r="U52">
        <v>9</v>
      </c>
      <c r="W52" t="s">
        <v>146</v>
      </c>
    </row>
    <row r="53" spans="1:23" x14ac:dyDescent="0.3">
      <c r="A53" t="s">
        <v>86</v>
      </c>
      <c r="B53" t="s">
        <v>25</v>
      </c>
      <c r="C53">
        <v>20003537</v>
      </c>
      <c r="D53" t="s">
        <v>26</v>
      </c>
      <c r="E53">
        <v>20003537</v>
      </c>
      <c r="F53" t="s">
        <v>26</v>
      </c>
      <c r="G53" s="2">
        <v>46023</v>
      </c>
      <c r="H53">
        <v>347</v>
      </c>
      <c r="I53" t="s">
        <v>147</v>
      </c>
      <c r="J53" t="s">
        <v>148</v>
      </c>
      <c r="K53" s="2">
        <v>45998</v>
      </c>
      <c r="L53" s="2">
        <v>46023</v>
      </c>
      <c r="M53">
        <v>2</v>
      </c>
      <c r="N53" t="s">
        <v>81</v>
      </c>
      <c r="O53" t="s">
        <v>70</v>
      </c>
      <c r="P53" t="s">
        <v>31</v>
      </c>
      <c r="Q53" t="s">
        <v>48</v>
      </c>
      <c r="R53" s="2">
        <v>46023</v>
      </c>
      <c r="T53" t="s">
        <v>149</v>
      </c>
      <c r="U53">
        <v>10</v>
      </c>
      <c r="W53" t="s">
        <v>150</v>
      </c>
    </row>
    <row r="54" spans="1:23" x14ac:dyDescent="0.3">
      <c r="A54" t="s">
        <v>86</v>
      </c>
      <c r="B54" t="s">
        <v>25</v>
      </c>
      <c r="C54">
        <v>20003537</v>
      </c>
      <c r="D54" t="s">
        <v>26</v>
      </c>
      <c r="E54">
        <v>20003537</v>
      </c>
      <c r="F54" t="s">
        <v>26</v>
      </c>
      <c r="G54" s="2">
        <v>46023</v>
      </c>
      <c r="H54">
        <v>347</v>
      </c>
      <c r="I54" t="s">
        <v>151</v>
      </c>
      <c r="J54" t="s">
        <v>152</v>
      </c>
      <c r="K54" s="2">
        <v>45973</v>
      </c>
      <c r="L54" s="2">
        <v>46023</v>
      </c>
      <c r="M54">
        <v>5</v>
      </c>
      <c r="N54" t="s">
        <v>31</v>
      </c>
      <c r="O54" t="s">
        <v>30</v>
      </c>
      <c r="P54" t="s">
        <v>31</v>
      </c>
      <c r="Q54" t="s">
        <v>113</v>
      </c>
      <c r="R54" s="2">
        <v>46023</v>
      </c>
      <c r="T54" t="s">
        <v>104</v>
      </c>
      <c r="U54">
        <v>9</v>
      </c>
      <c r="W54" t="s">
        <v>153</v>
      </c>
    </row>
    <row r="55" spans="1:23" x14ac:dyDescent="0.3">
      <c r="A55" t="s">
        <v>86</v>
      </c>
      <c r="B55" t="s">
        <v>25</v>
      </c>
      <c r="C55">
        <v>20724564</v>
      </c>
      <c r="D55" t="s">
        <v>154</v>
      </c>
      <c r="E55">
        <v>20724564</v>
      </c>
      <c r="F55" t="s">
        <v>154</v>
      </c>
      <c r="G55" s="2">
        <v>46023</v>
      </c>
      <c r="H55">
        <v>347</v>
      </c>
      <c r="I55" t="s">
        <v>155</v>
      </c>
      <c r="J55" t="s">
        <v>156</v>
      </c>
      <c r="K55" s="2">
        <v>45949</v>
      </c>
      <c r="L55" s="2">
        <v>46023</v>
      </c>
      <c r="M55">
        <v>4</v>
      </c>
      <c r="N55" t="s">
        <v>31</v>
      </c>
      <c r="O55" t="s">
        <v>157</v>
      </c>
      <c r="P55" t="s">
        <v>31</v>
      </c>
      <c r="Q55" t="s">
        <v>158</v>
      </c>
      <c r="R55" s="2">
        <v>46023</v>
      </c>
      <c r="T55" t="s">
        <v>159</v>
      </c>
      <c r="U55">
        <v>2</v>
      </c>
      <c r="W55" t="s">
        <v>160</v>
      </c>
    </row>
    <row r="56" spans="1:23" x14ac:dyDescent="0.3">
      <c r="A56" t="s">
        <v>86</v>
      </c>
      <c r="B56" t="s">
        <v>25</v>
      </c>
      <c r="C56">
        <v>20724564</v>
      </c>
      <c r="D56" t="s">
        <v>154</v>
      </c>
      <c r="E56">
        <v>20724564</v>
      </c>
      <c r="F56" t="s">
        <v>154</v>
      </c>
      <c r="G56" s="2">
        <v>46023</v>
      </c>
      <c r="H56">
        <v>347</v>
      </c>
      <c r="I56" t="s">
        <v>161</v>
      </c>
      <c r="J56" t="s">
        <v>162</v>
      </c>
      <c r="K56" s="2">
        <v>45998</v>
      </c>
      <c r="L56" s="2">
        <v>46023</v>
      </c>
      <c r="M56">
        <v>2</v>
      </c>
      <c r="N56" t="s">
        <v>31</v>
      </c>
      <c r="O56" t="s">
        <v>157</v>
      </c>
      <c r="P56" t="s">
        <v>31</v>
      </c>
      <c r="Q56" t="s">
        <v>48</v>
      </c>
      <c r="R56" s="2">
        <v>46023</v>
      </c>
      <c r="T56" t="s">
        <v>163</v>
      </c>
      <c r="U56">
        <v>2</v>
      </c>
      <c r="W56" t="s">
        <v>164</v>
      </c>
    </row>
    <row r="57" spans="1:23" x14ac:dyDescent="0.3">
      <c r="A57" t="s">
        <v>86</v>
      </c>
      <c r="B57" t="s">
        <v>25</v>
      </c>
      <c r="C57">
        <v>21435997</v>
      </c>
      <c r="D57" t="s">
        <v>165</v>
      </c>
      <c r="E57">
        <v>21435997</v>
      </c>
      <c r="F57" t="s">
        <v>165</v>
      </c>
      <c r="G57" s="2">
        <v>46023</v>
      </c>
      <c r="H57">
        <v>347</v>
      </c>
      <c r="I57" t="s">
        <v>166</v>
      </c>
      <c r="J57" t="s">
        <v>167</v>
      </c>
      <c r="K57" s="2">
        <v>45986</v>
      </c>
      <c r="L57" s="2">
        <v>46023</v>
      </c>
      <c r="M57">
        <v>2</v>
      </c>
      <c r="N57" t="s">
        <v>31</v>
      </c>
      <c r="O57" t="s">
        <v>168</v>
      </c>
      <c r="P57" t="s">
        <v>31</v>
      </c>
      <c r="Q57" t="s">
        <v>48</v>
      </c>
      <c r="R57" s="2">
        <v>46023</v>
      </c>
      <c r="T57" t="s">
        <v>169</v>
      </c>
      <c r="U57">
        <v>1</v>
      </c>
      <c r="W57" t="s">
        <v>170</v>
      </c>
    </row>
    <row r="58" spans="1:23" x14ac:dyDescent="0.3">
      <c r="A58" t="s">
        <v>86</v>
      </c>
      <c r="B58" t="s">
        <v>25</v>
      </c>
      <c r="C58">
        <v>21435997</v>
      </c>
      <c r="D58" t="s">
        <v>165</v>
      </c>
      <c r="E58">
        <v>21435997</v>
      </c>
      <c r="F58" t="s">
        <v>165</v>
      </c>
      <c r="G58" s="2">
        <v>46023</v>
      </c>
      <c r="H58">
        <v>347</v>
      </c>
      <c r="I58" t="s">
        <v>171</v>
      </c>
      <c r="J58" t="s">
        <v>172</v>
      </c>
      <c r="K58" s="2">
        <v>45995</v>
      </c>
      <c r="L58" s="2">
        <v>46023</v>
      </c>
      <c r="M58">
        <v>2</v>
      </c>
      <c r="N58" t="s">
        <v>31</v>
      </c>
      <c r="O58" t="s">
        <v>47</v>
      </c>
      <c r="P58" t="s">
        <v>31</v>
      </c>
      <c r="Q58" t="s">
        <v>48</v>
      </c>
      <c r="R58" s="2">
        <v>46023</v>
      </c>
      <c r="T58" t="s">
        <v>49</v>
      </c>
      <c r="U58">
        <v>205</v>
      </c>
      <c r="W58" t="s">
        <v>173</v>
      </c>
    </row>
    <row r="59" spans="1:23" x14ac:dyDescent="0.3">
      <c r="A59" t="s">
        <v>86</v>
      </c>
      <c r="B59" t="s">
        <v>25</v>
      </c>
      <c r="C59">
        <v>21435997</v>
      </c>
      <c r="D59" t="s">
        <v>165</v>
      </c>
      <c r="E59">
        <v>21435997</v>
      </c>
      <c r="F59" t="s">
        <v>165</v>
      </c>
      <c r="G59" s="2">
        <v>46023</v>
      </c>
      <c r="H59">
        <v>347</v>
      </c>
      <c r="I59" t="s">
        <v>174</v>
      </c>
      <c r="J59" t="s">
        <v>175</v>
      </c>
      <c r="K59" s="2">
        <v>45979</v>
      </c>
      <c r="L59" s="2">
        <v>46023</v>
      </c>
      <c r="M59">
        <v>8</v>
      </c>
      <c r="N59" t="s">
        <v>31</v>
      </c>
      <c r="O59" t="s">
        <v>168</v>
      </c>
      <c r="P59" t="s">
        <v>31</v>
      </c>
      <c r="Q59" t="s">
        <v>48</v>
      </c>
      <c r="R59" s="2">
        <v>46023</v>
      </c>
      <c r="T59" t="s">
        <v>169</v>
      </c>
      <c r="U59">
        <v>1</v>
      </c>
      <c r="W59" t="s">
        <v>176</v>
      </c>
    </row>
    <row r="60" spans="1:23" x14ac:dyDescent="0.3">
      <c r="A60" t="s">
        <v>86</v>
      </c>
      <c r="B60" t="s">
        <v>25</v>
      </c>
      <c r="C60">
        <v>21435997</v>
      </c>
      <c r="D60" t="s">
        <v>165</v>
      </c>
      <c r="E60">
        <v>21435997</v>
      </c>
      <c r="F60" t="s">
        <v>165</v>
      </c>
      <c r="G60" s="2">
        <v>46023</v>
      </c>
      <c r="H60">
        <v>347</v>
      </c>
      <c r="I60" t="s">
        <v>177</v>
      </c>
      <c r="J60" t="s">
        <v>178</v>
      </c>
      <c r="K60" s="2">
        <v>45996</v>
      </c>
      <c r="L60" s="2">
        <v>46023</v>
      </c>
      <c r="M60">
        <v>2</v>
      </c>
      <c r="N60" t="s">
        <v>81</v>
      </c>
      <c r="O60" t="s">
        <v>47</v>
      </c>
      <c r="P60" t="s">
        <v>31</v>
      </c>
      <c r="Q60" t="s">
        <v>179</v>
      </c>
      <c r="R60" s="2">
        <v>46023</v>
      </c>
      <c r="T60" t="s">
        <v>49</v>
      </c>
      <c r="U60">
        <v>242</v>
      </c>
      <c r="W60" t="s">
        <v>180</v>
      </c>
    </row>
    <row r="61" spans="1:23" x14ac:dyDescent="0.3">
      <c r="A61" t="s">
        <v>86</v>
      </c>
      <c r="B61" t="s">
        <v>25</v>
      </c>
      <c r="C61">
        <v>21435997</v>
      </c>
      <c r="D61" t="s">
        <v>165</v>
      </c>
      <c r="E61">
        <v>21435997</v>
      </c>
      <c r="F61" t="s">
        <v>165</v>
      </c>
      <c r="G61" s="2">
        <v>46023</v>
      </c>
      <c r="H61">
        <v>347</v>
      </c>
      <c r="I61" t="s">
        <v>181</v>
      </c>
      <c r="J61" t="s">
        <v>182</v>
      </c>
      <c r="K61" s="2">
        <v>45981</v>
      </c>
      <c r="L61" s="2">
        <v>46023</v>
      </c>
      <c r="M61">
        <v>11</v>
      </c>
      <c r="N61" t="s">
        <v>31</v>
      </c>
      <c r="O61" t="s">
        <v>141</v>
      </c>
      <c r="P61" t="s">
        <v>31</v>
      </c>
      <c r="Q61" t="s">
        <v>83</v>
      </c>
      <c r="R61" s="2">
        <v>46023</v>
      </c>
      <c r="T61" t="s">
        <v>142</v>
      </c>
      <c r="U61">
        <v>6</v>
      </c>
      <c r="W61" t="s">
        <v>183</v>
      </c>
    </row>
    <row r="62" spans="1:23" x14ac:dyDescent="0.3">
      <c r="A62" t="s">
        <v>86</v>
      </c>
      <c r="B62" t="s">
        <v>25</v>
      </c>
      <c r="C62">
        <v>21435997</v>
      </c>
      <c r="D62" t="s">
        <v>165</v>
      </c>
      <c r="E62">
        <v>21435997</v>
      </c>
      <c r="F62" t="s">
        <v>165</v>
      </c>
      <c r="G62" s="2">
        <v>46023</v>
      </c>
      <c r="H62">
        <v>347</v>
      </c>
      <c r="I62" t="s">
        <v>184</v>
      </c>
      <c r="J62" t="s">
        <v>185</v>
      </c>
      <c r="K62" s="2">
        <v>45996</v>
      </c>
      <c r="L62" s="2">
        <v>46023</v>
      </c>
      <c r="M62">
        <v>2</v>
      </c>
      <c r="N62" t="s">
        <v>31</v>
      </c>
      <c r="O62" t="s">
        <v>47</v>
      </c>
      <c r="P62" t="s">
        <v>31</v>
      </c>
      <c r="Q62" t="s">
        <v>48</v>
      </c>
      <c r="R62" s="2">
        <v>46023</v>
      </c>
      <c r="T62" t="s">
        <v>49</v>
      </c>
      <c r="U62">
        <v>205</v>
      </c>
      <c r="W62" t="s">
        <v>186</v>
      </c>
    </row>
    <row r="63" spans="1:23" x14ac:dyDescent="0.3">
      <c r="A63" t="s">
        <v>86</v>
      </c>
      <c r="B63" t="s">
        <v>25</v>
      </c>
      <c r="C63">
        <v>21435997</v>
      </c>
      <c r="D63" t="s">
        <v>165</v>
      </c>
      <c r="E63">
        <v>21435997</v>
      </c>
      <c r="F63" t="s">
        <v>165</v>
      </c>
      <c r="G63" s="2">
        <v>46023</v>
      </c>
      <c r="H63">
        <v>347</v>
      </c>
      <c r="I63" t="s">
        <v>187</v>
      </c>
      <c r="J63" t="s">
        <v>188</v>
      </c>
      <c r="K63" s="2">
        <v>45996</v>
      </c>
      <c r="L63" s="2">
        <v>46023</v>
      </c>
      <c r="M63">
        <v>2</v>
      </c>
      <c r="N63" t="s">
        <v>31</v>
      </c>
      <c r="O63" t="s">
        <v>47</v>
      </c>
      <c r="P63" t="s">
        <v>31</v>
      </c>
      <c r="Q63" t="s">
        <v>48</v>
      </c>
      <c r="R63" s="2">
        <v>46023</v>
      </c>
      <c r="T63" t="s">
        <v>49</v>
      </c>
      <c r="U63">
        <v>205</v>
      </c>
      <c r="W63" t="s">
        <v>189</v>
      </c>
    </row>
    <row r="64" spans="1:23" x14ac:dyDescent="0.3">
      <c r="A64" t="s">
        <v>86</v>
      </c>
      <c r="B64" t="s">
        <v>25</v>
      </c>
      <c r="C64">
        <v>21749481</v>
      </c>
      <c r="D64" t="s">
        <v>190</v>
      </c>
      <c r="E64">
        <v>21749481</v>
      </c>
      <c r="F64" t="s">
        <v>190</v>
      </c>
      <c r="G64" s="2">
        <v>46023</v>
      </c>
      <c r="H64">
        <v>347</v>
      </c>
      <c r="I64" t="s">
        <v>191</v>
      </c>
      <c r="J64" t="s">
        <v>192</v>
      </c>
      <c r="K64" s="2">
        <v>46000</v>
      </c>
      <c r="L64" s="2">
        <v>46023</v>
      </c>
      <c r="M64">
        <v>2</v>
      </c>
      <c r="N64" t="s">
        <v>31</v>
      </c>
      <c r="O64" t="s">
        <v>97</v>
      </c>
      <c r="P64" t="s">
        <v>31</v>
      </c>
      <c r="Q64" t="s">
        <v>32</v>
      </c>
      <c r="R64" s="2">
        <v>46023</v>
      </c>
      <c r="T64" t="s">
        <v>98</v>
      </c>
      <c r="U64">
        <v>26</v>
      </c>
      <c r="W64" t="s">
        <v>193</v>
      </c>
    </row>
    <row r="65" spans="1:23" x14ac:dyDescent="0.3">
      <c r="A65" t="s">
        <v>86</v>
      </c>
      <c r="B65" t="s">
        <v>25</v>
      </c>
      <c r="C65">
        <v>21749481</v>
      </c>
      <c r="D65" t="s">
        <v>190</v>
      </c>
      <c r="E65">
        <v>21749481</v>
      </c>
      <c r="F65" t="s">
        <v>190</v>
      </c>
      <c r="G65" s="2">
        <v>46023</v>
      </c>
      <c r="H65">
        <v>347</v>
      </c>
      <c r="I65" t="s">
        <v>194</v>
      </c>
      <c r="J65" t="s">
        <v>195</v>
      </c>
      <c r="K65" s="2">
        <v>45996</v>
      </c>
      <c r="L65" s="2">
        <v>46023</v>
      </c>
      <c r="M65">
        <v>2</v>
      </c>
      <c r="N65" t="s">
        <v>29</v>
      </c>
      <c r="O65" t="s">
        <v>30</v>
      </c>
      <c r="P65" t="s">
        <v>31</v>
      </c>
      <c r="Q65" t="s">
        <v>109</v>
      </c>
      <c r="R65" s="2">
        <v>46023</v>
      </c>
      <c r="T65" t="s">
        <v>104</v>
      </c>
      <c r="U65">
        <v>2</v>
      </c>
      <c r="W65" t="s">
        <v>196</v>
      </c>
    </row>
    <row r="66" spans="1:23" x14ac:dyDescent="0.3">
      <c r="A66" t="s">
        <v>86</v>
      </c>
      <c r="B66" t="s">
        <v>25</v>
      </c>
      <c r="C66">
        <v>21749481</v>
      </c>
      <c r="D66" t="s">
        <v>190</v>
      </c>
      <c r="E66">
        <v>21749481</v>
      </c>
      <c r="F66" t="s">
        <v>190</v>
      </c>
      <c r="G66" s="2">
        <v>46023</v>
      </c>
      <c r="H66">
        <v>347</v>
      </c>
      <c r="I66" t="s">
        <v>197</v>
      </c>
      <c r="J66" t="s">
        <v>198</v>
      </c>
      <c r="K66" s="2">
        <v>45986</v>
      </c>
      <c r="L66" s="2">
        <v>46023</v>
      </c>
      <c r="M66">
        <v>6</v>
      </c>
      <c r="N66" t="s">
        <v>31</v>
      </c>
      <c r="O66" t="s">
        <v>157</v>
      </c>
      <c r="P66" t="s">
        <v>31</v>
      </c>
      <c r="Q66" t="s">
        <v>48</v>
      </c>
      <c r="R66" s="2">
        <v>46023</v>
      </c>
      <c r="T66" t="s">
        <v>163</v>
      </c>
      <c r="U66">
        <v>2</v>
      </c>
      <c r="W66" t="s">
        <v>199</v>
      </c>
    </row>
    <row r="67" spans="1:23" x14ac:dyDescent="0.3">
      <c r="A67" t="s">
        <v>86</v>
      </c>
      <c r="B67" t="s">
        <v>25</v>
      </c>
      <c r="C67">
        <v>8325282</v>
      </c>
      <c r="D67" t="s">
        <v>200</v>
      </c>
      <c r="E67">
        <v>8325282</v>
      </c>
      <c r="F67" t="s">
        <v>200</v>
      </c>
      <c r="G67" s="2">
        <v>46023</v>
      </c>
      <c r="H67">
        <v>347</v>
      </c>
      <c r="I67" t="s">
        <v>201</v>
      </c>
      <c r="J67" t="s">
        <v>202</v>
      </c>
      <c r="K67" s="2">
        <v>45954</v>
      </c>
      <c r="L67" s="2">
        <v>46023</v>
      </c>
      <c r="M67">
        <v>2</v>
      </c>
      <c r="N67" t="s">
        <v>31</v>
      </c>
      <c r="O67" t="s">
        <v>30</v>
      </c>
      <c r="P67" t="s">
        <v>31</v>
      </c>
      <c r="Q67" t="s">
        <v>203</v>
      </c>
      <c r="R67" s="2">
        <v>46023</v>
      </c>
      <c r="T67" t="s">
        <v>204</v>
      </c>
      <c r="U67">
        <v>1</v>
      </c>
      <c r="W67" t="s">
        <v>205</v>
      </c>
    </row>
    <row r="68" spans="1:23" x14ac:dyDescent="0.3">
      <c r="A68" t="s">
        <v>86</v>
      </c>
      <c r="B68" t="s">
        <v>25</v>
      </c>
      <c r="C68">
        <v>9213293</v>
      </c>
      <c r="D68" t="s">
        <v>206</v>
      </c>
      <c r="E68">
        <v>9213293</v>
      </c>
      <c r="F68" t="s">
        <v>206</v>
      </c>
      <c r="G68" s="2">
        <v>46023</v>
      </c>
      <c r="H68">
        <v>347</v>
      </c>
      <c r="I68" t="s">
        <v>207</v>
      </c>
      <c r="J68" t="s">
        <v>208</v>
      </c>
      <c r="K68" s="2">
        <v>45977</v>
      </c>
      <c r="L68" s="2">
        <v>46023</v>
      </c>
      <c r="M68">
        <v>5</v>
      </c>
      <c r="N68" t="s">
        <v>31</v>
      </c>
      <c r="O68" t="s">
        <v>209</v>
      </c>
      <c r="P68" t="s">
        <v>31</v>
      </c>
      <c r="Q68" t="s">
        <v>210</v>
      </c>
      <c r="R68" s="2">
        <v>46023</v>
      </c>
      <c r="T68" t="s">
        <v>211</v>
      </c>
      <c r="U68">
        <v>5</v>
      </c>
      <c r="W68" t="s">
        <v>212</v>
      </c>
    </row>
    <row r="69" spans="1:23" x14ac:dyDescent="0.3">
      <c r="A69" t="s">
        <v>86</v>
      </c>
      <c r="B69" t="s">
        <v>35</v>
      </c>
      <c r="C69">
        <v>16212649</v>
      </c>
      <c r="D69" t="s">
        <v>87</v>
      </c>
      <c r="E69">
        <v>20411454</v>
      </c>
      <c r="F69" t="s">
        <v>0</v>
      </c>
      <c r="G69" s="2">
        <v>46023</v>
      </c>
      <c r="H69">
        <v>150</v>
      </c>
      <c r="I69" t="s">
        <v>88</v>
      </c>
      <c r="J69" t="s">
        <v>89</v>
      </c>
      <c r="K69" s="2">
        <v>45971</v>
      </c>
      <c r="L69" s="2">
        <v>46023</v>
      </c>
      <c r="M69">
        <v>9</v>
      </c>
      <c r="N69" t="s">
        <v>31</v>
      </c>
      <c r="O69" t="s">
        <v>90</v>
      </c>
      <c r="P69" t="s">
        <v>31</v>
      </c>
      <c r="Q69" t="s">
        <v>91</v>
      </c>
      <c r="R69" s="2">
        <v>46023</v>
      </c>
      <c r="T69" t="s">
        <v>92</v>
      </c>
      <c r="U69">
        <v>21</v>
      </c>
      <c r="W69" t="s">
        <v>93</v>
      </c>
    </row>
    <row r="70" spans="1:23" x14ac:dyDescent="0.3">
      <c r="A70" t="s">
        <v>86</v>
      </c>
      <c r="B70" t="s">
        <v>35</v>
      </c>
      <c r="C70">
        <v>16912722</v>
      </c>
      <c r="D70" t="s">
        <v>94</v>
      </c>
      <c r="E70">
        <v>20411454</v>
      </c>
      <c r="F70" t="s">
        <v>0</v>
      </c>
      <c r="G70" s="2">
        <v>46023</v>
      </c>
      <c r="H70">
        <v>150</v>
      </c>
      <c r="I70" t="s">
        <v>95</v>
      </c>
      <c r="J70" t="s">
        <v>96</v>
      </c>
      <c r="K70" s="2">
        <v>45997</v>
      </c>
      <c r="L70" s="2">
        <v>46023</v>
      </c>
      <c r="M70">
        <v>2</v>
      </c>
      <c r="N70" t="s">
        <v>31</v>
      </c>
      <c r="O70" t="s">
        <v>97</v>
      </c>
      <c r="P70" t="s">
        <v>31</v>
      </c>
      <c r="Q70" t="s">
        <v>55</v>
      </c>
      <c r="R70" s="2">
        <v>46023</v>
      </c>
      <c r="T70" t="s">
        <v>98</v>
      </c>
      <c r="U70">
        <v>1</v>
      </c>
      <c r="W70" t="s">
        <v>99</v>
      </c>
    </row>
    <row r="71" spans="1:23" x14ac:dyDescent="0.3">
      <c r="A71" t="s">
        <v>86</v>
      </c>
      <c r="B71" t="s">
        <v>35</v>
      </c>
      <c r="C71">
        <v>17126004</v>
      </c>
      <c r="D71" t="s">
        <v>100</v>
      </c>
      <c r="E71">
        <v>20411454</v>
      </c>
      <c r="F71" t="s">
        <v>0</v>
      </c>
      <c r="G71" s="2">
        <v>46023</v>
      </c>
      <c r="H71">
        <v>150</v>
      </c>
      <c r="I71" t="s">
        <v>101</v>
      </c>
      <c r="J71" t="s">
        <v>102</v>
      </c>
      <c r="K71" s="2">
        <v>45998</v>
      </c>
      <c r="L71" s="2">
        <v>46023</v>
      </c>
      <c r="M71">
        <v>2</v>
      </c>
      <c r="O71" t="s">
        <v>30</v>
      </c>
      <c r="P71" t="s">
        <v>31</v>
      </c>
      <c r="Q71" t="s">
        <v>103</v>
      </c>
      <c r="R71" s="2">
        <v>46023</v>
      </c>
      <c r="T71" t="s">
        <v>104</v>
      </c>
      <c r="U71">
        <v>11</v>
      </c>
      <c r="W71" t="s">
        <v>105</v>
      </c>
    </row>
    <row r="72" spans="1:23" x14ac:dyDescent="0.3">
      <c r="A72" t="s">
        <v>86</v>
      </c>
      <c r="B72" t="s">
        <v>35</v>
      </c>
      <c r="C72">
        <v>18754354</v>
      </c>
      <c r="D72" t="s">
        <v>106</v>
      </c>
      <c r="E72">
        <v>20411454</v>
      </c>
      <c r="F72" t="s">
        <v>0</v>
      </c>
      <c r="G72" s="2">
        <v>46023</v>
      </c>
      <c r="H72">
        <v>150</v>
      </c>
      <c r="I72" t="s">
        <v>107</v>
      </c>
      <c r="J72" t="s">
        <v>108</v>
      </c>
      <c r="K72" s="2">
        <v>45997</v>
      </c>
      <c r="L72" s="2">
        <v>46023</v>
      </c>
      <c r="M72">
        <v>2</v>
      </c>
      <c r="N72" t="s">
        <v>31</v>
      </c>
      <c r="O72" t="s">
        <v>30</v>
      </c>
      <c r="P72" t="s">
        <v>31</v>
      </c>
      <c r="Q72" t="s">
        <v>109</v>
      </c>
      <c r="R72" s="2">
        <v>46023</v>
      </c>
      <c r="T72" t="s">
        <v>104</v>
      </c>
      <c r="U72">
        <v>2</v>
      </c>
      <c r="W72" t="s">
        <v>110</v>
      </c>
    </row>
    <row r="73" spans="1:23" x14ac:dyDescent="0.3">
      <c r="A73" t="s">
        <v>86</v>
      </c>
      <c r="B73" t="s">
        <v>35</v>
      </c>
      <c r="C73">
        <v>18754354</v>
      </c>
      <c r="D73" t="s">
        <v>106</v>
      </c>
      <c r="E73">
        <v>20411454</v>
      </c>
      <c r="F73" t="s">
        <v>0</v>
      </c>
      <c r="G73" s="2">
        <v>46023</v>
      </c>
      <c r="H73">
        <v>150</v>
      </c>
      <c r="I73" t="s">
        <v>111</v>
      </c>
      <c r="J73" t="s">
        <v>112</v>
      </c>
      <c r="K73" s="2">
        <v>45951</v>
      </c>
      <c r="L73" s="2">
        <v>46023</v>
      </c>
      <c r="M73">
        <v>2</v>
      </c>
      <c r="N73" t="s">
        <v>31</v>
      </c>
      <c r="O73" t="s">
        <v>30</v>
      </c>
      <c r="P73" t="s">
        <v>31</v>
      </c>
      <c r="Q73" t="s">
        <v>113</v>
      </c>
      <c r="R73" s="2">
        <v>46023</v>
      </c>
      <c r="T73" t="s">
        <v>104</v>
      </c>
      <c r="U73">
        <v>9</v>
      </c>
      <c r="W73" t="s">
        <v>114</v>
      </c>
    </row>
    <row r="74" spans="1:23" x14ac:dyDescent="0.3">
      <c r="A74" t="s">
        <v>86</v>
      </c>
      <c r="B74" t="s">
        <v>35</v>
      </c>
      <c r="C74">
        <v>18754354</v>
      </c>
      <c r="D74" t="s">
        <v>106</v>
      </c>
      <c r="E74">
        <v>20411454</v>
      </c>
      <c r="F74" t="s">
        <v>0</v>
      </c>
      <c r="G74" s="2">
        <v>46023</v>
      </c>
      <c r="H74">
        <v>150</v>
      </c>
      <c r="I74" t="s">
        <v>115</v>
      </c>
      <c r="J74" t="s">
        <v>116</v>
      </c>
      <c r="K74" s="2">
        <v>45998</v>
      </c>
      <c r="L74" s="2">
        <v>46023</v>
      </c>
      <c r="M74">
        <v>2</v>
      </c>
      <c r="N74" t="s">
        <v>81</v>
      </c>
      <c r="O74" t="s">
        <v>70</v>
      </c>
      <c r="P74" t="s">
        <v>31</v>
      </c>
      <c r="Q74" t="s">
        <v>48</v>
      </c>
      <c r="R74" s="2">
        <v>46023</v>
      </c>
      <c r="T74" t="s">
        <v>72</v>
      </c>
      <c r="U74">
        <v>18</v>
      </c>
      <c r="W74" t="s">
        <v>117</v>
      </c>
    </row>
    <row r="75" spans="1:23" x14ac:dyDescent="0.3">
      <c r="A75" t="s">
        <v>86</v>
      </c>
      <c r="B75" t="s">
        <v>35</v>
      </c>
      <c r="C75">
        <v>19200754</v>
      </c>
      <c r="D75" t="s">
        <v>118</v>
      </c>
      <c r="E75">
        <v>20411454</v>
      </c>
      <c r="F75" t="s">
        <v>0</v>
      </c>
      <c r="G75" s="2">
        <v>46023</v>
      </c>
      <c r="H75">
        <v>150</v>
      </c>
      <c r="I75" t="s">
        <v>119</v>
      </c>
      <c r="J75" t="s">
        <v>120</v>
      </c>
      <c r="K75" s="2">
        <v>45980</v>
      </c>
      <c r="L75" s="2">
        <v>46023</v>
      </c>
      <c r="M75">
        <v>7</v>
      </c>
      <c r="N75" t="s">
        <v>31</v>
      </c>
      <c r="O75" t="s">
        <v>30</v>
      </c>
      <c r="P75" t="s">
        <v>31</v>
      </c>
      <c r="Q75" t="s">
        <v>113</v>
      </c>
      <c r="R75" s="2">
        <v>46023</v>
      </c>
      <c r="T75" t="s">
        <v>104</v>
      </c>
      <c r="U75">
        <v>9</v>
      </c>
      <c r="W75" t="s">
        <v>121</v>
      </c>
    </row>
    <row r="76" spans="1:23" x14ac:dyDescent="0.3">
      <c r="A76" t="s">
        <v>86</v>
      </c>
      <c r="B76" t="s">
        <v>35</v>
      </c>
      <c r="C76">
        <v>19200754</v>
      </c>
      <c r="D76" t="s">
        <v>118</v>
      </c>
      <c r="E76">
        <v>20411454</v>
      </c>
      <c r="F76" t="s">
        <v>0</v>
      </c>
      <c r="G76" s="2">
        <v>46023</v>
      </c>
      <c r="H76">
        <v>150</v>
      </c>
      <c r="I76" t="s">
        <v>122</v>
      </c>
      <c r="J76" t="s">
        <v>123</v>
      </c>
      <c r="K76" s="2">
        <v>45975</v>
      </c>
      <c r="L76" s="2">
        <v>46023</v>
      </c>
      <c r="M76">
        <v>4</v>
      </c>
      <c r="N76" t="s">
        <v>31</v>
      </c>
      <c r="O76" t="s">
        <v>30</v>
      </c>
      <c r="P76" t="s">
        <v>31</v>
      </c>
      <c r="Q76" t="s">
        <v>113</v>
      </c>
      <c r="R76" s="2">
        <v>46023</v>
      </c>
      <c r="T76" t="s">
        <v>104</v>
      </c>
      <c r="U76">
        <v>9</v>
      </c>
      <c r="W76" t="s">
        <v>124</v>
      </c>
    </row>
    <row r="77" spans="1:23" x14ac:dyDescent="0.3">
      <c r="A77" t="s">
        <v>86</v>
      </c>
      <c r="B77" t="s">
        <v>35</v>
      </c>
      <c r="C77">
        <v>19200754</v>
      </c>
      <c r="D77" t="s">
        <v>118</v>
      </c>
      <c r="E77">
        <v>20411454</v>
      </c>
      <c r="F77" t="s">
        <v>0</v>
      </c>
      <c r="G77" s="2">
        <v>46023</v>
      </c>
      <c r="H77">
        <v>150</v>
      </c>
      <c r="I77" t="s">
        <v>125</v>
      </c>
      <c r="J77" t="s">
        <v>126</v>
      </c>
      <c r="K77" s="2">
        <v>45975</v>
      </c>
      <c r="L77" s="2">
        <v>46023</v>
      </c>
      <c r="M77">
        <v>5</v>
      </c>
      <c r="N77" t="s">
        <v>31</v>
      </c>
      <c r="O77" t="s">
        <v>30</v>
      </c>
      <c r="P77" t="s">
        <v>31</v>
      </c>
      <c r="Q77" t="s">
        <v>113</v>
      </c>
      <c r="R77" s="2">
        <v>46023</v>
      </c>
      <c r="T77" t="s">
        <v>104</v>
      </c>
      <c r="U77">
        <v>9</v>
      </c>
      <c r="W77" t="s">
        <v>127</v>
      </c>
    </row>
    <row r="78" spans="1:23" x14ac:dyDescent="0.3">
      <c r="A78" t="s">
        <v>86</v>
      </c>
      <c r="B78" t="s">
        <v>35</v>
      </c>
      <c r="C78">
        <v>19200754</v>
      </c>
      <c r="D78" t="s">
        <v>118</v>
      </c>
      <c r="E78">
        <v>20411454</v>
      </c>
      <c r="F78" t="s">
        <v>0</v>
      </c>
      <c r="G78" s="2">
        <v>46023</v>
      </c>
      <c r="H78">
        <v>150</v>
      </c>
      <c r="I78" t="s">
        <v>128</v>
      </c>
      <c r="J78" t="s">
        <v>129</v>
      </c>
      <c r="K78" s="2">
        <v>45980</v>
      </c>
      <c r="L78" s="2">
        <v>46023</v>
      </c>
      <c r="M78">
        <v>3</v>
      </c>
      <c r="N78" t="s">
        <v>31</v>
      </c>
      <c r="O78" t="s">
        <v>30</v>
      </c>
      <c r="P78" t="s">
        <v>31</v>
      </c>
      <c r="Q78" t="s">
        <v>113</v>
      </c>
      <c r="R78" s="2">
        <v>46023</v>
      </c>
      <c r="T78" t="s">
        <v>104</v>
      </c>
      <c r="U78">
        <v>9</v>
      </c>
      <c r="W78" t="s">
        <v>130</v>
      </c>
    </row>
    <row r="79" spans="1:23" x14ac:dyDescent="0.3">
      <c r="A79" t="s">
        <v>86</v>
      </c>
      <c r="B79" t="s">
        <v>35</v>
      </c>
      <c r="C79">
        <v>19279958</v>
      </c>
      <c r="D79" t="s">
        <v>131</v>
      </c>
      <c r="E79">
        <v>20411454</v>
      </c>
      <c r="F79" t="s">
        <v>0</v>
      </c>
      <c r="G79" s="2">
        <v>46023</v>
      </c>
      <c r="H79">
        <v>150</v>
      </c>
      <c r="I79" t="s">
        <v>132</v>
      </c>
      <c r="J79" t="s">
        <v>133</v>
      </c>
      <c r="K79" s="2">
        <v>46002</v>
      </c>
      <c r="L79" s="2">
        <v>46023</v>
      </c>
      <c r="M79">
        <v>2</v>
      </c>
      <c r="N79" t="s">
        <v>29</v>
      </c>
      <c r="O79" t="s">
        <v>134</v>
      </c>
      <c r="P79" t="s">
        <v>31</v>
      </c>
      <c r="Q79" t="s">
        <v>135</v>
      </c>
      <c r="R79" s="2">
        <v>46023</v>
      </c>
      <c r="T79" t="s">
        <v>136</v>
      </c>
      <c r="U79">
        <v>10</v>
      </c>
      <c r="W79" t="s">
        <v>137</v>
      </c>
    </row>
    <row r="80" spans="1:23" x14ac:dyDescent="0.3">
      <c r="A80" t="s">
        <v>86</v>
      </c>
      <c r="B80" t="s">
        <v>35</v>
      </c>
      <c r="C80">
        <v>19491313</v>
      </c>
      <c r="D80" t="s">
        <v>138</v>
      </c>
      <c r="E80">
        <v>20411454</v>
      </c>
      <c r="F80" t="s">
        <v>0</v>
      </c>
      <c r="G80" s="2">
        <v>46023</v>
      </c>
      <c r="H80">
        <v>150</v>
      </c>
      <c r="I80" t="s">
        <v>139</v>
      </c>
      <c r="J80" t="s">
        <v>140</v>
      </c>
      <c r="K80" s="2">
        <v>45945</v>
      </c>
      <c r="L80" s="2">
        <v>46023</v>
      </c>
      <c r="M80">
        <v>2</v>
      </c>
      <c r="N80" t="s">
        <v>31</v>
      </c>
      <c r="O80" t="s">
        <v>141</v>
      </c>
      <c r="P80" t="s">
        <v>31</v>
      </c>
      <c r="Q80" t="s">
        <v>83</v>
      </c>
      <c r="R80" s="2">
        <v>46023</v>
      </c>
      <c r="T80" t="s">
        <v>142</v>
      </c>
      <c r="U80">
        <v>6</v>
      </c>
      <c r="W80" t="s">
        <v>143</v>
      </c>
    </row>
    <row r="81" spans="1:23" x14ac:dyDescent="0.3">
      <c r="A81" t="s">
        <v>86</v>
      </c>
      <c r="B81" t="s">
        <v>35</v>
      </c>
      <c r="C81">
        <v>20003537</v>
      </c>
      <c r="D81" t="s">
        <v>26</v>
      </c>
      <c r="E81">
        <v>20411454</v>
      </c>
      <c r="F81" t="s">
        <v>0</v>
      </c>
      <c r="G81" s="2">
        <v>46023</v>
      </c>
      <c r="H81">
        <v>150</v>
      </c>
      <c r="I81" t="s">
        <v>144</v>
      </c>
      <c r="J81" t="s">
        <v>145</v>
      </c>
      <c r="K81" s="2">
        <v>45951</v>
      </c>
      <c r="L81" s="2">
        <v>46023</v>
      </c>
      <c r="M81">
        <v>3</v>
      </c>
      <c r="N81" t="s">
        <v>31</v>
      </c>
      <c r="O81" t="s">
        <v>30</v>
      </c>
      <c r="P81" t="s">
        <v>31</v>
      </c>
      <c r="Q81" t="s">
        <v>113</v>
      </c>
      <c r="R81" s="2">
        <v>46023</v>
      </c>
      <c r="T81" t="s">
        <v>104</v>
      </c>
      <c r="U81">
        <v>9</v>
      </c>
      <c r="W81" t="s">
        <v>146</v>
      </c>
    </row>
    <row r="82" spans="1:23" x14ac:dyDescent="0.3">
      <c r="A82" t="s">
        <v>86</v>
      </c>
      <c r="B82" t="s">
        <v>35</v>
      </c>
      <c r="C82">
        <v>20003537</v>
      </c>
      <c r="D82" t="s">
        <v>26</v>
      </c>
      <c r="E82">
        <v>20411454</v>
      </c>
      <c r="F82" t="s">
        <v>0</v>
      </c>
      <c r="G82" s="2">
        <v>46023</v>
      </c>
      <c r="H82">
        <v>150</v>
      </c>
      <c r="I82" t="s">
        <v>147</v>
      </c>
      <c r="J82" t="s">
        <v>148</v>
      </c>
      <c r="K82" s="2">
        <v>45998</v>
      </c>
      <c r="L82" s="2">
        <v>46023</v>
      </c>
      <c r="M82">
        <v>2</v>
      </c>
      <c r="N82" t="s">
        <v>81</v>
      </c>
      <c r="O82" t="s">
        <v>70</v>
      </c>
      <c r="P82" t="s">
        <v>31</v>
      </c>
      <c r="Q82" t="s">
        <v>48</v>
      </c>
      <c r="R82" s="2">
        <v>46023</v>
      </c>
      <c r="T82" t="s">
        <v>149</v>
      </c>
      <c r="U82">
        <v>10</v>
      </c>
      <c r="W82" t="s">
        <v>150</v>
      </c>
    </row>
    <row r="83" spans="1:23" x14ac:dyDescent="0.3">
      <c r="A83" t="s">
        <v>86</v>
      </c>
      <c r="B83" t="s">
        <v>35</v>
      </c>
      <c r="C83">
        <v>20003537</v>
      </c>
      <c r="D83" t="s">
        <v>26</v>
      </c>
      <c r="E83">
        <v>20411454</v>
      </c>
      <c r="F83" t="s">
        <v>0</v>
      </c>
      <c r="G83" s="2">
        <v>46023</v>
      </c>
      <c r="H83">
        <v>150</v>
      </c>
      <c r="I83" t="s">
        <v>151</v>
      </c>
      <c r="J83" t="s">
        <v>152</v>
      </c>
      <c r="K83" s="2">
        <v>45973</v>
      </c>
      <c r="L83" s="2">
        <v>46023</v>
      </c>
      <c r="M83">
        <v>5</v>
      </c>
      <c r="N83" t="s">
        <v>31</v>
      </c>
      <c r="O83" t="s">
        <v>30</v>
      </c>
      <c r="P83" t="s">
        <v>31</v>
      </c>
      <c r="Q83" t="s">
        <v>113</v>
      </c>
      <c r="R83" s="2">
        <v>46023</v>
      </c>
      <c r="T83" t="s">
        <v>104</v>
      </c>
      <c r="U83">
        <v>9</v>
      </c>
      <c r="W83" t="s">
        <v>153</v>
      </c>
    </row>
    <row r="84" spans="1:23" x14ac:dyDescent="0.3">
      <c r="A84" t="s">
        <v>86</v>
      </c>
      <c r="B84" t="s">
        <v>35</v>
      </c>
      <c r="C84">
        <v>20724564</v>
      </c>
      <c r="D84" t="s">
        <v>154</v>
      </c>
      <c r="E84">
        <v>20411454</v>
      </c>
      <c r="F84" t="s">
        <v>0</v>
      </c>
      <c r="G84" s="2">
        <v>46023</v>
      </c>
      <c r="H84">
        <v>150</v>
      </c>
      <c r="I84" t="s">
        <v>155</v>
      </c>
      <c r="J84" t="s">
        <v>156</v>
      </c>
      <c r="K84" s="2">
        <v>45949</v>
      </c>
      <c r="L84" s="2">
        <v>46023</v>
      </c>
      <c r="M84">
        <v>4</v>
      </c>
      <c r="N84" t="s">
        <v>31</v>
      </c>
      <c r="O84" t="s">
        <v>157</v>
      </c>
      <c r="P84" t="s">
        <v>31</v>
      </c>
      <c r="Q84" t="s">
        <v>158</v>
      </c>
      <c r="R84" s="2">
        <v>46023</v>
      </c>
      <c r="T84" t="s">
        <v>159</v>
      </c>
      <c r="U84">
        <v>2</v>
      </c>
      <c r="W84" t="s">
        <v>160</v>
      </c>
    </row>
    <row r="85" spans="1:23" x14ac:dyDescent="0.3">
      <c r="A85" t="s">
        <v>86</v>
      </c>
      <c r="B85" t="s">
        <v>35</v>
      </c>
      <c r="C85">
        <v>20724564</v>
      </c>
      <c r="D85" t="s">
        <v>154</v>
      </c>
      <c r="E85">
        <v>20411454</v>
      </c>
      <c r="F85" t="s">
        <v>0</v>
      </c>
      <c r="G85" s="2">
        <v>46023</v>
      </c>
      <c r="H85">
        <v>150</v>
      </c>
      <c r="I85" t="s">
        <v>161</v>
      </c>
      <c r="J85" t="s">
        <v>162</v>
      </c>
      <c r="K85" s="2">
        <v>45998</v>
      </c>
      <c r="L85" s="2">
        <v>46023</v>
      </c>
      <c r="M85">
        <v>2</v>
      </c>
      <c r="N85" t="s">
        <v>31</v>
      </c>
      <c r="O85" t="s">
        <v>157</v>
      </c>
      <c r="P85" t="s">
        <v>31</v>
      </c>
      <c r="Q85" t="s">
        <v>48</v>
      </c>
      <c r="R85" s="2">
        <v>46023</v>
      </c>
      <c r="T85" t="s">
        <v>163</v>
      </c>
      <c r="U85">
        <v>2</v>
      </c>
      <c r="W85" t="s">
        <v>164</v>
      </c>
    </row>
    <row r="86" spans="1:23" x14ac:dyDescent="0.3">
      <c r="A86" t="s">
        <v>86</v>
      </c>
      <c r="B86" t="s">
        <v>35</v>
      </c>
      <c r="C86">
        <v>21435997</v>
      </c>
      <c r="D86" t="s">
        <v>165</v>
      </c>
      <c r="E86">
        <v>20411454</v>
      </c>
      <c r="F86" t="s">
        <v>0</v>
      </c>
      <c r="G86" s="2">
        <v>46023</v>
      </c>
      <c r="H86">
        <v>150</v>
      </c>
      <c r="I86" t="s">
        <v>166</v>
      </c>
      <c r="J86" t="s">
        <v>167</v>
      </c>
      <c r="K86" s="2">
        <v>45986</v>
      </c>
      <c r="L86" s="2">
        <v>46023</v>
      </c>
      <c r="M86">
        <v>2</v>
      </c>
      <c r="N86" t="s">
        <v>31</v>
      </c>
      <c r="O86" t="s">
        <v>168</v>
      </c>
      <c r="P86" t="s">
        <v>31</v>
      </c>
      <c r="Q86" t="s">
        <v>48</v>
      </c>
      <c r="R86" s="2">
        <v>46023</v>
      </c>
      <c r="T86" t="s">
        <v>169</v>
      </c>
      <c r="U86">
        <v>1</v>
      </c>
      <c r="W86" t="s">
        <v>170</v>
      </c>
    </row>
    <row r="87" spans="1:23" x14ac:dyDescent="0.3">
      <c r="A87" t="s">
        <v>86</v>
      </c>
      <c r="B87" t="s">
        <v>35</v>
      </c>
      <c r="C87">
        <v>21435997</v>
      </c>
      <c r="D87" t="s">
        <v>165</v>
      </c>
      <c r="E87">
        <v>20411454</v>
      </c>
      <c r="F87" t="s">
        <v>0</v>
      </c>
      <c r="G87" s="2">
        <v>46023</v>
      </c>
      <c r="H87">
        <v>150</v>
      </c>
      <c r="I87" t="s">
        <v>171</v>
      </c>
      <c r="J87" t="s">
        <v>172</v>
      </c>
      <c r="K87" s="2">
        <v>45995</v>
      </c>
      <c r="L87" s="2">
        <v>46023</v>
      </c>
      <c r="M87">
        <v>2</v>
      </c>
      <c r="N87" t="s">
        <v>31</v>
      </c>
      <c r="O87" t="s">
        <v>47</v>
      </c>
      <c r="P87" t="s">
        <v>31</v>
      </c>
      <c r="Q87" t="s">
        <v>48</v>
      </c>
      <c r="R87" s="2">
        <v>46023</v>
      </c>
      <c r="T87" t="s">
        <v>49</v>
      </c>
      <c r="U87">
        <v>205</v>
      </c>
      <c r="W87" t="s">
        <v>173</v>
      </c>
    </row>
    <row r="88" spans="1:23" x14ac:dyDescent="0.3">
      <c r="A88" t="s">
        <v>86</v>
      </c>
      <c r="B88" t="s">
        <v>35</v>
      </c>
      <c r="C88">
        <v>21435997</v>
      </c>
      <c r="D88" t="s">
        <v>165</v>
      </c>
      <c r="E88">
        <v>20411454</v>
      </c>
      <c r="F88" t="s">
        <v>0</v>
      </c>
      <c r="G88" s="2">
        <v>46023</v>
      </c>
      <c r="H88">
        <v>150</v>
      </c>
      <c r="I88" t="s">
        <v>174</v>
      </c>
      <c r="J88" t="s">
        <v>175</v>
      </c>
      <c r="K88" s="2">
        <v>45979</v>
      </c>
      <c r="L88" s="2">
        <v>46023</v>
      </c>
      <c r="M88">
        <v>8</v>
      </c>
      <c r="N88" t="s">
        <v>31</v>
      </c>
      <c r="O88" t="s">
        <v>168</v>
      </c>
      <c r="P88" t="s">
        <v>31</v>
      </c>
      <c r="Q88" t="s">
        <v>48</v>
      </c>
      <c r="R88" s="2">
        <v>46023</v>
      </c>
      <c r="T88" t="s">
        <v>169</v>
      </c>
      <c r="U88">
        <v>1</v>
      </c>
      <c r="W88" t="s">
        <v>176</v>
      </c>
    </row>
    <row r="89" spans="1:23" x14ac:dyDescent="0.3">
      <c r="A89" t="s">
        <v>86</v>
      </c>
      <c r="B89" t="s">
        <v>35</v>
      </c>
      <c r="C89">
        <v>21435997</v>
      </c>
      <c r="D89" t="s">
        <v>165</v>
      </c>
      <c r="E89">
        <v>20411454</v>
      </c>
      <c r="F89" t="s">
        <v>0</v>
      </c>
      <c r="G89" s="2">
        <v>46023</v>
      </c>
      <c r="H89">
        <v>150</v>
      </c>
      <c r="I89" t="s">
        <v>177</v>
      </c>
      <c r="J89" t="s">
        <v>178</v>
      </c>
      <c r="K89" s="2">
        <v>45996</v>
      </c>
      <c r="L89" s="2">
        <v>46023</v>
      </c>
      <c r="M89">
        <v>2</v>
      </c>
      <c r="N89" t="s">
        <v>81</v>
      </c>
      <c r="O89" t="s">
        <v>47</v>
      </c>
      <c r="P89" t="s">
        <v>31</v>
      </c>
      <c r="Q89" t="s">
        <v>179</v>
      </c>
      <c r="R89" s="2">
        <v>46023</v>
      </c>
      <c r="T89" t="s">
        <v>49</v>
      </c>
      <c r="U89">
        <v>242</v>
      </c>
      <c r="W89" t="s">
        <v>180</v>
      </c>
    </row>
    <row r="90" spans="1:23" x14ac:dyDescent="0.3">
      <c r="A90" t="s">
        <v>86</v>
      </c>
      <c r="B90" t="s">
        <v>35</v>
      </c>
      <c r="C90">
        <v>21435997</v>
      </c>
      <c r="D90" t="s">
        <v>165</v>
      </c>
      <c r="E90">
        <v>20411454</v>
      </c>
      <c r="F90" t="s">
        <v>0</v>
      </c>
      <c r="G90" s="2">
        <v>46023</v>
      </c>
      <c r="H90">
        <v>150</v>
      </c>
      <c r="I90" t="s">
        <v>181</v>
      </c>
      <c r="J90" t="s">
        <v>182</v>
      </c>
      <c r="K90" s="2">
        <v>45981</v>
      </c>
      <c r="L90" s="2">
        <v>46023</v>
      </c>
      <c r="M90">
        <v>11</v>
      </c>
      <c r="N90" t="s">
        <v>31</v>
      </c>
      <c r="O90" t="s">
        <v>141</v>
      </c>
      <c r="P90" t="s">
        <v>31</v>
      </c>
      <c r="Q90" t="s">
        <v>83</v>
      </c>
      <c r="R90" s="2">
        <v>46023</v>
      </c>
      <c r="T90" t="s">
        <v>142</v>
      </c>
      <c r="U90">
        <v>6</v>
      </c>
      <c r="W90" t="s">
        <v>183</v>
      </c>
    </row>
    <row r="91" spans="1:23" x14ac:dyDescent="0.3">
      <c r="A91" t="s">
        <v>86</v>
      </c>
      <c r="B91" t="s">
        <v>35</v>
      </c>
      <c r="C91">
        <v>21435997</v>
      </c>
      <c r="D91" t="s">
        <v>165</v>
      </c>
      <c r="E91">
        <v>20411454</v>
      </c>
      <c r="F91" t="s">
        <v>0</v>
      </c>
      <c r="G91" s="2">
        <v>46023</v>
      </c>
      <c r="H91">
        <v>150</v>
      </c>
      <c r="I91" t="s">
        <v>184</v>
      </c>
      <c r="J91" t="s">
        <v>185</v>
      </c>
      <c r="K91" s="2">
        <v>45996</v>
      </c>
      <c r="L91" s="2">
        <v>46023</v>
      </c>
      <c r="M91">
        <v>2</v>
      </c>
      <c r="N91" t="s">
        <v>31</v>
      </c>
      <c r="O91" t="s">
        <v>47</v>
      </c>
      <c r="P91" t="s">
        <v>31</v>
      </c>
      <c r="Q91" t="s">
        <v>48</v>
      </c>
      <c r="R91" s="2">
        <v>46023</v>
      </c>
      <c r="T91" t="s">
        <v>49</v>
      </c>
      <c r="U91">
        <v>205</v>
      </c>
      <c r="W91" t="s">
        <v>186</v>
      </c>
    </row>
    <row r="92" spans="1:23" x14ac:dyDescent="0.3">
      <c r="A92" t="s">
        <v>86</v>
      </c>
      <c r="B92" t="s">
        <v>35</v>
      </c>
      <c r="C92">
        <v>21435997</v>
      </c>
      <c r="D92" t="s">
        <v>165</v>
      </c>
      <c r="E92">
        <v>20411454</v>
      </c>
      <c r="F92" t="s">
        <v>0</v>
      </c>
      <c r="G92" s="2">
        <v>46023</v>
      </c>
      <c r="H92">
        <v>150</v>
      </c>
      <c r="I92" t="s">
        <v>187</v>
      </c>
      <c r="J92" t="s">
        <v>188</v>
      </c>
      <c r="K92" s="2">
        <v>45996</v>
      </c>
      <c r="L92" s="2">
        <v>46023</v>
      </c>
      <c r="M92">
        <v>2</v>
      </c>
      <c r="N92" t="s">
        <v>31</v>
      </c>
      <c r="O92" t="s">
        <v>47</v>
      </c>
      <c r="P92" t="s">
        <v>31</v>
      </c>
      <c r="Q92" t="s">
        <v>48</v>
      </c>
      <c r="R92" s="2">
        <v>46023</v>
      </c>
      <c r="T92" t="s">
        <v>49</v>
      </c>
      <c r="U92">
        <v>205</v>
      </c>
      <c r="W92" t="s">
        <v>189</v>
      </c>
    </row>
    <row r="93" spans="1:23" x14ac:dyDescent="0.3">
      <c r="A93" t="s">
        <v>86</v>
      </c>
      <c r="B93" t="s">
        <v>35</v>
      </c>
      <c r="C93">
        <v>21749481</v>
      </c>
      <c r="D93" t="s">
        <v>190</v>
      </c>
      <c r="E93">
        <v>20411454</v>
      </c>
      <c r="F93" t="s">
        <v>0</v>
      </c>
      <c r="G93" s="2">
        <v>46023</v>
      </c>
      <c r="H93">
        <v>150</v>
      </c>
      <c r="I93" t="s">
        <v>191</v>
      </c>
      <c r="J93" t="s">
        <v>192</v>
      </c>
      <c r="K93" s="2">
        <v>46000</v>
      </c>
      <c r="L93" s="2">
        <v>46023</v>
      </c>
      <c r="M93">
        <v>2</v>
      </c>
      <c r="N93" t="s">
        <v>31</v>
      </c>
      <c r="O93" t="s">
        <v>97</v>
      </c>
      <c r="P93" t="s">
        <v>31</v>
      </c>
      <c r="Q93" t="s">
        <v>32</v>
      </c>
      <c r="R93" s="2">
        <v>46023</v>
      </c>
      <c r="T93" t="s">
        <v>98</v>
      </c>
      <c r="U93">
        <v>26</v>
      </c>
      <c r="W93" t="s">
        <v>193</v>
      </c>
    </row>
    <row r="94" spans="1:23" x14ac:dyDescent="0.3">
      <c r="A94" t="s">
        <v>86</v>
      </c>
      <c r="B94" t="s">
        <v>35</v>
      </c>
      <c r="C94">
        <v>21749481</v>
      </c>
      <c r="D94" t="s">
        <v>190</v>
      </c>
      <c r="E94">
        <v>20411454</v>
      </c>
      <c r="F94" t="s">
        <v>0</v>
      </c>
      <c r="G94" s="2">
        <v>46023</v>
      </c>
      <c r="H94">
        <v>150</v>
      </c>
      <c r="I94" t="s">
        <v>194</v>
      </c>
      <c r="J94" t="s">
        <v>195</v>
      </c>
      <c r="K94" s="2">
        <v>45996</v>
      </c>
      <c r="L94" s="2">
        <v>46023</v>
      </c>
      <c r="M94">
        <v>2</v>
      </c>
      <c r="N94" t="s">
        <v>29</v>
      </c>
      <c r="O94" t="s">
        <v>30</v>
      </c>
      <c r="P94" t="s">
        <v>31</v>
      </c>
      <c r="Q94" t="s">
        <v>109</v>
      </c>
      <c r="R94" s="2">
        <v>46023</v>
      </c>
      <c r="T94" t="s">
        <v>104</v>
      </c>
      <c r="U94">
        <v>2</v>
      </c>
      <c r="W94" t="s">
        <v>196</v>
      </c>
    </row>
    <row r="95" spans="1:23" x14ac:dyDescent="0.3">
      <c r="A95" t="s">
        <v>86</v>
      </c>
      <c r="B95" t="s">
        <v>35</v>
      </c>
      <c r="C95">
        <v>21749481</v>
      </c>
      <c r="D95" t="s">
        <v>190</v>
      </c>
      <c r="E95">
        <v>20411454</v>
      </c>
      <c r="F95" t="s">
        <v>0</v>
      </c>
      <c r="G95" s="2">
        <v>46023</v>
      </c>
      <c r="H95">
        <v>150</v>
      </c>
      <c r="I95" t="s">
        <v>197</v>
      </c>
      <c r="J95" t="s">
        <v>198</v>
      </c>
      <c r="K95" s="2">
        <v>45986</v>
      </c>
      <c r="L95" s="2">
        <v>46023</v>
      </c>
      <c r="M95">
        <v>6</v>
      </c>
      <c r="N95" t="s">
        <v>31</v>
      </c>
      <c r="O95" t="s">
        <v>157</v>
      </c>
      <c r="P95" t="s">
        <v>31</v>
      </c>
      <c r="Q95" t="s">
        <v>48</v>
      </c>
      <c r="R95" s="2">
        <v>46023</v>
      </c>
      <c r="T95" t="s">
        <v>163</v>
      </c>
      <c r="U95">
        <v>2</v>
      </c>
      <c r="W95" t="s">
        <v>199</v>
      </c>
    </row>
    <row r="96" spans="1:23" x14ac:dyDescent="0.3">
      <c r="A96" t="s">
        <v>86</v>
      </c>
      <c r="B96" t="s">
        <v>35</v>
      </c>
      <c r="C96">
        <v>8325282</v>
      </c>
      <c r="D96" t="s">
        <v>200</v>
      </c>
      <c r="E96">
        <v>20411454</v>
      </c>
      <c r="F96" t="s">
        <v>0</v>
      </c>
      <c r="G96" s="2">
        <v>46023</v>
      </c>
      <c r="H96">
        <v>150</v>
      </c>
      <c r="I96" t="s">
        <v>201</v>
      </c>
      <c r="J96" t="s">
        <v>202</v>
      </c>
      <c r="K96" s="2">
        <v>45954</v>
      </c>
      <c r="L96" s="2">
        <v>46023</v>
      </c>
      <c r="M96">
        <v>2</v>
      </c>
      <c r="N96" t="s">
        <v>31</v>
      </c>
      <c r="O96" t="s">
        <v>30</v>
      </c>
      <c r="P96" t="s">
        <v>31</v>
      </c>
      <c r="Q96" t="s">
        <v>203</v>
      </c>
      <c r="R96" s="2">
        <v>46023</v>
      </c>
      <c r="T96" t="s">
        <v>204</v>
      </c>
      <c r="U96">
        <v>1</v>
      </c>
      <c r="W96" t="s">
        <v>205</v>
      </c>
    </row>
    <row r="97" spans="1:23" x14ac:dyDescent="0.3">
      <c r="A97" t="s">
        <v>86</v>
      </c>
      <c r="B97" t="s">
        <v>35</v>
      </c>
      <c r="C97">
        <v>9213293</v>
      </c>
      <c r="D97" t="s">
        <v>206</v>
      </c>
      <c r="E97">
        <v>20411454</v>
      </c>
      <c r="F97" t="s">
        <v>0</v>
      </c>
      <c r="G97" s="2">
        <v>46023</v>
      </c>
      <c r="H97">
        <v>150</v>
      </c>
      <c r="I97" t="s">
        <v>207</v>
      </c>
      <c r="J97" t="s">
        <v>208</v>
      </c>
      <c r="K97" s="2">
        <v>45977</v>
      </c>
      <c r="L97" s="2">
        <v>46023</v>
      </c>
      <c r="M97">
        <v>5</v>
      </c>
      <c r="N97" t="s">
        <v>31</v>
      </c>
      <c r="O97" t="s">
        <v>209</v>
      </c>
      <c r="P97" t="s">
        <v>31</v>
      </c>
      <c r="Q97" t="s">
        <v>210</v>
      </c>
      <c r="R97" s="2">
        <v>46023</v>
      </c>
      <c r="T97" t="s">
        <v>211</v>
      </c>
      <c r="U97">
        <v>5</v>
      </c>
      <c r="W97" t="s">
        <v>212</v>
      </c>
    </row>
    <row r="98" spans="1:23" x14ac:dyDescent="0.3">
      <c r="A98" t="s">
        <v>24</v>
      </c>
      <c r="B98" t="s">
        <v>25</v>
      </c>
      <c r="C98">
        <v>18754354</v>
      </c>
      <c r="D98" t="s">
        <v>106</v>
      </c>
      <c r="E98">
        <v>18754354</v>
      </c>
      <c r="F98" t="s">
        <v>106</v>
      </c>
      <c r="G98" s="2">
        <v>46023</v>
      </c>
      <c r="H98">
        <v>347</v>
      </c>
      <c r="I98" t="s">
        <v>115</v>
      </c>
      <c r="J98" t="s">
        <v>116</v>
      </c>
      <c r="K98" s="2">
        <v>45998</v>
      </c>
      <c r="L98" s="2">
        <v>46023</v>
      </c>
      <c r="M98">
        <v>1</v>
      </c>
      <c r="N98" t="s">
        <v>81</v>
      </c>
      <c r="O98" t="s">
        <v>70</v>
      </c>
      <c r="P98" t="s">
        <v>31</v>
      </c>
      <c r="Q98" t="s">
        <v>48</v>
      </c>
      <c r="R98" s="2">
        <v>46023</v>
      </c>
      <c r="T98" t="s">
        <v>72</v>
      </c>
      <c r="U98">
        <v>18</v>
      </c>
      <c r="W98" t="s">
        <v>117</v>
      </c>
    </row>
    <row r="99" spans="1:23" x14ac:dyDescent="0.3">
      <c r="A99" t="s">
        <v>24</v>
      </c>
      <c r="B99" t="s">
        <v>25</v>
      </c>
      <c r="C99">
        <v>19279958</v>
      </c>
      <c r="D99" t="s">
        <v>131</v>
      </c>
      <c r="E99">
        <v>19279958</v>
      </c>
      <c r="F99" t="s">
        <v>131</v>
      </c>
      <c r="G99" s="2">
        <v>46023</v>
      </c>
      <c r="H99">
        <v>347</v>
      </c>
      <c r="I99" t="s">
        <v>132</v>
      </c>
      <c r="J99" t="s">
        <v>133</v>
      </c>
      <c r="K99" s="2">
        <v>46002</v>
      </c>
      <c r="L99" s="2">
        <v>46023</v>
      </c>
      <c r="M99">
        <v>1</v>
      </c>
      <c r="N99" t="s">
        <v>29</v>
      </c>
      <c r="O99" t="s">
        <v>134</v>
      </c>
      <c r="P99" t="s">
        <v>31</v>
      </c>
      <c r="Q99" t="s">
        <v>135</v>
      </c>
      <c r="R99" s="2">
        <v>46023</v>
      </c>
      <c r="T99" t="s">
        <v>136</v>
      </c>
      <c r="U99">
        <v>10</v>
      </c>
      <c r="W99" t="s">
        <v>137</v>
      </c>
    </row>
    <row r="100" spans="1:23" x14ac:dyDescent="0.3">
      <c r="A100" t="s">
        <v>24</v>
      </c>
      <c r="B100" t="s">
        <v>25</v>
      </c>
      <c r="C100">
        <v>20003537</v>
      </c>
      <c r="D100" t="s">
        <v>26</v>
      </c>
      <c r="E100">
        <v>20003537</v>
      </c>
      <c r="F100" t="s">
        <v>26</v>
      </c>
      <c r="G100" s="2">
        <v>46023</v>
      </c>
      <c r="H100">
        <v>347</v>
      </c>
      <c r="I100" t="s">
        <v>147</v>
      </c>
      <c r="J100" t="s">
        <v>148</v>
      </c>
      <c r="K100" s="2">
        <v>45998</v>
      </c>
      <c r="L100" s="2">
        <v>46023</v>
      </c>
      <c r="M100">
        <v>1</v>
      </c>
      <c r="N100" t="s">
        <v>81</v>
      </c>
      <c r="O100" t="s">
        <v>70</v>
      </c>
      <c r="P100" t="s">
        <v>31</v>
      </c>
      <c r="Q100" t="s">
        <v>48</v>
      </c>
      <c r="R100" s="2">
        <v>46023</v>
      </c>
      <c r="T100" t="s">
        <v>149</v>
      </c>
      <c r="U100">
        <v>10</v>
      </c>
      <c r="W100" t="s">
        <v>150</v>
      </c>
    </row>
    <row r="101" spans="1:23" x14ac:dyDescent="0.3">
      <c r="A101" t="s">
        <v>24</v>
      </c>
      <c r="B101" t="s">
        <v>25</v>
      </c>
      <c r="C101">
        <v>21435997</v>
      </c>
      <c r="D101" t="s">
        <v>165</v>
      </c>
      <c r="E101">
        <v>21435997</v>
      </c>
      <c r="F101" t="s">
        <v>165</v>
      </c>
      <c r="G101" s="2">
        <v>46023</v>
      </c>
      <c r="H101">
        <v>347</v>
      </c>
      <c r="I101" t="s">
        <v>177</v>
      </c>
      <c r="J101" t="s">
        <v>178</v>
      </c>
      <c r="K101" s="2">
        <v>45996</v>
      </c>
      <c r="L101" s="2">
        <v>46023</v>
      </c>
      <c r="M101">
        <v>1</v>
      </c>
      <c r="N101" t="s">
        <v>81</v>
      </c>
      <c r="O101" t="s">
        <v>47</v>
      </c>
      <c r="P101" t="s">
        <v>31</v>
      </c>
      <c r="Q101" t="s">
        <v>179</v>
      </c>
      <c r="R101" s="2">
        <v>46023</v>
      </c>
      <c r="T101" t="s">
        <v>49</v>
      </c>
      <c r="U101">
        <v>242</v>
      </c>
      <c r="W101" t="s">
        <v>180</v>
      </c>
    </row>
    <row r="102" spans="1:23" x14ac:dyDescent="0.3">
      <c r="A102" t="s">
        <v>24</v>
      </c>
      <c r="B102" t="s">
        <v>25</v>
      </c>
      <c r="C102">
        <v>21749481</v>
      </c>
      <c r="D102" t="s">
        <v>190</v>
      </c>
      <c r="E102">
        <v>21749481</v>
      </c>
      <c r="F102" t="s">
        <v>190</v>
      </c>
      <c r="G102" s="2">
        <v>46023</v>
      </c>
      <c r="H102">
        <v>347</v>
      </c>
      <c r="I102" t="s">
        <v>194</v>
      </c>
      <c r="J102" t="s">
        <v>195</v>
      </c>
      <c r="K102" s="2">
        <v>45996</v>
      </c>
      <c r="L102" s="2">
        <v>46023</v>
      </c>
      <c r="M102">
        <v>1</v>
      </c>
      <c r="N102" t="s">
        <v>29</v>
      </c>
      <c r="O102" t="s">
        <v>30</v>
      </c>
      <c r="P102" t="s">
        <v>31</v>
      </c>
      <c r="Q102" t="s">
        <v>109</v>
      </c>
      <c r="R102" s="2">
        <v>46023</v>
      </c>
      <c r="T102" t="s">
        <v>104</v>
      </c>
      <c r="U102">
        <v>2</v>
      </c>
      <c r="W102" t="s">
        <v>196</v>
      </c>
    </row>
    <row r="103" spans="1:23" x14ac:dyDescent="0.3">
      <c r="A103" t="s">
        <v>86</v>
      </c>
      <c r="B103" t="s">
        <v>25</v>
      </c>
      <c r="C103">
        <v>18201929</v>
      </c>
      <c r="D103" t="s">
        <v>213</v>
      </c>
      <c r="E103">
        <v>18201929</v>
      </c>
      <c r="F103" t="s">
        <v>213</v>
      </c>
      <c r="G103" s="2">
        <v>46023</v>
      </c>
      <c r="H103">
        <v>347</v>
      </c>
      <c r="I103" t="s">
        <v>214</v>
      </c>
      <c r="J103" t="s">
        <v>215</v>
      </c>
      <c r="K103" s="2">
        <v>45992</v>
      </c>
      <c r="L103" s="2">
        <v>46023</v>
      </c>
      <c r="M103">
        <v>2</v>
      </c>
      <c r="N103" t="s">
        <v>31</v>
      </c>
      <c r="O103" t="s">
        <v>54</v>
      </c>
      <c r="P103" t="s">
        <v>31</v>
      </c>
      <c r="Q103" t="s">
        <v>216</v>
      </c>
      <c r="R103" s="2">
        <v>46023</v>
      </c>
      <c r="T103" t="s">
        <v>56</v>
      </c>
      <c r="U103">
        <v>10</v>
      </c>
      <c r="W103" t="s">
        <v>217</v>
      </c>
    </row>
    <row r="104" spans="1:23" x14ac:dyDescent="0.3">
      <c r="A104" t="s">
        <v>86</v>
      </c>
      <c r="B104" t="s">
        <v>35</v>
      </c>
      <c r="C104">
        <v>18201929</v>
      </c>
      <c r="D104" t="s">
        <v>213</v>
      </c>
      <c r="E104">
        <v>20411454</v>
      </c>
      <c r="F104" t="s">
        <v>0</v>
      </c>
      <c r="G104" s="2">
        <v>46023</v>
      </c>
      <c r="H104">
        <v>150</v>
      </c>
      <c r="I104" t="s">
        <v>214</v>
      </c>
      <c r="J104" t="s">
        <v>215</v>
      </c>
      <c r="K104" s="2">
        <v>45992</v>
      </c>
      <c r="L104" s="2">
        <v>46023</v>
      </c>
      <c r="M104">
        <v>2</v>
      </c>
      <c r="N104" t="s">
        <v>31</v>
      </c>
      <c r="O104" t="s">
        <v>54</v>
      </c>
      <c r="P104" t="s">
        <v>31</v>
      </c>
      <c r="Q104" t="s">
        <v>216</v>
      </c>
      <c r="R104" s="2">
        <v>46023</v>
      </c>
      <c r="T104" t="s">
        <v>56</v>
      </c>
      <c r="U104">
        <v>10</v>
      </c>
      <c r="W104" t="s">
        <v>217</v>
      </c>
    </row>
    <row r="105" spans="1:23" x14ac:dyDescent="0.3">
      <c r="A105" t="s">
        <v>24</v>
      </c>
      <c r="B105" t="s">
        <v>25</v>
      </c>
      <c r="C105">
        <v>21749481</v>
      </c>
      <c r="D105" t="s">
        <v>190</v>
      </c>
      <c r="E105">
        <v>21749481</v>
      </c>
      <c r="F105" t="s">
        <v>190</v>
      </c>
      <c r="G105" s="2">
        <v>46023</v>
      </c>
      <c r="H105">
        <v>-636.16999999999996</v>
      </c>
      <c r="I105" t="s">
        <v>194</v>
      </c>
      <c r="J105" t="s">
        <v>195</v>
      </c>
      <c r="K105" s="2">
        <v>45996</v>
      </c>
      <c r="L105" s="2">
        <v>46023</v>
      </c>
      <c r="M105">
        <v>1</v>
      </c>
      <c r="N105" t="s">
        <v>29</v>
      </c>
      <c r="O105" t="s">
        <v>30</v>
      </c>
      <c r="P105" t="s">
        <v>31</v>
      </c>
      <c r="Q105" t="s">
        <v>109</v>
      </c>
      <c r="R105" s="2">
        <v>46023</v>
      </c>
      <c r="S105" s="2">
        <v>46053</v>
      </c>
      <c r="T105" t="s">
        <v>104</v>
      </c>
      <c r="U105">
        <v>2</v>
      </c>
      <c r="W105" t="s">
        <v>196</v>
      </c>
    </row>
    <row r="106" spans="1:23" x14ac:dyDescent="0.3">
      <c r="A106" t="s">
        <v>24</v>
      </c>
      <c r="B106" t="s">
        <v>35</v>
      </c>
      <c r="C106">
        <v>21749481</v>
      </c>
      <c r="D106" t="s">
        <v>190</v>
      </c>
      <c r="E106">
        <v>20411454</v>
      </c>
      <c r="F106" t="s">
        <v>0</v>
      </c>
      <c r="G106" s="2">
        <v>46023</v>
      </c>
      <c r="H106">
        <v>-137.49</v>
      </c>
      <c r="I106" t="s">
        <v>194</v>
      </c>
      <c r="J106" t="s">
        <v>195</v>
      </c>
      <c r="K106" s="2">
        <v>45996</v>
      </c>
      <c r="L106" s="2">
        <v>46023</v>
      </c>
      <c r="M106">
        <v>1</v>
      </c>
      <c r="N106" t="s">
        <v>29</v>
      </c>
      <c r="O106" t="s">
        <v>30</v>
      </c>
      <c r="P106" t="s">
        <v>31</v>
      </c>
      <c r="Q106" t="s">
        <v>109</v>
      </c>
      <c r="R106" s="2">
        <v>46023</v>
      </c>
      <c r="S106" s="2">
        <v>46053</v>
      </c>
      <c r="T106" t="s">
        <v>104</v>
      </c>
      <c r="U106">
        <v>2</v>
      </c>
      <c r="W106" t="s">
        <v>196</v>
      </c>
    </row>
    <row r="107" spans="1:23" x14ac:dyDescent="0.3">
      <c r="A107" t="s">
        <v>86</v>
      </c>
      <c r="B107" t="s">
        <v>25</v>
      </c>
      <c r="C107">
        <v>20003537</v>
      </c>
      <c r="D107" t="s">
        <v>26</v>
      </c>
      <c r="E107">
        <v>20003537</v>
      </c>
      <c r="F107" t="s">
        <v>26</v>
      </c>
      <c r="G107" s="2">
        <v>46023</v>
      </c>
      <c r="H107">
        <v>-318.08</v>
      </c>
      <c r="I107" t="s">
        <v>151</v>
      </c>
      <c r="J107" t="s">
        <v>152</v>
      </c>
      <c r="K107" s="2">
        <v>45973</v>
      </c>
      <c r="L107" s="2">
        <v>46023</v>
      </c>
      <c r="M107">
        <v>5</v>
      </c>
      <c r="N107" t="s">
        <v>31</v>
      </c>
      <c r="O107" t="s">
        <v>30</v>
      </c>
      <c r="P107" t="s">
        <v>31</v>
      </c>
      <c r="Q107" t="s">
        <v>113</v>
      </c>
      <c r="R107" s="2">
        <v>46023</v>
      </c>
      <c r="S107" s="2">
        <v>46053</v>
      </c>
      <c r="T107" t="s">
        <v>104</v>
      </c>
      <c r="U107">
        <v>9</v>
      </c>
      <c r="W107" t="s">
        <v>153</v>
      </c>
    </row>
    <row r="108" spans="1:23" x14ac:dyDescent="0.3">
      <c r="A108" t="s">
        <v>86</v>
      </c>
      <c r="B108" t="s">
        <v>25</v>
      </c>
      <c r="C108">
        <v>8325282</v>
      </c>
      <c r="D108" t="s">
        <v>200</v>
      </c>
      <c r="E108">
        <v>8325282</v>
      </c>
      <c r="F108" t="s">
        <v>200</v>
      </c>
      <c r="G108" s="2">
        <v>46054</v>
      </c>
      <c r="H108">
        <v>318.08</v>
      </c>
      <c r="I108" t="s">
        <v>218</v>
      </c>
      <c r="J108" t="s">
        <v>219</v>
      </c>
      <c r="K108" s="2">
        <v>46028</v>
      </c>
      <c r="L108" s="2">
        <v>46054</v>
      </c>
      <c r="M108">
        <v>2</v>
      </c>
      <c r="N108" t="s">
        <v>31</v>
      </c>
      <c r="O108" t="s">
        <v>30</v>
      </c>
      <c r="P108" t="s">
        <v>31</v>
      </c>
      <c r="Q108" t="s">
        <v>203</v>
      </c>
      <c r="R108" s="2">
        <v>46054</v>
      </c>
      <c r="T108" t="s">
        <v>204</v>
      </c>
      <c r="U108">
        <v>1</v>
      </c>
      <c r="W108" t="s">
        <v>220</v>
      </c>
    </row>
    <row r="109" spans="1:23" x14ac:dyDescent="0.3">
      <c r="A109" t="s">
        <v>86</v>
      </c>
      <c r="B109" t="s">
        <v>25</v>
      </c>
      <c r="C109">
        <v>9213293</v>
      </c>
      <c r="D109" t="s">
        <v>206</v>
      </c>
      <c r="E109">
        <v>9213293</v>
      </c>
      <c r="F109" t="s">
        <v>206</v>
      </c>
      <c r="G109" s="2">
        <v>46054</v>
      </c>
      <c r="H109">
        <v>318.08</v>
      </c>
      <c r="I109" t="s">
        <v>221</v>
      </c>
      <c r="J109" t="s">
        <v>222</v>
      </c>
      <c r="K109" s="2">
        <v>46028</v>
      </c>
      <c r="L109" s="2">
        <v>46054</v>
      </c>
      <c r="M109">
        <v>2</v>
      </c>
      <c r="N109" t="s">
        <v>31</v>
      </c>
      <c r="O109" t="s">
        <v>30</v>
      </c>
      <c r="P109" t="s">
        <v>31</v>
      </c>
      <c r="Q109" t="s">
        <v>203</v>
      </c>
      <c r="R109" s="2">
        <v>46054</v>
      </c>
      <c r="T109" t="s">
        <v>204</v>
      </c>
      <c r="U109">
        <v>1</v>
      </c>
      <c r="W109" t="s">
        <v>223</v>
      </c>
    </row>
    <row r="110" spans="1:23" x14ac:dyDescent="0.3">
      <c r="A110" t="s">
        <v>86</v>
      </c>
      <c r="B110" t="s">
        <v>35</v>
      </c>
      <c r="C110">
        <v>20003537</v>
      </c>
      <c r="D110" t="s">
        <v>26</v>
      </c>
      <c r="E110">
        <v>20411454</v>
      </c>
      <c r="F110" t="s">
        <v>0</v>
      </c>
      <c r="G110" s="2">
        <v>46023</v>
      </c>
      <c r="H110">
        <v>-137.49</v>
      </c>
      <c r="I110" t="s">
        <v>151</v>
      </c>
      <c r="J110" t="s">
        <v>152</v>
      </c>
      <c r="K110" s="2">
        <v>45973</v>
      </c>
      <c r="L110" s="2">
        <v>46023</v>
      </c>
      <c r="M110">
        <v>5</v>
      </c>
      <c r="N110" t="s">
        <v>31</v>
      </c>
      <c r="O110" t="s">
        <v>30</v>
      </c>
      <c r="P110" t="s">
        <v>31</v>
      </c>
      <c r="Q110" t="s">
        <v>113</v>
      </c>
      <c r="R110" s="2">
        <v>46023</v>
      </c>
      <c r="S110" s="2">
        <v>46053</v>
      </c>
      <c r="T110" t="s">
        <v>104</v>
      </c>
      <c r="U110">
        <v>9</v>
      </c>
      <c r="W110" t="s">
        <v>153</v>
      </c>
    </row>
    <row r="111" spans="1:23" x14ac:dyDescent="0.3">
      <c r="A111" t="s">
        <v>86</v>
      </c>
      <c r="B111" t="s">
        <v>35</v>
      </c>
      <c r="C111">
        <v>8325282</v>
      </c>
      <c r="D111" t="s">
        <v>200</v>
      </c>
      <c r="E111">
        <v>20411454</v>
      </c>
      <c r="F111" t="s">
        <v>0</v>
      </c>
      <c r="G111" s="2">
        <v>46054</v>
      </c>
      <c r="H111">
        <v>150</v>
      </c>
      <c r="I111" t="s">
        <v>218</v>
      </c>
      <c r="J111" t="s">
        <v>219</v>
      </c>
      <c r="K111" s="2">
        <v>46028</v>
      </c>
      <c r="L111" s="2">
        <v>46054</v>
      </c>
      <c r="M111">
        <v>2</v>
      </c>
      <c r="N111" t="s">
        <v>31</v>
      </c>
      <c r="O111" t="s">
        <v>30</v>
      </c>
      <c r="P111" t="s">
        <v>31</v>
      </c>
      <c r="Q111" t="s">
        <v>203</v>
      </c>
      <c r="R111" s="2">
        <v>46054</v>
      </c>
      <c r="T111" t="s">
        <v>204</v>
      </c>
      <c r="U111">
        <v>1</v>
      </c>
      <c r="W111" t="s">
        <v>220</v>
      </c>
    </row>
    <row r="112" spans="1:23" x14ac:dyDescent="0.3">
      <c r="A112" t="s">
        <v>86</v>
      </c>
      <c r="B112" t="s">
        <v>35</v>
      </c>
      <c r="C112">
        <v>9213293</v>
      </c>
      <c r="D112" t="s">
        <v>206</v>
      </c>
      <c r="E112">
        <v>20411454</v>
      </c>
      <c r="F112" t="s">
        <v>0</v>
      </c>
      <c r="G112" s="2">
        <v>46054</v>
      </c>
      <c r="H112">
        <v>150</v>
      </c>
      <c r="I112" t="s">
        <v>221</v>
      </c>
      <c r="J112" t="s">
        <v>222</v>
      </c>
      <c r="K112" s="2">
        <v>46028</v>
      </c>
      <c r="L112" s="2">
        <v>46054</v>
      </c>
      <c r="M112">
        <v>2</v>
      </c>
      <c r="N112" t="s">
        <v>31</v>
      </c>
      <c r="O112" t="s">
        <v>30</v>
      </c>
      <c r="P112" t="s">
        <v>31</v>
      </c>
      <c r="Q112" t="s">
        <v>203</v>
      </c>
      <c r="R112" s="2">
        <v>46054</v>
      </c>
      <c r="T112" t="s">
        <v>204</v>
      </c>
      <c r="U112">
        <v>1</v>
      </c>
      <c r="W112" t="s">
        <v>223</v>
      </c>
    </row>
    <row r="113" spans="1:24" x14ac:dyDescent="0.3">
      <c r="A113" t="s">
        <v>86</v>
      </c>
      <c r="C113">
        <v>8325282</v>
      </c>
      <c r="D113" t="s">
        <v>200</v>
      </c>
      <c r="E113">
        <v>8325282</v>
      </c>
      <c r="F113" t="s">
        <v>200</v>
      </c>
      <c r="G113" s="2">
        <v>46023</v>
      </c>
      <c r="H113">
        <v>50</v>
      </c>
      <c r="I113" t="s">
        <v>201</v>
      </c>
      <c r="J113" t="s">
        <v>202</v>
      </c>
      <c r="K113" s="2">
        <v>45954</v>
      </c>
      <c r="L113" s="2">
        <v>46023</v>
      </c>
      <c r="N113" t="s">
        <v>31</v>
      </c>
      <c r="O113" t="s">
        <v>30</v>
      </c>
      <c r="P113" t="s">
        <v>31</v>
      </c>
      <c r="Q113" t="s">
        <v>203</v>
      </c>
      <c r="R113" s="2">
        <v>46023</v>
      </c>
      <c r="T113" t="s">
        <v>204</v>
      </c>
      <c r="U113">
        <v>1</v>
      </c>
      <c r="W113" t="s">
        <v>205</v>
      </c>
      <c r="X113" t="s">
        <v>224</v>
      </c>
    </row>
    <row r="114" spans="1:24" x14ac:dyDescent="0.3">
      <c r="A114" t="s">
        <v>24</v>
      </c>
      <c r="B114" t="s">
        <v>25</v>
      </c>
      <c r="C114">
        <v>21749481</v>
      </c>
      <c r="D114" t="s">
        <v>190</v>
      </c>
      <c r="E114">
        <v>21749481</v>
      </c>
      <c r="F114" t="s">
        <v>190</v>
      </c>
      <c r="G114" s="2">
        <v>46023</v>
      </c>
      <c r="H114">
        <v>-57.83</v>
      </c>
      <c r="I114" t="s">
        <v>194</v>
      </c>
      <c r="J114" t="s">
        <v>195</v>
      </c>
      <c r="K114" s="2">
        <v>45996</v>
      </c>
      <c r="L114" s="2">
        <v>46023</v>
      </c>
      <c r="M114">
        <v>1</v>
      </c>
      <c r="N114" t="s">
        <v>29</v>
      </c>
      <c r="O114" t="s">
        <v>30</v>
      </c>
      <c r="P114" t="s">
        <v>31</v>
      </c>
      <c r="Q114" t="s">
        <v>109</v>
      </c>
      <c r="R114" s="2">
        <v>46023</v>
      </c>
      <c r="S114" s="2">
        <v>46053</v>
      </c>
      <c r="T114" t="s">
        <v>104</v>
      </c>
      <c r="U114">
        <v>2</v>
      </c>
      <c r="W114" t="s">
        <v>196</v>
      </c>
    </row>
    <row r="115" spans="1:24" x14ac:dyDescent="0.3">
      <c r="A115" t="s">
        <v>24</v>
      </c>
      <c r="B115" t="s">
        <v>35</v>
      </c>
      <c r="C115">
        <v>21749481</v>
      </c>
      <c r="D115" t="s">
        <v>190</v>
      </c>
      <c r="E115">
        <v>20411454</v>
      </c>
      <c r="F115" t="s">
        <v>0</v>
      </c>
      <c r="G115" s="2">
        <v>46023</v>
      </c>
      <c r="H115">
        <v>-12.51</v>
      </c>
      <c r="I115" t="s">
        <v>194</v>
      </c>
      <c r="J115" t="s">
        <v>195</v>
      </c>
      <c r="K115" s="2">
        <v>45996</v>
      </c>
      <c r="L115" s="2">
        <v>46023</v>
      </c>
      <c r="M115">
        <v>1</v>
      </c>
      <c r="N115" t="s">
        <v>29</v>
      </c>
      <c r="O115" t="s">
        <v>30</v>
      </c>
      <c r="P115" t="s">
        <v>31</v>
      </c>
      <c r="Q115" t="s">
        <v>109</v>
      </c>
      <c r="R115" s="2">
        <v>46023</v>
      </c>
      <c r="S115" s="2">
        <v>46053</v>
      </c>
      <c r="T115" t="s">
        <v>104</v>
      </c>
      <c r="U115">
        <v>2</v>
      </c>
      <c r="W115" t="s">
        <v>196</v>
      </c>
    </row>
    <row r="116" spans="1:24" x14ac:dyDescent="0.3">
      <c r="A116" t="s">
        <v>86</v>
      </c>
      <c r="B116" t="s">
        <v>25</v>
      </c>
      <c r="C116">
        <v>21104854</v>
      </c>
      <c r="D116" t="s">
        <v>225</v>
      </c>
      <c r="E116">
        <v>21104854</v>
      </c>
      <c r="F116" t="s">
        <v>225</v>
      </c>
      <c r="G116" s="2">
        <v>46054</v>
      </c>
      <c r="H116">
        <v>318.08</v>
      </c>
      <c r="I116" t="s">
        <v>226</v>
      </c>
      <c r="J116" t="s">
        <v>227</v>
      </c>
      <c r="K116" s="2">
        <v>46034</v>
      </c>
      <c r="L116" s="2">
        <v>46054</v>
      </c>
      <c r="M116">
        <v>2</v>
      </c>
      <c r="N116" t="s">
        <v>81</v>
      </c>
      <c r="O116" t="s">
        <v>30</v>
      </c>
      <c r="P116" t="s">
        <v>31</v>
      </c>
      <c r="Q116" t="s">
        <v>203</v>
      </c>
      <c r="R116" s="2">
        <v>46054</v>
      </c>
      <c r="T116" t="s">
        <v>204</v>
      </c>
      <c r="U116">
        <v>1</v>
      </c>
      <c r="W116" t="s">
        <v>228</v>
      </c>
    </row>
    <row r="117" spans="1:24" x14ac:dyDescent="0.3">
      <c r="A117" t="s">
        <v>86</v>
      </c>
      <c r="B117" t="s">
        <v>35</v>
      </c>
      <c r="C117">
        <v>21104854</v>
      </c>
      <c r="D117" t="s">
        <v>225</v>
      </c>
      <c r="E117">
        <v>20411454</v>
      </c>
      <c r="F117" t="s">
        <v>0</v>
      </c>
      <c r="G117" s="2">
        <v>46054</v>
      </c>
      <c r="H117">
        <v>150</v>
      </c>
      <c r="I117" t="s">
        <v>226</v>
      </c>
      <c r="J117" t="s">
        <v>227</v>
      </c>
      <c r="K117" s="2">
        <v>46034</v>
      </c>
      <c r="L117" s="2">
        <v>46054</v>
      </c>
      <c r="M117">
        <v>2</v>
      </c>
      <c r="N117" t="s">
        <v>81</v>
      </c>
      <c r="O117" t="s">
        <v>30</v>
      </c>
      <c r="P117" t="s">
        <v>31</v>
      </c>
      <c r="Q117" t="s">
        <v>203</v>
      </c>
      <c r="R117" s="2">
        <v>46054</v>
      </c>
      <c r="T117" t="s">
        <v>204</v>
      </c>
      <c r="U117">
        <v>1</v>
      </c>
      <c r="W117" t="s">
        <v>228</v>
      </c>
    </row>
    <row r="118" spans="1:24" x14ac:dyDescent="0.3">
      <c r="A118" t="s">
        <v>36</v>
      </c>
      <c r="B118" t="s">
        <v>25</v>
      </c>
      <c r="C118">
        <v>16509456</v>
      </c>
      <c r="D118" t="s">
        <v>229</v>
      </c>
      <c r="E118">
        <v>16509456</v>
      </c>
      <c r="F118" t="s">
        <v>229</v>
      </c>
      <c r="G118" s="2">
        <v>46023</v>
      </c>
      <c r="H118">
        <v>32.58</v>
      </c>
      <c r="I118" t="s">
        <v>230</v>
      </c>
      <c r="J118" t="s">
        <v>231</v>
      </c>
      <c r="K118" s="2">
        <v>45588</v>
      </c>
      <c r="L118" s="2">
        <v>46023</v>
      </c>
      <c r="M118">
        <v>10</v>
      </c>
      <c r="N118" t="s">
        <v>31</v>
      </c>
      <c r="O118" t="s">
        <v>41</v>
      </c>
      <c r="P118" t="s">
        <v>31</v>
      </c>
      <c r="Q118" t="s">
        <v>48</v>
      </c>
      <c r="R118" s="2">
        <v>45658</v>
      </c>
      <c r="T118" t="s">
        <v>232</v>
      </c>
      <c r="U118">
        <v>3</v>
      </c>
      <c r="W118" t="s">
        <v>233</v>
      </c>
    </row>
    <row r="119" spans="1:24" x14ac:dyDescent="0.3">
      <c r="A119" t="s">
        <v>36</v>
      </c>
      <c r="B119" t="s">
        <v>25</v>
      </c>
      <c r="C119">
        <v>17425766</v>
      </c>
      <c r="D119" t="s">
        <v>38</v>
      </c>
      <c r="E119">
        <v>17425766</v>
      </c>
      <c r="F119" t="s">
        <v>38</v>
      </c>
      <c r="G119" s="2">
        <v>46023</v>
      </c>
      <c r="H119">
        <v>28.92</v>
      </c>
      <c r="I119" t="s">
        <v>45</v>
      </c>
      <c r="J119" t="s">
        <v>46</v>
      </c>
      <c r="K119" s="2">
        <v>45216</v>
      </c>
      <c r="L119" s="2">
        <v>45292</v>
      </c>
      <c r="M119">
        <v>6</v>
      </c>
      <c r="N119" t="s">
        <v>31</v>
      </c>
      <c r="O119" t="s">
        <v>47</v>
      </c>
      <c r="P119" t="s">
        <v>31</v>
      </c>
      <c r="Q119" t="s">
        <v>48</v>
      </c>
      <c r="R119" s="2">
        <v>44197</v>
      </c>
      <c r="T119" t="s">
        <v>49</v>
      </c>
      <c r="U119">
        <v>196</v>
      </c>
      <c r="W119" t="s">
        <v>50</v>
      </c>
    </row>
    <row r="120" spans="1:24" x14ac:dyDescent="0.3">
      <c r="A120" t="s">
        <v>36</v>
      </c>
      <c r="B120" t="s">
        <v>25</v>
      </c>
      <c r="C120">
        <v>18828278</v>
      </c>
      <c r="D120" t="s">
        <v>51</v>
      </c>
      <c r="E120">
        <v>18828278</v>
      </c>
      <c r="F120" t="s">
        <v>51</v>
      </c>
      <c r="G120" s="2">
        <v>46023</v>
      </c>
      <c r="H120">
        <v>0</v>
      </c>
      <c r="I120" t="s">
        <v>234</v>
      </c>
      <c r="J120" t="s">
        <v>235</v>
      </c>
      <c r="K120" s="2">
        <v>46008</v>
      </c>
      <c r="L120" s="2">
        <v>46023</v>
      </c>
      <c r="M120">
        <v>6</v>
      </c>
      <c r="N120" t="s">
        <v>31</v>
      </c>
      <c r="O120" t="s">
        <v>70</v>
      </c>
      <c r="P120" t="s">
        <v>31</v>
      </c>
      <c r="Q120" t="s">
        <v>236</v>
      </c>
      <c r="R120" s="2">
        <v>44256</v>
      </c>
      <c r="T120" t="s">
        <v>149</v>
      </c>
      <c r="U120">
        <v>6</v>
      </c>
      <c r="W120" t="s">
        <v>237</v>
      </c>
    </row>
    <row r="121" spans="1:24" x14ac:dyDescent="0.3">
      <c r="A121" t="s">
        <v>36</v>
      </c>
      <c r="B121" t="s">
        <v>25</v>
      </c>
      <c r="C121">
        <v>18828278</v>
      </c>
      <c r="D121" t="s">
        <v>51</v>
      </c>
      <c r="E121">
        <v>18828278</v>
      </c>
      <c r="F121" t="s">
        <v>51</v>
      </c>
      <c r="G121" s="2">
        <v>46023</v>
      </c>
      <c r="H121">
        <v>0</v>
      </c>
      <c r="I121" t="s">
        <v>52</v>
      </c>
      <c r="J121" t="s">
        <v>53</v>
      </c>
      <c r="K121" s="2">
        <v>45615</v>
      </c>
      <c r="L121" s="2">
        <v>45658</v>
      </c>
      <c r="M121">
        <v>6</v>
      </c>
      <c r="N121" t="s">
        <v>31</v>
      </c>
      <c r="O121" t="s">
        <v>54</v>
      </c>
      <c r="P121" t="s">
        <v>31</v>
      </c>
      <c r="Q121" t="s">
        <v>55</v>
      </c>
      <c r="R121" s="2">
        <v>44287</v>
      </c>
      <c r="T121" t="s">
        <v>56</v>
      </c>
      <c r="U121">
        <v>8</v>
      </c>
      <c r="W121" t="s">
        <v>57</v>
      </c>
    </row>
    <row r="122" spans="1:24" x14ac:dyDescent="0.3">
      <c r="A122" t="s">
        <v>36</v>
      </c>
      <c r="B122" t="s">
        <v>25</v>
      </c>
      <c r="C122">
        <v>19681796</v>
      </c>
      <c r="D122" t="s">
        <v>58</v>
      </c>
      <c r="E122">
        <v>19681796</v>
      </c>
      <c r="F122" t="s">
        <v>58</v>
      </c>
      <c r="G122" s="2">
        <v>46023</v>
      </c>
      <c r="H122">
        <v>28.92</v>
      </c>
      <c r="I122" t="s">
        <v>59</v>
      </c>
      <c r="J122" t="s">
        <v>60</v>
      </c>
      <c r="K122" s="2">
        <v>45633</v>
      </c>
      <c r="L122" s="2">
        <v>45658</v>
      </c>
      <c r="M122">
        <v>16</v>
      </c>
      <c r="N122" t="s">
        <v>31</v>
      </c>
      <c r="O122" t="s">
        <v>47</v>
      </c>
      <c r="P122" t="s">
        <v>31</v>
      </c>
      <c r="Q122" t="s">
        <v>48</v>
      </c>
      <c r="R122" s="2">
        <v>41760</v>
      </c>
      <c r="T122" t="s">
        <v>49</v>
      </c>
      <c r="U122">
        <v>211</v>
      </c>
      <c r="W122" t="s">
        <v>61</v>
      </c>
    </row>
    <row r="123" spans="1:24" x14ac:dyDescent="0.3">
      <c r="A123" t="s">
        <v>36</v>
      </c>
      <c r="B123" t="s">
        <v>25</v>
      </c>
      <c r="C123">
        <v>19681796</v>
      </c>
      <c r="D123" t="s">
        <v>58</v>
      </c>
      <c r="E123">
        <v>19681796</v>
      </c>
      <c r="F123" t="s">
        <v>58</v>
      </c>
      <c r="G123" s="2">
        <v>46023</v>
      </c>
      <c r="H123">
        <v>28.92</v>
      </c>
      <c r="I123" t="s">
        <v>62</v>
      </c>
      <c r="J123" t="s">
        <v>63</v>
      </c>
      <c r="K123" s="2">
        <v>45259</v>
      </c>
      <c r="L123" s="2">
        <v>45292</v>
      </c>
      <c r="M123">
        <v>4</v>
      </c>
      <c r="N123" t="s">
        <v>31</v>
      </c>
      <c r="O123" t="s">
        <v>64</v>
      </c>
      <c r="P123" t="s">
        <v>31</v>
      </c>
      <c r="Q123" t="s">
        <v>65</v>
      </c>
      <c r="R123" s="2">
        <v>45292</v>
      </c>
      <c r="T123" t="s">
        <v>66</v>
      </c>
      <c r="U123">
        <v>1</v>
      </c>
      <c r="W123" t="s">
        <v>67</v>
      </c>
    </row>
    <row r="124" spans="1:24" x14ac:dyDescent="0.3">
      <c r="A124" t="s">
        <v>36</v>
      </c>
      <c r="B124" t="s">
        <v>25</v>
      </c>
      <c r="C124">
        <v>20003537</v>
      </c>
      <c r="D124" t="s">
        <v>26</v>
      </c>
      <c r="E124">
        <v>20003537</v>
      </c>
      <c r="F124" t="s">
        <v>26</v>
      </c>
      <c r="G124" s="2">
        <v>46023</v>
      </c>
      <c r="H124">
        <v>28.92</v>
      </c>
      <c r="I124" t="s">
        <v>27</v>
      </c>
      <c r="J124" t="s">
        <v>28</v>
      </c>
      <c r="K124" s="2">
        <v>45992</v>
      </c>
      <c r="L124" s="2">
        <v>45778</v>
      </c>
      <c r="M124">
        <v>2</v>
      </c>
      <c r="N124" t="s">
        <v>29</v>
      </c>
      <c r="O124" t="s">
        <v>30</v>
      </c>
      <c r="P124" t="s">
        <v>31</v>
      </c>
      <c r="Q124" t="s">
        <v>32</v>
      </c>
      <c r="R124" s="2">
        <v>45778</v>
      </c>
      <c r="T124" t="s">
        <v>33</v>
      </c>
      <c r="U124">
        <v>9</v>
      </c>
      <c r="W124" t="s">
        <v>34</v>
      </c>
    </row>
    <row r="125" spans="1:24" x14ac:dyDescent="0.3">
      <c r="A125" t="s">
        <v>36</v>
      </c>
      <c r="B125" t="s">
        <v>25</v>
      </c>
      <c r="C125">
        <v>8814784</v>
      </c>
      <c r="D125" t="s">
        <v>238</v>
      </c>
      <c r="E125">
        <v>8814784</v>
      </c>
      <c r="F125" t="s">
        <v>238</v>
      </c>
      <c r="G125" s="2">
        <v>46023</v>
      </c>
      <c r="H125">
        <v>28.92</v>
      </c>
      <c r="I125" t="s">
        <v>239</v>
      </c>
      <c r="J125" t="s">
        <v>240</v>
      </c>
      <c r="K125" s="2">
        <v>45992</v>
      </c>
      <c r="L125" s="2">
        <v>46023</v>
      </c>
      <c r="M125">
        <v>15</v>
      </c>
      <c r="N125" t="s">
        <v>31</v>
      </c>
      <c r="O125" t="s">
        <v>30</v>
      </c>
      <c r="P125" t="s">
        <v>31</v>
      </c>
      <c r="Q125" t="s">
        <v>109</v>
      </c>
      <c r="R125" s="2">
        <v>44562</v>
      </c>
      <c r="T125" t="s">
        <v>104</v>
      </c>
      <c r="U125">
        <v>2</v>
      </c>
      <c r="W125" t="s">
        <v>241</v>
      </c>
    </row>
    <row r="126" spans="1:24" x14ac:dyDescent="0.3">
      <c r="A126" t="s">
        <v>36</v>
      </c>
      <c r="B126" t="s">
        <v>25</v>
      </c>
      <c r="C126">
        <v>9213293</v>
      </c>
      <c r="D126" t="s">
        <v>206</v>
      </c>
      <c r="E126">
        <v>9213293</v>
      </c>
      <c r="F126" t="s">
        <v>206</v>
      </c>
      <c r="G126" s="2">
        <v>46023</v>
      </c>
      <c r="H126">
        <v>28.92</v>
      </c>
      <c r="I126" t="s">
        <v>242</v>
      </c>
      <c r="J126" t="s">
        <v>243</v>
      </c>
      <c r="K126" s="2">
        <v>46010</v>
      </c>
      <c r="L126" s="2">
        <v>46023</v>
      </c>
      <c r="M126">
        <v>2</v>
      </c>
      <c r="N126" t="s">
        <v>31</v>
      </c>
      <c r="O126" t="s">
        <v>30</v>
      </c>
      <c r="P126" t="s">
        <v>31</v>
      </c>
      <c r="Q126" t="s">
        <v>32</v>
      </c>
      <c r="R126" s="2">
        <v>45870</v>
      </c>
      <c r="T126" t="s">
        <v>33</v>
      </c>
      <c r="U126">
        <v>9</v>
      </c>
      <c r="W126" t="s">
        <v>244</v>
      </c>
    </row>
    <row r="127" spans="1:24" x14ac:dyDescent="0.3">
      <c r="A127" t="s">
        <v>36</v>
      </c>
      <c r="B127" t="s">
        <v>25</v>
      </c>
      <c r="C127">
        <v>9213293</v>
      </c>
      <c r="D127" t="s">
        <v>206</v>
      </c>
      <c r="E127">
        <v>9213293</v>
      </c>
      <c r="F127" t="s">
        <v>206</v>
      </c>
      <c r="G127" s="2">
        <v>46023</v>
      </c>
      <c r="H127">
        <v>28.92</v>
      </c>
      <c r="I127" t="s">
        <v>245</v>
      </c>
      <c r="J127" t="s">
        <v>246</v>
      </c>
      <c r="K127" s="2">
        <v>45809</v>
      </c>
      <c r="L127" s="2">
        <v>45658</v>
      </c>
      <c r="M127">
        <v>3</v>
      </c>
      <c r="N127" t="s">
        <v>31</v>
      </c>
      <c r="O127" t="s">
        <v>30</v>
      </c>
      <c r="P127" t="s">
        <v>31</v>
      </c>
      <c r="Q127" t="s">
        <v>247</v>
      </c>
      <c r="R127" s="2">
        <v>45658</v>
      </c>
      <c r="T127" t="s">
        <v>33</v>
      </c>
      <c r="U127">
        <v>82</v>
      </c>
      <c r="W127" t="s">
        <v>248</v>
      </c>
    </row>
    <row r="128" spans="1:24" x14ac:dyDescent="0.3">
      <c r="A128" t="s">
        <v>36</v>
      </c>
      <c r="B128" t="s">
        <v>35</v>
      </c>
      <c r="C128">
        <v>18828278</v>
      </c>
      <c r="D128" t="s">
        <v>51</v>
      </c>
      <c r="E128">
        <v>20411454</v>
      </c>
      <c r="F128" t="s">
        <v>0</v>
      </c>
      <c r="G128" s="2">
        <v>46023</v>
      </c>
      <c r="H128">
        <v>0</v>
      </c>
      <c r="I128" t="s">
        <v>234</v>
      </c>
      <c r="J128" t="s">
        <v>235</v>
      </c>
      <c r="K128" s="2">
        <v>46008</v>
      </c>
      <c r="L128" s="2">
        <v>46023</v>
      </c>
      <c r="M128">
        <v>6</v>
      </c>
      <c r="N128" t="s">
        <v>31</v>
      </c>
      <c r="O128" t="s">
        <v>70</v>
      </c>
      <c r="P128" t="s">
        <v>31</v>
      </c>
      <c r="Q128" t="s">
        <v>236</v>
      </c>
      <c r="R128" s="2">
        <v>44256</v>
      </c>
      <c r="T128" t="s">
        <v>149</v>
      </c>
      <c r="U128">
        <v>6</v>
      </c>
      <c r="W128" t="s">
        <v>237</v>
      </c>
    </row>
    <row r="129" spans="1:23" x14ac:dyDescent="0.3">
      <c r="A129" t="s">
        <v>36</v>
      </c>
      <c r="B129" t="s">
        <v>35</v>
      </c>
      <c r="C129">
        <v>20003537</v>
      </c>
      <c r="D129" t="s">
        <v>26</v>
      </c>
      <c r="E129">
        <v>20411454</v>
      </c>
      <c r="F129" t="s">
        <v>0</v>
      </c>
      <c r="G129" s="2">
        <v>46023</v>
      </c>
      <c r="H129">
        <v>12.51</v>
      </c>
      <c r="I129" t="s">
        <v>27</v>
      </c>
      <c r="J129" t="s">
        <v>28</v>
      </c>
      <c r="K129" s="2">
        <v>45992</v>
      </c>
      <c r="L129" s="2">
        <v>45778</v>
      </c>
      <c r="M129">
        <v>2</v>
      </c>
      <c r="N129" t="s">
        <v>29</v>
      </c>
      <c r="O129" t="s">
        <v>30</v>
      </c>
      <c r="P129" t="s">
        <v>31</v>
      </c>
      <c r="Q129" t="s">
        <v>32</v>
      </c>
      <c r="R129" s="2">
        <v>45778</v>
      </c>
      <c r="T129" t="s">
        <v>33</v>
      </c>
      <c r="U129">
        <v>9</v>
      </c>
      <c r="W129" t="s">
        <v>34</v>
      </c>
    </row>
    <row r="130" spans="1:23" x14ac:dyDescent="0.3">
      <c r="A130" t="s">
        <v>36</v>
      </c>
      <c r="B130" t="s">
        <v>35</v>
      </c>
      <c r="C130">
        <v>8814784</v>
      </c>
      <c r="D130" t="s">
        <v>238</v>
      </c>
      <c r="E130">
        <v>20411454</v>
      </c>
      <c r="F130" t="s">
        <v>0</v>
      </c>
      <c r="G130" s="2">
        <v>46023</v>
      </c>
      <c r="H130">
        <v>6.24</v>
      </c>
      <c r="I130" t="s">
        <v>239</v>
      </c>
      <c r="J130" t="s">
        <v>240</v>
      </c>
      <c r="K130" s="2">
        <v>45992</v>
      </c>
      <c r="L130" s="2">
        <v>46023</v>
      </c>
      <c r="M130">
        <v>15</v>
      </c>
      <c r="N130" t="s">
        <v>31</v>
      </c>
      <c r="O130" t="s">
        <v>30</v>
      </c>
      <c r="P130" t="s">
        <v>31</v>
      </c>
      <c r="Q130" t="s">
        <v>109</v>
      </c>
      <c r="R130" s="2">
        <v>44562</v>
      </c>
      <c r="T130" t="s">
        <v>104</v>
      </c>
      <c r="U130">
        <v>2</v>
      </c>
      <c r="W130" t="s">
        <v>241</v>
      </c>
    </row>
    <row r="131" spans="1:23" x14ac:dyDescent="0.3">
      <c r="A131" t="s">
        <v>36</v>
      </c>
      <c r="B131" t="s">
        <v>35</v>
      </c>
      <c r="C131">
        <v>9213293</v>
      </c>
      <c r="D131" t="s">
        <v>206</v>
      </c>
      <c r="E131">
        <v>20411454</v>
      </c>
      <c r="F131" t="s">
        <v>0</v>
      </c>
      <c r="G131" s="2">
        <v>46023</v>
      </c>
      <c r="H131">
        <v>12.51</v>
      </c>
      <c r="I131" t="s">
        <v>242</v>
      </c>
      <c r="J131" t="s">
        <v>243</v>
      </c>
      <c r="K131" s="2">
        <v>46010</v>
      </c>
      <c r="L131" s="2">
        <v>46023</v>
      </c>
      <c r="M131">
        <v>2</v>
      </c>
      <c r="N131" t="s">
        <v>31</v>
      </c>
      <c r="O131" t="s">
        <v>30</v>
      </c>
      <c r="P131" t="s">
        <v>31</v>
      </c>
      <c r="Q131" t="s">
        <v>32</v>
      </c>
      <c r="R131" s="2">
        <v>45870</v>
      </c>
      <c r="T131" t="s">
        <v>33</v>
      </c>
      <c r="U131">
        <v>9</v>
      </c>
      <c r="W131" t="s">
        <v>244</v>
      </c>
    </row>
    <row r="132" spans="1:23" x14ac:dyDescent="0.3">
      <c r="A132" t="s">
        <v>24</v>
      </c>
      <c r="B132" t="s">
        <v>25</v>
      </c>
      <c r="C132">
        <v>21104854</v>
      </c>
      <c r="D132" t="s">
        <v>225</v>
      </c>
      <c r="E132">
        <v>21104854</v>
      </c>
      <c r="F132" t="s">
        <v>225</v>
      </c>
      <c r="G132" s="2">
        <v>46054</v>
      </c>
      <c r="H132">
        <v>318.08999999999997</v>
      </c>
      <c r="I132" t="s">
        <v>226</v>
      </c>
      <c r="J132" t="s">
        <v>227</v>
      </c>
      <c r="K132" s="2">
        <v>46034</v>
      </c>
      <c r="L132" s="2">
        <v>46054</v>
      </c>
      <c r="M132">
        <v>1</v>
      </c>
      <c r="N132" t="s">
        <v>81</v>
      </c>
      <c r="O132" t="s">
        <v>30</v>
      </c>
      <c r="P132" t="s">
        <v>31</v>
      </c>
      <c r="Q132" t="s">
        <v>203</v>
      </c>
      <c r="R132" s="2">
        <v>46054</v>
      </c>
      <c r="T132" t="s">
        <v>204</v>
      </c>
      <c r="U132">
        <v>1</v>
      </c>
      <c r="W132" t="s">
        <v>228</v>
      </c>
    </row>
    <row r="133" spans="1:23" x14ac:dyDescent="0.3">
      <c r="A133" t="s">
        <v>24</v>
      </c>
      <c r="B133" t="s">
        <v>25</v>
      </c>
      <c r="C133">
        <v>8325282</v>
      </c>
      <c r="D133" t="s">
        <v>200</v>
      </c>
      <c r="E133">
        <v>8325282</v>
      </c>
      <c r="F133" t="s">
        <v>200</v>
      </c>
      <c r="G133" s="2">
        <v>46054</v>
      </c>
      <c r="H133">
        <v>318.08999999999997</v>
      </c>
      <c r="I133" t="s">
        <v>218</v>
      </c>
      <c r="J133" t="s">
        <v>219</v>
      </c>
      <c r="K133" s="2">
        <v>46028</v>
      </c>
      <c r="L133" s="2">
        <v>46054</v>
      </c>
      <c r="M133">
        <v>1</v>
      </c>
      <c r="N133" t="s">
        <v>31</v>
      </c>
      <c r="O133" t="s">
        <v>30</v>
      </c>
      <c r="P133" t="s">
        <v>31</v>
      </c>
      <c r="Q133" t="s">
        <v>203</v>
      </c>
      <c r="R133" s="2">
        <v>46054</v>
      </c>
      <c r="T133" t="s">
        <v>204</v>
      </c>
      <c r="U133">
        <v>1</v>
      </c>
      <c r="W133" t="s">
        <v>220</v>
      </c>
    </row>
    <row r="134" spans="1:23" x14ac:dyDescent="0.3">
      <c r="A134" t="s">
        <v>86</v>
      </c>
      <c r="B134" t="s">
        <v>25</v>
      </c>
      <c r="C134">
        <v>16912722</v>
      </c>
      <c r="D134" t="s">
        <v>94</v>
      </c>
      <c r="E134">
        <v>16912722</v>
      </c>
      <c r="F134" t="s">
        <v>94</v>
      </c>
      <c r="G134" s="2">
        <v>46023</v>
      </c>
      <c r="H134">
        <v>-347</v>
      </c>
      <c r="I134" t="s">
        <v>95</v>
      </c>
      <c r="J134" t="s">
        <v>96</v>
      </c>
      <c r="K134" s="2">
        <v>45997</v>
      </c>
      <c r="L134" s="2">
        <v>46023</v>
      </c>
      <c r="M134">
        <v>6</v>
      </c>
      <c r="N134" t="s">
        <v>31</v>
      </c>
      <c r="O134" t="s">
        <v>97</v>
      </c>
      <c r="P134" t="s">
        <v>31</v>
      </c>
      <c r="Q134" t="s">
        <v>55</v>
      </c>
      <c r="R134" s="2">
        <v>46023</v>
      </c>
      <c r="S134" s="2">
        <v>46053</v>
      </c>
      <c r="T134" t="s">
        <v>98</v>
      </c>
      <c r="U134">
        <v>1</v>
      </c>
      <c r="W134" t="s">
        <v>99</v>
      </c>
    </row>
    <row r="135" spans="1:23" x14ac:dyDescent="0.3">
      <c r="A135" t="s">
        <v>86</v>
      </c>
      <c r="B135" t="s">
        <v>25</v>
      </c>
      <c r="C135">
        <v>18754354</v>
      </c>
      <c r="D135" t="s">
        <v>106</v>
      </c>
      <c r="E135">
        <v>18754354</v>
      </c>
      <c r="F135" t="s">
        <v>106</v>
      </c>
      <c r="G135" s="2">
        <v>46023</v>
      </c>
      <c r="H135">
        <v>-347</v>
      </c>
      <c r="I135" t="s">
        <v>107</v>
      </c>
      <c r="J135" t="s">
        <v>108</v>
      </c>
      <c r="K135" s="2">
        <v>45997</v>
      </c>
      <c r="L135" s="2">
        <v>46023</v>
      </c>
      <c r="M135">
        <v>7</v>
      </c>
      <c r="N135" t="s">
        <v>31</v>
      </c>
      <c r="O135" t="s">
        <v>30</v>
      </c>
      <c r="P135" t="s">
        <v>31</v>
      </c>
      <c r="Q135" t="s">
        <v>109</v>
      </c>
      <c r="R135" s="2">
        <v>46023</v>
      </c>
      <c r="S135" s="2">
        <v>46053</v>
      </c>
      <c r="T135" t="s">
        <v>104</v>
      </c>
      <c r="U135">
        <v>2</v>
      </c>
      <c r="W135" t="s">
        <v>110</v>
      </c>
    </row>
    <row r="136" spans="1:23" x14ac:dyDescent="0.3">
      <c r="A136" t="s">
        <v>86</v>
      </c>
      <c r="B136" t="s">
        <v>35</v>
      </c>
      <c r="C136">
        <v>16912722</v>
      </c>
      <c r="D136" t="s">
        <v>94</v>
      </c>
      <c r="E136">
        <v>20411454</v>
      </c>
      <c r="F136" t="s">
        <v>0</v>
      </c>
      <c r="G136" s="2">
        <v>46023</v>
      </c>
      <c r="H136">
        <v>-150</v>
      </c>
      <c r="I136" t="s">
        <v>95</v>
      </c>
      <c r="J136" t="s">
        <v>96</v>
      </c>
      <c r="K136" s="2">
        <v>45997</v>
      </c>
      <c r="L136" s="2">
        <v>46023</v>
      </c>
      <c r="M136">
        <v>6</v>
      </c>
      <c r="N136" t="s">
        <v>31</v>
      </c>
      <c r="O136" t="s">
        <v>97</v>
      </c>
      <c r="P136" t="s">
        <v>31</v>
      </c>
      <c r="Q136" t="s">
        <v>55</v>
      </c>
      <c r="R136" s="2">
        <v>46023</v>
      </c>
      <c r="S136" s="2">
        <v>46053</v>
      </c>
      <c r="T136" t="s">
        <v>98</v>
      </c>
      <c r="U136">
        <v>1</v>
      </c>
      <c r="W136" t="s">
        <v>99</v>
      </c>
    </row>
    <row r="137" spans="1:23" x14ac:dyDescent="0.3">
      <c r="A137" t="s">
        <v>86</v>
      </c>
      <c r="B137" t="s">
        <v>35</v>
      </c>
      <c r="C137">
        <v>18754354</v>
      </c>
      <c r="D137" t="s">
        <v>106</v>
      </c>
      <c r="E137">
        <v>20411454</v>
      </c>
      <c r="F137" t="s">
        <v>0</v>
      </c>
      <c r="G137" s="2">
        <v>46023</v>
      </c>
      <c r="H137">
        <v>-150</v>
      </c>
      <c r="I137" t="s">
        <v>107</v>
      </c>
      <c r="J137" t="s">
        <v>108</v>
      </c>
      <c r="K137" s="2">
        <v>45997</v>
      </c>
      <c r="L137" s="2">
        <v>46023</v>
      </c>
      <c r="M137">
        <v>7</v>
      </c>
      <c r="N137" t="s">
        <v>31</v>
      </c>
      <c r="O137" t="s">
        <v>30</v>
      </c>
      <c r="P137" t="s">
        <v>31</v>
      </c>
      <c r="Q137" t="s">
        <v>109</v>
      </c>
      <c r="R137" s="2">
        <v>46023</v>
      </c>
      <c r="S137" s="2">
        <v>46053</v>
      </c>
      <c r="T137" t="s">
        <v>104</v>
      </c>
      <c r="U137">
        <v>2</v>
      </c>
      <c r="W137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73EA-144C-48FA-9FA1-E4661E843406}">
  <dimension ref="A1:Y127"/>
  <sheetViews>
    <sheetView tabSelected="1" topLeftCell="A47" workbookViewId="0">
      <selection activeCell="O2" sqref="O2:O81"/>
    </sheetView>
  </sheetViews>
  <sheetFormatPr defaultRowHeight="14.4" x14ac:dyDescent="0.3"/>
  <cols>
    <col min="1" max="1" width="13.5546875" customWidth="1"/>
    <col min="2" max="2" width="15" customWidth="1"/>
    <col min="3" max="3" width="11.109375" bestFit="1" customWidth="1"/>
    <col min="4" max="4" width="18.6640625" customWidth="1"/>
    <col min="5" max="5" width="11.77734375" style="4" customWidth="1"/>
    <col min="6" max="6" width="12.21875" customWidth="1"/>
    <col min="7" max="8" width="18" customWidth="1"/>
    <col min="9" max="9" width="20.88671875" bestFit="1" customWidth="1"/>
    <col min="10" max="10" width="18.33203125" style="4" bestFit="1" customWidth="1"/>
    <col min="11" max="11" width="14.44140625" bestFit="1" customWidth="1"/>
    <col min="12" max="12" width="11.33203125" bestFit="1" customWidth="1"/>
    <col min="13" max="13" width="9.5546875" bestFit="1" customWidth="1"/>
    <col min="14" max="14" width="29.6640625" bestFit="1" customWidth="1"/>
    <col min="15" max="15" width="23.44140625" bestFit="1" customWidth="1"/>
  </cols>
  <sheetData>
    <row r="1" spans="1:25" x14ac:dyDescent="0.3">
      <c r="A1" s="1" t="s">
        <v>2</v>
      </c>
      <c r="B1" s="1" t="s">
        <v>3</v>
      </c>
      <c r="C1" s="1" t="s">
        <v>6</v>
      </c>
      <c r="D1" s="1" t="s">
        <v>7</v>
      </c>
      <c r="E1" s="3" t="s">
        <v>8</v>
      </c>
      <c r="F1" s="1" t="s">
        <v>9</v>
      </c>
      <c r="G1" s="1" t="s">
        <v>10</v>
      </c>
      <c r="H1" s="1"/>
      <c r="I1" s="1" t="s">
        <v>11</v>
      </c>
      <c r="J1" s="3" t="s">
        <v>13</v>
      </c>
      <c r="K1" s="1" t="s">
        <v>15</v>
      </c>
      <c r="L1" s="1" t="s">
        <v>16</v>
      </c>
      <c r="M1" s="1" t="s">
        <v>17</v>
      </c>
    </row>
    <row r="2" spans="1:25" s="10" customFormat="1" x14ac:dyDescent="0.3">
      <c r="A2" s="10" t="s">
        <v>24</v>
      </c>
      <c r="B2" s="10" t="s">
        <v>25</v>
      </c>
      <c r="C2" s="10">
        <v>21749481</v>
      </c>
      <c r="D2" s="10" t="s">
        <v>190</v>
      </c>
      <c r="E2" s="11">
        <v>46023</v>
      </c>
      <c r="F2" s="10">
        <v>-694</v>
      </c>
      <c r="G2" s="10" t="s">
        <v>194</v>
      </c>
      <c r="H2" s="10" t="str">
        <f>CONCATENATE(G2,88)</f>
        <v>8U70JY7MM4588</v>
      </c>
      <c r="I2" s="10" t="s">
        <v>195</v>
      </c>
      <c r="J2" s="11">
        <v>46023</v>
      </c>
      <c r="K2" s="10" t="s">
        <v>29</v>
      </c>
      <c r="L2" s="10" t="s">
        <v>30</v>
      </c>
      <c r="M2" s="10" t="s">
        <v>31</v>
      </c>
      <c r="N2" s="10" t="s">
        <v>258</v>
      </c>
      <c r="O2" s="10" t="s">
        <v>259</v>
      </c>
    </row>
    <row r="3" spans="1:25" x14ac:dyDescent="0.3">
      <c r="A3" t="s">
        <v>24</v>
      </c>
      <c r="B3" t="s">
        <v>25</v>
      </c>
      <c r="C3">
        <v>18828278</v>
      </c>
      <c r="D3" t="s">
        <v>51</v>
      </c>
      <c r="E3" s="4">
        <v>46023</v>
      </c>
      <c r="F3">
        <v>694</v>
      </c>
      <c r="G3" t="s">
        <v>79</v>
      </c>
      <c r="H3" t="str">
        <f>CONCATENATE(G3,88)</f>
        <v>3WH2GG0KD1788</v>
      </c>
      <c r="I3" t="s">
        <v>80</v>
      </c>
      <c r="J3" s="4">
        <v>46023</v>
      </c>
      <c r="K3" t="s">
        <v>81</v>
      </c>
      <c r="L3" t="s">
        <v>82</v>
      </c>
      <c r="M3" t="s">
        <v>31</v>
      </c>
      <c r="N3" t="s">
        <v>258</v>
      </c>
      <c r="O3" t="s">
        <v>259</v>
      </c>
    </row>
    <row r="4" spans="1:25" x14ac:dyDescent="0.3">
      <c r="A4" t="s">
        <v>86</v>
      </c>
      <c r="B4" t="s">
        <v>25</v>
      </c>
      <c r="C4">
        <v>16212649</v>
      </c>
      <c r="D4" t="s">
        <v>87</v>
      </c>
      <c r="E4" s="4">
        <v>46023</v>
      </c>
      <c r="F4">
        <v>432</v>
      </c>
      <c r="G4" t="s">
        <v>88</v>
      </c>
      <c r="H4" t="str">
        <f>CONCATENATE(G4,99)</f>
        <v>2TD8YP4RW5799</v>
      </c>
      <c r="I4" t="s">
        <v>89</v>
      </c>
      <c r="J4" s="4">
        <v>46023</v>
      </c>
      <c r="K4" t="s">
        <v>31</v>
      </c>
      <c r="L4" t="s">
        <v>90</v>
      </c>
      <c r="M4" t="s">
        <v>31</v>
      </c>
      <c r="N4" t="s">
        <v>256</v>
      </c>
      <c r="O4" t="s">
        <v>257</v>
      </c>
    </row>
    <row r="5" spans="1:25" x14ac:dyDescent="0.3">
      <c r="A5" s="6" t="s">
        <v>36</v>
      </c>
      <c r="B5" s="6" t="s">
        <v>25</v>
      </c>
      <c r="C5" s="6">
        <v>16509456</v>
      </c>
      <c r="D5" s="6" t="s">
        <v>229</v>
      </c>
      <c r="E5" s="7">
        <v>46023</v>
      </c>
      <c r="F5" s="6">
        <v>32.58</v>
      </c>
      <c r="G5" s="6" t="s">
        <v>230</v>
      </c>
      <c r="H5" t="str">
        <f>CONCATENATE(G5,99)</f>
        <v>5R83P54NJ1399</v>
      </c>
      <c r="I5" s="6" t="s">
        <v>231</v>
      </c>
      <c r="J5" s="7">
        <v>46023</v>
      </c>
      <c r="K5" s="6" t="s">
        <v>31</v>
      </c>
      <c r="L5" s="6" t="s">
        <v>41</v>
      </c>
      <c r="M5" s="6" t="s">
        <v>31</v>
      </c>
      <c r="N5" s="6" t="s">
        <v>264</v>
      </c>
      <c r="O5" s="6" t="s">
        <v>265</v>
      </c>
      <c r="P5" s="6">
        <f>391/12</f>
        <v>32.583333333333336</v>
      </c>
      <c r="Q5" s="6"/>
      <c r="R5" s="6"/>
      <c r="S5" s="6"/>
      <c r="T5" s="6"/>
      <c r="U5" s="6"/>
      <c r="V5" s="6"/>
      <c r="W5" s="6"/>
      <c r="X5" s="6"/>
      <c r="Y5" s="6"/>
    </row>
    <row r="6" spans="1:25" x14ac:dyDescent="0.3">
      <c r="A6" t="s">
        <v>36</v>
      </c>
      <c r="B6" t="s">
        <v>25</v>
      </c>
      <c r="C6" t="s">
        <v>268</v>
      </c>
      <c r="D6" t="s">
        <v>38</v>
      </c>
      <c r="E6" s="4">
        <v>45658</v>
      </c>
      <c r="F6">
        <v>-29.42</v>
      </c>
      <c r="G6" t="s">
        <v>39</v>
      </c>
      <c r="H6" t="str">
        <f>CONCATENATE(G6,9)</f>
        <v>4QK1T20WP089</v>
      </c>
      <c r="I6" t="s">
        <v>40</v>
      </c>
      <c r="J6" s="4">
        <v>44927</v>
      </c>
      <c r="L6" t="s">
        <v>41</v>
      </c>
      <c r="M6" t="s">
        <v>31</v>
      </c>
      <c r="N6" t="s">
        <v>250</v>
      </c>
      <c r="O6" t="s">
        <v>249</v>
      </c>
    </row>
    <row r="7" spans="1:25" x14ac:dyDescent="0.3">
      <c r="A7" t="s">
        <v>36</v>
      </c>
      <c r="B7" t="s">
        <v>25</v>
      </c>
      <c r="C7" t="s">
        <v>268</v>
      </c>
      <c r="D7" t="s">
        <v>38</v>
      </c>
      <c r="E7" s="4">
        <v>45689</v>
      </c>
      <c r="F7">
        <v>-29.42</v>
      </c>
      <c r="G7" t="s">
        <v>39</v>
      </c>
      <c r="H7" t="str">
        <f>CONCATENATE(G7,9)</f>
        <v>4QK1T20WP089</v>
      </c>
      <c r="I7" t="s">
        <v>40</v>
      </c>
      <c r="J7" s="4">
        <v>44927</v>
      </c>
      <c r="L7" t="s">
        <v>41</v>
      </c>
      <c r="M7" t="s">
        <v>31</v>
      </c>
      <c r="N7" t="s">
        <v>250</v>
      </c>
      <c r="O7" t="s">
        <v>249</v>
      </c>
    </row>
    <row r="8" spans="1:25" x14ac:dyDescent="0.3">
      <c r="A8" t="s">
        <v>36</v>
      </c>
      <c r="B8" t="s">
        <v>25</v>
      </c>
      <c r="C8" t="s">
        <v>268</v>
      </c>
      <c r="D8" t="s">
        <v>38</v>
      </c>
      <c r="E8" s="4">
        <v>45717</v>
      </c>
      <c r="F8">
        <v>-29.42</v>
      </c>
      <c r="G8" t="s">
        <v>39</v>
      </c>
      <c r="H8" t="str">
        <f>CONCATENATE(G8,9)</f>
        <v>4QK1T20WP089</v>
      </c>
      <c r="I8" t="s">
        <v>40</v>
      </c>
      <c r="J8" s="4">
        <v>44927</v>
      </c>
      <c r="L8" t="s">
        <v>41</v>
      </c>
      <c r="M8" t="s">
        <v>31</v>
      </c>
      <c r="N8" t="s">
        <v>250</v>
      </c>
      <c r="O8" t="s">
        <v>249</v>
      </c>
    </row>
    <row r="9" spans="1:25" x14ac:dyDescent="0.3">
      <c r="A9" t="s">
        <v>36</v>
      </c>
      <c r="B9" t="s">
        <v>25</v>
      </c>
      <c r="C9" t="s">
        <v>268</v>
      </c>
      <c r="D9" t="s">
        <v>38</v>
      </c>
      <c r="E9" s="4">
        <v>45748</v>
      </c>
      <c r="F9">
        <v>-29.42</v>
      </c>
      <c r="G9" t="s">
        <v>39</v>
      </c>
      <c r="H9" t="str">
        <f>CONCATENATE(G9,9)</f>
        <v>4QK1T20WP089</v>
      </c>
      <c r="I9" t="s">
        <v>40</v>
      </c>
      <c r="J9" s="4">
        <v>44927</v>
      </c>
      <c r="L9" t="s">
        <v>41</v>
      </c>
      <c r="M9" t="s">
        <v>31</v>
      </c>
      <c r="N9" t="s">
        <v>250</v>
      </c>
      <c r="O9" t="s">
        <v>249</v>
      </c>
    </row>
    <row r="10" spans="1:25" x14ac:dyDescent="0.3">
      <c r="A10" t="s">
        <v>36</v>
      </c>
      <c r="B10" t="s">
        <v>25</v>
      </c>
      <c r="C10" t="s">
        <v>268</v>
      </c>
      <c r="D10" t="s">
        <v>38</v>
      </c>
      <c r="E10" s="4">
        <v>45778</v>
      </c>
      <c r="F10">
        <v>-29.42</v>
      </c>
      <c r="G10" t="s">
        <v>39</v>
      </c>
      <c r="H10" t="str">
        <f>CONCATENATE(G10,9)</f>
        <v>4QK1T20WP089</v>
      </c>
      <c r="I10" t="s">
        <v>40</v>
      </c>
      <c r="J10" s="4">
        <v>44927</v>
      </c>
      <c r="L10" t="s">
        <v>41</v>
      </c>
      <c r="M10" t="s">
        <v>31</v>
      </c>
      <c r="N10" t="s">
        <v>250</v>
      </c>
      <c r="O10" t="s">
        <v>249</v>
      </c>
    </row>
    <row r="11" spans="1:25" x14ac:dyDescent="0.3">
      <c r="A11" t="s">
        <v>36</v>
      </c>
      <c r="B11" t="s">
        <v>25</v>
      </c>
      <c r="C11" t="s">
        <v>268</v>
      </c>
      <c r="D11" t="s">
        <v>38</v>
      </c>
      <c r="E11" s="4">
        <v>45809</v>
      </c>
      <c r="F11">
        <v>-29.42</v>
      </c>
      <c r="G11" t="s">
        <v>39</v>
      </c>
      <c r="H11" t="str">
        <f>CONCATENATE(G11,9)</f>
        <v>4QK1T20WP089</v>
      </c>
      <c r="I11" t="s">
        <v>40</v>
      </c>
      <c r="J11" s="4">
        <v>44927</v>
      </c>
      <c r="L11" t="s">
        <v>41</v>
      </c>
      <c r="M11" t="s">
        <v>31</v>
      </c>
      <c r="N11" t="s">
        <v>250</v>
      </c>
      <c r="O11" t="s">
        <v>249</v>
      </c>
    </row>
    <row r="12" spans="1:25" x14ac:dyDescent="0.3">
      <c r="A12" t="s">
        <v>36</v>
      </c>
      <c r="B12" t="s">
        <v>25</v>
      </c>
      <c r="C12" t="s">
        <v>268</v>
      </c>
      <c r="D12" t="s">
        <v>38</v>
      </c>
      <c r="E12" s="4">
        <v>45839</v>
      </c>
      <c r="F12">
        <v>-29.42</v>
      </c>
      <c r="G12" t="s">
        <v>39</v>
      </c>
      <c r="H12" t="str">
        <f>CONCATENATE(G12,9)</f>
        <v>4QK1T20WP089</v>
      </c>
      <c r="I12" t="s">
        <v>40</v>
      </c>
      <c r="J12" s="4">
        <v>44927</v>
      </c>
      <c r="L12" t="s">
        <v>41</v>
      </c>
      <c r="M12" t="s">
        <v>31</v>
      </c>
      <c r="N12" t="s">
        <v>250</v>
      </c>
      <c r="O12" t="s">
        <v>249</v>
      </c>
    </row>
    <row r="13" spans="1:25" x14ac:dyDescent="0.3">
      <c r="A13" t="s">
        <v>36</v>
      </c>
      <c r="B13" t="s">
        <v>25</v>
      </c>
      <c r="C13" t="s">
        <v>268</v>
      </c>
      <c r="D13" t="s">
        <v>38</v>
      </c>
      <c r="E13" s="4">
        <v>45870</v>
      </c>
      <c r="F13">
        <v>-29.42</v>
      </c>
      <c r="G13" t="s">
        <v>39</v>
      </c>
      <c r="H13" t="str">
        <f>CONCATENATE(G13,9)</f>
        <v>4QK1T20WP089</v>
      </c>
      <c r="I13" t="s">
        <v>40</v>
      </c>
      <c r="J13" s="4">
        <v>44927</v>
      </c>
      <c r="L13" t="s">
        <v>41</v>
      </c>
      <c r="M13" t="s">
        <v>31</v>
      </c>
      <c r="N13" t="s">
        <v>250</v>
      </c>
      <c r="O13" t="s">
        <v>249</v>
      </c>
    </row>
    <row r="14" spans="1:25" x14ac:dyDescent="0.3">
      <c r="A14" t="s">
        <v>36</v>
      </c>
      <c r="B14" t="s">
        <v>25</v>
      </c>
      <c r="C14" t="s">
        <v>268</v>
      </c>
      <c r="D14" t="s">
        <v>38</v>
      </c>
      <c r="E14" s="4">
        <v>45901</v>
      </c>
      <c r="F14">
        <v>-29.42</v>
      </c>
      <c r="G14" t="s">
        <v>39</v>
      </c>
      <c r="H14" t="str">
        <f>CONCATENATE(G14,9)</f>
        <v>4QK1T20WP089</v>
      </c>
      <c r="I14" t="s">
        <v>40</v>
      </c>
      <c r="J14" s="4">
        <v>44927</v>
      </c>
      <c r="L14" t="s">
        <v>41</v>
      </c>
      <c r="M14" t="s">
        <v>31</v>
      </c>
      <c r="N14" t="s">
        <v>250</v>
      </c>
      <c r="O14" t="s">
        <v>249</v>
      </c>
    </row>
    <row r="15" spans="1:25" x14ac:dyDescent="0.3">
      <c r="A15" t="s">
        <v>36</v>
      </c>
      <c r="B15" t="s">
        <v>25</v>
      </c>
      <c r="C15" t="s">
        <v>268</v>
      </c>
      <c r="D15" t="s">
        <v>38</v>
      </c>
      <c r="E15" s="4">
        <v>45931</v>
      </c>
      <c r="F15">
        <v>-29.42</v>
      </c>
      <c r="G15" t="s">
        <v>39</v>
      </c>
      <c r="H15" t="str">
        <f>CONCATENATE(G15,9)</f>
        <v>4QK1T20WP089</v>
      </c>
      <c r="I15" t="s">
        <v>40</v>
      </c>
      <c r="J15" s="4">
        <v>44927</v>
      </c>
      <c r="L15" t="s">
        <v>41</v>
      </c>
      <c r="M15" t="s">
        <v>31</v>
      </c>
      <c r="N15" t="s">
        <v>250</v>
      </c>
      <c r="O15" t="s">
        <v>249</v>
      </c>
    </row>
    <row r="16" spans="1:25" x14ac:dyDescent="0.3">
      <c r="A16" t="s">
        <v>36</v>
      </c>
      <c r="B16" t="s">
        <v>25</v>
      </c>
      <c r="C16" t="s">
        <v>268</v>
      </c>
      <c r="D16" t="s">
        <v>38</v>
      </c>
      <c r="E16" s="4">
        <v>45962</v>
      </c>
      <c r="F16">
        <v>26.08</v>
      </c>
      <c r="G16" t="s">
        <v>45</v>
      </c>
      <c r="H16" t="str">
        <f>CONCATENATE(G16,9)</f>
        <v>9MU4EA3KA649</v>
      </c>
      <c r="I16" t="s">
        <v>46</v>
      </c>
      <c r="J16" s="4">
        <v>45292</v>
      </c>
      <c r="K16" t="s">
        <v>31</v>
      </c>
      <c r="L16" t="s">
        <v>47</v>
      </c>
      <c r="M16" t="s">
        <v>31</v>
      </c>
      <c r="N16" t="s">
        <v>260</v>
      </c>
      <c r="O16" t="s">
        <v>261</v>
      </c>
    </row>
    <row r="17" spans="1:25" x14ac:dyDescent="0.3">
      <c r="A17" s="6" t="s">
        <v>24</v>
      </c>
      <c r="B17" s="6" t="s">
        <v>25</v>
      </c>
      <c r="C17" t="s">
        <v>269</v>
      </c>
      <c r="D17" s="6" t="s">
        <v>26</v>
      </c>
      <c r="E17" s="7">
        <v>45778</v>
      </c>
      <c r="F17" s="6">
        <v>52.13</v>
      </c>
      <c r="G17" s="6" t="s">
        <v>27</v>
      </c>
      <c r="H17" t="str">
        <f>CONCATENATE(G17,9)</f>
        <v>8WK6NQ3KA479</v>
      </c>
      <c r="I17" s="6" t="s">
        <v>28</v>
      </c>
      <c r="J17" s="7">
        <v>45778</v>
      </c>
      <c r="K17" s="6" t="s">
        <v>29</v>
      </c>
      <c r="L17" s="6" t="s">
        <v>30</v>
      </c>
      <c r="M17" s="6" t="s">
        <v>31</v>
      </c>
      <c r="N17" s="6" t="s">
        <v>260</v>
      </c>
      <c r="O17" s="6" t="s">
        <v>262</v>
      </c>
      <c r="P17" s="6">
        <f>313/12*2</f>
        <v>52.166666666666664</v>
      </c>
      <c r="Q17" s="6"/>
      <c r="R17" s="6"/>
      <c r="S17" s="6"/>
      <c r="T17" s="6"/>
      <c r="U17" s="6"/>
      <c r="V17" s="6"/>
      <c r="W17" s="6"/>
      <c r="X17" s="6"/>
      <c r="Y17" s="6"/>
    </row>
    <row r="18" spans="1:25" x14ac:dyDescent="0.3">
      <c r="A18" t="s">
        <v>36</v>
      </c>
      <c r="B18" t="s">
        <v>25</v>
      </c>
      <c r="C18">
        <v>19681796</v>
      </c>
      <c r="D18" t="s">
        <v>58</v>
      </c>
      <c r="E18" s="4">
        <v>45962</v>
      </c>
      <c r="F18">
        <v>26.08</v>
      </c>
      <c r="G18" t="s">
        <v>62</v>
      </c>
      <c r="H18" t="str">
        <f>CONCATENATE(G18,9)</f>
        <v>9ED3UU0DK799</v>
      </c>
      <c r="I18" t="s">
        <v>63</v>
      </c>
      <c r="J18" s="4">
        <v>45292</v>
      </c>
      <c r="K18" t="s">
        <v>31</v>
      </c>
      <c r="L18" t="s">
        <v>64</v>
      </c>
      <c r="M18" t="s">
        <v>31</v>
      </c>
      <c r="N18" t="s">
        <v>260</v>
      </c>
      <c r="O18" t="s">
        <v>261</v>
      </c>
    </row>
    <row r="19" spans="1:25" x14ac:dyDescent="0.3">
      <c r="A19" t="s">
        <v>36</v>
      </c>
      <c r="B19" t="s">
        <v>25</v>
      </c>
      <c r="C19">
        <v>19681796</v>
      </c>
      <c r="D19" t="s">
        <v>58</v>
      </c>
      <c r="E19" s="4">
        <v>45962</v>
      </c>
      <c r="F19">
        <v>26.08</v>
      </c>
      <c r="G19" t="s">
        <v>59</v>
      </c>
      <c r="H19" t="str">
        <f>CONCATENATE(G19,9)</f>
        <v>4X05PQ6CY809</v>
      </c>
      <c r="I19" t="s">
        <v>60</v>
      </c>
      <c r="J19" s="4">
        <v>45658</v>
      </c>
      <c r="K19" t="s">
        <v>31</v>
      </c>
      <c r="L19" t="s">
        <v>47</v>
      </c>
      <c r="M19" t="s">
        <v>31</v>
      </c>
      <c r="N19" t="s">
        <v>260</v>
      </c>
      <c r="O19" t="s">
        <v>261</v>
      </c>
    </row>
    <row r="20" spans="1:25" s="9" customFormat="1" x14ac:dyDescent="0.3">
      <c r="A20" s="6" t="s">
        <v>36</v>
      </c>
      <c r="B20" s="6" t="s">
        <v>25</v>
      </c>
      <c r="C20" s="6">
        <v>13496370</v>
      </c>
      <c r="D20" s="6" t="s">
        <v>267</v>
      </c>
      <c r="E20" s="7">
        <v>45962</v>
      </c>
      <c r="F20" s="6">
        <v>26.08</v>
      </c>
      <c r="G20" s="6" t="s">
        <v>68</v>
      </c>
      <c r="H20" t="str">
        <f>CONCATENATE(G20,9)</f>
        <v>8JY2HT0WT219</v>
      </c>
      <c r="I20" s="6" t="s">
        <v>69</v>
      </c>
      <c r="J20" s="7">
        <v>45717</v>
      </c>
      <c r="K20" s="6" t="s">
        <v>31</v>
      </c>
      <c r="L20" s="6" t="s">
        <v>70</v>
      </c>
      <c r="M20" s="6" t="s">
        <v>31</v>
      </c>
      <c r="N20" s="6" t="s">
        <v>260</v>
      </c>
      <c r="O20" s="6" t="s">
        <v>261</v>
      </c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x14ac:dyDescent="0.3">
      <c r="A21" t="s">
        <v>86</v>
      </c>
      <c r="B21" t="s">
        <v>25</v>
      </c>
      <c r="C21">
        <v>16912722</v>
      </c>
      <c r="D21" t="s">
        <v>94</v>
      </c>
      <c r="E21" s="4">
        <v>46023</v>
      </c>
      <c r="F21">
        <v>-347</v>
      </c>
      <c r="G21" t="s">
        <v>95</v>
      </c>
      <c r="H21" t="str">
        <f>CONCATENATE(G21,99)</f>
        <v>5JH4RM5RD8799</v>
      </c>
      <c r="I21" t="s">
        <v>96</v>
      </c>
      <c r="J21" s="4">
        <v>46023</v>
      </c>
      <c r="K21" t="s">
        <v>31</v>
      </c>
      <c r="L21" t="s">
        <v>97</v>
      </c>
      <c r="M21" t="s">
        <v>31</v>
      </c>
      <c r="N21" t="s">
        <v>253</v>
      </c>
      <c r="O21" t="s">
        <v>254</v>
      </c>
    </row>
    <row r="22" spans="1:25" s="6" customFormat="1" x14ac:dyDescent="0.3">
      <c r="A22" t="s">
        <v>86</v>
      </c>
      <c r="B22" t="s">
        <v>25</v>
      </c>
      <c r="C22">
        <v>16912722</v>
      </c>
      <c r="D22" t="s">
        <v>94</v>
      </c>
      <c r="E22" s="4">
        <v>46023</v>
      </c>
      <c r="F22">
        <v>347</v>
      </c>
      <c r="G22" t="s">
        <v>95</v>
      </c>
      <c r="H22" t="str">
        <f>CONCATENATE(G22,99)</f>
        <v>5JH4RM5RD8799</v>
      </c>
      <c r="I22" t="s">
        <v>96</v>
      </c>
      <c r="J22" s="4">
        <v>46023</v>
      </c>
      <c r="K22" t="s">
        <v>31</v>
      </c>
      <c r="L22" t="s">
        <v>97</v>
      </c>
      <c r="M22" t="s">
        <v>31</v>
      </c>
      <c r="N22" t="s">
        <v>253</v>
      </c>
      <c r="O22" t="s">
        <v>254</v>
      </c>
      <c r="P22"/>
      <c r="Q22"/>
      <c r="R22"/>
      <c r="S22"/>
      <c r="T22"/>
      <c r="U22"/>
      <c r="V22"/>
      <c r="W22"/>
      <c r="X22"/>
      <c r="Y22"/>
    </row>
    <row r="23" spans="1:25" s="9" customFormat="1" x14ac:dyDescent="0.3">
      <c r="A23" t="s">
        <v>86</v>
      </c>
      <c r="B23" t="s">
        <v>25</v>
      </c>
      <c r="C23">
        <v>21104854</v>
      </c>
      <c r="D23" t="s">
        <v>225</v>
      </c>
      <c r="E23" s="4">
        <v>46054</v>
      </c>
      <c r="F23">
        <v>318.08</v>
      </c>
      <c r="G23" t="s">
        <v>226</v>
      </c>
      <c r="H23" t="str">
        <f>CONCATENATE(G23,99)</f>
        <v>2J36T36TU8799</v>
      </c>
      <c r="I23" t="s">
        <v>227</v>
      </c>
      <c r="J23" s="4">
        <v>46054</v>
      </c>
      <c r="K23" t="s">
        <v>81</v>
      </c>
      <c r="L23" t="s">
        <v>30</v>
      </c>
      <c r="M23" t="s">
        <v>31</v>
      </c>
      <c r="N23" t="s">
        <v>253</v>
      </c>
      <c r="O23" t="s">
        <v>255</v>
      </c>
      <c r="P23"/>
      <c r="Q23"/>
      <c r="R23"/>
      <c r="S23"/>
      <c r="T23"/>
      <c r="U23"/>
      <c r="V23"/>
      <c r="W23"/>
      <c r="X23"/>
      <c r="Y23"/>
    </row>
    <row r="24" spans="1:25" x14ac:dyDescent="0.3">
      <c r="A24" t="s">
        <v>24</v>
      </c>
      <c r="B24" t="s">
        <v>25</v>
      </c>
      <c r="C24">
        <v>21104854</v>
      </c>
      <c r="D24" t="s">
        <v>225</v>
      </c>
      <c r="E24" s="4">
        <v>46054</v>
      </c>
      <c r="F24">
        <v>318.08999999999997</v>
      </c>
      <c r="G24" t="s">
        <v>226</v>
      </c>
      <c r="H24" t="str">
        <f>CONCATENATE(G24,99)</f>
        <v>2J36T36TU8799</v>
      </c>
      <c r="I24" t="s">
        <v>227</v>
      </c>
      <c r="J24" s="4">
        <v>46054</v>
      </c>
      <c r="K24" t="s">
        <v>81</v>
      </c>
      <c r="L24" t="s">
        <v>30</v>
      </c>
      <c r="M24" t="s">
        <v>31</v>
      </c>
      <c r="N24" t="s">
        <v>253</v>
      </c>
      <c r="O24" t="s">
        <v>255</v>
      </c>
    </row>
    <row r="25" spans="1:25" x14ac:dyDescent="0.3">
      <c r="A25" s="6" t="s">
        <v>36</v>
      </c>
      <c r="B25" s="6" t="s">
        <v>25</v>
      </c>
      <c r="C25" t="s">
        <v>268</v>
      </c>
      <c r="D25" s="6" t="s">
        <v>38</v>
      </c>
      <c r="E25" s="7">
        <v>46023</v>
      </c>
      <c r="F25" s="6">
        <v>28.92</v>
      </c>
      <c r="G25" s="6" t="s">
        <v>45</v>
      </c>
      <c r="H25" t="str">
        <f>CONCATENATE(G25,99)</f>
        <v>9MU4EA3KA6499</v>
      </c>
      <c r="I25" s="6" t="s">
        <v>46</v>
      </c>
      <c r="J25" s="7">
        <v>45292</v>
      </c>
      <c r="K25" s="6" t="s">
        <v>31</v>
      </c>
      <c r="L25" s="6" t="s">
        <v>47</v>
      </c>
      <c r="M25" s="6" t="s">
        <v>31</v>
      </c>
      <c r="N25" s="6" t="s">
        <v>253</v>
      </c>
      <c r="O25" s="6" t="s">
        <v>263</v>
      </c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x14ac:dyDescent="0.3">
      <c r="A26" t="s">
        <v>86</v>
      </c>
      <c r="B26" t="s">
        <v>25</v>
      </c>
      <c r="C26">
        <v>20003537</v>
      </c>
      <c r="D26" t="s">
        <v>26</v>
      </c>
      <c r="E26" s="4">
        <v>46023</v>
      </c>
      <c r="F26">
        <v>-318.08</v>
      </c>
      <c r="G26" t="s">
        <v>151</v>
      </c>
      <c r="H26" t="str">
        <f>CONCATENATE(G26,99)</f>
        <v>9WP1CV2XW3799</v>
      </c>
      <c r="I26" t="s">
        <v>152</v>
      </c>
      <c r="J26" s="4">
        <v>46023</v>
      </c>
      <c r="K26" t="s">
        <v>31</v>
      </c>
      <c r="L26" t="s">
        <v>30</v>
      </c>
      <c r="M26" t="s">
        <v>31</v>
      </c>
      <c r="N26" t="s">
        <v>253</v>
      </c>
      <c r="O26" t="s">
        <v>255</v>
      </c>
      <c r="P26">
        <f>347/12*11</f>
        <v>318.08333333333337</v>
      </c>
    </row>
    <row r="27" spans="1:25" x14ac:dyDescent="0.3">
      <c r="A27" s="6" t="s">
        <v>36</v>
      </c>
      <c r="B27" s="6" t="s">
        <v>25</v>
      </c>
      <c r="C27" t="s">
        <v>269</v>
      </c>
      <c r="D27" s="6" t="s">
        <v>26</v>
      </c>
      <c r="E27" s="7">
        <v>46023</v>
      </c>
      <c r="F27" s="6">
        <v>28.92</v>
      </c>
      <c r="G27" s="6" t="s">
        <v>27</v>
      </c>
      <c r="H27" t="str">
        <f>CONCATENATE(G27,99)</f>
        <v>8WK6NQ3KA4799</v>
      </c>
      <c r="I27" s="6" t="s">
        <v>28</v>
      </c>
      <c r="J27" s="7">
        <v>45778</v>
      </c>
      <c r="K27" s="6" t="s">
        <v>29</v>
      </c>
      <c r="L27" s="6" t="s">
        <v>30</v>
      </c>
      <c r="M27" s="6" t="s">
        <v>31</v>
      </c>
      <c r="N27" s="6" t="s">
        <v>253</v>
      </c>
      <c r="O27" s="6" t="s">
        <v>263</v>
      </c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x14ac:dyDescent="0.3">
      <c r="A28" t="s">
        <v>86</v>
      </c>
      <c r="B28" t="s">
        <v>25</v>
      </c>
      <c r="C28">
        <v>20003537</v>
      </c>
      <c r="D28" t="s">
        <v>26</v>
      </c>
      <c r="E28" s="4">
        <v>46023</v>
      </c>
      <c r="F28">
        <v>347</v>
      </c>
      <c r="G28" t="s">
        <v>147</v>
      </c>
      <c r="H28" t="str">
        <f>CONCATENATE(G28,99)</f>
        <v>7V93VG8QC7999</v>
      </c>
      <c r="I28" t="s">
        <v>148</v>
      </c>
      <c r="J28" s="4">
        <v>46023</v>
      </c>
      <c r="K28" t="s">
        <v>81</v>
      </c>
      <c r="L28" t="s">
        <v>70</v>
      </c>
      <c r="M28" t="s">
        <v>31</v>
      </c>
      <c r="N28" t="s">
        <v>253</v>
      </c>
      <c r="O28" t="s">
        <v>254</v>
      </c>
    </row>
    <row r="29" spans="1:25" x14ac:dyDescent="0.3">
      <c r="A29" t="s">
        <v>24</v>
      </c>
      <c r="B29" t="s">
        <v>25</v>
      </c>
      <c r="C29">
        <v>20003537</v>
      </c>
      <c r="D29" t="s">
        <v>26</v>
      </c>
      <c r="E29" s="4">
        <v>46023</v>
      </c>
      <c r="F29">
        <v>347</v>
      </c>
      <c r="G29" t="s">
        <v>147</v>
      </c>
      <c r="H29" t="str">
        <f>CONCATENATE(G29,99)</f>
        <v>7V93VG8QC7999</v>
      </c>
      <c r="I29" t="s">
        <v>148</v>
      </c>
      <c r="J29" s="4">
        <v>46023</v>
      </c>
      <c r="K29" t="s">
        <v>81</v>
      </c>
      <c r="L29" t="s">
        <v>70</v>
      </c>
      <c r="M29" t="s">
        <v>31</v>
      </c>
      <c r="N29" t="s">
        <v>253</v>
      </c>
      <c r="O29" t="s">
        <v>254</v>
      </c>
    </row>
    <row r="30" spans="1:25" x14ac:dyDescent="0.3">
      <c r="A30" t="s">
        <v>86</v>
      </c>
      <c r="B30" t="s">
        <v>25</v>
      </c>
      <c r="C30">
        <v>20003537</v>
      </c>
      <c r="D30" t="s">
        <v>26</v>
      </c>
      <c r="E30" s="4">
        <v>46023</v>
      </c>
      <c r="F30">
        <v>347</v>
      </c>
      <c r="G30" t="s">
        <v>144</v>
      </c>
      <c r="H30" t="str">
        <f>CONCATENATE(G30,99)</f>
        <v>6Q71D09TY3599</v>
      </c>
      <c r="I30" t="s">
        <v>145</v>
      </c>
      <c r="J30" s="4">
        <v>46023</v>
      </c>
      <c r="K30" t="s">
        <v>31</v>
      </c>
      <c r="L30" t="s">
        <v>30</v>
      </c>
      <c r="M30" t="s">
        <v>31</v>
      </c>
      <c r="N30" t="s">
        <v>253</v>
      </c>
      <c r="O30" t="s">
        <v>254</v>
      </c>
    </row>
    <row r="31" spans="1:25" x14ac:dyDescent="0.3">
      <c r="A31" t="s">
        <v>86</v>
      </c>
      <c r="B31" t="s">
        <v>25</v>
      </c>
      <c r="C31">
        <v>20003537</v>
      </c>
      <c r="D31" t="s">
        <v>26</v>
      </c>
      <c r="E31" s="4">
        <v>46023</v>
      </c>
      <c r="F31">
        <v>347</v>
      </c>
      <c r="G31" t="s">
        <v>151</v>
      </c>
      <c r="H31" t="str">
        <f>CONCATENATE(G31,99)</f>
        <v>9WP1CV2XW3799</v>
      </c>
      <c r="I31" t="s">
        <v>152</v>
      </c>
      <c r="J31" s="4">
        <v>46023</v>
      </c>
      <c r="K31" t="s">
        <v>31</v>
      </c>
      <c r="L31" t="s">
        <v>30</v>
      </c>
      <c r="M31" t="s">
        <v>31</v>
      </c>
      <c r="N31" t="s">
        <v>253</v>
      </c>
      <c r="O31" t="s">
        <v>254</v>
      </c>
    </row>
    <row r="32" spans="1:25" x14ac:dyDescent="0.3">
      <c r="A32" s="6" t="s">
        <v>36</v>
      </c>
      <c r="B32" s="6" t="s">
        <v>25</v>
      </c>
      <c r="C32" s="6">
        <v>19681796</v>
      </c>
      <c r="D32" s="6" t="s">
        <v>58</v>
      </c>
      <c r="E32" s="7">
        <v>46023</v>
      </c>
      <c r="F32" s="6">
        <v>28.92</v>
      </c>
      <c r="G32" s="6" t="s">
        <v>62</v>
      </c>
      <c r="H32" t="str">
        <f>CONCATENATE(G32,99)</f>
        <v>9ED3UU0DK7999</v>
      </c>
      <c r="I32" s="6" t="s">
        <v>63</v>
      </c>
      <c r="J32" s="7">
        <v>45292</v>
      </c>
      <c r="K32" s="6" t="s">
        <v>31</v>
      </c>
      <c r="L32" s="6" t="s">
        <v>64</v>
      </c>
      <c r="M32" s="6" t="s">
        <v>31</v>
      </c>
      <c r="N32" s="6" t="s">
        <v>253</v>
      </c>
      <c r="O32" s="6" t="s">
        <v>263</v>
      </c>
      <c r="P32" s="6">
        <f>347/12</f>
        <v>28.916666666666668</v>
      </c>
      <c r="Q32" s="6"/>
      <c r="R32" s="6"/>
      <c r="S32" s="6"/>
      <c r="T32" s="6"/>
      <c r="U32" s="6"/>
      <c r="V32" s="6"/>
      <c r="W32" s="6"/>
      <c r="X32" s="6"/>
      <c r="Y32" s="6"/>
    </row>
    <row r="33" spans="1:25" x14ac:dyDescent="0.3">
      <c r="A33" s="6" t="s">
        <v>36</v>
      </c>
      <c r="B33" s="6" t="s">
        <v>25</v>
      </c>
      <c r="C33" s="6">
        <v>19681796</v>
      </c>
      <c r="D33" s="6" t="s">
        <v>58</v>
      </c>
      <c r="E33" s="7">
        <v>46023</v>
      </c>
      <c r="F33" s="6">
        <v>28.92</v>
      </c>
      <c r="G33" s="6" t="s">
        <v>59</v>
      </c>
      <c r="H33" t="str">
        <f>CONCATENATE(G33,99)</f>
        <v>4X05PQ6CY8099</v>
      </c>
      <c r="I33" s="6" t="s">
        <v>60</v>
      </c>
      <c r="J33" s="7">
        <v>45658</v>
      </c>
      <c r="K33" s="6" t="s">
        <v>31</v>
      </c>
      <c r="L33" s="6" t="s">
        <v>47</v>
      </c>
      <c r="M33" s="6" t="s">
        <v>31</v>
      </c>
      <c r="N33" s="6" t="s">
        <v>253</v>
      </c>
      <c r="O33" s="6" t="s">
        <v>263</v>
      </c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s="8" customFormat="1" x14ac:dyDescent="0.3">
      <c r="A34" t="s">
        <v>86</v>
      </c>
      <c r="B34" t="s">
        <v>25</v>
      </c>
      <c r="C34">
        <v>21435997</v>
      </c>
      <c r="D34" t="s">
        <v>165</v>
      </c>
      <c r="E34" s="4">
        <v>46023</v>
      </c>
      <c r="F34">
        <v>347</v>
      </c>
      <c r="G34" t="s">
        <v>174</v>
      </c>
      <c r="H34" t="str">
        <f>CONCATENATE(G34,99)</f>
        <v>5KK8EG1KJ5499</v>
      </c>
      <c r="I34" t="s">
        <v>175</v>
      </c>
      <c r="J34" s="4">
        <v>46023</v>
      </c>
      <c r="K34" t="s">
        <v>31</v>
      </c>
      <c r="L34" t="s">
        <v>168</v>
      </c>
      <c r="M34" t="s">
        <v>31</v>
      </c>
      <c r="N34" t="s">
        <v>253</v>
      </c>
      <c r="O34" t="s">
        <v>254</v>
      </c>
      <c r="P34"/>
      <c r="Q34"/>
      <c r="R34"/>
      <c r="S34"/>
      <c r="T34"/>
      <c r="U34"/>
      <c r="V34"/>
      <c r="W34"/>
      <c r="X34"/>
      <c r="Y34"/>
    </row>
    <row r="35" spans="1:25" s="8" customFormat="1" x14ac:dyDescent="0.3">
      <c r="A35" t="s">
        <v>86</v>
      </c>
      <c r="B35" t="s">
        <v>25</v>
      </c>
      <c r="C35">
        <v>21435997</v>
      </c>
      <c r="D35" t="s">
        <v>165</v>
      </c>
      <c r="E35" s="4">
        <v>46023</v>
      </c>
      <c r="F35">
        <v>347</v>
      </c>
      <c r="G35" t="s">
        <v>171</v>
      </c>
      <c r="H35" t="str">
        <f>CONCATENATE(G35,99)</f>
        <v>5CW1G24TT3999</v>
      </c>
      <c r="I35" t="s">
        <v>172</v>
      </c>
      <c r="J35" s="4">
        <v>46023</v>
      </c>
      <c r="K35" t="s">
        <v>31</v>
      </c>
      <c r="L35" t="s">
        <v>47</v>
      </c>
      <c r="M35" t="s">
        <v>31</v>
      </c>
      <c r="N35" t="s">
        <v>253</v>
      </c>
      <c r="O35" t="s">
        <v>254</v>
      </c>
      <c r="P35"/>
      <c r="Q35"/>
      <c r="R35"/>
      <c r="S35"/>
      <c r="T35"/>
      <c r="U35"/>
      <c r="V35"/>
      <c r="W35"/>
      <c r="X35"/>
      <c r="Y35"/>
    </row>
    <row r="36" spans="1:25" x14ac:dyDescent="0.3">
      <c r="A36" t="s">
        <v>86</v>
      </c>
      <c r="B36" t="s">
        <v>25</v>
      </c>
      <c r="C36">
        <v>21435997</v>
      </c>
      <c r="D36" t="s">
        <v>165</v>
      </c>
      <c r="E36" s="4">
        <v>46023</v>
      </c>
      <c r="F36">
        <v>347</v>
      </c>
      <c r="G36" t="s">
        <v>184</v>
      </c>
      <c r="H36" t="str">
        <f>CONCATENATE(G36,99)</f>
        <v>7M41GH7AR9699</v>
      </c>
      <c r="I36" t="s">
        <v>185</v>
      </c>
      <c r="J36" s="4">
        <v>46023</v>
      </c>
      <c r="K36" t="s">
        <v>31</v>
      </c>
      <c r="L36" t="s">
        <v>47</v>
      </c>
      <c r="M36" t="s">
        <v>31</v>
      </c>
      <c r="N36" t="s">
        <v>253</v>
      </c>
      <c r="O36" t="s">
        <v>254</v>
      </c>
    </row>
    <row r="37" spans="1:25" x14ac:dyDescent="0.3">
      <c r="A37" t="s">
        <v>86</v>
      </c>
      <c r="B37" t="s">
        <v>25</v>
      </c>
      <c r="C37">
        <v>21435997</v>
      </c>
      <c r="D37" t="s">
        <v>165</v>
      </c>
      <c r="E37" s="4">
        <v>46023</v>
      </c>
      <c r="F37">
        <v>347</v>
      </c>
      <c r="G37" t="s">
        <v>166</v>
      </c>
      <c r="H37" t="str">
        <f>CONCATENATE(G37,99)</f>
        <v>4C59KD0TT1899</v>
      </c>
      <c r="I37" t="s">
        <v>167</v>
      </c>
      <c r="J37" s="4">
        <v>46023</v>
      </c>
      <c r="K37" t="s">
        <v>31</v>
      </c>
      <c r="L37" t="s">
        <v>168</v>
      </c>
      <c r="M37" t="s">
        <v>31</v>
      </c>
      <c r="N37" t="s">
        <v>253</v>
      </c>
      <c r="O37" t="s">
        <v>254</v>
      </c>
    </row>
    <row r="38" spans="1:25" x14ac:dyDescent="0.3">
      <c r="A38" t="s">
        <v>86</v>
      </c>
      <c r="B38" t="s">
        <v>25</v>
      </c>
      <c r="C38">
        <v>21435997</v>
      </c>
      <c r="D38" t="s">
        <v>165</v>
      </c>
      <c r="E38" s="4">
        <v>46023</v>
      </c>
      <c r="F38">
        <v>347</v>
      </c>
      <c r="G38" t="s">
        <v>187</v>
      </c>
      <c r="H38" t="str">
        <f>CONCATENATE(G38,99)</f>
        <v>9H74RQ8EY8599</v>
      </c>
      <c r="I38" t="s">
        <v>188</v>
      </c>
      <c r="J38" s="4">
        <v>46023</v>
      </c>
      <c r="K38" t="s">
        <v>31</v>
      </c>
      <c r="L38" t="s">
        <v>47</v>
      </c>
      <c r="M38" t="s">
        <v>31</v>
      </c>
      <c r="N38" t="s">
        <v>253</v>
      </c>
      <c r="O38" t="s">
        <v>254</v>
      </c>
    </row>
    <row r="39" spans="1:25" x14ac:dyDescent="0.3">
      <c r="A39" t="s">
        <v>86</v>
      </c>
      <c r="B39" t="s">
        <v>25</v>
      </c>
      <c r="C39">
        <v>21435997</v>
      </c>
      <c r="D39" t="s">
        <v>165</v>
      </c>
      <c r="E39" s="4">
        <v>46023</v>
      </c>
      <c r="F39">
        <v>347</v>
      </c>
      <c r="G39" t="s">
        <v>181</v>
      </c>
      <c r="H39" t="str">
        <f>CONCATENATE(G39,99)</f>
        <v>7GW0MM9FX0499</v>
      </c>
      <c r="I39" t="s">
        <v>182</v>
      </c>
      <c r="J39" s="4">
        <v>46023</v>
      </c>
      <c r="K39" t="s">
        <v>31</v>
      </c>
      <c r="L39" t="s">
        <v>141</v>
      </c>
      <c r="M39" t="s">
        <v>31</v>
      </c>
      <c r="N39" t="s">
        <v>253</v>
      </c>
      <c r="O39" t="s">
        <v>254</v>
      </c>
    </row>
    <row r="40" spans="1:25" s="5" customFormat="1" x14ac:dyDescent="0.3">
      <c r="A40" t="s">
        <v>86</v>
      </c>
      <c r="B40" t="s">
        <v>25</v>
      </c>
      <c r="C40">
        <v>21435997</v>
      </c>
      <c r="D40" t="s">
        <v>165</v>
      </c>
      <c r="E40" s="4">
        <v>46023</v>
      </c>
      <c r="F40">
        <v>347</v>
      </c>
      <c r="G40" t="s">
        <v>177</v>
      </c>
      <c r="H40" t="str">
        <f>CONCATENATE(G40,99)</f>
        <v>6DH5R24GV6199</v>
      </c>
      <c r="I40" t="s">
        <v>178</v>
      </c>
      <c r="J40" s="4">
        <v>46023</v>
      </c>
      <c r="K40" t="s">
        <v>81</v>
      </c>
      <c r="L40" t="s">
        <v>47</v>
      </c>
      <c r="M40" t="s">
        <v>31</v>
      </c>
      <c r="N40" t="s">
        <v>253</v>
      </c>
      <c r="O40" t="s">
        <v>254</v>
      </c>
      <c r="P40"/>
      <c r="Q40"/>
      <c r="R40"/>
      <c r="S40"/>
      <c r="T40"/>
      <c r="U40"/>
      <c r="V40"/>
      <c r="W40"/>
      <c r="X40"/>
      <c r="Y40"/>
    </row>
    <row r="41" spans="1:25" s="5" customFormat="1" x14ac:dyDescent="0.3">
      <c r="A41" t="s">
        <v>24</v>
      </c>
      <c r="B41" t="s">
        <v>25</v>
      </c>
      <c r="C41">
        <v>21435997</v>
      </c>
      <c r="D41" t="s">
        <v>165</v>
      </c>
      <c r="E41" s="4">
        <v>46023</v>
      </c>
      <c r="F41">
        <v>347</v>
      </c>
      <c r="G41" t="s">
        <v>177</v>
      </c>
      <c r="H41" t="str">
        <f>CONCATENATE(G41,99)</f>
        <v>6DH5R24GV6199</v>
      </c>
      <c r="I41" t="s">
        <v>178</v>
      </c>
      <c r="J41" s="4">
        <v>46023</v>
      </c>
      <c r="K41" t="s">
        <v>81</v>
      </c>
      <c r="L41" t="s">
        <v>47</v>
      </c>
      <c r="M41" t="s">
        <v>31</v>
      </c>
      <c r="N41" t="s">
        <v>253</v>
      </c>
      <c r="O41" t="s">
        <v>254</v>
      </c>
      <c r="P41"/>
      <c r="Q41"/>
      <c r="R41"/>
      <c r="S41"/>
      <c r="T41"/>
      <c r="U41"/>
      <c r="V41"/>
      <c r="W41"/>
      <c r="X41"/>
      <c r="Y41"/>
    </row>
    <row r="42" spans="1:25" s="5" customFormat="1" x14ac:dyDescent="0.3">
      <c r="A42" t="s">
        <v>86</v>
      </c>
      <c r="B42" t="s">
        <v>25</v>
      </c>
      <c r="C42">
        <v>8325282</v>
      </c>
      <c r="D42" t="s">
        <v>200</v>
      </c>
      <c r="E42" s="4">
        <v>46054</v>
      </c>
      <c r="F42">
        <v>318.08</v>
      </c>
      <c r="G42" t="s">
        <v>218</v>
      </c>
      <c r="H42" t="str">
        <f>CONCATENATE(G42,99)</f>
        <v>8GP5TG3VW6799</v>
      </c>
      <c r="I42" t="s">
        <v>219</v>
      </c>
      <c r="J42" s="4">
        <v>46054</v>
      </c>
      <c r="K42" t="s">
        <v>31</v>
      </c>
      <c r="L42" t="s">
        <v>30</v>
      </c>
      <c r="M42" t="s">
        <v>31</v>
      </c>
      <c r="N42" t="s">
        <v>253</v>
      </c>
      <c r="O42" t="s">
        <v>255</v>
      </c>
      <c r="P42"/>
      <c r="Q42"/>
      <c r="R42"/>
      <c r="S42"/>
      <c r="T42"/>
      <c r="U42"/>
      <c r="V42"/>
      <c r="W42"/>
      <c r="X42"/>
      <c r="Y42"/>
    </row>
    <row r="43" spans="1:25" s="5" customFormat="1" x14ac:dyDescent="0.3">
      <c r="A43" t="s">
        <v>24</v>
      </c>
      <c r="B43" t="s">
        <v>25</v>
      </c>
      <c r="C43">
        <v>8325282</v>
      </c>
      <c r="D43" t="s">
        <v>200</v>
      </c>
      <c r="E43" s="4">
        <v>46054</v>
      </c>
      <c r="F43">
        <v>318.08999999999997</v>
      </c>
      <c r="G43" t="s">
        <v>218</v>
      </c>
      <c r="H43" t="str">
        <f>CONCATENATE(G43,99)</f>
        <v>8GP5TG3VW6799</v>
      </c>
      <c r="I43" t="s">
        <v>219</v>
      </c>
      <c r="J43" s="4">
        <v>46054</v>
      </c>
      <c r="K43" t="s">
        <v>31</v>
      </c>
      <c r="L43" t="s">
        <v>30</v>
      </c>
      <c r="M43" t="s">
        <v>31</v>
      </c>
      <c r="N43" t="s">
        <v>253</v>
      </c>
      <c r="O43" t="s">
        <v>255</v>
      </c>
      <c r="P43"/>
      <c r="Q43"/>
      <c r="R43"/>
      <c r="S43"/>
      <c r="T43"/>
      <c r="U43"/>
      <c r="V43"/>
      <c r="W43"/>
      <c r="X43"/>
      <c r="Y43"/>
    </row>
    <row r="44" spans="1:25" s="6" customFormat="1" x14ac:dyDescent="0.3">
      <c r="A44" t="s">
        <v>86</v>
      </c>
      <c r="B44" t="s">
        <v>25</v>
      </c>
      <c r="C44">
        <v>8325282</v>
      </c>
      <c r="D44" t="s">
        <v>200</v>
      </c>
      <c r="E44" s="4">
        <v>46023</v>
      </c>
      <c r="F44">
        <v>347</v>
      </c>
      <c r="G44" t="s">
        <v>201</v>
      </c>
      <c r="H44" t="str">
        <f>CONCATENATE(G44,99)</f>
        <v>3Y35Q73QQ6499</v>
      </c>
      <c r="I44" t="s">
        <v>202</v>
      </c>
      <c r="J44" s="4">
        <v>46023</v>
      </c>
      <c r="K44" t="s">
        <v>31</v>
      </c>
      <c r="L44" t="s">
        <v>30</v>
      </c>
      <c r="M44" t="s">
        <v>31</v>
      </c>
      <c r="N44" t="s">
        <v>253</v>
      </c>
      <c r="O44" t="s">
        <v>254</v>
      </c>
      <c r="P44"/>
      <c r="Q44"/>
      <c r="R44"/>
      <c r="S44"/>
      <c r="T44"/>
      <c r="U44"/>
      <c r="V44"/>
      <c r="W44"/>
      <c r="X44"/>
      <c r="Y44"/>
    </row>
    <row r="45" spans="1:25" s="6" customFormat="1" x14ac:dyDescent="0.3">
      <c r="A45" t="s">
        <v>86</v>
      </c>
      <c r="B45" t="s">
        <v>25</v>
      </c>
      <c r="C45">
        <v>21749481</v>
      </c>
      <c r="D45" t="s">
        <v>190</v>
      </c>
      <c r="E45" s="4">
        <v>46023</v>
      </c>
      <c r="F45">
        <v>347</v>
      </c>
      <c r="G45" t="s">
        <v>191</v>
      </c>
      <c r="H45" t="str">
        <f>CONCATENATE(G45,99)</f>
        <v>2RK7A27EA6699</v>
      </c>
      <c r="I45" t="s">
        <v>192</v>
      </c>
      <c r="J45" s="4">
        <v>46023</v>
      </c>
      <c r="K45" t="s">
        <v>31</v>
      </c>
      <c r="L45" t="s">
        <v>97</v>
      </c>
      <c r="M45" t="s">
        <v>31</v>
      </c>
      <c r="N45" t="s">
        <v>253</v>
      </c>
      <c r="O45" t="s">
        <v>254</v>
      </c>
      <c r="P45"/>
      <c r="Q45"/>
      <c r="R45"/>
      <c r="S45"/>
      <c r="T45"/>
      <c r="U45"/>
      <c r="V45"/>
      <c r="W45"/>
      <c r="X45"/>
      <c r="Y45"/>
    </row>
    <row r="46" spans="1:25" s="6" customFormat="1" x14ac:dyDescent="0.3">
      <c r="A46" t="s">
        <v>86</v>
      </c>
      <c r="B46" t="s">
        <v>25</v>
      </c>
      <c r="C46">
        <v>21749481</v>
      </c>
      <c r="D46" t="s">
        <v>190</v>
      </c>
      <c r="E46" s="4">
        <v>46023</v>
      </c>
      <c r="F46">
        <v>347</v>
      </c>
      <c r="G46" t="s">
        <v>194</v>
      </c>
      <c r="H46" t="str">
        <f>CONCATENATE(G46,99)</f>
        <v>8U70JY7MM4599</v>
      </c>
      <c r="I46" t="s">
        <v>195</v>
      </c>
      <c r="J46" s="4">
        <v>46023</v>
      </c>
      <c r="K46" t="s">
        <v>29</v>
      </c>
      <c r="L46" t="s">
        <v>30</v>
      </c>
      <c r="M46" t="s">
        <v>31</v>
      </c>
      <c r="N46" t="s">
        <v>253</v>
      </c>
      <c r="O46" t="s">
        <v>254</v>
      </c>
      <c r="P46"/>
      <c r="Q46"/>
      <c r="R46"/>
      <c r="S46"/>
      <c r="T46"/>
      <c r="U46"/>
      <c r="V46"/>
      <c r="W46"/>
      <c r="X46"/>
      <c r="Y46"/>
    </row>
    <row r="47" spans="1:25" s="6" customFormat="1" x14ac:dyDescent="0.3">
      <c r="A47" t="s">
        <v>24</v>
      </c>
      <c r="B47" t="s">
        <v>25</v>
      </c>
      <c r="C47">
        <v>21749481</v>
      </c>
      <c r="D47" t="s">
        <v>190</v>
      </c>
      <c r="E47" s="4">
        <v>46023</v>
      </c>
      <c r="F47">
        <v>347</v>
      </c>
      <c r="G47" t="s">
        <v>194</v>
      </c>
      <c r="H47" t="str">
        <f>CONCATENATE(G47,99)</f>
        <v>8U70JY7MM4599</v>
      </c>
      <c r="I47" t="s">
        <v>195</v>
      </c>
      <c r="J47" s="4">
        <v>46023</v>
      </c>
      <c r="K47" t="s">
        <v>29</v>
      </c>
      <c r="L47" t="s">
        <v>30</v>
      </c>
      <c r="M47" t="s">
        <v>31</v>
      </c>
      <c r="N47" t="s">
        <v>253</v>
      </c>
      <c r="O47" t="s">
        <v>254</v>
      </c>
      <c r="P47"/>
      <c r="Q47"/>
      <c r="R47"/>
      <c r="S47"/>
      <c r="T47"/>
      <c r="U47"/>
      <c r="V47"/>
      <c r="W47"/>
      <c r="X47"/>
      <c r="Y47"/>
    </row>
    <row r="48" spans="1:25" s="6" customFormat="1" x14ac:dyDescent="0.3">
      <c r="A48" t="s">
        <v>86</v>
      </c>
      <c r="B48" t="s">
        <v>25</v>
      </c>
      <c r="C48">
        <v>21749481</v>
      </c>
      <c r="D48" t="s">
        <v>190</v>
      </c>
      <c r="E48" s="4">
        <v>46023</v>
      </c>
      <c r="F48">
        <v>347</v>
      </c>
      <c r="G48" t="s">
        <v>197</v>
      </c>
      <c r="H48" t="str">
        <f>CONCATENATE(G48,99)</f>
        <v>9U89VC3EP2899</v>
      </c>
      <c r="I48" t="s">
        <v>198</v>
      </c>
      <c r="J48" s="4">
        <v>46023</v>
      </c>
      <c r="K48" t="s">
        <v>31</v>
      </c>
      <c r="L48" t="s">
        <v>157</v>
      </c>
      <c r="M48" t="s">
        <v>31</v>
      </c>
      <c r="N48" t="s">
        <v>253</v>
      </c>
      <c r="O48" t="s">
        <v>254</v>
      </c>
      <c r="P48"/>
      <c r="Q48"/>
      <c r="R48"/>
      <c r="S48"/>
      <c r="T48"/>
      <c r="U48"/>
      <c r="V48"/>
      <c r="W48"/>
      <c r="X48"/>
      <c r="Y48"/>
    </row>
    <row r="49" spans="1:25" s="6" customFormat="1" x14ac:dyDescent="0.3">
      <c r="A49" s="6" t="s">
        <v>36</v>
      </c>
      <c r="B49" s="6" t="s">
        <v>25</v>
      </c>
      <c r="C49" s="6">
        <v>8814784</v>
      </c>
      <c r="D49" s="6" t="s">
        <v>238</v>
      </c>
      <c r="E49" s="7">
        <v>46023</v>
      </c>
      <c r="F49" s="6">
        <v>28.92</v>
      </c>
      <c r="G49" s="6" t="s">
        <v>239</v>
      </c>
      <c r="H49" t="str">
        <f>CONCATENATE(G49,99)</f>
        <v>8WR3AN6HR7599</v>
      </c>
      <c r="I49" s="6" t="s">
        <v>240</v>
      </c>
      <c r="J49" s="7">
        <v>46023</v>
      </c>
      <c r="K49" s="6" t="s">
        <v>31</v>
      </c>
      <c r="L49" s="6" t="s">
        <v>30</v>
      </c>
      <c r="M49" s="6" t="s">
        <v>31</v>
      </c>
      <c r="N49" s="6" t="s">
        <v>253</v>
      </c>
      <c r="O49" s="6" t="s">
        <v>263</v>
      </c>
      <c r="P49" s="6">
        <f>347/12</f>
        <v>28.916666666666668</v>
      </c>
    </row>
    <row r="50" spans="1:25" s="6" customFormat="1" x14ac:dyDescent="0.3">
      <c r="A50" s="6" t="s">
        <v>36</v>
      </c>
      <c r="B50" s="6" t="s">
        <v>25</v>
      </c>
      <c r="C50" s="6">
        <v>9213293</v>
      </c>
      <c r="D50" s="6" t="s">
        <v>206</v>
      </c>
      <c r="E50" s="7">
        <v>46023</v>
      </c>
      <c r="F50" s="6">
        <v>28.92</v>
      </c>
      <c r="G50" s="6" t="s">
        <v>245</v>
      </c>
      <c r="H50" t="str">
        <f>CONCATENATE(G50,99)</f>
        <v>5CF0MY3WK1199</v>
      </c>
      <c r="I50" s="6" t="s">
        <v>246</v>
      </c>
      <c r="J50" s="7">
        <v>45658</v>
      </c>
      <c r="K50" s="6" t="s">
        <v>31</v>
      </c>
      <c r="L50" s="6" t="s">
        <v>30</v>
      </c>
      <c r="M50" s="6" t="s">
        <v>31</v>
      </c>
      <c r="N50" s="6" t="s">
        <v>253</v>
      </c>
      <c r="O50" s="6" t="s">
        <v>263</v>
      </c>
    </row>
    <row r="51" spans="1:25" s="6" customFormat="1" x14ac:dyDescent="0.3">
      <c r="A51" s="6" t="s">
        <v>36</v>
      </c>
      <c r="B51" s="6" t="s">
        <v>25</v>
      </c>
      <c r="C51" s="6">
        <v>9213293</v>
      </c>
      <c r="D51" s="6" t="s">
        <v>206</v>
      </c>
      <c r="E51" s="7">
        <v>46023</v>
      </c>
      <c r="F51" s="6">
        <v>28.92</v>
      </c>
      <c r="G51" s="6" t="s">
        <v>242</v>
      </c>
      <c r="H51" t="str">
        <f>CONCATENATE(G51,99)</f>
        <v>2GA8K93UK5699</v>
      </c>
      <c r="I51" s="6" t="s">
        <v>243</v>
      </c>
      <c r="J51" s="7">
        <v>46023</v>
      </c>
      <c r="K51" s="6" t="s">
        <v>31</v>
      </c>
      <c r="L51" s="6" t="s">
        <v>30</v>
      </c>
      <c r="M51" s="6" t="s">
        <v>31</v>
      </c>
      <c r="N51" s="6" t="s">
        <v>253</v>
      </c>
      <c r="O51" s="6" t="s">
        <v>263</v>
      </c>
    </row>
    <row r="52" spans="1:25" s="5" customFormat="1" x14ac:dyDescent="0.3">
      <c r="A52" t="s">
        <v>86</v>
      </c>
      <c r="B52" t="s">
        <v>25</v>
      </c>
      <c r="C52">
        <v>9213293</v>
      </c>
      <c r="D52" t="s">
        <v>206</v>
      </c>
      <c r="E52" s="4">
        <v>46054</v>
      </c>
      <c r="F52">
        <v>318.08</v>
      </c>
      <c r="G52" t="s">
        <v>221</v>
      </c>
      <c r="H52" t="str">
        <f>CONCATENATE(G52,99)</f>
        <v>4WF0YT2TH3099</v>
      </c>
      <c r="I52" t="s">
        <v>222</v>
      </c>
      <c r="J52" s="4">
        <v>46054</v>
      </c>
      <c r="K52" t="s">
        <v>31</v>
      </c>
      <c r="L52" t="s">
        <v>30</v>
      </c>
      <c r="M52" t="s">
        <v>31</v>
      </c>
      <c r="N52" t="s">
        <v>253</v>
      </c>
      <c r="O52" t="s">
        <v>255</v>
      </c>
      <c r="P52"/>
      <c r="Q52"/>
      <c r="R52"/>
      <c r="S52"/>
      <c r="T52"/>
      <c r="U52"/>
      <c r="V52"/>
      <c r="W52"/>
      <c r="X52"/>
      <c r="Y52"/>
    </row>
    <row r="53" spans="1:25" x14ac:dyDescent="0.3">
      <c r="A53" t="s">
        <v>86</v>
      </c>
      <c r="B53" t="s">
        <v>25</v>
      </c>
      <c r="C53">
        <v>9213293</v>
      </c>
      <c r="D53" t="s">
        <v>206</v>
      </c>
      <c r="E53" s="4">
        <v>46023</v>
      </c>
      <c r="F53">
        <v>347</v>
      </c>
      <c r="G53" t="s">
        <v>207</v>
      </c>
      <c r="H53" t="str">
        <f>CONCATENATE(G53,99)</f>
        <v>9U67WU6HE2099</v>
      </c>
      <c r="I53" t="s">
        <v>208</v>
      </c>
      <c r="J53" s="4">
        <v>46023</v>
      </c>
      <c r="K53" t="s">
        <v>31</v>
      </c>
      <c r="L53" t="s">
        <v>209</v>
      </c>
      <c r="M53" t="s">
        <v>31</v>
      </c>
      <c r="N53" t="s">
        <v>253</v>
      </c>
      <c r="O53" t="s">
        <v>254</v>
      </c>
    </row>
    <row r="54" spans="1:25" x14ac:dyDescent="0.3">
      <c r="A54" t="s">
        <v>86</v>
      </c>
      <c r="B54" t="s">
        <v>25</v>
      </c>
      <c r="C54">
        <v>18754354</v>
      </c>
      <c r="D54" t="s">
        <v>106</v>
      </c>
      <c r="E54" s="4">
        <v>46023</v>
      </c>
      <c r="F54">
        <v>-347</v>
      </c>
      <c r="G54" t="s">
        <v>107</v>
      </c>
      <c r="H54" t="str">
        <f>CONCATENATE(G54,99)</f>
        <v>4HH8NR2AK2399</v>
      </c>
      <c r="I54" t="s">
        <v>108</v>
      </c>
      <c r="J54" s="4">
        <v>46023</v>
      </c>
      <c r="K54" t="s">
        <v>31</v>
      </c>
      <c r="L54" t="s">
        <v>30</v>
      </c>
      <c r="M54" t="s">
        <v>31</v>
      </c>
      <c r="N54" t="s">
        <v>253</v>
      </c>
      <c r="O54" t="s">
        <v>254</v>
      </c>
    </row>
    <row r="55" spans="1:25" x14ac:dyDescent="0.3">
      <c r="A55" t="s">
        <v>86</v>
      </c>
      <c r="B55" t="s">
        <v>25</v>
      </c>
      <c r="C55">
        <v>18754354</v>
      </c>
      <c r="D55" t="s">
        <v>106</v>
      </c>
      <c r="E55" s="4">
        <v>46023</v>
      </c>
      <c r="F55">
        <v>347</v>
      </c>
      <c r="G55" t="s">
        <v>107</v>
      </c>
      <c r="H55" t="str">
        <f>CONCATENATE(G55,99)</f>
        <v>4HH8NR2AK2399</v>
      </c>
      <c r="I55" t="s">
        <v>108</v>
      </c>
      <c r="J55" s="4">
        <v>46023</v>
      </c>
      <c r="K55" t="s">
        <v>31</v>
      </c>
      <c r="L55" t="s">
        <v>30</v>
      </c>
      <c r="M55" t="s">
        <v>31</v>
      </c>
      <c r="N55" t="s">
        <v>253</v>
      </c>
      <c r="O55" t="s">
        <v>254</v>
      </c>
    </row>
    <row r="56" spans="1:25" x14ac:dyDescent="0.3">
      <c r="A56" t="s">
        <v>86</v>
      </c>
      <c r="B56" t="s">
        <v>25</v>
      </c>
      <c r="C56">
        <v>18754354</v>
      </c>
      <c r="D56" t="s">
        <v>106</v>
      </c>
      <c r="E56" s="4">
        <v>46023</v>
      </c>
      <c r="F56">
        <v>347</v>
      </c>
      <c r="G56" t="s">
        <v>111</v>
      </c>
      <c r="H56" t="str">
        <f>CONCATENATE(G56,99)</f>
        <v>6EY5MG1TU9299</v>
      </c>
      <c r="I56" t="s">
        <v>112</v>
      </c>
      <c r="J56" s="4">
        <v>46023</v>
      </c>
      <c r="K56" t="s">
        <v>31</v>
      </c>
      <c r="L56" t="s">
        <v>30</v>
      </c>
      <c r="M56" t="s">
        <v>31</v>
      </c>
      <c r="N56" t="s">
        <v>253</v>
      </c>
      <c r="O56" t="s">
        <v>254</v>
      </c>
    </row>
    <row r="57" spans="1:25" x14ac:dyDescent="0.3">
      <c r="A57" t="s">
        <v>86</v>
      </c>
      <c r="B57" t="s">
        <v>25</v>
      </c>
      <c r="C57">
        <v>18754354</v>
      </c>
      <c r="D57" t="s">
        <v>106</v>
      </c>
      <c r="E57" s="4">
        <v>46023</v>
      </c>
      <c r="F57">
        <v>347</v>
      </c>
      <c r="G57" t="s">
        <v>115</v>
      </c>
      <c r="H57" t="str">
        <f>CONCATENATE(G57,99)</f>
        <v>7WJ7QJ1TH5299</v>
      </c>
      <c r="I57" t="s">
        <v>116</v>
      </c>
      <c r="J57" s="4">
        <v>46023</v>
      </c>
      <c r="K57" t="s">
        <v>81</v>
      </c>
      <c r="L57" t="s">
        <v>70</v>
      </c>
      <c r="M57" t="s">
        <v>31</v>
      </c>
      <c r="N57" t="s">
        <v>253</v>
      </c>
      <c r="O57" t="s">
        <v>254</v>
      </c>
    </row>
    <row r="58" spans="1:25" x14ac:dyDescent="0.3">
      <c r="A58" t="s">
        <v>24</v>
      </c>
      <c r="B58" t="s">
        <v>25</v>
      </c>
      <c r="C58">
        <v>18754354</v>
      </c>
      <c r="D58" t="s">
        <v>106</v>
      </c>
      <c r="E58" s="4">
        <v>46023</v>
      </c>
      <c r="F58">
        <v>347</v>
      </c>
      <c r="G58" t="s">
        <v>115</v>
      </c>
      <c r="H58" t="str">
        <f>CONCATENATE(G58,99)</f>
        <v>7WJ7QJ1TH5299</v>
      </c>
      <c r="I58" t="s">
        <v>116</v>
      </c>
      <c r="J58" s="4">
        <v>46023</v>
      </c>
      <c r="K58" t="s">
        <v>81</v>
      </c>
      <c r="L58" t="s">
        <v>70</v>
      </c>
      <c r="M58" t="s">
        <v>31</v>
      </c>
      <c r="N58" t="s">
        <v>253</v>
      </c>
      <c r="O58" t="s">
        <v>254</v>
      </c>
    </row>
    <row r="59" spans="1:25" x14ac:dyDescent="0.3">
      <c r="A59" t="s">
        <v>86</v>
      </c>
      <c r="B59" t="s">
        <v>25</v>
      </c>
      <c r="C59">
        <v>18201929</v>
      </c>
      <c r="D59" t="s">
        <v>213</v>
      </c>
      <c r="E59" s="4">
        <v>46023</v>
      </c>
      <c r="F59">
        <v>347</v>
      </c>
      <c r="G59" t="s">
        <v>214</v>
      </c>
      <c r="H59" t="str">
        <f>CONCATENATE(G59,99)</f>
        <v>6F61RW5DW9299</v>
      </c>
      <c r="I59" t="s">
        <v>215</v>
      </c>
      <c r="J59" s="4">
        <v>46023</v>
      </c>
      <c r="K59" t="s">
        <v>31</v>
      </c>
      <c r="L59" t="s">
        <v>54</v>
      </c>
      <c r="M59" t="s">
        <v>31</v>
      </c>
      <c r="N59" t="s">
        <v>253</v>
      </c>
      <c r="O59" t="s">
        <v>254</v>
      </c>
    </row>
    <row r="60" spans="1:25" x14ac:dyDescent="0.3">
      <c r="A60" t="s">
        <v>86</v>
      </c>
      <c r="B60" t="s">
        <v>25</v>
      </c>
      <c r="C60">
        <v>19279958</v>
      </c>
      <c r="D60" t="s">
        <v>131</v>
      </c>
      <c r="E60" s="4">
        <v>46023</v>
      </c>
      <c r="F60">
        <v>347</v>
      </c>
      <c r="G60" t="s">
        <v>132</v>
      </c>
      <c r="H60" t="str">
        <f>CONCATENATE(G60,99)</f>
        <v>7F01YU6WJ2699</v>
      </c>
      <c r="I60" t="s">
        <v>133</v>
      </c>
      <c r="J60" s="4">
        <v>46023</v>
      </c>
      <c r="K60" t="s">
        <v>29</v>
      </c>
      <c r="L60" t="s">
        <v>134</v>
      </c>
      <c r="M60" t="s">
        <v>31</v>
      </c>
      <c r="N60" t="s">
        <v>253</v>
      </c>
      <c r="O60" t="s">
        <v>254</v>
      </c>
    </row>
    <row r="61" spans="1:25" x14ac:dyDescent="0.3">
      <c r="A61" t="s">
        <v>24</v>
      </c>
      <c r="B61" t="s">
        <v>25</v>
      </c>
      <c r="C61">
        <v>19279958</v>
      </c>
      <c r="D61" t="s">
        <v>131</v>
      </c>
      <c r="E61" s="4">
        <v>46023</v>
      </c>
      <c r="F61">
        <v>347</v>
      </c>
      <c r="G61" t="s">
        <v>132</v>
      </c>
      <c r="H61" t="str">
        <f>CONCATENATE(G61,99)</f>
        <v>7F01YU6WJ2699</v>
      </c>
      <c r="I61" t="s">
        <v>133</v>
      </c>
      <c r="J61" s="4">
        <v>46023</v>
      </c>
      <c r="K61" t="s">
        <v>29</v>
      </c>
      <c r="L61" t="s">
        <v>134</v>
      </c>
      <c r="M61" t="s">
        <v>31</v>
      </c>
      <c r="N61" t="s">
        <v>253</v>
      </c>
      <c r="O61" t="s">
        <v>254</v>
      </c>
    </row>
    <row r="62" spans="1:25" x14ac:dyDescent="0.3">
      <c r="A62" t="s">
        <v>86</v>
      </c>
      <c r="B62" t="s">
        <v>25</v>
      </c>
      <c r="C62">
        <v>20724564</v>
      </c>
      <c r="D62" t="s">
        <v>154</v>
      </c>
      <c r="E62" s="4">
        <v>46023</v>
      </c>
      <c r="F62">
        <v>347</v>
      </c>
      <c r="G62" t="s">
        <v>155</v>
      </c>
      <c r="H62" t="str">
        <f>CONCATENATE(G62,99)</f>
        <v>5XP2MX7QK8099</v>
      </c>
      <c r="I62" t="s">
        <v>156</v>
      </c>
      <c r="J62" s="4">
        <v>46023</v>
      </c>
      <c r="K62" t="s">
        <v>31</v>
      </c>
      <c r="L62" t="s">
        <v>157</v>
      </c>
      <c r="M62" t="s">
        <v>31</v>
      </c>
      <c r="N62" t="s">
        <v>253</v>
      </c>
      <c r="O62" t="s">
        <v>254</v>
      </c>
    </row>
    <row r="63" spans="1:25" x14ac:dyDescent="0.3">
      <c r="A63" t="s">
        <v>86</v>
      </c>
      <c r="B63" t="s">
        <v>25</v>
      </c>
      <c r="C63">
        <v>20724564</v>
      </c>
      <c r="D63" t="s">
        <v>154</v>
      </c>
      <c r="E63" s="4">
        <v>46023</v>
      </c>
      <c r="F63">
        <v>347</v>
      </c>
      <c r="G63" t="s">
        <v>161</v>
      </c>
      <c r="H63" t="str">
        <f>CONCATENATE(G63,99)</f>
        <v>8WC1GX7PN2999</v>
      </c>
      <c r="I63" t="s">
        <v>162</v>
      </c>
      <c r="J63" s="4">
        <v>46023</v>
      </c>
      <c r="K63" t="s">
        <v>31</v>
      </c>
      <c r="L63" t="s">
        <v>157</v>
      </c>
      <c r="M63" t="s">
        <v>31</v>
      </c>
      <c r="N63" t="s">
        <v>253</v>
      </c>
      <c r="O63" t="s">
        <v>254</v>
      </c>
    </row>
    <row r="64" spans="1:25" x14ac:dyDescent="0.3">
      <c r="A64" t="s">
        <v>86</v>
      </c>
      <c r="B64" t="s">
        <v>25</v>
      </c>
      <c r="C64">
        <v>19200754</v>
      </c>
      <c r="D64" t="s">
        <v>118</v>
      </c>
      <c r="E64" s="4">
        <v>46023</v>
      </c>
      <c r="F64">
        <v>347</v>
      </c>
      <c r="G64" t="s">
        <v>119</v>
      </c>
      <c r="H64" t="str">
        <f>CONCATENATE(G64,99)</f>
        <v>1WC9F52HG4599</v>
      </c>
      <c r="I64" t="s">
        <v>120</v>
      </c>
      <c r="J64" s="4">
        <v>46023</v>
      </c>
      <c r="K64" t="s">
        <v>31</v>
      </c>
      <c r="L64" t="s">
        <v>30</v>
      </c>
      <c r="M64" t="s">
        <v>31</v>
      </c>
      <c r="N64" t="s">
        <v>253</v>
      </c>
      <c r="O64" t="s">
        <v>254</v>
      </c>
    </row>
    <row r="65" spans="1:15" x14ac:dyDescent="0.3">
      <c r="A65" t="s">
        <v>86</v>
      </c>
      <c r="B65" t="s">
        <v>25</v>
      </c>
      <c r="C65">
        <v>19200754</v>
      </c>
      <c r="D65" t="s">
        <v>118</v>
      </c>
      <c r="E65" s="4">
        <v>46023</v>
      </c>
      <c r="F65">
        <v>347</v>
      </c>
      <c r="G65" t="s">
        <v>122</v>
      </c>
      <c r="H65" t="str">
        <f>CONCATENATE(G65,99)</f>
        <v>2XC7NJ9HW5699</v>
      </c>
      <c r="I65" t="s">
        <v>123</v>
      </c>
      <c r="J65" s="4">
        <v>46023</v>
      </c>
      <c r="K65" t="s">
        <v>31</v>
      </c>
      <c r="L65" t="s">
        <v>30</v>
      </c>
      <c r="M65" t="s">
        <v>31</v>
      </c>
      <c r="N65" t="s">
        <v>253</v>
      </c>
      <c r="O65" t="s">
        <v>254</v>
      </c>
    </row>
    <row r="66" spans="1:15" x14ac:dyDescent="0.3">
      <c r="A66" t="s">
        <v>86</v>
      </c>
      <c r="B66" t="s">
        <v>25</v>
      </c>
      <c r="C66">
        <v>19200754</v>
      </c>
      <c r="D66" t="s">
        <v>118</v>
      </c>
      <c r="E66" s="4">
        <v>46023</v>
      </c>
      <c r="F66">
        <v>347</v>
      </c>
      <c r="G66" t="s">
        <v>128</v>
      </c>
      <c r="H66" t="str">
        <f>CONCATENATE(G66,99)</f>
        <v>9F12R28QC8199</v>
      </c>
      <c r="I66" t="s">
        <v>129</v>
      </c>
      <c r="J66" s="4">
        <v>46023</v>
      </c>
      <c r="K66" t="s">
        <v>31</v>
      </c>
      <c r="L66" t="s">
        <v>30</v>
      </c>
      <c r="M66" t="s">
        <v>31</v>
      </c>
      <c r="N66" t="s">
        <v>253</v>
      </c>
      <c r="O66" t="s">
        <v>254</v>
      </c>
    </row>
    <row r="67" spans="1:15" x14ac:dyDescent="0.3">
      <c r="A67" t="s">
        <v>86</v>
      </c>
      <c r="B67" t="s">
        <v>25</v>
      </c>
      <c r="C67">
        <v>19200754</v>
      </c>
      <c r="D67" t="s">
        <v>118</v>
      </c>
      <c r="E67" s="4">
        <v>46023</v>
      </c>
      <c r="F67">
        <v>347</v>
      </c>
      <c r="G67" t="s">
        <v>125</v>
      </c>
      <c r="H67" t="str">
        <f>CONCATENATE(G67,99)</f>
        <v>5FT2DF7HE9699</v>
      </c>
      <c r="I67" t="s">
        <v>126</v>
      </c>
      <c r="J67" s="4">
        <v>46023</v>
      </c>
      <c r="K67" t="s">
        <v>31</v>
      </c>
      <c r="L67" t="s">
        <v>30</v>
      </c>
      <c r="M67" t="s">
        <v>31</v>
      </c>
      <c r="N67" t="s">
        <v>253</v>
      </c>
      <c r="O67" t="s">
        <v>254</v>
      </c>
    </row>
    <row r="68" spans="1:15" x14ac:dyDescent="0.3">
      <c r="A68" t="s">
        <v>86</v>
      </c>
      <c r="B68" t="s">
        <v>25</v>
      </c>
      <c r="C68">
        <v>17126004</v>
      </c>
      <c r="D68" t="s">
        <v>100</v>
      </c>
      <c r="E68" s="4">
        <v>46023</v>
      </c>
      <c r="F68">
        <v>347</v>
      </c>
      <c r="G68" t="s">
        <v>101</v>
      </c>
      <c r="H68" t="str">
        <f>CONCATENATE(G68,99)</f>
        <v>2QY6PD9CA5099</v>
      </c>
      <c r="I68" t="s">
        <v>102</v>
      </c>
      <c r="J68" s="4">
        <v>46023</v>
      </c>
      <c r="L68" t="s">
        <v>30</v>
      </c>
      <c r="M68" t="s">
        <v>31</v>
      </c>
      <c r="N68" t="s">
        <v>253</v>
      </c>
      <c r="O68" t="s">
        <v>254</v>
      </c>
    </row>
    <row r="69" spans="1:15" x14ac:dyDescent="0.3">
      <c r="A69" t="s">
        <v>86</v>
      </c>
      <c r="B69" t="s">
        <v>25</v>
      </c>
      <c r="C69">
        <v>19491313</v>
      </c>
      <c r="D69" t="s">
        <v>138</v>
      </c>
      <c r="E69" s="4">
        <v>46023</v>
      </c>
      <c r="F69">
        <v>347</v>
      </c>
      <c r="G69" t="s">
        <v>139</v>
      </c>
      <c r="H69" t="str">
        <f>CONCATENATE(G69,99)</f>
        <v>6MH5Y03WA8499</v>
      </c>
      <c r="I69" t="s">
        <v>140</v>
      </c>
      <c r="J69" s="4">
        <v>46023</v>
      </c>
      <c r="K69" t="s">
        <v>31</v>
      </c>
      <c r="L69" t="s">
        <v>141</v>
      </c>
      <c r="M69" t="s">
        <v>31</v>
      </c>
      <c r="N69" t="s">
        <v>253</v>
      </c>
      <c r="O69" t="s">
        <v>254</v>
      </c>
    </row>
    <row r="70" spans="1:15" x14ac:dyDescent="0.3">
      <c r="A70" t="s">
        <v>36</v>
      </c>
      <c r="B70" t="s">
        <v>25</v>
      </c>
      <c r="C70" t="s">
        <v>268</v>
      </c>
      <c r="D70" t="s">
        <v>38</v>
      </c>
      <c r="E70" s="4">
        <v>45292</v>
      </c>
      <c r="F70">
        <v>-28.75</v>
      </c>
      <c r="G70" t="s">
        <v>39</v>
      </c>
      <c r="H70" t="str">
        <f>CONCATENATE(G70,6)</f>
        <v>4QK1T20WP086</v>
      </c>
      <c r="I70" t="s">
        <v>40</v>
      </c>
      <c r="J70" s="4">
        <v>44927</v>
      </c>
      <c r="L70" t="s">
        <v>41</v>
      </c>
      <c r="M70" t="s">
        <v>31</v>
      </c>
      <c r="N70" t="s">
        <v>251</v>
      </c>
      <c r="O70" t="s">
        <v>252</v>
      </c>
    </row>
    <row r="71" spans="1:15" x14ac:dyDescent="0.3">
      <c r="A71" t="s">
        <v>36</v>
      </c>
      <c r="B71" t="s">
        <v>25</v>
      </c>
      <c r="C71" t="s">
        <v>268</v>
      </c>
      <c r="D71" t="s">
        <v>38</v>
      </c>
      <c r="E71" s="4">
        <v>45323</v>
      </c>
      <c r="F71">
        <v>-28.75</v>
      </c>
      <c r="G71" t="s">
        <v>39</v>
      </c>
      <c r="H71" t="str">
        <f>CONCATENATE(G71,6)</f>
        <v>4QK1T20WP086</v>
      </c>
      <c r="I71" t="s">
        <v>40</v>
      </c>
      <c r="J71" s="4">
        <v>44927</v>
      </c>
      <c r="L71" t="s">
        <v>41</v>
      </c>
      <c r="M71" t="s">
        <v>31</v>
      </c>
      <c r="N71" t="s">
        <v>251</v>
      </c>
      <c r="O71" t="s">
        <v>252</v>
      </c>
    </row>
    <row r="72" spans="1:15" x14ac:dyDescent="0.3">
      <c r="A72" t="s">
        <v>36</v>
      </c>
      <c r="B72" t="s">
        <v>25</v>
      </c>
      <c r="C72" t="s">
        <v>268</v>
      </c>
      <c r="D72" t="s">
        <v>38</v>
      </c>
      <c r="E72" s="4">
        <v>45352</v>
      </c>
      <c r="F72">
        <v>-28.75</v>
      </c>
      <c r="G72" t="s">
        <v>39</v>
      </c>
      <c r="H72" t="str">
        <f>CONCATENATE(G72,6)</f>
        <v>4QK1T20WP086</v>
      </c>
      <c r="I72" t="s">
        <v>40</v>
      </c>
      <c r="J72" s="4">
        <v>44927</v>
      </c>
      <c r="L72" t="s">
        <v>41</v>
      </c>
      <c r="M72" t="s">
        <v>31</v>
      </c>
      <c r="N72" t="s">
        <v>251</v>
      </c>
      <c r="O72" t="s">
        <v>252</v>
      </c>
    </row>
    <row r="73" spans="1:15" x14ac:dyDescent="0.3">
      <c r="A73" t="s">
        <v>36</v>
      </c>
      <c r="B73" t="s">
        <v>25</v>
      </c>
      <c r="C73" t="s">
        <v>268</v>
      </c>
      <c r="D73" t="s">
        <v>38</v>
      </c>
      <c r="E73" s="4">
        <v>45383</v>
      </c>
      <c r="F73">
        <v>-28.75</v>
      </c>
      <c r="G73" t="s">
        <v>39</v>
      </c>
      <c r="H73" t="str">
        <f>CONCATENATE(G73,6)</f>
        <v>4QK1T20WP086</v>
      </c>
      <c r="I73" t="s">
        <v>40</v>
      </c>
      <c r="J73" s="4">
        <v>44927</v>
      </c>
      <c r="L73" t="s">
        <v>41</v>
      </c>
      <c r="M73" t="s">
        <v>31</v>
      </c>
      <c r="N73" t="s">
        <v>251</v>
      </c>
      <c r="O73" t="s">
        <v>252</v>
      </c>
    </row>
    <row r="74" spans="1:15" x14ac:dyDescent="0.3">
      <c r="A74" t="s">
        <v>36</v>
      </c>
      <c r="B74" t="s">
        <v>25</v>
      </c>
      <c r="C74" t="s">
        <v>268</v>
      </c>
      <c r="D74" t="s">
        <v>38</v>
      </c>
      <c r="E74" s="4">
        <v>45413</v>
      </c>
      <c r="F74">
        <v>-28.75</v>
      </c>
      <c r="G74" t="s">
        <v>39</v>
      </c>
      <c r="H74" t="str">
        <f>CONCATENATE(G74,6)</f>
        <v>4QK1T20WP086</v>
      </c>
      <c r="I74" t="s">
        <v>40</v>
      </c>
      <c r="J74" s="4">
        <v>44927</v>
      </c>
      <c r="L74" t="s">
        <v>41</v>
      </c>
      <c r="M74" t="s">
        <v>31</v>
      </c>
      <c r="N74" t="s">
        <v>251</v>
      </c>
      <c r="O74" t="s">
        <v>252</v>
      </c>
    </row>
    <row r="75" spans="1:15" x14ac:dyDescent="0.3">
      <c r="A75" t="s">
        <v>36</v>
      </c>
      <c r="B75" t="s">
        <v>25</v>
      </c>
      <c r="C75" t="s">
        <v>268</v>
      </c>
      <c r="D75" t="s">
        <v>38</v>
      </c>
      <c r="E75" s="4">
        <v>45444</v>
      </c>
      <c r="F75">
        <v>-28.75</v>
      </c>
      <c r="G75" t="s">
        <v>39</v>
      </c>
      <c r="H75" t="str">
        <f>CONCATENATE(G75,6)</f>
        <v>4QK1T20WP086</v>
      </c>
      <c r="I75" t="s">
        <v>40</v>
      </c>
      <c r="J75" s="4">
        <v>44927</v>
      </c>
      <c r="L75" t="s">
        <v>41</v>
      </c>
      <c r="M75" t="s">
        <v>31</v>
      </c>
      <c r="N75" t="s">
        <v>251</v>
      </c>
      <c r="O75" t="s">
        <v>252</v>
      </c>
    </row>
    <row r="76" spans="1:15" x14ac:dyDescent="0.3">
      <c r="A76" t="s">
        <v>36</v>
      </c>
      <c r="B76" t="s">
        <v>25</v>
      </c>
      <c r="C76" t="s">
        <v>268</v>
      </c>
      <c r="D76" t="s">
        <v>38</v>
      </c>
      <c r="E76" s="4">
        <v>45474</v>
      </c>
      <c r="F76">
        <v>-28.75</v>
      </c>
      <c r="G76" t="s">
        <v>39</v>
      </c>
      <c r="H76" t="str">
        <f>CONCATENATE(G76,6)</f>
        <v>4QK1T20WP086</v>
      </c>
      <c r="I76" t="s">
        <v>40</v>
      </c>
      <c r="J76" s="4">
        <v>44927</v>
      </c>
      <c r="L76" t="s">
        <v>41</v>
      </c>
      <c r="M76" t="s">
        <v>31</v>
      </c>
      <c r="N76" t="s">
        <v>251</v>
      </c>
      <c r="O76" t="s">
        <v>252</v>
      </c>
    </row>
    <row r="77" spans="1:15" x14ac:dyDescent="0.3">
      <c r="A77" t="s">
        <v>36</v>
      </c>
      <c r="B77" t="s">
        <v>25</v>
      </c>
      <c r="C77" t="s">
        <v>268</v>
      </c>
      <c r="D77" t="s">
        <v>38</v>
      </c>
      <c r="E77" s="4">
        <v>45505</v>
      </c>
      <c r="F77">
        <v>-28.75</v>
      </c>
      <c r="G77" t="s">
        <v>39</v>
      </c>
      <c r="H77" t="str">
        <f>CONCATENATE(G77,6)</f>
        <v>4QK1T20WP086</v>
      </c>
      <c r="I77" t="s">
        <v>40</v>
      </c>
      <c r="J77" s="4">
        <v>44927</v>
      </c>
      <c r="L77" t="s">
        <v>41</v>
      </c>
      <c r="M77" t="s">
        <v>31</v>
      </c>
      <c r="N77" t="s">
        <v>251</v>
      </c>
      <c r="O77" t="s">
        <v>252</v>
      </c>
    </row>
    <row r="78" spans="1:15" x14ac:dyDescent="0.3">
      <c r="A78" t="s">
        <v>36</v>
      </c>
      <c r="B78" t="s">
        <v>25</v>
      </c>
      <c r="C78" t="s">
        <v>268</v>
      </c>
      <c r="D78" t="s">
        <v>38</v>
      </c>
      <c r="E78" s="4">
        <v>45536</v>
      </c>
      <c r="F78">
        <v>-28.75</v>
      </c>
      <c r="G78" t="s">
        <v>39</v>
      </c>
      <c r="H78" t="str">
        <f>CONCATENATE(G78,6)</f>
        <v>4QK1T20WP086</v>
      </c>
      <c r="I78" t="s">
        <v>40</v>
      </c>
      <c r="J78" s="4">
        <v>44927</v>
      </c>
      <c r="L78" t="s">
        <v>41</v>
      </c>
      <c r="M78" t="s">
        <v>31</v>
      </c>
      <c r="N78" t="s">
        <v>251</v>
      </c>
      <c r="O78" t="s">
        <v>252</v>
      </c>
    </row>
    <row r="79" spans="1:15" x14ac:dyDescent="0.3">
      <c r="A79" t="s">
        <v>36</v>
      </c>
      <c r="B79" t="s">
        <v>25</v>
      </c>
      <c r="C79" t="s">
        <v>268</v>
      </c>
      <c r="D79" t="s">
        <v>38</v>
      </c>
      <c r="E79" s="4">
        <v>45566</v>
      </c>
      <c r="F79">
        <v>-28.75</v>
      </c>
      <c r="G79" t="s">
        <v>39</v>
      </c>
      <c r="H79" t="str">
        <f>CONCATENATE(G79,6)</f>
        <v>4QK1T20WP086</v>
      </c>
      <c r="I79" t="s">
        <v>40</v>
      </c>
      <c r="J79" s="4">
        <v>44927</v>
      </c>
      <c r="L79" t="s">
        <v>41</v>
      </c>
      <c r="M79" t="s">
        <v>31</v>
      </c>
      <c r="N79" t="s">
        <v>251</v>
      </c>
      <c r="O79" t="s">
        <v>252</v>
      </c>
    </row>
    <row r="80" spans="1:15" x14ac:dyDescent="0.3">
      <c r="A80" t="s">
        <v>36</v>
      </c>
      <c r="B80" t="s">
        <v>25</v>
      </c>
      <c r="C80" t="s">
        <v>268</v>
      </c>
      <c r="D80" t="s">
        <v>38</v>
      </c>
      <c r="E80" s="4">
        <v>45597</v>
      </c>
      <c r="F80">
        <v>-28.75</v>
      </c>
      <c r="G80" t="s">
        <v>39</v>
      </c>
      <c r="H80" t="str">
        <f>CONCATENATE(G80,6)</f>
        <v>4QK1T20WP086</v>
      </c>
      <c r="I80" t="s">
        <v>40</v>
      </c>
      <c r="J80" s="4">
        <v>44927</v>
      </c>
      <c r="L80" t="s">
        <v>41</v>
      </c>
      <c r="M80" t="s">
        <v>31</v>
      </c>
      <c r="N80" t="s">
        <v>251</v>
      </c>
      <c r="O80" t="s">
        <v>252</v>
      </c>
    </row>
    <row r="81" spans="1:25" x14ac:dyDescent="0.3">
      <c r="A81" t="s">
        <v>36</v>
      </c>
      <c r="B81" t="s">
        <v>25</v>
      </c>
      <c r="C81" t="s">
        <v>268</v>
      </c>
      <c r="D81" t="s">
        <v>38</v>
      </c>
      <c r="E81" s="4">
        <v>45627</v>
      </c>
      <c r="F81">
        <v>-28.75</v>
      </c>
      <c r="G81" t="s">
        <v>39</v>
      </c>
      <c r="H81" t="str">
        <f>CONCATENATE(G81,6)</f>
        <v>4QK1T20WP086</v>
      </c>
      <c r="I81" t="s">
        <v>40</v>
      </c>
      <c r="J81" s="4">
        <v>44927</v>
      </c>
      <c r="L81" t="s">
        <v>41</v>
      </c>
      <c r="M81" t="s">
        <v>31</v>
      </c>
      <c r="N81" t="s">
        <v>251</v>
      </c>
      <c r="O81" t="s">
        <v>252</v>
      </c>
    </row>
    <row r="82" spans="1:25" x14ac:dyDescent="0.3">
      <c r="A82" t="s">
        <v>86</v>
      </c>
      <c r="B82" t="s">
        <v>35</v>
      </c>
      <c r="C82">
        <v>20411454</v>
      </c>
      <c r="D82" t="s">
        <v>0</v>
      </c>
      <c r="E82" s="4">
        <v>46023</v>
      </c>
      <c r="F82">
        <v>-150</v>
      </c>
      <c r="G82" t="s">
        <v>107</v>
      </c>
      <c r="H82" t="str">
        <f>CONCATENATE(G82,"OVR")</f>
        <v>4HH8NR2AK23OVR</v>
      </c>
      <c r="I82" t="s">
        <v>108</v>
      </c>
      <c r="J82" s="4">
        <v>46023</v>
      </c>
      <c r="K82" t="s">
        <v>31</v>
      </c>
      <c r="L82" t="s">
        <v>30</v>
      </c>
      <c r="M82" t="s">
        <v>31</v>
      </c>
      <c r="N82" t="s">
        <v>266</v>
      </c>
    </row>
    <row r="83" spans="1:25" x14ac:dyDescent="0.3">
      <c r="A83" s="12" t="s">
        <v>24</v>
      </c>
      <c r="B83" s="12" t="s">
        <v>35</v>
      </c>
      <c r="C83" s="12">
        <v>20411454</v>
      </c>
      <c r="D83" s="12" t="s">
        <v>0</v>
      </c>
      <c r="E83" s="13">
        <v>46023</v>
      </c>
      <c r="F83" s="12">
        <v>-150</v>
      </c>
      <c r="G83" s="12" t="s">
        <v>194</v>
      </c>
      <c r="H83" s="12" t="str">
        <f>CONCATENATE(G83,"OVR")</f>
        <v>8U70JY7MM45OVR</v>
      </c>
      <c r="I83" s="12" t="s">
        <v>195</v>
      </c>
      <c r="J83" s="13">
        <v>46023</v>
      </c>
      <c r="K83" s="12" t="s">
        <v>29</v>
      </c>
      <c r="L83" s="12" t="s">
        <v>30</v>
      </c>
      <c r="M83" s="12" t="s">
        <v>31</v>
      </c>
      <c r="N83" s="12" t="s">
        <v>266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spans="1:25" x14ac:dyDescent="0.3">
      <c r="A84" t="s">
        <v>86</v>
      </c>
      <c r="B84" t="s">
        <v>35</v>
      </c>
      <c r="C84">
        <v>20411454</v>
      </c>
      <c r="D84" t="s">
        <v>0</v>
      </c>
      <c r="E84" s="4">
        <v>46023</v>
      </c>
      <c r="F84">
        <v>-150</v>
      </c>
      <c r="G84" t="s">
        <v>95</v>
      </c>
      <c r="H84" t="str">
        <f>CONCATENATE(G84,"OVR")</f>
        <v>5JH4RM5RD87OVR</v>
      </c>
      <c r="I84" t="s">
        <v>96</v>
      </c>
      <c r="J84" s="4">
        <v>46023</v>
      </c>
      <c r="K84" t="s">
        <v>31</v>
      </c>
      <c r="L84" t="s">
        <v>97</v>
      </c>
      <c r="M84" t="s">
        <v>31</v>
      </c>
      <c r="N84" t="s">
        <v>266</v>
      </c>
    </row>
    <row r="85" spans="1:25" x14ac:dyDescent="0.3">
      <c r="A85" t="s">
        <v>86</v>
      </c>
      <c r="B85" t="s">
        <v>35</v>
      </c>
      <c r="C85">
        <v>20411454</v>
      </c>
      <c r="D85" t="s">
        <v>0</v>
      </c>
      <c r="E85" s="4">
        <v>46023</v>
      </c>
      <c r="F85">
        <v>-137.49</v>
      </c>
      <c r="G85" t="s">
        <v>151</v>
      </c>
      <c r="H85" t="str">
        <f>CONCATENATE(G85,"OVR")</f>
        <v>9WP1CV2XW37OVR</v>
      </c>
      <c r="I85" t="s">
        <v>152</v>
      </c>
      <c r="J85" s="4">
        <v>46023</v>
      </c>
      <c r="K85" t="s">
        <v>31</v>
      </c>
      <c r="L85" t="s">
        <v>30</v>
      </c>
      <c r="M85" t="s">
        <v>31</v>
      </c>
      <c r="N85" t="s">
        <v>266</v>
      </c>
    </row>
    <row r="86" spans="1:25" x14ac:dyDescent="0.3">
      <c r="A86" t="s">
        <v>36</v>
      </c>
      <c r="B86" t="s">
        <v>35</v>
      </c>
      <c r="C86">
        <v>20411454</v>
      </c>
      <c r="D86" t="s">
        <v>0</v>
      </c>
      <c r="E86" s="4">
        <v>46023</v>
      </c>
      <c r="F86">
        <v>6.24</v>
      </c>
      <c r="G86" t="s">
        <v>239</v>
      </c>
      <c r="H86" t="str">
        <f>CONCATENATE(G86,"OVR")</f>
        <v>8WR3AN6HR75OVR</v>
      </c>
      <c r="I86" t="s">
        <v>240</v>
      </c>
      <c r="J86" s="4">
        <v>46023</v>
      </c>
      <c r="K86" t="s">
        <v>31</v>
      </c>
      <c r="L86" t="s">
        <v>30</v>
      </c>
      <c r="M86" t="s">
        <v>31</v>
      </c>
      <c r="N86" t="s">
        <v>266</v>
      </c>
    </row>
    <row r="87" spans="1:25" x14ac:dyDescent="0.3">
      <c r="A87" t="s">
        <v>24</v>
      </c>
      <c r="B87" t="s">
        <v>35</v>
      </c>
      <c r="C87">
        <v>20411454</v>
      </c>
      <c r="D87" t="s">
        <v>0</v>
      </c>
      <c r="E87" s="4">
        <v>45778</v>
      </c>
      <c r="F87">
        <v>12.39</v>
      </c>
      <c r="G87" t="s">
        <v>27</v>
      </c>
      <c r="H87" t="str">
        <f>CONCATENATE(G87,"OVR")</f>
        <v>8WK6NQ3KA47OVR</v>
      </c>
      <c r="I87" t="s">
        <v>28</v>
      </c>
      <c r="J87" s="4">
        <v>45778</v>
      </c>
      <c r="K87" t="s">
        <v>29</v>
      </c>
      <c r="L87" t="s">
        <v>30</v>
      </c>
      <c r="M87" t="s">
        <v>31</v>
      </c>
      <c r="N87" t="s">
        <v>266</v>
      </c>
    </row>
    <row r="88" spans="1:25" x14ac:dyDescent="0.3">
      <c r="A88" t="s">
        <v>36</v>
      </c>
      <c r="B88" t="s">
        <v>35</v>
      </c>
      <c r="C88">
        <v>20411454</v>
      </c>
      <c r="D88" t="s">
        <v>0</v>
      </c>
      <c r="E88" s="4">
        <v>46023</v>
      </c>
      <c r="F88">
        <v>12.51</v>
      </c>
      <c r="G88" t="s">
        <v>242</v>
      </c>
      <c r="H88" t="str">
        <f>CONCATENATE(G88,"OVR")</f>
        <v>2GA8K93UK56OVR</v>
      </c>
      <c r="I88" t="s">
        <v>243</v>
      </c>
      <c r="J88" s="4">
        <v>46023</v>
      </c>
      <c r="K88" t="s">
        <v>31</v>
      </c>
      <c r="L88" t="s">
        <v>30</v>
      </c>
      <c r="M88" t="s">
        <v>31</v>
      </c>
      <c r="N88" t="s">
        <v>266</v>
      </c>
    </row>
    <row r="89" spans="1:25" x14ac:dyDescent="0.3">
      <c r="A89" t="s">
        <v>36</v>
      </c>
      <c r="B89" t="s">
        <v>35</v>
      </c>
      <c r="C89">
        <v>20411454</v>
      </c>
      <c r="D89" t="s">
        <v>0</v>
      </c>
      <c r="E89" s="4">
        <v>46023</v>
      </c>
      <c r="F89">
        <v>12.51</v>
      </c>
      <c r="G89" t="s">
        <v>27</v>
      </c>
      <c r="H89" t="str">
        <f>CONCATENATE(G89,"OVR")</f>
        <v>8WK6NQ3KA47OVR</v>
      </c>
      <c r="I89" t="s">
        <v>28</v>
      </c>
      <c r="J89" s="4">
        <v>45778</v>
      </c>
      <c r="K89" t="s">
        <v>29</v>
      </c>
      <c r="L89" t="s">
        <v>30</v>
      </c>
      <c r="M89" t="s">
        <v>31</v>
      </c>
      <c r="N89" t="s">
        <v>266</v>
      </c>
    </row>
    <row r="90" spans="1:25" x14ac:dyDescent="0.3">
      <c r="A90" s="10" t="s">
        <v>36</v>
      </c>
      <c r="B90" s="10" t="s">
        <v>25</v>
      </c>
      <c r="C90" s="10">
        <v>20411454</v>
      </c>
      <c r="D90" s="10" t="s">
        <v>0</v>
      </c>
      <c r="E90" s="11">
        <v>45992</v>
      </c>
      <c r="F90" s="10">
        <v>26.12</v>
      </c>
      <c r="G90" s="10" t="s">
        <v>62</v>
      </c>
      <c r="H90" t="str">
        <f>CONCATENATE(G90,"OVR")</f>
        <v>9ED3UU0DK79OVR</v>
      </c>
      <c r="I90" s="10" t="s">
        <v>63</v>
      </c>
      <c r="J90" s="11">
        <v>45292</v>
      </c>
      <c r="K90" s="10" t="s">
        <v>31</v>
      </c>
      <c r="L90" s="10" t="s">
        <v>64</v>
      </c>
      <c r="M90" s="10" t="s">
        <v>31</v>
      </c>
      <c r="N90" s="10" t="s">
        <v>266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x14ac:dyDescent="0.3">
      <c r="A91" s="10" t="s">
        <v>36</v>
      </c>
      <c r="B91" s="10" t="s">
        <v>25</v>
      </c>
      <c r="C91" s="10">
        <v>20411454</v>
      </c>
      <c r="D91" s="10" t="s">
        <v>0</v>
      </c>
      <c r="E91" s="11">
        <v>45992</v>
      </c>
      <c r="F91" s="10">
        <v>26.12</v>
      </c>
      <c r="G91" s="10" t="s">
        <v>68</v>
      </c>
      <c r="H91" t="str">
        <f>CONCATENATE(G91,"OVR")</f>
        <v>8JY2HT0WT21OVR</v>
      </c>
      <c r="I91" s="10" t="s">
        <v>69</v>
      </c>
      <c r="J91" s="11">
        <v>45717</v>
      </c>
      <c r="K91" s="10" t="s">
        <v>31</v>
      </c>
      <c r="L91" s="10" t="s">
        <v>70</v>
      </c>
      <c r="M91" s="10" t="s">
        <v>31</v>
      </c>
      <c r="N91" s="10" t="s">
        <v>266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x14ac:dyDescent="0.3">
      <c r="A92" s="10" t="s">
        <v>36</v>
      </c>
      <c r="B92" s="10" t="s">
        <v>25</v>
      </c>
      <c r="C92" s="10">
        <v>20411454</v>
      </c>
      <c r="D92" s="10" t="s">
        <v>0</v>
      </c>
      <c r="E92" s="11">
        <v>45992</v>
      </c>
      <c r="F92" s="10">
        <v>26.12</v>
      </c>
      <c r="G92" s="10" t="s">
        <v>45</v>
      </c>
      <c r="H92" t="str">
        <f>CONCATENATE(G92,"OVR")</f>
        <v>9MU4EA3KA64OVR</v>
      </c>
      <c r="I92" s="10" t="s">
        <v>46</v>
      </c>
      <c r="J92" s="11">
        <v>45292</v>
      </c>
      <c r="K92" s="10" t="s">
        <v>31</v>
      </c>
      <c r="L92" s="10" t="s">
        <v>47</v>
      </c>
      <c r="M92" s="10" t="s">
        <v>31</v>
      </c>
      <c r="N92" s="10" t="s">
        <v>266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x14ac:dyDescent="0.3">
      <c r="A93" s="10" t="s">
        <v>36</v>
      </c>
      <c r="B93" s="10" t="s">
        <v>25</v>
      </c>
      <c r="C93" s="10">
        <v>20411454</v>
      </c>
      <c r="D93" s="10" t="s">
        <v>0</v>
      </c>
      <c r="E93" s="11">
        <v>45992</v>
      </c>
      <c r="F93" s="10">
        <v>26.12</v>
      </c>
      <c r="G93" s="10" t="s">
        <v>59</v>
      </c>
      <c r="H93" t="str">
        <f>CONCATENATE(G93,"OVR")</f>
        <v>4X05PQ6CY80OVR</v>
      </c>
      <c r="I93" s="10" t="s">
        <v>60</v>
      </c>
      <c r="J93" s="11">
        <v>45658</v>
      </c>
      <c r="K93" s="10" t="s">
        <v>31</v>
      </c>
      <c r="L93" s="10" t="s">
        <v>47</v>
      </c>
      <c r="M93" s="10" t="s">
        <v>31</v>
      </c>
      <c r="N93" s="10" t="s">
        <v>266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x14ac:dyDescent="0.3">
      <c r="A94" t="s">
        <v>86</v>
      </c>
      <c r="B94" t="s">
        <v>35</v>
      </c>
      <c r="C94">
        <v>20411454</v>
      </c>
      <c r="D94" t="s">
        <v>0</v>
      </c>
      <c r="E94" s="4">
        <v>46023</v>
      </c>
      <c r="F94">
        <v>150</v>
      </c>
      <c r="G94" t="s">
        <v>88</v>
      </c>
      <c r="H94" t="str">
        <f>CONCATENATE(G94,"OVR")</f>
        <v>2TD8YP4RW57OVR</v>
      </c>
      <c r="I94" t="s">
        <v>89</v>
      </c>
      <c r="J94" s="4">
        <v>46023</v>
      </c>
      <c r="K94" t="s">
        <v>31</v>
      </c>
      <c r="L94" t="s">
        <v>90</v>
      </c>
      <c r="M94" t="s">
        <v>31</v>
      </c>
      <c r="N94" t="s">
        <v>266</v>
      </c>
    </row>
    <row r="95" spans="1:25" s="12" customFormat="1" x14ac:dyDescent="0.3">
      <c r="A95" t="s">
        <v>86</v>
      </c>
      <c r="B95" t="s">
        <v>35</v>
      </c>
      <c r="C95">
        <v>20411454</v>
      </c>
      <c r="D95" t="s">
        <v>0</v>
      </c>
      <c r="E95" s="4">
        <v>46023</v>
      </c>
      <c r="F95">
        <v>150</v>
      </c>
      <c r="G95" t="s">
        <v>147</v>
      </c>
      <c r="H95" t="str">
        <f>CONCATENATE(G95,"OVR")</f>
        <v>7V93VG8QC79OVR</v>
      </c>
      <c r="I95" t="s">
        <v>148</v>
      </c>
      <c r="J95" s="4">
        <v>46023</v>
      </c>
      <c r="K95" t="s">
        <v>81</v>
      </c>
      <c r="L95" t="s">
        <v>70</v>
      </c>
      <c r="M95" t="s">
        <v>31</v>
      </c>
      <c r="N95" t="s">
        <v>266</v>
      </c>
      <c r="O95"/>
      <c r="P95"/>
      <c r="Q95"/>
      <c r="R95"/>
      <c r="S95"/>
      <c r="T95"/>
      <c r="U95"/>
      <c r="V95"/>
      <c r="W95"/>
      <c r="X95"/>
      <c r="Y95"/>
    </row>
    <row r="96" spans="1:25" x14ac:dyDescent="0.3">
      <c r="A96" t="s">
        <v>86</v>
      </c>
      <c r="B96" t="s">
        <v>35</v>
      </c>
      <c r="C96">
        <v>20411454</v>
      </c>
      <c r="D96" t="s">
        <v>0</v>
      </c>
      <c r="E96" s="4">
        <v>46023</v>
      </c>
      <c r="F96">
        <v>150</v>
      </c>
      <c r="G96" t="s">
        <v>139</v>
      </c>
      <c r="H96" t="str">
        <f>CONCATENATE(G96,"OVR")</f>
        <v>6MH5Y03WA84OVR</v>
      </c>
      <c r="I96" t="s">
        <v>140</v>
      </c>
      <c r="J96" s="4">
        <v>46023</v>
      </c>
      <c r="K96" t="s">
        <v>31</v>
      </c>
      <c r="L96" t="s">
        <v>141</v>
      </c>
      <c r="M96" t="s">
        <v>31</v>
      </c>
      <c r="N96" t="s">
        <v>266</v>
      </c>
    </row>
    <row r="97" spans="1:14" x14ac:dyDescent="0.3">
      <c r="A97" t="s">
        <v>86</v>
      </c>
      <c r="B97" t="s">
        <v>35</v>
      </c>
      <c r="C97">
        <v>20411454</v>
      </c>
      <c r="D97" t="s">
        <v>0</v>
      </c>
      <c r="E97" s="4">
        <v>46023</v>
      </c>
      <c r="F97">
        <v>150</v>
      </c>
      <c r="G97" t="s">
        <v>174</v>
      </c>
      <c r="H97" t="str">
        <f>CONCATENATE(G97,"OVR")</f>
        <v>5KK8EG1KJ54OVR</v>
      </c>
      <c r="I97" t="s">
        <v>175</v>
      </c>
      <c r="J97" s="4">
        <v>46023</v>
      </c>
      <c r="K97" t="s">
        <v>31</v>
      </c>
      <c r="L97" t="s">
        <v>168</v>
      </c>
      <c r="M97" t="s">
        <v>31</v>
      </c>
      <c r="N97" t="s">
        <v>266</v>
      </c>
    </row>
    <row r="98" spans="1:14" x14ac:dyDescent="0.3">
      <c r="A98" t="s">
        <v>86</v>
      </c>
      <c r="B98" t="s">
        <v>35</v>
      </c>
      <c r="C98">
        <v>20411454</v>
      </c>
      <c r="D98" t="s">
        <v>0</v>
      </c>
      <c r="E98" s="4">
        <v>46023</v>
      </c>
      <c r="F98">
        <v>150</v>
      </c>
      <c r="G98" t="s">
        <v>119</v>
      </c>
      <c r="H98" t="str">
        <f>CONCATENATE(G98,"OVR")</f>
        <v>1WC9F52HG45OVR</v>
      </c>
      <c r="I98" t="s">
        <v>120</v>
      </c>
      <c r="J98" s="4">
        <v>46023</v>
      </c>
      <c r="K98" t="s">
        <v>31</v>
      </c>
      <c r="L98" t="s">
        <v>30</v>
      </c>
      <c r="M98" t="s">
        <v>31</v>
      </c>
      <c r="N98" t="s">
        <v>266</v>
      </c>
    </row>
    <row r="99" spans="1:14" x14ac:dyDescent="0.3">
      <c r="A99" t="s">
        <v>86</v>
      </c>
      <c r="B99" t="s">
        <v>35</v>
      </c>
      <c r="C99">
        <v>20411454</v>
      </c>
      <c r="D99" t="s">
        <v>0</v>
      </c>
      <c r="E99" s="4">
        <v>46023</v>
      </c>
      <c r="F99">
        <v>150</v>
      </c>
      <c r="G99" t="s">
        <v>144</v>
      </c>
      <c r="H99" t="str">
        <f>CONCATENATE(G99,"OVR")</f>
        <v>6Q71D09TY35OVR</v>
      </c>
      <c r="I99" t="s">
        <v>145</v>
      </c>
      <c r="J99" s="4">
        <v>46023</v>
      </c>
      <c r="K99" t="s">
        <v>31</v>
      </c>
      <c r="L99" t="s">
        <v>30</v>
      </c>
      <c r="M99" t="s">
        <v>31</v>
      </c>
      <c r="N99" t="s">
        <v>266</v>
      </c>
    </row>
    <row r="100" spans="1:14" x14ac:dyDescent="0.3">
      <c r="A100" t="s">
        <v>86</v>
      </c>
      <c r="B100" t="s">
        <v>35</v>
      </c>
      <c r="C100">
        <v>20411454</v>
      </c>
      <c r="D100" t="s">
        <v>0</v>
      </c>
      <c r="E100" s="4">
        <v>46023</v>
      </c>
      <c r="F100">
        <v>150</v>
      </c>
      <c r="G100" t="s">
        <v>171</v>
      </c>
      <c r="H100" t="str">
        <f>CONCATENATE(G100,"OVR")</f>
        <v>5CW1G24TT39OVR</v>
      </c>
      <c r="I100" t="s">
        <v>172</v>
      </c>
      <c r="J100" s="4">
        <v>46023</v>
      </c>
      <c r="K100" t="s">
        <v>31</v>
      </c>
      <c r="L100" t="s">
        <v>47</v>
      </c>
      <c r="M100" t="s">
        <v>31</v>
      </c>
      <c r="N100" t="s">
        <v>266</v>
      </c>
    </row>
    <row r="101" spans="1:14" x14ac:dyDescent="0.3">
      <c r="A101" t="s">
        <v>86</v>
      </c>
      <c r="B101" t="s">
        <v>35</v>
      </c>
      <c r="C101">
        <v>20411454</v>
      </c>
      <c r="D101" t="s">
        <v>0</v>
      </c>
      <c r="E101" s="4">
        <v>46023</v>
      </c>
      <c r="F101">
        <v>150</v>
      </c>
      <c r="G101" t="s">
        <v>191</v>
      </c>
      <c r="H101" t="str">
        <f>CONCATENATE(G101,"OVR")</f>
        <v>2RK7A27EA66OVR</v>
      </c>
      <c r="I101" t="s">
        <v>192</v>
      </c>
      <c r="J101" s="4">
        <v>46023</v>
      </c>
      <c r="K101" t="s">
        <v>31</v>
      </c>
      <c r="L101" t="s">
        <v>97</v>
      </c>
      <c r="M101" t="s">
        <v>31</v>
      </c>
      <c r="N101" t="s">
        <v>266</v>
      </c>
    </row>
    <row r="102" spans="1:14" x14ac:dyDescent="0.3">
      <c r="A102" t="s">
        <v>86</v>
      </c>
      <c r="B102" t="s">
        <v>35</v>
      </c>
      <c r="C102">
        <v>20411454</v>
      </c>
      <c r="D102" t="s">
        <v>0</v>
      </c>
      <c r="E102" s="4">
        <v>46023</v>
      </c>
      <c r="F102">
        <v>150</v>
      </c>
      <c r="G102" t="s">
        <v>184</v>
      </c>
      <c r="H102" t="str">
        <f>CONCATENATE(G102,"OVR")</f>
        <v>7M41GH7AR96OVR</v>
      </c>
      <c r="I102" t="s">
        <v>185</v>
      </c>
      <c r="J102" s="4">
        <v>46023</v>
      </c>
      <c r="K102" t="s">
        <v>31</v>
      </c>
      <c r="L102" t="s">
        <v>47</v>
      </c>
      <c r="M102" t="s">
        <v>31</v>
      </c>
      <c r="N102" t="s">
        <v>266</v>
      </c>
    </row>
    <row r="103" spans="1:14" x14ac:dyDescent="0.3">
      <c r="A103" t="s">
        <v>86</v>
      </c>
      <c r="B103" t="s">
        <v>35</v>
      </c>
      <c r="C103">
        <v>20411454</v>
      </c>
      <c r="D103" t="s">
        <v>0</v>
      </c>
      <c r="E103" s="4">
        <v>46023</v>
      </c>
      <c r="F103">
        <v>150</v>
      </c>
      <c r="G103" t="s">
        <v>107</v>
      </c>
      <c r="H103" t="str">
        <f>CONCATENATE(G103,"OVR")</f>
        <v>4HH8NR2AK23OVR</v>
      </c>
      <c r="I103" t="s">
        <v>108</v>
      </c>
      <c r="J103" s="4">
        <v>46023</v>
      </c>
      <c r="K103" t="s">
        <v>31</v>
      </c>
      <c r="L103" t="s">
        <v>30</v>
      </c>
      <c r="M103" t="s">
        <v>31</v>
      </c>
      <c r="N103" t="s">
        <v>266</v>
      </c>
    </row>
    <row r="104" spans="1:14" x14ac:dyDescent="0.3">
      <c r="A104" t="s">
        <v>86</v>
      </c>
      <c r="B104" t="s">
        <v>35</v>
      </c>
      <c r="C104">
        <v>20411454</v>
      </c>
      <c r="D104" t="s">
        <v>0</v>
      </c>
      <c r="E104" s="4">
        <v>46023</v>
      </c>
      <c r="F104">
        <v>150</v>
      </c>
      <c r="G104" t="s">
        <v>166</v>
      </c>
      <c r="H104" t="str">
        <f>CONCATENATE(G104,"OVR")</f>
        <v>4C59KD0TT18OVR</v>
      </c>
      <c r="I104" t="s">
        <v>167</v>
      </c>
      <c r="J104" s="4">
        <v>46023</v>
      </c>
      <c r="K104" t="s">
        <v>31</v>
      </c>
      <c r="L104" t="s">
        <v>168</v>
      </c>
      <c r="M104" t="s">
        <v>31</v>
      </c>
      <c r="N104" t="s">
        <v>266</v>
      </c>
    </row>
    <row r="105" spans="1:14" x14ac:dyDescent="0.3">
      <c r="A105" t="s">
        <v>86</v>
      </c>
      <c r="B105" t="s">
        <v>35</v>
      </c>
      <c r="C105">
        <v>20411454</v>
      </c>
      <c r="D105" t="s">
        <v>0</v>
      </c>
      <c r="E105" s="4">
        <v>46054</v>
      </c>
      <c r="F105">
        <v>150</v>
      </c>
      <c r="G105" t="s">
        <v>221</v>
      </c>
      <c r="H105" t="str">
        <f>CONCATENATE(G105,"OVR")</f>
        <v>4WF0YT2TH30OVR</v>
      </c>
      <c r="I105" t="s">
        <v>222</v>
      </c>
      <c r="J105" s="4">
        <v>46054</v>
      </c>
      <c r="K105" t="s">
        <v>31</v>
      </c>
      <c r="L105" t="s">
        <v>30</v>
      </c>
      <c r="M105" t="s">
        <v>31</v>
      </c>
      <c r="N105" t="s">
        <v>266</v>
      </c>
    </row>
    <row r="106" spans="1:14" x14ac:dyDescent="0.3">
      <c r="A106" t="s">
        <v>86</v>
      </c>
      <c r="B106" t="s">
        <v>35</v>
      </c>
      <c r="C106">
        <v>20411454</v>
      </c>
      <c r="D106" t="s">
        <v>0</v>
      </c>
      <c r="E106" s="4">
        <v>46023</v>
      </c>
      <c r="F106">
        <v>150</v>
      </c>
      <c r="G106" t="s">
        <v>194</v>
      </c>
      <c r="H106" t="str">
        <f>CONCATENATE(G106,"OVR")</f>
        <v>8U70JY7MM45OVR</v>
      </c>
      <c r="I106" t="s">
        <v>195</v>
      </c>
      <c r="J106" s="4">
        <v>46023</v>
      </c>
      <c r="K106" t="s">
        <v>29</v>
      </c>
      <c r="L106" t="s">
        <v>30</v>
      </c>
      <c r="M106" t="s">
        <v>31</v>
      </c>
      <c r="N106" t="s">
        <v>266</v>
      </c>
    </row>
    <row r="107" spans="1:14" x14ac:dyDescent="0.3">
      <c r="A107" t="s">
        <v>86</v>
      </c>
      <c r="B107" t="s">
        <v>35</v>
      </c>
      <c r="C107">
        <v>20411454</v>
      </c>
      <c r="D107" t="s">
        <v>0</v>
      </c>
      <c r="E107" s="4">
        <v>46054</v>
      </c>
      <c r="F107">
        <v>150</v>
      </c>
      <c r="G107" t="s">
        <v>226</v>
      </c>
      <c r="H107" t="str">
        <f>CONCATENATE(G107,"OVR")</f>
        <v>2J36T36TU87OVR</v>
      </c>
      <c r="I107" t="s">
        <v>227</v>
      </c>
      <c r="J107" s="4">
        <v>46054</v>
      </c>
      <c r="K107" t="s">
        <v>81</v>
      </c>
      <c r="L107" t="s">
        <v>30</v>
      </c>
      <c r="M107" t="s">
        <v>31</v>
      </c>
      <c r="N107" t="s">
        <v>266</v>
      </c>
    </row>
    <row r="108" spans="1:14" x14ac:dyDescent="0.3">
      <c r="A108" t="s">
        <v>86</v>
      </c>
      <c r="B108" t="s">
        <v>35</v>
      </c>
      <c r="C108">
        <v>20411454</v>
      </c>
      <c r="D108" t="s">
        <v>0</v>
      </c>
      <c r="E108" s="4">
        <v>46054</v>
      </c>
      <c r="F108">
        <v>150</v>
      </c>
      <c r="G108" t="s">
        <v>218</v>
      </c>
      <c r="H108" t="str">
        <f>CONCATENATE(G108,"OVR")</f>
        <v>8GP5TG3VW67OVR</v>
      </c>
      <c r="I108" t="s">
        <v>219</v>
      </c>
      <c r="J108" s="4">
        <v>46054</v>
      </c>
      <c r="K108" t="s">
        <v>31</v>
      </c>
      <c r="L108" t="s">
        <v>30</v>
      </c>
      <c r="M108" t="s">
        <v>31</v>
      </c>
      <c r="N108" t="s">
        <v>266</v>
      </c>
    </row>
    <row r="109" spans="1:14" x14ac:dyDescent="0.3">
      <c r="A109" t="s">
        <v>86</v>
      </c>
      <c r="B109" t="s">
        <v>35</v>
      </c>
      <c r="C109">
        <v>20411454</v>
      </c>
      <c r="D109" t="s">
        <v>0</v>
      </c>
      <c r="E109" s="4">
        <v>46023</v>
      </c>
      <c r="F109">
        <v>150</v>
      </c>
      <c r="G109" t="s">
        <v>187</v>
      </c>
      <c r="H109" t="str">
        <f>CONCATENATE(G109,"OVR")</f>
        <v>9H74RQ8EY85OVR</v>
      </c>
      <c r="I109" t="s">
        <v>188</v>
      </c>
      <c r="J109" s="4">
        <v>46023</v>
      </c>
      <c r="K109" t="s">
        <v>31</v>
      </c>
      <c r="L109" t="s">
        <v>47</v>
      </c>
      <c r="M109" t="s">
        <v>31</v>
      </c>
      <c r="N109" t="s">
        <v>266</v>
      </c>
    </row>
    <row r="110" spans="1:14" x14ac:dyDescent="0.3">
      <c r="A110" t="s">
        <v>86</v>
      </c>
      <c r="B110" t="s">
        <v>35</v>
      </c>
      <c r="C110">
        <v>20411454</v>
      </c>
      <c r="D110" t="s">
        <v>0</v>
      </c>
      <c r="E110" s="4">
        <v>46023</v>
      </c>
      <c r="F110">
        <v>150</v>
      </c>
      <c r="G110" t="s">
        <v>155</v>
      </c>
      <c r="H110" t="str">
        <f>CONCATENATE(G110,"OVR")</f>
        <v>5XP2MX7QK80OVR</v>
      </c>
      <c r="I110" t="s">
        <v>156</v>
      </c>
      <c r="J110" s="4">
        <v>46023</v>
      </c>
      <c r="K110" t="s">
        <v>31</v>
      </c>
      <c r="L110" t="s">
        <v>157</v>
      </c>
      <c r="M110" t="s">
        <v>31</v>
      </c>
      <c r="N110" t="s">
        <v>266</v>
      </c>
    </row>
    <row r="111" spans="1:14" x14ac:dyDescent="0.3">
      <c r="A111" t="s">
        <v>86</v>
      </c>
      <c r="B111" t="s">
        <v>35</v>
      </c>
      <c r="C111">
        <v>20411454</v>
      </c>
      <c r="D111" t="s">
        <v>0</v>
      </c>
      <c r="E111" s="4">
        <v>46023</v>
      </c>
      <c r="F111">
        <v>150</v>
      </c>
      <c r="G111" t="s">
        <v>181</v>
      </c>
      <c r="H111" t="str">
        <f>CONCATENATE(G111,"OVR")</f>
        <v>7GW0MM9FX04OVR</v>
      </c>
      <c r="I111" t="s">
        <v>182</v>
      </c>
      <c r="J111" s="4">
        <v>46023</v>
      </c>
      <c r="K111" t="s">
        <v>31</v>
      </c>
      <c r="L111" t="s">
        <v>141</v>
      </c>
      <c r="M111" t="s">
        <v>31</v>
      </c>
      <c r="N111" t="s">
        <v>266</v>
      </c>
    </row>
    <row r="112" spans="1:14" x14ac:dyDescent="0.3">
      <c r="A112" t="s">
        <v>86</v>
      </c>
      <c r="B112" t="s">
        <v>35</v>
      </c>
      <c r="C112">
        <v>20411454</v>
      </c>
      <c r="D112" t="s">
        <v>0</v>
      </c>
      <c r="E112" s="4">
        <v>46023</v>
      </c>
      <c r="F112">
        <v>150</v>
      </c>
      <c r="G112" t="s">
        <v>177</v>
      </c>
      <c r="H112" t="str">
        <f>CONCATENATE(G112,"OVR")</f>
        <v>6DH5R24GV61OVR</v>
      </c>
      <c r="I112" t="s">
        <v>178</v>
      </c>
      <c r="J112" s="4">
        <v>46023</v>
      </c>
      <c r="K112" t="s">
        <v>81</v>
      </c>
      <c r="L112" t="s">
        <v>47</v>
      </c>
      <c r="M112" t="s">
        <v>31</v>
      </c>
      <c r="N112" t="s">
        <v>266</v>
      </c>
    </row>
    <row r="113" spans="1:25" x14ac:dyDescent="0.3">
      <c r="A113" t="s">
        <v>86</v>
      </c>
      <c r="B113" t="s">
        <v>35</v>
      </c>
      <c r="C113">
        <v>20411454</v>
      </c>
      <c r="D113" t="s">
        <v>0</v>
      </c>
      <c r="E113" s="4">
        <v>46023</v>
      </c>
      <c r="F113">
        <v>150</v>
      </c>
      <c r="G113" t="s">
        <v>122</v>
      </c>
      <c r="H113" t="str">
        <f>CONCATENATE(G113,"OVR")</f>
        <v>2XC7NJ9HW56OVR</v>
      </c>
      <c r="I113" t="s">
        <v>123</v>
      </c>
      <c r="J113" s="4">
        <v>46023</v>
      </c>
      <c r="K113" t="s">
        <v>31</v>
      </c>
      <c r="L113" t="s">
        <v>30</v>
      </c>
      <c r="M113" t="s">
        <v>31</v>
      </c>
      <c r="N113" t="s">
        <v>266</v>
      </c>
    </row>
    <row r="114" spans="1:25" x14ac:dyDescent="0.3">
      <c r="A114" t="s">
        <v>86</v>
      </c>
      <c r="B114" t="s">
        <v>35</v>
      </c>
      <c r="C114">
        <v>20411454</v>
      </c>
      <c r="D114" t="s">
        <v>0</v>
      </c>
      <c r="E114" s="4">
        <v>46023</v>
      </c>
      <c r="F114">
        <v>150</v>
      </c>
      <c r="G114" t="s">
        <v>95</v>
      </c>
      <c r="H114" t="str">
        <f>CONCATENATE(G114,"OVR")</f>
        <v>5JH4RM5RD87OVR</v>
      </c>
      <c r="I114" t="s">
        <v>96</v>
      </c>
      <c r="J114" s="4">
        <v>46023</v>
      </c>
      <c r="K114" t="s">
        <v>31</v>
      </c>
      <c r="L114" t="s">
        <v>97</v>
      </c>
      <c r="M114" t="s">
        <v>31</v>
      </c>
      <c r="N114" t="s">
        <v>266</v>
      </c>
    </row>
    <row r="115" spans="1:25" x14ac:dyDescent="0.3">
      <c r="A115" t="s">
        <v>86</v>
      </c>
      <c r="B115" t="s">
        <v>35</v>
      </c>
      <c r="C115">
        <v>20411454</v>
      </c>
      <c r="D115" t="s">
        <v>0</v>
      </c>
      <c r="E115" s="4">
        <v>46023</v>
      </c>
      <c r="F115">
        <v>150</v>
      </c>
      <c r="G115" t="s">
        <v>161</v>
      </c>
      <c r="H115" t="str">
        <f>CONCATENATE(G115,"OVR")</f>
        <v>8WC1GX7PN29OVR</v>
      </c>
      <c r="I115" t="s">
        <v>162</v>
      </c>
      <c r="J115" s="4">
        <v>46023</v>
      </c>
      <c r="K115" t="s">
        <v>31</v>
      </c>
      <c r="L115" t="s">
        <v>157</v>
      </c>
      <c r="M115" t="s">
        <v>31</v>
      </c>
      <c r="N115" t="s">
        <v>266</v>
      </c>
    </row>
    <row r="116" spans="1:25" x14ac:dyDescent="0.3">
      <c r="A116" t="s">
        <v>24</v>
      </c>
      <c r="B116" t="s">
        <v>35</v>
      </c>
      <c r="C116">
        <v>20411454</v>
      </c>
      <c r="D116" t="s">
        <v>0</v>
      </c>
      <c r="E116" s="4">
        <v>46023</v>
      </c>
      <c r="F116">
        <v>150</v>
      </c>
      <c r="G116" t="s">
        <v>79</v>
      </c>
      <c r="H116" t="str">
        <f>CONCATENATE(G116,"OVR")</f>
        <v>3WH2GG0KD17OVR</v>
      </c>
      <c r="I116" t="s">
        <v>80</v>
      </c>
      <c r="J116" s="4">
        <v>46023</v>
      </c>
      <c r="K116" t="s">
        <v>81</v>
      </c>
      <c r="L116" t="s">
        <v>82</v>
      </c>
      <c r="M116" t="s">
        <v>31</v>
      </c>
      <c r="N116" t="s">
        <v>266</v>
      </c>
    </row>
    <row r="117" spans="1:25" x14ac:dyDescent="0.3">
      <c r="A117" t="s">
        <v>86</v>
      </c>
      <c r="B117" t="s">
        <v>35</v>
      </c>
      <c r="C117">
        <v>20411454</v>
      </c>
      <c r="D117" t="s">
        <v>0</v>
      </c>
      <c r="E117" s="4">
        <v>46023</v>
      </c>
      <c r="F117">
        <v>150</v>
      </c>
      <c r="G117" t="s">
        <v>151</v>
      </c>
      <c r="H117" t="str">
        <f>CONCATENATE(G117,"OVR")</f>
        <v>9WP1CV2XW37OVR</v>
      </c>
      <c r="I117" t="s">
        <v>152</v>
      </c>
      <c r="J117" s="4">
        <v>46023</v>
      </c>
      <c r="K117" t="s">
        <v>31</v>
      </c>
      <c r="L117" t="s">
        <v>30</v>
      </c>
      <c r="M117" t="s">
        <v>31</v>
      </c>
      <c r="N117" t="s">
        <v>266</v>
      </c>
    </row>
    <row r="118" spans="1:25" x14ac:dyDescent="0.3">
      <c r="A118" t="s">
        <v>86</v>
      </c>
      <c r="B118" t="s">
        <v>35</v>
      </c>
      <c r="C118">
        <v>20411454</v>
      </c>
      <c r="D118" t="s">
        <v>0</v>
      </c>
      <c r="E118" s="4">
        <v>46023</v>
      </c>
      <c r="F118">
        <v>150</v>
      </c>
      <c r="G118" t="s">
        <v>111</v>
      </c>
      <c r="H118" t="str">
        <f>CONCATENATE(G118,"OVR")</f>
        <v>6EY5MG1TU92OVR</v>
      </c>
      <c r="I118" t="s">
        <v>112</v>
      </c>
      <c r="J118" s="4">
        <v>46023</v>
      </c>
      <c r="K118" t="s">
        <v>31</v>
      </c>
      <c r="L118" t="s">
        <v>30</v>
      </c>
      <c r="M118" t="s">
        <v>31</v>
      </c>
      <c r="N118" t="s">
        <v>266</v>
      </c>
    </row>
    <row r="119" spans="1:25" x14ac:dyDescent="0.3">
      <c r="A119" t="s">
        <v>86</v>
      </c>
      <c r="B119" t="s">
        <v>35</v>
      </c>
      <c r="C119">
        <v>20411454</v>
      </c>
      <c r="D119" t="s">
        <v>0</v>
      </c>
      <c r="E119" s="4">
        <v>46023</v>
      </c>
      <c r="F119">
        <v>150</v>
      </c>
      <c r="G119" t="s">
        <v>207</v>
      </c>
      <c r="H119" t="str">
        <f>CONCATENATE(G119,"OVR")</f>
        <v>9U67WU6HE20OVR</v>
      </c>
      <c r="I119" t="s">
        <v>208</v>
      </c>
      <c r="J119" s="4">
        <v>46023</v>
      </c>
      <c r="K119" t="s">
        <v>31</v>
      </c>
      <c r="L119" t="s">
        <v>209</v>
      </c>
      <c r="M119" t="s">
        <v>31</v>
      </c>
      <c r="N119" t="s">
        <v>266</v>
      </c>
    </row>
    <row r="120" spans="1:25" x14ac:dyDescent="0.3">
      <c r="A120" t="s">
        <v>86</v>
      </c>
      <c r="B120" t="s">
        <v>35</v>
      </c>
      <c r="C120">
        <v>20411454</v>
      </c>
      <c r="D120" t="s">
        <v>0</v>
      </c>
      <c r="E120" s="4">
        <v>46023</v>
      </c>
      <c r="F120">
        <v>150</v>
      </c>
      <c r="G120" t="s">
        <v>101</v>
      </c>
      <c r="H120" t="str">
        <f>CONCATENATE(G120,"OVR")</f>
        <v>2QY6PD9CA50OVR</v>
      </c>
      <c r="I120" t="s">
        <v>102</v>
      </c>
      <c r="J120" s="4">
        <v>46023</v>
      </c>
      <c r="L120" t="s">
        <v>30</v>
      </c>
      <c r="M120" t="s">
        <v>31</v>
      </c>
      <c r="N120" t="s">
        <v>266</v>
      </c>
    </row>
    <row r="121" spans="1:25" x14ac:dyDescent="0.3">
      <c r="A121" t="s">
        <v>86</v>
      </c>
      <c r="B121" t="s">
        <v>35</v>
      </c>
      <c r="C121">
        <v>20411454</v>
      </c>
      <c r="D121" t="s">
        <v>0</v>
      </c>
      <c r="E121" s="4">
        <v>46023</v>
      </c>
      <c r="F121">
        <v>150</v>
      </c>
      <c r="G121" t="s">
        <v>128</v>
      </c>
      <c r="H121" t="str">
        <f>CONCATENATE(G121,"OVR")</f>
        <v>9F12R28QC81OVR</v>
      </c>
      <c r="I121" t="s">
        <v>129</v>
      </c>
      <c r="J121" s="4">
        <v>46023</v>
      </c>
      <c r="K121" t="s">
        <v>31</v>
      </c>
      <c r="L121" t="s">
        <v>30</v>
      </c>
      <c r="M121" t="s">
        <v>31</v>
      </c>
      <c r="N121" t="s">
        <v>266</v>
      </c>
    </row>
    <row r="122" spans="1:25" x14ac:dyDescent="0.3">
      <c r="A122" t="s">
        <v>86</v>
      </c>
      <c r="B122" t="s">
        <v>35</v>
      </c>
      <c r="C122">
        <v>20411454</v>
      </c>
      <c r="D122" t="s">
        <v>0</v>
      </c>
      <c r="E122" s="4">
        <v>46023</v>
      </c>
      <c r="F122">
        <v>150</v>
      </c>
      <c r="G122" t="s">
        <v>132</v>
      </c>
      <c r="H122" t="str">
        <f>CONCATENATE(G122,"OVR")</f>
        <v>7F01YU6WJ26OVR</v>
      </c>
      <c r="I122" t="s">
        <v>133</v>
      </c>
      <c r="J122" s="4">
        <v>46023</v>
      </c>
      <c r="K122" t="s">
        <v>29</v>
      </c>
      <c r="L122" t="s">
        <v>134</v>
      </c>
      <c r="M122" t="s">
        <v>31</v>
      </c>
      <c r="N122" t="s">
        <v>266</v>
      </c>
    </row>
    <row r="123" spans="1:25" x14ac:dyDescent="0.3">
      <c r="A123" t="s">
        <v>86</v>
      </c>
      <c r="B123" t="s">
        <v>35</v>
      </c>
      <c r="C123">
        <v>20411454</v>
      </c>
      <c r="D123" t="s">
        <v>0</v>
      </c>
      <c r="E123" s="4">
        <v>46023</v>
      </c>
      <c r="F123">
        <v>150</v>
      </c>
      <c r="G123" t="s">
        <v>197</v>
      </c>
      <c r="H123" t="str">
        <f>CONCATENATE(G123,"OVR")</f>
        <v>9U89VC3EP28OVR</v>
      </c>
      <c r="I123" t="s">
        <v>198</v>
      </c>
      <c r="J123" s="4">
        <v>46023</v>
      </c>
      <c r="K123" t="s">
        <v>31</v>
      </c>
      <c r="L123" t="s">
        <v>157</v>
      </c>
      <c r="M123" t="s">
        <v>31</v>
      </c>
      <c r="N123" t="s">
        <v>266</v>
      </c>
    </row>
    <row r="124" spans="1:25" s="10" customFormat="1" x14ac:dyDescent="0.3">
      <c r="A124" t="s">
        <v>86</v>
      </c>
      <c r="B124" t="s">
        <v>35</v>
      </c>
      <c r="C124">
        <v>20411454</v>
      </c>
      <c r="D124" t="s">
        <v>0</v>
      </c>
      <c r="E124" s="4">
        <v>46023</v>
      </c>
      <c r="F124">
        <v>150</v>
      </c>
      <c r="G124" t="s">
        <v>214</v>
      </c>
      <c r="H124" t="str">
        <f>CONCATENATE(G124,"OVR")</f>
        <v>6F61RW5DW92OVR</v>
      </c>
      <c r="I124" t="s">
        <v>215</v>
      </c>
      <c r="J124" s="4">
        <v>46023</v>
      </c>
      <c r="K124" t="s">
        <v>31</v>
      </c>
      <c r="L124" t="s">
        <v>54</v>
      </c>
      <c r="M124" t="s">
        <v>31</v>
      </c>
      <c r="N124" t="s">
        <v>266</v>
      </c>
      <c r="O124"/>
      <c r="P124"/>
      <c r="Q124"/>
      <c r="R124"/>
      <c r="S124"/>
      <c r="T124"/>
      <c r="U124"/>
      <c r="V124"/>
      <c r="W124"/>
      <c r="X124"/>
      <c r="Y124"/>
    </row>
    <row r="125" spans="1:25" s="10" customFormat="1" x14ac:dyDescent="0.3">
      <c r="A125" t="s">
        <v>86</v>
      </c>
      <c r="B125" t="s">
        <v>35</v>
      </c>
      <c r="C125">
        <v>20411454</v>
      </c>
      <c r="D125" t="s">
        <v>0</v>
      </c>
      <c r="E125" s="4">
        <v>46023</v>
      </c>
      <c r="F125">
        <v>150</v>
      </c>
      <c r="G125" t="s">
        <v>115</v>
      </c>
      <c r="H125" t="str">
        <f>CONCATENATE(G125,"OVR")</f>
        <v>7WJ7QJ1TH52OVR</v>
      </c>
      <c r="I125" t="s">
        <v>116</v>
      </c>
      <c r="J125" s="4">
        <v>46023</v>
      </c>
      <c r="K125" t="s">
        <v>81</v>
      </c>
      <c r="L125" t="s">
        <v>70</v>
      </c>
      <c r="M125" t="s">
        <v>31</v>
      </c>
      <c r="N125" t="s">
        <v>266</v>
      </c>
      <c r="O125"/>
      <c r="P125"/>
      <c r="Q125"/>
      <c r="R125"/>
      <c r="S125"/>
      <c r="T125"/>
      <c r="U125"/>
      <c r="V125"/>
      <c r="W125"/>
      <c r="X125"/>
      <c r="Y125"/>
    </row>
    <row r="126" spans="1:25" s="10" customFormat="1" x14ac:dyDescent="0.3">
      <c r="A126" t="s">
        <v>86</v>
      </c>
      <c r="B126" t="s">
        <v>35</v>
      </c>
      <c r="C126">
        <v>20411454</v>
      </c>
      <c r="D126" t="s">
        <v>0</v>
      </c>
      <c r="E126" s="4">
        <v>46023</v>
      </c>
      <c r="F126">
        <v>150</v>
      </c>
      <c r="G126" t="s">
        <v>201</v>
      </c>
      <c r="H126" t="str">
        <f>CONCATENATE(G126,"OVR")</f>
        <v>3Y35Q73QQ64OVR</v>
      </c>
      <c r="I126" t="s">
        <v>202</v>
      </c>
      <c r="J126" s="4">
        <v>46023</v>
      </c>
      <c r="K126" t="s">
        <v>31</v>
      </c>
      <c r="L126" t="s">
        <v>30</v>
      </c>
      <c r="M126" t="s">
        <v>31</v>
      </c>
      <c r="N126" t="s">
        <v>266</v>
      </c>
      <c r="O126"/>
      <c r="P126"/>
      <c r="Q126"/>
      <c r="R126"/>
      <c r="S126"/>
      <c r="T126"/>
      <c r="U126"/>
      <c r="V126"/>
      <c r="W126"/>
      <c r="X126"/>
      <c r="Y126"/>
    </row>
    <row r="127" spans="1:25" s="10" customFormat="1" x14ac:dyDescent="0.3">
      <c r="A127" t="s">
        <v>86</v>
      </c>
      <c r="B127" t="s">
        <v>35</v>
      </c>
      <c r="C127">
        <v>20411454</v>
      </c>
      <c r="D127" t="s">
        <v>0</v>
      </c>
      <c r="E127" s="4">
        <v>46023</v>
      </c>
      <c r="F127">
        <v>150</v>
      </c>
      <c r="G127" t="s">
        <v>125</v>
      </c>
      <c r="H127" t="str">
        <f>CONCATENATE(G127,"OVR")</f>
        <v>5FT2DF7HE96OVR</v>
      </c>
      <c r="I127" t="s">
        <v>126</v>
      </c>
      <c r="J127" s="4">
        <v>46023</v>
      </c>
      <c r="K127" t="s">
        <v>31</v>
      </c>
      <c r="L127" t="s">
        <v>30</v>
      </c>
      <c r="M127" t="s">
        <v>31</v>
      </c>
      <c r="N127" t="s">
        <v>266</v>
      </c>
      <c r="O127"/>
      <c r="P127"/>
      <c r="Q127"/>
      <c r="R127"/>
      <c r="S127"/>
      <c r="T127"/>
      <c r="U127"/>
      <c r="V127"/>
      <c r="W127"/>
      <c r="X127"/>
      <c r="Y127"/>
    </row>
  </sheetData>
  <sortState xmlns:xlrd2="http://schemas.microsoft.com/office/spreadsheetml/2017/richdata2" ref="A2:Y127">
    <sortCondition ref="N2:N12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446_3206403_Detail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</cp:lastModifiedBy>
  <dcterms:created xsi:type="dcterms:W3CDTF">2026-02-17T13:24:58Z</dcterms:created>
  <dcterms:modified xsi:type="dcterms:W3CDTF">2026-02-19T14:59:08Z</dcterms:modified>
</cp:coreProperties>
</file>