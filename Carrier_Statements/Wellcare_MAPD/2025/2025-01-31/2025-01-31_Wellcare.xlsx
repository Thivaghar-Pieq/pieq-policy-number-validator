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2025/1-31-25/"/>
    </mc:Choice>
  </mc:AlternateContent>
  <xr:revisionPtr revIDLastSave="0" documentId="13_ncr:1_{FAC86A48-3587-6140-A0A2-C7EB3C24F980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2" i="4"/>
</calcChain>
</file>

<file path=xl/sharedStrings.xml><?xml version="1.0" encoding="utf-8"?>
<sst xmlns="http://schemas.openxmlformats.org/spreadsheetml/2006/main" count="268" uniqueCount="98">
  <si>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</si>
  <si>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</si>
  <si>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</si>
  <si>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</si>
  <si>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</si>
  <si>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</si>
  <si>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</si>
  <si>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</si>
  <si>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</si>
  <si>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</si>
  <si>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</si>
  <si>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</si>
  <si>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</si>
  <si>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</si>
  <si>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</si>
  <si>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</si>
  <si>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</si>
  <si>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</si>
  <si>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</si>
  <si>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</si>
  <si>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</si>
  <si>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</si>
  <si>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</si>
  <si>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</si>
  <si>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</si>
  <si>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</si>
  <si>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</si>
  <si>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</si>
  <si>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</si>
  <si>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</si>
  <si>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</si>
  <si>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</si>
  <si>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</si>
  <si>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</si>
  <si>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</si>
  <si>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</si>
  <si>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</si>
  <si>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</si>
  <si>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</si>
  <si>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</si>
  <si>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13496370</t>
  </si>
  <si>
    <t>LANEECE WHITE</t>
  </si>
  <si>
    <t>8JY2HT0WT21</t>
  </si>
  <si>
    <t>EDWARDO ESTRADA</t>
  </si>
  <si>
    <t>MAPD</t>
  </si>
  <si>
    <t>TX</t>
  </si>
  <si>
    <t>Wellcare No Premium (HMO)</t>
  </si>
  <si>
    <t>H5294</t>
  </si>
  <si>
    <t>018</t>
  </si>
  <si>
    <t>C4062655301</t>
  </si>
  <si>
    <t>17425766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</si>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</sst>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baseColWidth="10" defaultColWidth="8.83203125" defaultRowHeight="15" x14ac:dyDescent="0.2"/>
  <cols>
    <col min="1" max="1" width="25" customWidth="1"/>
    <col min="2" max="2" width="35" customWidth="1"/>
    <col min="3" max="3" width="20" customWidth="1"/>
  </cols>
  <sheetData>
    <row r="1" spans="1:3" x14ac:dyDescent="0.2">
      <c r="A1" t="s">
        <v>1</v>
      </c>
      <c r="B1" t="s">
        <v>4</v>
      </c>
    </row>
    <row r="2" spans="1:3" x14ac:dyDescent="0.2">
      <c r="A2" t="s">
        <v>2</v>
      </c>
      <c r="B2">
        <v>20411454</v>
      </c>
    </row>
    <row r="3" spans="1:3" x14ac:dyDescent="0.2">
      <c r="A3" t="s">
        <v>3</v>
      </c>
      <c r="B3" s="1">
        <v>45688</v>
      </c>
    </row>
    <row r="5" spans="1:3" x14ac:dyDescent="0.2">
      <c r="A5" t="s">
        <v>5</v>
      </c>
      <c r="B5" t="s">
        <v>6</v>
      </c>
      <c r="C5" s="2" t="s">
        <v>7</v>
      </c>
    </row>
    <row r="6" spans="1:3" x14ac:dyDescent="0.2">
      <c r="A6" t="s">
        <v>8</v>
      </c>
      <c r="B6">
        <v>0</v>
      </c>
      <c r="C6" s="2">
        <v>0</v>
      </c>
    </row>
    <row r="7" spans="1:3" x14ac:dyDescent="0.2">
      <c r="A7" t="s">
        <v>9</v>
      </c>
      <c r="B7">
        <v>7</v>
      </c>
      <c r="C7" s="2">
        <v>133.74</v>
      </c>
    </row>
    <row r="8" spans="1:3" x14ac:dyDescent="0.2">
      <c r="A8" t="s">
        <v>10</v>
      </c>
      <c r="B8">
        <v>0</v>
      </c>
      <c r="C8" s="2">
        <v>0</v>
      </c>
    </row>
    <row r="9" spans="1:3" x14ac:dyDescent="0.2">
      <c r="A9" t="s">
        <v>11</v>
      </c>
      <c r="B9">
        <v>0</v>
      </c>
      <c r="C9" s="2">
        <v>0</v>
      </c>
    </row>
    <row r="10" spans="1:3" x14ac:dyDescent="0.2">
      <c r="A10" t="s">
        <v>12</v>
      </c>
      <c r="B10">
        <v>0</v>
      </c>
      <c r="C10" s="2">
        <v>0</v>
      </c>
    </row>
    <row r="11" spans="1:3" x14ac:dyDescent="0.2">
      <c r="A11" t="s">
        <v>13</v>
      </c>
      <c r="B11">
        <v>0</v>
      </c>
      <c r="C11" s="2">
        <v>0</v>
      </c>
    </row>
    <row r="12" spans="1:3" x14ac:dyDescent="0.2">
      <c r="A12" t="s">
        <v>14</v>
      </c>
      <c r="C12" s="2">
        <v>0</v>
      </c>
    </row>
    <row r="13" spans="1:3" x14ac:dyDescent="0.2">
      <c r="A13" t="s">
        <v>15</v>
      </c>
      <c r="B13">
        <v>7</v>
      </c>
      <c r="C13" s="2">
        <v>133.74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5" max="5" width="11.5" bestFit="1" customWidth="1"/>
    <col min="6" max="6" width="20.33203125" bestFit="1" customWidth="1"/>
    <col min="7" max="7" width="11.6640625" bestFit="1" customWidth="1"/>
    <col min="8" max="8" width="16.6640625" bestFit="1" customWidth="1"/>
    <col min="9" max="9" width="34.1640625" bestFit="1" customWidth="1"/>
    <col min="10" max="10" width="20.83203125" bestFit="1" customWidth="1"/>
    <col min="11" max="11" width="11.6640625" bestFit="1" customWidth="1"/>
    <col min="12" max="12" width="13.5" bestFit="1" customWidth="1"/>
    <col min="13" max="13" width="10.1640625" bestFit="1" customWidth="1"/>
    <col min="14" max="14" width="14.5" bestFit="1" customWidth="1"/>
    <col min="15" max="15" width="11.33203125" bestFit="1" customWidth="1"/>
    <col min="16" max="16" width="9.6640625" bestFit="1" customWidth="1"/>
    <col min="17" max="17" width="36.83203125" bestFit="1" customWidth="1"/>
    <col min="18" max="18" width="21" bestFit="1" customWidth="1"/>
    <col min="19" max="19" width="18.6640625" bestFit="1" customWidth="1"/>
    <col min="20" max="20" width="13.33203125" bestFit="1" customWidth="1"/>
    <col min="21" max="21" width="4.5" bestFit="1" customWidth="1"/>
    <col min="22" max="22" width="11.33203125" bestFit="1" customWidth="1"/>
    <col min="23" max="23" width="13.33203125" bestFit="1" customWidth="1"/>
  </cols>
  <sheetData>
    <row r="1" spans="1:23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45658</v>
      </c>
      <c r="H2" s="2">
        <v>26.08</v>
      </c>
      <c r="I2" t="s">
        <v>42</v>
      </c>
      <c r="J2" t="s">
        <v>43</v>
      </c>
      <c r="K2" s="3">
        <v>45132</v>
      </c>
      <c r="L2" s="3">
        <v>45139</v>
      </c>
      <c r="M2">
        <v>4</v>
      </c>
      <c r="N2" t="s">
        <v>44</v>
      </c>
      <c r="O2" t="s">
        <v>45</v>
      </c>
      <c r="P2" t="s">
        <v>44</v>
      </c>
      <c r="Q2" t="s">
        <v>46</v>
      </c>
      <c r="R2" s="3">
        <v>44805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">
      <c r="A3" t="s">
        <v>38</v>
      </c>
      <c r="B3" t="s">
        <v>39</v>
      </c>
      <c r="C3" t="s">
        <v>50</v>
      </c>
      <c r="D3" t="s">
        <v>51</v>
      </c>
      <c r="E3" t="s">
        <v>50</v>
      </c>
      <c r="F3" t="s">
        <v>51</v>
      </c>
      <c r="G3" s="3">
        <v>45658</v>
      </c>
      <c r="H3" s="2">
        <v>29.42</v>
      </c>
      <c r="I3" t="s">
        <v>52</v>
      </c>
      <c r="J3" t="s">
        <v>53</v>
      </c>
      <c r="K3" s="3">
        <v>44860</v>
      </c>
      <c r="L3" s="3">
        <v>44927</v>
      </c>
      <c r="M3">
        <v>7</v>
      </c>
      <c r="N3" t="s">
        <v>0</v>
      </c>
      <c r="O3" t="s">
        <v>54</v>
      </c>
      <c r="P3" t="s">
        <v>44</v>
      </c>
      <c r="Q3" t="s">
        <v>55</v>
      </c>
      <c r="R3" s="3">
        <v>44562</v>
      </c>
      <c r="S3" t="s">
        <v>0</v>
      </c>
      <c r="T3" t="s">
        <v>56</v>
      </c>
      <c r="U3" t="s">
        <v>57</v>
      </c>
      <c r="V3" t="s">
        <v>0</v>
      </c>
      <c r="W3" t="s">
        <v>58</v>
      </c>
    </row>
    <row r="4" spans="1:23" x14ac:dyDescent="0.2">
      <c r="A4" t="s">
        <v>38</v>
      </c>
      <c r="B4" t="s">
        <v>39</v>
      </c>
      <c r="C4" t="s">
        <v>50</v>
      </c>
      <c r="D4" t="s">
        <v>51</v>
      </c>
      <c r="E4" t="s">
        <v>50</v>
      </c>
      <c r="F4" t="s">
        <v>51</v>
      </c>
      <c r="G4" s="3">
        <v>45658</v>
      </c>
      <c r="H4" s="2">
        <v>26.08</v>
      </c>
      <c r="I4" t="s">
        <v>59</v>
      </c>
      <c r="J4" t="s">
        <v>60</v>
      </c>
      <c r="K4" s="3">
        <v>45216</v>
      </c>
      <c r="L4" s="3">
        <v>45292</v>
      </c>
      <c r="M4">
        <v>5</v>
      </c>
      <c r="N4" t="s">
        <v>44</v>
      </c>
      <c r="O4" t="s">
        <v>61</v>
      </c>
      <c r="P4" t="s">
        <v>44</v>
      </c>
      <c r="Q4" t="s">
        <v>46</v>
      </c>
      <c r="R4" s="3">
        <v>44197</v>
      </c>
      <c r="S4" t="s">
        <v>0</v>
      </c>
      <c r="T4" t="s">
        <v>62</v>
      </c>
      <c r="U4" t="s">
        <v>63</v>
      </c>
      <c r="V4" t="s">
        <v>0</v>
      </c>
      <c r="W4" t="s">
        <v>64</v>
      </c>
    </row>
    <row r="5" spans="1:23" x14ac:dyDescent="0.2">
      <c r="A5" t="s">
        <v>38</v>
      </c>
      <c r="B5" t="s">
        <v>39</v>
      </c>
      <c r="C5" t="s">
        <v>65</v>
      </c>
      <c r="D5" t="s">
        <v>66</v>
      </c>
      <c r="E5" t="s">
        <v>65</v>
      </c>
      <c r="F5" t="s">
        <v>66</v>
      </c>
      <c r="G5" s="3">
        <v>45658</v>
      </c>
      <c r="H5" s="2">
        <v>0</v>
      </c>
      <c r="I5" t="s">
        <v>67</v>
      </c>
      <c r="J5" t="s">
        <v>68</v>
      </c>
      <c r="K5" s="3">
        <v>45615</v>
      </c>
      <c r="L5" s="3">
        <v>45658</v>
      </c>
      <c r="M5">
        <v>5</v>
      </c>
      <c r="N5" t="s">
        <v>44</v>
      </c>
      <c r="O5" t="s">
        <v>69</v>
      </c>
      <c r="P5" t="s">
        <v>44</v>
      </c>
      <c r="Q5" t="s">
        <v>70</v>
      </c>
      <c r="R5" s="3">
        <v>44287</v>
      </c>
      <c r="S5" t="s">
        <v>0</v>
      </c>
      <c r="T5" t="s">
        <v>71</v>
      </c>
      <c r="U5" t="s">
        <v>72</v>
      </c>
      <c r="V5" t="s">
        <v>0</v>
      </c>
      <c r="W5" t="s">
        <v>73</v>
      </c>
    </row>
    <row r="6" spans="1:23" x14ac:dyDescent="0.2">
      <c r="A6" t="s">
        <v>38</v>
      </c>
      <c r="B6" t="s">
        <v>39</v>
      </c>
      <c r="C6" t="s">
        <v>74</v>
      </c>
      <c r="D6" t="s">
        <v>75</v>
      </c>
      <c r="E6" t="s">
        <v>74</v>
      </c>
      <c r="F6" t="s">
        <v>75</v>
      </c>
      <c r="G6" s="3">
        <v>45658</v>
      </c>
      <c r="H6" s="2">
        <v>26.08</v>
      </c>
      <c r="I6" t="s">
        <v>76</v>
      </c>
      <c r="J6" t="s">
        <v>77</v>
      </c>
      <c r="K6" s="3">
        <v>45633</v>
      </c>
      <c r="L6" s="3">
        <v>45658</v>
      </c>
      <c r="M6">
        <v>15</v>
      </c>
      <c r="N6" t="s">
        <v>44</v>
      </c>
      <c r="O6" t="s">
        <v>61</v>
      </c>
      <c r="P6" t="s">
        <v>44</v>
      </c>
      <c r="Q6" t="s">
        <v>46</v>
      </c>
      <c r="R6" s="3">
        <v>41760</v>
      </c>
      <c r="S6" t="s">
        <v>0</v>
      </c>
      <c r="T6" t="s">
        <v>62</v>
      </c>
      <c r="U6" t="s">
        <v>78</v>
      </c>
      <c r="V6" t="s">
        <v>0</v>
      </c>
      <c r="W6" t="s">
        <v>79</v>
      </c>
    </row>
    <row r="7" spans="1:23" x14ac:dyDescent="0.2">
      <c r="A7" t="s">
        <v>38</v>
      </c>
      <c r="B7" t="s">
        <v>39</v>
      </c>
      <c r="C7" t="s">
        <v>74</v>
      </c>
      <c r="D7" t="s">
        <v>75</v>
      </c>
      <c r="E7" t="s">
        <v>74</v>
      </c>
      <c r="F7" t="s">
        <v>75</v>
      </c>
      <c r="G7" s="3">
        <v>45658</v>
      </c>
      <c r="H7" s="2">
        <v>26.08</v>
      </c>
      <c r="I7" t="s">
        <v>80</v>
      </c>
      <c r="J7" t="s">
        <v>81</v>
      </c>
      <c r="K7" s="3">
        <v>45259</v>
      </c>
      <c r="L7" s="3">
        <v>45292</v>
      </c>
      <c r="M7">
        <v>3</v>
      </c>
      <c r="N7" t="s">
        <v>44</v>
      </c>
      <c r="O7" t="s">
        <v>82</v>
      </c>
      <c r="P7" t="s">
        <v>44</v>
      </c>
      <c r="Q7" t="s">
        <v>83</v>
      </c>
      <c r="R7" s="3">
        <v>45292</v>
      </c>
      <c r="S7" t="s">
        <v>0</v>
      </c>
      <c r="T7" t="s">
        <v>84</v>
      </c>
      <c r="U7" t="s">
        <v>85</v>
      </c>
      <c r="V7" t="s">
        <v>0</v>
      </c>
      <c r="W7" t="s">
        <v>86</v>
      </c>
    </row>
    <row r="8" spans="1:23" x14ac:dyDescent="0.2">
      <c r="A8" t="s">
        <v>38</v>
      </c>
      <c r="B8" t="s">
        <v>39</v>
      </c>
      <c r="C8" t="s">
        <v>87</v>
      </c>
      <c r="D8" t="s">
        <v>88</v>
      </c>
      <c r="E8" t="s">
        <v>87</v>
      </c>
      <c r="F8" t="s">
        <v>88</v>
      </c>
      <c r="G8" s="3">
        <v>45658</v>
      </c>
      <c r="H8" s="2">
        <v>0</v>
      </c>
      <c r="I8" t="s">
        <v>89</v>
      </c>
      <c r="J8" t="s">
        <v>90</v>
      </c>
      <c r="K8" s="3">
        <v>45120</v>
      </c>
      <c r="L8" s="3">
        <v>45139</v>
      </c>
      <c r="M8">
        <v>3</v>
      </c>
      <c r="N8" t="s">
        <v>91</v>
      </c>
      <c r="O8" t="s">
        <v>92</v>
      </c>
      <c r="P8" t="s">
        <v>44</v>
      </c>
      <c r="Q8" t="s">
        <v>93</v>
      </c>
      <c r="R8" s="3">
        <v>45139</v>
      </c>
      <c r="S8" t="s">
        <v>0</v>
      </c>
      <c r="T8" t="s">
        <v>94</v>
      </c>
      <c r="U8" t="s">
        <v>95</v>
      </c>
      <c r="V8" t="s">
        <v>0</v>
      </c>
      <c r="W8" t="s">
        <v>96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2534-0191-1F4A-942E-542E0CB848CB}">
  <dimension ref="A1:V6"/>
  <sheetViews>
    <sheetView tabSelected="1" topLeftCell="E1" workbookViewId="0">
      <selection activeCell="F2" sqref="F2:F6"/>
    </sheetView>
  </sheetViews>
  <sheetFormatPr baseColWidth="10" defaultColWidth="8.83203125" defaultRowHeight="15" x14ac:dyDescent="0.2"/>
  <cols>
    <col min="1" max="2" width="15" customWidth="1"/>
    <col min="3" max="3" width="11.5" bestFit="1" customWidth="1"/>
    <col min="4" max="4" width="20.33203125" bestFit="1" customWidth="1"/>
    <col min="5" max="5" width="11.6640625" bestFit="1" customWidth="1"/>
    <col min="6" max="6" width="16.6640625" bestFit="1" customWidth="1"/>
    <col min="7" max="7" width="34.1640625" bestFit="1" customWidth="1"/>
    <col min="8" max="8" width="34.1640625" customWidth="1"/>
    <col min="9" max="9" width="20.83203125" bestFit="1" customWidth="1"/>
    <col min="10" max="10" width="11.6640625" bestFit="1" customWidth="1"/>
    <col min="11" max="11" width="13.5" bestFit="1" customWidth="1"/>
    <col min="12" max="12" width="10.1640625" bestFit="1" customWidth="1"/>
    <col min="13" max="13" width="14.5" bestFit="1" customWidth="1"/>
    <col min="14" max="14" width="11.33203125" bestFit="1" customWidth="1"/>
    <col min="15" max="15" width="9.6640625" bestFit="1" customWidth="1"/>
    <col min="16" max="16" width="36.83203125" bestFit="1" customWidth="1"/>
    <col min="17" max="17" width="21" bestFit="1" customWidth="1"/>
    <col min="18" max="18" width="18.6640625" bestFit="1" customWidth="1"/>
    <col min="19" max="19" width="13.33203125" bestFit="1" customWidth="1"/>
    <col min="20" max="20" width="4.5" bestFit="1" customWidth="1"/>
    <col min="21" max="21" width="11.33203125" bestFit="1" customWidth="1"/>
    <col min="22" max="22" width="13.33203125" bestFit="1" customWidth="1"/>
  </cols>
  <sheetData>
    <row r="1" spans="1:22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s="2" t="s">
        <v>23</v>
      </c>
      <c r="G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5</v>
      </c>
      <c r="V1" t="s">
        <v>37</v>
      </c>
    </row>
    <row r="2" spans="1:22" x14ac:dyDescent="0.2">
      <c r="A2" s="4">
        <v>13496370</v>
      </c>
      <c r="B2" t="s">
        <v>41</v>
      </c>
      <c r="C2" s="4">
        <v>13496370</v>
      </c>
      <c r="D2" t="s">
        <v>41</v>
      </c>
      <c r="E2" s="3">
        <v>45658</v>
      </c>
      <c r="F2" s="2">
        <v>26.08</v>
      </c>
      <c r="G2" t="s">
        <v>42</v>
      </c>
      <c r="H2" t="str">
        <f>CONCATENATE(G2,9)</f>
        <v>8JY2HT0WT219</v>
      </c>
      <c r="I2" t="s">
        <v>43</v>
      </c>
      <c r="J2" s="3">
        <v>45132</v>
      </c>
      <c r="K2" s="3">
        <v>45139</v>
      </c>
      <c r="L2">
        <v>4</v>
      </c>
      <c r="M2" t="s">
        <v>44</v>
      </c>
      <c r="N2" t="s">
        <v>45</v>
      </c>
      <c r="O2" t="s">
        <v>44</v>
      </c>
      <c r="P2" t="s">
        <v>46</v>
      </c>
      <c r="Q2" s="3">
        <v>44805</v>
      </c>
      <c r="R2" t="s">
        <v>0</v>
      </c>
      <c r="S2" t="s">
        <v>47</v>
      </c>
      <c r="T2" t="s">
        <v>48</v>
      </c>
      <c r="U2" t="s">
        <v>0</v>
      </c>
      <c r="V2" t="s">
        <v>49</v>
      </c>
    </row>
    <row r="3" spans="1:22" x14ac:dyDescent="0.2">
      <c r="A3" s="4">
        <v>17425766</v>
      </c>
      <c r="B3" t="s">
        <v>51</v>
      </c>
      <c r="C3" s="4" t="s">
        <v>97</v>
      </c>
      <c r="D3" t="s">
        <v>51</v>
      </c>
      <c r="E3" s="3">
        <v>45658</v>
      </c>
      <c r="F3" s="2">
        <v>29.42</v>
      </c>
      <c r="G3" t="s">
        <v>52</v>
      </c>
      <c r="H3" t="str">
        <f t="shared" ref="H3:H6" si="0">CONCATENATE(G3,9)</f>
        <v>4QK1T20WP089</v>
      </c>
      <c r="I3" t="s">
        <v>53</v>
      </c>
      <c r="J3" s="3">
        <v>44860</v>
      </c>
      <c r="K3" s="3">
        <v>44927</v>
      </c>
      <c r="L3">
        <v>7</v>
      </c>
      <c r="M3" t="s">
        <v>0</v>
      </c>
      <c r="N3" t="s">
        <v>54</v>
      </c>
      <c r="O3" t="s">
        <v>44</v>
      </c>
      <c r="P3" t="s">
        <v>55</v>
      </c>
      <c r="Q3" s="3">
        <v>44562</v>
      </c>
      <c r="R3" t="s">
        <v>0</v>
      </c>
      <c r="S3" t="s">
        <v>56</v>
      </c>
      <c r="T3" t="s">
        <v>57</v>
      </c>
      <c r="U3" t="s">
        <v>0</v>
      </c>
      <c r="V3" t="s">
        <v>58</v>
      </c>
    </row>
    <row r="4" spans="1:22" x14ac:dyDescent="0.2">
      <c r="A4" s="4">
        <v>17425766</v>
      </c>
      <c r="B4" t="s">
        <v>51</v>
      </c>
      <c r="C4" s="4" t="s">
        <v>97</v>
      </c>
      <c r="D4" t="s">
        <v>51</v>
      </c>
      <c r="E4" s="3">
        <v>45658</v>
      </c>
      <c r="F4" s="2">
        <v>26.08</v>
      </c>
      <c r="G4" t="s">
        <v>59</v>
      </c>
      <c r="H4" t="str">
        <f t="shared" si="0"/>
        <v>9MU4EA3KA649</v>
      </c>
      <c r="I4" t="s">
        <v>60</v>
      </c>
      <c r="J4" s="3">
        <v>45216</v>
      </c>
      <c r="K4" s="3">
        <v>45292</v>
      </c>
      <c r="L4">
        <v>5</v>
      </c>
      <c r="M4" t="s">
        <v>44</v>
      </c>
      <c r="N4" t="s">
        <v>61</v>
      </c>
      <c r="O4" t="s">
        <v>44</v>
      </c>
      <c r="P4" t="s">
        <v>46</v>
      </c>
      <c r="Q4" s="3">
        <v>44197</v>
      </c>
      <c r="R4" t="s">
        <v>0</v>
      </c>
      <c r="S4" t="s">
        <v>62</v>
      </c>
      <c r="T4" t="s">
        <v>63</v>
      </c>
      <c r="U4" t="s">
        <v>0</v>
      </c>
      <c r="V4" t="s">
        <v>64</v>
      </c>
    </row>
    <row r="5" spans="1:22" x14ac:dyDescent="0.2">
      <c r="A5" s="4">
        <v>19681796</v>
      </c>
      <c r="B5" t="s">
        <v>75</v>
      </c>
      <c r="C5" s="4">
        <v>19681796</v>
      </c>
      <c r="D5" t="s">
        <v>75</v>
      </c>
      <c r="E5" s="3">
        <v>45658</v>
      </c>
      <c r="F5" s="2">
        <v>26.08</v>
      </c>
      <c r="G5" t="s">
        <v>76</v>
      </c>
      <c r="H5" t="str">
        <f t="shared" si="0"/>
        <v>4X05PQ6CY809</v>
      </c>
      <c r="I5" t="s">
        <v>77</v>
      </c>
      <c r="J5" s="3">
        <v>45633</v>
      </c>
      <c r="K5" s="3">
        <v>45658</v>
      </c>
      <c r="L5">
        <v>15</v>
      </c>
      <c r="M5" t="s">
        <v>44</v>
      </c>
      <c r="N5" t="s">
        <v>61</v>
      </c>
      <c r="O5" t="s">
        <v>44</v>
      </c>
      <c r="P5" t="s">
        <v>46</v>
      </c>
      <c r="Q5" s="3">
        <v>41760</v>
      </c>
      <c r="R5" t="s">
        <v>0</v>
      </c>
      <c r="S5" t="s">
        <v>62</v>
      </c>
      <c r="T5" t="s">
        <v>78</v>
      </c>
      <c r="U5" t="s">
        <v>0</v>
      </c>
      <c r="V5" t="s">
        <v>79</v>
      </c>
    </row>
    <row r="6" spans="1:22" x14ac:dyDescent="0.2">
      <c r="A6" s="4">
        <v>19681796</v>
      </c>
      <c r="B6" t="s">
        <v>75</v>
      </c>
      <c r="C6" s="4">
        <v>19681796</v>
      </c>
      <c r="D6" t="s">
        <v>75</v>
      </c>
      <c r="E6" s="3">
        <v>45658</v>
      </c>
      <c r="F6" s="2">
        <v>26.08</v>
      </c>
      <c r="G6" t="s">
        <v>80</v>
      </c>
      <c r="H6" t="str">
        <f t="shared" si="0"/>
        <v>9ED3UU0DK799</v>
      </c>
      <c r="I6" t="s">
        <v>81</v>
      </c>
      <c r="J6" s="3">
        <v>45259</v>
      </c>
      <c r="K6" s="3">
        <v>45292</v>
      </c>
      <c r="L6">
        <v>3</v>
      </c>
      <c r="M6" t="s">
        <v>44</v>
      </c>
      <c r="N6" t="s">
        <v>82</v>
      </c>
      <c r="O6" t="s">
        <v>44</v>
      </c>
      <c r="P6" t="s">
        <v>83</v>
      </c>
      <c r="Q6" s="3">
        <v>45292</v>
      </c>
      <c r="R6" t="s">
        <v>0</v>
      </c>
      <c r="S6" t="s">
        <v>84</v>
      </c>
      <c r="T6" t="s">
        <v>85</v>
      </c>
      <c r="U6" t="s">
        <v>0</v>
      </c>
      <c r="V6" t="s">
        <v>86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5" max="5" width="11.5" bestFit="1" customWidth="1"/>
    <col min="6" max="6" width="12.83203125" bestFit="1" customWidth="1"/>
    <col min="7" max="7" width="10.5" bestFit="1" customWidth="1"/>
    <col min="8" max="8" width="16.6640625" bestFit="1" customWidth="1"/>
    <col min="9" max="9" width="34.1640625" bestFit="1" customWidth="1"/>
    <col min="10" max="10" width="14.6640625" bestFit="1" customWidth="1"/>
    <col min="11" max="11" width="11.6640625" bestFit="1" customWidth="1"/>
    <col min="12" max="12" width="13.5" bestFit="1" customWidth="1"/>
    <col min="13" max="13" width="10.1640625" bestFit="1" customWidth="1"/>
    <col min="14" max="14" width="14.5" bestFit="1" customWidth="1"/>
    <col min="15" max="15" width="11.33203125" bestFit="1" customWidth="1"/>
    <col min="16" max="16" width="9.6640625" bestFit="1" customWidth="1"/>
    <col min="17" max="17" width="10.6640625" bestFit="1" customWidth="1"/>
    <col min="18" max="18" width="21" bestFit="1" customWidth="1"/>
    <col min="19" max="19" width="18.6640625" bestFit="1" customWidth="1"/>
    <col min="20" max="20" width="13.33203125" bestFit="1" customWidth="1"/>
    <col min="21" max="21" width="4.5" bestFit="1" customWidth="1"/>
    <col min="22" max="22" width="11.33203125" bestFit="1" customWidth="1"/>
    <col min="23" max="23" width="11" bestFit="1" customWidth="1"/>
  </cols>
  <sheetData>
    <row r="1" spans="1:23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2025-01-30T14:32:21Z</dcterms:created>
  <dcterms:modified xsi:type="dcterms:W3CDTF">2025-02-02T17:07:33Z</dcterms:modified>
</cp:coreProperties>
</file>