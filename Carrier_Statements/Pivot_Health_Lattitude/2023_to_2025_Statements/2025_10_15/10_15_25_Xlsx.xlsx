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 health - Lattitude\10-15-25\"/>
    </mc:Choice>
  </mc:AlternateContent>
  <xr:revisionPtr revIDLastSave="0" documentId="13_ncr:1_{A4BB7A1F-B0DF-48FA-BE1E-B85672A74330}" xr6:coauthVersionLast="47" xr6:coauthVersionMax="47" xr10:uidLastSave="{00000000-0000-0000-0000-000000000000}"/>
  <bookViews>
    <workbookView xWindow="-57720" yWindow="-45" windowWidth="29040" windowHeight="15720" tabRatio="150" xr2:uid="{BD0C7243-17D0-4C69-8760-8BAA62733F0D}"/>
  </bookViews>
  <sheets>
    <sheet name="Agt Stmt - Excel" sheetId="1" r:id="rId1"/>
  </sheets>
  <definedNames>
    <definedName name="_xlnm._FilterDatabase" localSheetId="0" hidden="1">'Agt Stmt - Excel'!$A$1:$T$9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2" i="1"/>
</calcChain>
</file>

<file path=xl/sharedStrings.xml><?xml version="1.0" encoding="utf-8"?>
<sst xmlns="http://schemas.openxmlformats.org/spreadsheetml/2006/main" count="92" uniqueCount="52">
  <si>
    <t>Client</t>
  </si>
  <si>
    <t>Carrier</t>
  </si>
  <si>
    <t>StmtDate</t>
  </si>
  <si>
    <t>PaidAgt</t>
  </si>
  <si>
    <t>AgtID</t>
  </si>
  <si>
    <t>AgtNum</t>
  </si>
  <si>
    <t>LstName</t>
  </si>
  <si>
    <t>FrstName</t>
  </si>
  <si>
    <t>PolicyNumber</t>
  </si>
  <si>
    <t>ClientLastName</t>
  </si>
  <si>
    <t>ClientFirstName</t>
  </si>
  <si>
    <t>PlanDesc</t>
  </si>
  <si>
    <t>IssueDate</t>
  </si>
  <si>
    <t>TransDate</t>
  </si>
  <si>
    <t>PlanYear</t>
  </si>
  <si>
    <t>Premium</t>
  </si>
  <si>
    <t>AgtRate</t>
  </si>
  <si>
    <t>CommPd</t>
  </si>
  <si>
    <t>PdToDate</t>
  </si>
  <si>
    <t>Communicating for America (Latitude)</t>
  </si>
  <si>
    <t>PivotHealth</t>
  </si>
  <si>
    <t>Hoffmann, Jason - 31885</t>
  </si>
  <si>
    <t>Hoffmann</t>
  </si>
  <si>
    <t>Jason</t>
  </si>
  <si>
    <t>BAKER</t>
  </si>
  <si>
    <t>KELLY</t>
  </si>
  <si>
    <t>1LI</t>
  </si>
  <si>
    <t>10 / 2025</t>
  </si>
  <si>
    <t>FITZGERALD</t>
  </si>
  <si>
    <t>BRIAN</t>
  </si>
  <si>
    <t>7 / 2025</t>
  </si>
  <si>
    <t>Walenga</t>
  </si>
  <si>
    <t>Dale</t>
  </si>
  <si>
    <t>HACKBARTH</t>
  </si>
  <si>
    <t>2LF</t>
  </si>
  <si>
    <t>Tunstall</t>
  </si>
  <si>
    <t>Lori</t>
  </si>
  <si>
    <t>INCUDINE</t>
  </si>
  <si>
    <t>DANIEL</t>
  </si>
  <si>
    <t>9 / 2025</t>
  </si>
  <si>
    <t>KRASZEWSKI</t>
  </si>
  <si>
    <t>ARTUR</t>
  </si>
  <si>
    <t>2LI</t>
  </si>
  <si>
    <t>Inskipt</t>
  </si>
  <si>
    <t>Deborah</t>
  </si>
  <si>
    <t>MING</t>
  </si>
  <si>
    <t>MILAS</t>
  </si>
  <si>
    <t>NICHOLAS</t>
  </si>
  <si>
    <t>OLSON</t>
  </si>
  <si>
    <t>NATHAN</t>
  </si>
  <si>
    <t xml:space="preserve">LU 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</si>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</sst>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7" x14ac:knownFonts="1"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64" fontId="3" fillId="3" borderId="2" xfId="0" applyNumberFormat="1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2" fillId="3" borderId="2" xfId="0" applyNumberFormat="1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0" fillId="3" borderId="0" xfId="0" applyFill="1"/>
    <xf numFmtId="14" fontId="3" fillId="0" borderId="2" xfId="0" applyNumberFormat="1" applyFont="1" applyBorder="1" applyAlignment="1">
      <alignment horizontal="right" vertical="center" wrapText="1"/>
    </xf>
    <xf numFmtId="14" fontId="3" fillId="3" borderId="2" xfId="0" applyNumberFormat="1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vertical="center" wrapText="1"/>
    </xf>
    <xf numFmtId="164" fontId="3" fillId="0" borderId="2" xfId="0" applyNumberFormat="1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right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right" vertical="center" wrapText="1"/>
    </xf>
    <xf numFmtId="14" fontId="3" fillId="0" borderId="2" xfId="0" applyNumberFormat="1" applyFont="1" applyFill="1" applyBorder="1" applyAlignment="1">
      <alignment horizontal="right" vertical="center" wrapText="1"/>
    </xf>
    <xf numFmtId="0" fontId="0" fillId="0" borderId="0" xfId="0" applyFill="1"/>
    <xf numFmtId="0" fontId="6" fillId="3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7CF8-E513-4D84-A347-EF7289859EEE}">
  <dimension ref="A1:T9"/>
  <sheetViews>
    <sheetView tabSelected="1" topLeftCell="B1" workbookViewId="0">
      <selection activeCell="I5" sqref="I5"/>
    </sheetView>
  </sheetViews>
  <sheetFormatPr defaultRowHeight="12.75" x14ac:dyDescent="0.2"/>
  <cols>
    <col min="1" max="11" width="14" customWidth="1"/>
    <col min="12" max="12" width="18.7109375" bestFit="1" customWidth="1"/>
    <col min="13" max="13" width="14" customWidth="1"/>
    <col min="14" max="14" width="14" style="25" customWidth="1"/>
    <col min="15" max="20" width="14" customWidth="1"/>
  </cols>
  <sheetData>
    <row r="1" spans="1:20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3" t="s">
        <v>51</v>
      </c>
      <c r="M1" s="1" t="s">
        <v>11</v>
      </c>
      <c r="N1" s="24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15" customHeight="1" x14ac:dyDescent="0.2">
      <c r="A2" s="7" t="s">
        <v>19</v>
      </c>
      <c r="B2" s="7" t="s">
        <v>20</v>
      </c>
      <c r="C2" s="8">
        <v>45945</v>
      </c>
      <c r="D2" s="7" t="s">
        <v>21</v>
      </c>
      <c r="E2" s="9">
        <v>34613</v>
      </c>
      <c r="F2" s="10">
        <v>96477</v>
      </c>
      <c r="G2" s="7" t="s">
        <v>31</v>
      </c>
      <c r="H2" s="7" t="s">
        <v>32</v>
      </c>
      <c r="I2" s="10">
        <v>5500245369</v>
      </c>
      <c r="J2" s="7" t="s">
        <v>33</v>
      </c>
      <c r="K2" s="7" t="s">
        <v>29</v>
      </c>
      <c r="L2" s="7" t="str">
        <f>CONCATENATE(K2, " ",J2)</f>
        <v>BRIAN HACKBARTH</v>
      </c>
      <c r="M2" s="7" t="s">
        <v>34</v>
      </c>
      <c r="N2" s="14">
        <v>45901</v>
      </c>
      <c r="O2" s="7" t="s">
        <v>27</v>
      </c>
      <c r="P2" s="9">
        <v>1</v>
      </c>
      <c r="Q2" s="11">
        <v>99.95</v>
      </c>
      <c r="R2" s="11">
        <v>0.5</v>
      </c>
      <c r="S2" s="11">
        <v>49.98</v>
      </c>
      <c r="T2" s="14">
        <v>45668</v>
      </c>
    </row>
    <row r="3" spans="1:20" ht="15" customHeight="1" x14ac:dyDescent="0.2">
      <c r="A3" s="7" t="s">
        <v>19</v>
      </c>
      <c r="B3" s="7" t="s">
        <v>20</v>
      </c>
      <c r="C3" s="8">
        <v>45945</v>
      </c>
      <c r="D3" s="7" t="s">
        <v>21</v>
      </c>
      <c r="E3" s="9">
        <v>36396</v>
      </c>
      <c r="F3" s="10">
        <v>82178</v>
      </c>
      <c r="G3" s="7" t="s">
        <v>35</v>
      </c>
      <c r="H3" s="7" t="s">
        <v>36</v>
      </c>
      <c r="I3" s="10">
        <v>5500245481</v>
      </c>
      <c r="J3" s="7" t="s">
        <v>37</v>
      </c>
      <c r="K3" s="7" t="s">
        <v>38</v>
      </c>
      <c r="L3" s="7" t="str">
        <f t="shared" ref="L3:L9" si="0">CONCATENATE(K3, " ",J3)</f>
        <v>DANIEL INCUDINE</v>
      </c>
      <c r="M3" s="7" t="s">
        <v>34</v>
      </c>
      <c r="N3" s="14">
        <v>45930</v>
      </c>
      <c r="O3" s="7" t="s">
        <v>39</v>
      </c>
      <c r="P3" s="9">
        <v>1</v>
      </c>
      <c r="Q3" s="11">
        <v>99.95</v>
      </c>
      <c r="R3" s="11">
        <v>0.05</v>
      </c>
      <c r="S3" s="11">
        <v>5</v>
      </c>
      <c r="T3" s="14">
        <v>45960</v>
      </c>
    </row>
    <row r="4" spans="1:20" s="12" customFormat="1" ht="15" customHeight="1" x14ac:dyDescent="0.2">
      <c r="A4" s="7" t="s">
        <v>19</v>
      </c>
      <c r="B4" s="7" t="s">
        <v>20</v>
      </c>
      <c r="C4" s="8">
        <v>45945</v>
      </c>
      <c r="D4" s="7" t="s">
        <v>21</v>
      </c>
      <c r="E4" s="9">
        <v>34429</v>
      </c>
      <c r="F4" s="10">
        <v>96033</v>
      </c>
      <c r="G4" s="7" t="s">
        <v>43</v>
      </c>
      <c r="H4" s="7" t="s">
        <v>44</v>
      </c>
      <c r="I4" s="10">
        <v>5500245461</v>
      </c>
      <c r="J4" s="22" t="s">
        <v>50</v>
      </c>
      <c r="K4" s="7" t="s">
        <v>45</v>
      </c>
      <c r="L4" s="7" t="str">
        <f t="shared" si="0"/>
        <v xml:space="preserve">MING LU </v>
      </c>
      <c r="M4" s="7" t="s">
        <v>42</v>
      </c>
      <c r="N4" s="14">
        <v>45923</v>
      </c>
      <c r="O4" s="7" t="s">
        <v>39</v>
      </c>
      <c r="P4" s="9">
        <v>1</v>
      </c>
      <c r="Q4" s="11">
        <v>49.95</v>
      </c>
      <c r="R4" s="11">
        <v>0.5</v>
      </c>
      <c r="S4" s="11">
        <v>24.98</v>
      </c>
      <c r="T4" s="14">
        <v>45953</v>
      </c>
    </row>
    <row r="5" spans="1:20" s="12" customFormat="1" ht="15" customHeight="1" x14ac:dyDescent="0.2">
      <c r="A5" s="2" t="s">
        <v>19</v>
      </c>
      <c r="B5" s="2" t="s">
        <v>20</v>
      </c>
      <c r="C5" s="3">
        <v>45945</v>
      </c>
      <c r="D5" s="2" t="s">
        <v>21</v>
      </c>
      <c r="E5" s="4">
        <v>34613</v>
      </c>
      <c r="F5" s="6">
        <v>96477</v>
      </c>
      <c r="G5" s="2" t="s">
        <v>31</v>
      </c>
      <c r="H5" s="2" t="s">
        <v>32</v>
      </c>
      <c r="I5" s="6">
        <v>5500244387</v>
      </c>
      <c r="J5" s="2" t="s">
        <v>40</v>
      </c>
      <c r="K5" s="2" t="s">
        <v>41</v>
      </c>
      <c r="L5" s="15" t="str">
        <f t="shared" si="0"/>
        <v>ARTUR KRASZEWSKI</v>
      </c>
      <c r="M5" s="2" t="s">
        <v>42</v>
      </c>
      <c r="N5" s="13">
        <v>45531</v>
      </c>
      <c r="O5" s="2" t="s">
        <v>39</v>
      </c>
      <c r="P5" s="4">
        <v>2</v>
      </c>
      <c r="Q5" s="5">
        <v>49.95</v>
      </c>
      <c r="R5" s="5">
        <v>7.0000000000000007E-2</v>
      </c>
      <c r="S5" s="5">
        <v>3.5</v>
      </c>
      <c r="T5" s="13">
        <v>45957</v>
      </c>
    </row>
    <row r="6" spans="1:20" s="21" customFormat="1" ht="15" customHeight="1" x14ac:dyDescent="0.2">
      <c r="A6" s="2" t="s">
        <v>19</v>
      </c>
      <c r="B6" s="2" t="s">
        <v>20</v>
      </c>
      <c r="C6" s="3">
        <v>45945</v>
      </c>
      <c r="D6" s="2" t="s">
        <v>21</v>
      </c>
      <c r="E6" s="4">
        <v>31885</v>
      </c>
      <c r="F6" s="6">
        <v>74054</v>
      </c>
      <c r="G6" s="2" t="s">
        <v>22</v>
      </c>
      <c r="H6" s="2" t="s">
        <v>23</v>
      </c>
      <c r="I6" s="6">
        <v>5500245377</v>
      </c>
      <c r="J6" s="2" t="s">
        <v>28</v>
      </c>
      <c r="K6" s="2" t="s">
        <v>29</v>
      </c>
      <c r="L6" s="15" t="str">
        <f t="shared" si="0"/>
        <v>BRIAN FITZGERALD</v>
      </c>
      <c r="M6" s="2" t="s">
        <v>26</v>
      </c>
      <c r="N6" s="13">
        <v>45895</v>
      </c>
      <c r="O6" s="2" t="s">
        <v>30</v>
      </c>
      <c r="P6" s="4">
        <v>1</v>
      </c>
      <c r="Q6" s="5">
        <v>-29.95</v>
      </c>
      <c r="R6" s="5">
        <v>0.5</v>
      </c>
      <c r="S6" s="5">
        <v>-14.98</v>
      </c>
      <c r="T6" s="13">
        <v>45895</v>
      </c>
    </row>
    <row r="7" spans="1:20" s="12" customFormat="1" ht="15" customHeight="1" x14ac:dyDescent="0.2">
      <c r="A7" s="15" t="s">
        <v>19</v>
      </c>
      <c r="B7" s="15" t="s">
        <v>20</v>
      </c>
      <c r="C7" s="16">
        <v>45945</v>
      </c>
      <c r="D7" s="15" t="s">
        <v>21</v>
      </c>
      <c r="E7" s="17">
        <v>31885</v>
      </c>
      <c r="F7" s="18">
        <v>74054</v>
      </c>
      <c r="G7" s="15" t="s">
        <v>22</v>
      </c>
      <c r="H7" s="15" t="s">
        <v>23</v>
      </c>
      <c r="I7" s="18">
        <v>5500244286</v>
      </c>
      <c r="J7" s="15" t="s">
        <v>24</v>
      </c>
      <c r="K7" s="15" t="s">
        <v>25</v>
      </c>
      <c r="L7" s="15" t="str">
        <f t="shared" si="0"/>
        <v>KELLY BAKER</v>
      </c>
      <c r="M7" s="15" t="s">
        <v>26</v>
      </c>
      <c r="N7" s="20">
        <v>45474</v>
      </c>
      <c r="O7" s="15" t="s">
        <v>27</v>
      </c>
      <c r="P7" s="17">
        <v>2</v>
      </c>
      <c r="Q7" s="19">
        <v>29.95</v>
      </c>
      <c r="R7" s="19">
        <v>7.0000000000000007E-2</v>
      </c>
      <c r="S7" s="19">
        <v>2.1</v>
      </c>
      <c r="T7" s="20">
        <v>45668</v>
      </c>
    </row>
    <row r="8" spans="1:20" ht="15" customHeight="1" x14ac:dyDescent="0.2">
      <c r="A8" s="2" t="s">
        <v>19</v>
      </c>
      <c r="B8" s="2" t="s">
        <v>20</v>
      </c>
      <c r="C8" s="3">
        <v>45945</v>
      </c>
      <c r="D8" s="2" t="s">
        <v>21</v>
      </c>
      <c r="E8" s="4">
        <v>36396</v>
      </c>
      <c r="F8" s="6">
        <v>82178</v>
      </c>
      <c r="G8" s="2" t="s">
        <v>35</v>
      </c>
      <c r="H8" s="2" t="s">
        <v>36</v>
      </c>
      <c r="I8" s="6">
        <v>5500245397</v>
      </c>
      <c r="J8" s="2" t="s">
        <v>48</v>
      </c>
      <c r="K8" s="2" t="s">
        <v>49</v>
      </c>
      <c r="L8" s="15" t="str">
        <f t="shared" si="0"/>
        <v>NATHAN OLSON</v>
      </c>
      <c r="M8" s="2" t="s">
        <v>34</v>
      </c>
      <c r="N8" s="13">
        <v>45900</v>
      </c>
      <c r="O8" s="2" t="s">
        <v>39</v>
      </c>
      <c r="P8" s="4">
        <v>1</v>
      </c>
      <c r="Q8" s="5">
        <v>99.95</v>
      </c>
      <c r="R8" s="5">
        <v>0.05</v>
      </c>
      <c r="S8" s="5">
        <v>5</v>
      </c>
      <c r="T8" s="13">
        <v>45961</v>
      </c>
    </row>
    <row r="9" spans="1:20" ht="15" customHeight="1" x14ac:dyDescent="0.2">
      <c r="A9" s="2" t="s">
        <v>19</v>
      </c>
      <c r="B9" s="2" t="s">
        <v>20</v>
      </c>
      <c r="C9" s="3">
        <v>45945</v>
      </c>
      <c r="D9" s="2" t="s">
        <v>21</v>
      </c>
      <c r="E9" s="4">
        <v>34429</v>
      </c>
      <c r="F9" s="6">
        <v>96033</v>
      </c>
      <c r="G9" s="2" t="s">
        <v>43</v>
      </c>
      <c r="H9" s="2" t="s">
        <v>44</v>
      </c>
      <c r="I9" s="6">
        <v>5500245350</v>
      </c>
      <c r="J9" s="2" t="s">
        <v>46</v>
      </c>
      <c r="K9" s="2" t="s">
        <v>47</v>
      </c>
      <c r="L9" s="15" t="str">
        <f t="shared" si="0"/>
        <v>NICHOLAS MILAS</v>
      </c>
      <c r="M9" s="2" t="s">
        <v>42</v>
      </c>
      <c r="N9" s="13">
        <v>45888</v>
      </c>
      <c r="O9" s="2" t="s">
        <v>39</v>
      </c>
      <c r="P9" s="4">
        <v>1</v>
      </c>
      <c r="Q9" s="5">
        <v>49.95</v>
      </c>
      <c r="R9" s="5">
        <v>0.5</v>
      </c>
      <c r="S9" s="5">
        <v>24.98</v>
      </c>
      <c r="T9" s="13">
        <v>45949</v>
      </c>
    </row>
  </sheetData>
  <sortState xmlns:xlrd2="http://schemas.microsoft.com/office/spreadsheetml/2017/richdata2" ref="A2:T9">
    <sortCondition sortBy="cellColor" ref="A2:A9" dxfId="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Agt Stmt -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2025-10-28T17:41:38Z</dcterms:created>
  <dcterms:modified xsi:type="dcterms:W3CDTF">2025-11-06T14:05:27Z</dcterms:modified>
</cp:coreProperties>
</file>