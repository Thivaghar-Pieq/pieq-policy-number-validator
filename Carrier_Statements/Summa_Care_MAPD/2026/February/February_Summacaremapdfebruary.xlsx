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mma Care MAPD\2026\February\"/>
    </mc:Choice>
  </mc:AlternateContent>
  <xr:revisionPtr revIDLastSave="0" documentId="13_ncr:1_{5351C810-59D9-4973-8ABA-9DF5D51A97CD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C_GA Statements Prod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2" i="2"/>
</calcChain>
</file>

<file path=xl/sharedStrings.xml><?xml version="1.0" encoding="utf-8"?>
<sst xmlns="http://schemas.openxmlformats.org/spreadsheetml/2006/main" count="1204" uniqueCount="445">
  <si>
    <r>
      <rPr>
        <b/>
        <sz val="20"/>
        <color rgb="FF4682B4"/>
        <rFont val="Calibri"/>
        <family val="2"/>
      </rPr>
      <t xml:space="preserve">Broker Commissions Statement
</t>
    </r>
    <r>
      <rPr>
        <b/>
        <sz val="14"/>
        <color rgb="FF4682B4"/>
        <rFont val="Calibri"/>
        <family val="2"/>
      </rPr>
      <t xml:space="preserve">Ryan Shepard   (16170994)
</t>
    </r>
    <r>
      <rPr>
        <sz val="12"/>
        <color rgb="FF000000"/>
        <rFont val="Calibri"/>
        <family val="2"/>
      </rPr>
      <t xml:space="preserve">For commissions between 02/01/2026 and 02/28/2026
</t>
    </r>
    <r>
      <rPr>
        <i/>
        <sz val="9"/>
        <color rgb="FFFF0000"/>
        <rFont val="Calibri"/>
        <family val="2"/>
      </rPr>
      <t>* Reminder: Commissions not applicable on New-to-Medicare Enrollments received after October 31, 2025</t>
    </r>
  </si>
  <si>
    <t>Report Date: 2/20/2026</t>
  </si>
  <si>
    <t>Pending New or Renewal Status by CMS</t>
  </si>
  <si>
    <t>All members have been confirmed by CMS</t>
  </si>
  <si>
    <t>RYAN SHEPARD (16170994) Broker Detail</t>
  </si>
  <si>
    <t>Comment</t>
  </si>
  <si>
    <t/>
  </si>
  <si>
    <t>Member Name</t>
  </si>
  <si>
    <t>Member Nbr</t>
  </si>
  <si>
    <t>YMDEFF</t>
  </si>
  <si>
    <t>YMDEND</t>
  </si>
  <si>
    <t>App Date</t>
  </si>
  <si>
    <t>Pmt Rate</t>
  </si>
  <si>
    <t>GA Rate</t>
  </si>
  <si>
    <t>App Months</t>
  </si>
  <si>
    <t>Retro Months</t>
  </si>
  <si>
    <t>Retro GA Pmt</t>
  </si>
  <si>
    <t>Total Pmts</t>
  </si>
  <si>
    <t>DEPIZZOL, RONALD G</t>
  </si>
  <si>
    <t xml:space="preserve">A9001163300 </t>
  </si>
  <si>
    <t>20260101</t>
  </si>
  <si>
    <t>99991231</t>
  </si>
  <si>
    <t>20251018</t>
  </si>
  <si>
    <t>HRA</t>
  </si>
  <si>
    <t>ALBRIGHT, DONALD L</t>
  </si>
  <si>
    <t xml:space="preserve">A9003921000 </t>
  </si>
  <si>
    <t>20251206</t>
  </si>
  <si>
    <t>Monthly</t>
  </si>
  <si>
    <t>ALBRIGHT, TERESA A</t>
  </si>
  <si>
    <t xml:space="preserve">A9001229900 </t>
  </si>
  <si>
    <t>ASHWORTH, REBECCA J</t>
  </si>
  <si>
    <t xml:space="preserve">A9003999500 </t>
  </si>
  <si>
    <t>20260201</t>
  </si>
  <si>
    <t>20260105</t>
  </si>
  <si>
    <t>BANKOVICH, BARBARA J</t>
  </si>
  <si>
    <t xml:space="preserve">A9003119500 </t>
  </si>
  <si>
    <t>20251025</t>
  </si>
  <si>
    <t>BANKOVICH, PAUL W</t>
  </si>
  <si>
    <t xml:space="preserve">A9003119400 </t>
  </si>
  <si>
    <t>BOYER, DONALD E</t>
  </si>
  <si>
    <t xml:space="preserve">A9003018500 </t>
  </si>
  <si>
    <t>20251020</t>
  </si>
  <si>
    <t>BRADLEY, DOROTHY A</t>
  </si>
  <si>
    <t xml:space="preserve">A9001310600 </t>
  </si>
  <si>
    <t>20251201</t>
  </si>
  <si>
    <t>BROWN, LINDA S</t>
  </si>
  <si>
    <t xml:space="preserve">A9003562200 </t>
  </si>
  <si>
    <t>20251119</t>
  </si>
  <si>
    <t>BROWN, PAUL A</t>
  </si>
  <si>
    <t xml:space="preserve">A9003562100 </t>
  </si>
  <si>
    <t xml:space="preserve">BUGNO, COLLEEN </t>
  </si>
  <si>
    <t xml:space="preserve">A9003203200 </t>
  </si>
  <si>
    <t>20251030</t>
  </si>
  <si>
    <t>COOK, JERRI D</t>
  </si>
  <si>
    <t xml:space="preserve">A9001183200 </t>
  </si>
  <si>
    <t>20251120</t>
  </si>
  <si>
    <t>COOK, WILLARD R</t>
  </si>
  <si>
    <t xml:space="preserve">A9001183300 </t>
  </si>
  <si>
    <t xml:space="preserve">CVICELA, MARIA </t>
  </si>
  <si>
    <t xml:space="preserve">A9003158500 </t>
  </si>
  <si>
    <t>20251028</t>
  </si>
  <si>
    <t xml:space="preserve">CVICELA, VLADIMIR </t>
  </si>
  <si>
    <t xml:space="preserve">A9003158700 </t>
  </si>
  <si>
    <t>DAVIS, BONNIE M</t>
  </si>
  <si>
    <t xml:space="preserve">A0051608100 </t>
  </si>
  <si>
    <t>20250101</t>
  </si>
  <si>
    <t>DAVIS, DEBORAH L</t>
  </si>
  <si>
    <t xml:space="preserve">A9001490300 </t>
  </si>
  <si>
    <t>DAVIS, JERROLD C</t>
  </si>
  <si>
    <t xml:space="preserve">A9001105800 </t>
  </si>
  <si>
    <t>DECROW, LYNN J</t>
  </si>
  <si>
    <t xml:space="preserve">A9003019100 </t>
  </si>
  <si>
    <t>DELVILLAN, LAURIE A</t>
  </si>
  <si>
    <t xml:space="preserve">A9003261900 </t>
  </si>
  <si>
    <t>20251103</t>
  </si>
  <si>
    <t xml:space="preserve">DELVILLAN, MATTHEW </t>
  </si>
  <si>
    <t xml:space="preserve">A9003262100 </t>
  </si>
  <si>
    <t>DEMMA, KAREN M</t>
  </si>
  <si>
    <t xml:space="preserve">A9003154700 </t>
  </si>
  <si>
    <t>DEVLIN, PATRICIA A</t>
  </si>
  <si>
    <t xml:space="preserve">A9003676000 </t>
  </si>
  <si>
    <t>20251125</t>
  </si>
  <si>
    <t>DINICOLA, DEBORAH J</t>
  </si>
  <si>
    <t xml:space="preserve">A9003566500 </t>
  </si>
  <si>
    <t>FORD, BARBARA A</t>
  </si>
  <si>
    <t xml:space="preserve">A9003186100 </t>
  </si>
  <si>
    <t>20251029</t>
  </si>
  <si>
    <t>FREY, CAROL A</t>
  </si>
  <si>
    <t xml:space="preserve">A9003514800 </t>
  </si>
  <si>
    <t>20251117</t>
  </si>
  <si>
    <t>GARNICA, MARY J</t>
  </si>
  <si>
    <t xml:space="preserve">A9002953500 </t>
  </si>
  <si>
    <t>20251015</t>
  </si>
  <si>
    <t>GLASSER, GEORGETTE M</t>
  </si>
  <si>
    <t xml:space="preserve">A9003014200 </t>
  </si>
  <si>
    <t>HEINEY, KEVIN L</t>
  </si>
  <si>
    <t xml:space="preserve">A9002985400 </t>
  </si>
  <si>
    <t>HEINEY, REBECCA L</t>
  </si>
  <si>
    <t xml:space="preserve">A9002985200 </t>
  </si>
  <si>
    <t>HORSCHAK, CHARLOTTE J</t>
  </si>
  <si>
    <t xml:space="preserve">A9002603700 </t>
  </si>
  <si>
    <t>HORSCHAK, DOLORES M</t>
  </si>
  <si>
    <t xml:space="preserve">A9003387400 </t>
  </si>
  <si>
    <t>20251110</t>
  </si>
  <si>
    <t xml:space="preserve">HORSCHAK, PETE </t>
  </si>
  <si>
    <t xml:space="preserve">A9002603800 </t>
  </si>
  <si>
    <t>HUSZAI, DIANE M</t>
  </si>
  <si>
    <t xml:space="preserve">A9003142900 </t>
  </si>
  <si>
    <t>20251027</t>
  </si>
  <si>
    <t>JONES, CHERYL D</t>
  </si>
  <si>
    <t xml:space="preserve">A9004032200 </t>
  </si>
  <si>
    <t>20260123</t>
  </si>
  <si>
    <t>KAPAROFF, PAUL T</t>
  </si>
  <si>
    <t xml:space="preserve">A9003161700 </t>
  </si>
  <si>
    <t>KLESCH, JOANNE M</t>
  </si>
  <si>
    <t xml:space="preserve">A9003433900 </t>
  </si>
  <si>
    <t>20251112</t>
  </si>
  <si>
    <t xml:space="preserve">KLESCH, LISA </t>
  </si>
  <si>
    <t xml:space="preserve">A9003434200 </t>
  </si>
  <si>
    <t>KLINKER, CARROL A</t>
  </si>
  <si>
    <t xml:space="preserve">A9003281700 </t>
  </si>
  <si>
    <t>20251104</t>
  </si>
  <si>
    <t>KNIGHT, TERRY E</t>
  </si>
  <si>
    <t xml:space="preserve">A9003227400 </t>
  </si>
  <si>
    <t>20251031</t>
  </si>
  <si>
    <t>KNIPPER, CATHERINE E</t>
  </si>
  <si>
    <t xml:space="preserve">A9003569500 </t>
  </si>
  <si>
    <t>KUS, LINDA T</t>
  </si>
  <si>
    <t xml:space="preserve">A9003569600 </t>
  </si>
  <si>
    <t>LUCARELL, ANTHONY R</t>
  </si>
  <si>
    <t xml:space="preserve">A9003278800 </t>
  </si>
  <si>
    <t>LUCARELL, PATRICIA L</t>
  </si>
  <si>
    <t xml:space="preserve">A9003279000 </t>
  </si>
  <si>
    <t>MAST, DONALD L</t>
  </si>
  <si>
    <t xml:space="preserve">A9003722500 </t>
  </si>
  <si>
    <t>20251128</t>
  </si>
  <si>
    <t>MEISSNER, LINDA M</t>
  </si>
  <si>
    <t xml:space="preserve">A9003137200 </t>
  </si>
  <si>
    <t>METZ, JACQUELINE A</t>
  </si>
  <si>
    <t xml:space="preserve">A9003040400 </t>
  </si>
  <si>
    <t>20251022</t>
  </si>
  <si>
    <t>MILLER, JOHN F</t>
  </si>
  <si>
    <t xml:space="preserve">A9003363800 </t>
  </si>
  <si>
    <t>20251108</t>
  </si>
  <si>
    <t>MILLER, LINDA S</t>
  </si>
  <si>
    <t xml:space="preserve">A9003680900 </t>
  </si>
  <si>
    <t>MILLER, PATRICIA A</t>
  </si>
  <si>
    <t xml:space="preserve">A9003364000 </t>
  </si>
  <si>
    <t>NEVISON, WILLIAM E</t>
  </si>
  <si>
    <t xml:space="preserve">A9003644800 </t>
  </si>
  <si>
    <t>20251124</t>
  </si>
  <si>
    <t>NOVAK, THOMAS P</t>
  </si>
  <si>
    <t xml:space="preserve">A9003677200 </t>
  </si>
  <si>
    <t>ORNELLA, MARY T</t>
  </si>
  <si>
    <t xml:space="preserve">A9003762900 </t>
  </si>
  <si>
    <t xml:space="preserve">PICHLER, CHARLENE </t>
  </si>
  <si>
    <t xml:space="preserve">A9002977400 </t>
  </si>
  <si>
    <t>20251106</t>
  </si>
  <si>
    <t>PLAIN, NANCY E</t>
  </si>
  <si>
    <t xml:space="preserve">A9003407900 </t>
  </si>
  <si>
    <t>20251111</t>
  </si>
  <si>
    <t>POPE, VICKI L</t>
  </si>
  <si>
    <t xml:space="preserve">A9003327400 </t>
  </si>
  <si>
    <t>PORCHOWSKY, ZENOWIJ C</t>
  </si>
  <si>
    <t xml:space="preserve">A9003284100 </t>
  </si>
  <si>
    <t xml:space="preserve">RANALDI, CAROL </t>
  </si>
  <si>
    <t xml:space="preserve">A9003382800 </t>
  </si>
  <si>
    <t>RAPE, PATTY J</t>
  </si>
  <si>
    <t xml:space="preserve">A9003730500 </t>
  </si>
  <si>
    <t>20251129</t>
  </si>
  <si>
    <t>RAUSCHENBERGER, CHERYL L</t>
  </si>
  <si>
    <t xml:space="preserve">A0049168700 </t>
  </si>
  <si>
    <t>20200401</t>
  </si>
  <si>
    <t>RAUSCHENBERGER, ROGER L</t>
  </si>
  <si>
    <t xml:space="preserve">A0033563400 </t>
  </si>
  <si>
    <t>RAY, PATRICK W</t>
  </si>
  <si>
    <t xml:space="preserve">A9003752500 </t>
  </si>
  <si>
    <t xml:space="preserve">REGALLIS, JAMES </t>
  </si>
  <si>
    <t xml:space="preserve">A9003721200 </t>
  </si>
  <si>
    <t>ROLLING, LINDA J</t>
  </si>
  <si>
    <t xml:space="preserve">A9004004500 </t>
  </si>
  <si>
    <t>20260107</t>
  </si>
  <si>
    <t>ROSE, ANGELA E</t>
  </si>
  <si>
    <t xml:space="preserve">A9002947800 </t>
  </si>
  <si>
    <t>ROSE, BRENDA L</t>
  </si>
  <si>
    <t xml:space="preserve">A9004007300 </t>
  </si>
  <si>
    <t>20260108</t>
  </si>
  <si>
    <t>ROSS, TIFFANY J</t>
  </si>
  <si>
    <t xml:space="preserve">A9003113400 </t>
  </si>
  <si>
    <t>20251101</t>
  </si>
  <si>
    <t>20251024</t>
  </si>
  <si>
    <t xml:space="preserve">SCHUBKEGEL, DAYNA </t>
  </si>
  <si>
    <t xml:space="preserve">A9002973700 </t>
  </si>
  <si>
    <t>20251017</t>
  </si>
  <si>
    <t xml:space="preserve">SCHUBKEGEL, LELAND </t>
  </si>
  <si>
    <t xml:space="preserve">A9002974000 </t>
  </si>
  <si>
    <t>SHANK, LARRY L</t>
  </si>
  <si>
    <t xml:space="preserve">A9003046200 </t>
  </si>
  <si>
    <t>SHANK, MARILYN R</t>
  </si>
  <si>
    <t xml:space="preserve">A9003046300 </t>
  </si>
  <si>
    <t>SMITH, DAVID A</t>
  </si>
  <si>
    <t xml:space="preserve">A9003046700 </t>
  </si>
  <si>
    <t>STIFFLER, REGENA P</t>
  </si>
  <si>
    <t xml:space="preserve">A9002952000 </t>
  </si>
  <si>
    <t>STROBLE, MARILYN M</t>
  </si>
  <si>
    <t xml:space="preserve">A9003821400 </t>
  </si>
  <si>
    <t>20251203</t>
  </si>
  <si>
    <t>SZYMCZYK, TONI M</t>
  </si>
  <si>
    <t xml:space="preserve">A9003382700 </t>
  </si>
  <si>
    <t>TUMA, CHRISTOPHER J</t>
  </si>
  <si>
    <t xml:space="preserve">A9003482100 </t>
  </si>
  <si>
    <t>20251114</t>
  </si>
  <si>
    <t>ULASZEWSKI, CAROL A</t>
  </si>
  <si>
    <t xml:space="preserve">A9003299700 </t>
  </si>
  <si>
    <t>20251105</t>
  </si>
  <si>
    <t xml:space="preserve">VARZELLE, PATRICE </t>
  </si>
  <si>
    <t xml:space="preserve">A9003673200 </t>
  </si>
  <si>
    <t xml:space="preserve">WEIGAND, DEMARIS </t>
  </si>
  <si>
    <t xml:space="preserve">A9003922800 </t>
  </si>
  <si>
    <t>WHITLEY, CINDY L</t>
  </si>
  <si>
    <t xml:space="preserve">A9001661900 </t>
  </si>
  <si>
    <t>WILSON, MARY C</t>
  </si>
  <si>
    <t xml:space="preserve">A9003634100 </t>
  </si>
  <si>
    <t>20251123</t>
  </si>
  <si>
    <t>ZIDAR, NADINE M</t>
  </si>
  <si>
    <t xml:space="preserve">A9001093400 </t>
  </si>
  <si>
    <t>20200201</t>
  </si>
  <si>
    <t>ZUPKOW, BONNIE E</t>
  </si>
  <si>
    <t xml:space="preserve">A9003037800 </t>
  </si>
  <si>
    <t>RYAN SHEPARD TOTALS</t>
  </si>
  <si>
    <t>Member Count: 83</t>
  </si>
  <si>
    <t>[%/$=347][prorate=1/12]</t>
  </si>
  <si>
    <t>Summa Care MAPD 2026*</t>
  </si>
  <si>
    <t>[%/$=347][prorate=2/12]</t>
  </si>
  <si>
    <t>A90039995001</t>
  </si>
  <si>
    <t>A90031195001</t>
  </si>
  <si>
    <t>A90031194001</t>
  </si>
  <si>
    <t>A90030185001</t>
  </si>
  <si>
    <t>A90035622001</t>
  </si>
  <si>
    <t>A90035621001</t>
  </si>
  <si>
    <t>A90032032001</t>
  </si>
  <si>
    <t>A90031585001</t>
  </si>
  <si>
    <t>A90031587001</t>
  </si>
  <si>
    <t>A90014903001</t>
  </si>
  <si>
    <t>A90011058001</t>
  </si>
  <si>
    <t>A90030191001</t>
  </si>
  <si>
    <t>A90032619001</t>
  </si>
  <si>
    <t>A90032621001</t>
  </si>
  <si>
    <t>A90031547001</t>
  </si>
  <si>
    <t>A90036760001</t>
  </si>
  <si>
    <t>A90035665001</t>
  </si>
  <si>
    <t>A90031861001</t>
  </si>
  <si>
    <t>A90035148001</t>
  </si>
  <si>
    <t>A90029535001</t>
  </si>
  <si>
    <t>A90030142001</t>
  </si>
  <si>
    <t>A90029854001</t>
  </si>
  <si>
    <t>A90029852001</t>
  </si>
  <si>
    <t>A90033874001</t>
  </si>
  <si>
    <t>A90031429001</t>
  </si>
  <si>
    <t>A90040322001</t>
  </si>
  <si>
    <t>A90031617001</t>
  </si>
  <si>
    <t>A90034339001</t>
  </si>
  <si>
    <t>A90034342001</t>
  </si>
  <si>
    <t>A90032817001</t>
  </si>
  <si>
    <t>A90032274001</t>
  </si>
  <si>
    <t>A90035695001</t>
  </si>
  <si>
    <t>A90035696001</t>
  </si>
  <si>
    <t>A90032788001</t>
  </si>
  <si>
    <t>A90032790001</t>
  </si>
  <si>
    <t>A90037225001</t>
  </si>
  <si>
    <t>A90031372001</t>
  </si>
  <si>
    <t>A90030404001</t>
  </si>
  <si>
    <t>A90033638001</t>
  </si>
  <si>
    <t>A90036809001</t>
  </si>
  <si>
    <t>A90033640001</t>
  </si>
  <si>
    <t>A90036448001</t>
  </si>
  <si>
    <t>A90036772001</t>
  </si>
  <si>
    <t>A90029774001</t>
  </si>
  <si>
    <t>A90034079001</t>
  </si>
  <si>
    <t>A90033274001</t>
  </si>
  <si>
    <t>A90032841001</t>
  </si>
  <si>
    <t>A90033828001</t>
  </si>
  <si>
    <t>A00491687001</t>
  </si>
  <si>
    <t>A00335634001</t>
  </si>
  <si>
    <t>A90037212001</t>
  </si>
  <si>
    <t>A90040045001</t>
  </si>
  <si>
    <t>A90029478001</t>
  </si>
  <si>
    <t>A90040073001</t>
  </si>
  <si>
    <t>A90031134001</t>
  </si>
  <si>
    <t>A90029737001</t>
  </si>
  <si>
    <t>A90029740001</t>
  </si>
  <si>
    <t>A90030462001</t>
  </si>
  <si>
    <t>A90030463001</t>
  </si>
  <si>
    <t>A90030467001</t>
  </si>
  <si>
    <t>A90029520001</t>
  </si>
  <si>
    <t>A90033827001</t>
  </si>
  <si>
    <t>A90034821001</t>
  </si>
  <si>
    <t>A90032997001</t>
  </si>
  <si>
    <t>A90036732001</t>
  </si>
  <si>
    <t>A90036341001</t>
  </si>
  <si>
    <t>A90010934001</t>
  </si>
  <si>
    <t>A90030378001</t>
  </si>
  <si>
    <t>A90039210001</t>
  </si>
  <si>
    <t>A90012299001</t>
  </si>
  <si>
    <t>A90013106001</t>
  </si>
  <si>
    <t>A90011832001</t>
  </si>
  <si>
    <t>A90011833001</t>
  </si>
  <si>
    <t>A00516081001</t>
  </si>
  <si>
    <t>A90011633001</t>
  </si>
  <si>
    <t>A90026037001</t>
  </si>
  <si>
    <t>A90026038001</t>
  </si>
  <si>
    <t>A90037629001</t>
  </si>
  <si>
    <t>A90037305001</t>
  </si>
  <si>
    <t>A90037525001</t>
  </si>
  <si>
    <t>A90038214001</t>
  </si>
  <si>
    <t>A90039228001</t>
  </si>
  <si>
    <t>A90016619001</t>
  </si>
  <si>
    <t>Ryan Shepard</t>
  </si>
  <si>
    <t>ASHWORTH</t>
  </si>
  <si>
    <t>REBECCA</t>
  </si>
  <si>
    <t>BANKOVICH</t>
  </si>
  <si>
    <t>BARBARA</t>
  </si>
  <si>
    <t>PAUL</t>
  </si>
  <si>
    <t>BOYER</t>
  </si>
  <si>
    <t>DONALD</t>
  </si>
  <si>
    <t>BROWN</t>
  </si>
  <si>
    <t>LINDA</t>
  </si>
  <si>
    <t>BUGNO</t>
  </si>
  <si>
    <t>COLLEEN</t>
  </si>
  <si>
    <t>CVICELA</t>
  </si>
  <si>
    <t>MARIA</t>
  </si>
  <si>
    <t>VLADIMIR</t>
  </si>
  <si>
    <t>DAVIS</t>
  </si>
  <si>
    <t>DEBORAH</t>
  </si>
  <si>
    <t>JERROLD</t>
  </si>
  <si>
    <t>DECROW</t>
  </si>
  <si>
    <t>LYNN</t>
  </si>
  <si>
    <t>DELVILLAN</t>
  </si>
  <si>
    <t>LAURIE</t>
  </si>
  <si>
    <t>MATTHEW</t>
  </si>
  <si>
    <t>DEMMA</t>
  </si>
  <si>
    <t>KAREN</t>
  </si>
  <si>
    <t>DEVLIN</t>
  </si>
  <si>
    <t>PATRICIA</t>
  </si>
  <si>
    <t>DINICOLA</t>
  </si>
  <si>
    <t>FORD</t>
  </si>
  <si>
    <t>FREY</t>
  </si>
  <si>
    <t>CAROL</t>
  </si>
  <si>
    <t>GARNICA</t>
  </si>
  <si>
    <t>MARY</t>
  </si>
  <si>
    <t>GLASSER</t>
  </si>
  <si>
    <t>GEORGETTE</t>
  </si>
  <si>
    <t>HEINEY</t>
  </si>
  <si>
    <t>KEVIN</t>
  </si>
  <si>
    <t>HORSCHAK</t>
  </si>
  <si>
    <t>DOLORES</t>
  </si>
  <si>
    <t>HUSZAI</t>
  </si>
  <si>
    <t>DIANE</t>
  </si>
  <si>
    <t>JONES</t>
  </si>
  <si>
    <t>CHERYL</t>
  </si>
  <si>
    <t>KAPAROFF</t>
  </si>
  <si>
    <t>KLESCH</t>
  </si>
  <si>
    <t>JOANNE</t>
  </si>
  <si>
    <t>LISA</t>
  </si>
  <si>
    <t>KLINKER</t>
  </si>
  <si>
    <t>CARROL</t>
  </si>
  <si>
    <t>KNIGHT</t>
  </si>
  <si>
    <t>TERRY</t>
  </si>
  <si>
    <t>KNIPPER</t>
  </si>
  <si>
    <t>CATHERINE</t>
  </si>
  <si>
    <t>KUS</t>
  </si>
  <si>
    <t>LUCARELL</t>
  </si>
  <si>
    <t>ANTHONY</t>
  </si>
  <si>
    <t>MAST</t>
  </si>
  <si>
    <t>MEISSNER</t>
  </si>
  <si>
    <t>METZ</t>
  </si>
  <si>
    <t>JACQUELINE</t>
  </si>
  <si>
    <t>MILLER</t>
  </si>
  <si>
    <t>JOHN</t>
  </si>
  <si>
    <t>NEVISON</t>
  </si>
  <si>
    <t>WILLIAM</t>
  </si>
  <si>
    <t>NOVAK</t>
  </si>
  <si>
    <t>THOMAS</t>
  </si>
  <si>
    <t>PICHLER</t>
  </si>
  <si>
    <t>CHARLENE</t>
  </si>
  <si>
    <t>PLAIN</t>
  </si>
  <si>
    <t>NANCY</t>
  </si>
  <si>
    <t>POPE</t>
  </si>
  <si>
    <t>VICKI</t>
  </si>
  <si>
    <t>PORCHOWSKY</t>
  </si>
  <si>
    <t>ZENOWIJ</t>
  </si>
  <si>
    <t>RANALDI</t>
  </si>
  <si>
    <t>RAUSCHENBERGER</t>
  </si>
  <si>
    <t>ROGER</t>
  </si>
  <si>
    <t>REGALLIS</t>
  </si>
  <si>
    <t>JAMES</t>
  </si>
  <si>
    <t>ROLLING</t>
  </si>
  <si>
    <t>ROSE</t>
  </si>
  <si>
    <t>ANGELA</t>
  </si>
  <si>
    <t>BRENDA</t>
  </si>
  <si>
    <t>ROSS</t>
  </si>
  <si>
    <t>TIFFANY</t>
  </si>
  <si>
    <t>SCHUBKEGEL</t>
  </si>
  <si>
    <t>DAYNA</t>
  </si>
  <si>
    <t>LELAND</t>
  </si>
  <si>
    <t>SHANK</t>
  </si>
  <si>
    <t>LARRY</t>
  </si>
  <si>
    <t>MARILYN</t>
  </si>
  <si>
    <t>SMITH</t>
  </si>
  <si>
    <t>DAVID</t>
  </si>
  <si>
    <t>STIFFLER</t>
  </si>
  <si>
    <t>REGENA</t>
  </si>
  <si>
    <t>SZYMCZYK</t>
  </si>
  <si>
    <t>TONI</t>
  </si>
  <si>
    <t>TUMA</t>
  </si>
  <si>
    <t>CHRISTOPHER</t>
  </si>
  <si>
    <t>ULASZEWSKI</t>
  </si>
  <si>
    <t>VARZELLE</t>
  </si>
  <si>
    <t>PATRICE</t>
  </si>
  <si>
    <t>WILSON</t>
  </si>
  <si>
    <t>ZIDAR</t>
  </si>
  <si>
    <t>NADINE</t>
  </si>
  <si>
    <t>ZUPKOW</t>
  </si>
  <si>
    <t>BONNIE</t>
  </si>
  <si>
    <t>ALBRIGHT</t>
  </si>
  <si>
    <t>TERESA</t>
  </si>
  <si>
    <t>BRADLEY</t>
  </si>
  <si>
    <t>DOROTHY</t>
  </si>
  <si>
    <t>COOK</t>
  </si>
  <si>
    <t>JERRI</t>
  </si>
  <si>
    <t>WILLARD</t>
  </si>
  <si>
    <t>DEPIZZOL</t>
  </si>
  <si>
    <t>RONALD</t>
  </si>
  <si>
    <t>CHARLOTTE</t>
  </si>
  <si>
    <t>PETE</t>
  </si>
  <si>
    <t>ORNELLA</t>
  </si>
  <si>
    <t>RAPE</t>
  </si>
  <si>
    <t>PATTY</t>
  </si>
  <si>
    <t>RAY</t>
  </si>
  <si>
    <t>PATRICK</t>
  </si>
  <si>
    <t>STROBLE</t>
  </si>
  <si>
    <t>WEIGAND</t>
  </si>
  <si>
    <t>DEMARIS</t>
  </si>
  <si>
    <t>WHITLEY</t>
  </si>
  <si>
    <t>CINDY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</si>
</sst>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1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0"/>
      <color rgb="FF4682B4"/>
      <name val="Calibri"/>
      <family val="2"/>
    </font>
    <font>
      <i/>
      <sz val="10"/>
      <color rgb="FF000000"/>
      <name val="Calibri"/>
      <family val="2"/>
    </font>
    <font>
      <b/>
      <sz val="14"/>
      <color rgb="FF4682B4"/>
      <name val="Calibri"/>
      <family val="2"/>
    </font>
    <font>
      <sz val="10"/>
      <color rgb="FF000000"/>
      <name val="Arial"/>
      <family val="2"/>
    </font>
    <font>
      <b/>
      <sz val="12"/>
      <color rgb="FFFFFFFF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u/>
      <sz val="9"/>
      <color rgb="FF4682B4"/>
      <name val="Calibri"/>
      <family val="2"/>
    </font>
    <font>
      <sz val="12"/>
      <color rgb="FF000000"/>
      <name val="Calibri"/>
      <family val="2"/>
    </font>
    <font>
      <i/>
      <sz val="9"/>
      <color rgb="FFFF0000"/>
      <name val="Calibri"/>
      <family val="2"/>
    </font>
    <font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DCDCDC"/>
        <bgColor rgb="FFDCDCDC"/>
      </patternFill>
    </fill>
  </fills>
  <borders count="14">
    <border>
      <left/>
      <right/>
      <top/>
      <bottom/>
      <diagonal/>
    </border>
    <border>
      <left/>
      <right/>
      <top style="thick">
        <color rgb="FF4682B4"/>
      </top>
      <bottom/>
      <diagonal/>
    </border>
    <border>
      <left style="thin">
        <color rgb="FF4682B4"/>
      </left>
      <right style="thin">
        <color rgb="FF4682B4"/>
      </right>
      <top style="thin">
        <color rgb="FF4682B4"/>
      </top>
      <bottom style="thin">
        <color rgb="FF4682B4"/>
      </bottom>
      <diagonal/>
    </border>
    <border>
      <left/>
      <right/>
      <top style="thin">
        <color rgb="FF4682B4"/>
      </top>
      <bottom style="thin">
        <color rgb="FF4682B4"/>
      </bottom>
      <diagonal/>
    </border>
    <border>
      <left/>
      <right style="thin">
        <color rgb="FF4682B4"/>
      </right>
      <top style="thin">
        <color rgb="FF4682B4"/>
      </top>
      <bottom style="thin">
        <color rgb="FF4682B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682B4"/>
      </bottom>
      <diagonal/>
    </border>
    <border>
      <left/>
      <right style="thin">
        <color rgb="FFFFFFFF"/>
      </right>
      <top style="thin">
        <color rgb="FFFFFFFF"/>
      </top>
      <bottom style="thin">
        <color rgb="FF4682B4"/>
      </bottom>
      <diagonal/>
    </border>
    <border>
      <left/>
      <right/>
      <top style="thin">
        <color rgb="FFFFFFFF"/>
      </top>
      <bottom style="thin">
        <color rgb="FF4682B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3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6" fillId="2" borderId="2" xfId="0" applyFont="1" applyFill="1" applyBorder="1" applyAlignment="1">
      <alignment vertical="top" wrapText="1" readingOrder="1"/>
    </xf>
    <xf numFmtId="0" fontId="7" fillId="3" borderId="5" xfId="0" applyFont="1" applyFill="1" applyBorder="1" applyAlignment="1">
      <alignment horizontal="center" vertical="top" wrapText="1" readingOrder="1"/>
    </xf>
    <xf numFmtId="0" fontId="8" fillId="3" borderId="8" xfId="0" applyFont="1" applyFill="1" applyBorder="1" applyAlignment="1">
      <alignment horizontal="center" vertical="top" wrapText="1" readingOrder="1"/>
    </xf>
    <xf numFmtId="0" fontId="9" fillId="4" borderId="11" xfId="0" applyFont="1" applyFill="1" applyBorder="1" applyAlignment="1">
      <alignment horizontal="center" vertical="top" wrapText="1" readingOrder="1"/>
    </xf>
    <xf numFmtId="164" fontId="9" fillId="4" borderId="11" xfId="0" applyNumberFormat="1" applyFont="1" applyFill="1" applyBorder="1" applyAlignment="1">
      <alignment horizontal="right" vertical="top" wrapText="1" readingOrder="1"/>
    </xf>
    <xf numFmtId="164" fontId="9" fillId="4" borderId="11" xfId="0" applyNumberFormat="1" applyFont="1" applyFill="1" applyBorder="1" applyAlignment="1">
      <alignment vertical="top" wrapText="1" readingOrder="1"/>
    </xf>
    <xf numFmtId="0" fontId="7" fillId="5" borderId="11" xfId="0" applyFont="1" applyFill="1" applyBorder="1" applyAlignment="1">
      <alignment vertical="top" wrapText="1" readingOrder="1"/>
    </xf>
    <xf numFmtId="164" fontId="7" fillId="5" borderId="11" xfId="0" applyNumberFormat="1" applyFont="1" applyFill="1" applyBorder="1" applyAlignment="1">
      <alignment vertical="top" wrapText="1" readingOrder="1"/>
    </xf>
    <xf numFmtId="0" fontId="7" fillId="5" borderId="11" xfId="0" applyFont="1" applyFill="1" applyBorder="1" applyAlignment="1">
      <alignment horizontal="center"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6" fillId="2" borderId="2" xfId="0" applyFont="1" applyFill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7" fillId="3" borderId="5" xfId="0" applyFont="1" applyFill="1" applyBorder="1" applyAlignment="1">
      <alignment vertical="top" wrapText="1" readingOrder="1"/>
    </xf>
    <xf numFmtId="0" fontId="1" fillId="0" borderId="6" xfId="0" applyFont="1" applyBorder="1" applyAlignment="1">
      <alignment vertical="top" wrapText="1"/>
    </xf>
    <xf numFmtId="0" fontId="7" fillId="3" borderId="5" xfId="0" applyFont="1" applyFill="1" applyBorder="1" applyAlignment="1">
      <alignment horizontal="center" vertical="top" wrapText="1" readingOrder="1"/>
    </xf>
    <xf numFmtId="0" fontId="1" fillId="0" borderId="7" xfId="0" applyFont="1" applyBorder="1" applyAlignment="1">
      <alignment vertical="top" wrapText="1"/>
    </xf>
    <xf numFmtId="0" fontId="8" fillId="3" borderId="8" xfId="0" applyFont="1" applyFill="1" applyBorder="1" applyAlignment="1">
      <alignment horizontal="center" vertical="top" wrapText="1" readingOrder="1"/>
    </xf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9" fillId="4" borderId="11" xfId="0" applyFont="1" applyFill="1" applyBorder="1" applyAlignment="1">
      <alignment vertical="top" wrapText="1" readingOrder="1"/>
    </xf>
    <xf numFmtId="0" fontId="1" fillId="0" borderId="12" xfId="0" applyFont="1" applyBorder="1" applyAlignment="1">
      <alignment vertical="top" wrapText="1"/>
    </xf>
    <xf numFmtId="0" fontId="10" fillId="4" borderId="11" xfId="0" applyFont="1" applyFill="1" applyBorder="1" applyAlignment="1">
      <alignment horizontal="center" vertical="top" wrapText="1" readingOrder="1"/>
    </xf>
    <xf numFmtId="0" fontId="1" fillId="0" borderId="13" xfId="0" applyFont="1" applyBorder="1" applyAlignment="1">
      <alignment vertical="top" wrapText="1"/>
    </xf>
    <xf numFmtId="0" fontId="9" fillId="4" borderId="11" xfId="0" applyFont="1" applyFill="1" applyBorder="1" applyAlignment="1">
      <alignment horizontal="center" vertical="top" wrapText="1" readingOrder="1"/>
    </xf>
    <xf numFmtId="164" fontId="9" fillId="4" borderId="11" xfId="0" applyNumberFormat="1" applyFont="1" applyFill="1" applyBorder="1" applyAlignment="1">
      <alignment vertical="top" wrapText="1" readingOrder="1"/>
    </xf>
    <xf numFmtId="0" fontId="7" fillId="5" borderId="11" xfId="0" applyFont="1" applyFill="1" applyBorder="1" applyAlignment="1">
      <alignment vertical="top" wrapText="1" readingOrder="1"/>
    </xf>
    <xf numFmtId="0" fontId="7" fillId="5" borderId="11" xfId="0" applyFont="1" applyFill="1" applyBorder="1" applyAlignment="1">
      <alignment horizontal="center" vertical="top" wrapText="1" readingOrder="1"/>
    </xf>
    <xf numFmtId="164" fontId="7" fillId="5" borderId="11" xfId="0" applyNumberFormat="1" applyFont="1" applyFill="1" applyBorder="1" applyAlignment="1">
      <alignment vertical="top" wrapText="1" readingOrder="1"/>
    </xf>
    <xf numFmtId="0" fontId="7" fillId="3" borderId="5" xfId="0" applyFont="1" applyFill="1" applyBorder="1" applyAlignment="1">
      <alignment horizontal="left" vertical="top" wrapText="1" readingOrder="1"/>
    </xf>
    <xf numFmtId="0" fontId="8" fillId="3" borderId="8" xfId="0" applyFont="1" applyFill="1" applyBorder="1" applyAlignment="1">
      <alignment horizontal="left" vertical="top" wrapText="1" readingOrder="1"/>
    </xf>
    <xf numFmtId="0" fontId="1" fillId="0" borderId="0" xfId="0" applyFont="1" applyAlignment="1">
      <alignment horizontal="left"/>
    </xf>
    <xf numFmtId="0" fontId="9" fillId="4" borderId="11" xfId="0" applyFont="1" applyFill="1" applyBorder="1" applyAlignment="1">
      <alignment horizontal="left" vertical="top" wrapText="1" readingOrder="1"/>
    </xf>
    <xf numFmtId="164" fontId="9" fillId="4" borderId="11" xfId="0" applyNumberFormat="1" applyFont="1" applyFill="1" applyBorder="1" applyAlignment="1">
      <alignment horizontal="left" vertical="top" wrapText="1" readingOrder="1"/>
    </xf>
    <xf numFmtId="0" fontId="9" fillId="4" borderId="11" xfId="0" applyNumberFormat="1" applyFont="1" applyFill="1" applyBorder="1" applyAlignment="1">
      <alignment horizontal="left" vertical="top" wrapText="1" readingOrder="1"/>
    </xf>
    <xf numFmtId="14" fontId="9" fillId="4" borderId="11" xfId="0" applyNumberFormat="1" applyFont="1" applyFill="1" applyBorder="1" applyAlignment="1">
      <alignment horizontal="left" vertical="top" wrapText="1" readingOrder="1"/>
    </xf>
    <xf numFmtId="0" fontId="13" fillId="4" borderId="11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0000"/>
      <rgbColor rgb="00FFFFFF"/>
      <rgbColor rgb="00ADD8E6"/>
      <rgbColor rgb="00D3D3D3"/>
      <rgbColor rgb="00DCDCDC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444500</xdr:colOff>
      <xdr:row>2</xdr:row>
      <xdr:rowOff>73609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scwp-cbidb002/ReportServer?%2FSummaCare%2FCommissions%202018%2FSC_Broker_Commission_Information&amp;Member_Nbr=A9001183300%20&amp;rs%3AParameterLanguage=" TargetMode="External"/><Relationship Id="rId18" Type="http://schemas.openxmlformats.org/officeDocument/2006/relationships/hyperlink" Target="http://scwp-cbidb002/ReportServer?%2FSummaCare%2FCommissions%202018%2FSC_Broker_Commission_Information&amp;Member_Nbr=A9001105800%20&amp;rs%3AParameterLanguage=" TargetMode="External"/><Relationship Id="rId26" Type="http://schemas.openxmlformats.org/officeDocument/2006/relationships/hyperlink" Target="http://scwp-cbidb002/ReportServer?%2FSummaCare%2FCommissions%202018%2FSC_Broker_Commission_Information&amp;Member_Nbr=A9003186100%20&amp;rs%3AParameterLanguage=" TargetMode="External"/><Relationship Id="rId39" Type="http://schemas.openxmlformats.org/officeDocument/2006/relationships/hyperlink" Target="http://scwp-cbidb002/ReportServer?%2FSummaCare%2FCommissions%202018%2FSC_Broker_Commission_Information&amp;Member_Nbr=A9003434200%20&amp;rs%3AParameterLanguage=" TargetMode="External"/><Relationship Id="rId21" Type="http://schemas.openxmlformats.org/officeDocument/2006/relationships/hyperlink" Target="http://scwp-cbidb002/ReportServer?%2FSummaCare%2FCommissions%202018%2FSC_Broker_Commission_Information&amp;Member_Nbr=A9003262100%20&amp;rs%3AParameterLanguage=" TargetMode="External"/><Relationship Id="rId34" Type="http://schemas.openxmlformats.org/officeDocument/2006/relationships/hyperlink" Target="http://scwp-cbidb002/ReportServer?%2FSummaCare%2FCommissions%202018%2FSC_Broker_Commission_Information&amp;Member_Nbr=A9002603800%20&amp;rs%3AParameterLanguage=" TargetMode="External"/><Relationship Id="rId42" Type="http://schemas.openxmlformats.org/officeDocument/2006/relationships/hyperlink" Target="http://scwp-cbidb002/ReportServer?%2FSummaCare%2FCommissions%202018%2FSC_Broker_Commission_Information&amp;Member_Nbr=A9003569500%20&amp;rs%3AParameterLanguage=" TargetMode="External"/><Relationship Id="rId47" Type="http://schemas.openxmlformats.org/officeDocument/2006/relationships/hyperlink" Target="http://scwp-cbidb002/ReportServer?%2FSummaCare%2FCommissions%202018%2FSC_Broker_Commission_Information&amp;Member_Nbr=A9003137200%20&amp;rs%3AParameterLanguage=" TargetMode="External"/><Relationship Id="rId50" Type="http://schemas.openxmlformats.org/officeDocument/2006/relationships/hyperlink" Target="http://scwp-cbidb002/ReportServer?%2FSummaCare%2FCommissions%202018%2FSC_Broker_Commission_Information&amp;Member_Nbr=A9003680900%20&amp;rs%3AParameterLanguage=" TargetMode="External"/><Relationship Id="rId55" Type="http://schemas.openxmlformats.org/officeDocument/2006/relationships/hyperlink" Target="http://scwp-cbidb002/ReportServer?%2FSummaCare%2FCommissions%202018%2FSC_Broker_Commission_Information&amp;Member_Nbr=A9002977400%20&amp;rs%3AParameterLanguage=" TargetMode="External"/><Relationship Id="rId63" Type="http://schemas.openxmlformats.org/officeDocument/2006/relationships/hyperlink" Target="http://scwp-cbidb002/ReportServer?%2FSummaCare%2FCommissions%202018%2FSC_Broker_Commission_Information&amp;Member_Nbr=A9003752500%20&amp;rs%3AParameterLanguage=" TargetMode="External"/><Relationship Id="rId68" Type="http://schemas.openxmlformats.org/officeDocument/2006/relationships/hyperlink" Target="http://scwp-cbidb002/ReportServer?%2FSummaCare%2FCommissions%202018%2FSC_Broker_Commission_Information&amp;Member_Nbr=A9003113400%20&amp;rs%3AParameterLanguage=" TargetMode="External"/><Relationship Id="rId76" Type="http://schemas.openxmlformats.org/officeDocument/2006/relationships/hyperlink" Target="http://scwp-cbidb002/ReportServer?%2FSummaCare%2FCommissions%202018%2FSC_Broker_Commission_Information&amp;Member_Nbr=A9003382700%20&amp;rs%3AParameterLanguage=" TargetMode="External"/><Relationship Id="rId84" Type="http://schemas.openxmlformats.org/officeDocument/2006/relationships/hyperlink" Target="http://scwp-cbidb002/ReportServer?%2FSummaCare%2FCommissions%202018%2FSC_Broker_Commission_Information&amp;Member_Nbr=A9003037800%20&amp;rs%3AParameterLanguage=" TargetMode="External"/><Relationship Id="rId7" Type="http://schemas.openxmlformats.org/officeDocument/2006/relationships/hyperlink" Target="http://scwp-cbidb002/ReportServer?%2FSummaCare%2FCommissions%202018%2FSC_Broker_Commission_Information&amp;Member_Nbr=A9003018500%20&amp;rs%3AParameterLanguage=" TargetMode="External"/><Relationship Id="rId71" Type="http://schemas.openxmlformats.org/officeDocument/2006/relationships/hyperlink" Target="http://scwp-cbidb002/ReportServer?%2FSummaCare%2FCommissions%202018%2FSC_Broker_Commission_Information&amp;Member_Nbr=A9003046200%20&amp;rs%3AParameterLanguage=" TargetMode="External"/><Relationship Id="rId2" Type="http://schemas.openxmlformats.org/officeDocument/2006/relationships/hyperlink" Target="http://scwp-cbidb002/ReportServer?%2FSummaCare%2FCommissions%202018%2FSC_Broker_Commission_Information&amp;Member_Nbr=A9003921000%20&amp;rs%3AParameterLanguage=" TargetMode="External"/><Relationship Id="rId16" Type="http://schemas.openxmlformats.org/officeDocument/2006/relationships/hyperlink" Target="http://scwp-cbidb002/ReportServer?%2FSummaCare%2FCommissions%202018%2FSC_Broker_Commission_Information&amp;Member_Nbr=A0051608100%20&amp;rs%3AParameterLanguage=" TargetMode="External"/><Relationship Id="rId29" Type="http://schemas.openxmlformats.org/officeDocument/2006/relationships/hyperlink" Target="http://scwp-cbidb002/ReportServer?%2FSummaCare%2FCommissions%202018%2FSC_Broker_Commission_Information&amp;Member_Nbr=A9003014200%20&amp;rs%3AParameterLanguage=" TargetMode="External"/><Relationship Id="rId11" Type="http://schemas.openxmlformats.org/officeDocument/2006/relationships/hyperlink" Target="http://scwp-cbidb002/ReportServer?%2FSummaCare%2FCommissions%202018%2FSC_Broker_Commission_Information&amp;Member_Nbr=A9003203200%20&amp;rs%3AParameterLanguage=" TargetMode="External"/><Relationship Id="rId24" Type="http://schemas.openxmlformats.org/officeDocument/2006/relationships/hyperlink" Target="http://scwp-cbidb002/ReportServer?%2FSummaCare%2FCommissions%202018%2FSC_Broker_Commission_Information&amp;Member_Nbr=A9003676000%20&amp;rs%3AParameterLanguage=" TargetMode="External"/><Relationship Id="rId32" Type="http://schemas.openxmlformats.org/officeDocument/2006/relationships/hyperlink" Target="http://scwp-cbidb002/ReportServer?%2FSummaCare%2FCommissions%202018%2FSC_Broker_Commission_Information&amp;Member_Nbr=A9002603700%20&amp;rs%3AParameterLanguage=" TargetMode="External"/><Relationship Id="rId37" Type="http://schemas.openxmlformats.org/officeDocument/2006/relationships/hyperlink" Target="http://scwp-cbidb002/ReportServer?%2FSummaCare%2FCommissions%202018%2FSC_Broker_Commission_Information&amp;Member_Nbr=A9003161700%20&amp;rs%3AParameterLanguage=" TargetMode="External"/><Relationship Id="rId40" Type="http://schemas.openxmlformats.org/officeDocument/2006/relationships/hyperlink" Target="http://scwp-cbidb002/ReportServer?%2FSummaCare%2FCommissions%202018%2FSC_Broker_Commission_Information&amp;Member_Nbr=A9003281700%20&amp;rs%3AParameterLanguage=" TargetMode="External"/><Relationship Id="rId45" Type="http://schemas.openxmlformats.org/officeDocument/2006/relationships/hyperlink" Target="http://scwp-cbidb002/ReportServer?%2FSummaCare%2FCommissions%202018%2FSC_Broker_Commission_Information&amp;Member_Nbr=A9003279000%20&amp;rs%3AParameterLanguage=" TargetMode="External"/><Relationship Id="rId53" Type="http://schemas.openxmlformats.org/officeDocument/2006/relationships/hyperlink" Target="http://scwp-cbidb002/ReportServer?%2FSummaCare%2FCommissions%202018%2FSC_Broker_Commission_Information&amp;Member_Nbr=A9003677200%20&amp;rs%3AParameterLanguage=" TargetMode="External"/><Relationship Id="rId58" Type="http://schemas.openxmlformats.org/officeDocument/2006/relationships/hyperlink" Target="http://scwp-cbidb002/ReportServer?%2FSummaCare%2FCommissions%202018%2FSC_Broker_Commission_Information&amp;Member_Nbr=A9003284100%20&amp;rs%3AParameterLanguage=" TargetMode="External"/><Relationship Id="rId66" Type="http://schemas.openxmlformats.org/officeDocument/2006/relationships/hyperlink" Target="http://scwp-cbidb002/ReportServer?%2FSummaCare%2FCommissions%202018%2FSC_Broker_Commission_Information&amp;Member_Nbr=A9002947800%20&amp;rs%3AParameterLanguage=" TargetMode="External"/><Relationship Id="rId74" Type="http://schemas.openxmlformats.org/officeDocument/2006/relationships/hyperlink" Target="http://scwp-cbidb002/ReportServer?%2FSummaCare%2FCommissions%202018%2FSC_Broker_Commission_Information&amp;Member_Nbr=A9002952000%20&amp;rs%3AParameterLanguage=" TargetMode="External"/><Relationship Id="rId79" Type="http://schemas.openxmlformats.org/officeDocument/2006/relationships/hyperlink" Target="http://scwp-cbidb002/ReportServer?%2FSummaCare%2FCommissions%202018%2FSC_Broker_Commission_Information&amp;Member_Nbr=A9003673200%20&amp;rs%3AParameterLanguage=" TargetMode="External"/><Relationship Id="rId5" Type="http://schemas.openxmlformats.org/officeDocument/2006/relationships/hyperlink" Target="http://scwp-cbidb002/ReportServer?%2FSummaCare%2FCommissions%202018%2FSC_Broker_Commission_Information&amp;Member_Nbr=A9003119500%20&amp;rs%3AParameterLanguage=" TargetMode="External"/><Relationship Id="rId61" Type="http://schemas.openxmlformats.org/officeDocument/2006/relationships/hyperlink" Target="http://scwp-cbidb002/ReportServer?%2FSummaCare%2FCommissions%202018%2FSC_Broker_Commission_Information&amp;Member_Nbr=A0049168700%20&amp;rs%3AParameterLanguage=" TargetMode="External"/><Relationship Id="rId82" Type="http://schemas.openxmlformats.org/officeDocument/2006/relationships/hyperlink" Target="http://scwp-cbidb002/ReportServer?%2FSummaCare%2FCommissions%202018%2FSC_Broker_Commission_Information&amp;Member_Nbr=A9003634100%20&amp;rs%3AParameterLanguage=" TargetMode="External"/><Relationship Id="rId19" Type="http://schemas.openxmlformats.org/officeDocument/2006/relationships/hyperlink" Target="http://scwp-cbidb002/ReportServer?%2FSummaCare%2FCommissions%202018%2FSC_Broker_Commission_Information&amp;Member_Nbr=A9003019100%20&amp;rs%3AParameterLanguage=" TargetMode="External"/><Relationship Id="rId4" Type="http://schemas.openxmlformats.org/officeDocument/2006/relationships/hyperlink" Target="http://scwp-cbidb002/ReportServer?%2FSummaCare%2FCommissions%202018%2FSC_Broker_Commission_Information&amp;Member_Nbr=A9003999500%20&amp;rs%3AParameterLanguage=" TargetMode="External"/><Relationship Id="rId9" Type="http://schemas.openxmlformats.org/officeDocument/2006/relationships/hyperlink" Target="http://scwp-cbidb002/ReportServer?%2FSummaCare%2FCommissions%202018%2FSC_Broker_Commission_Information&amp;Member_Nbr=A9003562200%20&amp;rs%3AParameterLanguage=" TargetMode="External"/><Relationship Id="rId14" Type="http://schemas.openxmlformats.org/officeDocument/2006/relationships/hyperlink" Target="http://scwp-cbidb002/ReportServer?%2FSummaCare%2FCommissions%202018%2FSC_Broker_Commission_Information&amp;Member_Nbr=A9003158500%20&amp;rs%3AParameterLanguage=" TargetMode="External"/><Relationship Id="rId22" Type="http://schemas.openxmlformats.org/officeDocument/2006/relationships/hyperlink" Target="http://scwp-cbidb002/ReportServer?%2FSummaCare%2FCommissions%202018%2FSC_Broker_Commission_Information&amp;Member_Nbr=A9003154700%20&amp;rs%3AParameterLanguage=" TargetMode="External"/><Relationship Id="rId27" Type="http://schemas.openxmlformats.org/officeDocument/2006/relationships/hyperlink" Target="http://scwp-cbidb002/ReportServer?%2FSummaCare%2FCommissions%202018%2FSC_Broker_Commission_Information&amp;Member_Nbr=A9003514800%20&amp;rs%3AParameterLanguage=" TargetMode="External"/><Relationship Id="rId30" Type="http://schemas.openxmlformats.org/officeDocument/2006/relationships/hyperlink" Target="http://scwp-cbidb002/ReportServer?%2FSummaCare%2FCommissions%202018%2FSC_Broker_Commission_Information&amp;Member_Nbr=A9002985400%20&amp;rs%3AParameterLanguage=" TargetMode="External"/><Relationship Id="rId35" Type="http://schemas.openxmlformats.org/officeDocument/2006/relationships/hyperlink" Target="http://scwp-cbidb002/ReportServer?%2FSummaCare%2FCommissions%202018%2FSC_Broker_Commission_Information&amp;Member_Nbr=A9003142900%20&amp;rs%3AParameterLanguage=" TargetMode="External"/><Relationship Id="rId43" Type="http://schemas.openxmlformats.org/officeDocument/2006/relationships/hyperlink" Target="http://scwp-cbidb002/ReportServer?%2FSummaCare%2FCommissions%202018%2FSC_Broker_Commission_Information&amp;Member_Nbr=A9003569600%20&amp;rs%3AParameterLanguage=" TargetMode="External"/><Relationship Id="rId48" Type="http://schemas.openxmlformats.org/officeDocument/2006/relationships/hyperlink" Target="http://scwp-cbidb002/ReportServer?%2FSummaCare%2FCommissions%202018%2FSC_Broker_Commission_Information&amp;Member_Nbr=A9003040400%20&amp;rs%3AParameterLanguage=" TargetMode="External"/><Relationship Id="rId56" Type="http://schemas.openxmlformats.org/officeDocument/2006/relationships/hyperlink" Target="http://scwp-cbidb002/ReportServer?%2FSummaCare%2FCommissions%202018%2FSC_Broker_Commission_Information&amp;Member_Nbr=A9003407900%20&amp;rs%3AParameterLanguage=" TargetMode="External"/><Relationship Id="rId64" Type="http://schemas.openxmlformats.org/officeDocument/2006/relationships/hyperlink" Target="http://scwp-cbidb002/ReportServer?%2FSummaCare%2FCommissions%202018%2FSC_Broker_Commission_Information&amp;Member_Nbr=A9003721200%20&amp;rs%3AParameterLanguage=" TargetMode="External"/><Relationship Id="rId69" Type="http://schemas.openxmlformats.org/officeDocument/2006/relationships/hyperlink" Target="http://scwp-cbidb002/ReportServer?%2FSummaCare%2FCommissions%202018%2FSC_Broker_Commission_Information&amp;Member_Nbr=A9002973700%20&amp;rs%3AParameterLanguage=" TargetMode="External"/><Relationship Id="rId77" Type="http://schemas.openxmlformats.org/officeDocument/2006/relationships/hyperlink" Target="http://scwp-cbidb002/ReportServer?%2FSummaCare%2FCommissions%202018%2FSC_Broker_Commission_Information&amp;Member_Nbr=A9003482100%20&amp;rs%3AParameterLanguage=" TargetMode="External"/><Relationship Id="rId8" Type="http://schemas.openxmlformats.org/officeDocument/2006/relationships/hyperlink" Target="http://scwp-cbidb002/ReportServer?%2FSummaCare%2FCommissions%202018%2FSC_Broker_Commission_Information&amp;Member_Nbr=A9001310600%20&amp;rs%3AParameterLanguage=" TargetMode="External"/><Relationship Id="rId51" Type="http://schemas.openxmlformats.org/officeDocument/2006/relationships/hyperlink" Target="http://scwp-cbidb002/ReportServer?%2FSummaCare%2FCommissions%202018%2FSC_Broker_Commission_Information&amp;Member_Nbr=A9003364000%20&amp;rs%3AParameterLanguage=" TargetMode="External"/><Relationship Id="rId72" Type="http://schemas.openxmlformats.org/officeDocument/2006/relationships/hyperlink" Target="http://scwp-cbidb002/ReportServer?%2FSummaCare%2FCommissions%202018%2FSC_Broker_Commission_Information&amp;Member_Nbr=A9003046300%20&amp;rs%3AParameterLanguage=" TargetMode="External"/><Relationship Id="rId80" Type="http://schemas.openxmlformats.org/officeDocument/2006/relationships/hyperlink" Target="http://scwp-cbidb002/ReportServer?%2FSummaCare%2FCommissions%202018%2FSC_Broker_Commission_Information&amp;Member_Nbr=A9003922800%20&amp;rs%3AParameterLanguage=" TargetMode="External"/><Relationship Id="rId85" Type="http://schemas.openxmlformats.org/officeDocument/2006/relationships/drawing" Target="../drawings/drawing1.xml"/><Relationship Id="rId3" Type="http://schemas.openxmlformats.org/officeDocument/2006/relationships/hyperlink" Target="http://scwp-cbidb002/ReportServer?%2FSummaCare%2FCommissions%202018%2FSC_Broker_Commission_Information&amp;Member_Nbr=A9001229900%20&amp;rs%3AParameterLanguage=" TargetMode="External"/><Relationship Id="rId12" Type="http://schemas.openxmlformats.org/officeDocument/2006/relationships/hyperlink" Target="http://scwp-cbidb002/ReportServer?%2FSummaCare%2FCommissions%202018%2FSC_Broker_Commission_Information&amp;Member_Nbr=A9001183200%20&amp;rs%3AParameterLanguage=" TargetMode="External"/><Relationship Id="rId17" Type="http://schemas.openxmlformats.org/officeDocument/2006/relationships/hyperlink" Target="http://scwp-cbidb002/ReportServer?%2FSummaCare%2FCommissions%202018%2FSC_Broker_Commission_Information&amp;Member_Nbr=A9001490300%20&amp;rs%3AParameterLanguage=" TargetMode="External"/><Relationship Id="rId25" Type="http://schemas.openxmlformats.org/officeDocument/2006/relationships/hyperlink" Target="http://scwp-cbidb002/ReportServer?%2FSummaCare%2FCommissions%202018%2FSC_Broker_Commission_Information&amp;Member_Nbr=A9003566500%20&amp;rs%3AParameterLanguage=" TargetMode="External"/><Relationship Id="rId33" Type="http://schemas.openxmlformats.org/officeDocument/2006/relationships/hyperlink" Target="http://scwp-cbidb002/ReportServer?%2FSummaCare%2FCommissions%202018%2FSC_Broker_Commission_Information&amp;Member_Nbr=A9003387400%20&amp;rs%3AParameterLanguage=" TargetMode="External"/><Relationship Id="rId38" Type="http://schemas.openxmlformats.org/officeDocument/2006/relationships/hyperlink" Target="http://scwp-cbidb002/ReportServer?%2FSummaCare%2FCommissions%202018%2FSC_Broker_Commission_Information&amp;Member_Nbr=A9003433900%20&amp;rs%3AParameterLanguage=" TargetMode="External"/><Relationship Id="rId46" Type="http://schemas.openxmlformats.org/officeDocument/2006/relationships/hyperlink" Target="http://scwp-cbidb002/ReportServer?%2FSummaCare%2FCommissions%202018%2FSC_Broker_Commission_Information&amp;Member_Nbr=A9003722500%20&amp;rs%3AParameterLanguage=" TargetMode="External"/><Relationship Id="rId59" Type="http://schemas.openxmlformats.org/officeDocument/2006/relationships/hyperlink" Target="http://scwp-cbidb002/ReportServer?%2FSummaCare%2FCommissions%202018%2FSC_Broker_Commission_Information&amp;Member_Nbr=A9003382800%20&amp;rs%3AParameterLanguage=" TargetMode="External"/><Relationship Id="rId67" Type="http://schemas.openxmlformats.org/officeDocument/2006/relationships/hyperlink" Target="http://scwp-cbidb002/ReportServer?%2FSummaCare%2FCommissions%202018%2FSC_Broker_Commission_Information&amp;Member_Nbr=A9004007300%20&amp;rs%3AParameterLanguage=" TargetMode="External"/><Relationship Id="rId20" Type="http://schemas.openxmlformats.org/officeDocument/2006/relationships/hyperlink" Target="http://scwp-cbidb002/ReportServer?%2FSummaCare%2FCommissions%202018%2FSC_Broker_Commission_Information&amp;Member_Nbr=A9003261900%20&amp;rs%3AParameterLanguage=" TargetMode="External"/><Relationship Id="rId41" Type="http://schemas.openxmlformats.org/officeDocument/2006/relationships/hyperlink" Target="http://scwp-cbidb002/ReportServer?%2FSummaCare%2FCommissions%202018%2FSC_Broker_Commission_Information&amp;Member_Nbr=A9003227400%20&amp;rs%3AParameterLanguage=" TargetMode="External"/><Relationship Id="rId54" Type="http://schemas.openxmlformats.org/officeDocument/2006/relationships/hyperlink" Target="http://scwp-cbidb002/ReportServer?%2FSummaCare%2FCommissions%202018%2FSC_Broker_Commission_Information&amp;Member_Nbr=A9003762900%20&amp;rs%3AParameterLanguage=" TargetMode="External"/><Relationship Id="rId62" Type="http://schemas.openxmlformats.org/officeDocument/2006/relationships/hyperlink" Target="http://scwp-cbidb002/ReportServer?%2FSummaCare%2FCommissions%202018%2FSC_Broker_Commission_Information&amp;Member_Nbr=A0033563400%20&amp;rs%3AParameterLanguage=" TargetMode="External"/><Relationship Id="rId70" Type="http://schemas.openxmlformats.org/officeDocument/2006/relationships/hyperlink" Target="http://scwp-cbidb002/ReportServer?%2FSummaCare%2FCommissions%202018%2FSC_Broker_Commission_Information&amp;Member_Nbr=A9002974000%20&amp;rs%3AParameterLanguage=" TargetMode="External"/><Relationship Id="rId75" Type="http://schemas.openxmlformats.org/officeDocument/2006/relationships/hyperlink" Target="http://scwp-cbidb002/ReportServer?%2FSummaCare%2FCommissions%202018%2FSC_Broker_Commission_Information&amp;Member_Nbr=A9003821400%20&amp;rs%3AParameterLanguage=" TargetMode="External"/><Relationship Id="rId83" Type="http://schemas.openxmlformats.org/officeDocument/2006/relationships/hyperlink" Target="http://scwp-cbidb002/ReportServer?%2FSummaCare%2FCommissions%202018%2FSC_Broker_Commission_Information&amp;Member_Nbr=A9001093400%20&amp;rs%3AParameterLanguage=" TargetMode="External"/><Relationship Id="rId1" Type="http://schemas.openxmlformats.org/officeDocument/2006/relationships/hyperlink" Target="http://scwp-cbidb002/ReportServer?%2FSummaCare%2FCommissions%202018%2FSC_Broker_Commission_Information&amp;Member_Nbr=A9001163300%20&amp;rs%3AParameterLanguage=" TargetMode="External"/><Relationship Id="rId6" Type="http://schemas.openxmlformats.org/officeDocument/2006/relationships/hyperlink" Target="http://scwp-cbidb002/ReportServer?%2FSummaCare%2FCommissions%202018%2FSC_Broker_Commission_Information&amp;Member_Nbr=A9003119400%20&amp;rs%3AParameterLanguage=" TargetMode="External"/><Relationship Id="rId15" Type="http://schemas.openxmlformats.org/officeDocument/2006/relationships/hyperlink" Target="http://scwp-cbidb002/ReportServer?%2FSummaCare%2FCommissions%202018%2FSC_Broker_Commission_Information&amp;Member_Nbr=A9003158700%20&amp;rs%3AParameterLanguage=" TargetMode="External"/><Relationship Id="rId23" Type="http://schemas.openxmlformats.org/officeDocument/2006/relationships/hyperlink" Target="http://scwp-cbidb002/ReportServer?%2FSummaCare%2FCommissions%202018%2FSC_Broker_Commission_Information&amp;Member_Nbr=A9001163300%20&amp;rs%3AParameterLanguage=" TargetMode="External"/><Relationship Id="rId28" Type="http://schemas.openxmlformats.org/officeDocument/2006/relationships/hyperlink" Target="http://scwp-cbidb002/ReportServer?%2FSummaCare%2FCommissions%202018%2FSC_Broker_Commission_Information&amp;Member_Nbr=A9002953500%20&amp;rs%3AParameterLanguage=" TargetMode="External"/><Relationship Id="rId36" Type="http://schemas.openxmlformats.org/officeDocument/2006/relationships/hyperlink" Target="http://scwp-cbidb002/ReportServer?%2FSummaCare%2FCommissions%202018%2FSC_Broker_Commission_Information&amp;Member_Nbr=A9004032200%20&amp;rs%3AParameterLanguage=" TargetMode="External"/><Relationship Id="rId49" Type="http://schemas.openxmlformats.org/officeDocument/2006/relationships/hyperlink" Target="http://scwp-cbidb002/ReportServer?%2FSummaCare%2FCommissions%202018%2FSC_Broker_Commission_Information&amp;Member_Nbr=A9003363800%20&amp;rs%3AParameterLanguage=" TargetMode="External"/><Relationship Id="rId57" Type="http://schemas.openxmlformats.org/officeDocument/2006/relationships/hyperlink" Target="http://scwp-cbidb002/ReportServer?%2FSummaCare%2FCommissions%202018%2FSC_Broker_Commission_Information&amp;Member_Nbr=A9003327400%20&amp;rs%3AParameterLanguage=" TargetMode="External"/><Relationship Id="rId10" Type="http://schemas.openxmlformats.org/officeDocument/2006/relationships/hyperlink" Target="http://scwp-cbidb002/ReportServer?%2FSummaCare%2FCommissions%202018%2FSC_Broker_Commission_Information&amp;Member_Nbr=A9003562100%20&amp;rs%3AParameterLanguage=" TargetMode="External"/><Relationship Id="rId31" Type="http://schemas.openxmlformats.org/officeDocument/2006/relationships/hyperlink" Target="http://scwp-cbidb002/ReportServer?%2FSummaCare%2FCommissions%202018%2FSC_Broker_Commission_Information&amp;Member_Nbr=A9002985200%20&amp;rs%3AParameterLanguage=" TargetMode="External"/><Relationship Id="rId44" Type="http://schemas.openxmlformats.org/officeDocument/2006/relationships/hyperlink" Target="http://scwp-cbidb002/ReportServer?%2FSummaCare%2FCommissions%202018%2FSC_Broker_Commission_Information&amp;Member_Nbr=A9003278800%20&amp;rs%3AParameterLanguage=" TargetMode="External"/><Relationship Id="rId52" Type="http://schemas.openxmlformats.org/officeDocument/2006/relationships/hyperlink" Target="http://scwp-cbidb002/ReportServer?%2FSummaCare%2FCommissions%202018%2FSC_Broker_Commission_Information&amp;Member_Nbr=A9003644800%20&amp;rs%3AParameterLanguage=" TargetMode="External"/><Relationship Id="rId60" Type="http://schemas.openxmlformats.org/officeDocument/2006/relationships/hyperlink" Target="http://scwp-cbidb002/ReportServer?%2FSummaCare%2FCommissions%202018%2FSC_Broker_Commission_Information&amp;Member_Nbr=A9003730500%20&amp;rs%3AParameterLanguage=" TargetMode="External"/><Relationship Id="rId65" Type="http://schemas.openxmlformats.org/officeDocument/2006/relationships/hyperlink" Target="http://scwp-cbidb002/ReportServer?%2FSummaCare%2FCommissions%202018%2FSC_Broker_Commission_Information&amp;Member_Nbr=A9004004500%20&amp;rs%3AParameterLanguage=" TargetMode="External"/><Relationship Id="rId73" Type="http://schemas.openxmlformats.org/officeDocument/2006/relationships/hyperlink" Target="http://scwp-cbidb002/ReportServer?%2FSummaCare%2FCommissions%202018%2FSC_Broker_Commission_Information&amp;Member_Nbr=A9003046700%20&amp;rs%3AParameterLanguage=" TargetMode="External"/><Relationship Id="rId78" Type="http://schemas.openxmlformats.org/officeDocument/2006/relationships/hyperlink" Target="http://scwp-cbidb002/ReportServer?%2FSummaCare%2FCommissions%202018%2FSC_Broker_Commission_Information&amp;Member_Nbr=A9003299700%20&amp;rs%3AParameterLanguage=" TargetMode="External"/><Relationship Id="rId81" Type="http://schemas.openxmlformats.org/officeDocument/2006/relationships/hyperlink" Target="http://scwp-cbidb002/ReportServer?%2FSummaCare%2FCommissions%202018%2FSC_Broker_Commission_Information&amp;Member_Nbr=A9001661900%20&amp;rs%3AParameterLanguage=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scwp-cbidb002/ReportServer?%2FSummaCare%2FCommissions%202018%2FSC_Broker_Commission_Information&amp;Member_Nbr=A9003158500%20&amp;rs%3AParameterLanguage=" TargetMode="External"/><Relationship Id="rId18" Type="http://schemas.openxmlformats.org/officeDocument/2006/relationships/hyperlink" Target="http://scwp-cbidb002/ReportServer?%2FSummaCare%2FCommissions%202018%2FSC_Broker_Commission_Information&amp;Member_Nbr=A9003019100%20&amp;rs%3AParameterLanguage=" TargetMode="External"/><Relationship Id="rId26" Type="http://schemas.openxmlformats.org/officeDocument/2006/relationships/hyperlink" Target="http://scwp-cbidb002/ReportServer?%2FSummaCare%2FCommissions%202018%2FSC_Broker_Commission_Information&amp;Member_Nbr=A9003514800%20&amp;rs%3AParameterLanguage=" TargetMode="External"/><Relationship Id="rId39" Type="http://schemas.openxmlformats.org/officeDocument/2006/relationships/hyperlink" Target="http://scwp-cbidb002/ReportServer?%2FSummaCare%2FCommissions%202018%2FSC_Broker_Commission_Information&amp;Member_Nbr=A9003281700%20&amp;rs%3AParameterLanguage=" TargetMode="External"/><Relationship Id="rId21" Type="http://schemas.openxmlformats.org/officeDocument/2006/relationships/hyperlink" Target="http://scwp-cbidb002/ReportServer?%2FSummaCare%2FCommissions%202018%2FSC_Broker_Commission_Information&amp;Member_Nbr=A9003154700%20&amp;rs%3AParameterLanguage=" TargetMode="External"/><Relationship Id="rId34" Type="http://schemas.openxmlformats.org/officeDocument/2006/relationships/hyperlink" Target="http://scwp-cbidb002/ReportServer?%2FSummaCare%2FCommissions%202018%2FSC_Broker_Commission_Information&amp;Member_Nbr=A9003142900%20&amp;rs%3AParameterLanguage=" TargetMode="External"/><Relationship Id="rId42" Type="http://schemas.openxmlformats.org/officeDocument/2006/relationships/hyperlink" Target="http://scwp-cbidb002/ReportServer?%2FSummaCare%2FCommissions%202018%2FSC_Broker_Commission_Information&amp;Member_Nbr=A9003569600%20&amp;rs%3AParameterLanguage=" TargetMode="External"/><Relationship Id="rId47" Type="http://schemas.openxmlformats.org/officeDocument/2006/relationships/hyperlink" Target="http://scwp-cbidb002/ReportServer?%2FSummaCare%2FCommissions%202018%2FSC_Broker_Commission_Information&amp;Member_Nbr=A9003040400%20&amp;rs%3AParameterLanguage=" TargetMode="External"/><Relationship Id="rId50" Type="http://schemas.openxmlformats.org/officeDocument/2006/relationships/hyperlink" Target="http://scwp-cbidb002/ReportServer?%2FSummaCare%2FCommissions%202018%2FSC_Broker_Commission_Information&amp;Member_Nbr=A9003364000%20&amp;rs%3AParameterLanguage=" TargetMode="External"/><Relationship Id="rId55" Type="http://schemas.openxmlformats.org/officeDocument/2006/relationships/hyperlink" Target="http://scwp-cbidb002/ReportServer?%2FSummaCare%2FCommissions%202018%2FSC_Broker_Commission_Information&amp;Member_Nbr=A9003407900%20&amp;rs%3AParameterLanguage=" TargetMode="External"/><Relationship Id="rId63" Type="http://schemas.openxmlformats.org/officeDocument/2006/relationships/hyperlink" Target="http://scwp-cbidb002/ReportServer?%2FSummaCare%2FCommissions%202018%2FSC_Broker_Commission_Information&amp;Member_Nbr=A9003721200%20&amp;rs%3AParameterLanguage=" TargetMode="External"/><Relationship Id="rId68" Type="http://schemas.openxmlformats.org/officeDocument/2006/relationships/hyperlink" Target="http://scwp-cbidb002/ReportServer?%2FSummaCare%2FCommissions%202018%2FSC_Broker_Commission_Information&amp;Member_Nbr=A9002973700%20&amp;rs%3AParameterLanguage=" TargetMode="External"/><Relationship Id="rId76" Type="http://schemas.openxmlformats.org/officeDocument/2006/relationships/hyperlink" Target="http://scwp-cbidb002/ReportServer?%2FSummaCare%2FCommissions%202018%2FSC_Broker_Commission_Information&amp;Member_Nbr=A9003482100%20&amp;rs%3AParameterLanguage=" TargetMode="External"/><Relationship Id="rId7" Type="http://schemas.openxmlformats.org/officeDocument/2006/relationships/hyperlink" Target="http://scwp-cbidb002/ReportServer?%2FSummaCare%2FCommissions%202018%2FSC_Broker_Commission_Information&amp;Member_Nbr=A9001310600%20&amp;rs%3AParameterLanguage=" TargetMode="External"/><Relationship Id="rId71" Type="http://schemas.openxmlformats.org/officeDocument/2006/relationships/hyperlink" Target="http://scwp-cbidb002/ReportServer?%2FSummaCare%2FCommissions%202018%2FSC_Broker_Commission_Information&amp;Member_Nbr=A9003046300%20&amp;rs%3AParameterLanguage=" TargetMode="External"/><Relationship Id="rId2" Type="http://schemas.openxmlformats.org/officeDocument/2006/relationships/hyperlink" Target="http://scwp-cbidb002/ReportServer?%2FSummaCare%2FCommissions%202018%2FSC_Broker_Commission_Information&amp;Member_Nbr=A9001229900%20&amp;rs%3AParameterLanguage=" TargetMode="External"/><Relationship Id="rId16" Type="http://schemas.openxmlformats.org/officeDocument/2006/relationships/hyperlink" Target="http://scwp-cbidb002/ReportServer?%2FSummaCare%2FCommissions%202018%2FSC_Broker_Commission_Information&amp;Member_Nbr=A9001490300%20&amp;rs%3AParameterLanguage=" TargetMode="External"/><Relationship Id="rId29" Type="http://schemas.openxmlformats.org/officeDocument/2006/relationships/hyperlink" Target="http://scwp-cbidb002/ReportServer?%2FSummaCare%2FCommissions%202018%2FSC_Broker_Commission_Information&amp;Member_Nbr=A9002985400%20&amp;rs%3AParameterLanguage=" TargetMode="External"/><Relationship Id="rId11" Type="http://schemas.openxmlformats.org/officeDocument/2006/relationships/hyperlink" Target="http://scwp-cbidb002/ReportServer?%2FSummaCare%2FCommissions%202018%2FSC_Broker_Commission_Information&amp;Member_Nbr=A9001183200%20&amp;rs%3AParameterLanguage=" TargetMode="External"/><Relationship Id="rId24" Type="http://schemas.openxmlformats.org/officeDocument/2006/relationships/hyperlink" Target="http://scwp-cbidb002/ReportServer?%2FSummaCare%2FCommissions%202018%2FSC_Broker_Commission_Information&amp;Member_Nbr=A9003566500%20&amp;rs%3AParameterLanguage=" TargetMode="External"/><Relationship Id="rId32" Type="http://schemas.openxmlformats.org/officeDocument/2006/relationships/hyperlink" Target="http://scwp-cbidb002/ReportServer?%2FSummaCare%2FCommissions%202018%2FSC_Broker_Commission_Information&amp;Member_Nbr=A9003387400%20&amp;rs%3AParameterLanguage=" TargetMode="External"/><Relationship Id="rId37" Type="http://schemas.openxmlformats.org/officeDocument/2006/relationships/hyperlink" Target="http://scwp-cbidb002/ReportServer?%2FSummaCare%2FCommissions%202018%2FSC_Broker_Commission_Information&amp;Member_Nbr=A9003433900%20&amp;rs%3AParameterLanguage=" TargetMode="External"/><Relationship Id="rId40" Type="http://schemas.openxmlformats.org/officeDocument/2006/relationships/hyperlink" Target="http://scwp-cbidb002/ReportServer?%2FSummaCare%2FCommissions%202018%2FSC_Broker_Commission_Information&amp;Member_Nbr=A9003227400%20&amp;rs%3AParameterLanguage=" TargetMode="External"/><Relationship Id="rId45" Type="http://schemas.openxmlformats.org/officeDocument/2006/relationships/hyperlink" Target="http://scwp-cbidb002/ReportServer?%2FSummaCare%2FCommissions%202018%2FSC_Broker_Commission_Information&amp;Member_Nbr=A9003722500%20&amp;rs%3AParameterLanguage=" TargetMode="External"/><Relationship Id="rId53" Type="http://schemas.openxmlformats.org/officeDocument/2006/relationships/hyperlink" Target="http://scwp-cbidb002/ReportServer?%2FSummaCare%2FCommissions%202018%2FSC_Broker_Commission_Information&amp;Member_Nbr=A9003762900%20&amp;rs%3AParameterLanguage=" TargetMode="External"/><Relationship Id="rId58" Type="http://schemas.openxmlformats.org/officeDocument/2006/relationships/hyperlink" Target="http://scwp-cbidb002/ReportServer?%2FSummaCare%2FCommissions%202018%2FSC_Broker_Commission_Information&amp;Member_Nbr=A9003382800%20&amp;rs%3AParameterLanguage=" TargetMode="External"/><Relationship Id="rId66" Type="http://schemas.openxmlformats.org/officeDocument/2006/relationships/hyperlink" Target="http://scwp-cbidb002/ReportServer?%2FSummaCare%2FCommissions%202018%2FSC_Broker_Commission_Information&amp;Member_Nbr=A9004007300%20&amp;rs%3AParameterLanguage=" TargetMode="External"/><Relationship Id="rId74" Type="http://schemas.openxmlformats.org/officeDocument/2006/relationships/hyperlink" Target="http://scwp-cbidb002/ReportServer?%2FSummaCare%2FCommissions%202018%2FSC_Broker_Commission_Information&amp;Member_Nbr=A9003821400%20&amp;rs%3AParameterLanguage=" TargetMode="External"/><Relationship Id="rId79" Type="http://schemas.openxmlformats.org/officeDocument/2006/relationships/hyperlink" Target="http://scwp-cbidb002/ReportServer?%2FSummaCare%2FCommissions%202018%2FSC_Broker_Commission_Information&amp;Member_Nbr=A9003922800%20&amp;rs%3AParameterLanguage=" TargetMode="External"/><Relationship Id="rId5" Type="http://schemas.openxmlformats.org/officeDocument/2006/relationships/hyperlink" Target="http://scwp-cbidb002/ReportServer?%2FSummaCare%2FCommissions%202018%2FSC_Broker_Commission_Information&amp;Member_Nbr=A9003119400%20&amp;rs%3AParameterLanguage=" TargetMode="External"/><Relationship Id="rId61" Type="http://schemas.openxmlformats.org/officeDocument/2006/relationships/hyperlink" Target="http://scwp-cbidb002/ReportServer?%2FSummaCare%2FCommissions%202018%2FSC_Broker_Commission_Information&amp;Member_Nbr=A0033563400%20&amp;rs%3AParameterLanguage=" TargetMode="External"/><Relationship Id="rId82" Type="http://schemas.openxmlformats.org/officeDocument/2006/relationships/hyperlink" Target="http://scwp-cbidb002/ReportServer?%2FSummaCare%2FCommissions%202018%2FSC_Broker_Commission_Information&amp;Member_Nbr=A9001093400%20&amp;rs%3AParameterLanguage=" TargetMode="External"/><Relationship Id="rId10" Type="http://schemas.openxmlformats.org/officeDocument/2006/relationships/hyperlink" Target="http://scwp-cbidb002/ReportServer?%2FSummaCare%2FCommissions%202018%2FSC_Broker_Commission_Information&amp;Member_Nbr=A9003203200%20&amp;rs%3AParameterLanguage=" TargetMode="External"/><Relationship Id="rId19" Type="http://schemas.openxmlformats.org/officeDocument/2006/relationships/hyperlink" Target="http://scwp-cbidb002/ReportServer?%2FSummaCare%2FCommissions%202018%2FSC_Broker_Commission_Information&amp;Member_Nbr=A9003261900%20&amp;rs%3AParameterLanguage=" TargetMode="External"/><Relationship Id="rId31" Type="http://schemas.openxmlformats.org/officeDocument/2006/relationships/hyperlink" Target="http://scwp-cbidb002/ReportServer?%2FSummaCare%2FCommissions%202018%2FSC_Broker_Commission_Information&amp;Member_Nbr=A9002603700%20&amp;rs%3AParameterLanguage=" TargetMode="External"/><Relationship Id="rId44" Type="http://schemas.openxmlformats.org/officeDocument/2006/relationships/hyperlink" Target="http://scwp-cbidb002/ReportServer?%2FSummaCare%2FCommissions%202018%2FSC_Broker_Commission_Information&amp;Member_Nbr=A9003279000%20&amp;rs%3AParameterLanguage=" TargetMode="External"/><Relationship Id="rId52" Type="http://schemas.openxmlformats.org/officeDocument/2006/relationships/hyperlink" Target="http://scwp-cbidb002/ReportServer?%2FSummaCare%2FCommissions%202018%2FSC_Broker_Commission_Information&amp;Member_Nbr=A9003677200%20&amp;rs%3AParameterLanguage=" TargetMode="External"/><Relationship Id="rId60" Type="http://schemas.openxmlformats.org/officeDocument/2006/relationships/hyperlink" Target="http://scwp-cbidb002/ReportServer?%2FSummaCare%2FCommissions%202018%2FSC_Broker_Commission_Information&amp;Member_Nbr=A0049168700%20&amp;rs%3AParameterLanguage=" TargetMode="External"/><Relationship Id="rId65" Type="http://schemas.openxmlformats.org/officeDocument/2006/relationships/hyperlink" Target="http://scwp-cbidb002/ReportServer?%2FSummaCare%2FCommissions%202018%2FSC_Broker_Commission_Information&amp;Member_Nbr=A9002947800%20&amp;rs%3AParameterLanguage=" TargetMode="External"/><Relationship Id="rId73" Type="http://schemas.openxmlformats.org/officeDocument/2006/relationships/hyperlink" Target="http://scwp-cbidb002/ReportServer?%2FSummaCare%2FCommissions%202018%2FSC_Broker_Commission_Information&amp;Member_Nbr=A9002952000%20&amp;rs%3AParameterLanguage=" TargetMode="External"/><Relationship Id="rId78" Type="http://schemas.openxmlformats.org/officeDocument/2006/relationships/hyperlink" Target="http://scwp-cbidb002/ReportServer?%2FSummaCare%2FCommissions%202018%2FSC_Broker_Commission_Information&amp;Member_Nbr=A9003673200%20&amp;rs%3AParameterLanguage=" TargetMode="External"/><Relationship Id="rId81" Type="http://schemas.openxmlformats.org/officeDocument/2006/relationships/hyperlink" Target="http://scwp-cbidb002/ReportServer?%2FSummaCare%2FCommissions%202018%2FSC_Broker_Commission_Information&amp;Member_Nbr=A9003634100%20&amp;rs%3AParameterLanguage=" TargetMode="External"/><Relationship Id="rId4" Type="http://schemas.openxmlformats.org/officeDocument/2006/relationships/hyperlink" Target="http://scwp-cbidb002/ReportServer?%2FSummaCare%2FCommissions%202018%2FSC_Broker_Commission_Information&amp;Member_Nbr=A9003119500%20&amp;rs%3AParameterLanguage=" TargetMode="External"/><Relationship Id="rId9" Type="http://schemas.openxmlformats.org/officeDocument/2006/relationships/hyperlink" Target="http://scwp-cbidb002/ReportServer?%2FSummaCare%2FCommissions%202018%2FSC_Broker_Commission_Information&amp;Member_Nbr=A9003562100%20&amp;rs%3AParameterLanguage=" TargetMode="External"/><Relationship Id="rId14" Type="http://schemas.openxmlformats.org/officeDocument/2006/relationships/hyperlink" Target="http://scwp-cbidb002/ReportServer?%2FSummaCare%2FCommissions%202018%2FSC_Broker_Commission_Information&amp;Member_Nbr=A9003158700%20&amp;rs%3AParameterLanguage=" TargetMode="External"/><Relationship Id="rId22" Type="http://schemas.openxmlformats.org/officeDocument/2006/relationships/hyperlink" Target="http://scwp-cbidb002/ReportServer?%2FSummaCare%2FCommissions%202018%2FSC_Broker_Commission_Information&amp;Member_Nbr=A9001163300%20&amp;rs%3AParameterLanguage=" TargetMode="External"/><Relationship Id="rId27" Type="http://schemas.openxmlformats.org/officeDocument/2006/relationships/hyperlink" Target="http://scwp-cbidb002/ReportServer?%2FSummaCare%2FCommissions%202018%2FSC_Broker_Commission_Information&amp;Member_Nbr=A9002953500%20&amp;rs%3AParameterLanguage=" TargetMode="External"/><Relationship Id="rId30" Type="http://schemas.openxmlformats.org/officeDocument/2006/relationships/hyperlink" Target="http://scwp-cbidb002/ReportServer?%2FSummaCare%2FCommissions%202018%2FSC_Broker_Commission_Information&amp;Member_Nbr=A9002985200%20&amp;rs%3AParameterLanguage=" TargetMode="External"/><Relationship Id="rId35" Type="http://schemas.openxmlformats.org/officeDocument/2006/relationships/hyperlink" Target="http://scwp-cbidb002/ReportServer?%2FSummaCare%2FCommissions%202018%2FSC_Broker_Commission_Information&amp;Member_Nbr=A9004032200%20&amp;rs%3AParameterLanguage=" TargetMode="External"/><Relationship Id="rId43" Type="http://schemas.openxmlformats.org/officeDocument/2006/relationships/hyperlink" Target="http://scwp-cbidb002/ReportServer?%2FSummaCare%2FCommissions%202018%2FSC_Broker_Commission_Information&amp;Member_Nbr=A9003278800%20&amp;rs%3AParameterLanguage=" TargetMode="External"/><Relationship Id="rId48" Type="http://schemas.openxmlformats.org/officeDocument/2006/relationships/hyperlink" Target="http://scwp-cbidb002/ReportServer?%2FSummaCare%2FCommissions%202018%2FSC_Broker_Commission_Information&amp;Member_Nbr=A9003363800%20&amp;rs%3AParameterLanguage=" TargetMode="External"/><Relationship Id="rId56" Type="http://schemas.openxmlformats.org/officeDocument/2006/relationships/hyperlink" Target="http://scwp-cbidb002/ReportServer?%2FSummaCare%2FCommissions%202018%2FSC_Broker_Commission_Information&amp;Member_Nbr=A9003327400%20&amp;rs%3AParameterLanguage=" TargetMode="External"/><Relationship Id="rId64" Type="http://schemas.openxmlformats.org/officeDocument/2006/relationships/hyperlink" Target="http://scwp-cbidb002/ReportServer?%2FSummaCare%2FCommissions%202018%2FSC_Broker_Commission_Information&amp;Member_Nbr=A9004004500%20&amp;rs%3AParameterLanguage=" TargetMode="External"/><Relationship Id="rId69" Type="http://schemas.openxmlformats.org/officeDocument/2006/relationships/hyperlink" Target="http://scwp-cbidb002/ReportServer?%2FSummaCare%2FCommissions%202018%2FSC_Broker_Commission_Information&amp;Member_Nbr=A9002974000%20&amp;rs%3AParameterLanguage=" TargetMode="External"/><Relationship Id="rId77" Type="http://schemas.openxmlformats.org/officeDocument/2006/relationships/hyperlink" Target="http://scwp-cbidb002/ReportServer?%2FSummaCare%2FCommissions%202018%2FSC_Broker_Commission_Information&amp;Member_Nbr=A9003299700%20&amp;rs%3AParameterLanguage=" TargetMode="External"/><Relationship Id="rId8" Type="http://schemas.openxmlformats.org/officeDocument/2006/relationships/hyperlink" Target="http://scwp-cbidb002/ReportServer?%2FSummaCare%2FCommissions%202018%2FSC_Broker_Commission_Information&amp;Member_Nbr=A9003562200%20&amp;rs%3AParameterLanguage=" TargetMode="External"/><Relationship Id="rId51" Type="http://schemas.openxmlformats.org/officeDocument/2006/relationships/hyperlink" Target="http://scwp-cbidb002/ReportServer?%2FSummaCare%2FCommissions%202018%2FSC_Broker_Commission_Information&amp;Member_Nbr=A9003644800%20&amp;rs%3AParameterLanguage=" TargetMode="External"/><Relationship Id="rId72" Type="http://schemas.openxmlformats.org/officeDocument/2006/relationships/hyperlink" Target="http://scwp-cbidb002/ReportServer?%2FSummaCare%2FCommissions%202018%2FSC_Broker_Commission_Information&amp;Member_Nbr=A9003046700%20&amp;rs%3AParameterLanguage=" TargetMode="External"/><Relationship Id="rId80" Type="http://schemas.openxmlformats.org/officeDocument/2006/relationships/hyperlink" Target="http://scwp-cbidb002/ReportServer?%2FSummaCare%2FCommissions%202018%2FSC_Broker_Commission_Information&amp;Member_Nbr=A9001661900%20&amp;rs%3AParameterLanguage=" TargetMode="External"/><Relationship Id="rId3" Type="http://schemas.openxmlformats.org/officeDocument/2006/relationships/hyperlink" Target="http://scwp-cbidb002/ReportServer?%2FSummaCare%2FCommissions%202018%2FSC_Broker_Commission_Information&amp;Member_Nbr=A9003999500%20&amp;rs%3AParameterLanguage=" TargetMode="External"/><Relationship Id="rId12" Type="http://schemas.openxmlformats.org/officeDocument/2006/relationships/hyperlink" Target="http://scwp-cbidb002/ReportServer?%2FSummaCare%2FCommissions%202018%2FSC_Broker_Commission_Information&amp;Member_Nbr=A9001183300%20&amp;rs%3AParameterLanguage=" TargetMode="External"/><Relationship Id="rId17" Type="http://schemas.openxmlformats.org/officeDocument/2006/relationships/hyperlink" Target="http://scwp-cbidb002/ReportServer?%2FSummaCare%2FCommissions%202018%2FSC_Broker_Commission_Information&amp;Member_Nbr=A9001105800%20&amp;rs%3AParameterLanguage=" TargetMode="External"/><Relationship Id="rId25" Type="http://schemas.openxmlformats.org/officeDocument/2006/relationships/hyperlink" Target="http://scwp-cbidb002/ReportServer?%2FSummaCare%2FCommissions%202018%2FSC_Broker_Commission_Information&amp;Member_Nbr=A9003186100%20&amp;rs%3AParameterLanguage=" TargetMode="External"/><Relationship Id="rId33" Type="http://schemas.openxmlformats.org/officeDocument/2006/relationships/hyperlink" Target="http://scwp-cbidb002/ReportServer?%2FSummaCare%2FCommissions%202018%2FSC_Broker_Commission_Information&amp;Member_Nbr=A9002603800%20&amp;rs%3AParameterLanguage=" TargetMode="External"/><Relationship Id="rId38" Type="http://schemas.openxmlformats.org/officeDocument/2006/relationships/hyperlink" Target="http://scwp-cbidb002/ReportServer?%2FSummaCare%2FCommissions%202018%2FSC_Broker_Commission_Information&amp;Member_Nbr=A9003434200%20&amp;rs%3AParameterLanguage=" TargetMode="External"/><Relationship Id="rId46" Type="http://schemas.openxmlformats.org/officeDocument/2006/relationships/hyperlink" Target="http://scwp-cbidb002/ReportServer?%2FSummaCare%2FCommissions%202018%2FSC_Broker_Commission_Information&amp;Member_Nbr=A9003137200%20&amp;rs%3AParameterLanguage=" TargetMode="External"/><Relationship Id="rId59" Type="http://schemas.openxmlformats.org/officeDocument/2006/relationships/hyperlink" Target="http://scwp-cbidb002/ReportServer?%2FSummaCare%2FCommissions%202018%2FSC_Broker_Commission_Information&amp;Member_Nbr=A9003730500%20&amp;rs%3AParameterLanguage=" TargetMode="External"/><Relationship Id="rId67" Type="http://schemas.openxmlformats.org/officeDocument/2006/relationships/hyperlink" Target="http://scwp-cbidb002/ReportServer?%2FSummaCare%2FCommissions%202018%2FSC_Broker_Commission_Information&amp;Member_Nbr=A9003113400%20&amp;rs%3AParameterLanguage=" TargetMode="External"/><Relationship Id="rId20" Type="http://schemas.openxmlformats.org/officeDocument/2006/relationships/hyperlink" Target="http://scwp-cbidb002/ReportServer?%2FSummaCare%2FCommissions%202018%2FSC_Broker_Commission_Information&amp;Member_Nbr=A9003262100%20&amp;rs%3AParameterLanguage=" TargetMode="External"/><Relationship Id="rId41" Type="http://schemas.openxmlformats.org/officeDocument/2006/relationships/hyperlink" Target="http://scwp-cbidb002/ReportServer?%2FSummaCare%2FCommissions%202018%2FSC_Broker_Commission_Information&amp;Member_Nbr=A9003569500%20&amp;rs%3AParameterLanguage=" TargetMode="External"/><Relationship Id="rId54" Type="http://schemas.openxmlformats.org/officeDocument/2006/relationships/hyperlink" Target="http://scwp-cbidb002/ReportServer?%2FSummaCare%2FCommissions%202018%2FSC_Broker_Commission_Information&amp;Member_Nbr=A9002977400%20&amp;rs%3AParameterLanguage=" TargetMode="External"/><Relationship Id="rId62" Type="http://schemas.openxmlformats.org/officeDocument/2006/relationships/hyperlink" Target="http://scwp-cbidb002/ReportServer?%2FSummaCare%2FCommissions%202018%2FSC_Broker_Commission_Information&amp;Member_Nbr=A9003752500%20&amp;rs%3AParameterLanguage=" TargetMode="External"/><Relationship Id="rId70" Type="http://schemas.openxmlformats.org/officeDocument/2006/relationships/hyperlink" Target="http://scwp-cbidb002/ReportServer?%2FSummaCare%2FCommissions%202018%2FSC_Broker_Commission_Information&amp;Member_Nbr=A9003046200%20&amp;rs%3AParameterLanguage=" TargetMode="External"/><Relationship Id="rId75" Type="http://schemas.openxmlformats.org/officeDocument/2006/relationships/hyperlink" Target="http://scwp-cbidb002/ReportServer?%2FSummaCare%2FCommissions%202018%2FSC_Broker_Commission_Information&amp;Member_Nbr=A9003382700%20&amp;rs%3AParameterLanguage=" TargetMode="External"/><Relationship Id="rId83" Type="http://schemas.openxmlformats.org/officeDocument/2006/relationships/hyperlink" Target="http://scwp-cbidb002/ReportServer?%2FSummaCare%2FCommissions%202018%2FSC_Broker_Commission_Information&amp;Member_Nbr=A9003037800%20&amp;rs%3AParameterLanguage=" TargetMode="External"/><Relationship Id="rId1" Type="http://schemas.openxmlformats.org/officeDocument/2006/relationships/hyperlink" Target="http://scwp-cbidb002/ReportServer?%2FSummaCare%2FCommissions%202018%2FSC_Broker_Commission_Information&amp;Member_Nbr=A9003921000%20&amp;rs%3AParameterLanguage=" TargetMode="External"/><Relationship Id="rId6" Type="http://schemas.openxmlformats.org/officeDocument/2006/relationships/hyperlink" Target="http://scwp-cbidb002/ReportServer?%2FSummaCare%2FCommissions%202018%2FSC_Broker_Commission_Information&amp;Member_Nbr=A9003018500%20&amp;rs%3AParameterLanguage=" TargetMode="External"/><Relationship Id="rId15" Type="http://schemas.openxmlformats.org/officeDocument/2006/relationships/hyperlink" Target="http://scwp-cbidb002/ReportServer?%2FSummaCare%2FCommissions%202018%2FSC_Broker_Commission_Information&amp;Member_Nbr=A0051608100%20&amp;rs%3AParameterLanguage=" TargetMode="External"/><Relationship Id="rId23" Type="http://schemas.openxmlformats.org/officeDocument/2006/relationships/hyperlink" Target="http://scwp-cbidb002/ReportServer?%2FSummaCare%2FCommissions%202018%2FSC_Broker_Commission_Information&amp;Member_Nbr=A9003676000%20&amp;rs%3AParameterLanguage=" TargetMode="External"/><Relationship Id="rId28" Type="http://schemas.openxmlformats.org/officeDocument/2006/relationships/hyperlink" Target="http://scwp-cbidb002/ReportServer?%2FSummaCare%2FCommissions%202018%2FSC_Broker_Commission_Information&amp;Member_Nbr=A9003014200%20&amp;rs%3AParameterLanguage=" TargetMode="External"/><Relationship Id="rId36" Type="http://schemas.openxmlformats.org/officeDocument/2006/relationships/hyperlink" Target="http://scwp-cbidb002/ReportServer?%2FSummaCare%2FCommissions%202018%2FSC_Broker_Commission_Information&amp;Member_Nbr=A9003161700%20&amp;rs%3AParameterLanguage=" TargetMode="External"/><Relationship Id="rId49" Type="http://schemas.openxmlformats.org/officeDocument/2006/relationships/hyperlink" Target="http://scwp-cbidb002/ReportServer?%2FSummaCare%2FCommissions%202018%2FSC_Broker_Commission_Information&amp;Member_Nbr=A9003680900%20&amp;rs%3AParameterLanguage=" TargetMode="External"/><Relationship Id="rId57" Type="http://schemas.openxmlformats.org/officeDocument/2006/relationships/hyperlink" Target="http://scwp-cbidb002/ReportServer?%2FSummaCare%2FCommissions%202018%2FSC_Broker_Commission_Information&amp;Member_Nbr=A9003284100%20&amp;rs%3AParameterLanguag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8"/>
  <sheetViews>
    <sheetView showGridLines="0" topLeftCell="A67" workbookViewId="0">
      <selection sqref="A1:XFD1048576"/>
    </sheetView>
  </sheetViews>
  <sheetFormatPr defaultRowHeight="15" x14ac:dyDescent="0.25"/>
  <cols>
    <col min="1" max="1" width="0.140625" customWidth="1"/>
    <col min="2" max="2" width="21.28515625" customWidth="1"/>
    <col min="3" max="3" width="6.85546875" customWidth="1"/>
    <col min="4" max="4" width="1.5703125" customWidth="1"/>
    <col min="5" max="6" width="9.140625" customWidth="1"/>
    <col min="7" max="7" width="2" customWidth="1"/>
    <col min="8" max="8" width="7" customWidth="1"/>
    <col min="9" max="9" width="10.7109375" customWidth="1"/>
    <col min="10" max="10" width="11" customWidth="1"/>
    <col min="11" max="11" width="10.7109375" customWidth="1"/>
    <col min="12" max="12" width="11" customWidth="1"/>
    <col min="13" max="13" width="7" customWidth="1"/>
    <col min="14" max="14" width="5.5703125" customWidth="1"/>
    <col min="15" max="15" width="1.140625" customWidth="1"/>
    <col min="16" max="16" width="1.5703125" customWidth="1"/>
    <col min="17" max="17" width="8.7109375" customWidth="1"/>
    <col min="18" max="18" width="11" customWidth="1"/>
    <col min="19" max="19" width="0" hidden="1" customWidth="1"/>
    <col min="20" max="20" width="2.7109375" customWidth="1"/>
    <col min="21" max="21" width="0" hidden="1" customWidth="1"/>
  </cols>
  <sheetData>
    <row r="1" spans="1:20" ht="2.1" customHeight="1" x14ac:dyDescent="0.25">
      <c r="A1" s="11"/>
      <c r="B1" s="11"/>
      <c r="C1" s="11"/>
      <c r="E1" s="12" t="s">
        <v>0</v>
      </c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20" ht="18" customHeight="1" x14ac:dyDescent="0.25">
      <c r="A2" s="11"/>
      <c r="B2" s="11"/>
      <c r="C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Q2" s="13" t="s">
        <v>1</v>
      </c>
      <c r="R2" s="11"/>
      <c r="S2" s="11"/>
      <c r="T2" s="11"/>
    </row>
    <row r="3" spans="1:20" ht="23.65" customHeight="1" x14ac:dyDescent="0.25">
      <c r="A3" s="11"/>
      <c r="B3" s="11"/>
      <c r="C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20" ht="29.65" customHeight="1" x14ac:dyDescent="0.25"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20" ht="11.85" customHeight="1" x14ac:dyDescent="0.25"/>
    <row r="6" spans="1:20" ht="4.5" customHeight="1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8" customHeight="1" x14ac:dyDescent="0.25">
      <c r="B7" s="14" t="s">
        <v>2</v>
      </c>
      <c r="C7" s="11"/>
      <c r="D7" s="11"/>
      <c r="E7" s="11"/>
      <c r="F7" s="11"/>
      <c r="G7" s="11"/>
    </row>
    <row r="8" spans="1:20" ht="4.1500000000000004" customHeight="1" x14ac:dyDescent="0.25"/>
    <row r="9" spans="1:20" ht="69.2" customHeight="1" x14ac:dyDescent="0.25">
      <c r="B9" s="15" t="s">
        <v>3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20" ht="8.85" customHeight="1" x14ac:dyDescent="0.25"/>
    <row r="11" spans="1:20" ht="5.4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.75" x14ac:dyDescent="0.25">
      <c r="A12" s="16" t="s">
        <v>4</v>
      </c>
      <c r="B12" s="17"/>
      <c r="C12" s="17"/>
      <c r="D12" s="17"/>
      <c r="E12" s="17"/>
      <c r="F12" s="17"/>
      <c r="G12" s="17"/>
      <c r="H12" s="17"/>
      <c r="I12" s="17"/>
      <c r="J12" s="18"/>
      <c r="K12" s="2" t="s">
        <v>5</v>
      </c>
      <c r="L12" s="2" t="s">
        <v>6</v>
      </c>
      <c r="M12" s="16" t="s">
        <v>6</v>
      </c>
      <c r="N12" s="18"/>
      <c r="O12" s="16" t="s">
        <v>6</v>
      </c>
      <c r="P12" s="17"/>
      <c r="Q12" s="18"/>
      <c r="R12" s="2" t="s">
        <v>6</v>
      </c>
    </row>
    <row r="13" spans="1:20" x14ac:dyDescent="0.25">
      <c r="A13" s="19" t="s">
        <v>7</v>
      </c>
      <c r="B13" s="20"/>
      <c r="C13" s="21" t="s">
        <v>8</v>
      </c>
      <c r="D13" s="22"/>
      <c r="E13" s="20"/>
      <c r="F13" s="3" t="s">
        <v>9</v>
      </c>
      <c r="G13" s="21" t="s">
        <v>10</v>
      </c>
      <c r="H13" s="20"/>
      <c r="I13" s="3" t="s">
        <v>11</v>
      </c>
      <c r="J13" s="4" t="s">
        <v>12</v>
      </c>
      <c r="K13" s="4" t="s">
        <v>13</v>
      </c>
      <c r="L13" s="4" t="s">
        <v>14</v>
      </c>
      <c r="M13" s="23" t="s">
        <v>15</v>
      </c>
      <c r="N13" s="24"/>
      <c r="O13" s="23" t="s">
        <v>16</v>
      </c>
      <c r="P13" s="25"/>
      <c r="Q13" s="24"/>
      <c r="R13" s="4" t="s">
        <v>17</v>
      </c>
    </row>
    <row r="14" spans="1:20" x14ac:dyDescent="0.25">
      <c r="A14" s="26" t="s">
        <v>18</v>
      </c>
      <c r="B14" s="27"/>
      <c r="C14" s="28" t="s">
        <v>19</v>
      </c>
      <c r="D14" s="29"/>
      <c r="E14" s="27"/>
      <c r="F14" s="5" t="s">
        <v>20</v>
      </c>
      <c r="G14" s="30" t="s">
        <v>21</v>
      </c>
      <c r="H14" s="27"/>
      <c r="I14" s="5" t="s">
        <v>22</v>
      </c>
      <c r="J14" s="5" t="s">
        <v>23</v>
      </c>
      <c r="K14" s="6">
        <v>50</v>
      </c>
      <c r="L14" s="5">
        <v>0</v>
      </c>
      <c r="M14" s="30">
        <v>0</v>
      </c>
      <c r="N14" s="27"/>
      <c r="O14" s="31">
        <v>0</v>
      </c>
      <c r="P14" s="29"/>
      <c r="Q14" s="27"/>
      <c r="R14" s="7">
        <v>50</v>
      </c>
    </row>
    <row r="15" spans="1:20" x14ac:dyDescent="0.25">
      <c r="A15" s="26" t="s">
        <v>24</v>
      </c>
      <c r="B15" s="27"/>
      <c r="C15" s="28" t="s">
        <v>25</v>
      </c>
      <c r="D15" s="29"/>
      <c r="E15" s="27"/>
      <c r="F15" s="5" t="s">
        <v>20</v>
      </c>
      <c r="G15" s="30" t="s">
        <v>21</v>
      </c>
      <c r="H15" s="27"/>
      <c r="I15" s="5" t="s">
        <v>26</v>
      </c>
      <c r="J15" s="5" t="s">
        <v>27</v>
      </c>
      <c r="K15" s="6">
        <v>28.92</v>
      </c>
      <c r="L15" s="5">
        <v>1</v>
      </c>
      <c r="M15" s="30">
        <v>1</v>
      </c>
      <c r="N15" s="27"/>
      <c r="O15" s="31">
        <v>28.92</v>
      </c>
      <c r="P15" s="29"/>
      <c r="Q15" s="27"/>
      <c r="R15" s="7">
        <v>57.84</v>
      </c>
    </row>
    <row r="16" spans="1:20" x14ac:dyDescent="0.25">
      <c r="A16" s="26" t="s">
        <v>28</v>
      </c>
      <c r="B16" s="27"/>
      <c r="C16" s="28" t="s">
        <v>29</v>
      </c>
      <c r="D16" s="29"/>
      <c r="E16" s="27"/>
      <c r="F16" s="5" t="s">
        <v>20</v>
      </c>
      <c r="G16" s="30" t="s">
        <v>21</v>
      </c>
      <c r="H16" s="27"/>
      <c r="I16" s="5" t="s">
        <v>26</v>
      </c>
      <c r="J16" s="5" t="s">
        <v>27</v>
      </c>
      <c r="K16" s="6">
        <v>28.92</v>
      </c>
      <c r="L16" s="5">
        <v>1</v>
      </c>
      <c r="M16" s="30">
        <v>1</v>
      </c>
      <c r="N16" s="27"/>
      <c r="O16" s="31">
        <v>28.92</v>
      </c>
      <c r="P16" s="29"/>
      <c r="Q16" s="27"/>
      <c r="R16" s="7">
        <v>57.84</v>
      </c>
    </row>
    <row r="17" spans="1:18" x14ac:dyDescent="0.25">
      <c r="A17" s="26" t="s">
        <v>30</v>
      </c>
      <c r="B17" s="27"/>
      <c r="C17" s="28" t="s">
        <v>31</v>
      </c>
      <c r="D17" s="29"/>
      <c r="E17" s="27"/>
      <c r="F17" s="5" t="s">
        <v>32</v>
      </c>
      <c r="G17" s="30" t="s">
        <v>21</v>
      </c>
      <c r="H17" s="27"/>
      <c r="I17" s="5" t="s">
        <v>33</v>
      </c>
      <c r="J17" s="5" t="s">
        <v>27</v>
      </c>
      <c r="K17" s="6">
        <v>28.92</v>
      </c>
      <c r="L17" s="5">
        <v>1</v>
      </c>
      <c r="M17" s="30">
        <v>0</v>
      </c>
      <c r="N17" s="27"/>
      <c r="O17" s="31">
        <v>0</v>
      </c>
      <c r="P17" s="29"/>
      <c r="Q17" s="27"/>
      <c r="R17" s="7">
        <v>28.92</v>
      </c>
    </row>
    <row r="18" spans="1:18" x14ac:dyDescent="0.25">
      <c r="A18" s="26" t="s">
        <v>34</v>
      </c>
      <c r="B18" s="27"/>
      <c r="C18" s="28" t="s">
        <v>35</v>
      </c>
      <c r="D18" s="29"/>
      <c r="E18" s="27"/>
      <c r="F18" s="5" t="s">
        <v>20</v>
      </c>
      <c r="G18" s="30" t="s">
        <v>21</v>
      </c>
      <c r="H18" s="27"/>
      <c r="I18" s="5" t="s">
        <v>36</v>
      </c>
      <c r="J18" s="5" t="s">
        <v>27</v>
      </c>
      <c r="K18" s="6">
        <v>28.92</v>
      </c>
      <c r="L18" s="5">
        <v>1</v>
      </c>
      <c r="M18" s="30">
        <v>0</v>
      </c>
      <c r="N18" s="27"/>
      <c r="O18" s="31">
        <v>0</v>
      </c>
      <c r="P18" s="29"/>
      <c r="Q18" s="27"/>
      <c r="R18" s="7">
        <v>28.92</v>
      </c>
    </row>
    <row r="19" spans="1:18" x14ac:dyDescent="0.25">
      <c r="A19" s="26" t="s">
        <v>37</v>
      </c>
      <c r="B19" s="27"/>
      <c r="C19" s="28" t="s">
        <v>38</v>
      </c>
      <c r="D19" s="29"/>
      <c r="E19" s="27"/>
      <c r="F19" s="5" t="s">
        <v>20</v>
      </c>
      <c r="G19" s="30" t="s">
        <v>21</v>
      </c>
      <c r="H19" s="27"/>
      <c r="I19" s="5" t="s">
        <v>36</v>
      </c>
      <c r="J19" s="5" t="s">
        <v>27</v>
      </c>
      <c r="K19" s="6">
        <v>28.92</v>
      </c>
      <c r="L19" s="5">
        <v>1</v>
      </c>
      <c r="M19" s="30">
        <v>0</v>
      </c>
      <c r="N19" s="27"/>
      <c r="O19" s="31">
        <v>0</v>
      </c>
      <c r="P19" s="29"/>
      <c r="Q19" s="27"/>
      <c r="R19" s="7">
        <v>28.92</v>
      </c>
    </row>
    <row r="20" spans="1:18" x14ac:dyDescent="0.25">
      <c r="A20" s="26" t="s">
        <v>39</v>
      </c>
      <c r="B20" s="27"/>
      <c r="C20" s="28" t="s">
        <v>40</v>
      </c>
      <c r="D20" s="29"/>
      <c r="E20" s="27"/>
      <c r="F20" s="5" t="s">
        <v>20</v>
      </c>
      <c r="G20" s="30" t="s">
        <v>21</v>
      </c>
      <c r="H20" s="27"/>
      <c r="I20" s="5" t="s">
        <v>41</v>
      </c>
      <c r="J20" s="5" t="s">
        <v>27</v>
      </c>
      <c r="K20" s="6">
        <v>28.92</v>
      </c>
      <c r="L20" s="5">
        <v>1</v>
      </c>
      <c r="M20" s="30">
        <v>0</v>
      </c>
      <c r="N20" s="27"/>
      <c r="O20" s="31">
        <v>0</v>
      </c>
      <c r="P20" s="29"/>
      <c r="Q20" s="27"/>
      <c r="R20" s="7">
        <v>28.92</v>
      </c>
    </row>
    <row r="21" spans="1:18" x14ac:dyDescent="0.25">
      <c r="A21" s="26" t="s">
        <v>42</v>
      </c>
      <c r="B21" s="27"/>
      <c r="C21" s="28" t="s">
        <v>43</v>
      </c>
      <c r="D21" s="29"/>
      <c r="E21" s="27"/>
      <c r="F21" s="5" t="s">
        <v>20</v>
      </c>
      <c r="G21" s="30" t="s">
        <v>21</v>
      </c>
      <c r="H21" s="27"/>
      <c r="I21" s="5" t="s">
        <v>44</v>
      </c>
      <c r="J21" s="5" t="s">
        <v>27</v>
      </c>
      <c r="K21" s="6">
        <v>28.92</v>
      </c>
      <c r="L21" s="5">
        <v>1</v>
      </c>
      <c r="M21" s="30">
        <v>1</v>
      </c>
      <c r="N21" s="27"/>
      <c r="O21" s="31">
        <v>28.92</v>
      </c>
      <c r="P21" s="29"/>
      <c r="Q21" s="27"/>
      <c r="R21" s="7">
        <v>57.84</v>
      </c>
    </row>
    <row r="22" spans="1:18" x14ac:dyDescent="0.25">
      <c r="A22" s="26" t="s">
        <v>45</v>
      </c>
      <c r="B22" s="27"/>
      <c r="C22" s="28" t="s">
        <v>46</v>
      </c>
      <c r="D22" s="29"/>
      <c r="E22" s="27"/>
      <c r="F22" s="5" t="s">
        <v>20</v>
      </c>
      <c r="G22" s="30" t="s">
        <v>21</v>
      </c>
      <c r="H22" s="27"/>
      <c r="I22" s="5" t="s">
        <v>47</v>
      </c>
      <c r="J22" s="5" t="s">
        <v>27</v>
      </c>
      <c r="K22" s="6">
        <v>28.92</v>
      </c>
      <c r="L22" s="5">
        <v>1</v>
      </c>
      <c r="M22" s="30">
        <v>0</v>
      </c>
      <c r="N22" s="27"/>
      <c r="O22" s="31">
        <v>0</v>
      </c>
      <c r="P22" s="29"/>
      <c r="Q22" s="27"/>
      <c r="R22" s="7">
        <v>28.92</v>
      </c>
    </row>
    <row r="23" spans="1:18" x14ac:dyDescent="0.25">
      <c r="A23" s="26" t="s">
        <v>48</v>
      </c>
      <c r="B23" s="27"/>
      <c r="C23" s="28" t="s">
        <v>49</v>
      </c>
      <c r="D23" s="29"/>
      <c r="E23" s="27"/>
      <c r="F23" s="5" t="s">
        <v>20</v>
      </c>
      <c r="G23" s="30" t="s">
        <v>21</v>
      </c>
      <c r="H23" s="27"/>
      <c r="I23" s="5" t="s">
        <v>47</v>
      </c>
      <c r="J23" s="5" t="s">
        <v>27</v>
      </c>
      <c r="K23" s="6">
        <v>28.92</v>
      </c>
      <c r="L23" s="5">
        <v>1</v>
      </c>
      <c r="M23" s="30">
        <v>0</v>
      </c>
      <c r="N23" s="27"/>
      <c r="O23" s="31">
        <v>0</v>
      </c>
      <c r="P23" s="29"/>
      <c r="Q23" s="27"/>
      <c r="R23" s="7">
        <v>28.92</v>
      </c>
    </row>
    <row r="24" spans="1:18" x14ac:dyDescent="0.25">
      <c r="A24" s="26" t="s">
        <v>50</v>
      </c>
      <c r="B24" s="27"/>
      <c r="C24" s="28" t="s">
        <v>51</v>
      </c>
      <c r="D24" s="29"/>
      <c r="E24" s="27"/>
      <c r="F24" s="5" t="s">
        <v>20</v>
      </c>
      <c r="G24" s="30" t="s">
        <v>21</v>
      </c>
      <c r="H24" s="27"/>
      <c r="I24" s="5" t="s">
        <v>52</v>
      </c>
      <c r="J24" s="5" t="s">
        <v>27</v>
      </c>
      <c r="K24" s="6">
        <v>28.92</v>
      </c>
      <c r="L24" s="5">
        <v>1</v>
      </c>
      <c r="M24" s="30">
        <v>0</v>
      </c>
      <c r="N24" s="27"/>
      <c r="O24" s="31">
        <v>0</v>
      </c>
      <c r="P24" s="29"/>
      <c r="Q24" s="27"/>
      <c r="R24" s="7">
        <v>28.92</v>
      </c>
    </row>
    <row r="25" spans="1:18" x14ac:dyDescent="0.25">
      <c r="A25" s="26" t="s">
        <v>53</v>
      </c>
      <c r="B25" s="27"/>
      <c r="C25" s="28" t="s">
        <v>54</v>
      </c>
      <c r="D25" s="29"/>
      <c r="E25" s="27"/>
      <c r="F25" s="5" t="s">
        <v>20</v>
      </c>
      <c r="G25" s="30" t="s">
        <v>21</v>
      </c>
      <c r="H25" s="27"/>
      <c r="I25" s="5" t="s">
        <v>55</v>
      </c>
      <c r="J25" s="5" t="s">
        <v>27</v>
      </c>
      <c r="K25" s="6">
        <v>28.92</v>
      </c>
      <c r="L25" s="5">
        <v>1</v>
      </c>
      <c r="M25" s="30">
        <v>1</v>
      </c>
      <c r="N25" s="27"/>
      <c r="O25" s="31">
        <v>28.92</v>
      </c>
      <c r="P25" s="29"/>
      <c r="Q25" s="27"/>
      <c r="R25" s="7">
        <v>57.84</v>
      </c>
    </row>
    <row r="26" spans="1:18" x14ac:dyDescent="0.25">
      <c r="A26" s="26" t="s">
        <v>56</v>
      </c>
      <c r="B26" s="27"/>
      <c r="C26" s="28" t="s">
        <v>57</v>
      </c>
      <c r="D26" s="29"/>
      <c r="E26" s="27"/>
      <c r="F26" s="5" t="s">
        <v>20</v>
      </c>
      <c r="G26" s="30" t="s">
        <v>21</v>
      </c>
      <c r="H26" s="27"/>
      <c r="I26" s="5" t="s">
        <v>55</v>
      </c>
      <c r="J26" s="5" t="s">
        <v>27</v>
      </c>
      <c r="K26" s="6">
        <v>28.92</v>
      </c>
      <c r="L26" s="5">
        <v>1</v>
      </c>
      <c r="M26" s="30">
        <v>1</v>
      </c>
      <c r="N26" s="27"/>
      <c r="O26" s="31">
        <v>28.92</v>
      </c>
      <c r="P26" s="29"/>
      <c r="Q26" s="27"/>
      <c r="R26" s="7">
        <v>57.84</v>
      </c>
    </row>
    <row r="27" spans="1:18" x14ac:dyDescent="0.25">
      <c r="A27" s="26" t="s">
        <v>58</v>
      </c>
      <c r="B27" s="27"/>
      <c r="C27" s="28" t="s">
        <v>59</v>
      </c>
      <c r="D27" s="29"/>
      <c r="E27" s="27"/>
      <c r="F27" s="5" t="s">
        <v>20</v>
      </c>
      <c r="G27" s="30" t="s">
        <v>21</v>
      </c>
      <c r="H27" s="27"/>
      <c r="I27" s="5" t="s">
        <v>60</v>
      </c>
      <c r="J27" s="5" t="s">
        <v>27</v>
      </c>
      <c r="K27" s="6">
        <v>28.92</v>
      </c>
      <c r="L27" s="5">
        <v>1</v>
      </c>
      <c r="M27" s="30">
        <v>0</v>
      </c>
      <c r="N27" s="27"/>
      <c r="O27" s="31">
        <v>0</v>
      </c>
      <c r="P27" s="29"/>
      <c r="Q27" s="27"/>
      <c r="R27" s="7">
        <v>28.92</v>
      </c>
    </row>
    <row r="28" spans="1:18" x14ac:dyDescent="0.25">
      <c r="A28" s="26" t="s">
        <v>61</v>
      </c>
      <c r="B28" s="27"/>
      <c r="C28" s="28" t="s">
        <v>62</v>
      </c>
      <c r="D28" s="29"/>
      <c r="E28" s="27"/>
      <c r="F28" s="5" t="s">
        <v>20</v>
      </c>
      <c r="G28" s="30" t="s">
        <v>21</v>
      </c>
      <c r="H28" s="27"/>
      <c r="I28" s="5" t="s">
        <v>60</v>
      </c>
      <c r="J28" s="5" t="s">
        <v>27</v>
      </c>
      <c r="K28" s="6">
        <v>28.92</v>
      </c>
      <c r="L28" s="5">
        <v>1</v>
      </c>
      <c r="M28" s="30">
        <v>0</v>
      </c>
      <c r="N28" s="27"/>
      <c r="O28" s="31">
        <v>0</v>
      </c>
      <c r="P28" s="29"/>
      <c r="Q28" s="27"/>
      <c r="R28" s="7">
        <v>28.92</v>
      </c>
    </row>
    <row r="29" spans="1:18" x14ac:dyDescent="0.25">
      <c r="A29" s="26" t="s">
        <v>63</v>
      </c>
      <c r="B29" s="27"/>
      <c r="C29" s="28" t="s">
        <v>64</v>
      </c>
      <c r="D29" s="29"/>
      <c r="E29" s="27"/>
      <c r="F29" s="5" t="s">
        <v>20</v>
      </c>
      <c r="G29" s="30" t="s">
        <v>21</v>
      </c>
      <c r="H29" s="27"/>
      <c r="I29" s="5" t="s">
        <v>65</v>
      </c>
      <c r="J29" s="5" t="s">
        <v>27</v>
      </c>
      <c r="K29" s="6">
        <v>28.92</v>
      </c>
      <c r="L29" s="5">
        <v>1</v>
      </c>
      <c r="M29" s="30">
        <v>1</v>
      </c>
      <c r="N29" s="27"/>
      <c r="O29" s="31">
        <v>28.92</v>
      </c>
      <c r="P29" s="29"/>
      <c r="Q29" s="27"/>
      <c r="R29" s="7">
        <v>57.84</v>
      </c>
    </row>
    <row r="30" spans="1:18" x14ac:dyDescent="0.25">
      <c r="A30" s="26" t="s">
        <v>66</v>
      </c>
      <c r="B30" s="27"/>
      <c r="C30" s="28" t="s">
        <v>67</v>
      </c>
      <c r="D30" s="29"/>
      <c r="E30" s="27"/>
      <c r="F30" s="5" t="s">
        <v>20</v>
      </c>
      <c r="G30" s="30" t="s">
        <v>21</v>
      </c>
      <c r="H30" s="27"/>
      <c r="I30" s="5" t="s">
        <v>22</v>
      </c>
      <c r="J30" s="5" t="s">
        <v>27</v>
      </c>
      <c r="K30" s="6">
        <v>28.92</v>
      </c>
      <c r="L30" s="5">
        <v>1</v>
      </c>
      <c r="M30" s="30">
        <v>0</v>
      </c>
      <c r="N30" s="27"/>
      <c r="O30" s="31">
        <v>0</v>
      </c>
      <c r="P30" s="29"/>
      <c r="Q30" s="27"/>
      <c r="R30" s="7">
        <v>28.92</v>
      </c>
    </row>
    <row r="31" spans="1:18" x14ac:dyDescent="0.25">
      <c r="A31" s="26" t="s">
        <v>68</v>
      </c>
      <c r="B31" s="27"/>
      <c r="C31" s="28" t="s">
        <v>69</v>
      </c>
      <c r="D31" s="29"/>
      <c r="E31" s="27"/>
      <c r="F31" s="5" t="s">
        <v>20</v>
      </c>
      <c r="G31" s="30" t="s">
        <v>21</v>
      </c>
      <c r="H31" s="27"/>
      <c r="I31" s="5" t="s">
        <v>22</v>
      </c>
      <c r="J31" s="5" t="s">
        <v>27</v>
      </c>
      <c r="K31" s="6">
        <v>28.92</v>
      </c>
      <c r="L31" s="5">
        <v>1</v>
      </c>
      <c r="M31" s="30">
        <v>0</v>
      </c>
      <c r="N31" s="27"/>
      <c r="O31" s="31">
        <v>0</v>
      </c>
      <c r="P31" s="29"/>
      <c r="Q31" s="27"/>
      <c r="R31" s="7">
        <v>28.92</v>
      </c>
    </row>
    <row r="32" spans="1:18" x14ac:dyDescent="0.25">
      <c r="A32" s="26" t="s">
        <v>70</v>
      </c>
      <c r="B32" s="27"/>
      <c r="C32" s="28" t="s">
        <v>71</v>
      </c>
      <c r="D32" s="29"/>
      <c r="E32" s="27"/>
      <c r="F32" s="5" t="s">
        <v>20</v>
      </c>
      <c r="G32" s="30" t="s">
        <v>21</v>
      </c>
      <c r="H32" s="27"/>
      <c r="I32" s="5" t="s">
        <v>41</v>
      </c>
      <c r="J32" s="5" t="s">
        <v>27</v>
      </c>
      <c r="K32" s="6">
        <v>28.92</v>
      </c>
      <c r="L32" s="5">
        <v>1</v>
      </c>
      <c r="M32" s="30">
        <v>0</v>
      </c>
      <c r="N32" s="27"/>
      <c r="O32" s="31">
        <v>0</v>
      </c>
      <c r="P32" s="29"/>
      <c r="Q32" s="27"/>
      <c r="R32" s="7">
        <v>28.92</v>
      </c>
    </row>
    <row r="33" spans="1:18" x14ac:dyDescent="0.25">
      <c r="A33" s="26" t="s">
        <v>72</v>
      </c>
      <c r="B33" s="27"/>
      <c r="C33" s="28" t="s">
        <v>73</v>
      </c>
      <c r="D33" s="29"/>
      <c r="E33" s="27"/>
      <c r="F33" s="5" t="s">
        <v>20</v>
      </c>
      <c r="G33" s="30" t="s">
        <v>21</v>
      </c>
      <c r="H33" s="27"/>
      <c r="I33" s="5" t="s">
        <v>74</v>
      </c>
      <c r="J33" s="5" t="s">
        <v>27</v>
      </c>
      <c r="K33" s="6">
        <v>28.92</v>
      </c>
      <c r="L33" s="5">
        <v>1</v>
      </c>
      <c r="M33" s="30">
        <v>0</v>
      </c>
      <c r="N33" s="27"/>
      <c r="O33" s="31">
        <v>0</v>
      </c>
      <c r="P33" s="29"/>
      <c r="Q33" s="27"/>
      <c r="R33" s="7">
        <v>28.92</v>
      </c>
    </row>
    <row r="34" spans="1:18" x14ac:dyDescent="0.25">
      <c r="A34" s="26" t="s">
        <v>75</v>
      </c>
      <c r="B34" s="27"/>
      <c r="C34" s="28" t="s">
        <v>76</v>
      </c>
      <c r="D34" s="29"/>
      <c r="E34" s="27"/>
      <c r="F34" s="5" t="s">
        <v>20</v>
      </c>
      <c r="G34" s="30" t="s">
        <v>21</v>
      </c>
      <c r="H34" s="27"/>
      <c r="I34" s="5" t="s">
        <v>74</v>
      </c>
      <c r="J34" s="5" t="s">
        <v>27</v>
      </c>
      <c r="K34" s="6">
        <v>28.92</v>
      </c>
      <c r="L34" s="5">
        <v>1</v>
      </c>
      <c r="M34" s="30">
        <v>0</v>
      </c>
      <c r="N34" s="27"/>
      <c r="O34" s="31">
        <v>0</v>
      </c>
      <c r="P34" s="29"/>
      <c r="Q34" s="27"/>
      <c r="R34" s="7">
        <v>28.92</v>
      </c>
    </row>
    <row r="35" spans="1:18" x14ac:dyDescent="0.25">
      <c r="A35" s="26" t="s">
        <v>77</v>
      </c>
      <c r="B35" s="27"/>
      <c r="C35" s="28" t="s">
        <v>78</v>
      </c>
      <c r="D35" s="29"/>
      <c r="E35" s="27"/>
      <c r="F35" s="5" t="s">
        <v>20</v>
      </c>
      <c r="G35" s="30" t="s">
        <v>21</v>
      </c>
      <c r="H35" s="27"/>
      <c r="I35" s="5" t="s">
        <v>60</v>
      </c>
      <c r="J35" s="5" t="s">
        <v>27</v>
      </c>
      <c r="K35" s="6">
        <v>28.92</v>
      </c>
      <c r="L35" s="5">
        <v>1</v>
      </c>
      <c r="M35" s="30">
        <v>0</v>
      </c>
      <c r="N35" s="27"/>
      <c r="O35" s="31">
        <v>0</v>
      </c>
      <c r="P35" s="29"/>
      <c r="Q35" s="27"/>
      <c r="R35" s="7">
        <v>28.92</v>
      </c>
    </row>
    <row r="36" spans="1:18" x14ac:dyDescent="0.25">
      <c r="A36" s="26" t="s">
        <v>18</v>
      </c>
      <c r="B36" s="27"/>
      <c r="C36" s="28" t="s">
        <v>19</v>
      </c>
      <c r="D36" s="29"/>
      <c r="E36" s="27"/>
      <c r="F36" s="5" t="s">
        <v>20</v>
      </c>
      <c r="G36" s="30" t="s">
        <v>21</v>
      </c>
      <c r="H36" s="27"/>
      <c r="I36" s="5" t="s">
        <v>22</v>
      </c>
      <c r="J36" s="5" t="s">
        <v>27</v>
      </c>
      <c r="K36" s="6">
        <v>28.92</v>
      </c>
      <c r="L36" s="5">
        <v>1</v>
      </c>
      <c r="M36" s="30">
        <v>1</v>
      </c>
      <c r="N36" s="27"/>
      <c r="O36" s="31">
        <v>28.92</v>
      </c>
      <c r="P36" s="29"/>
      <c r="Q36" s="27"/>
      <c r="R36" s="7">
        <v>57.84</v>
      </c>
    </row>
    <row r="37" spans="1:18" x14ac:dyDescent="0.25">
      <c r="A37" s="26" t="s">
        <v>79</v>
      </c>
      <c r="B37" s="27"/>
      <c r="C37" s="28" t="s">
        <v>80</v>
      </c>
      <c r="D37" s="29"/>
      <c r="E37" s="27"/>
      <c r="F37" s="5" t="s">
        <v>20</v>
      </c>
      <c r="G37" s="30" t="s">
        <v>21</v>
      </c>
      <c r="H37" s="27"/>
      <c r="I37" s="5" t="s">
        <v>81</v>
      </c>
      <c r="J37" s="5" t="s">
        <v>27</v>
      </c>
      <c r="K37" s="6">
        <v>28.92</v>
      </c>
      <c r="L37" s="5">
        <v>1</v>
      </c>
      <c r="M37" s="30">
        <v>0</v>
      </c>
      <c r="N37" s="27"/>
      <c r="O37" s="31">
        <v>0</v>
      </c>
      <c r="P37" s="29"/>
      <c r="Q37" s="27"/>
      <c r="R37" s="7">
        <v>28.92</v>
      </c>
    </row>
    <row r="38" spans="1:18" x14ac:dyDescent="0.25">
      <c r="A38" s="26" t="s">
        <v>82</v>
      </c>
      <c r="B38" s="27"/>
      <c r="C38" s="28" t="s">
        <v>83</v>
      </c>
      <c r="D38" s="29"/>
      <c r="E38" s="27"/>
      <c r="F38" s="5" t="s">
        <v>20</v>
      </c>
      <c r="G38" s="30" t="s">
        <v>21</v>
      </c>
      <c r="H38" s="27"/>
      <c r="I38" s="5" t="s">
        <v>47</v>
      </c>
      <c r="J38" s="5" t="s">
        <v>27</v>
      </c>
      <c r="K38" s="6">
        <v>28.92</v>
      </c>
      <c r="L38" s="5">
        <v>1</v>
      </c>
      <c r="M38" s="30">
        <v>0</v>
      </c>
      <c r="N38" s="27"/>
      <c r="O38" s="31">
        <v>0</v>
      </c>
      <c r="P38" s="29"/>
      <c r="Q38" s="27"/>
      <c r="R38" s="7">
        <v>28.92</v>
      </c>
    </row>
    <row r="39" spans="1:18" x14ac:dyDescent="0.25">
      <c r="A39" s="26" t="s">
        <v>84</v>
      </c>
      <c r="B39" s="27"/>
      <c r="C39" s="28" t="s">
        <v>85</v>
      </c>
      <c r="D39" s="29"/>
      <c r="E39" s="27"/>
      <c r="F39" s="5" t="s">
        <v>20</v>
      </c>
      <c r="G39" s="30" t="s">
        <v>21</v>
      </c>
      <c r="H39" s="27"/>
      <c r="I39" s="5" t="s">
        <v>86</v>
      </c>
      <c r="J39" s="5" t="s">
        <v>27</v>
      </c>
      <c r="K39" s="6">
        <v>28.92</v>
      </c>
      <c r="L39" s="5">
        <v>1</v>
      </c>
      <c r="M39" s="30">
        <v>0</v>
      </c>
      <c r="N39" s="27"/>
      <c r="O39" s="31">
        <v>0</v>
      </c>
      <c r="P39" s="29"/>
      <c r="Q39" s="27"/>
      <c r="R39" s="7">
        <v>28.92</v>
      </c>
    </row>
    <row r="40" spans="1:18" x14ac:dyDescent="0.25">
      <c r="A40" s="26" t="s">
        <v>87</v>
      </c>
      <c r="B40" s="27"/>
      <c r="C40" s="28" t="s">
        <v>88</v>
      </c>
      <c r="D40" s="29"/>
      <c r="E40" s="27"/>
      <c r="F40" s="5" t="s">
        <v>20</v>
      </c>
      <c r="G40" s="30" t="s">
        <v>21</v>
      </c>
      <c r="H40" s="27"/>
      <c r="I40" s="5" t="s">
        <v>89</v>
      </c>
      <c r="J40" s="5" t="s">
        <v>27</v>
      </c>
      <c r="K40" s="6">
        <v>28.92</v>
      </c>
      <c r="L40" s="5">
        <v>1</v>
      </c>
      <c r="M40" s="30">
        <v>0</v>
      </c>
      <c r="N40" s="27"/>
      <c r="O40" s="31">
        <v>0</v>
      </c>
      <c r="P40" s="29"/>
      <c r="Q40" s="27"/>
      <c r="R40" s="7">
        <v>28.92</v>
      </c>
    </row>
    <row r="41" spans="1:18" x14ac:dyDescent="0.25">
      <c r="A41" s="26" t="s">
        <v>90</v>
      </c>
      <c r="B41" s="27"/>
      <c r="C41" s="28" t="s">
        <v>91</v>
      </c>
      <c r="D41" s="29"/>
      <c r="E41" s="27"/>
      <c r="F41" s="5" t="s">
        <v>20</v>
      </c>
      <c r="G41" s="30" t="s">
        <v>21</v>
      </c>
      <c r="H41" s="27"/>
      <c r="I41" s="5" t="s">
        <v>92</v>
      </c>
      <c r="J41" s="5" t="s">
        <v>27</v>
      </c>
      <c r="K41" s="6">
        <v>28.92</v>
      </c>
      <c r="L41" s="5">
        <v>1</v>
      </c>
      <c r="M41" s="30">
        <v>0</v>
      </c>
      <c r="N41" s="27"/>
      <c r="O41" s="31">
        <v>0</v>
      </c>
      <c r="P41" s="29"/>
      <c r="Q41" s="27"/>
      <c r="R41" s="7">
        <v>28.92</v>
      </c>
    </row>
    <row r="42" spans="1:18" x14ac:dyDescent="0.25">
      <c r="A42" s="26" t="s">
        <v>93</v>
      </c>
      <c r="B42" s="27"/>
      <c r="C42" s="28" t="s">
        <v>94</v>
      </c>
      <c r="D42" s="29"/>
      <c r="E42" s="27"/>
      <c r="F42" s="5" t="s">
        <v>20</v>
      </c>
      <c r="G42" s="30" t="s">
        <v>21</v>
      </c>
      <c r="H42" s="27"/>
      <c r="I42" s="5" t="s">
        <v>41</v>
      </c>
      <c r="J42" s="5" t="s">
        <v>27</v>
      </c>
      <c r="K42" s="6">
        <v>28.92</v>
      </c>
      <c r="L42" s="5">
        <v>1</v>
      </c>
      <c r="M42" s="30">
        <v>0</v>
      </c>
      <c r="N42" s="27"/>
      <c r="O42" s="31">
        <v>0</v>
      </c>
      <c r="P42" s="29"/>
      <c r="Q42" s="27"/>
      <c r="R42" s="7">
        <v>28.92</v>
      </c>
    </row>
    <row r="43" spans="1:18" x14ac:dyDescent="0.25">
      <c r="A43" s="26" t="s">
        <v>95</v>
      </c>
      <c r="B43" s="27"/>
      <c r="C43" s="28" t="s">
        <v>96</v>
      </c>
      <c r="D43" s="29"/>
      <c r="E43" s="27"/>
      <c r="F43" s="5" t="s">
        <v>20</v>
      </c>
      <c r="G43" s="30" t="s">
        <v>21</v>
      </c>
      <c r="H43" s="27"/>
      <c r="I43" s="5" t="s">
        <v>22</v>
      </c>
      <c r="J43" s="5" t="s">
        <v>27</v>
      </c>
      <c r="K43" s="6">
        <v>28.92</v>
      </c>
      <c r="L43" s="5">
        <v>1</v>
      </c>
      <c r="M43" s="30">
        <v>0</v>
      </c>
      <c r="N43" s="27"/>
      <c r="O43" s="31">
        <v>0</v>
      </c>
      <c r="P43" s="29"/>
      <c r="Q43" s="27"/>
      <c r="R43" s="7">
        <v>28.92</v>
      </c>
    </row>
    <row r="44" spans="1:18" x14ac:dyDescent="0.25">
      <c r="A44" s="26" t="s">
        <v>97</v>
      </c>
      <c r="B44" s="27"/>
      <c r="C44" s="28" t="s">
        <v>98</v>
      </c>
      <c r="D44" s="29"/>
      <c r="E44" s="27"/>
      <c r="F44" s="5" t="s">
        <v>20</v>
      </c>
      <c r="G44" s="30" t="s">
        <v>21</v>
      </c>
      <c r="H44" s="27"/>
      <c r="I44" s="5" t="s">
        <v>22</v>
      </c>
      <c r="J44" s="5" t="s">
        <v>27</v>
      </c>
      <c r="K44" s="6">
        <v>28.92</v>
      </c>
      <c r="L44" s="5">
        <v>1</v>
      </c>
      <c r="M44" s="30">
        <v>0</v>
      </c>
      <c r="N44" s="27"/>
      <c r="O44" s="31">
        <v>0</v>
      </c>
      <c r="P44" s="29"/>
      <c r="Q44" s="27"/>
      <c r="R44" s="7">
        <v>28.92</v>
      </c>
    </row>
    <row r="45" spans="1:18" x14ac:dyDescent="0.25">
      <c r="A45" s="26" t="s">
        <v>99</v>
      </c>
      <c r="B45" s="27"/>
      <c r="C45" s="28" t="s">
        <v>100</v>
      </c>
      <c r="D45" s="29"/>
      <c r="E45" s="27"/>
      <c r="F45" s="5" t="s">
        <v>20</v>
      </c>
      <c r="G45" s="30" t="s">
        <v>21</v>
      </c>
      <c r="H45" s="27"/>
      <c r="I45" s="5" t="s">
        <v>65</v>
      </c>
      <c r="J45" s="5" t="s">
        <v>27</v>
      </c>
      <c r="K45" s="6">
        <v>28.92</v>
      </c>
      <c r="L45" s="5">
        <v>1</v>
      </c>
      <c r="M45" s="30">
        <v>1</v>
      </c>
      <c r="N45" s="27"/>
      <c r="O45" s="31">
        <v>28.92</v>
      </c>
      <c r="P45" s="29"/>
      <c r="Q45" s="27"/>
      <c r="R45" s="7">
        <v>57.84</v>
      </c>
    </row>
    <row r="46" spans="1:18" x14ac:dyDescent="0.25">
      <c r="A46" s="26" t="s">
        <v>101</v>
      </c>
      <c r="B46" s="27"/>
      <c r="C46" s="28" t="s">
        <v>102</v>
      </c>
      <c r="D46" s="29"/>
      <c r="E46" s="27"/>
      <c r="F46" s="5" t="s">
        <v>20</v>
      </c>
      <c r="G46" s="30" t="s">
        <v>21</v>
      </c>
      <c r="H46" s="27"/>
      <c r="I46" s="5" t="s">
        <v>103</v>
      </c>
      <c r="J46" s="5" t="s">
        <v>27</v>
      </c>
      <c r="K46" s="6">
        <v>28.92</v>
      </c>
      <c r="L46" s="5">
        <v>1</v>
      </c>
      <c r="M46" s="30">
        <v>0</v>
      </c>
      <c r="N46" s="27"/>
      <c r="O46" s="31">
        <v>0</v>
      </c>
      <c r="P46" s="29"/>
      <c r="Q46" s="27"/>
      <c r="R46" s="7">
        <v>28.92</v>
      </c>
    </row>
    <row r="47" spans="1:18" x14ac:dyDescent="0.25">
      <c r="A47" s="26" t="s">
        <v>104</v>
      </c>
      <c r="B47" s="27"/>
      <c r="C47" s="28" t="s">
        <v>105</v>
      </c>
      <c r="D47" s="29"/>
      <c r="E47" s="27"/>
      <c r="F47" s="5" t="s">
        <v>20</v>
      </c>
      <c r="G47" s="30" t="s">
        <v>21</v>
      </c>
      <c r="H47" s="27"/>
      <c r="I47" s="5" t="s">
        <v>65</v>
      </c>
      <c r="J47" s="5" t="s">
        <v>27</v>
      </c>
      <c r="K47" s="6">
        <v>28.92</v>
      </c>
      <c r="L47" s="5">
        <v>1</v>
      </c>
      <c r="M47" s="30">
        <v>1</v>
      </c>
      <c r="N47" s="27"/>
      <c r="O47" s="31">
        <v>28.92</v>
      </c>
      <c r="P47" s="29"/>
      <c r="Q47" s="27"/>
      <c r="R47" s="7">
        <v>57.84</v>
      </c>
    </row>
    <row r="48" spans="1:18" x14ac:dyDescent="0.25">
      <c r="A48" s="26" t="s">
        <v>106</v>
      </c>
      <c r="B48" s="27"/>
      <c r="C48" s="28" t="s">
        <v>107</v>
      </c>
      <c r="D48" s="29"/>
      <c r="E48" s="27"/>
      <c r="F48" s="5" t="s">
        <v>20</v>
      </c>
      <c r="G48" s="30" t="s">
        <v>21</v>
      </c>
      <c r="H48" s="27"/>
      <c r="I48" s="5" t="s">
        <v>108</v>
      </c>
      <c r="J48" s="5" t="s">
        <v>27</v>
      </c>
      <c r="K48" s="6">
        <v>28.92</v>
      </c>
      <c r="L48" s="5">
        <v>1</v>
      </c>
      <c r="M48" s="30">
        <v>0</v>
      </c>
      <c r="N48" s="27"/>
      <c r="O48" s="31">
        <v>0</v>
      </c>
      <c r="P48" s="29"/>
      <c r="Q48" s="27"/>
      <c r="R48" s="7">
        <v>28.92</v>
      </c>
    </row>
    <row r="49" spans="1:18" x14ac:dyDescent="0.25">
      <c r="A49" s="26" t="s">
        <v>109</v>
      </c>
      <c r="B49" s="27"/>
      <c r="C49" s="28" t="s">
        <v>110</v>
      </c>
      <c r="D49" s="29"/>
      <c r="E49" s="27"/>
      <c r="F49" s="5" t="s">
        <v>32</v>
      </c>
      <c r="G49" s="30" t="s">
        <v>21</v>
      </c>
      <c r="H49" s="27"/>
      <c r="I49" s="5" t="s">
        <v>111</v>
      </c>
      <c r="J49" s="5" t="s">
        <v>27</v>
      </c>
      <c r="K49" s="6">
        <v>28.92</v>
      </c>
      <c r="L49" s="5">
        <v>1</v>
      </c>
      <c r="M49" s="30">
        <v>0</v>
      </c>
      <c r="N49" s="27"/>
      <c r="O49" s="31">
        <v>0</v>
      </c>
      <c r="P49" s="29"/>
      <c r="Q49" s="27"/>
      <c r="R49" s="7">
        <v>28.92</v>
      </c>
    </row>
    <row r="50" spans="1:18" x14ac:dyDescent="0.25">
      <c r="A50" s="26" t="s">
        <v>112</v>
      </c>
      <c r="B50" s="27"/>
      <c r="C50" s="28" t="s">
        <v>113</v>
      </c>
      <c r="D50" s="29"/>
      <c r="E50" s="27"/>
      <c r="F50" s="5" t="s">
        <v>20</v>
      </c>
      <c r="G50" s="30" t="s">
        <v>21</v>
      </c>
      <c r="H50" s="27"/>
      <c r="I50" s="5" t="s">
        <v>60</v>
      </c>
      <c r="J50" s="5" t="s">
        <v>27</v>
      </c>
      <c r="K50" s="6">
        <v>28.92</v>
      </c>
      <c r="L50" s="5">
        <v>1</v>
      </c>
      <c r="M50" s="30">
        <v>0</v>
      </c>
      <c r="N50" s="27"/>
      <c r="O50" s="31">
        <v>0</v>
      </c>
      <c r="P50" s="29"/>
      <c r="Q50" s="27"/>
      <c r="R50" s="7">
        <v>28.92</v>
      </c>
    </row>
    <row r="51" spans="1:18" x14ac:dyDescent="0.25">
      <c r="A51" s="26" t="s">
        <v>114</v>
      </c>
      <c r="B51" s="27"/>
      <c r="C51" s="28" t="s">
        <v>115</v>
      </c>
      <c r="D51" s="29"/>
      <c r="E51" s="27"/>
      <c r="F51" s="5" t="s">
        <v>20</v>
      </c>
      <c r="G51" s="30" t="s">
        <v>21</v>
      </c>
      <c r="H51" s="27"/>
      <c r="I51" s="5" t="s">
        <v>116</v>
      </c>
      <c r="J51" s="5" t="s">
        <v>27</v>
      </c>
      <c r="K51" s="6">
        <v>28.92</v>
      </c>
      <c r="L51" s="5">
        <v>1</v>
      </c>
      <c r="M51" s="30">
        <v>0</v>
      </c>
      <c r="N51" s="27"/>
      <c r="O51" s="31">
        <v>0</v>
      </c>
      <c r="P51" s="29"/>
      <c r="Q51" s="27"/>
      <c r="R51" s="7">
        <v>28.92</v>
      </c>
    </row>
    <row r="52" spans="1:18" x14ac:dyDescent="0.25">
      <c r="A52" s="26" t="s">
        <v>117</v>
      </c>
      <c r="B52" s="27"/>
      <c r="C52" s="28" t="s">
        <v>118</v>
      </c>
      <c r="D52" s="29"/>
      <c r="E52" s="27"/>
      <c r="F52" s="5" t="s">
        <v>20</v>
      </c>
      <c r="G52" s="30" t="s">
        <v>21</v>
      </c>
      <c r="H52" s="27"/>
      <c r="I52" s="5" t="s">
        <v>116</v>
      </c>
      <c r="J52" s="5" t="s">
        <v>27</v>
      </c>
      <c r="K52" s="6">
        <v>28.92</v>
      </c>
      <c r="L52" s="5">
        <v>1</v>
      </c>
      <c r="M52" s="30">
        <v>0</v>
      </c>
      <c r="N52" s="27"/>
      <c r="O52" s="31">
        <v>0</v>
      </c>
      <c r="P52" s="29"/>
      <c r="Q52" s="27"/>
      <c r="R52" s="7">
        <v>28.92</v>
      </c>
    </row>
    <row r="53" spans="1:18" x14ac:dyDescent="0.25">
      <c r="A53" s="26" t="s">
        <v>119</v>
      </c>
      <c r="B53" s="27"/>
      <c r="C53" s="28" t="s">
        <v>120</v>
      </c>
      <c r="D53" s="29"/>
      <c r="E53" s="27"/>
      <c r="F53" s="5" t="s">
        <v>20</v>
      </c>
      <c r="G53" s="30" t="s">
        <v>21</v>
      </c>
      <c r="H53" s="27"/>
      <c r="I53" s="5" t="s">
        <v>121</v>
      </c>
      <c r="J53" s="5" t="s">
        <v>27</v>
      </c>
      <c r="K53" s="6">
        <v>28.92</v>
      </c>
      <c r="L53" s="5">
        <v>1</v>
      </c>
      <c r="M53" s="30">
        <v>0</v>
      </c>
      <c r="N53" s="27"/>
      <c r="O53" s="31">
        <v>0</v>
      </c>
      <c r="P53" s="29"/>
      <c r="Q53" s="27"/>
      <c r="R53" s="7">
        <v>28.92</v>
      </c>
    </row>
    <row r="54" spans="1:18" x14ac:dyDescent="0.25">
      <c r="A54" s="26" t="s">
        <v>122</v>
      </c>
      <c r="B54" s="27"/>
      <c r="C54" s="28" t="s">
        <v>123</v>
      </c>
      <c r="D54" s="29"/>
      <c r="E54" s="27"/>
      <c r="F54" s="5" t="s">
        <v>20</v>
      </c>
      <c r="G54" s="30" t="s">
        <v>21</v>
      </c>
      <c r="H54" s="27"/>
      <c r="I54" s="5" t="s">
        <v>124</v>
      </c>
      <c r="J54" s="5" t="s">
        <v>27</v>
      </c>
      <c r="K54" s="6">
        <v>28.92</v>
      </c>
      <c r="L54" s="5">
        <v>1</v>
      </c>
      <c r="M54" s="30">
        <v>0</v>
      </c>
      <c r="N54" s="27"/>
      <c r="O54" s="31">
        <v>0</v>
      </c>
      <c r="P54" s="29"/>
      <c r="Q54" s="27"/>
      <c r="R54" s="7">
        <v>28.92</v>
      </c>
    </row>
    <row r="55" spans="1:18" x14ac:dyDescent="0.25">
      <c r="A55" s="26" t="s">
        <v>125</v>
      </c>
      <c r="B55" s="27"/>
      <c r="C55" s="28" t="s">
        <v>126</v>
      </c>
      <c r="D55" s="29"/>
      <c r="E55" s="27"/>
      <c r="F55" s="5" t="s">
        <v>20</v>
      </c>
      <c r="G55" s="30" t="s">
        <v>21</v>
      </c>
      <c r="H55" s="27"/>
      <c r="I55" s="5" t="s">
        <v>47</v>
      </c>
      <c r="J55" s="5" t="s">
        <v>27</v>
      </c>
      <c r="K55" s="6">
        <v>28.92</v>
      </c>
      <c r="L55" s="5">
        <v>1</v>
      </c>
      <c r="M55" s="30">
        <v>0</v>
      </c>
      <c r="N55" s="27"/>
      <c r="O55" s="31">
        <v>0</v>
      </c>
      <c r="P55" s="29"/>
      <c r="Q55" s="27"/>
      <c r="R55" s="7">
        <v>28.92</v>
      </c>
    </row>
    <row r="56" spans="1:18" x14ac:dyDescent="0.25">
      <c r="A56" s="26" t="s">
        <v>127</v>
      </c>
      <c r="B56" s="27"/>
      <c r="C56" s="28" t="s">
        <v>128</v>
      </c>
      <c r="D56" s="29"/>
      <c r="E56" s="27"/>
      <c r="F56" s="5" t="s">
        <v>20</v>
      </c>
      <c r="G56" s="30" t="s">
        <v>21</v>
      </c>
      <c r="H56" s="27"/>
      <c r="I56" s="5" t="s">
        <v>47</v>
      </c>
      <c r="J56" s="5" t="s">
        <v>27</v>
      </c>
      <c r="K56" s="6">
        <v>28.92</v>
      </c>
      <c r="L56" s="5">
        <v>1</v>
      </c>
      <c r="M56" s="30">
        <v>0</v>
      </c>
      <c r="N56" s="27"/>
      <c r="O56" s="31">
        <v>0</v>
      </c>
      <c r="P56" s="29"/>
      <c r="Q56" s="27"/>
      <c r="R56" s="7">
        <v>28.92</v>
      </c>
    </row>
    <row r="57" spans="1:18" x14ac:dyDescent="0.25">
      <c r="A57" s="26" t="s">
        <v>129</v>
      </c>
      <c r="B57" s="27"/>
      <c r="C57" s="28" t="s">
        <v>130</v>
      </c>
      <c r="D57" s="29"/>
      <c r="E57" s="27"/>
      <c r="F57" s="5" t="s">
        <v>20</v>
      </c>
      <c r="G57" s="30" t="s">
        <v>21</v>
      </c>
      <c r="H57" s="27"/>
      <c r="I57" s="5" t="s">
        <v>121</v>
      </c>
      <c r="J57" s="5" t="s">
        <v>27</v>
      </c>
      <c r="K57" s="6">
        <v>28.92</v>
      </c>
      <c r="L57" s="5">
        <v>1</v>
      </c>
      <c r="M57" s="30">
        <v>0</v>
      </c>
      <c r="N57" s="27"/>
      <c r="O57" s="31">
        <v>0</v>
      </c>
      <c r="P57" s="29"/>
      <c r="Q57" s="27"/>
      <c r="R57" s="7">
        <v>28.92</v>
      </c>
    </row>
    <row r="58" spans="1:18" x14ac:dyDescent="0.25">
      <c r="A58" s="26" t="s">
        <v>131</v>
      </c>
      <c r="B58" s="27"/>
      <c r="C58" s="28" t="s">
        <v>132</v>
      </c>
      <c r="D58" s="29"/>
      <c r="E58" s="27"/>
      <c r="F58" s="5" t="s">
        <v>20</v>
      </c>
      <c r="G58" s="30" t="s">
        <v>21</v>
      </c>
      <c r="H58" s="27"/>
      <c r="I58" s="5" t="s">
        <v>121</v>
      </c>
      <c r="J58" s="5" t="s">
        <v>27</v>
      </c>
      <c r="K58" s="6">
        <v>28.92</v>
      </c>
      <c r="L58" s="5">
        <v>1</v>
      </c>
      <c r="M58" s="30">
        <v>0</v>
      </c>
      <c r="N58" s="27"/>
      <c r="O58" s="31">
        <v>0</v>
      </c>
      <c r="P58" s="29"/>
      <c r="Q58" s="27"/>
      <c r="R58" s="7">
        <v>28.92</v>
      </c>
    </row>
    <row r="59" spans="1:18" x14ac:dyDescent="0.25">
      <c r="A59" s="26" t="s">
        <v>133</v>
      </c>
      <c r="B59" s="27"/>
      <c r="C59" s="28" t="s">
        <v>134</v>
      </c>
      <c r="D59" s="29"/>
      <c r="E59" s="27"/>
      <c r="F59" s="5" t="s">
        <v>20</v>
      </c>
      <c r="G59" s="30" t="s">
        <v>21</v>
      </c>
      <c r="H59" s="27"/>
      <c r="I59" s="5" t="s">
        <v>135</v>
      </c>
      <c r="J59" s="5" t="s">
        <v>27</v>
      </c>
      <c r="K59" s="6">
        <v>28.92</v>
      </c>
      <c r="L59" s="5">
        <v>1</v>
      </c>
      <c r="M59" s="30">
        <v>0</v>
      </c>
      <c r="N59" s="27"/>
      <c r="O59" s="31">
        <v>0</v>
      </c>
      <c r="P59" s="29"/>
      <c r="Q59" s="27"/>
      <c r="R59" s="7">
        <v>28.92</v>
      </c>
    </row>
    <row r="60" spans="1:18" x14ac:dyDescent="0.25">
      <c r="A60" s="26" t="s">
        <v>136</v>
      </c>
      <c r="B60" s="27"/>
      <c r="C60" s="28" t="s">
        <v>137</v>
      </c>
      <c r="D60" s="29"/>
      <c r="E60" s="27"/>
      <c r="F60" s="5" t="s">
        <v>20</v>
      </c>
      <c r="G60" s="30" t="s">
        <v>21</v>
      </c>
      <c r="H60" s="27"/>
      <c r="I60" s="5" t="s">
        <v>108</v>
      </c>
      <c r="J60" s="5" t="s">
        <v>27</v>
      </c>
      <c r="K60" s="6">
        <v>28.92</v>
      </c>
      <c r="L60" s="5">
        <v>1</v>
      </c>
      <c r="M60" s="30">
        <v>0</v>
      </c>
      <c r="N60" s="27"/>
      <c r="O60" s="31">
        <v>0</v>
      </c>
      <c r="P60" s="29"/>
      <c r="Q60" s="27"/>
      <c r="R60" s="7">
        <v>28.92</v>
      </c>
    </row>
    <row r="61" spans="1:18" x14ac:dyDescent="0.25">
      <c r="A61" s="26" t="s">
        <v>138</v>
      </c>
      <c r="B61" s="27"/>
      <c r="C61" s="28" t="s">
        <v>139</v>
      </c>
      <c r="D61" s="29"/>
      <c r="E61" s="27"/>
      <c r="F61" s="5" t="s">
        <v>20</v>
      </c>
      <c r="G61" s="30" t="s">
        <v>21</v>
      </c>
      <c r="H61" s="27"/>
      <c r="I61" s="5" t="s">
        <v>140</v>
      </c>
      <c r="J61" s="5" t="s">
        <v>27</v>
      </c>
      <c r="K61" s="6">
        <v>28.92</v>
      </c>
      <c r="L61" s="5">
        <v>1</v>
      </c>
      <c r="M61" s="30">
        <v>0</v>
      </c>
      <c r="N61" s="27"/>
      <c r="O61" s="31">
        <v>0</v>
      </c>
      <c r="P61" s="29"/>
      <c r="Q61" s="27"/>
      <c r="R61" s="7">
        <v>28.92</v>
      </c>
    </row>
    <row r="62" spans="1:18" x14ac:dyDescent="0.25">
      <c r="A62" s="26" t="s">
        <v>141</v>
      </c>
      <c r="B62" s="27"/>
      <c r="C62" s="28" t="s">
        <v>142</v>
      </c>
      <c r="D62" s="29"/>
      <c r="E62" s="27"/>
      <c r="F62" s="5" t="s">
        <v>20</v>
      </c>
      <c r="G62" s="30" t="s">
        <v>21</v>
      </c>
      <c r="H62" s="27"/>
      <c r="I62" s="5" t="s">
        <v>143</v>
      </c>
      <c r="J62" s="5" t="s">
        <v>27</v>
      </c>
      <c r="K62" s="6">
        <v>28.92</v>
      </c>
      <c r="L62" s="5">
        <v>1</v>
      </c>
      <c r="M62" s="30">
        <v>0</v>
      </c>
      <c r="N62" s="27"/>
      <c r="O62" s="31">
        <v>0</v>
      </c>
      <c r="P62" s="29"/>
      <c r="Q62" s="27"/>
      <c r="R62" s="7">
        <v>28.92</v>
      </c>
    </row>
    <row r="63" spans="1:18" x14ac:dyDescent="0.25">
      <c r="A63" s="26" t="s">
        <v>144</v>
      </c>
      <c r="B63" s="27"/>
      <c r="C63" s="28" t="s">
        <v>145</v>
      </c>
      <c r="D63" s="29"/>
      <c r="E63" s="27"/>
      <c r="F63" s="5" t="s">
        <v>20</v>
      </c>
      <c r="G63" s="30" t="s">
        <v>21</v>
      </c>
      <c r="H63" s="27"/>
      <c r="I63" s="5" t="s">
        <v>81</v>
      </c>
      <c r="J63" s="5" t="s">
        <v>27</v>
      </c>
      <c r="K63" s="6">
        <v>28.92</v>
      </c>
      <c r="L63" s="5">
        <v>1</v>
      </c>
      <c r="M63" s="30">
        <v>0</v>
      </c>
      <c r="N63" s="27"/>
      <c r="O63" s="31">
        <v>0</v>
      </c>
      <c r="P63" s="29"/>
      <c r="Q63" s="27"/>
      <c r="R63" s="7">
        <v>28.92</v>
      </c>
    </row>
    <row r="64" spans="1:18" x14ac:dyDescent="0.25">
      <c r="A64" s="26" t="s">
        <v>146</v>
      </c>
      <c r="B64" s="27"/>
      <c r="C64" s="28" t="s">
        <v>147</v>
      </c>
      <c r="D64" s="29"/>
      <c r="E64" s="27"/>
      <c r="F64" s="5" t="s">
        <v>20</v>
      </c>
      <c r="G64" s="30" t="s">
        <v>21</v>
      </c>
      <c r="H64" s="27"/>
      <c r="I64" s="5" t="s">
        <v>143</v>
      </c>
      <c r="J64" s="5" t="s">
        <v>27</v>
      </c>
      <c r="K64" s="6">
        <v>28.92</v>
      </c>
      <c r="L64" s="5">
        <v>1</v>
      </c>
      <c r="M64" s="30">
        <v>0</v>
      </c>
      <c r="N64" s="27"/>
      <c r="O64" s="31">
        <v>0</v>
      </c>
      <c r="P64" s="29"/>
      <c r="Q64" s="27"/>
      <c r="R64" s="7">
        <v>28.92</v>
      </c>
    </row>
    <row r="65" spans="1:18" x14ac:dyDescent="0.25">
      <c r="A65" s="26" t="s">
        <v>148</v>
      </c>
      <c r="B65" s="27"/>
      <c r="C65" s="28" t="s">
        <v>149</v>
      </c>
      <c r="D65" s="29"/>
      <c r="E65" s="27"/>
      <c r="F65" s="5" t="s">
        <v>20</v>
      </c>
      <c r="G65" s="30" t="s">
        <v>21</v>
      </c>
      <c r="H65" s="27"/>
      <c r="I65" s="5" t="s">
        <v>150</v>
      </c>
      <c r="J65" s="5" t="s">
        <v>27</v>
      </c>
      <c r="K65" s="6">
        <v>28.92</v>
      </c>
      <c r="L65" s="5">
        <v>1</v>
      </c>
      <c r="M65" s="30">
        <v>0</v>
      </c>
      <c r="N65" s="27"/>
      <c r="O65" s="31">
        <v>0</v>
      </c>
      <c r="P65" s="29"/>
      <c r="Q65" s="27"/>
      <c r="R65" s="7">
        <v>28.92</v>
      </c>
    </row>
    <row r="66" spans="1:18" x14ac:dyDescent="0.25">
      <c r="A66" s="26" t="s">
        <v>151</v>
      </c>
      <c r="B66" s="27"/>
      <c r="C66" s="28" t="s">
        <v>152</v>
      </c>
      <c r="D66" s="29"/>
      <c r="E66" s="27"/>
      <c r="F66" s="5" t="s">
        <v>20</v>
      </c>
      <c r="G66" s="30" t="s">
        <v>21</v>
      </c>
      <c r="H66" s="27"/>
      <c r="I66" s="5" t="s">
        <v>81</v>
      </c>
      <c r="J66" s="5" t="s">
        <v>27</v>
      </c>
      <c r="K66" s="6">
        <v>28.92</v>
      </c>
      <c r="L66" s="5">
        <v>1</v>
      </c>
      <c r="M66" s="30">
        <v>0</v>
      </c>
      <c r="N66" s="27"/>
      <c r="O66" s="31">
        <v>0</v>
      </c>
      <c r="P66" s="29"/>
      <c r="Q66" s="27"/>
      <c r="R66" s="7">
        <v>28.92</v>
      </c>
    </row>
    <row r="67" spans="1:18" x14ac:dyDescent="0.25">
      <c r="A67" s="26" t="s">
        <v>153</v>
      </c>
      <c r="B67" s="27"/>
      <c r="C67" s="28" t="s">
        <v>154</v>
      </c>
      <c r="D67" s="29"/>
      <c r="E67" s="27"/>
      <c r="F67" s="5" t="s">
        <v>20</v>
      </c>
      <c r="G67" s="30" t="s">
        <v>21</v>
      </c>
      <c r="H67" s="27"/>
      <c r="I67" s="5" t="s">
        <v>44</v>
      </c>
      <c r="J67" s="5" t="s">
        <v>27</v>
      </c>
      <c r="K67" s="6">
        <v>28.92</v>
      </c>
      <c r="L67" s="5">
        <v>1</v>
      </c>
      <c r="M67" s="30">
        <v>1</v>
      </c>
      <c r="N67" s="27"/>
      <c r="O67" s="31">
        <v>28.92</v>
      </c>
      <c r="P67" s="29"/>
      <c r="Q67" s="27"/>
      <c r="R67" s="7">
        <v>57.84</v>
      </c>
    </row>
    <row r="68" spans="1:18" x14ac:dyDescent="0.25">
      <c r="A68" s="26" t="s">
        <v>155</v>
      </c>
      <c r="B68" s="27"/>
      <c r="C68" s="28" t="s">
        <v>156</v>
      </c>
      <c r="D68" s="29"/>
      <c r="E68" s="27"/>
      <c r="F68" s="5" t="s">
        <v>20</v>
      </c>
      <c r="G68" s="30" t="s">
        <v>21</v>
      </c>
      <c r="H68" s="27"/>
      <c r="I68" s="5" t="s">
        <v>157</v>
      </c>
      <c r="J68" s="5" t="s">
        <v>27</v>
      </c>
      <c r="K68" s="6">
        <v>28.92</v>
      </c>
      <c r="L68" s="5">
        <v>1</v>
      </c>
      <c r="M68" s="30">
        <v>0</v>
      </c>
      <c r="N68" s="27"/>
      <c r="O68" s="31">
        <v>0</v>
      </c>
      <c r="P68" s="29"/>
      <c r="Q68" s="27"/>
      <c r="R68" s="7">
        <v>28.92</v>
      </c>
    </row>
    <row r="69" spans="1:18" x14ac:dyDescent="0.25">
      <c r="A69" s="26" t="s">
        <v>158</v>
      </c>
      <c r="B69" s="27"/>
      <c r="C69" s="28" t="s">
        <v>159</v>
      </c>
      <c r="D69" s="29"/>
      <c r="E69" s="27"/>
      <c r="F69" s="5" t="s">
        <v>20</v>
      </c>
      <c r="G69" s="30" t="s">
        <v>21</v>
      </c>
      <c r="H69" s="27"/>
      <c r="I69" s="5" t="s">
        <v>160</v>
      </c>
      <c r="J69" s="5" t="s">
        <v>27</v>
      </c>
      <c r="K69" s="6">
        <v>28.92</v>
      </c>
      <c r="L69" s="5">
        <v>1</v>
      </c>
      <c r="M69" s="30">
        <v>0</v>
      </c>
      <c r="N69" s="27"/>
      <c r="O69" s="31">
        <v>0</v>
      </c>
      <c r="P69" s="29"/>
      <c r="Q69" s="27"/>
      <c r="R69" s="7">
        <v>28.92</v>
      </c>
    </row>
    <row r="70" spans="1:18" x14ac:dyDescent="0.25">
      <c r="A70" s="26" t="s">
        <v>161</v>
      </c>
      <c r="B70" s="27"/>
      <c r="C70" s="28" t="s">
        <v>162</v>
      </c>
      <c r="D70" s="29"/>
      <c r="E70" s="27"/>
      <c r="F70" s="5" t="s">
        <v>20</v>
      </c>
      <c r="G70" s="30" t="s">
        <v>21</v>
      </c>
      <c r="H70" s="27"/>
      <c r="I70" s="5" t="s">
        <v>157</v>
      </c>
      <c r="J70" s="5" t="s">
        <v>27</v>
      </c>
      <c r="K70" s="6">
        <v>28.92</v>
      </c>
      <c r="L70" s="5">
        <v>1</v>
      </c>
      <c r="M70" s="30">
        <v>0</v>
      </c>
      <c r="N70" s="27"/>
      <c r="O70" s="31">
        <v>0</v>
      </c>
      <c r="P70" s="29"/>
      <c r="Q70" s="27"/>
      <c r="R70" s="7">
        <v>28.92</v>
      </c>
    </row>
    <row r="71" spans="1:18" x14ac:dyDescent="0.25">
      <c r="A71" s="26" t="s">
        <v>163</v>
      </c>
      <c r="B71" s="27"/>
      <c r="C71" s="28" t="s">
        <v>164</v>
      </c>
      <c r="D71" s="29"/>
      <c r="E71" s="27"/>
      <c r="F71" s="5" t="s">
        <v>20</v>
      </c>
      <c r="G71" s="30" t="s">
        <v>21</v>
      </c>
      <c r="H71" s="27"/>
      <c r="I71" s="5" t="s">
        <v>121</v>
      </c>
      <c r="J71" s="5" t="s">
        <v>27</v>
      </c>
      <c r="K71" s="6">
        <v>28.92</v>
      </c>
      <c r="L71" s="5">
        <v>1</v>
      </c>
      <c r="M71" s="30">
        <v>0</v>
      </c>
      <c r="N71" s="27"/>
      <c r="O71" s="31">
        <v>0</v>
      </c>
      <c r="P71" s="29"/>
      <c r="Q71" s="27"/>
      <c r="R71" s="7">
        <v>28.92</v>
      </c>
    </row>
    <row r="72" spans="1:18" x14ac:dyDescent="0.25">
      <c r="A72" s="26" t="s">
        <v>165</v>
      </c>
      <c r="B72" s="27"/>
      <c r="C72" s="28" t="s">
        <v>166</v>
      </c>
      <c r="D72" s="29"/>
      <c r="E72" s="27"/>
      <c r="F72" s="5" t="s">
        <v>20</v>
      </c>
      <c r="G72" s="30" t="s">
        <v>21</v>
      </c>
      <c r="H72" s="27"/>
      <c r="I72" s="5" t="s">
        <v>103</v>
      </c>
      <c r="J72" s="5" t="s">
        <v>27</v>
      </c>
      <c r="K72" s="6">
        <v>28.92</v>
      </c>
      <c r="L72" s="5">
        <v>1</v>
      </c>
      <c r="M72" s="30">
        <v>0</v>
      </c>
      <c r="N72" s="27"/>
      <c r="O72" s="31">
        <v>0</v>
      </c>
      <c r="P72" s="29"/>
      <c r="Q72" s="27"/>
      <c r="R72" s="7">
        <v>28.92</v>
      </c>
    </row>
    <row r="73" spans="1:18" x14ac:dyDescent="0.25">
      <c r="A73" s="26" t="s">
        <v>167</v>
      </c>
      <c r="B73" s="27"/>
      <c r="C73" s="28" t="s">
        <v>168</v>
      </c>
      <c r="D73" s="29"/>
      <c r="E73" s="27"/>
      <c r="F73" s="5" t="s">
        <v>20</v>
      </c>
      <c r="G73" s="30" t="s">
        <v>21</v>
      </c>
      <c r="H73" s="27"/>
      <c r="I73" s="5" t="s">
        <v>169</v>
      </c>
      <c r="J73" s="5" t="s">
        <v>27</v>
      </c>
      <c r="K73" s="6">
        <v>28.92</v>
      </c>
      <c r="L73" s="5">
        <v>1</v>
      </c>
      <c r="M73" s="30">
        <v>1</v>
      </c>
      <c r="N73" s="27"/>
      <c r="O73" s="31">
        <v>28.92</v>
      </c>
      <c r="P73" s="29"/>
      <c r="Q73" s="27"/>
      <c r="R73" s="7">
        <v>57.84</v>
      </c>
    </row>
    <row r="74" spans="1:18" x14ac:dyDescent="0.25">
      <c r="A74" s="26" t="s">
        <v>170</v>
      </c>
      <c r="B74" s="27"/>
      <c r="C74" s="28" t="s">
        <v>171</v>
      </c>
      <c r="D74" s="29"/>
      <c r="E74" s="27"/>
      <c r="F74" s="5" t="s">
        <v>44</v>
      </c>
      <c r="G74" s="30" t="s">
        <v>21</v>
      </c>
      <c r="H74" s="27"/>
      <c r="I74" s="5" t="s">
        <v>172</v>
      </c>
      <c r="J74" s="5" t="s">
        <v>27</v>
      </c>
      <c r="K74" s="6">
        <v>28.92</v>
      </c>
      <c r="L74" s="5">
        <v>1</v>
      </c>
      <c r="M74" s="30">
        <v>0</v>
      </c>
      <c r="N74" s="27"/>
      <c r="O74" s="31">
        <v>0</v>
      </c>
      <c r="P74" s="29"/>
      <c r="Q74" s="27"/>
      <c r="R74" s="7">
        <v>28.92</v>
      </c>
    </row>
    <row r="75" spans="1:18" x14ac:dyDescent="0.25">
      <c r="A75" s="26" t="s">
        <v>173</v>
      </c>
      <c r="B75" s="27"/>
      <c r="C75" s="28" t="s">
        <v>174</v>
      </c>
      <c r="D75" s="29"/>
      <c r="E75" s="27"/>
      <c r="F75" s="5" t="s">
        <v>44</v>
      </c>
      <c r="G75" s="30" t="s">
        <v>21</v>
      </c>
      <c r="H75" s="27"/>
      <c r="I75" s="5" t="s">
        <v>172</v>
      </c>
      <c r="J75" s="5" t="s">
        <v>27</v>
      </c>
      <c r="K75" s="6">
        <v>28.92</v>
      </c>
      <c r="L75" s="5">
        <v>1</v>
      </c>
      <c r="M75" s="30">
        <v>0</v>
      </c>
      <c r="N75" s="27"/>
      <c r="O75" s="31">
        <v>0</v>
      </c>
      <c r="P75" s="29"/>
      <c r="Q75" s="27"/>
      <c r="R75" s="7">
        <v>28.92</v>
      </c>
    </row>
    <row r="76" spans="1:18" x14ac:dyDescent="0.25">
      <c r="A76" s="26" t="s">
        <v>175</v>
      </c>
      <c r="B76" s="27"/>
      <c r="C76" s="28" t="s">
        <v>176</v>
      </c>
      <c r="D76" s="29"/>
      <c r="E76" s="27"/>
      <c r="F76" s="5" t="s">
        <v>20</v>
      </c>
      <c r="G76" s="30" t="s">
        <v>21</v>
      </c>
      <c r="H76" s="27"/>
      <c r="I76" s="5" t="s">
        <v>44</v>
      </c>
      <c r="J76" s="5" t="s">
        <v>27</v>
      </c>
      <c r="K76" s="6">
        <v>28.92</v>
      </c>
      <c r="L76" s="5">
        <v>1</v>
      </c>
      <c r="M76" s="30">
        <v>1</v>
      </c>
      <c r="N76" s="27"/>
      <c r="O76" s="31">
        <v>28.92</v>
      </c>
      <c r="P76" s="29"/>
      <c r="Q76" s="27"/>
      <c r="R76" s="7">
        <v>57.84</v>
      </c>
    </row>
    <row r="77" spans="1:18" x14ac:dyDescent="0.25">
      <c r="A77" s="26" t="s">
        <v>177</v>
      </c>
      <c r="B77" s="27"/>
      <c r="C77" s="28" t="s">
        <v>178</v>
      </c>
      <c r="D77" s="29"/>
      <c r="E77" s="27"/>
      <c r="F77" s="5" t="s">
        <v>20</v>
      </c>
      <c r="G77" s="30" t="s">
        <v>21</v>
      </c>
      <c r="H77" s="27"/>
      <c r="I77" s="5" t="s">
        <v>135</v>
      </c>
      <c r="J77" s="5" t="s">
        <v>27</v>
      </c>
      <c r="K77" s="6">
        <v>28.92</v>
      </c>
      <c r="L77" s="5">
        <v>1</v>
      </c>
      <c r="M77" s="30">
        <v>0</v>
      </c>
      <c r="N77" s="27"/>
      <c r="O77" s="31">
        <v>0</v>
      </c>
      <c r="P77" s="29"/>
      <c r="Q77" s="27"/>
      <c r="R77" s="7">
        <v>28.92</v>
      </c>
    </row>
    <row r="78" spans="1:18" x14ac:dyDescent="0.25">
      <c r="A78" s="26" t="s">
        <v>179</v>
      </c>
      <c r="B78" s="27"/>
      <c r="C78" s="28" t="s">
        <v>180</v>
      </c>
      <c r="D78" s="29"/>
      <c r="E78" s="27"/>
      <c r="F78" s="5" t="s">
        <v>32</v>
      </c>
      <c r="G78" s="30" t="s">
        <v>21</v>
      </c>
      <c r="H78" s="27"/>
      <c r="I78" s="5" t="s">
        <v>181</v>
      </c>
      <c r="J78" s="5" t="s">
        <v>27</v>
      </c>
      <c r="K78" s="6">
        <v>28.92</v>
      </c>
      <c r="L78" s="5">
        <v>1</v>
      </c>
      <c r="M78" s="30">
        <v>0</v>
      </c>
      <c r="N78" s="27"/>
      <c r="O78" s="31">
        <v>0</v>
      </c>
      <c r="P78" s="29"/>
      <c r="Q78" s="27"/>
      <c r="R78" s="7">
        <v>28.92</v>
      </c>
    </row>
    <row r="79" spans="1:18" x14ac:dyDescent="0.25">
      <c r="A79" s="26" t="s">
        <v>182</v>
      </c>
      <c r="B79" s="27"/>
      <c r="C79" s="28" t="s">
        <v>183</v>
      </c>
      <c r="D79" s="29"/>
      <c r="E79" s="27"/>
      <c r="F79" s="5" t="s">
        <v>20</v>
      </c>
      <c r="G79" s="30" t="s">
        <v>21</v>
      </c>
      <c r="H79" s="27"/>
      <c r="I79" s="5" t="s">
        <v>92</v>
      </c>
      <c r="J79" s="5" t="s">
        <v>27</v>
      </c>
      <c r="K79" s="6">
        <v>28.92</v>
      </c>
      <c r="L79" s="5">
        <v>1</v>
      </c>
      <c r="M79" s="30">
        <v>0</v>
      </c>
      <c r="N79" s="27"/>
      <c r="O79" s="31">
        <v>0</v>
      </c>
      <c r="P79" s="29"/>
      <c r="Q79" s="27"/>
      <c r="R79" s="7">
        <v>28.92</v>
      </c>
    </row>
    <row r="80" spans="1:18" x14ac:dyDescent="0.25">
      <c r="A80" s="26" t="s">
        <v>184</v>
      </c>
      <c r="B80" s="27"/>
      <c r="C80" s="28" t="s">
        <v>185</v>
      </c>
      <c r="D80" s="29"/>
      <c r="E80" s="27"/>
      <c r="F80" s="5" t="s">
        <v>32</v>
      </c>
      <c r="G80" s="30" t="s">
        <v>21</v>
      </c>
      <c r="H80" s="27"/>
      <c r="I80" s="5" t="s">
        <v>186</v>
      </c>
      <c r="J80" s="5" t="s">
        <v>27</v>
      </c>
      <c r="K80" s="6">
        <v>28.92</v>
      </c>
      <c r="L80" s="5">
        <v>1</v>
      </c>
      <c r="M80" s="30">
        <v>0</v>
      </c>
      <c r="N80" s="27"/>
      <c r="O80" s="31">
        <v>0</v>
      </c>
      <c r="P80" s="29"/>
      <c r="Q80" s="27"/>
      <c r="R80" s="7">
        <v>28.92</v>
      </c>
    </row>
    <row r="81" spans="1:18" x14ac:dyDescent="0.25">
      <c r="A81" s="26" t="s">
        <v>187</v>
      </c>
      <c r="B81" s="27"/>
      <c r="C81" s="28" t="s">
        <v>188</v>
      </c>
      <c r="D81" s="29"/>
      <c r="E81" s="27"/>
      <c r="F81" s="5" t="s">
        <v>189</v>
      </c>
      <c r="G81" s="30" t="s">
        <v>21</v>
      </c>
      <c r="H81" s="27"/>
      <c r="I81" s="5" t="s">
        <v>190</v>
      </c>
      <c r="J81" s="5" t="s">
        <v>27</v>
      </c>
      <c r="K81" s="6">
        <v>28.92</v>
      </c>
      <c r="L81" s="5">
        <v>1</v>
      </c>
      <c r="M81" s="30">
        <v>0</v>
      </c>
      <c r="N81" s="27"/>
      <c r="O81" s="31">
        <v>0</v>
      </c>
      <c r="P81" s="29"/>
      <c r="Q81" s="27"/>
      <c r="R81" s="7">
        <v>28.92</v>
      </c>
    </row>
    <row r="82" spans="1:18" x14ac:dyDescent="0.25">
      <c r="A82" s="26" t="s">
        <v>191</v>
      </c>
      <c r="B82" s="27"/>
      <c r="C82" s="28" t="s">
        <v>192</v>
      </c>
      <c r="D82" s="29"/>
      <c r="E82" s="27"/>
      <c r="F82" s="5" t="s">
        <v>20</v>
      </c>
      <c r="G82" s="30" t="s">
        <v>21</v>
      </c>
      <c r="H82" s="27"/>
      <c r="I82" s="5" t="s">
        <v>193</v>
      </c>
      <c r="J82" s="5" t="s">
        <v>27</v>
      </c>
      <c r="K82" s="6">
        <v>28.92</v>
      </c>
      <c r="L82" s="5">
        <v>1</v>
      </c>
      <c r="M82" s="30">
        <v>0</v>
      </c>
      <c r="N82" s="27"/>
      <c r="O82" s="31">
        <v>0</v>
      </c>
      <c r="P82" s="29"/>
      <c r="Q82" s="27"/>
      <c r="R82" s="7">
        <v>28.92</v>
      </c>
    </row>
    <row r="83" spans="1:18" x14ac:dyDescent="0.25">
      <c r="A83" s="26" t="s">
        <v>194</v>
      </c>
      <c r="B83" s="27"/>
      <c r="C83" s="28" t="s">
        <v>195</v>
      </c>
      <c r="D83" s="29"/>
      <c r="E83" s="27"/>
      <c r="F83" s="5" t="s">
        <v>20</v>
      </c>
      <c r="G83" s="30" t="s">
        <v>21</v>
      </c>
      <c r="H83" s="27"/>
      <c r="I83" s="5" t="s">
        <v>193</v>
      </c>
      <c r="J83" s="5" t="s">
        <v>27</v>
      </c>
      <c r="K83" s="6">
        <v>28.92</v>
      </c>
      <c r="L83" s="5">
        <v>1</v>
      </c>
      <c r="M83" s="30">
        <v>0</v>
      </c>
      <c r="N83" s="27"/>
      <c r="O83" s="31">
        <v>0</v>
      </c>
      <c r="P83" s="29"/>
      <c r="Q83" s="27"/>
      <c r="R83" s="7">
        <v>28.92</v>
      </c>
    </row>
    <row r="84" spans="1:18" x14ac:dyDescent="0.25">
      <c r="A84" s="26" t="s">
        <v>196</v>
      </c>
      <c r="B84" s="27"/>
      <c r="C84" s="28" t="s">
        <v>197</v>
      </c>
      <c r="D84" s="29"/>
      <c r="E84" s="27"/>
      <c r="F84" s="5" t="s">
        <v>20</v>
      </c>
      <c r="G84" s="30" t="s">
        <v>21</v>
      </c>
      <c r="H84" s="27"/>
      <c r="I84" s="5" t="s">
        <v>140</v>
      </c>
      <c r="J84" s="5" t="s">
        <v>27</v>
      </c>
      <c r="K84" s="6">
        <v>28.92</v>
      </c>
      <c r="L84" s="5">
        <v>1</v>
      </c>
      <c r="M84" s="30">
        <v>0</v>
      </c>
      <c r="N84" s="27"/>
      <c r="O84" s="31">
        <v>0</v>
      </c>
      <c r="P84" s="29"/>
      <c r="Q84" s="27"/>
      <c r="R84" s="7">
        <v>28.92</v>
      </c>
    </row>
    <row r="85" spans="1:18" x14ac:dyDescent="0.25">
      <c r="A85" s="26" t="s">
        <v>198</v>
      </c>
      <c r="B85" s="27"/>
      <c r="C85" s="28" t="s">
        <v>199</v>
      </c>
      <c r="D85" s="29"/>
      <c r="E85" s="27"/>
      <c r="F85" s="5" t="s">
        <v>20</v>
      </c>
      <c r="G85" s="30" t="s">
        <v>21</v>
      </c>
      <c r="H85" s="27"/>
      <c r="I85" s="5" t="s">
        <v>140</v>
      </c>
      <c r="J85" s="5" t="s">
        <v>27</v>
      </c>
      <c r="K85" s="6">
        <v>28.92</v>
      </c>
      <c r="L85" s="5">
        <v>1</v>
      </c>
      <c r="M85" s="30">
        <v>0</v>
      </c>
      <c r="N85" s="27"/>
      <c r="O85" s="31">
        <v>0</v>
      </c>
      <c r="P85" s="29"/>
      <c r="Q85" s="27"/>
      <c r="R85" s="7">
        <v>28.92</v>
      </c>
    </row>
    <row r="86" spans="1:18" x14ac:dyDescent="0.25">
      <c r="A86" s="26" t="s">
        <v>200</v>
      </c>
      <c r="B86" s="27"/>
      <c r="C86" s="28" t="s">
        <v>201</v>
      </c>
      <c r="D86" s="29"/>
      <c r="E86" s="27"/>
      <c r="F86" s="5" t="s">
        <v>20</v>
      </c>
      <c r="G86" s="30" t="s">
        <v>21</v>
      </c>
      <c r="H86" s="27"/>
      <c r="I86" s="5" t="s">
        <v>140</v>
      </c>
      <c r="J86" s="5" t="s">
        <v>27</v>
      </c>
      <c r="K86" s="6">
        <v>28.92</v>
      </c>
      <c r="L86" s="5">
        <v>1</v>
      </c>
      <c r="M86" s="30">
        <v>0</v>
      </c>
      <c r="N86" s="27"/>
      <c r="O86" s="31">
        <v>0</v>
      </c>
      <c r="P86" s="29"/>
      <c r="Q86" s="27"/>
      <c r="R86" s="7">
        <v>28.92</v>
      </c>
    </row>
    <row r="87" spans="1:18" x14ac:dyDescent="0.25">
      <c r="A87" s="26" t="s">
        <v>202</v>
      </c>
      <c r="B87" s="27"/>
      <c r="C87" s="28" t="s">
        <v>203</v>
      </c>
      <c r="D87" s="29"/>
      <c r="E87" s="27"/>
      <c r="F87" s="5" t="s">
        <v>20</v>
      </c>
      <c r="G87" s="30" t="s">
        <v>21</v>
      </c>
      <c r="H87" s="27"/>
      <c r="I87" s="5" t="s">
        <v>92</v>
      </c>
      <c r="J87" s="5" t="s">
        <v>27</v>
      </c>
      <c r="K87" s="6">
        <v>28.92</v>
      </c>
      <c r="L87" s="5">
        <v>1</v>
      </c>
      <c r="M87" s="30">
        <v>0</v>
      </c>
      <c r="N87" s="27"/>
      <c r="O87" s="31">
        <v>0</v>
      </c>
      <c r="P87" s="29"/>
      <c r="Q87" s="27"/>
      <c r="R87" s="7">
        <v>28.92</v>
      </c>
    </row>
    <row r="88" spans="1:18" x14ac:dyDescent="0.25">
      <c r="A88" s="26" t="s">
        <v>204</v>
      </c>
      <c r="B88" s="27"/>
      <c r="C88" s="28" t="s">
        <v>205</v>
      </c>
      <c r="D88" s="29"/>
      <c r="E88" s="27"/>
      <c r="F88" s="5" t="s">
        <v>20</v>
      </c>
      <c r="G88" s="30" t="s">
        <v>21</v>
      </c>
      <c r="H88" s="27"/>
      <c r="I88" s="5" t="s">
        <v>206</v>
      </c>
      <c r="J88" s="5" t="s">
        <v>27</v>
      </c>
      <c r="K88" s="6">
        <v>28.92</v>
      </c>
      <c r="L88" s="5">
        <v>1</v>
      </c>
      <c r="M88" s="30">
        <v>1</v>
      </c>
      <c r="N88" s="27"/>
      <c r="O88" s="31">
        <v>28.92</v>
      </c>
      <c r="P88" s="29"/>
      <c r="Q88" s="27"/>
      <c r="R88" s="7">
        <v>57.84</v>
      </c>
    </row>
    <row r="89" spans="1:18" x14ac:dyDescent="0.25">
      <c r="A89" s="26" t="s">
        <v>207</v>
      </c>
      <c r="B89" s="27"/>
      <c r="C89" s="28" t="s">
        <v>208</v>
      </c>
      <c r="D89" s="29"/>
      <c r="E89" s="27"/>
      <c r="F89" s="5" t="s">
        <v>20</v>
      </c>
      <c r="G89" s="30" t="s">
        <v>21</v>
      </c>
      <c r="H89" s="27"/>
      <c r="I89" s="5" t="s">
        <v>103</v>
      </c>
      <c r="J89" s="5" t="s">
        <v>27</v>
      </c>
      <c r="K89" s="6">
        <v>28.92</v>
      </c>
      <c r="L89" s="5">
        <v>1</v>
      </c>
      <c r="M89" s="30">
        <v>0</v>
      </c>
      <c r="N89" s="27"/>
      <c r="O89" s="31">
        <v>0</v>
      </c>
      <c r="P89" s="29"/>
      <c r="Q89" s="27"/>
      <c r="R89" s="7">
        <v>28.92</v>
      </c>
    </row>
    <row r="90" spans="1:18" x14ac:dyDescent="0.25">
      <c r="A90" s="26" t="s">
        <v>209</v>
      </c>
      <c r="B90" s="27"/>
      <c r="C90" s="28" t="s">
        <v>210</v>
      </c>
      <c r="D90" s="29"/>
      <c r="E90" s="27"/>
      <c r="F90" s="5" t="s">
        <v>20</v>
      </c>
      <c r="G90" s="30" t="s">
        <v>21</v>
      </c>
      <c r="H90" s="27"/>
      <c r="I90" s="5" t="s">
        <v>211</v>
      </c>
      <c r="J90" s="5" t="s">
        <v>27</v>
      </c>
      <c r="K90" s="6">
        <v>28.92</v>
      </c>
      <c r="L90" s="5">
        <v>1</v>
      </c>
      <c r="M90" s="30">
        <v>0</v>
      </c>
      <c r="N90" s="27"/>
      <c r="O90" s="31">
        <v>0</v>
      </c>
      <c r="P90" s="29"/>
      <c r="Q90" s="27"/>
      <c r="R90" s="7">
        <v>28.92</v>
      </c>
    </row>
    <row r="91" spans="1:18" x14ac:dyDescent="0.25">
      <c r="A91" s="26" t="s">
        <v>212</v>
      </c>
      <c r="B91" s="27"/>
      <c r="C91" s="28" t="s">
        <v>213</v>
      </c>
      <c r="D91" s="29"/>
      <c r="E91" s="27"/>
      <c r="F91" s="5" t="s">
        <v>20</v>
      </c>
      <c r="G91" s="30" t="s">
        <v>21</v>
      </c>
      <c r="H91" s="27"/>
      <c r="I91" s="5" t="s">
        <v>214</v>
      </c>
      <c r="J91" s="5" t="s">
        <v>27</v>
      </c>
      <c r="K91" s="6">
        <v>28.92</v>
      </c>
      <c r="L91" s="5">
        <v>1</v>
      </c>
      <c r="M91" s="30">
        <v>0</v>
      </c>
      <c r="N91" s="27"/>
      <c r="O91" s="31">
        <v>0</v>
      </c>
      <c r="P91" s="29"/>
      <c r="Q91" s="27"/>
      <c r="R91" s="7">
        <v>28.92</v>
      </c>
    </row>
    <row r="92" spans="1:18" x14ac:dyDescent="0.25">
      <c r="A92" s="26" t="s">
        <v>215</v>
      </c>
      <c r="B92" s="27"/>
      <c r="C92" s="28" t="s">
        <v>216</v>
      </c>
      <c r="D92" s="29"/>
      <c r="E92" s="27"/>
      <c r="F92" s="5" t="s">
        <v>20</v>
      </c>
      <c r="G92" s="30" t="s">
        <v>21</v>
      </c>
      <c r="H92" s="27"/>
      <c r="I92" s="5" t="s">
        <v>81</v>
      </c>
      <c r="J92" s="5" t="s">
        <v>27</v>
      </c>
      <c r="K92" s="6">
        <v>28.92</v>
      </c>
      <c r="L92" s="5">
        <v>1</v>
      </c>
      <c r="M92" s="30">
        <v>0</v>
      </c>
      <c r="N92" s="27"/>
      <c r="O92" s="31">
        <v>0</v>
      </c>
      <c r="P92" s="29"/>
      <c r="Q92" s="27"/>
      <c r="R92" s="7">
        <v>28.92</v>
      </c>
    </row>
    <row r="93" spans="1:18" x14ac:dyDescent="0.25">
      <c r="A93" s="26" t="s">
        <v>217</v>
      </c>
      <c r="B93" s="27"/>
      <c r="C93" s="28" t="s">
        <v>218</v>
      </c>
      <c r="D93" s="29"/>
      <c r="E93" s="27"/>
      <c r="F93" s="5" t="s">
        <v>20</v>
      </c>
      <c r="G93" s="30" t="s">
        <v>21</v>
      </c>
      <c r="H93" s="27"/>
      <c r="I93" s="5" t="s">
        <v>26</v>
      </c>
      <c r="J93" s="5" t="s">
        <v>27</v>
      </c>
      <c r="K93" s="6">
        <v>28.92</v>
      </c>
      <c r="L93" s="5">
        <v>1</v>
      </c>
      <c r="M93" s="30">
        <v>1</v>
      </c>
      <c r="N93" s="27"/>
      <c r="O93" s="31">
        <v>28.92</v>
      </c>
      <c r="P93" s="29"/>
      <c r="Q93" s="27"/>
      <c r="R93" s="7">
        <v>57.84</v>
      </c>
    </row>
    <row r="94" spans="1:18" x14ac:dyDescent="0.25">
      <c r="A94" s="26" t="s">
        <v>219</v>
      </c>
      <c r="B94" s="27"/>
      <c r="C94" s="28" t="s">
        <v>220</v>
      </c>
      <c r="D94" s="29"/>
      <c r="E94" s="27"/>
      <c r="F94" s="5" t="s">
        <v>20</v>
      </c>
      <c r="G94" s="30" t="s">
        <v>21</v>
      </c>
      <c r="H94" s="27"/>
      <c r="I94" s="5" t="s">
        <v>44</v>
      </c>
      <c r="J94" s="5" t="s">
        <v>27</v>
      </c>
      <c r="K94" s="6">
        <v>28.92</v>
      </c>
      <c r="L94" s="5">
        <v>1</v>
      </c>
      <c r="M94" s="30">
        <v>1</v>
      </c>
      <c r="N94" s="27"/>
      <c r="O94" s="31">
        <v>28.92</v>
      </c>
      <c r="P94" s="29"/>
      <c r="Q94" s="27"/>
      <c r="R94" s="7">
        <v>57.84</v>
      </c>
    </row>
    <row r="95" spans="1:18" x14ac:dyDescent="0.25">
      <c r="A95" s="26" t="s">
        <v>221</v>
      </c>
      <c r="B95" s="27"/>
      <c r="C95" s="28" t="s">
        <v>222</v>
      </c>
      <c r="D95" s="29"/>
      <c r="E95" s="27"/>
      <c r="F95" s="5" t="s">
        <v>20</v>
      </c>
      <c r="G95" s="30" t="s">
        <v>21</v>
      </c>
      <c r="H95" s="27"/>
      <c r="I95" s="5" t="s">
        <v>223</v>
      </c>
      <c r="J95" s="5" t="s">
        <v>27</v>
      </c>
      <c r="K95" s="6">
        <v>28.92</v>
      </c>
      <c r="L95" s="5">
        <v>1</v>
      </c>
      <c r="M95" s="30">
        <v>0</v>
      </c>
      <c r="N95" s="27"/>
      <c r="O95" s="31">
        <v>0</v>
      </c>
      <c r="P95" s="29"/>
      <c r="Q95" s="27"/>
      <c r="R95" s="7">
        <v>28.92</v>
      </c>
    </row>
    <row r="96" spans="1:18" x14ac:dyDescent="0.25">
      <c r="A96" s="26" t="s">
        <v>224</v>
      </c>
      <c r="B96" s="27"/>
      <c r="C96" s="28" t="s">
        <v>225</v>
      </c>
      <c r="D96" s="29"/>
      <c r="E96" s="27"/>
      <c r="F96" s="5" t="s">
        <v>44</v>
      </c>
      <c r="G96" s="30" t="s">
        <v>21</v>
      </c>
      <c r="H96" s="27"/>
      <c r="I96" s="5" t="s">
        <v>226</v>
      </c>
      <c r="J96" s="5" t="s">
        <v>27</v>
      </c>
      <c r="K96" s="6">
        <v>28.92</v>
      </c>
      <c r="L96" s="5">
        <v>1</v>
      </c>
      <c r="M96" s="30">
        <v>0</v>
      </c>
      <c r="N96" s="27"/>
      <c r="O96" s="31">
        <v>0</v>
      </c>
      <c r="P96" s="29"/>
      <c r="Q96" s="27"/>
      <c r="R96" s="7">
        <v>28.92</v>
      </c>
    </row>
    <row r="97" spans="1:18" x14ac:dyDescent="0.25">
      <c r="A97" s="26" t="s">
        <v>227</v>
      </c>
      <c r="B97" s="27"/>
      <c r="C97" s="28" t="s">
        <v>228</v>
      </c>
      <c r="D97" s="29"/>
      <c r="E97" s="27"/>
      <c r="F97" s="5" t="s">
        <v>20</v>
      </c>
      <c r="G97" s="30" t="s">
        <v>21</v>
      </c>
      <c r="H97" s="27"/>
      <c r="I97" s="5" t="s">
        <v>140</v>
      </c>
      <c r="J97" s="5" t="s">
        <v>27</v>
      </c>
      <c r="K97" s="6">
        <v>28.92</v>
      </c>
      <c r="L97" s="5">
        <v>1</v>
      </c>
      <c r="M97" s="30">
        <v>0</v>
      </c>
      <c r="N97" s="27"/>
      <c r="O97" s="31">
        <v>0</v>
      </c>
      <c r="P97" s="29"/>
      <c r="Q97" s="27"/>
      <c r="R97" s="7">
        <v>28.92</v>
      </c>
    </row>
    <row r="98" spans="1:18" x14ac:dyDescent="0.25">
      <c r="A98" s="32" t="s">
        <v>229</v>
      </c>
      <c r="B98" s="29"/>
      <c r="C98" s="29"/>
      <c r="D98" s="29"/>
      <c r="E98" s="27"/>
      <c r="F98" s="32" t="s">
        <v>230</v>
      </c>
      <c r="G98" s="29"/>
      <c r="H98" s="27"/>
      <c r="I98" s="8" t="s">
        <v>6</v>
      </c>
      <c r="J98" s="8" t="s">
        <v>6</v>
      </c>
      <c r="K98" s="9">
        <v>2450.36</v>
      </c>
      <c r="L98" s="10">
        <v>83</v>
      </c>
      <c r="M98" s="33">
        <v>15</v>
      </c>
      <c r="N98" s="27"/>
      <c r="O98" s="34">
        <v>433.8</v>
      </c>
      <c r="P98" s="29"/>
      <c r="Q98" s="27"/>
      <c r="R98" s="9">
        <v>2884.16</v>
      </c>
    </row>
  </sheetData>
  <mergeCells count="437">
    <mergeCell ref="A98:E98"/>
    <mergeCell ref="F98:H98"/>
    <mergeCell ref="M98:N98"/>
    <mergeCell ref="O98:Q98"/>
    <mergeCell ref="A97:B97"/>
    <mergeCell ref="C97:E97"/>
    <mergeCell ref="G97:H97"/>
    <mergeCell ref="M97:N97"/>
    <mergeCell ref="O97:Q97"/>
    <mergeCell ref="A96:B96"/>
    <mergeCell ref="C96:E96"/>
    <mergeCell ref="G96:H96"/>
    <mergeCell ref="M96:N96"/>
    <mergeCell ref="O96:Q96"/>
    <mergeCell ref="A95:B95"/>
    <mergeCell ref="C95:E95"/>
    <mergeCell ref="G95:H95"/>
    <mergeCell ref="M95:N95"/>
    <mergeCell ref="O95:Q95"/>
    <mergeCell ref="A94:B94"/>
    <mergeCell ref="C94:E94"/>
    <mergeCell ref="G94:H94"/>
    <mergeCell ref="M94:N94"/>
    <mergeCell ref="O94:Q94"/>
    <mergeCell ref="A93:B93"/>
    <mergeCell ref="C93:E93"/>
    <mergeCell ref="G93:H93"/>
    <mergeCell ref="M93:N93"/>
    <mergeCell ref="O93:Q93"/>
    <mergeCell ref="A92:B92"/>
    <mergeCell ref="C92:E92"/>
    <mergeCell ref="G92:H92"/>
    <mergeCell ref="M92:N92"/>
    <mergeCell ref="O92:Q92"/>
    <mergeCell ref="A91:B91"/>
    <mergeCell ref="C91:E91"/>
    <mergeCell ref="G91:H91"/>
    <mergeCell ref="M91:N91"/>
    <mergeCell ref="O91:Q91"/>
    <mergeCell ref="A90:B90"/>
    <mergeCell ref="C90:E90"/>
    <mergeCell ref="G90:H90"/>
    <mergeCell ref="M90:N90"/>
    <mergeCell ref="O90:Q90"/>
    <mergeCell ref="A89:B89"/>
    <mergeCell ref="C89:E89"/>
    <mergeCell ref="G89:H89"/>
    <mergeCell ref="M89:N89"/>
    <mergeCell ref="O89:Q89"/>
    <mergeCell ref="A88:B88"/>
    <mergeCell ref="C88:E88"/>
    <mergeCell ref="G88:H88"/>
    <mergeCell ref="M88:N88"/>
    <mergeCell ref="O88:Q88"/>
    <mergeCell ref="A87:B87"/>
    <mergeCell ref="C87:E87"/>
    <mergeCell ref="G87:H87"/>
    <mergeCell ref="M87:N87"/>
    <mergeCell ref="O87:Q87"/>
    <mergeCell ref="A86:B86"/>
    <mergeCell ref="C86:E86"/>
    <mergeCell ref="G86:H86"/>
    <mergeCell ref="M86:N86"/>
    <mergeCell ref="O86:Q86"/>
    <mergeCell ref="A85:B85"/>
    <mergeCell ref="C85:E85"/>
    <mergeCell ref="G85:H85"/>
    <mergeCell ref="M85:N85"/>
    <mergeCell ref="O85:Q85"/>
    <mergeCell ref="A84:B84"/>
    <mergeCell ref="C84:E84"/>
    <mergeCell ref="G84:H84"/>
    <mergeCell ref="M84:N84"/>
    <mergeCell ref="O84:Q84"/>
    <mergeCell ref="A83:B83"/>
    <mergeCell ref="C83:E83"/>
    <mergeCell ref="G83:H83"/>
    <mergeCell ref="M83:N83"/>
    <mergeCell ref="O83:Q83"/>
    <mergeCell ref="A82:B82"/>
    <mergeCell ref="C82:E82"/>
    <mergeCell ref="G82:H82"/>
    <mergeCell ref="M82:N82"/>
    <mergeCell ref="O82:Q82"/>
    <mergeCell ref="A81:B81"/>
    <mergeCell ref="C81:E81"/>
    <mergeCell ref="G81:H81"/>
    <mergeCell ref="M81:N81"/>
    <mergeCell ref="O81:Q81"/>
    <mergeCell ref="A80:B80"/>
    <mergeCell ref="C80:E80"/>
    <mergeCell ref="G80:H80"/>
    <mergeCell ref="M80:N80"/>
    <mergeCell ref="O80:Q80"/>
    <mergeCell ref="A79:B79"/>
    <mergeCell ref="C79:E79"/>
    <mergeCell ref="G79:H79"/>
    <mergeCell ref="M79:N79"/>
    <mergeCell ref="O79:Q79"/>
    <mergeCell ref="A78:B78"/>
    <mergeCell ref="C78:E78"/>
    <mergeCell ref="G78:H78"/>
    <mergeCell ref="M78:N78"/>
    <mergeCell ref="O78:Q78"/>
    <mergeCell ref="A77:B77"/>
    <mergeCell ref="C77:E77"/>
    <mergeCell ref="G77:H77"/>
    <mergeCell ref="M77:N77"/>
    <mergeCell ref="O77:Q77"/>
    <mergeCell ref="A76:B76"/>
    <mergeCell ref="C76:E76"/>
    <mergeCell ref="G76:H76"/>
    <mergeCell ref="M76:N76"/>
    <mergeCell ref="O76:Q76"/>
    <mergeCell ref="A75:B75"/>
    <mergeCell ref="C75:E75"/>
    <mergeCell ref="G75:H75"/>
    <mergeCell ref="M75:N75"/>
    <mergeCell ref="O75:Q75"/>
    <mergeCell ref="A74:B74"/>
    <mergeCell ref="C74:E74"/>
    <mergeCell ref="G74:H74"/>
    <mergeCell ref="M74:N74"/>
    <mergeCell ref="O74:Q74"/>
    <mergeCell ref="A73:B73"/>
    <mergeCell ref="C73:E73"/>
    <mergeCell ref="G73:H73"/>
    <mergeCell ref="M73:N73"/>
    <mergeCell ref="O73:Q73"/>
    <mergeCell ref="A72:B72"/>
    <mergeCell ref="C72:E72"/>
    <mergeCell ref="G72:H72"/>
    <mergeCell ref="M72:N72"/>
    <mergeCell ref="O72:Q72"/>
    <mergeCell ref="A71:B71"/>
    <mergeCell ref="C71:E71"/>
    <mergeCell ref="G71:H71"/>
    <mergeCell ref="M71:N71"/>
    <mergeCell ref="O71:Q71"/>
    <mergeCell ref="A70:B70"/>
    <mergeCell ref="C70:E70"/>
    <mergeCell ref="G70:H70"/>
    <mergeCell ref="M70:N70"/>
    <mergeCell ref="O70:Q70"/>
    <mergeCell ref="A69:B69"/>
    <mergeCell ref="C69:E69"/>
    <mergeCell ref="G69:H69"/>
    <mergeCell ref="M69:N69"/>
    <mergeCell ref="O69:Q69"/>
    <mergeCell ref="A68:B68"/>
    <mergeCell ref="C68:E68"/>
    <mergeCell ref="G68:H68"/>
    <mergeCell ref="M68:N68"/>
    <mergeCell ref="O68:Q68"/>
    <mergeCell ref="A67:B67"/>
    <mergeCell ref="C67:E67"/>
    <mergeCell ref="G67:H67"/>
    <mergeCell ref="M67:N67"/>
    <mergeCell ref="O67:Q67"/>
    <mergeCell ref="A66:B66"/>
    <mergeCell ref="C66:E66"/>
    <mergeCell ref="G66:H66"/>
    <mergeCell ref="M66:N66"/>
    <mergeCell ref="O66:Q66"/>
    <mergeCell ref="A65:B65"/>
    <mergeCell ref="C65:E65"/>
    <mergeCell ref="G65:H65"/>
    <mergeCell ref="M65:N65"/>
    <mergeCell ref="O65:Q65"/>
    <mergeCell ref="A64:B64"/>
    <mergeCell ref="C64:E64"/>
    <mergeCell ref="G64:H64"/>
    <mergeCell ref="M64:N64"/>
    <mergeCell ref="O64:Q64"/>
    <mergeCell ref="A63:B63"/>
    <mergeCell ref="C63:E63"/>
    <mergeCell ref="G63:H63"/>
    <mergeCell ref="M63:N63"/>
    <mergeCell ref="O63:Q63"/>
    <mergeCell ref="A62:B62"/>
    <mergeCell ref="C62:E62"/>
    <mergeCell ref="G62:H62"/>
    <mergeCell ref="M62:N62"/>
    <mergeCell ref="O62:Q62"/>
    <mergeCell ref="A61:B61"/>
    <mergeCell ref="C61:E61"/>
    <mergeCell ref="G61:H61"/>
    <mergeCell ref="M61:N61"/>
    <mergeCell ref="O61:Q61"/>
    <mergeCell ref="A60:B60"/>
    <mergeCell ref="C60:E60"/>
    <mergeCell ref="G60:H60"/>
    <mergeCell ref="M60:N60"/>
    <mergeCell ref="O60:Q60"/>
    <mergeCell ref="A59:B59"/>
    <mergeCell ref="C59:E59"/>
    <mergeCell ref="G59:H59"/>
    <mergeCell ref="M59:N59"/>
    <mergeCell ref="O59:Q59"/>
    <mergeCell ref="A58:B58"/>
    <mergeCell ref="C58:E58"/>
    <mergeCell ref="G58:H58"/>
    <mergeCell ref="M58:N58"/>
    <mergeCell ref="O58:Q58"/>
    <mergeCell ref="A57:B57"/>
    <mergeCell ref="C57:E57"/>
    <mergeCell ref="G57:H57"/>
    <mergeCell ref="M57:N57"/>
    <mergeCell ref="O57:Q57"/>
    <mergeCell ref="A56:B56"/>
    <mergeCell ref="C56:E56"/>
    <mergeCell ref="G56:H56"/>
    <mergeCell ref="M56:N56"/>
    <mergeCell ref="O56:Q56"/>
    <mergeCell ref="A55:B55"/>
    <mergeCell ref="C55:E55"/>
    <mergeCell ref="G55:H55"/>
    <mergeCell ref="M55:N55"/>
    <mergeCell ref="O55:Q55"/>
    <mergeCell ref="A54:B54"/>
    <mergeCell ref="C54:E54"/>
    <mergeCell ref="G54:H54"/>
    <mergeCell ref="M54:N54"/>
    <mergeCell ref="O54:Q54"/>
    <mergeCell ref="A53:B53"/>
    <mergeCell ref="C53:E53"/>
    <mergeCell ref="G53:H53"/>
    <mergeCell ref="M53:N53"/>
    <mergeCell ref="O53:Q53"/>
    <mergeCell ref="A52:B52"/>
    <mergeCell ref="C52:E52"/>
    <mergeCell ref="G52:H52"/>
    <mergeCell ref="M52:N52"/>
    <mergeCell ref="O52:Q52"/>
    <mergeCell ref="A51:B51"/>
    <mergeCell ref="C51:E51"/>
    <mergeCell ref="G51:H51"/>
    <mergeCell ref="M51:N51"/>
    <mergeCell ref="O51:Q51"/>
    <mergeCell ref="A50:B50"/>
    <mergeCell ref="C50:E50"/>
    <mergeCell ref="G50:H50"/>
    <mergeCell ref="M50:N50"/>
    <mergeCell ref="O50:Q50"/>
    <mergeCell ref="A49:B49"/>
    <mergeCell ref="C49:E49"/>
    <mergeCell ref="G49:H49"/>
    <mergeCell ref="M49:N49"/>
    <mergeCell ref="O49:Q49"/>
    <mergeCell ref="A48:B48"/>
    <mergeCell ref="C48:E48"/>
    <mergeCell ref="G48:H48"/>
    <mergeCell ref="M48:N48"/>
    <mergeCell ref="O48:Q48"/>
    <mergeCell ref="A47:B47"/>
    <mergeCell ref="C47:E47"/>
    <mergeCell ref="G47:H47"/>
    <mergeCell ref="M47:N47"/>
    <mergeCell ref="O47:Q47"/>
    <mergeCell ref="A46:B46"/>
    <mergeCell ref="C46:E46"/>
    <mergeCell ref="G46:H46"/>
    <mergeCell ref="M46:N46"/>
    <mergeCell ref="O46:Q46"/>
    <mergeCell ref="A45:B45"/>
    <mergeCell ref="C45:E45"/>
    <mergeCell ref="G45:H45"/>
    <mergeCell ref="M45:N45"/>
    <mergeCell ref="O45:Q45"/>
    <mergeCell ref="A44:B44"/>
    <mergeCell ref="C44:E44"/>
    <mergeCell ref="G44:H44"/>
    <mergeCell ref="M44:N44"/>
    <mergeCell ref="O44:Q44"/>
    <mergeCell ref="A43:B43"/>
    <mergeCell ref="C43:E43"/>
    <mergeCell ref="G43:H43"/>
    <mergeCell ref="M43:N43"/>
    <mergeCell ref="O43:Q43"/>
    <mergeCell ref="A42:B42"/>
    <mergeCell ref="C42:E42"/>
    <mergeCell ref="G42:H42"/>
    <mergeCell ref="M42:N42"/>
    <mergeCell ref="O42:Q42"/>
    <mergeCell ref="A41:B41"/>
    <mergeCell ref="C41:E41"/>
    <mergeCell ref="G41:H41"/>
    <mergeCell ref="M41:N41"/>
    <mergeCell ref="O41:Q41"/>
    <mergeCell ref="A40:B40"/>
    <mergeCell ref="C40:E40"/>
    <mergeCell ref="G40:H40"/>
    <mergeCell ref="M40:N40"/>
    <mergeCell ref="O40:Q40"/>
    <mergeCell ref="A39:B39"/>
    <mergeCell ref="C39:E39"/>
    <mergeCell ref="G39:H39"/>
    <mergeCell ref="M39:N39"/>
    <mergeCell ref="O39:Q39"/>
    <mergeCell ref="A38:B38"/>
    <mergeCell ref="C38:E38"/>
    <mergeCell ref="G38:H38"/>
    <mergeCell ref="M38:N38"/>
    <mergeCell ref="O38:Q38"/>
    <mergeCell ref="A37:B37"/>
    <mergeCell ref="C37:E37"/>
    <mergeCell ref="G37:H37"/>
    <mergeCell ref="M37:N37"/>
    <mergeCell ref="O37:Q37"/>
    <mergeCell ref="A36:B36"/>
    <mergeCell ref="C36:E36"/>
    <mergeCell ref="G36:H36"/>
    <mergeCell ref="M36:N36"/>
    <mergeCell ref="O36:Q36"/>
    <mergeCell ref="A35:B35"/>
    <mergeCell ref="C35:E35"/>
    <mergeCell ref="G35:H35"/>
    <mergeCell ref="M35:N35"/>
    <mergeCell ref="O35:Q35"/>
    <mergeCell ref="A34:B34"/>
    <mergeCell ref="C34:E34"/>
    <mergeCell ref="G34:H34"/>
    <mergeCell ref="M34:N34"/>
    <mergeCell ref="O34:Q34"/>
    <mergeCell ref="A33:B33"/>
    <mergeCell ref="C33:E33"/>
    <mergeCell ref="G33:H33"/>
    <mergeCell ref="M33:N33"/>
    <mergeCell ref="O33:Q33"/>
    <mergeCell ref="A32:B32"/>
    <mergeCell ref="C32:E32"/>
    <mergeCell ref="G32:H32"/>
    <mergeCell ref="M32:N32"/>
    <mergeCell ref="O32:Q32"/>
    <mergeCell ref="A31:B31"/>
    <mergeCell ref="C31:E31"/>
    <mergeCell ref="G31:H31"/>
    <mergeCell ref="M31:N31"/>
    <mergeCell ref="O31:Q31"/>
    <mergeCell ref="A30:B30"/>
    <mergeCell ref="C30:E30"/>
    <mergeCell ref="G30:H30"/>
    <mergeCell ref="M30:N30"/>
    <mergeCell ref="O30:Q30"/>
    <mergeCell ref="A29:B29"/>
    <mergeCell ref="C29:E29"/>
    <mergeCell ref="G29:H29"/>
    <mergeCell ref="M29:N29"/>
    <mergeCell ref="O29:Q29"/>
    <mergeCell ref="A28:B28"/>
    <mergeCell ref="C28:E28"/>
    <mergeCell ref="G28:H28"/>
    <mergeCell ref="M28:N28"/>
    <mergeCell ref="O28:Q28"/>
    <mergeCell ref="A27:B27"/>
    <mergeCell ref="C27:E27"/>
    <mergeCell ref="G27:H27"/>
    <mergeCell ref="M27:N27"/>
    <mergeCell ref="O27:Q27"/>
    <mergeCell ref="A26:B26"/>
    <mergeCell ref="C26:E26"/>
    <mergeCell ref="G26:H26"/>
    <mergeCell ref="M26:N26"/>
    <mergeCell ref="O26:Q26"/>
    <mergeCell ref="A25:B25"/>
    <mergeCell ref="C25:E25"/>
    <mergeCell ref="G25:H25"/>
    <mergeCell ref="M25:N25"/>
    <mergeCell ref="O25:Q25"/>
    <mergeCell ref="A24:B24"/>
    <mergeCell ref="C24:E24"/>
    <mergeCell ref="G24:H24"/>
    <mergeCell ref="M24:N24"/>
    <mergeCell ref="O24:Q24"/>
    <mergeCell ref="A23:B23"/>
    <mergeCell ref="C23:E23"/>
    <mergeCell ref="G23:H23"/>
    <mergeCell ref="M23:N23"/>
    <mergeCell ref="O23:Q23"/>
    <mergeCell ref="A22:B22"/>
    <mergeCell ref="C22:E22"/>
    <mergeCell ref="G22:H22"/>
    <mergeCell ref="M22:N22"/>
    <mergeCell ref="O22:Q22"/>
    <mergeCell ref="A21:B21"/>
    <mergeCell ref="C21:E21"/>
    <mergeCell ref="G21:H21"/>
    <mergeCell ref="M21:N21"/>
    <mergeCell ref="O21:Q21"/>
    <mergeCell ref="A20:B20"/>
    <mergeCell ref="C20:E20"/>
    <mergeCell ref="G20:H20"/>
    <mergeCell ref="M20:N20"/>
    <mergeCell ref="O20:Q20"/>
    <mergeCell ref="A19:B19"/>
    <mergeCell ref="C19:E19"/>
    <mergeCell ref="G19:H19"/>
    <mergeCell ref="M19:N19"/>
    <mergeCell ref="O19:Q19"/>
    <mergeCell ref="A18:B18"/>
    <mergeCell ref="C18:E18"/>
    <mergeCell ref="G18:H18"/>
    <mergeCell ref="M18:N18"/>
    <mergeCell ref="O18:Q18"/>
    <mergeCell ref="A17:B17"/>
    <mergeCell ref="C17:E17"/>
    <mergeCell ref="G17:H17"/>
    <mergeCell ref="M17:N17"/>
    <mergeCell ref="O17:Q17"/>
    <mergeCell ref="A16:B16"/>
    <mergeCell ref="C16:E16"/>
    <mergeCell ref="G16:H16"/>
    <mergeCell ref="M16:N16"/>
    <mergeCell ref="O16:Q16"/>
    <mergeCell ref="A15:B15"/>
    <mergeCell ref="C15:E15"/>
    <mergeCell ref="G15:H15"/>
    <mergeCell ref="M15:N15"/>
    <mergeCell ref="O15:Q15"/>
    <mergeCell ref="A14:B14"/>
    <mergeCell ref="C14:E14"/>
    <mergeCell ref="G14:H14"/>
    <mergeCell ref="M14:N14"/>
    <mergeCell ref="O14:Q14"/>
    <mergeCell ref="A12:J12"/>
    <mergeCell ref="M12:N12"/>
    <mergeCell ref="O12:Q12"/>
    <mergeCell ref="A13:B13"/>
    <mergeCell ref="C13:E13"/>
    <mergeCell ref="G13:H13"/>
    <mergeCell ref="M13:N13"/>
    <mergeCell ref="O13:Q13"/>
    <mergeCell ref="A1:C3"/>
    <mergeCell ref="E1:O4"/>
    <mergeCell ref="Q2:T2"/>
    <mergeCell ref="B7:G7"/>
    <mergeCell ref="B9:M9"/>
  </mergeCells>
  <hyperlinks>
    <hyperlink ref="C14" r:id="rId1" xr:uid="{00000000-0004-0000-0000-000000000000}"/>
    <hyperlink ref="C15" r:id="rId2" xr:uid="{00000000-0004-0000-0000-000001000000}"/>
    <hyperlink ref="C16" r:id="rId3" xr:uid="{00000000-0004-0000-0000-000002000000}"/>
    <hyperlink ref="C17" r:id="rId4" xr:uid="{00000000-0004-0000-0000-000003000000}"/>
    <hyperlink ref="C18" r:id="rId5" xr:uid="{00000000-0004-0000-0000-000004000000}"/>
    <hyperlink ref="C19" r:id="rId6" xr:uid="{00000000-0004-0000-0000-000005000000}"/>
    <hyperlink ref="C20" r:id="rId7" xr:uid="{00000000-0004-0000-0000-000006000000}"/>
    <hyperlink ref="C21" r:id="rId8" xr:uid="{00000000-0004-0000-0000-000007000000}"/>
    <hyperlink ref="C22" r:id="rId9" xr:uid="{00000000-0004-0000-0000-000008000000}"/>
    <hyperlink ref="C23" r:id="rId10" xr:uid="{00000000-0004-0000-0000-000009000000}"/>
    <hyperlink ref="C24" r:id="rId11" xr:uid="{00000000-0004-0000-0000-00000A000000}"/>
    <hyperlink ref="C25" r:id="rId12" xr:uid="{00000000-0004-0000-0000-00000B000000}"/>
    <hyperlink ref="C26" r:id="rId13" xr:uid="{00000000-0004-0000-0000-00000C000000}"/>
    <hyperlink ref="C27" r:id="rId14" xr:uid="{00000000-0004-0000-0000-00000D000000}"/>
    <hyperlink ref="C28" r:id="rId15" xr:uid="{00000000-0004-0000-0000-00000E000000}"/>
    <hyperlink ref="C29" r:id="rId16" xr:uid="{00000000-0004-0000-0000-00000F000000}"/>
    <hyperlink ref="C30" r:id="rId17" xr:uid="{00000000-0004-0000-0000-000010000000}"/>
    <hyperlink ref="C31" r:id="rId18" xr:uid="{00000000-0004-0000-0000-000011000000}"/>
    <hyperlink ref="C32" r:id="rId19" xr:uid="{00000000-0004-0000-0000-000012000000}"/>
    <hyperlink ref="C33" r:id="rId20" xr:uid="{00000000-0004-0000-0000-000013000000}"/>
    <hyperlink ref="C34" r:id="rId21" xr:uid="{00000000-0004-0000-0000-000014000000}"/>
    <hyperlink ref="C35" r:id="rId22" xr:uid="{00000000-0004-0000-0000-000015000000}"/>
    <hyperlink ref="C36" r:id="rId23" xr:uid="{00000000-0004-0000-0000-000016000000}"/>
    <hyperlink ref="C37" r:id="rId24" xr:uid="{00000000-0004-0000-0000-000017000000}"/>
    <hyperlink ref="C38" r:id="rId25" xr:uid="{00000000-0004-0000-0000-000018000000}"/>
    <hyperlink ref="C39" r:id="rId26" xr:uid="{00000000-0004-0000-0000-000019000000}"/>
    <hyperlink ref="C40" r:id="rId27" xr:uid="{00000000-0004-0000-0000-00001A000000}"/>
    <hyperlink ref="C41" r:id="rId28" xr:uid="{00000000-0004-0000-0000-00001B000000}"/>
    <hyperlink ref="C42" r:id="rId29" xr:uid="{00000000-0004-0000-0000-00001C000000}"/>
    <hyperlink ref="C43" r:id="rId30" xr:uid="{00000000-0004-0000-0000-00001D000000}"/>
    <hyperlink ref="C44" r:id="rId31" xr:uid="{00000000-0004-0000-0000-00001E000000}"/>
    <hyperlink ref="C45" r:id="rId32" xr:uid="{00000000-0004-0000-0000-00001F000000}"/>
    <hyperlink ref="C46" r:id="rId33" xr:uid="{00000000-0004-0000-0000-000020000000}"/>
    <hyperlink ref="C47" r:id="rId34" xr:uid="{00000000-0004-0000-0000-000021000000}"/>
    <hyperlink ref="C48" r:id="rId35" xr:uid="{00000000-0004-0000-0000-000022000000}"/>
    <hyperlink ref="C49" r:id="rId36" xr:uid="{00000000-0004-0000-0000-000023000000}"/>
    <hyperlink ref="C50" r:id="rId37" xr:uid="{00000000-0004-0000-0000-000024000000}"/>
    <hyperlink ref="C51" r:id="rId38" xr:uid="{00000000-0004-0000-0000-000025000000}"/>
    <hyperlink ref="C52" r:id="rId39" xr:uid="{00000000-0004-0000-0000-000026000000}"/>
    <hyperlink ref="C53" r:id="rId40" xr:uid="{00000000-0004-0000-0000-000027000000}"/>
    <hyperlink ref="C54" r:id="rId41" xr:uid="{00000000-0004-0000-0000-000028000000}"/>
    <hyperlink ref="C55" r:id="rId42" xr:uid="{00000000-0004-0000-0000-000029000000}"/>
    <hyperlink ref="C56" r:id="rId43" xr:uid="{00000000-0004-0000-0000-00002A000000}"/>
    <hyperlink ref="C57" r:id="rId44" xr:uid="{00000000-0004-0000-0000-00002B000000}"/>
    <hyperlink ref="C58" r:id="rId45" xr:uid="{00000000-0004-0000-0000-00002C000000}"/>
    <hyperlink ref="C59" r:id="rId46" xr:uid="{00000000-0004-0000-0000-00002D000000}"/>
    <hyperlink ref="C60" r:id="rId47" xr:uid="{00000000-0004-0000-0000-00002E000000}"/>
    <hyperlink ref="C61" r:id="rId48" xr:uid="{00000000-0004-0000-0000-00002F000000}"/>
    <hyperlink ref="C62" r:id="rId49" xr:uid="{00000000-0004-0000-0000-000030000000}"/>
    <hyperlink ref="C63" r:id="rId50" xr:uid="{00000000-0004-0000-0000-000031000000}"/>
    <hyperlink ref="C64" r:id="rId51" xr:uid="{00000000-0004-0000-0000-000032000000}"/>
    <hyperlink ref="C65" r:id="rId52" xr:uid="{00000000-0004-0000-0000-000033000000}"/>
    <hyperlink ref="C66" r:id="rId53" xr:uid="{00000000-0004-0000-0000-000034000000}"/>
    <hyperlink ref="C67" r:id="rId54" xr:uid="{00000000-0004-0000-0000-000035000000}"/>
    <hyperlink ref="C68" r:id="rId55" xr:uid="{00000000-0004-0000-0000-000036000000}"/>
    <hyperlink ref="C69" r:id="rId56" xr:uid="{00000000-0004-0000-0000-000037000000}"/>
    <hyperlink ref="C70" r:id="rId57" xr:uid="{00000000-0004-0000-0000-000038000000}"/>
    <hyperlink ref="C71" r:id="rId58" xr:uid="{00000000-0004-0000-0000-000039000000}"/>
    <hyperlink ref="C72" r:id="rId59" xr:uid="{00000000-0004-0000-0000-00003A000000}"/>
    <hyperlink ref="C73" r:id="rId60" xr:uid="{00000000-0004-0000-0000-00003B000000}"/>
    <hyperlink ref="C74" r:id="rId61" xr:uid="{00000000-0004-0000-0000-00003C000000}"/>
    <hyperlink ref="C75" r:id="rId62" xr:uid="{00000000-0004-0000-0000-00003D000000}"/>
    <hyperlink ref="C76" r:id="rId63" xr:uid="{00000000-0004-0000-0000-00003E000000}"/>
    <hyperlink ref="C77" r:id="rId64" xr:uid="{00000000-0004-0000-0000-00003F000000}"/>
    <hyperlink ref="C78" r:id="rId65" xr:uid="{00000000-0004-0000-0000-000040000000}"/>
    <hyperlink ref="C79" r:id="rId66" xr:uid="{00000000-0004-0000-0000-000041000000}"/>
    <hyperlink ref="C80" r:id="rId67" xr:uid="{00000000-0004-0000-0000-000042000000}"/>
    <hyperlink ref="C81" r:id="rId68" xr:uid="{00000000-0004-0000-0000-000043000000}"/>
    <hyperlink ref="C82" r:id="rId69" xr:uid="{00000000-0004-0000-0000-000044000000}"/>
    <hyperlink ref="C83" r:id="rId70" xr:uid="{00000000-0004-0000-0000-000045000000}"/>
    <hyperlink ref="C84" r:id="rId71" xr:uid="{00000000-0004-0000-0000-000046000000}"/>
    <hyperlink ref="C85" r:id="rId72" xr:uid="{00000000-0004-0000-0000-000047000000}"/>
    <hyperlink ref="C86" r:id="rId73" xr:uid="{00000000-0004-0000-0000-000048000000}"/>
    <hyperlink ref="C87" r:id="rId74" xr:uid="{00000000-0004-0000-0000-000049000000}"/>
    <hyperlink ref="C88" r:id="rId75" xr:uid="{00000000-0004-0000-0000-00004A000000}"/>
    <hyperlink ref="C89" r:id="rId76" xr:uid="{00000000-0004-0000-0000-00004B000000}"/>
    <hyperlink ref="C90" r:id="rId77" xr:uid="{00000000-0004-0000-0000-00004C000000}"/>
    <hyperlink ref="C91" r:id="rId78" xr:uid="{00000000-0004-0000-0000-00004D000000}"/>
    <hyperlink ref="C92" r:id="rId79" xr:uid="{00000000-0004-0000-0000-00004E000000}"/>
    <hyperlink ref="C93" r:id="rId80" xr:uid="{00000000-0004-0000-0000-00004F000000}"/>
    <hyperlink ref="C94" r:id="rId81" xr:uid="{00000000-0004-0000-0000-000050000000}"/>
    <hyperlink ref="C95" r:id="rId82" xr:uid="{00000000-0004-0000-0000-000051000000}"/>
    <hyperlink ref="C96" r:id="rId83" xr:uid="{00000000-0004-0000-0000-000052000000}"/>
    <hyperlink ref="C97" r:id="rId84" xr:uid="{00000000-0004-0000-0000-000053000000}"/>
  </hyperlinks>
  <pageMargins left="0.25" right="0.25" top="0.25" bottom="0.25" header="0.25" footer="0.25"/>
  <pageSetup paperSize="0" orientation="landscape" horizontalDpi="300" verticalDpi="300"/>
  <headerFooter alignWithMargins="0"/>
  <drawing r:id="rId8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4573A-BEAB-45F8-81C3-323BF9159A88}">
  <dimension ref="A1:R84"/>
  <sheetViews>
    <sheetView tabSelected="1" topLeftCell="A45" workbookViewId="0">
      <selection activeCell="P2" sqref="P2:P84"/>
    </sheetView>
  </sheetViews>
  <sheetFormatPr defaultRowHeight="15" x14ac:dyDescent="0.25"/>
  <cols>
    <col min="1" max="1" width="22.7109375" style="37" bestFit="1" customWidth="1"/>
    <col min="2" max="3" width="22.7109375" style="37" customWidth="1"/>
    <col min="4" max="4" width="11.28515625" style="37" bestFit="1" customWidth="1"/>
    <col min="5" max="5" width="13.42578125" style="37" bestFit="1" customWidth="1"/>
    <col min="6" max="6" width="8.42578125" style="37" bestFit="1" customWidth="1"/>
    <col min="7" max="7" width="8" style="37" customWidth="1"/>
    <col min="8" max="8" width="8.28515625" style="37" bestFit="1" customWidth="1"/>
    <col min="9" max="9" width="7.5703125" style="37" bestFit="1" customWidth="1"/>
    <col min="10" max="10" width="6.85546875" style="37" bestFit="1" customWidth="1"/>
    <col min="11" max="11" width="9.42578125" style="37" bestFit="1" customWidth="1"/>
    <col min="12" max="12" width="10.5703125" style="37" bestFit="1" customWidth="1"/>
    <col min="13" max="13" width="10.7109375" style="37" bestFit="1" customWidth="1"/>
    <col min="14" max="14" width="8.5703125" style="37" bestFit="1" customWidth="1"/>
    <col min="15" max="15" width="23.7109375" style="37" bestFit="1" customWidth="1"/>
    <col min="16" max="16" width="23.140625" style="37" bestFit="1" customWidth="1"/>
    <col min="17" max="17" width="13.140625" style="37" bestFit="1" customWidth="1"/>
    <col min="18" max="16384" width="9.140625" style="37"/>
  </cols>
  <sheetData>
    <row r="1" spans="1:18" ht="15" customHeight="1" x14ac:dyDescent="0.25">
      <c r="A1" s="35" t="s">
        <v>7</v>
      </c>
      <c r="B1" s="35"/>
      <c r="C1" s="35"/>
      <c r="D1" s="35" t="s">
        <v>8</v>
      </c>
      <c r="E1" s="35"/>
      <c r="F1" s="35" t="s">
        <v>9</v>
      </c>
      <c r="G1" s="35" t="s">
        <v>10</v>
      </c>
      <c r="H1" s="35" t="s">
        <v>11</v>
      </c>
      <c r="I1" s="36" t="s">
        <v>12</v>
      </c>
      <c r="J1" s="36" t="s">
        <v>13</v>
      </c>
      <c r="K1" s="36" t="s">
        <v>14</v>
      </c>
      <c r="L1" s="36" t="s">
        <v>15</v>
      </c>
      <c r="M1" s="36" t="s">
        <v>16</v>
      </c>
      <c r="N1" s="36" t="s">
        <v>17</v>
      </c>
    </row>
    <row r="2" spans="1:18" ht="15" customHeight="1" x14ac:dyDescent="0.25">
      <c r="A2" s="38" t="s">
        <v>318</v>
      </c>
      <c r="B2" s="38" t="s">
        <v>319</v>
      </c>
      <c r="C2" s="38" t="str">
        <f>CONCATENATE(B2," ",A2)</f>
        <v>REBECCA ASHWORTH</v>
      </c>
      <c r="D2" s="42" t="s">
        <v>31</v>
      </c>
      <c r="E2" s="37" t="s">
        <v>234</v>
      </c>
      <c r="F2" s="41">
        <v>46054</v>
      </c>
      <c r="G2" s="40">
        <v>99991231</v>
      </c>
      <c r="H2" s="40">
        <v>20260105</v>
      </c>
      <c r="I2" s="38" t="s">
        <v>27</v>
      </c>
      <c r="J2" s="39">
        <v>28.92</v>
      </c>
      <c r="K2" s="38">
        <v>1</v>
      </c>
      <c r="L2" s="38">
        <v>0</v>
      </c>
      <c r="M2" s="39">
        <v>0</v>
      </c>
      <c r="N2" s="39">
        <v>28.92</v>
      </c>
      <c r="O2" s="37" t="s">
        <v>232</v>
      </c>
      <c r="P2" s="37" t="s">
        <v>231</v>
      </c>
      <c r="Q2" s="37" t="s">
        <v>317</v>
      </c>
      <c r="R2" s="37">
        <v>16170994</v>
      </c>
    </row>
    <row r="3" spans="1:18" ht="15" customHeight="1" x14ac:dyDescent="0.25">
      <c r="A3" s="38" t="s">
        <v>320</v>
      </c>
      <c r="B3" s="38" t="s">
        <v>321</v>
      </c>
      <c r="C3" s="38" t="str">
        <f t="shared" ref="C3:C66" si="0">CONCATENATE(B3," ",A3)</f>
        <v>BARBARA BANKOVICH</v>
      </c>
      <c r="D3" s="42" t="s">
        <v>35</v>
      </c>
      <c r="E3" s="37" t="s">
        <v>235</v>
      </c>
      <c r="F3" s="41">
        <v>46023</v>
      </c>
      <c r="G3" s="40">
        <v>99991231</v>
      </c>
      <c r="H3" s="40">
        <v>20251025</v>
      </c>
      <c r="I3" s="38" t="s">
        <v>27</v>
      </c>
      <c r="J3" s="39">
        <v>28.92</v>
      </c>
      <c r="K3" s="38">
        <v>1</v>
      </c>
      <c r="L3" s="38">
        <v>0</v>
      </c>
      <c r="M3" s="39">
        <v>0</v>
      </c>
      <c r="N3" s="39">
        <v>28.92</v>
      </c>
      <c r="O3" s="37" t="s">
        <v>232</v>
      </c>
      <c r="P3" s="37" t="s">
        <v>231</v>
      </c>
      <c r="Q3" s="37" t="s">
        <v>317</v>
      </c>
      <c r="R3" s="37">
        <v>16170994</v>
      </c>
    </row>
    <row r="4" spans="1:18" ht="15" customHeight="1" x14ac:dyDescent="0.25">
      <c r="A4" s="38" t="s">
        <v>320</v>
      </c>
      <c r="B4" s="38" t="s">
        <v>322</v>
      </c>
      <c r="C4" s="38" t="str">
        <f t="shared" si="0"/>
        <v>PAUL BANKOVICH</v>
      </c>
      <c r="D4" s="42" t="s">
        <v>38</v>
      </c>
      <c r="E4" s="37" t="s">
        <v>236</v>
      </c>
      <c r="F4" s="41">
        <v>46023</v>
      </c>
      <c r="G4" s="40">
        <v>99991231</v>
      </c>
      <c r="H4" s="40">
        <v>20251025</v>
      </c>
      <c r="I4" s="38" t="s">
        <v>27</v>
      </c>
      <c r="J4" s="39">
        <v>28.92</v>
      </c>
      <c r="K4" s="38">
        <v>1</v>
      </c>
      <c r="L4" s="38">
        <v>0</v>
      </c>
      <c r="M4" s="39">
        <v>0</v>
      </c>
      <c r="N4" s="39">
        <v>28.92</v>
      </c>
      <c r="O4" s="37" t="s">
        <v>232</v>
      </c>
      <c r="P4" s="37" t="s">
        <v>231</v>
      </c>
      <c r="Q4" s="37" t="s">
        <v>317</v>
      </c>
      <c r="R4" s="37">
        <v>16170994</v>
      </c>
    </row>
    <row r="5" spans="1:18" ht="15" customHeight="1" x14ac:dyDescent="0.25">
      <c r="A5" s="38" t="s">
        <v>323</v>
      </c>
      <c r="B5" s="38" t="s">
        <v>324</v>
      </c>
      <c r="C5" s="38" t="str">
        <f t="shared" si="0"/>
        <v>DONALD BOYER</v>
      </c>
      <c r="D5" s="42" t="s">
        <v>40</v>
      </c>
      <c r="E5" s="37" t="s">
        <v>237</v>
      </c>
      <c r="F5" s="41">
        <v>46023</v>
      </c>
      <c r="G5" s="40">
        <v>99991231</v>
      </c>
      <c r="H5" s="40">
        <v>20251020</v>
      </c>
      <c r="I5" s="38" t="s">
        <v>27</v>
      </c>
      <c r="J5" s="39">
        <v>28.92</v>
      </c>
      <c r="K5" s="38">
        <v>1</v>
      </c>
      <c r="L5" s="38">
        <v>0</v>
      </c>
      <c r="M5" s="39">
        <v>0</v>
      </c>
      <c r="N5" s="39">
        <v>28.92</v>
      </c>
      <c r="O5" s="37" t="s">
        <v>232</v>
      </c>
      <c r="P5" s="37" t="s">
        <v>231</v>
      </c>
      <c r="Q5" s="37" t="s">
        <v>317</v>
      </c>
      <c r="R5" s="37">
        <v>16170994</v>
      </c>
    </row>
    <row r="6" spans="1:18" ht="15" customHeight="1" x14ac:dyDescent="0.25">
      <c r="A6" s="38" t="s">
        <v>325</v>
      </c>
      <c r="B6" s="38" t="s">
        <v>326</v>
      </c>
      <c r="C6" s="38" t="str">
        <f t="shared" si="0"/>
        <v>LINDA BROWN</v>
      </c>
      <c r="D6" s="42" t="s">
        <v>46</v>
      </c>
      <c r="E6" s="37" t="s">
        <v>238</v>
      </c>
      <c r="F6" s="41">
        <v>46023</v>
      </c>
      <c r="G6" s="40">
        <v>99991231</v>
      </c>
      <c r="H6" s="40">
        <v>20251119</v>
      </c>
      <c r="I6" s="38" t="s">
        <v>27</v>
      </c>
      <c r="J6" s="39">
        <v>28.92</v>
      </c>
      <c r="K6" s="38">
        <v>1</v>
      </c>
      <c r="L6" s="38">
        <v>0</v>
      </c>
      <c r="M6" s="39">
        <v>0</v>
      </c>
      <c r="N6" s="39">
        <v>28.92</v>
      </c>
      <c r="O6" s="37" t="s">
        <v>232</v>
      </c>
      <c r="P6" s="37" t="s">
        <v>231</v>
      </c>
      <c r="Q6" s="37" t="s">
        <v>317</v>
      </c>
      <c r="R6" s="37">
        <v>16170994</v>
      </c>
    </row>
    <row r="7" spans="1:18" ht="15" customHeight="1" x14ac:dyDescent="0.25">
      <c r="A7" s="38" t="s">
        <v>325</v>
      </c>
      <c r="B7" s="38" t="s">
        <v>322</v>
      </c>
      <c r="C7" s="38" t="str">
        <f t="shared" si="0"/>
        <v>PAUL BROWN</v>
      </c>
      <c r="D7" s="42" t="s">
        <v>49</v>
      </c>
      <c r="E7" s="37" t="s">
        <v>239</v>
      </c>
      <c r="F7" s="41">
        <v>46023</v>
      </c>
      <c r="G7" s="40">
        <v>99991231</v>
      </c>
      <c r="H7" s="40">
        <v>20251119</v>
      </c>
      <c r="I7" s="38" t="s">
        <v>27</v>
      </c>
      <c r="J7" s="39">
        <v>28.92</v>
      </c>
      <c r="K7" s="38">
        <v>1</v>
      </c>
      <c r="L7" s="38">
        <v>0</v>
      </c>
      <c r="M7" s="39">
        <v>0</v>
      </c>
      <c r="N7" s="39">
        <v>28.92</v>
      </c>
      <c r="O7" s="37" t="s">
        <v>232</v>
      </c>
      <c r="P7" s="37" t="s">
        <v>231</v>
      </c>
      <c r="Q7" s="37" t="s">
        <v>317</v>
      </c>
      <c r="R7" s="37">
        <v>16170994</v>
      </c>
    </row>
    <row r="8" spans="1:18" ht="15" customHeight="1" x14ac:dyDescent="0.25">
      <c r="A8" s="38" t="s">
        <v>327</v>
      </c>
      <c r="B8" s="38" t="s">
        <v>328</v>
      </c>
      <c r="C8" s="38" t="str">
        <f t="shared" si="0"/>
        <v>COLLEEN BUGNO</v>
      </c>
      <c r="D8" s="42" t="s">
        <v>51</v>
      </c>
      <c r="E8" s="37" t="s">
        <v>240</v>
      </c>
      <c r="F8" s="41">
        <v>46023</v>
      </c>
      <c r="G8" s="40">
        <v>99991231</v>
      </c>
      <c r="H8" s="40">
        <v>20251030</v>
      </c>
      <c r="I8" s="38" t="s">
        <v>27</v>
      </c>
      <c r="J8" s="39">
        <v>28.92</v>
      </c>
      <c r="K8" s="38">
        <v>1</v>
      </c>
      <c r="L8" s="38">
        <v>0</v>
      </c>
      <c r="M8" s="39">
        <v>0</v>
      </c>
      <c r="N8" s="39">
        <v>28.92</v>
      </c>
      <c r="O8" s="37" t="s">
        <v>232</v>
      </c>
      <c r="P8" s="37" t="s">
        <v>231</v>
      </c>
      <c r="Q8" s="37" t="s">
        <v>317</v>
      </c>
      <c r="R8" s="37">
        <v>16170994</v>
      </c>
    </row>
    <row r="9" spans="1:18" ht="15" customHeight="1" x14ac:dyDescent="0.25">
      <c r="A9" s="38" t="s">
        <v>329</v>
      </c>
      <c r="B9" s="38" t="s">
        <v>330</v>
      </c>
      <c r="C9" s="38" t="str">
        <f t="shared" si="0"/>
        <v>MARIA CVICELA</v>
      </c>
      <c r="D9" s="42" t="s">
        <v>59</v>
      </c>
      <c r="E9" s="37" t="s">
        <v>241</v>
      </c>
      <c r="F9" s="41">
        <v>46023</v>
      </c>
      <c r="G9" s="40">
        <v>99991231</v>
      </c>
      <c r="H9" s="40">
        <v>20251028</v>
      </c>
      <c r="I9" s="38" t="s">
        <v>27</v>
      </c>
      <c r="J9" s="39">
        <v>28.92</v>
      </c>
      <c r="K9" s="38">
        <v>1</v>
      </c>
      <c r="L9" s="38">
        <v>0</v>
      </c>
      <c r="M9" s="39">
        <v>0</v>
      </c>
      <c r="N9" s="39">
        <v>28.92</v>
      </c>
      <c r="O9" s="37" t="s">
        <v>232</v>
      </c>
      <c r="P9" s="37" t="s">
        <v>231</v>
      </c>
      <c r="Q9" s="37" t="s">
        <v>317</v>
      </c>
      <c r="R9" s="37">
        <v>16170994</v>
      </c>
    </row>
    <row r="10" spans="1:18" ht="15" customHeight="1" x14ac:dyDescent="0.25">
      <c r="A10" s="38" t="s">
        <v>329</v>
      </c>
      <c r="B10" s="38" t="s">
        <v>331</v>
      </c>
      <c r="C10" s="38" t="str">
        <f t="shared" si="0"/>
        <v>VLADIMIR CVICELA</v>
      </c>
      <c r="D10" s="42" t="s">
        <v>62</v>
      </c>
      <c r="E10" s="37" t="s">
        <v>242</v>
      </c>
      <c r="F10" s="41">
        <v>46023</v>
      </c>
      <c r="G10" s="40">
        <v>99991231</v>
      </c>
      <c r="H10" s="40">
        <v>20251028</v>
      </c>
      <c r="I10" s="38" t="s">
        <v>27</v>
      </c>
      <c r="J10" s="39">
        <v>28.92</v>
      </c>
      <c r="K10" s="38">
        <v>1</v>
      </c>
      <c r="L10" s="38">
        <v>0</v>
      </c>
      <c r="M10" s="39">
        <v>0</v>
      </c>
      <c r="N10" s="39">
        <v>28.92</v>
      </c>
      <c r="O10" s="37" t="s">
        <v>232</v>
      </c>
      <c r="P10" s="37" t="s">
        <v>231</v>
      </c>
      <c r="Q10" s="37" t="s">
        <v>317</v>
      </c>
      <c r="R10" s="37">
        <v>16170994</v>
      </c>
    </row>
    <row r="11" spans="1:18" ht="15" customHeight="1" x14ac:dyDescent="0.25">
      <c r="A11" s="38" t="s">
        <v>332</v>
      </c>
      <c r="B11" s="38" t="s">
        <v>333</v>
      </c>
      <c r="C11" s="38" t="str">
        <f t="shared" si="0"/>
        <v>DEBORAH DAVIS</v>
      </c>
      <c r="D11" s="42" t="s">
        <v>67</v>
      </c>
      <c r="E11" s="37" t="s">
        <v>243</v>
      </c>
      <c r="F11" s="41">
        <v>46023</v>
      </c>
      <c r="G11" s="40">
        <v>99991231</v>
      </c>
      <c r="H11" s="40">
        <v>20251018</v>
      </c>
      <c r="I11" s="38" t="s">
        <v>27</v>
      </c>
      <c r="J11" s="39">
        <v>28.92</v>
      </c>
      <c r="K11" s="38">
        <v>1</v>
      </c>
      <c r="L11" s="38">
        <v>0</v>
      </c>
      <c r="M11" s="39">
        <v>0</v>
      </c>
      <c r="N11" s="39">
        <v>28.92</v>
      </c>
      <c r="O11" s="37" t="s">
        <v>232</v>
      </c>
      <c r="P11" s="37" t="s">
        <v>231</v>
      </c>
      <c r="Q11" s="37" t="s">
        <v>317</v>
      </c>
      <c r="R11" s="37">
        <v>16170994</v>
      </c>
    </row>
    <row r="12" spans="1:18" ht="15" customHeight="1" x14ac:dyDescent="0.25">
      <c r="A12" s="38" t="s">
        <v>332</v>
      </c>
      <c r="B12" s="38" t="s">
        <v>334</v>
      </c>
      <c r="C12" s="38" t="str">
        <f t="shared" si="0"/>
        <v>JERROLD DAVIS</v>
      </c>
      <c r="D12" s="42" t="s">
        <v>69</v>
      </c>
      <c r="E12" s="37" t="s">
        <v>244</v>
      </c>
      <c r="F12" s="41">
        <v>46023</v>
      </c>
      <c r="G12" s="40">
        <v>99991231</v>
      </c>
      <c r="H12" s="40">
        <v>20251018</v>
      </c>
      <c r="I12" s="38" t="s">
        <v>27</v>
      </c>
      <c r="J12" s="39">
        <v>28.92</v>
      </c>
      <c r="K12" s="38">
        <v>1</v>
      </c>
      <c r="L12" s="38">
        <v>0</v>
      </c>
      <c r="M12" s="39">
        <v>0</v>
      </c>
      <c r="N12" s="39">
        <v>28.92</v>
      </c>
      <c r="O12" s="37" t="s">
        <v>232</v>
      </c>
      <c r="P12" s="37" t="s">
        <v>231</v>
      </c>
      <c r="Q12" s="37" t="s">
        <v>317</v>
      </c>
      <c r="R12" s="37">
        <v>16170994</v>
      </c>
    </row>
    <row r="13" spans="1:18" ht="15" customHeight="1" x14ac:dyDescent="0.25">
      <c r="A13" s="38" t="s">
        <v>335</v>
      </c>
      <c r="B13" s="38" t="s">
        <v>336</v>
      </c>
      <c r="C13" s="38" t="str">
        <f t="shared" si="0"/>
        <v>LYNN DECROW</v>
      </c>
      <c r="D13" s="42" t="s">
        <v>71</v>
      </c>
      <c r="E13" s="37" t="s">
        <v>245</v>
      </c>
      <c r="F13" s="41">
        <v>46023</v>
      </c>
      <c r="G13" s="40">
        <v>99991231</v>
      </c>
      <c r="H13" s="40">
        <v>20251020</v>
      </c>
      <c r="I13" s="38" t="s">
        <v>27</v>
      </c>
      <c r="J13" s="39">
        <v>28.92</v>
      </c>
      <c r="K13" s="38">
        <v>1</v>
      </c>
      <c r="L13" s="38">
        <v>0</v>
      </c>
      <c r="M13" s="39">
        <v>0</v>
      </c>
      <c r="N13" s="39">
        <v>28.92</v>
      </c>
      <c r="O13" s="37" t="s">
        <v>232</v>
      </c>
      <c r="P13" s="37" t="s">
        <v>231</v>
      </c>
      <c r="Q13" s="37" t="s">
        <v>317</v>
      </c>
      <c r="R13" s="37">
        <v>16170994</v>
      </c>
    </row>
    <row r="14" spans="1:18" ht="15" customHeight="1" x14ac:dyDescent="0.25">
      <c r="A14" s="38" t="s">
        <v>337</v>
      </c>
      <c r="B14" s="38" t="s">
        <v>338</v>
      </c>
      <c r="C14" s="38" t="str">
        <f t="shared" si="0"/>
        <v>LAURIE DELVILLAN</v>
      </c>
      <c r="D14" s="42" t="s">
        <v>73</v>
      </c>
      <c r="E14" s="37" t="s">
        <v>246</v>
      </c>
      <c r="F14" s="41">
        <v>46023</v>
      </c>
      <c r="G14" s="40">
        <v>99991231</v>
      </c>
      <c r="H14" s="40">
        <v>20251103</v>
      </c>
      <c r="I14" s="38" t="s">
        <v>27</v>
      </c>
      <c r="J14" s="39">
        <v>28.92</v>
      </c>
      <c r="K14" s="38">
        <v>1</v>
      </c>
      <c r="L14" s="38">
        <v>0</v>
      </c>
      <c r="M14" s="39">
        <v>0</v>
      </c>
      <c r="N14" s="39">
        <v>28.92</v>
      </c>
      <c r="O14" s="37" t="s">
        <v>232</v>
      </c>
      <c r="P14" s="37" t="s">
        <v>231</v>
      </c>
      <c r="Q14" s="37" t="s">
        <v>317</v>
      </c>
      <c r="R14" s="37">
        <v>16170994</v>
      </c>
    </row>
    <row r="15" spans="1:18" ht="15" customHeight="1" x14ac:dyDescent="0.25">
      <c r="A15" s="38" t="s">
        <v>337</v>
      </c>
      <c r="B15" s="38" t="s">
        <v>339</v>
      </c>
      <c r="C15" s="38" t="str">
        <f t="shared" si="0"/>
        <v>MATTHEW DELVILLAN</v>
      </c>
      <c r="D15" s="42" t="s">
        <v>76</v>
      </c>
      <c r="E15" s="37" t="s">
        <v>247</v>
      </c>
      <c r="F15" s="41">
        <v>46023</v>
      </c>
      <c r="G15" s="40">
        <v>99991231</v>
      </c>
      <c r="H15" s="40">
        <v>20251103</v>
      </c>
      <c r="I15" s="38" t="s">
        <v>27</v>
      </c>
      <c r="J15" s="39">
        <v>28.92</v>
      </c>
      <c r="K15" s="38">
        <v>1</v>
      </c>
      <c r="L15" s="38">
        <v>0</v>
      </c>
      <c r="M15" s="39">
        <v>0</v>
      </c>
      <c r="N15" s="39">
        <v>28.92</v>
      </c>
      <c r="O15" s="37" t="s">
        <v>232</v>
      </c>
      <c r="P15" s="37" t="s">
        <v>231</v>
      </c>
      <c r="Q15" s="37" t="s">
        <v>317</v>
      </c>
      <c r="R15" s="37">
        <v>16170994</v>
      </c>
    </row>
    <row r="16" spans="1:18" ht="15" customHeight="1" x14ac:dyDescent="0.25">
      <c r="A16" s="38" t="s">
        <v>340</v>
      </c>
      <c r="B16" s="38" t="s">
        <v>341</v>
      </c>
      <c r="C16" s="38" t="str">
        <f t="shared" si="0"/>
        <v>KAREN DEMMA</v>
      </c>
      <c r="D16" s="42" t="s">
        <v>78</v>
      </c>
      <c r="E16" s="37" t="s">
        <v>248</v>
      </c>
      <c r="F16" s="41">
        <v>46023</v>
      </c>
      <c r="G16" s="40">
        <v>99991231</v>
      </c>
      <c r="H16" s="40">
        <v>20251028</v>
      </c>
      <c r="I16" s="38" t="s">
        <v>27</v>
      </c>
      <c r="J16" s="39">
        <v>28.92</v>
      </c>
      <c r="K16" s="38">
        <v>1</v>
      </c>
      <c r="L16" s="38">
        <v>0</v>
      </c>
      <c r="M16" s="39">
        <v>0</v>
      </c>
      <c r="N16" s="39">
        <v>28.92</v>
      </c>
      <c r="O16" s="37" t="s">
        <v>232</v>
      </c>
      <c r="P16" s="37" t="s">
        <v>231</v>
      </c>
      <c r="Q16" s="37" t="s">
        <v>317</v>
      </c>
      <c r="R16" s="37">
        <v>16170994</v>
      </c>
    </row>
    <row r="17" spans="1:18" ht="15" customHeight="1" x14ac:dyDescent="0.25">
      <c r="A17" s="38" t="s">
        <v>342</v>
      </c>
      <c r="B17" s="38" t="s">
        <v>343</v>
      </c>
      <c r="C17" s="38" t="str">
        <f t="shared" si="0"/>
        <v>PATRICIA DEVLIN</v>
      </c>
      <c r="D17" s="42" t="s">
        <v>80</v>
      </c>
      <c r="E17" s="37" t="s">
        <v>249</v>
      </c>
      <c r="F17" s="41">
        <v>46023</v>
      </c>
      <c r="G17" s="40">
        <v>99991231</v>
      </c>
      <c r="H17" s="40">
        <v>20251125</v>
      </c>
      <c r="I17" s="38" t="s">
        <v>27</v>
      </c>
      <c r="J17" s="39">
        <v>28.92</v>
      </c>
      <c r="K17" s="38">
        <v>1</v>
      </c>
      <c r="L17" s="38">
        <v>0</v>
      </c>
      <c r="M17" s="39">
        <v>0</v>
      </c>
      <c r="N17" s="39">
        <v>28.92</v>
      </c>
      <c r="O17" s="37" t="s">
        <v>232</v>
      </c>
      <c r="P17" s="37" t="s">
        <v>231</v>
      </c>
      <c r="Q17" s="37" t="s">
        <v>317</v>
      </c>
      <c r="R17" s="37">
        <v>16170994</v>
      </c>
    </row>
    <row r="18" spans="1:18" ht="15" customHeight="1" x14ac:dyDescent="0.25">
      <c r="A18" s="38" t="s">
        <v>344</v>
      </c>
      <c r="B18" s="38" t="s">
        <v>333</v>
      </c>
      <c r="C18" s="38" t="str">
        <f t="shared" si="0"/>
        <v>DEBORAH DINICOLA</v>
      </c>
      <c r="D18" s="42" t="s">
        <v>83</v>
      </c>
      <c r="E18" s="37" t="s">
        <v>250</v>
      </c>
      <c r="F18" s="41">
        <v>46023</v>
      </c>
      <c r="G18" s="40">
        <v>99991231</v>
      </c>
      <c r="H18" s="40">
        <v>20251119</v>
      </c>
      <c r="I18" s="38" t="s">
        <v>27</v>
      </c>
      <c r="J18" s="39">
        <v>28.92</v>
      </c>
      <c r="K18" s="38">
        <v>1</v>
      </c>
      <c r="L18" s="38">
        <v>0</v>
      </c>
      <c r="M18" s="39">
        <v>0</v>
      </c>
      <c r="N18" s="39">
        <v>28.92</v>
      </c>
      <c r="O18" s="37" t="s">
        <v>232</v>
      </c>
      <c r="P18" s="37" t="s">
        <v>231</v>
      </c>
      <c r="Q18" s="37" t="s">
        <v>317</v>
      </c>
      <c r="R18" s="37">
        <v>16170994</v>
      </c>
    </row>
    <row r="19" spans="1:18" ht="15" customHeight="1" x14ac:dyDescent="0.25">
      <c r="A19" s="38" t="s">
        <v>345</v>
      </c>
      <c r="B19" s="38" t="s">
        <v>321</v>
      </c>
      <c r="C19" s="38" t="str">
        <f t="shared" si="0"/>
        <v>BARBARA FORD</v>
      </c>
      <c r="D19" s="42" t="s">
        <v>85</v>
      </c>
      <c r="E19" s="37" t="s">
        <v>251</v>
      </c>
      <c r="F19" s="41">
        <v>46023</v>
      </c>
      <c r="G19" s="40">
        <v>99991231</v>
      </c>
      <c r="H19" s="40">
        <v>20251029</v>
      </c>
      <c r="I19" s="38" t="s">
        <v>27</v>
      </c>
      <c r="J19" s="39">
        <v>28.92</v>
      </c>
      <c r="K19" s="38">
        <v>1</v>
      </c>
      <c r="L19" s="38">
        <v>0</v>
      </c>
      <c r="M19" s="39">
        <v>0</v>
      </c>
      <c r="N19" s="39">
        <v>28.92</v>
      </c>
      <c r="O19" s="37" t="s">
        <v>232</v>
      </c>
      <c r="P19" s="37" t="s">
        <v>231</v>
      </c>
      <c r="Q19" s="37" t="s">
        <v>317</v>
      </c>
      <c r="R19" s="37">
        <v>16170994</v>
      </c>
    </row>
    <row r="20" spans="1:18" ht="15" customHeight="1" x14ac:dyDescent="0.25">
      <c r="A20" s="38" t="s">
        <v>346</v>
      </c>
      <c r="B20" s="38" t="s">
        <v>347</v>
      </c>
      <c r="C20" s="38" t="str">
        <f t="shared" si="0"/>
        <v>CAROL FREY</v>
      </c>
      <c r="D20" s="42" t="s">
        <v>88</v>
      </c>
      <c r="E20" s="37" t="s">
        <v>252</v>
      </c>
      <c r="F20" s="41">
        <v>46023</v>
      </c>
      <c r="G20" s="40">
        <v>99991231</v>
      </c>
      <c r="H20" s="40">
        <v>20251117</v>
      </c>
      <c r="I20" s="38" t="s">
        <v>27</v>
      </c>
      <c r="J20" s="39">
        <v>28.92</v>
      </c>
      <c r="K20" s="38">
        <v>1</v>
      </c>
      <c r="L20" s="38">
        <v>0</v>
      </c>
      <c r="M20" s="39">
        <v>0</v>
      </c>
      <c r="N20" s="39">
        <v>28.92</v>
      </c>
      <c r="O20" s="37" t="s">
        <v>232</v>
      </c>
      <c r="P20" s="37" t="s">
        <v>231</v>
      </c>
      <c r="Q20" s="37" t="s">
        <v>317</v>
      </c>
      <c r="R20" s="37">
        <v>16170994</v>
      </c>
    </row>
    <row r="21" spans="1:18" ht="15" customHeight="1" x14ac:dyDescent="0.25">
      <c r="A21" s="38" t="s">
        <v>348</v>
      </c>
      <c r="B21" s="38" t="s">
        <v>349</v>
      </c>
      <c r="C21" s="38" t="str">
        <f t="shared" si="0"/>
        <v>MARY GARNICA</v>
      </c>
      <c r="D21" s="42" t="s">
        <v>91</v>
      </c>
      <c r="E21" s="37" t="s">
        <v>253</v>
      </c>
      <c r="F21" s="41">
        <v>46023</v>
      </c>
      <c r="G21" s="40">
        <v>99991231</v>
      </c>
      <c r="H21" s="40">
        <v>20251015</v>
      </c>
      <c r="I21" s="38" t="s">
        <v>27</v>
      </c>
      <c r="J21" s="39">
        <v>28.92</v>
      </c>
      <c r="K21" s="38">
        <v>1</v>
      </c>
      <c r="L21" s="38">
        <v>0</v>
      </c>
      <c r="M21" s="39">
        <v>0</v>
      </c>
      <c r="N21" s="39">
        <v>28.92</v>
      </c>
      <c r="O21" s="37" t="s">
        <v>232</v>
      </c>
      <c r="P21" s="37" t="s">
        <v>231</v>
      </c>
      <c r="Q21" s="37" t="s">
        <v>317</v>
      </c>
      <c r="R21" s="37">
        <v>16170994</v>
      </c>
    </row>
    <row r="22" spans="1:18" ht="15" customHeight="1" x14ac:dyDescent="0.25">
      <c r="A22" s="38" t="s">
        <v>350</v>
      </c>
      <c r="B22" s="38" t="s">
        <v>351</v>
      </c>
      <c r="C22" s="38" t="str">
        <f t="shared" si="0"/>
        <v>GEORGETTE GLASSER</v>
      </c>
      <c r="D22" s="42" t="s">
        <v>94</v>
      </c>
      <c r="E22" s="37" t="s">
        <v>254</v>
      </c>
      <c r="F22" s="41">
        <v>46023</v>
      </c>
      <c r="G22" s="40">
        <v>99991231</v>
      </c>
      <c r="H22" s="40">
        <v>20251020</v>
      </c>
      <c r="I22" s="38" t="s">
        <v>27</v>
      </c>
      <c r="J22" s="39">
        <v>28.92</v>
      </c>
      <c r="K22" s="38">
        <v>1</v>
      </c>
      <c r="L22" s="38">
        <v>0</v>
      </c>
      <c r="M22" s="39">
        <v>0</v>
      </c>
      <c r="N22" s="39">
        <v>28.92</v>
      </c>
      <c r="O22" s="37" t="s">
        <v>232</v>
      </c>
      <c r="P22" s="37" t="s">
        <v>231</v>
      </c>
      <c r="Q22" s="37" t="s">
        <v>317</v>
      </c>
      <c r="R22" s="37">
        <v>16170994</v>
      </c>
    </row>
    <row r="23" spans="1:18" ht="15" customHeight="1" x14ac:dyDescent="0.25">
      <c r="A23" s="38" t="s">
        <v>352</v>
      </c>
      <c r="B23" s="38" t="s">
        <v>353</v>
      </c>
      <c r="C23" s="38" t="str">
        <f t="shared" si="0"/>
        <v>KEVIN HEINEY</v>
      </c>
      <c r="D23" s="42" t="s">
        <v>96</v>
      </c>
      <c r="E23" s="37" t="s">
        <v>255</v>
      </c>
      <c r="F23" s="41">
        <v>46023</v>
      </c>
      <c r="G23" s="40">
        <v>99991231</v>
      </c>
      <c r="H23" s="40">
        <v>20251018</v>
      </c>
      <c r="I23" s="38" t="s">
        <v>27</v>
      </c>
      <c r="J23" s="39">
        <v>28.92</v>
      </c>
      <c r="K23" s="38">
        <v>1</v>
      </c>
      <c r="L23" s="38">
        <v>0</v>
      </c>
      <c r="M23" s="39">
        <v>0</v>
      </c>
      <c r="N23" s="39">
        <v>28.92</v>
      </c>
      <c r="O23" s="37" t="s">
        <v>232</v>
      </c>
      <c r="P23" s="37" t="s">
        <v>231</v>
      </c>
      <c r="Q23" s="37" t="s">
        <v>317</v>
      </c>
      <c r="R23" s="37">
        <v>16170994</v>
      </c>
    </row>
    <row r="24" spans="1:18" ht="15" customHeight="1" x14ac:dyDescent="0.25">
      <c r="A24" s="38" t="s">
        <v>352</v>
      </c>
      <c r="B24" s="38" t="s">
        <v>319</v>
      </c>
      <c r="C24" s="38" t="str">
        <f t="shared" si="0"/>
        <v>REBECCA HEINEY</v>
      </c>
      <c r="D24" s="42" t="s">
        <v>98</v>
      </c>
      <c r="E24" s="37" t="s">
        <v>256</v>
      </c>
      <c r="F24" s="41">
        <v>46023</v>
      </c>
      <c r="G24" s="40">
        <v>99991231</v>
      </c>
      <c r="H24" s="40">
        <v>20251018</v>
      </c>
      <c r="I24" s="38" t="s">
        <v>27</v>
      </c>
      <c r="J24" s="39">
        <v>28.92</v>
      </c>
      <c r="K24" s="38">
        <v>1</v>
      </c>
      <c r="L24" s="38">
        <v>0</v>
      </c>
      <c r="M24" s="39">
        <v>0</v>
      </c>
      <c r="N24" s="39">
        <v>28.92</v>
      </c>
      <c r="O24" s="37" t="s">
        <v>232</v>
      </c>
      <c r="P24" s="37" t="s">
        <v>231</v>
      </c>
      <c r="Q24" s="37" t="s">
        <v>317</v>
      </c>
      <c r="R24" s="37">
        <v>16170994</v>
      </c>
    </row>
    <row r="25" spans="1:18" ht="15" customHeight="1" x14ac:dyDescent="0.25">
      <c r="A25" s="38" t="s">
        <v>354</v>
      </c>
      <c r="B25" s="38" t="s">
        <v>355</v>
      </c>
      <c r="C25" s="38" t="str">
        <f t="shared" si="0"/>
        <v>DOLORES HORSCHAK</v>
      </c>
      <c r="D25" s="42" t="s">
        <v>102</v>
      </c>
      <c r="E25" s="37" t="s">
        <v>257</v>
      </c>
      <c r="F25" s="41">
        <v>46023</v>
      </c>
      <c r="G25" s="40">
        <v>99991231</v>
      </c>
      <c r="H25" s="40">
        <v>20251110</v>
      </c>
      <c r="I25" s="38" t="s">
        <v>27</v>
      </c>
      <c r="J25" s="39">
        <v>28.92</v>
      </c>
      <c r="K25" s="38">
        <v>1</v>
      </c>
      <c r="L25" s="38">
        <v>0</v>
      </c>
      <c r="M25" s="39">
        <v>0</v>
      </c>
      <c r="N25" s="39">
        <v>28.92</v>
      </c>
      <c r="O25" s="37" t="s">
        <v>232</v>
      </c>
      <c r="P25" s="37" t="s">
        <v>231</v>
      </c>
      <c r="Q25" s="37" t="s">
        <v>317</v>
      </c>
      <c r="R25" s="37">
        <v>16170994</v>
      </c>
    </row>
    <row r="26" spans="1:18" ht="15" customHeight="1" x14ac:dyDescent="0.25">
      <c r="A26" s="38" t="s">
        <v>356</v>
      </c>
      <c r="B26" s="38" t="s">
        <v>357</v>
      </c>
      <c r="C26" s="38" t="str">
        <f t="shared" si="0"/>
        <v>DIANE HUSZAI</v>
      </c>
      <c r="D26" s="42" t="s">
        <v>107</v>
      </c>
      <c r="E26" s="37" t="s">
        <v>258</v>
      </c>
      <c r="F26" s="41">
        <v>46023</v>
      </c>
      <c r="G26" s="40">
        <v>99991231</v>
      </c>
      <c r="H26" s="40">
        <v>20251027</v>
      </c>
      <c r="I26" s="38" t="s">
        <v>27</v>
      </c>
      <c r="J26" s="39">
        <v>28.92</v>
      </c>
      <c r="K26" s="38">
        <v>1</v>
      </c>
      <c r="L26" s="38">
        <v>0</v>
      </c>
      <c r="M26" s="39">
        <v>0</v>
      </c>
      <c r="N26" s="39">
        <v>28.92</v>
      </c>
      <c r="O26" s="37" t="s">
        <v>232</v>
      </c>
      <c r="P26" s="37" t="s">
        <v>231</v>
      </c>
      <c r="Q26" s="37" t="s">
        <v>317</v>
      </c>
      <c r="R26" s="37">
        <v>16170994</v>
      </c>
    </row>
    <row r="27" spans="1:18" ht="15" customHeight="1" x14ac:dyDescent="0.25">
      <c r="A27" s="38" t="s">
        <v>358</v>
      </c>
      <c r="B27" s="38" t="s">
        <v>359</v>
      </c>
      <c r="C27" s="38" t="str">
        <f t="shared" si="0"/>
        <v>CHERYL JONES</v>
      </c>
      <c r="D27" s="42" t="s">
        <v>110</v>
      </c>
      <c r="E27" s="37" t="s">
        <v>259</v>
      </c>
      <c r="F27" s="41">
        <v>46054</v>
      </c>
      <c r="G27" s="40">
        <v>99991231</v>
      </c>
      <c r="H27" s="40">
        <v>20260123</v>
      </c>
      <c r="I27" s="38" t="s">
        <v>27</v>
      </c>
      <c r="J27" s="39">
        <v>28.92</v>
      </c>
      <c r="K27" s="38">
        <v>1</v>
      </c>
      <c r="L27" s="38">
        <v>0</v>
      </c>
      <c r="M27" s="39">
        <v>0</v>
      </c>
      <c r="N27" s="39">
        <v>28.92</v>
      </c>
      <c r="O27" s="37" t="s">
        <v>232</v>
      </c>
      <c r="P27" s="37" t="s">
        <v>231</v>
      </c>
      <c r="Q27" s="37" t="s">
        <v>317</v>
      </c>
      <c r="R27" s="37">
        <v>16170994</v>
      </c>
    </row>
    <row r="28" spans="1:18" ht="15" customHeight="1" x14ac:dyDescent="0.25">
      <c r="A28" s="38" t="s">
        <v>360</v>
      </c>
      <c r="B28" s="38" t="s">
        <v>322</v>
      </c>
      <c r="C28" s="38" t="str">
        <f t="shared" si="0"/>
        <v>PAUL KAPAROFF</v>
      </c>
      <c r="D28" s="42" t="s">
        <v>113</v>
      </c>
      <c r="E28" s="37" t="s">
        <v>260</v>
      </c>
      <c r="F28" s="41">
        <v>46023</v>
      </c>
      <c r="G28" s="40">
        <v>99991231</v>
      </c>
      <c r="H28" s="40">
        <v>20251028</v>
      </c>
      <c r="I28" s="38" t="s">
        <v>27</v>
      </c>
      <c r="J28" s="39">
        <v>28.92</v>
      </c>
      <c r="K28" s="38">
        <v>1</v>
      </c>
      <c r="L28" s="38">
        <v>0</v>
      </c>
      <c r="M28" s="39">
        <v>0</v>
      </c>
      <c r="N28" s="39">
        <v>28.92</v>
      </c>
      <c r="O28" s="37" t="s">
        <v>232</v>
      </c>
      <c r="P28" s="37" t="s">
        <v>231</v>
      </c>
      <c r="Q28" s="37" t="s">
        <v>317</v>
      </c>
      <c r="R28" s="37">
        <v>16170994</v>
      </c>
    </row>
    <row r="29" spans="1:18" ht="15" customHeight="1" x14ac:dyDescent="0.25">
      <c r="A29" s="38" t="s">
        <v>361</v>
      </c>
      <c r="B29" s="38" t="s">
        <v>362</v>
      </c>
      <c r="C29" s="38" t="str">
        <f t="shared" si="0"/>
        <v>JOANNE KLESCH</v>
      </c>
      <c r="D29" s="42" t="s">
        <v>115</v>
      </c>
      <c r="E29" s="37" t="s">
        <v>261</v>
      </c>
      <c r="F29" s="41">
        <v>46023</v>
      </c>
      <c r="G29" s="40">
        <v>99991231</v>
      </c>
      <c r="H29" s="40">
        <v>20251112</v>
      </c>
      <c r="I29" s="38" t="s">
        <v>27</v>
      </c>
      <c r="J29" s="39">
        <v>28.92</v>
      </c>
      <c r="K29" s="38">
        <v>1</v>
      </c>
      <c r="L29" s="38">
        <v>0</v>
      </c>
      <c r="M29" s="39">
        <v>0</v>
      </c>
      <c r="N29" s="39">
        <v>28.92</v>
      </c>
      <c r="O29" s="37" t="s">
        <v>232</v>
      </c>
      <c r="P29" s="37" t="s">
        <v>231</v>
      </c>
      <c r="Q29" s="37" t="s">
        <v>317</v>
      </c>
      <c r="R29" s="37">
        <v>16170994</v>
      </c>
    </row>
    <row r="30" spans="1:18" ht="15" customHeight="1" x14ac:dyDescent="0.25">
      <c r="A30" s="38" t="s">
        <v>361</v>
      </c>
      <c r="B30" s="38" t="s">
        <v>363</v>
      </c>
      <c r="C30" s="38" t="str">
        <f t="shared" si="0"/>
        <v>LISA KLESCH</v>
      </c>
      <c r="D30" s="42" t="s">
        <v>118</v>
      </c>
      <c r="E30" s="37" t="s">
        <v>262</v>
      </c>
      <c r="F30" s="41">
        <v>46023</v>
      </c>
      <c r="G30" s="40">
        <v>99991231</v>
      </c>
      <c r="H30" s="40">
        <v>20251112</v>
      </c>
      <c r="I30" s="38" t="s">
        <v>27</v>
      </c>
      <c r="J30" s="39">
        <v>28.92</v>
      </c>
      <c r="K30" s="38">
        <v>1</v>
      </c>
      <c r="L30" s="38">
        <v>0</v>
      </c>
      <c r="M30" s="39">
        <v>0</v>
      </c>
      <c r="N30" s="39">
        <v>28.92</v>
      </c>
      <c r="O30" s="37" t="s">
        <v>232</v>
      </c>
      <c r="P30" s="37" t="s">
        <v>231</v>
      </c>
      <c r="Q30" s="37" t="s">
        <v>317</v>
      </c>
      <c r="R30" s="37">
        <v>16170994</v>
      </c>
    </row>
    <row r="31" spans="1:18" ht="15" customHeight="1" x14ac:dyDescent="0.25">
      <c r="A31" s="38" t="s">
        <v>364</v>
      </c>
      <c r="B31" s="38" t="s">
        <v>365</v>
      </c>
      <c r="C31" s="38" t="str">
        <f t="shared" si="0"/>
        <v>CARROL KLINKER</v>
      </c>
      <c r="D31" s="42" t="s">
        <v>120</v>
      </c>
      <c r="E31" s="37" t="s">
        <v>263</v>
      </c>
      <c r="F31" s="41">
        <v>46023</v>
      </c>
      <c r="G31" s="40">
        <v>99991231</v>
      </c>
      <c r="H31" s="40">
        <v>20251104</v>
      </c>
      <c r="I31" s="38" t="s">
        <v>27</v>
      </c>
      <c r="J31" s="39">
        <v>28.92</v>
      </c>
      <c r="K31" s="38">
        <v>1</v>
      </c>
      <c r="L31" s="38">
        <v>0</v>
      </c>
      <c r="M31" s="39">
        <v>0</v>
      </c>
      <c r="N31" s="39">
        <v>28.92</v>
      </c>
      <c r="O31" s="37" t="s">
        <v>232</v>
      </c>
      <c r="P31" s="37" t="s">
        <v>231</v>
      </c>
      <c r="Q31" s="37" t="s">
        <v>317</v>
      </c>
      <c r="R31" s="37">
        <v>16170994</v>
      </c>
    </row>
    <row r="32" spans="1:18" ht="15" customHeight="1" x14ac:dyDescent="0.25">
      <c r="A32" s="38" t="s">
        <v>366</v>
      </c>
      <c r="B32" s="38" t="s">
        <v>367</v>
      </c>
      <c r="C32" s="38" t="str">
        <f t="shared" si="0"/>
        <v>TERRY KNIGHT</v>
      </c>
      <c r="D32" s="42" t="s">
        <v>123</v>
      </c>
      <c r="E32" s="37" t="s">
        <v>264</v>
      </c>
      <c r="F32" s="41">
        <v>46023</v>
      </c>
      <c r="G32" s="40">
        <v>99991231</v>
      </c>
      <c r="H32" s="40">
        <v>20251031</v>
      </c>
      <c r="I32" s="38" t="s">
        <v>27</v>
      </c>
      <c r="J32" s="39">
        <v>28.92</v>
      </c>
      <c r="K32" s="38">
        <v>1</v>
      </c>
      <c r="L32" s="38">
        <v>0</v>
      </c>
      <c r="M32" s="39">
        <v>0</v>
      </c>
      <c r="N32" s="39">
        <v>28.92</v>
      </c>
      <c r="O32" s="37" t="s">
        <v>232</v>
      </c>
      <c r="P32" s="37" t="s">
        <v>231</v>
      </c>
      <c r="Q32" s="37" t="s">
        <v>317</v>
      </c>
      <c r="R32" s="37">
        <v>16170994</v>
      </c>
    </row>
    <row r="33" spans="1:18" ht="15" customHeight="1" x14ac:dyDescent="0.25">
      <c r="A33" s="38" t="s">
        <v>368</v>
      </c>
      <c r="B33" s="38" t="s">
        <v>369</v>
      </c>
      <c r="C33" s="38" t="str">
        <f t="shared" si="0"/>
        <v>CATHERINE KNIPPER</v>
      </c>
      <c r="D33" s="42" t="s">
        <v>126</v>
      </c>
      <c r="E33" s="37" t="s">
        <v>265</v>
      </c>
      <c r="F33" s="41">
        <v>46023</v>
      </c>
      <c r="G33" s="40">
        <v>99991231</v>
      </c>
      <c r="H33" s="40">
        <v>20251119</v>
      </c>
      <c r="I33" s="38" t="s">
        <v>27</v>
      </c>
      <c r="J33" s="39">
        <v>28.92</v>
      </c>
      <c r="K33" s="38">
        <v>1</v>
      </c>
      <c r="L33" s="38">
        <v>0</v>
      </c>
      <c r="M33" s="39">
        <v>0</v>
      </c>
      <c r="N33" s="39">
        <v>28.92</v>
      </c>
      <c r="O33" s="37" t="s">
        <v>232</v>
      </c>
      <c r="P33" s="37" t="s">
        <v>231</v>
      </c>
      <c r="Q33" s="37" t="s">
        <v>317</v>
      </c>
      <c r="R33" s="37">
        <v>16170994</v>
      </c>
    </row>
    <row r="34" spans="1:18" ht="15" customHeight="1" x14ac:dyDescent="0.25">
      <c r="A34" s="38" t="s">
        <v>370</v>
      </c>
      <c r="B34" s="38" t="s">
        <v>326</v>
      </c>
      <c r="C34" s="38" t="str">
        <f t="shared" si="0"/>
        <v>LINDA KUS</v>
      </c>
      <c r="D34" s="42" t="s">
        <v>128</v>
      </c>
      <c r="E34" s="37" t="s">
        <v>266</v>
      </c>
      <c r="F34" s="41">
        <v>46023</v>
      </c>
      <c r="G34" s="40">
        <v>99991231</v>
      </c>
      <c r="H34" s="40">
        <v>20251119</v>
      </c>
      <c r="I34" s="38" t="s">
        <v>27</v>
      </c>
      <c r="J34" s="39">
        <v>28.92</v>
      </c>
      <c r="K34" s="38">
        <v>1</v>
      </c>
      <c r="L34" s="38">
        <v>0</v>
      </c>
      <c r="M34" s="39">
        <v>0</v>
      </c>
      <c r="N34" s="39">
        <v>28.92</v>
      </c>
      <c r="O34" s="37" t="s">
        <v>232</v>
      </c>
      <c r="P34" s="37" t="s">
        <v>231</v>
      </c>
      <c r="Q34" s="37" t="s">
        <v>317</v>
      </c>
      <c r="R34" s="37">
        <v>16170994</v>
      </c>
    </row>
    <row r="35" spans="1:18" ht="15" customHeight="1" x14ac:dyDescent="0.25">
      <c r="A35" s="38" t="s">
        <v>371</v>
      </c>
      <c r="B35" s="38" t="s">
        <v>372</v>
      </c>
      <c r="C35" s="38" t="str">
        <f t="shared" si="0"/>
        <v>ANTHONY LUCARELL</v>
      </c>
      <c r="D35" s="42" t="s">
        <v>130</v>
      </c>
      <c r="E35" s="37" t="s">
        <v>267</v>
      </c>
      <c r="F35" s="41">
        <v>46023</v>
      </c>
      <c r="G35" s="40">
        <v>99991231</v>
      </c>
      <c r="H35" s="40">
        <v>20251104</v>
      </c>
      <c r="I35" s="38" t="s">
        <v>27</v>
      </c>
      <c r="J35" s="39">
        <v>28.92</v>
      </c>
      <c r="K35" s="38">
        <v>1</v>
      </c>
      <c r="L35" s="38">
        <v>0</v>
      </c>
      <c r="M35" s="39">
        <v>0</v>
      </c>
      <c r="N35" s="39">
        <v>28.92</v>
      </c>
      <c r="O35" s="37" t="s">
        <v>232</v>
      </c>
      <c r="P35" s="37" t="s">
        <v>231</v>
      </c>
      <c r="Q35" s="37" t="s">
        <v>317</v>
      </c>
      <c r="R35" s="37">
        <v>16170994</v>
      </c>
    </row>
    <row r="36" spans="1:18" ht="15" customHeight="1" x14ac:dyDescent="0.25">
      <c r="A36" s="38" t="s">
        <v>371</v>
      </c>
      <c r="B36" s="38" t="s">
        <v>343</v>
      </c>
      <c r="C36" s="38" t="str">
        <f t="shared" si="0"/>
        <v>PATRICIA LUCARELL</v>
      </c>
      <c r="D36" s="42" t="s">
        <v>132</v>
      </c>
      <c r="E36" s="37" t="s">
        <v>268</v>
      </c>
      <c r="F36" s="41">
        <v>46023</v>
      </c>
      <c r="G36" s="40">
        <v>99991231</v>
      </c>
      <c r="H36" s="40">
        <v>20251104</v>
      </c>
      <c r="I36" s="38" t="s">
        <v>27</v>
      </c>
      <c r="J36" s="39">
        <v>28.92</v>
      </c>
      <c r="K36" s="38">
        <v>1</v>
      </c>
      <c r="L36" s="38">
        <v>0</v>
      </c>
      <c r="M36" s="39">
        <v>0</v>
      </c>
      <c r="N36" s="39">
        <v>28.92</v>
      </c>
      <c r="O36" s="37" t="s">
        <v>232</v>
      </c>
      <c r="P36" s="37" t="s">
        <v>231</v>
      </c>
      <c r="Q36" s="37" t="s">
        <v>317</v>
      </c>
      <c r="R36" s="37">
        <v>16170994</v>
      </c>
    </row>
    <row r="37" spans="1:18" ht="15" customHeight="1" x14ac:dyDescent="0.25">
      <c r="A37" s="38" t="s">
        <v>373</v>
      </c>
      <c r="B37" s="38" t="s">
        <v>324</v>
      </c>
      <c r="C37" s="38" t="str">
        <f t="shared" si="0"/>
        <v>DONALD MAST</v>
      </c>
      <c r="D37" s="42" t="s">
        <v>134</v>
      </c>
      <c r="E37" s="37" t="s">
        <v>269</v>
      </c>
      <c r="F37" s="41">
        <v>46023</v>
      </c>
      <c r="G37" s="40">
        <v>99991231</v>
      </c>
      <c r="H37" s="40">
        <v>20251128</v>
      </c>
      <c r="I37" s="38" t="s">
        <v>27</v>
      </c>
      <c r="J37" s="39">
        <v>28.92</v>
      </c>
      <c r="K37" s="38">
        <v>1</v>
      </c>
      <c r="L37" s="38">
        <v>0</v>
      </c>
      <c r="M37" s="39">
        <v>0</v>
      </c>
      <c r="N37" s="39">
        <v>28.92</v>
      </c>
      <c r="O37" s="37" t="s">
        <v>232</v>
      </c>
      <c r="P37" s="37" t="s">
        <v>231</v>
      </c>
      <c r="Q37" s="37" t="s">
        <v>317</v>
      </c>
      <c r="R37" s="37">
        <v>16170994</v>
      </c>
    </row>
    <row r="38" spans="1:18" ht="15" customHeight="1" x14ac:dyDescent="0.25">
      <c r="A38" s="38" t="s">
        <v>374</v>
      </c>
      <c r="B38" s="38" t="s">
        <v>326</v>
      </c>
      <c r="C38" s="38" t="str">
        <f t="shared" si="0"/>
        <v>LINDA MEISSNER</v>
      </c>
      <c r="D38" s="42" t="s">
        <v>137</v>
      </c>
      <c r="E38" s="37" t="s">
        <v>270</v>
      </c>
      <c r="F38" s="41">
        <v>46023</v>
      </c>
      <c r="G38" s="40">
        <v>99991231</v>
      </c>
      <c r="H38" s="40">
        <v>20251027</v>
      </c>
      <c r="I38" s="38" t="s">
        <v>27</v>
      </c>
      <c r="J38" s="39">
        <v>28.92</v>
      </c>
      <c r="K38" s="38">
        <v>1</v>
      </c>
      <c r="L38" s="38">
        <v>0</v>
      </c>
      <c r="M38" s="39">
        <v>0</v>
      </c>
      <c r="N38" s="39">
        <v>28.92</v>
      </c>
      <c r="O38" s="37" t="s">
        <v>232</v>
      </c>
      <c r="P38" s="37" t="s">
        <v>231</v>
      </c>
      <c r="Q38" s="37" t="s">
        <v>317</v>
      </c>
      <c r="R38" s="37">
        <v>16170994</v>
      </c>
    </row>
    <row r="39" spans="1:18" ht="15" customHeight="1" x14ac:dyDescent="0.25">
      <c r="A39" s="38" t="s">
        <v>375</v>
      </c>
      <c r="B39" s="38" t="s">
        <v>376</v>
      </c>
      <c r="C39" s="38" t="str">
        <f t="shared" si="0"/>
        <v>JACQUELINE METZ</v>
      </c>
      <c r="D39" s="42" t="s">
        <v>139</v>
      </c>
      <c r="E39" s="37" t="s">
        <v>271</v>
      </c>
      <c r="F39" s="41">
        <v>46023</v>
      </c>
      <c r="G39" s="40">
        <v>99991231</v>
      </c>
      <c r="H39" s="40">
        <v>20251022</v>
      </c>
      <c r="I39" s="38" t="s">
        <v>27</v>
      </c>
      <c r="J39" s="39">
        <v>28.92</v>
      </c>
      <c r="K39" s="38">
        <v>1</v>
      </c>
      <c r="L39" s="38">
        <v>0</v>
      </c>
      <c r="M39" s="39">
        <v>0</v>
      </c>
      <c r="N39" s="39">
        <v>28.92</v>
      </c>
      <c r="O39" s="37" t="s">
        <v>232</v>
      </c>
      <c r="P39" s="37" t="s">
        <v>231</v>
      </c>
      <c r="Q39" s="37" t="s">
        <v>317</v>
      </c>
      <c r="R39" s="37">
        <v>16170994</v>
      </c>
    </row>
    <row r="40" spans="1:18" ht="15" customHeight="1" x14ac:dyDescent="0.25">
      <c r="A40" s="38" t="s">
        <v>377</v>
      </c>
      <c r="B40" s="38" t="s">
        <v>378</v>
      </c>
      <c r="C40" s="38" t="str">
        <f t="shared" si="0"/>
        <v>JOHN MILLER</v>
      </c>
      <c r="D40" s="42" t="s">
        <v>142</v>
      </c>
      <c r="E40" s="37" t="s">
        <v>272</v>
      </c>
      <c r="F40" s="41">
        <v>46023</v>
      </c>
      <c r="G40" s="40">
        <v>99991231</v>
      </c>
      <c r="H40" s="40">
        <v>20251108</v>
      </c>
      <c r="I40" s="38" t="s">
        <v>27</v>
      </c>
      <c r="J40" s="39">
        <v>28.92</v>
      </c>
      <c r="K40" s="38">
        <v>1</v>
      </c>
      <c r="L40" s="38">
        <v>0</v>
      </c>
      <c r="M40" s="39">
        <v>0</v>
      </c>
      <c r="N40" s="39">
        <v>28.92</v>
      </c>
      <c r="O40" s="37" t="s">
        <v>232</v>
      </c>
      <c r="P40" s="37" t="s">
        <v>231</v>
      </c>
      <c r="Q40" s="37" t="s">
        <v>317</v>
      </c>
      <c r="R40" s="37">
        <v>16170994</v>
      </c>
    </row>
    <row r="41" spans="1:18" ht="15" customHeight="1" x14ac:dyDescent="0.25">
      <c r="A41" s="38" t="s">
        <v>377</v>
      </c>
      <c r="B41" s="38" t="s">
        <v>326</v>
      </c>
      <c r="C41" s="38" t="str">
        <f t="shared" si="0"/>
        <v>LINDA MILLER</v>
      </c>
      <c r="D41" s="42" t="s">
        <v>145</v>
      </c>
      <c r="E41" s="37" t="s">
        <v>273</v>
      </c>
      <c r="F41" s="41">
        <v>46023</v>
      </c>
      <c r="G41" s="40">
        <v>99991231</v>
      </c>
      <c r="H41" s="40">
        <v>20251125</v>
      </c>
      <c r="I41" s="38" t="s">
        <v>27</v>
      </c>
      <c r="J41" s="39">
        <v>28.92</v>
      </c>
      <c r="K41" s="38">
        <v>1</v>
      </c>
      <c r="L41" s="38">
        <v>0</v>
      </c>
      <c r="M41" s="39">
        <v>0</v>
      </c>
      <c r="N41" s="39">
        <v>28.92</v>
      </c>
      <c r="O41" s="37" t="s">
        <v>232</v>
      </c>
      <c r="P41" s="37" t="s">
        <v>231</v>
      </c>
      <c r="Q41" s="37" t="s">
        <v>317</v>
      </c>
      <c r="R41" s="37">
        <v>16170994</v>
      </c>
    </row>
    <row r="42" spans="1:18" ht="15" customHeight="1" x14ac:dyDescent="0.25">
      <c r="A42" s="38" t="s">
        <v>377</v>
      </c>
      <c r="B42" s="38" t="s">
        <v>343</v>
      </c>
      <c r="C42" s="38" t="str">
        <f t="shared" si="0"/>
        <v>PATRICIA MILLER</v>
      </c>
      <c r="D42" s="42" t="s">
        <v>147</v>
      </c>
      <c r="E42" s="37" t="s">
        <v>274</v>
      </c>
      <c r="F42" s="41">
        <v>46023</v>
      </c>
      <c r="G42" s="40">
        <v>99991231</v>
      </c>
      <c r="H42" s="40">
        <v>20251108</v>
      </c>
      <c r="I42" s="38" t="s">
        <v>27</v>
      </c>
      <c r="J42" s="39">
        <v>28.92</v>
      </c>
      <c r="K42" s="38">
        <v>1</v>
      </c>
      <c r="L42" s="38">
        <v>0</v>
      </c>
      <c r="M42" s="39">
        <v>0</v>
      </c>
      <c r="N42" s="39">
        <v>28.92</v>
      </c>
      <c r="O42" s="37" t="s">
        <v>232</v>
      </c>
      <c r="P42" s="37" t="s">
        <v>231</v>
      </c>
      <c r="Q42" s="37" t="s">
        <v>317</v>
      </c>
      <c r="R42" s="37">
        <v>16170994</v>
      </c>
    </row>
    <row r="43" spans="1:18" ht="15" customHeight="1" x14ac:dyDescent="0.25">
      <c r="A43" s="38" t="s">
        <v>379</v>
      </c>
      <c r="B43" s="38" t="s">
        <v>380</v>
      </c>
      <c r="C43" s="38" t="str">
        <f t="shared" si="0"/>
        <v>WILLIAM NEVISON</v>
      </c>
      <c r="D43" s="42" t="s">
        <v>149</v>
      </c>
      <c r="E43" s="37" t="s">
        <v>275</v>
      </c>
      <c r="F43" s="41">
        <v>46023</v>
      </c>
      <c r="G43" s="40">
        <v>99991231</v>
      </c>
      <c r="H43" s="40">
        <v>20251124</v>
      </c>
      <c r="I43" s="38" t="s">
        <v>27</v>
      </c>
      <c r="J43" s="39">
        <v>28.92</v>
      </c>
      <c r="K43" s="38">
        <v>1</v>
      </c>
      <c r="L43" s="38">
        <v>0</v>
      </c>
      <c r="M43" s="39">
        <v>0</v>
      </c>
      <c r="N43" s="39">
        <v>28.92</v>
      </c>
      <c r="O43" s="37" t="s">
        <v>232</v>
      </c>
      <c r="P43" s="37" t="s">
        <v>231</v>
      </c>
      <c r="Q43" s="37" t="s">
        <v>317</v>
      </c>
      <c r="R43" s="37">
        <v>16170994</v>
      </c>
    </row>
    <row r="44" spans="1:18" ht="15" customHeight="1" x14ac:dyDescent="0.25">
      <c r="A44" s="38" t="s">
        <v>381</v>
      </c>
      <c r="B44" s="38" t="s">
        <v>382</v>
      </c>
      <c r="C44" s="38" t="str">
        <f t="shared" si="0"/>
        <v>THOMAS NOVAK</v>
      </c>
      <c r="D44" s="42" t="s">
        <v>152</v>
      </c>
      <c r="E44" s="37" t="s">
        <v>276</v>
      </c>
      <c r="F44" s="41">
        <v>46023</v>
      </c>
      <c r="G44" s="40">
        <v>99991231</v>
      </c>
      <c r="H44" s="40">
        <v>20251125</v>
      </c>
      <c r="I44" s="38" t="s">
        <v>27</v>
      </c>
      <c r="J44" s="39">
        <v>28.92</v>
      </c>
      <c r="K44" s="38">
        <v>1</v>
      </c>
      <c r="L44" s="38">
        <v>0</v>
      </c>
      <c r="M44" s="39">
        <v>0</v>
      </c>
      <c r="N44" s="39">
        <v>28.92</v>
      </c>
      <c r="O44" s="37" t="s">
        <v>232</v>
      </c>
      <c r="P44" s="37" t="s">
        <v>231</v>
      </c>
      <c r="Q44" s="37" t="s">
        <v>317</v>
      </c>
      <c r="R44" s="37">
        <v>16170994</v>
      </c>
    </row>
    <row r="45" spans="1:18" ht="15" customHeight="1" x14ac:dyDescent="0.25">
      <c r="A45" s="38" t="s">
        <v>383</v>
      </c>
      <c r="B45" s="38" t="s">
        <v>384</v>
      </c>
      <c r="C45" s="38" t="str">
        <f t="shared" si="0"/>
        <v>CHARLENE PICHLER</v>
      </c>
      <c r="D45" s="42" t="s">
        <v>156</v>
      </c>
      <c r="E45" s="37" t="s">
        <v>277</v>
      </c>
      <c r="F45" s="41">
        <v>46023</v>
      </c>
      <c r="G45" s="40">
        <v>99991231</v>
      </c>
      <c r="H45" s="40">
        <v>20251106</v>
      </c>
      <c r="I45" s="38" t="s">
        <v>27</v>
      </c>
      <c r="J45" s="39">
        <v>28.92</v>
      </c>
      <c r="K45" s="38">
        <v>1</v>
      </c>
      <c r="L45" s="38">
        <v>0</v>
      </c>
      <c r="M45" s="39">
        <v>0</v>
      </c>
      <c r="N45" s="39">
        <v>28.92</v>
      </c>
      <c r="O45" s="37" t="s">
        <v>232</v>
      </c>
      <c r="P45" s="37" t="s">
        <v>231</v>
      </c>
      <c r="Q45" s="37" t="s">
        <v>317</v>
      </c>
      <c r="R45" s="37">
        <v>16170994</v>
      </c>
    </row>
    <row r="46" spans="1:18" ht="15" customHeight="1" x14ac:dyDescent="0.25">
      <c r="A46" s="38" t="s">
        <v>385</v>
      </c>
      <c r="B46" s="38" t="s">
        <v>386</v>
      </c>
      <c r="C46" s="38" t="str">
        <f t="shared" si="0"/>
        <v>NANCY PLAIN</v>
      </c>
      <c r="D46" s="42" t="s">
        <v>159</v>
      </c>
      <c r="E46" s="37" t="s">
        <v>278</v>
      </c>
      <c r="F46" s="41">
        <v>46023</v>
      </c>
      <c r="G46" s="40">
        <v>99991231</v>
      </c>
      <c r="H46" s="40">
        <v>20251111</v>
      </c>
      <c r="I46" s="38" t="s">
        <v>27</v>
      </c>
      <c r="J46" s="39">
        <v>28.92</v>
      </c>
      <c r="K46" s="38">
        <v>1</v>
      </c>
      <c r="L46" s="38">
        <v>0</v>
      </c>
      <c r="M46" s="39">
        <v>0</v>
      </c>
      <c r="N46" s="39">
        <v>28.92</v>
      </c>
      <c r="O46" s="37" t="s">
        <v>232</v>
      </c>
      <c r="P46" s="37" t="s">
        <v>231</v>
      </c>
      <c r="Q46" s="37" t="s">
        <v>317</v>
      </c>
      <c r="R46" s="37">
        <v>16170994</v>
      </c>
    </row>
    <row r="47" spans="1:18" ht="15" customHeight="1" x14ac:dyDescent="0.25">
      <c r="A47" s="38" t="s">
        <v>387</v>
      </c>
      <c r="B47" s="38" t="s">
        <v>388</v>
      </c>
      <c r="C47" s="38" t="str">
        <f t="shared" si="0"/>
        <v>VICKI POPE</v>
      </c>
      <c r="D47" s="42" t="s">
        <v>162</v>
      </c>
      <c r="E47" s="37" t="s">
        <v>279</v>
      </c>
      <c r="F47" s="41">
        <v>46023</v>
      </c>
      <c r="G47" s="40">
        <v>99991231</v>
      </c>
      <c r="H47" s="40">
        <v>20251106</v>
      </c>
      <c r="I47" s="38" t="s">
        <v>27</v>
      </c>
      <c r="J47" s="39">
        <v>28.92</v>
      </c>
      <c r="K47" s="38">
        <v>1</v>
      </c>
      <c r="L47" s="38">
        <v>0</v>
      </c>
      <c r="M47" s="39">
        <v>0</v>
      </c>
      <c r="N47" s="39">
        <v>28.92</v>
      </c>
      <c r="O47" s="37" t="s">
        <v>232</v>
      </c>
      <c r="P47" s="37" t="s">
        <v>231</v>
      </c>
      <c r="Q47" s="37" t="s">
        <v>317</v>
      </c>
      <c r="R47" s="37">
        <v>16170994</v>
      </c>
    </row>
    <row r="48" spans="1:18" ht="15" customHeight="1" x14ac:dyDescent="0.25">
      <c r="A48" s="38" t="s">
        <v>389</v>
      </c>
      <c r="B48" s="38" t="s">
        <v>390</v>
      </c>
      <c r="C48" s="38" t="str">
        <f t="shared" si="0"/>
        <v>ZENOWIJ PORCHOWSKY</v>
      </c>
      <c r="D48" s="42" t="s">
        <v>164</v>
      </c>
      <c r="E48" s="37" t="s">
        <v>280</v>
      </c>
      <c r="F48" s="41">
        <v>46023</v>
      </c>
      <c r="G48" s="40">
        <v>99991231</v>
      </c>
      <c r="H48" s="40">
        <v>20251104</v>
      </c>
      <c r="I48" s="38" t="s">
        <v>27</v>
      </c>
      <c r="J48" s="39">
        <v>28.92</v>
      </c>
      <c r="K48" s="38">
        <v>1</v>
      </c>
      <c r="L48" s="38">
        <v>0</v>
      </c>
      <c r="M48" s="39">
        <v>0</v>
      </c>
      <c r="N48" s="39">
        <v>28.92</v>
      </c>
      <c r="O48" s="37" t="s">
        <v>232</v>
      </c>
      <c r="P48" s="37" t="s">
        <v>231</v>
      </c>
      <c r="Q48" s="37" t="s">
        <v>317</v>
      </c>
      <c r="R48" s="37">
        <v>16170994</v>
      </c>
    </row>
    <row r="49" spans="1:18" ht="15" customHeight="1" x14ac:dyDescent="0.25">
      <c r="A49" s="38" t="s">
        <v>391</v>
      </c>
      <c r="B49" s="38" t="s">
        <v>347</v>
      </c>
      <c r="C49" s="38" t="str">
        <f t="shared" si="0"/>
        <v>CAROL RANALDI</v>
      </c>
      <c r="D49" s="42" t="s">
        <v>166</v>
      </c>
      <c r="E49" s="37" t="s">
        <v>281</v>
      </c>
      <c r="F49" s="41">
        <v>46023</v>
      </c>
      <c r="G49" s="40">
        <v>99991231</v>
      </c>
      <c r="H49" s="40">
        <v>20251110</v>
      </c>
      <c r="I49" s="38" t="s">
        <v>27</v>
      </c>
      <c r="J49" s="39">
        <v>28.92</v>
      </c>
      <c r="K49" s="38">
        <v>1</v>
      </c>
      <c r="L49" s="38">
        <v>0</v>
      </c>
      <c r="M49" s="39">
        <v>0</v>
      </c>
      <c r="N49" s="39">
        <v>28.92</v>
      </c>
      <c r="O49" s="37" t="s">
        <v>232</v>
      </c>
      <c r="P49" s="37" t="s">
        <v>231</v>
      </c>
      <c r="Q49" s="37" t="s">
        <v>317</v>
      </c>
      <c r="R49" s="37">
        <v>16170994</v>
      </c>
    </row>
    <row r="50" spans="1:18" ht="15" customHeight="1" x14ac:dyDescent="0.25">
      <c r="A50" s="38" t="s">
        <v>392</v>
      </c>
      <c r="B50" s="38" t="s">
        <v>359</v>
      </c>
      <c r="C50" s="38" t="str">
        <f t="shared" si="0"/>
        <v>CHERYL RAUSCHENBERGER</v>
      </c>
      <c r="D50" s="42" t="s">
        <v>171</v>
      </c>
      <c r="E50" s="37" t="s">
        <v>282</v>
      </c>
      <c r="F50" s="41">
        <v>45992</v>
      </c>
      <c r="G50" s="40">
        <v>99991231</v>
      </c>
      <c r="H50" s="40">
        <v>20200401</v>
      </c>
      <c r="I50" s="38" t="s">
        <v>27</v>
      </c>
      <c r="J50" s="39">
        <v>28.92</v>
      </c>
      <c r="K50" s="38">
        <v>1</v>
      </c>
      <c r="L50" s="38">
        <v>0</v>
      </c>
      <c r="M50" s="39">
        <v>0</v>
      </c>
      <c r="N50" s="39">
        <v>28.92</v>
      </c>
      <c r="O50" s="37" t="s">
        <v>232</v>
      </c>
      <c r="P50" s="37" t="s">
        <v>231</v>
      </c>
      <c r="Q50" s="37" t="s">
        <v>317</v>
      </c>
      <c r="R50" s="37">
        <v>16170994</v>
      </c>
    </row>
    <row r="51" spans="1:18" ht="15" customHeight="1" x14ac:dyDescent="0.25">
      <c r="A51" s="38" t="s">
        <v>392</v>
      </c>
      <c r="B51" s="38" t="s">
        <v>393</v>
      </c>
      <c r="C51" s="38" t="str">
        <f t="shared" si="0"/>
        <v>ROGER RAUSCHENBERGER</v>
      </c>
      <c r="D51" s="42" t="s">
        <v>174</v>
      </c>
      <c r="E51" s="37" t="s">
        <v>283</v>
      </c>
      <c r="F51" s="41">
        <v>45992</v>
      </c>
      <c r="G51" s="40">
        <v>99991231</v>
      </c>
      <c r="H51" s="40">
        <v>20200401</v>
      </c>
      <c r="I51" s="38" t="s">
        <v>27</v>
      </c>
      <c r="J51" s="39">
        <v>28.92</v>
      </c>
      <c r="K51" s="38">
        <v>1</v>
      </c>
      <c r="L51" s="38">
        <v>0</v>
      </c>
      <c r="M51" s="39">
        <v>0</v>
      </c>
      <c r="N51" s="39">
        <v>28.92</v>
      </c>
      <c r="O51" s="37" t="s">
        <v>232</v>
      </c>
      <c r="P51" s="37" t="s">
        <v>231</v>
      </c>
      <c r="Q51" s="37" t="s">
        <v>317</v>
      </c>
      <c r="R51" s="37">
        <v>16170994</v>
      </c>
    </row>
    <row r="52" spans="1:18" ht="15" customHeight="1" x14ac:dyDescent="0.25">
      <c r="A52" s="38" t="s">
        <v>394</v>
      </c>
      <c r="B52" s="38" t="s">
        <v>395</v>
      </c>
      <c r="C52" s="38" t="str">
        <f t="shared" si="0"/>
        <v>JAMES REGALLIS</v>
      </c>
      <c r="D52" s="42" t="s">
        <v>178</v>
      </c>
      <c r="E52" s="37" t="s">
        <v>284</v>
      </c>
      <c r="F52" s="41">
        <v>46023</v>
      </c>
      <c r="G52" s="40">
        <v>99991231</v>
      </c>
      <c r="H52" s="40">
        <v>20251128</v>
      </c>
      <c r="I52" s="38" t="s">
        <v>27</v>
      </c>
      <c r="J52" s="39">
        <v>28.92</v>
      </c>
      <c r="K52" s="38">
        <v>1</v>
      </c>
      <c r="L52" s="38">
        <v>0</v>
      </c>
      <c r="M52" s="39">
        <v>0</v>
      </c>
      <c r="N52" s="39">
        <v>28.92</v>
      </c>
      <c r="O52" s="37" t="s">
        <v>232</v>
      </c>
      <c r="P52" s="37" t="s">
        <v>231</v>
      </c>
      <c r="Q52" s="37" t="s">
        <v>317</v>
      </c>
      <c r="R52" s="37">
        <v>16170994</v>
      </c>
    </row>
    <row r="53" spans="1:18" ht="15" customHeight="1" x14ac:dyDescent="0.25">
      <c r="A53" s="38" t="s">
        <v>396</v>
      </c>
      <c r="B53" s="38" t="s">
        <v>326</v>
      </c>
      <c r="C53" s="38" t="str">
        <f t="shared" si="0"/>
        <v>LINDA ROLLING</v>
      </c>
      <c r="D53" s="42" t="s">
        <v>180</v>
      </c>
      <c r="E53" s="37" t="s">
        <v>285</v>
      </c>
      <c r="F53" s="41">
        <v>46054</v>
      </c>
      <c r="G53" s="40">
        <v>99991231</v>
      </c>
      <c r="H53" s="40">
        <v>20260107</v>
      </c>
      <c r="I53" s="38" t="s">
        <v>27</v>
      </c>
      <c r="J53" s="39">
        <v>28.92</v>
      </c>
      <c r="K53" s="38">
        <v>1</v>
      </c>
      <c r="L53" s="38">
        <v>0</v>
      </c>
      <c r="M53" s="39">
        <v>0</v>
      </c>
      <c r="N53" s="39">
        <v>28.92</v>
      </c>
      <c r="O53" s="37" t="s">
        <v>232</v>
      </c>
      <c r="P53" s="37" t="s">
        <v>231</v>
      </c>
      <c r="Q53" s="37" t="s">
        <v>317</v>
      </c>
      <c r="R53" s="37">
        <v>16170994</v>
      </c>
    </row>
    <row r="54" spans="1:18" ht="15" customHeight="1" x14ac:dyDescent="0.25">
      <c r="A54" s="38" t="s">
        <v>397</v>
      </c>
      <c r="B54" s="38" t="s">
        <v>398</v>
      </c>
      <c r="C54" s="38" t="str">
        <f t="shared" si="0"/>
        <v>ANGELA ROSE</v>
      </c>
      <c r="D54" s="42" t="s">
        <v>183</v>
      </c>
      <c r="E54" s="37" t="s">
        <v>286</v>
      </c>
      <c r="F54" s="41">
        <v>46023</v>
      </c>
      <c r="G54" s="40">
        <v>99991231</v>
      </c>
      <c r="H54" s="40">
        <v>20251015</v>
      </c>
      <c r="I54" s="38" t="s">
        <v>27</v>
      </c>
      <c r="J54" s="39">
        <v>28.92</v>
      </c>
      <c r="K54" s="38">
        <v>1</v>
      </c>
      <c r="L54" s="38">
        <v>0</v>
      </c>
      <c r="M54" s="39">
        <v>0</v>
      </c>
      <c r="N54" s="39">
        <v>28.92</v>
      </c>
      <c r="O54" s="37" t="s">
        <v>232</v>
      </c>
      <c r="P54" s="37" t="s">
        <v>231</v>
      </c>
      <c r="Q54" s="37" t="s">
        <v>317</v>
      </c>
      <c r="R54" s="37">
        <v>16170994</v>
      </c>
    </row>
    <row r="55" spans="1:18" ht="15" customHeight="1" x14ac:dyDescent="0.25">
      <c r="A55" s="38" t="s">
        <v>397</v>
      </c>
      <c r="B55" s="38" t="s">
        <v>399</v>
      </c>
      <c r="C55" s="38" t="str">
        <f t="shared" si="0"/>
        <v>BRENDA ROSE</v>
      </c>
      <c r="D55" s="42" t="s">
        <v>185</v>
      </c>
      <c r="E55" s="37" t="s">
        <v>287</v>
      </c>
      <c r="F55" s="41">
        <v>46054</v>
      </c>
      <c r="G55" s="40">
        <v>99991231</v>
      </c>
      <c r="H55" s="40">
        <v>20260108</v>
      </c>
      <c r="I55" s="38" t="s">
        <v>27</v>
      </c>
      <c r="J55" s="39">
        <v>28.92</v>
      </c>
      <c r="K55" s="38">
        <v>1</v>
      </c>
      <c r="L55" s="38">
        <v>0</v>
      </c>
      <c r="M55" s="39">
        <v>0</v>
      </c>
      <c r="N55" s="39">
        <v>28.92</v>
      </c>
      <c r="O55" s="37" t="s">
        <v>232</v>
      </c>
      <c r="P55" s="37" t="s">
        <v>231</v>
      </c>
      <c r="Q55" s="37" t="s">
        <v>317</v>
      </c>
      <c r="R55" s="37">
        <v>16170994</v>
      </c>
    </row>
    <row r="56" spans="1:18" ht="15" customHeight="1" x14ac:dyDescent="0.25">
      <c r="A56" s="38" t="s">
        <v>400</v>
      </c>
      <c r="B56" s="38" t="s">
        <v>401</v>
      </c>
      <c r="C56" s="38" t="str">
        <f t="shared" si="0"/>
        <v>TIFFANY ROSS</v>
      </c>
      <c r="D56" s="42" t="s">
        <v>188</v>
      </c>
      <c r="E56" s="37" t="s">
        <v>288</v>
      </c>
      <c r="F56" s="41">
        <v>45962</v>
      </c>
      <c r="G56" s="40">
        <v>99991231</v>
      </c>
      <c r="H56" s="40">
        <v>20251024</v>
      </c>
      <c r="I56" s="38" t="s">
        <v>27</v>
      </c>
      <c r="J56" s="39">
        <v>28.92</v>
      </c>
      <c r="K56" s="38">
        <v>1</v>
      </c>
      <c r="L56" s="38">
        <v>0</v>
      </c>
      <c r="M56" s="39">
        <v>0</v>
      </c>
      <c r="N56" s="39">
        <v>28.92</v>
      </c>
      <c r="O56" s="37" t="s">
        <v>232</v>
      </c>
      <c r="P56" s="37" t="s">
        <v>231</v>
      </c>
      <c r="Q56" s="37" t="s">
        <v>317</v>
      </c>
      <c r="R56" s="37">
        <v>16170994</v>
      </c>
    </row>
    <row r="57" spans="1:18" ht="15" customHeight="1" x14ac:dyDescent="0.25">
      <c r="A57" s="38" t="s">
        <v>402</v>
      </c>
      <c r="B57" s="38" t="s">
        <v>403</v>
      </c>
      <c r="C57" s="38" t="str">
        <f t="shared" si="0"/>
        <v>DAYNA SCHUBKEGEL</v>
      </c>
      <c r="D57" s="42" t="s">
        <v>192</v>
      </c>
      <c r="E57" s="37" t="s">
        <v>289</v>
      </c>
      <c r="F57" s="41">
        <v>46023</v>
      </c>
      <c r="G57" s="40">
        <v>99991231</v>
      </c>
      <c r="H57" s="40">
        <v>20251017</v>
      </c>
      <c r="I57" s="38" t="s">
        <v>27</v>
      </c>
      <c r="J57" s="39">
        <v>28.92</v>
      </c>
      <c r="K57" s="38">
        <v>1</v>
      </c>
      <c r="L57" s="38">
        <v>0</v>
      </c>
      <c r="M57" s="39">
        <v>0</v>
      </c>
      <c r="N57" s="39">
        <v>28.92</v>
      </c>
      <c r="O57" s="37" t="s">
        <v>232</v>
      </c>
      <c r="P57" s="37" t="s">
        <v>231</v>
      </c>
      <c r="Q57" s="37" t="s">
        <v>317</v>
      </c>
      <c r="R57" s="37">
        <v>16170994</v>
      </c>
    </row>
    <row r="58" spans="1:18" ht="15" customHeight="1" x14ac:dyDescent="0.25">
      <c r="A58" s="38" t="s">
        <v>402</v>
      </c>
      <c r="B58" s="38" t="s">
        <v>404</v>
      </c>
      <c r="C58" s="38" t="str">
        <f t="shared" si="0"/>
        <v>LELAND SCHUBKEGEL</v>
      </c>
      <c r="D58" s="42" t="s">
        <v>195</v>
      </c>
      <c r="E58" s="37" t="s">
        <v>290</v>
      </c>
      <c r="F58" s="41">
        <v>46023</v>
      </c>
      <c r="G58" s="40">
        <v>99991231</v>
      </c>
      <c r="H58" s="40">
        <v>20251017</v>
      </c>
      <c r="I58" s="38" t="s">
        <v>27</v>
      </c>
      <c r="J58" s="39">
        <v>28.92</v>
      </c>
      <c r="K58" s="38">
        <v>1</v>
      </c>
      <c r="L58" s="38">
        <v>0</v>
      </c>
      <c r="M58" s="39">
        <v>0</v>
      </c>
      <c r="N58" s="39">
        <v>28.92</v>
      </c>
      <c r="O58" s="37" t="s">
        <v>232</v>
      </c>
      <c r="P58" s="37" t="s">
        <v>231</v>
      </c>
      <c r="Q58" s="37" t="s">
        <v>317</v>
      </c>
      <c r="R58" s="37">
        <v>16170994</v>
      </c>
    </row>
    <row r="59" spans="1:18" ht="15" customHeight="1" x14ac:dyDescent="0.25">
      <c r="A59" s="38" t="s">
        <v>405</v>
      </c>
      <c r="B59" s="38" t="s">
        <v>406</v>
      </c>
      <c r="C59" s="38" t="str">
        <f t="shared" si="0"/>
        <v>LARRY SHANK</v>
      </c>
      <c r="D59" s="42" t="s">
        <v>197</v>
      </c>
      <c r="E59" s="37" t="s">
        <v>291</v>
      </c>
      <c r="F59" s="41">
        <v>46023</v>
      </c>
      <c r="G59" s="40">
        <v>99991231</v>
      </c>
      <c r="H59" s="40">
        <v>20251022</v>
      </c>
      <c r="I59" s="38" t="s">
        <v>27</v>
      </c>
      <c r="J59" s="39">
        <v>28.92</v>
      </c>
      <c r="K59" s="38">
        <v>1</v>
      </c>
      <c r="L59" s="38">
        <v>0</v>
      </c>
      <c r="M59" s="39">
        <v>0</v>
      </c>
      <c r="N59" s="39">
        <v>28.92</v>
      </c>
      <c r="O59" s="37" t="s">
        <v>232</v>
      </c>
      <c r="P59" s="37" t="s">
        <v>231</v>
      </c>
      <c r="Q59" s="37" t="s">
        <v>317</v>
      </c>
      <c r="R59" s="37">
        <v>16170994</v>
      </c>
    </row>
    <row r="60" spans="1:18" ht="15" customHeight="1" x14ac:dyDescent="0.25">
      <c r="A60" s="38" t="s">
        <v>405</v>
      </c>
      <c r="B60" s="38" t="s">
        <v>407</v>
      </c>
      <c r="C60" s="38" t="str">
        <f t="shared" si="0"/>
        <v>MARILYN SHANK</v>
      </c>
      <c r="D60" s="42" t="s">
        <v>199</v>
      </c>
      <c r="E60" s="37" t="s">
        <v>292</v>
      </c>
      <c r="F60" s="41">
        <v>46023</v>
      </c>
      <c r="G60" s="40">
        <v>99991231</v>
      </c>
      <c r="H60" s="40">
        <v>20251022</v>
      </c>
      <c r="I60" s="38" t="s">
        <v>27</v>
      </c>
      <c r="J60" s="39">
        <v>28.92</v>
      </c>
      <c r="K60" s="38">
        <v>1</v>
      </c>
      <c r="L60" s="38">
        <v>0</v>
      </c>
      <c r="M60" s="39">
        <v>0</v>
      </c>
      <c r="N60" s="39">
        <v>28.92</v>
      </c>
      <c r="O60" s="37" t="s">
        <v>232</v>
      </c>
      <c r="P60" s="37" t="s">
        <v>231</v>
      </c>
      <c r="Q60" s="37" t="s">
        <v>317</v>
      </c>
      <c r="R60" s="37">
        <v>16170994</v>
      </c>
    </row>
    <row r="61" spans="1:18" ht="15" customHeight="1" x14ac:dyDescent="0.25">
      <c r="A61" s="38" t="s">
        <v>408</v>
      </c>
      <c r="B61" s="38" t="s">
        <v>409</v>
      </c>
      <c r="C61" s="38" t="str">
        <f t="shared" si="0"/>
        <v>DAVID SMITH</v>
      </c>
      <c r="D61" s="42" t="s">
        <v>201</v>
      </c>
      <c r="E61" s="37" t="s">
        <v>293</v>
      </c>
      <c r="F61" s="41">
        <v>46023</v>
      </c>
      <c r="G61" s="40">
        <v>99991231</v>
      </c>
      <c r="H61" s="40">
        <v>20251022</v>
      </c>
      <c r="I61" s="38" t="s">
        <v>27</v>
      </c>
      <c r="J61" s="39">
        <v>28.92</v>
      </c>
      <c r="K61" s="38">
        <v>1</v>
      </c>
      <c r="L61" s="38">
        <v>0</v>
      </c>
      <c r="M61" s="39">
        <v>0</v>
      </c>
      <c r="N61" s="39">
        <v>28.92</v>
      </c>
      <c r="O61" s="37" t="s">
        <v>232</v>
      </c>
      <c r="P61" s="37" t="s">
        <v>231</v>
      </c>
      <c r="Q61" s="37" t="s">
        <v>317</v>
      </c>
      <c r="R61" s="37">
        <v>16170994</v>
      </c>
    </row>
    <row r="62" spans="1:18" ht="15" customHeight="1" x14ac:dyDescent="0.25">
      <c r="A62" s="38" t="s">
        <v>410</v>
      </c>
      <c r="B62" s="38" t="s">
        <v>411</v>
      </c>
      <c r="C62" s="38" t="str">
        <f t="shared" si="0"/>
        <v>REGENA STIFFLER</v>
      </c>
      <c r="D62" s="42" t="s">
        <v>203</v>
      </c>
      <c r="E62" s="37" t="s">
        <v>294</v>
      </c>
      <c r="F62" s="41">
        <v>46023</v>
      </c>
      <c r="G62" s="40">
        <v>99991231</v>
      </c>
      <c r="H62" s="40">
        <v>20251015</v>
      </c>
      <c r="I62" s="38" t="s">
        <v>27</v>
      </c>
      <c r="J62" s="39">
        <v>28.92</v>
      </c>
      <c r="K62" s="38">
        <v>1</v>
      </c>
      <c r="L62" s="38">
        <v>0</v>
      </c>
      <c r="M62" s="39">
        <v>0</v>
      </c>
      <c r="N62" s="39">
        <v>28.92</v>
      </c>
      <c r="O62" s="37" t="s">
        <v>232</v>
      </c>
      <c r="P62" s="37" t="s">
        <v>231</v>
      </c>
      <c r="Q62" s="37" t="s">
        <v>317</v>
      </c>
      <c r="R62" s="37">
        <v>16170994</v>
      </c>
    </row>
    <row r="63" spans="1:18" ht="15" customHeight="1" x14ac:dyDescent="0.25">
      <c r="A63" s="38" t="s">
        <v>412</v>
      </c>
      <c r="B63" s="38" t="s">
        <v>413</v>
      </c>
      <c r="C63" s="38" t="str">
        <f t="shared" si="0"/>
        <v>TONI SZYMCZYK</v>
      </c>
      <c r="D63" s="42" t="s">
        <v>208</v>
      </c>
      <c r="E63" s="37" t="s">
        <v>295</v>
      </c>
      <c r="F63" s="41">
        <v>46023</v>
      </c>
      <c r="G63" s="40">
        <v>99991231</v>
      </c>
      <c r="H63" s="40">
        <v>20251110</v>
      </c>
      <c r="I63" s="38" t="s">
        <v>27</v>
      </c>
      <c r="J63" s="39">
        <v>28.92</v>
      </c>
      <c r="K63" s="38">
        <v>1</v>
      </c>
      <c r="L63" s="38">
        <v>0</v>
      </c>
      <c r="M63" s="39">
        <v>0</v>
      </c>
      <c r="N63" s="39">
        <v>28.92</v>
      </c>
      <c r="O63" s="37" t="s">
        <v>232</v>
      </c>
      <c r="P63" s="37" t="s">
        <v>231</v>
      </c>
      <c r="Q63" s="37" t="s">
        <v>317</v>
      </c>
      <c r="R63" s="37">
        <v>16170994</v>
      </c>
    </row>
    <row r="64" spans="1:18" ht="15" customHeight="1" x14ac:dyDescent="0.25">
      <c r="A64" s="38" t="s">
        <v>414</v>
      </c>
      <c r="B64" s="38" t="s">
        <v>415</v>
      </c>
      <c r="C64" s="38" t="str">
        <f t="shared" si="0"/>
        <v>CHRISTOPHER TUMA</v>
      </c>
      <c r="D64" s="42" t="s">
        <v>210</v>
      </c>
      <c r="E64" s="37" t="s">
        <v>296</v>
      </c>
      <c r="F64" s="41">
        <v>46023</v>
      </c>
      <c r="G64" s="40">
        <v>99991231</v>
      </c>
      <c r="H64" s="40">
        <v>20251114</v>
      </c>
      <c r="I64" s="38" t="s">
        <v>27</v>
      </c>
      <c r="J64" s="39">
        <v>28.92</v>
      </c>
      <c r="K64" s="38">
        <v>1</v>
      </c>
      <c r="L64" s="38">
        <v>0</v>
      </c>
      <c r="M64" s="39">
        <v>0</v>
      </c>
      <c r="N64" s="39">
        <v>28.92</v>
      </c>
      <c r="O64" s="37" t="s">
        <v>232</v>
      </c>
      <c r="P64" s="37" t="s">
        <v>231</v>
      </c>
      <c r="Q64" s="37" t="s">
        <v>317</v>
      </c>
      <c r="R64" s="37">
        <v>16170994</v>
      </c>
    </row>
    <row r="65" spans="1:18" ht="15" customHeight="1" x14ac:dyDescent="0.25">
      <c r="A65" s="38" t="s">
        <v>416</v>
      </c>
      <c r="B65" s="38" t="s">
        <v>347</v>
      </c>
      <c r="C65" s="38" t="str">
        <f t="shared" si="0"/>
        <v>CAROL ULASZEWSKI</v>
      </c>
      <c r="D65" s="42" t="s">
        <v>213</v>
      </c>
      <c r="E65" s="37" t="s">
        <v>297</v>
      </c>
      <c r="F65" s="41">
        <v>46023</v>
      </c>
      <c r="G65" s="40">
        <v>99991231</v>
      </c>
      <c r="H65" s="40">
        <v>20251105</v>
      </c>
      <c r="I65" s="38" t="s">
        <v>27</v>
      </c>
      <c r="J65" s="39">
        <v>28.92</v>
      </c>
      <c r="K65" s="38">
        <v>1</v>
      </c>
      <c r="L65" s="38">
        <v>0</v>
      </c>
      <c r="M65" s="39">
        <v>0</v>
      </c>
      <c r="N65" s="39">
        <v>28.92</v>
      </c>
      <c r="O65" s="37" t="s">
        <v>232</v>
      </c>
      <c r="P65" s="37" t="s">
        <v>231</v>
      </c>
      <c r="Q65" s="37" t="s">
        <v>317</v>
      </c>
      <c r="R65" s="37">
        <v>16170994</v>
      </c>
    </row>
    <row r="66" spans="1:18" ht="15" customHeight="1" x14ac:dyDescent="0.25">
      <c r="A66" s="38" t="s">
        <v>417</v>
      </c>
      <c r="B66" s="38" t="s">
        <v>418</v>
      </c>
      <c r="C66" s="38" t="str">
        <f t="shared" si="0"/>
        <v>PATRICE VARZELLE</v>
      </c>
      <c r="D66" s="42" t="s">
        <v>216</v>
      </c>
      <c r="E66" s="37" t="s">
        <v>298</v>
      </c>
      <c r="F66" s="41">
        <v>46023</v>
      </c>
      <c r="G66" s="40">
        <v>99991231</v>
      </c>
      <c r="H66" s="40">
        <v>20251125</v>
      </c>
      <c r="I66" s="38" t="s">
        <v>27</v>
      </c>
      <c r="J66" s="39">
        <v>28.92</v>
      </c>
      <c r="K66" s="38">
        <v>1</v>
      </c>
      <c r="L66" s="38">
        <v>0</v>
      </c>
      <c r="M66" s="39">
        <v>0</v>
      </c>
      <c r="N66" s="39">
        <v>28.92</v>
      </c>
      <c r="O66" s="37" t="s">
        <v>232</v>
      </c>
      <c r="P66" s="37" t="s">
        <v>231</v>
      </c>
      <c r="Q66" s="37" t="s">
        <v>317</v>
      </c>
      <c r="R66" s="37">
        <v>16170994</v>
      </c>
    </row>
    <row r="67" spans="1:18" ht="15" customHeight="1" x14ac:dyDescent="0.25">
      <c r="A67" s="38" t="s">
        <v>419</v>
      </c>
      <c r="B67" s="38" t="s">
        <v>349</v>
      </c>
      <c r="C67" s="38" t="str">
        <f t="shared" ref="C67:C84" si="1">CONCATENATE(B67," ",A67)</f>
        <v>MARY WILSON</v>
      </c>
      <c r="D67" s="42" t="s">
        <v>222</v>
      </c>
      <c r="E67" s="37" t="s">
        <v>299</v>
      </c>
      <c r="F67" s="41">
        <v>46023</v>
      </c>
      <c r="G67" s="40">
        <v>99991231</v>
      </c>
      <c r="H67" s="40">
        <v>20251123</v>
      </c>
      <c r="I67" s="38" t="s">
        <v>27</v>
      </c>
      <c r="J67" s="39">
        <v>28.92</v>
      </c>
      <c r="K67" s="38">
        <v>1</v>
      </c>
      <c r="L67" s="38">
        <v>0</v>
      </c>
      <c r="M67" s="39">
        <v>0</v>
      </c>
      <c r="N67" s="39">
        <v>28.92</v>
      </c>
      <c r="O67" s="37" t="s">
        <v>232</v>
      </c>
      <c r="P67" s="37" t="s">
        <v>231</v>
      </c>
      <c r="Q67" s="37" t="s">
        <v>317</v>
      </c>
      <c r="R67" s="37">
        <v>16170994</v>
      </c>
    </row>
    <row r="68" spans="1:18" ht="15" customHeight="1" x14ac:dyDescent="0.25">
      <c r="A68" s="38" t="s">
        <v>420</v>
      </c>
      <c r="B68" s="38" t="s">
        <v>421</v>
      </c>
      <c r="C68" s="38" t="str">
        <f t="shared" si="1"/>
        <v>NADINE ZIDAR</v>
      </c>
      <c r="D68" s="42" t="s">
        <v>225</v>
      </c>
      <c r="E68" s="37" t="s">
        <v>300</v>
      </c>
      <c r="F68" s="41">
        <v>45992</v>
      </c>
      <c r="G68" s="40">
        <v>99991231</v>
      </c>
      <c r="H68" s="40">
        <v>20200201</v>
      </c>
      <c r="I68" s="38" t="s">
        <v>27</v>
      </c>
      <c r="J68" s="39">
        <v>28.92</v>
      </c>
      <c r="K68" s="38">
        <v>1</v>
      </c>
      <c r="L68" s="38">
        <v>0</v>
      </c>
      <c r="M68" s="39">
        <v>0</v>
      </c>
      <c r="N68" s="39">
        <v>28.92</v>
      </c>
      <c r="O68" s="37" t="s">
        <v>232</v>
      </c>
      <c r="P68" s="37" t="s">
        <v>231</v>
      </c>
      <c r="Q68" s="37" t="s">
        <v>317</v>
      </c>
      <c r="R68" s="37">
        <v>16170994</v>
      </c>
    </row>
    <row r="69" spans="1:18" ht="15" customHeight="1" x14ac:dyDescent="0.25">
      <c r="A69" s="38" t="s">
        <v>422</v>
      </c>
      <c r="B69" s="38" t="s">
        <v>423</v>
      </c>
      <c r="C69" s="38" t="str">
        <f t="shared" si="1"/>
        <v>BONNIE ZUPKOW</v>
      </c>
      <c r="D69" s="42" t="s">
        <v>228</v>
      </c>
      <c r="E69" s="37" t="s">
        <v>301</v>
      </c>
      <c r="F69" s="41">
        <v>46023</v>
      </c>
      <c r="G69" s="40">
        <v>99991231</v>
      </c>
      <c r="H69" s="40">
        <v>20251022</v>
      </c>
      <c r="I69" s="38" t="s">
        <v>27</v>
      </c>
      <c r="J69" s="39">
        <v>28.92</v>
      </c>
      <c r="K69" s="38">
        <v>1</v>
      </c>
      <c r="L69" s="38">
        <v>0</v>
      </c>
      <c r="M69" s="39">
        <v>0</v>
      </c>
      <c r="N69" s="39">
        <v>28.92</v>
      </c>
      <c r="O69" s="37" t="s">
        <v>232</v>
      </c>
      <c r="P69" s="37" t="s">
        <v>231</v>
      </c>
      <c r="Q69" s="37" t="s">
        <v>317</v>
      </c>
      <c r="R69" s="37">
        <v>16170994</v>
      </c>
    </row>
    <row r="70" spans="1:18" ht="15" customHeight="1" x14ac:dyDescent="0.25">
      <c r="A70" s="38" t="s">
        <v>424</v>
      </c>
      <c r="B70" s="38" t="s">
        <v>324</v>
      </c>
      <c r="C70" s="38" t="str">
        <f t="shared" si="1"/>
        <v>DONALD ALBRIGHT</v>
      </c>
      <c r="D70" s="42" t="s">
        <v>25</v>
      </c>
      <c r="E70" s="37" t="s">
        <v>302</v>
      </c>
      <c r="F70" s="41">
        <v>46023</v>
      </c>
      <c r="G70" s="40">
        <v>99991231</v>
      </c>
      <c r="H70" s="40">
        <v>20251206</v>
      </c>
      <c r="I70" s="38" t="s">
        <v>27</v>
      </c>
      <c r="J70" s="39">
        <v>28.92</v>
      </c>
      <c r="K70" s="38">
        <v>1</v>
      </c>
      <c r="L70" s="38">
        <v>1</v>
      </c>
      <c r="M70" s="39">
        <v>28.92</v>
      </c>
      <c r="N70" s="39">
        <v>57.84</v>
      </c>
      <c r="O70" s="37" t="s">
        <v>232</v>
      </c>
      <c r="P70" s="37" t="s">
        <v>233</v>
      </c>
      <c r="Q70" s="37" t="s">
        <v>317</v>
      </c>
      <c r="R70" s="37">
        <v>16170994</v>
      </c>
    </row>
    <row r="71" spans="1:18" ht="15" customHeight="1" x14ac:dyDescent="0.25">
      <c r="A71" s="38" t="s">
        <v>424</v>
      </c>
      <c r="B71" s="38" t="s">
        <v>425</v>
      </c>
      <c r="C71" s="38" t="str">
        <f t="shared" si="1"/>
        <v>TERESA ALBRIGHT</v>
      </c>
      <c r="D71" s="42" t="s">
        <v>29</v>
      </c>
      <c r="E71" s="37" t="s">
        <v>303</v>
      </c>
      <c r="F71" s="41">
        <v>46023</v>
      </c>
      <c r="G71" s="40">
        <v>99991231</v>
      </c>
      <c r="H71" s="40">
        <v>20251206</v>
      </c>
      <c r="I71" s="38" t="s">
        <v>27</v>
      </c>
      <c r="J71" s="39">
        <v>28.92</v>
      </c>
      <c r="K71" s="38">
        <v>1</v>
      </c>
      <c r="L71" s="38">
        <v>1</v>
      </c>
      <c r="M71" s="39">
        <v>28.92</v>
      </c>
      <c r="N71" s="39">
        <v>57.84</v>
      </c>
      <c r="O71" s="37" t="s">
        <v>232</v>
      </c>
      <c r="P71" s="37" t="s">
        <v>233</v>
      </c>
      <c r="Q71" s="37" t="s">
        <v>317</v>
      </c>
      <c r="R71" s="37">
        <v>16170994</v>
      </c>
    </row>
    <row r="72" spans="1:18" ht="15" customHeight="1" x14ac:dyDescent="0.25">
      <c r="A72" s="38" t="s">
        <v>426</v>
      </c>
      <c r="B72" s="38" t="s">
        <v>427</v>
      </c>
      <c r="C72" s="38" t="str">
        <f t="shared" si="1"/>
        <v>DOROTHY BRADLEY</v>
      </c>
      <c r="D72" s="42" t="s">
        <v>43</v>
      </c>
      <c r="E72" s="37" t="s">
        <v>304</v>
      </c>
      <c r="F72" s="41">
        <v>46023</v>
      </c>
      <c r="G72" s="40">
        <v>99991231</v>
      </c>
      <c r="H72" s="40">
        <v>20251201</v>
      </c>
      <c r="I72" s="38" t="s">
        <v>27</v>
      </c>
      <c r="J72" s="39">
        <v>28.92</v>
      </c>
      <c r="K72" s="38">
        <v>1</v>
      </c>
      <c r="L72" s="38">
        <v>1</v>
      </c>
      <c r="M72" s="39">
        <v>28.92</v>
      </c>
      <c r="N72" s="39">
        <v>57.84</v>
      </c>
      <c r="O72" s="37" t="s">
        <v>232</v>
      </c>
      <c r="P72" s="37" t="s">
        <v>233</v>
      </c>
      <c r="Q72" s="37" t="s">
        <v>317</v>
      </c>
      <c r="R72" s="37">
        <v>16170994</v>
      </c>
    </row>
    <row r="73" spans="1:18" ht="15" customHeight="1" x14ac:dyDescent="0.25">
      <c r="A73" s="38" t="s">
        <v>428</v>
      </c>
      <c r="B73" s="38" t="s">
        <v>429</v>
      </c>
      <c r="C73" s="38" t="str">
        <f t="shared" si="1"/>
        <v>JERRI COOK</v>
      </c>
      <c r="D73" s="42" t="s">
        <v>54</v>
      </c>
      <c r="E73" s="37" t="s">
        <v>305</v>
      </c>
      <c r="F73" s="41">
        <v>46023</v>
      </c>
      <c r="G73" s="40">
        <v>99991231</v>
      </c>
      <c r="H73" s="40">
        <v>20251120</v>
      </c>
      <c r="I73" s="38" t="s">
        <v>27</v>
      </c>
      <c r="J73" s="39">
        <v>28.92</v>
      </c>
      <c r="K73" s="38">
        <v>1</v>
      </c>
      <c r="L73" s="38">
        <v>1</v>
      </c>
      <c r="M73" s="39">
        <v>28.92</v>
      </c>
      <c r="N73" s="39">
        <v>57.84</v>
      </c>
      <c r="O73" s="37" t="s">
        <v>232</v>
      </c>
      <c r="P73" s="37" t="s">
        <v>233</v>
      </c>
      <c r="Q73" s="37" t="s">
        <v>317</v>
      </c>
      <c r="R73" s="37">
        <v>16170994</v>
      </c>
    </row>
    <row r="74" spans="1:18" ht="15" customHeight="1" x14ac:dyDescent="0.25">
      <c r="A74" s="38" t="s">
        <v>428</v>
      </c>
      <c r="B74" s="38" t="s">
        <v>430</v>
      </c>
      <c r="C74" s="38" t="str">
        <f t="shared" si="1"/>
        <v>WILLARD COOK</v>
      </c>
      <c r="D74" s="42" t="s">
        <v>57</v>
      </c>
      <c r="E74" s="37" t="s">
        <v>306</v>
      </c>
      <c r="F74" s="41">
        <v>46023</v>
      </c>
      <c r="G74" s="40">
        <v>99991231</v>
      </c>
      <c r="H74" s="40">
        <v>20251120</v>
      </c>
      <c r="I74" s="38" t="s">
        <v>27</v>
      </c>
      <c r="J74" s="39">
        <v>28.92</v>
      </c>
      <c r="K74" s="38">
        <v>1</v>
      </c>
      <c r="L74" s="38">
        <v>1</v>
      </c>
      <c r="M74" s="39">
        <v>28.92</v>
      </c>
      <c r="N74" s="39">
        <v>57.84</v>
      </c>
      <c r="O74" s="37" t="s">
        <v>232</v>
      </c>
      <c r="P74" s="37" t="s">
        <v>233</v>
      </c>
      <c r="Q74" s="37" t="s">
        <v>317</v>
      </c>
      <c r="R74" s="37">
        <v>16170994</v>
      </c>
    </row>
    <row r="75" spans="1:18" ht="15" customHeight="1" x14ac:dyDescent="0.25">
      <c r="A75" s="38" t="s">
        <v>332</v>
      </c>
      <c r="B75" s="38" t="s">
        <v>423</v>
      </c>
      <c r="C75" s="38" t="str">
        <f t="shared" si="1"/>
        <v>BONNIE DAVIS</v>
      </c>
      <c r="D75" s="42" t="s">
        <v>64</v>
      </c>
      <c r="E75" s="37" t="s">
        <v>307</v>
      </c>
      <c r="F75" s="41">
        <v>46023</v>
      </c>
      <c r="G75" s="40">
        <v>99991231</v>
      </c>
      <c r="H75" s="40">
        <v>20250101</v>
      </c>
      <c r="I75" s="38" t="s">
        <v>27</v>
      </c>
      <c r="J75" s="39">
        <v>28.92</v>
      </c>
      <c r="K75" s="38">
        <v>1</v>
      </c>
      <c r="L75" s="38">
        <v>1</v>
      </c>
      <c r="M75" s="39">
        <v>28.92</v>
      </c>
      <c r="N75" s="39">
        <v>57.84</v>
      </c>
      <c r="O75" s="37" t="s">
        <v>232</v>
      </c>
      <c r="P75" s="37" t="s">
        <v>233</v>
      </c>
      <c r="Q75" s="37" t="s">
        <v>317</v>
      </c>
      <c r="R75" s="37">
        <v>16170994</v>
      </c>
    </row>
    <row r="76" spans="1:18" ht="15" customHeight="1" x14ac:dyDescent="0.25">
      <c r="A76" s="38" t="s">
        <v>431</v>
      </c>
      <c r="B76" s="38" t="s">
        <v>432</v>
      </c>
      <c r="C76" s="38" t="str">
        <f t="shared" si="1"/>
        <v>RONALD DEPIZZOL</v>
      </c>
      <c r="D76" s="42" t="s">
        <v>19</v>
      </c>
      <c r="E76" s="37" t="s">
        <v>308</v>
      </c>
      <c r="F76" s="41">
        <v>46023</v>
      </c>
      <c r="G76" s="40">
        <v>99991231</v>
      </c>
      <c r="H76" s="40">
        <v>20251018</v>
      </c>
      <c r="I76" s="38" t="s">
        <v>27</v>
      </c>
      <c r="J76" s="39">
        <v>28.92</v>
      </c>
      <c r="K76" s="38">
        <v>1</v>
      </c>
      <c r="L76" s="38">
        <v>1</v>
      </c>
      <c r="M76" s="39">
        <v>28.92</v>
      </c>
      <c r="N76" s="39">
        <v>57.84</v>
      </c>
      <c r="O76" s="37" t="s">
        <v>232</v>
      </c>
      <c r="P76" s="37" t="s">
        <v>233</v>
      </c>
      <c r="Q76" s="37" t="s">
        <v>317</v>
      </c>
      <c r="R76" s="37">
        <v>16170994</v>
      </c>
    </row>
    <row r="77" spans="1:18" ht="15" customHeight="1" x14ac:dyDescent="0.25">
      <c r="A77" s="38" t="s">
        <v>354</v>
      </c>
      <c r="B77" s="38" t="s">
        <v>433</v>
      </c>
      <c r="C77" s="38" t="str">
        <f t="shared" si="1"/>
        <v>CHARLOTTE HORSCHAK</v>
      </c>
      <c r="D77" s="42" t="s">
        <v>100</v>
      </c>
      <c r="E77" s="37" t="s">
        <v>309</v>
      </c>
      <c r="F77" s="41">
        <v>46023</v>
      </c>
      <c r="G77" s="40">
        <v>99991231</v>
      </c>
      <c r="H77" s="40">
        <v>20250101</v>
      </c>
      <c r="I77" s="38" t="s">
        <v>27</v>
      </c>
      <c r="J77" s="39">
        <v>28.92</v>
      </c>
      <c r="K77" s="38">
        <v>1</v>
      </c>
      <c r="L77" s="38">
        <v>1</v>
      </c>
      <c r="M77" s="39">
        <v>28.92</v>
      </c>
      <c r="N77" s="39">
        <v>57.84</v>
      </c>
      <c r="O77" s="37" t="s">
        <v>232</v>
      </c>
      <c r="P77" s="37" t="s">
        <v>233</v>
      </c>
      <c r="Q77" s="37" t="s">
        <v>317</v>
      </c>
      <c r="R77" s="37">
        <v>16170994</v>
      </c>
    </row>
    <row r="78" spans="1:18" ht="15" customHeight="1" x14ac:dyDescent="0.25">
      <c r="A78" s="38" t="s">
        <v>354</v>
      </c>
      <c r="B78" s="38" t="s">
        <v>434</v>
      </c>
      <c r="C78" s="38" t="str">
        <f t="shared" si="1"/>
        <v>PETE HORSCHAK</v>
      </c>
      <c r="D78" s="42" t="s">
        <v>105</v>
      </c>
      <c r="E78" s="37" t="s">
        <v>310</v>
      </c>
      <c r="F78" s="41">
        <v>46023</v>
      </c>
      <c r="G78" s="40">
        <v>99991231</v>
      </c>
      <c r="H78" s="40">
        <v>20250101</v>
      </c>
      <c r="I78" s="38" t="s">
        <v>27</v>
      </c>
      <c r="J78" s="39">
        <v>28.92</v>
      </c>
      <c r="K78" s="38">
        <v>1</v>
      </c>
      <c r="L78" s="38">
        <v>1</v>
      </c>
      <c r="M78" s="39">
        <v>28.92</v>
      </c>
      <c r="N78" s="39">
        <v>57.84</v>
      </c>
      <c r="O78" s="37" t="s">
        <v>232</v>
      </c>
      <c r="P78" s="37" t="s">
        <v>233</v>
      </c>
      <c r="Q78" s="37" t="s">
        <v>317</v>
      </c>
      <c r="R78" s="37">
        <v>16170994</v>
      </c>
    </row>
    <row r="79" spans="1:18" ht="15" customHeight="1" x14ac:dyDescent="0.25">
      <c r="A79" s="38" t="s">
        <v>435</v>
      </c>
      <c r="B79" s="38" t="s">
        <v>349</v>
      </c>
      <c r="C79" s="38" t="str">
        <f t="shared" si="1"/>
        <v>MARY ORNELLA</v>
      </c>
      <c r="D79" s="42" t="s">
        <v>154</v>
      </c>
      <c r="E79" s="37" t="s">
        <v>311</v>
      </c>
      <c r="F79" s="41">
        <v>46023</v>
      </c>
      <c r="G79" s="40">
        <v>99991231</v>
      </c>
      <c r="H79" s="40">
        <v>20251201</v>
      </c>
      <c r="I79" s="38" t="s">
        <v>27</v>
      </c>
      <c r="J79" s="39">
        <v>28.92</v>
      </c>
      <c r="K79" s="38">
        <v>1</v>
      </c>
      <c r="L79" s="38">
        <v>1</v>
      </c>
      <c r="M79" s="39">
        <v>28.92</v>
      </c>
      <c r="N79" s="39">
        <v>57.84</v>
      </c>
      <c r="O79" s="37" t="s">
        <v>232</v>
      </c>
      <c r="P79" s="37" t="s">
        <v>233</v>
      </c>
      <c r="Q79" s="37" t="s">
        <v>317</v>
      </c>
      <c r="R79" s="37">
        <v>16170994</v>
      </c>
    </row>
    <row r="80" spans="1:18" ht="15" customHeight="1" x14ac:dyDescent="0.25">
      <c r="A80" s="38" t="s">
        <v>436</v>
      </c>
      <c r="B80" s="38" t="s">
        <v>437</v>
      </c>
      <c r="C80" s="38" t="str">
        <f t="shared" si="1"/>
        <v>PATTY RAPE</v>
      </c>
      <c r="D80" s="42" t="s">
        <v>168</v>
      </c>
      <c r="E80" s="37" t="s">
        <v>312</v>
      </c>
      <c r="F80" s="41">
        <v>46023</v>
      </c>
      <c r="G80" s="40">
        <v>99991231</v>
      </c>
      <c r="H80" s="40">
        <v>20251129</v>
      </c>
      <c r="I80" s="38" t="s">
        <v>27</v>
      </c>
      <c r="J80" s="39">
        <v>28.92</v>
      </c>
      <c r="K80" s="38">
        <v>1</v>
      </c>
      <c r="L80" s="38">
        <v>1</v>
      </c>
      <c r="M80" s="39">
        <v>28.92</v>
      </c>
      <c r="N80" s="39">
        <v>57.84</v>
      </c>
      <c r="O80" s="37" t="s">
        <v>232</v>
      </c>
      <c r="P80" s="37" t="s">
        <v>233</v>
      </c>
      <c r="Q80" s="37" t="s">
        <v>317</v>
      </c>
      <c r="R80" s="37">
        <v>16170994</v>
      </c>
    </row>
    <row r="81" spans="1:18" ht="15" customHeight="1" x14ac:dyDescent="0.25">
      <c r="A81" s="38" t="s">
        <v>438</v>
      </c>
      <c r="B81" s="38" t="s">
        <v>439</v>
      </c>
      <c r="C81" s="38" t="str">
        <f t="shared" si="1"/>
        <v>PATRICK RAY</v>
      </c>
      <c r="D81" s="42" t="s">
        <v>176</v>
      </c>
      <c r="E81" s="37" t="s">
        <v>313</v>
      </c>
      <c r="F81" s="41">
        <v>46023</v>
      </c>
      <c r="G81" s="40">
        <v>99991231</v>
      </c>
      <c r="H81" s="40">
        <v>20251201</v>
      </c>
      <c r="I81" s="38" t="s">
        <v>27</v>
      </c>
      <c r="J81" s="39">
        <v>28.92</v>
      </c>
      <c r="K81" s="38">
        <v>1</v>
      </c>
      <c r="L81" s="38">
        <v>1</v>
      </c>
      <c r="M81" s="39">
        <v>28.92</v>
      </c>
      <c r="N81" s="39">
        <v>57.84</v>
      </c>
      <c r="O81" s="37" t="s">
        <v>232</v>
      </c>
      <c r="P81" s="37" t="s">
        <v>233</v>
      </c>
      <c r="Q81" s="37" t="s">
        <v>317</v>
      </c>
      <c r="R81" s="37">
        <v>16170994</v>
      </c>
    </row>
    <row r="82" spans="1:18" ht="15" customHeight="1" x14ac:dyDescent="0.25">
      <c r="A82" s="38" t="s">
        <v>440</v>
      </c>
      <c r="B82" s="38" t="s">
        <v>407</v>
      </c>
      <c r="C82" s="38" t="str">
        <f t="shared" si="1"/>
        <v>MARILYN STROBLE</v>
      </c>
      <c r="D82" s="42" t="s">
        <v>205</v>
      </c>
      <c r="E82" s="37" t="s">
        <v>314</v>
      </c>
      <c r="F82" s="41">
        <v>46023</v>
      </c>
      <c r="G82" s="40">
        <v>99991231</v>
      </c>
      <c r="H82" s="40">
        <v>20251203</v>
      </c>
      <c r="I82" s="38" t="s">
        <v>27</v>
      </c>
      <c r="J82" s="39">
        <v>28.92</v>
      </c>
      <c r="K82" s="38">
        <v>1</v>
      </c>
      <c r="L82" s="38">
        <v>1</v>
      </c>
      <c r="M82" s="39">
        <v>28.92</v>
      </c>
      <c r="N82" s="39">
        <v>57.84</v>
      </c>
      <c r="O82" s="37" t="s">
        <v>232</v>
      </c>
      <c r="P82" s="37" t="s">
        <v>233</v>
      </c>
      <c r="Q82" s="37" t="s">
        <v>317</v>
      </c>
      <c r="R82" s="37">
        <v>16170994</v>
      </c>
    </row>
    <row r="83" spans="1:18" ht="15" customHeight="1" x14ac:dyDescent="0.25">
      <c r="A83" s="38" t="s">
        <v>441</v>
      </c>
      <c r="B83" s="38" t="s">
        <v>442</v>
      </c>
      <c r="C83" s="38" t="str">
        <f t="shared" si="1"/>
        <v>DEMARIS WEIGAND</v>
      </c>
      <c r="D83" s="42" t="s">
        <v>218</v>
      </c>
      <c r="E83" s="37" t="s">
        <v>315</v>
      </c>
      <c r="F83" s="41">
        <v>46023</v>
      </c>
      <c r="G83" s="40">
        <v>99991231</v>
      </c>
      <c r="H83" s="40">
        <v>20251206</v>
      </c>
      <c r="I83" s="38" t="s">
        <v>27</v>
      </c>
      <c r="J83" s="39">
        <v>28.92</v>
      </c>
      <c r="K83" s="38">
        <v>1</v>
      </c>
      <c r="L83" s="38">
        <v>1</v>
      </c>
      <c r="M83" s="39">
        <v>28.92</v>
      </c>
      <c r="N83" s="39">
        <v>57.84</v>
      </c>
      <c r="O83" s="37" t="s">
        <v>232</v>
      </c>
      <c r="P83" s="37" t="s">
        <v>233</v>
      </c>
      <c r="Q83" s="37" t="s">
        <v>317</v>
      </c>
      <c r="R83" s="37">
        <v>16170994</v>
      </c>
    </row>
    <row r="84" spans="1:18" ht="15" customHeight="1" x14ac:dyDescent="0.25">
      <c r="A84" s="38" t="s">
        <v>443</v>
      </c>
      <c r="B84" s="38" t="s">
        <v>444</v>
      </c>
      <c r="C84" s="38" t="str">
        <f t="shared" si="1"/>
        <v>CINDY WHITLEY</v>
      </c>
      <c r="D84" s="42" t="s">
        <v>220</v>
      </c>
      <c r="E84" s="37" t="s">
        <v>316</v>
      </c>
      <c r="F84" s="41">
        <v>46023</v>
      </c>
      <c r="G84" s="40">
        <v>99991231</v>
      </c>
      <c r="H84" s="40">
        <v>20251201</v>
      </c>
      <c r="I84" s="38" t="s">
        <v>27</v>
      </c>
      <c r="J84" s="39">
        <v>28.92</v>
      </c>
      <c r="K84" s="38">
        <v>1</v>
      </c>
      <c r="L84" s="38">
        <v>1</v>
      </c>
      <c r="M84" s="39">
        <v>28.92</v>
      </c>
      <c r="N84" s="39">
        <v>57.84</v>
      </c>
      <c r="O84" s="37" t="s">
        <v>232</v>
      </c>
      <c r="P84" s="37" t="s">
        <v>233</v>
      </c>
      <c r="Q84" s="37" t="s">
        <v>317</v>
      </c>
      <c r="R84" s="37">
        <v>16170994</v>
      </c>
    </row>
  </sheetData>
  <sortState xmlns:xlrd2="http://schemas.microsoft.com/office/spreadsheetml/2017/richdata2" ref="A2:W84">
    <sortCondition ref="N2:N84"/>
  </sortState>
  <hyperlinks>
    <hyperlink ref="D70" r:id="rId1" xr:uid="{B17F2C9B-9F9F-4B59-8AE2-9B2004E2E80D}"/>
    <hyperlink ref="D71" r:id="rId2" xr:uid="{E7B0B165-5D27-46AD-8B05-7AD2086D513A}"/>
    <hyperlink ref="D2" r:id="rId3" xr:uid="{BD5C0F64-6D5E-46BD-9FF6-1A9C2A9CB814}"/>
    <hyperlink ref="D3" r:id="rId4" xr:uid="{1CE0E59B-116A-4A97-A285-965723E478A5}"/>
    <hyperlink ref="D4" r:id="rId5" xr:uid="{AB5145D9-AC00-48AF-8AFC-23670C688780}"/>
    <hyperlink ref="D5" r:id="rId6" xr:uid="{630A8849-5CD9-459C-A317-5997F5846F6C}"/>
    <hyperlink ref="D72" r:id="rId7" xr:uid="{408D3502-790D-4056-A95D-A327FA125F36}"/>
    <hyperlink ref="D6" r:id="rId8" xr:uid="{037191E9-8B76-4AB4-85B0-D41AED4016E1}"/>
    <hyperlink ref="D7" r:id="rId9" xr:uid="{AF3AA680-4B33-42AA-AF9D-49AB00EFD9D1}"/>
    <hyperlink ref="D8" r:id="rId10" xr:uid="{4CBC3D55-5F30-44B4-9729-0549B3C7466A}"/>
    <hyperlink ref="D73" r:id="rId11" xr:uid="{40B91446-D3F2-45F2-AC72-EC289130792A}"/>
    <hyperlink ref="D74" r:id="rId12" xr:uid="{93015174-A3C7-493E-B79F-560729A308AB}"/>
    <hyperlink ref="D9" r:id="rId13" xr:uid="{7A89F553-565F-4EC4-92E1-41402E5FD811}"/>
    <hyperlink ref="D10" r:id="rId14" xr:uid="{5B2B7BF8-A42B-40DA-B5CE-1DA1D7A42AEF}"/>
    <hyperlink ref="D75" r:id="rId15" xr:uid="{71383D3C-1610-4011-9563-B0B30D467021}"/>
    <hyperlink ref="D11" r:id="rId16" xr:uid="{A99A2060-E09A-4CE5-9A01-F7A029A90791}"/>
    <hyperlink ref="D12" r:id="rId17" xr:uid="{04AAFC88-BB98-4F4A-A2AD-029E9ACE90D1}"/>
    <hyperlink ref="D13" r:id="rId18" xr:uid="{2B0ABC10-E10F-4F12-B491-608BB924914D}"/>
    <hyperlink ref="D14" r:id="rId19" xr:uid="{C6E6DFD8-63A8-46DF-9325-5B7C031EB8DA}"/>
    <hyperlink ref="D15" r:id="rId20" xr:uid="{12CE1B91-F6F2-45F9-8F89-FD0344B3BC10}"/>
    <hyperlink ref="D16" r:id="rId21" xr:uid="{0C2F3F63-468F-4231-B58C-1DBF99076689}"/>
    <hyperlink ref="D76" r:id="rId22" xr:uid="{5BDAB4DF-55FD-435C-96ED-5E51E0EED461}"/>
    <hyperlink ref="D17" r:id="rId23" xr:uid="{5D203B67-4534-4DAC-8118-FBDD60EF612C}"/>
    <hyperlink ref="D18" r:id="rId24" xr:uid="{03378E3B-B0D6-428D-83EA-D51F16F70B3A}"/>
    <hyperlink ref="D19" r:id="rId25" xr:uid="{ADC3FD32-3A6B-4E5F-9F34-19731DD18A48}"/>
    <hyperlink ref="D20" r:id="rId26" xr:uid="{87DB3077-09DC-4962-9654-7A362A5F1CBD}"/>
    <hyperlink ref="D21" r:id="rId27" xr:uid="{6624407C-A92B-4E7A-A39C-22E6795BC240}"/>
    <hyperlink ref="D22" r:id="rId28" xr:uid="{84ACFB06-9F03-4AA9-83D2-1B9155CF8F7F}"/>
    <hyperlink ref="D23" r:id="rId29" xr:uid="{DDD6B6DD-9F82-4108-B98E-937602392486}"/>
    <hyperlink ref="D24" r:id="rId30" xr:uid="{5C8B673E-52B9-4D1C-8B4E-D6D8EC35ED63}"/>
    <hyperlink ref="D77" r:id="rId31" xr:uid="{1DFE416F-366B-4AB1-9FDA-71A482B55D66}"/>
    <hyperlink ref="D25" r:id="rId32" xr:uid="{D96B6846-EC99-4B57-BE01-775FC22993B7}"/>
    <hyperlink ref="D78" r:id="rId33" xr:uid="{DC2DFABD-4889-4EC3-B0D8-195353205BCD}"/>
    <hyperlink ref="D26" r:id="rId34" xr:uid="{B4034E80-42AC-4341-B8D5-A8CDFC9A1C1A}"/>
    <hyperlink ref="D27" r:id="rId35" xr:uid="{C1A0F4FA-AAE8-4CC1-99A7-734106FA605E}"/>
    <hyperlink ref="D28" r:id="rId36" xr:uid="{14B8934B-9F1B-4C4F-B34D-16C7B0B6A602}"/>
    <hyperlink ref="D29" r:id="rId37" xr:uid="{98DCCE82-B652-41D0-A53A-177B18FC3CF8}"/>
    <hyperlink ref="D30" r:id="rId38" xr:uid="{004E472C-6842-4CB6-A9F0-14D5B7DD9888}"/>
    <hyperlink ref="D31" r:id="rId39" xr:uid="{4BE03BF3-DA5A-4C0E-9D75-B4077A1894EA}"/>
    <hyperlink ref="D32" r:id="rId40" xr:uid="{122EF136-F5EC-4E61-9D75-951B873FE470}"/>
    <hyperlink ref="D33" r:id="rId41" xr:uid="{DFB798DC-2B2B-42A9-B0EE-7F2E68EABFE7}"/>
    <hyperlink ref="D34" r:id="rId42" xr:uid="{548D2D4D-A53E-4BD0-8561-6E5A923944C5}"/>
    <hyperlink ref="D35" r:id="rId43" xr:uid="{8047D461-FF21-43E3-AA1A-73227B6D9E05}"/>
    <hyperlink ref="D36" r:id="rId44" xr:uid="{D35740A2-9E2E-4F1B-9B6C-046F80766F70}"/>
    <hyperlink ref="D37" r:id="rId45" xr:uid="{AC62146C-2AAB-48AC-9012-67CB60FCEE6B}"/>
    <hyperlink ref="D38" r:id="rId46" xr:uid="{8AF72E0D-DF2C-4E51-B6BF-6F4CDC5E8E8A}"/>
    <hyperlink ref="D39" r:id="rId47" xr:uid="{CBA73DCB-AA6B-46B9-A950-B8A4832B3506}"/>
    <hyperlink ref="D40" r:id="rId48" xr:uid="{E4DD8D79-4ED2-428B-90A8-44BB72CF611B}"/>
    <hyperlink ref="D41" r:id="rId49" xr:uid="{5FD3183C-2C7B-4FCE-83F7-A3BC5204EEAE}"/>
    <hyperlink ref="D42" r:id="rId50" xr:uid="{93DBDA4A-819F-46A8-A772-EF835E617940}"/>
    <hyperlink ref="D43" r:id="rId51" xr:uid="{E3F41F11-1C1A-407B-960C-B3692AC6186E}"/>
    <hyperlink ref="D44" r:id="rId52" xr:uid="{63E2902A-61D9-4DA5-A3F8-55419EDFA4A4}"/>
    <hyperlink ref="D79" r:id="rId53" xr:uid="{01C8CE80-093B-4582-8FF5-64F2C334762A}"/>
    <hyperlink ref="D45" r:id="rId54" xr:uid="{1456059A-A9BF-4DA5-A7D9-DDD66C682B82}"/>
    <hyperlink ref="D46" r:id="rId55" xr:uid="{ED911A2B-71E0-40BA-B5E9-80FC77E931D5}"/>
    <hyperlink ref="D47" r:id="rId56" xr:uid="{E854E373-ADD9-4B82-B772-1A1CD941BC4C}"/>
    <hyperlink ref="D48" r:id="rId57" xr:uid="{3FBF1356-0582-43AB-8F3E-384EA5897C50}"/>
    <hyperlink ref="D49" r:id="rId58" xr:uid="{A8D2BB97-B309-484F-911C-417C6FBACC7B}"/>
    <hyperlink ref="D80" r:id="rId59" xr:uid="{D7BED048-3490-4B79-BBE9-179EB7E2843C}"/>
    <hyperlink ref="D50" r:id="rId60" xr:uid="{56858A2E-CFF8-4B16-9ACE-1002879A4ECD}"/>
    <hyperlink ref="D51" r:id="rId61" xr:uid="{4C52574C-A0F8-46D9-A35A-81B9F71DB745}"/>
    <hyperlink ref="D81" r:id="rId62" xr:uid="{69BF3604-9EB2-4439-B279-734DF393ADF6}"/>
    <hyperlink ref="D52" r:id="rId63" xr:uid="{051F628A-92E0-4359-92D8-EA8F5DFD0C4A}"/>
    <hyperlink ref="D53" r:id="rId64" xr:uid="{8795AF8F-93C8-4901-A324-AB95B4BEC28C}"/>
    <hyperlink ref="D54" r:id="rId65" xr:uid="{2AC13EC0-C04A-4A43-8935-4250951AA322}"/>
    <hyperlink ref="D55" r:id="rId66" xr:uid="{6219841F-62A5-48C9-A014-A1A81F575C6C}"/>
    <hyperlink ref="D56" r:id="rId67" xr:uid="{3433672B-0FA6-446A-BD40-AFD82174E758}"/>
    <hyperlink ref="D57" r:id="rId68" xr:uid="{67D82F93-8087-46BD-9A2E-D519D0726909}"/>
    <hyperlink ref="D58" r:id="rId69" xr:uid="{46C39D21-9C3D-4CEC-9E9D-D40569693A85}"/>
    <hyperlink ref="D59" r:id="rId70" xr:uid="{08CAEB85-B7EE-4DE2-A94B-B240179D754F}"/>
    <hyperlink ref="D60" r:id="rId71" xr:uid="{F8AAB52C-4A67-480E-B86F-9C87DE0DDE74}"/>
    <hyperlink ref="D61" r:id="rId72" xr:uid="{152E38A4-8D27-4FD9-9A07-E266B1926A82}"/>
    <hyperlink ref="D62" r:id="rId73" xr:uid="{87E00805-72F7-4DD7-9DEC-956D12F9C634}"/>
    <hyperlink ref="D82" r:id="rId74" xr:uid="{4CBF9C3C-3577-4987-B29F-B0F20F35219A}"/>
    <hyperlink ref="D63" r:id="rId75" xr:uid="{BE7B68B0-5D16-44C0-A81D-23545F658B8C}"/>
    <hyperlink ref="D64" r:id="rId76" xr:uid="{09B1999D-C950-46C3-9949-691C0B03C983}"/>
    <hyperlink ref="D65" r:id="rId77" xr:uid="{BFD0056E-971F-4B9A-A3C7-A7E066A8A917}"/>
    <hyperlink ref="D66" r:id="rId78" xr:uid="{F2A81E2C-4ED5-4575-B445-2E2E0A24C088}"/>
    <hyperlink ref="D83" r:id="rId79" xr:uid="{FBE29634-76EA-4A4E-899E-862671A6C012}"/>
    <hyperlink ref="D84" r:id="rId80" xr:uid="{8C8184F5-2F23-4628-802B-FBE9AC987A23}"/>
    <hyperlink ref="D67" r:id="rId81" xr:uid="{4E4859A8-7594-4D41-9AD5-7789CDA7885F}"/>
    <hyperlink ref="D68" r:id="rId82" xr:uid="{889F9AF6-9432-4992-B97E-9FC23D7F3BD2}"/>
    <hyperlink ref="D69" r:id="rId83" xr:uid="{26A5AD2B-6F69-4916-97B3-2915172A36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SC_GA Statements Prod</vt:lpstr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modified xsi:type="dcterms:W3CDTF">2026-02-26T15:11:45Z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