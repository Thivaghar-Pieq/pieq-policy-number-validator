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Summa Care MAPD\2026\May\"/>
    </mc:Choice>
  </mc:AlternateContent>
  <xr:revisionPtr revIDLastSave="0" documentId="13_ncr:1_{974D90FA-2773-4558-81C2-708F5881F24C}" xr6:coauthVersionLast="47" xr6:coauthVersionMax="47" xr10:uidLastSave="{00000000-0000-0000-0000-000000000000}"/>
  <bookViews>
    <workbookView xWindow="28680" yWindow="-30" windowWidth="29040" windowHeight="16440" activeTab="1" xr2:uid="{00000000-000D-0000-FFFF-FFFF00000000}"/>
  </bookViews>
  <sheets>
    <sheet name="SC_GA Statements Prod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2" i="2"/>
</calcChain>
</file>

<file path=xl/sharedStrings.xml><?xml version="1.0" encoding="utf-8"?>
<sst xmlns="http://schemas.openxmlformats.org/spreadsheetml/2006/main" count="1411" uniqueCount="338">
  <si>
    <r>
      <rPr>
        <b/>
        <sz val="20"/>
        <color rgb="FF4682B4"/>
        <rFont val="Calibri"/>
      </rPr>
      <t xml:space="preserve">Broker Commissions Statement
</t>
    </r>
    <r>
      <rPr>
        <b/>
        <sz val="14"/>
        <color rgb="FF4682B4"/>
        <rFont val="Calibri"/>
      </rPr>
      <t xml:space="preserve">Ryan Shepard   (16170994)
</t>
    </r>
    <r>
      <rPr>
        <sz val="12"/>
        <color rgb="FF000000"/>
        <rFont val="Calibri"/>
      </rPr>
      <t xml:space="preserve">For commissions between 05/01/2026 and 05/31/2026
</t>
    </r>
    <r>
      <rPr>
        <i/>
        <sz val="9"/>
        <color rgb="FFFF0000"/>
        <rFont val="Calibri"/>
      </rPr>
      <t>* Reminder: Commissions not applicable on New-to-Medicare Enrollments received after October 31, 2025</t>
    </r>
  </si>
  <si>
    <t>Report Date: 5/26/2026</t>
  </si>
  <si>
    <t>Pending New or Renewal Status by CMS</t>
  </si>
  <si>
    <t>First Name</t>
  </si>
  <si>
    <t>Member Nbr</t>
  </si>
  <si>
    <t>YMDEff</t>
  </si>
  <si>
    <t>YMDEnd</t>
  </si>
  <si>
    <t>Insert Date</t>
  </si>
  <si>
    <t>JEAN M DEPIZZOL</t>
  </si>
  <si>
    <t xml:space="preserve">A9004053800  </t>
  </si>
  <si>
    <t>20260501</t>
  </si>
  <si>
    <t>99991231</t>
  </si>
  <si>
    <t>Count</t>
  </si>
  <si>
    <t/>
  </si>
  <si>
    <t>RYAN SHEPARD (16170994) Broker Detail</t>
  </si>
  <si>
    <t>Comment</t>
  </si>
  <si>
    <t>Member Name</t>
  </si>
  <si>
    <t>YMDEFF</t>
  </si>
  <si>
    <t>YMDEND</t>
  </si>
  <si>
    <t>App Date</t>
  </si>
  <si>
    <t>PBP</t>
  </si>
  <si>
    <t>Pmt Rate</t>
  </si>
  <si>
    <t>GA Rate</t>
  </si>
  <si>
    <t>App Mos</t>
  </si>
  <si>
    <t>Retro Mos</t>
  </si>
  <si>
    <t>Retro GA Pmt</t>
  </si>
  <si>
    <t>Total Pmts</t>
  </si>
  <si>
    <t>ALBRIGHT, DONALD L</t>
  </si>
  <si>
    <t xml:space="preserve">A9003921000 </t>
  </si>
  <si>
    <t>20260101</t>
  </si>
  <si>
    <t>20251206</t>
  </si>
  <si>
    <t>050</t>
  </si>
  <si>
    <t>Monthly</t>
  </si>
  <si>
    <t>ALBRIGHT, TERESA A</t>
  </si>
  <si>
    <t xml:space="preserve">A9001229900 </t>
  </si>
  <si>
    <t>ASHWORTH, REBECCA J</t>
  </si>
  <si>
    <t xml:space="preserve">A9003999500 </t>
  </si>
  <si>
    <t>20260201</t>
  </si>
  <si>
    <t>20260105</t>
  </si>
  <si>
    <t>BANKOVICH, BARBARA J</t>
  </si>
  <si>
    <t xml:space="preserve">A9003119500 </t>
  </si>
  <si>
    <t>20251025</t>
  </si>
  <si>
    <t>BANKOVICH, PAUL W</t>
  </si>
  <si>
    <t xml:space="preserve">A9003119400 </t>
  </si>
  <si>
    <t>BOYER, DONALD E</t>
  </si>
  <si>
    <t xml:space="preserve">A9003018500 </t>
  </si>
  <si>
    <t>20251020</t>
  </si>
  <si>
    <t>BRADLEY, DOROTHY A</t>
  </si>
  <si>
    <t xml:space="preserve">A9001310600 </t>
  </si>
  <si>
    <t>20251201</t>
  </si>
  <si>
    <t>BROWN, LINDA S</t>
  </si>
  <si>
    <t xml:space="preserve">A9003562200 </t>
  </si>
  <si>
    <t>20251119</t>
  </si>
  <si>
    <t>BROWN, PAUL A</t>
  </si>
  <si>
    <t xml:space="preserve">A9003562100 </t>
  </si>
  <si>
    <t xml:space="preserve">BUGNO, COLLEEN </t>
  </si>
  <si>
    <t xml:space="preserve">A9003203200 </t>
  </si>
  <si>
    <t>20251030</t>
  </si>
  <si>
    <t>COOK, JERRI D</t>
  </si>
  <si>
    <t xml:space="preserve">A9001183200 </t>
  </si>
  <si>
    <t>20251120</t>
  </si>
  <si>
    <t>044</t>
  </si>
  <si>
    <t>COOK, WILLARD R</t>
  </si>
  <si>
    <t xml:space="preserve">A9001183300 </t>
  </si>
  <si>
    <t xml:space="preserve">CVICELA, MARIA </t>
  </si>
  <si>
    <t xml:space="preserve">A9003158500 </t>
  </si>
  <si>
    <t>20251028</t>
  </si>
  <si>
    <t xml:space="preserve">CVICELA, VLADIMIR </t>
  </si>
  <si>
    <t xml:space="preserve">A9003158700 </t>
  </si>
  <si>
    <t>DAVIS, BONNIE M</t>
  </si>
  <si>
    <t xml:space="preserve">A0051608100 </t>
  </si>
  <si>
    <t>20250101</t>
  </si>
  <si>
    <t>DAVIS, DEBORAH L</t>
  </si>
  <si>
    <t xml:space="preserve">A9001490300 </t>
  </si>
  <si>
    <t>20251018</t>
  </si>
  <si>
    <t>DAVIS, JERROLD C</t>
  </si>
  <si>
    <t xml:space="preserve">A9001105800 </t>
  </si>
  <si>
    <t>DECROW, LYNN J</t>
  </si>
  <si>
    <t xml:space="preserve">A9003019100 </t>
  </si>
  <si>
    <t>DELVILLAN, LAURIE A</t>
  </si>
  <si>
    <t xml:space="preserve">A9003261900 </t>
  </si>
  <si>
    <t>20251103</t>
  </si>
  <si>
    <t xml:space="preserve">DELVILLAN, MATTHEW </t>
  </si>
  <si>
    <t xml:space="preserve">A9003262100 </t>
  </si>
  <si>
    <t>DEMMA, KAREN M</t>
  </si>
  <si>
    <t xml:space="preserve">A9003154700 </t>
  </si>
  <si>
    <t>DEPIZZOL, RONALD G</t>
  </si>
  <si>
    <t xml:space="preserve">A9001163300 </t>
  </si>
  <si>
    <t>DEVLIN, PATRICIA A</t>
  </si>
  <si>
    <t xml:space="preserve">A9003676000 </t>
  </si>
  <si>
    <t>20251125</t>
  </si>
  <si>
    <t>DINICOLA, DEBORAH J</t>
  </si>
  <si>
    <t xml:space="preserve">A9003566500 </t>
  </si>
  <si>
    <t>FORD, BARBARA A</t>
  </si>
  <si>
    <t xml:space="preserve">A9003186100 </t>
  </si>
  <si>
    <t>20251029</t>
  </si>
  <si>
    <t>FREY, CAROL A</t>
  </si>
  <si>
    <t xml:space="preserve">A9003514800 </t>
  </si>
  <si>
    <t>20251117</t>
  </si>
  <si>
    <t>GARNICA, MARY J</t>
  </si>
  <si>
    <t xml:space="preserve">A9002953500 </t>
  </si>
  <si>
    <t>20251015</t>
  </si>
  <si>
    <t>GLASSER, GEORGETTE M</t>
  </si>
  <si>
    <t xml:space="preserve">A9003014200 </t>
  </si>
  <si>
    <t>HEINEY, KEVIN L</t>
  </si>
  <si>
    <t xml:space="preserve">A9002985400 </t>
  </si>
  <si>
    <t>HEINEY, REBECCA L</t>
  </si>
  <si>
    <t xml:space="preserve">A9002985200 </t>
  </si>
  <si>
    <t>HORSCHAK, CHARLOTTE J</t>
  </si>
  <si>
    <t xml:space="preserve">A9002603700 </t>
  </si>
  <si>
    <t>HORSCHAK, DOLORES M</t>
  </si>
  <si>
    <t xml:space="preserve">A9003387400 </t>
  </si>
  <si>
    <t>20251110</t>
  </si>
  <si>
    <t xml:space="preserve">HORSCHAK, PETE </t>
  </si>
  <si>
    <t xml:space="preserve">A9002603800 </t>
  </si>
  <si>
    <t>HUSZAI, DIANE M</t>
  </si>
  <si>
    <t xml:space="preserve">A9003142900 </t>
  </si>
  <si>
    <t>20251027</t>
  </si>
  <si>
    <t>JONES, CHERYL D</t>
  </si>
  <si>
    <t xml:space="preserve">A9004032200 </t>
  </si>
  <si>
    <t>20260123</t>
  </si>
  <si>
    <t>KAPAROFF, PAUL T</t>
  </si>
  <si>
    <t xml:space="preserve">A9003161700 </t>
  </si>
  <si>
    <t>KLESCH, JOANNE M</t>
  </si>
  <si>
    <t xml:space="preserve">A9003433900 </t>
  </si>
  <si>
    <t>20251112</t>
  </si>
  <si>
    <t xml:space="preserve">KLESCH, LISA </t>
  </si>
  <si>
    <t xml:space="preserve">A9003434200 </t>
  </si>
  <si>
    <t>KLINKER, CARROL A</t>
  </si>
  <si>
    <t xml:space="preserve">A9003281700 </t>
  </si>
  <si>
    <t>20251104</t>
  </si>
  <si>
    <t>KNIGHT, TERRY E</t>
  </si>
  <si>
    <t xml:space="preserve">A9003227400 </t>
  </si>
  <si>
    <t>20251031</t>
  </si>
  <si>
    <t>KNIPPER, CATHERINE E</t>
  </si>
  <si>
    <t xml:space="preserve">A9003569500 </t>
  </si>
  <si>
    <t>KUS, LINDA T</t>
  </si>
  <si>
    <t xml:space="preserve">A9003569600 </t>
  </si>
  <si>
    <t>LUCARELL, ANTHONY R</t>
  </si>
  <si>
    <t xml:space="preserve">A9003278800 </t>
  </si>
  <si>
    <t>LUCARELL, PATRICIA L</t>
  </si>
  <si>
    <t xml:space="preserve">A9003279000 </t>
  </si>
  <si>
    <t>MAST, DONALD L</t>
  </si>
  <si>
    <t xml:space="preserve">A9003722500 </t>
  </si>
  <si>
    <t>20251128</t>
  </si>
  <si>
    <t>MEISSNER, LINDA M</t>
  </si>
  <si>
    <t xml:space="preserve">A9003137200 </t>
  </si>
  <si>
    <t>METZ, JACQUELINE A</t>
  </si>
  <si>
    <t xml:space="preserve">A9003040400 </t>
  </si>
  <si>
    <t>20251022</t>
  </si>
  <si>
    <t>MILLER, JOHN F</t>
  </si>
  <si>
    <t xml:space="preserve">A9003363800 </t>
  </si>
  <si>
    <t>20251108</t>
  </si>
  <si>
    <t>MILLER, LINDA S</t>
  </si>
  <si>
    <t xml:space="preserve">A9003680900 </t>
  </si>
  <si>
    <t>MILLER, PATRICIA A</t>
  </si>
  <si>
    <t xml:space="preserve">A9003364000 </t>
  </si>
  <si>
    <t>NEVISON, WILLIAM E</t>
  </si>
  <si>
    <t xml:space="preserve">A9003644800 </t>
  </si>
  <si>
    <t>20251124</t>
  </si>
  <si>
    <t>NOVAK, THOMAS P</t>
  </si>
  <si>
    <t xml:space="preserve">A9003677200 </t>
  </si>
  <si>
    <t>ORNELLA, MARY T</t>
  </si>
  <si>
    <t xml:space="preserve">A9003762900 </t>
  </si>
  <si>
    <t xml:space="preserve">PICHLER, CHARLENE </t>
  </si>
  <si>
    <t xml:space="preserve">A9002977400 </t>
  </si>
  <si>
    <t>20251106</t>
  </si>
  <si>
    <t>053</t>
  </si>
  <si>
    <t>PLAIN, NANCY E</t>
  </si>
  <si>
    <t xml:space="preserve">A9003407900 </t>
  </si>
  <si>
    <t>20251111</t>
  </si>
  <si>
    <t>POPE, VICKI L</t>
  </si>
  <si>
    <t xml:space="preserve">A9003327400 </t>
  </si>
  <si>
    <t>PORCHOWSKY, ZENOWIJ C</t>
  </si>
  <si>
    <t xml:space="preserve">A9003284100 </t>
  </si>
  <si>
    <t xml:space="preserve">RANALDI, CAROL </t>
  </si>
  <si>
    <t xml:space="preserve">A9003382800 </t>
  </si>
  <si>
    <t>RAPE, PATTY J</t>
  </si>
  <si>
    <t xml:space="preserve">A9003730500 </t>
  </si>
  <si>
    <t>20251129</t>
  </si>
  <si>
    <t>RAUSCHENBERGER, CHERYL L</t>
  </si>
  <si>
    <t xml:space="preserve">A0049168700 </t>
  </si>
  <si>
    <t>20200401</t>
  </si>
  <si>
    <t>RAUSCHENBERGER, ROGER L</t>
  </si>
  <si>
    <t xml:space="preserve">A0033563400 </t>
  </si>
  <si>
    <t>RAY, PATRICK W</t>
  </si>
  <si>
    <t xml:space="preserve">A9003752500 </t>
  </si>
  <si>
    <t xml:space="preserve">REGALLIS, JAMES </t>
  </si>
  <si>
    <t xml:space="preserve">A9003721200 </t>
  </si>
  <si>
    <t>ROLLING, LINDA J</t>
  </si>
  <si>
    <t xml:space="preserve">A9004004500 </t>
  </si>
  <si>
    <t>20260107</t>
  </si>
  <si>
    <t>ROSE, ANGELA E</t>
  </si>
  <si>
    <t xml:space="preserve">A9002947800 </t>
  </si>
  <si>
    <t>ROSE, BRENDA L</t>
  </si>
  <si>
    <t xml:space="preserve">A9004007300 </t>
  </si>
  <si>
    <t>20260108</t>
  </si>
  <si>
    <t>ROSS, TIFFANY J</t>
  </si>
  <si>
    <t xml:space="preserve">A9003113400 </t>
  </si>
  <si>
    <t>20251101</t>
  </si>
  <si>
    <t>20251024</t>
  </si>
  <si>
    <t xml:space="preserve">SCHUBKEGEL, LELAND </t>
  </si>
  <si>
    <t xml:space="preserve">A9002974000 </t>
  </si>
  <si>
    <t>20251017</t>
  </si>
  <si>
    <t>SHANK, LARRY L</t>
  </si>
  <si>
    <t xml:space="preserve">A9003046200 </t>
  </si>
  <si>
    <t>SHANK, MARILYN R</t>
  </si>
  <si>
    <t xml:space="preserve">A9003046300 </t>
  </si>
  <si>
    <t>SMITH, DAVID A</t>
  </si>
  <si>
    <t xml:space="preserve">A9003046700 </t>
  </si>
  <si>
    <t>057</t>
  </si>
  <si>
    <t>STIFFLER, REGENA P</t>
  </si>
  <si>
    <t xml:space="preserve">A9002952000 </t>
  </si>
  <si>
    <t>STOLARIK, ANDREW M</t>
  </si>
  <si>
    <t xml:space="preserve">A9004060700 </t>
  </si>
  <si>
    <t>20260301</t>
  </si>
  <si>
    <t>20260219</t>
  </si>
  <si>
    <t>STOLARIK, ELIZABETH A</t>
  </si>
  <si>
    <t xml:space="preserve">A9004060800 </t>
  </si>
  <si>
    <t>STOUT, SHIRLEY J</t>
  </si>
  <si>
    <t xml:space="preserve">A9004101700 </t>
  </si>
  <si>
    <t>20260401</t>
  </si>
  <si>
    <t>STROBLE, MARILYN M</t>
  </si>
  <si>
    <t xml:space="preserve">A9003821400 </t>
  </si>
  <si>
    <t>20251203</t>
  </si>
  <si>
    <t>SZYMCZYK, TONI M</t>
  </si>
  <si>
    <t xml:space="preserve">A9003382700 </t>
  </si>
  <si>
    <t>TUMA, CHRISTOPHER J</t>
  </si>
  <si>
    <t xml:space="preserve">A9003482100 </t>
  </si>
  <si>
    <t>20251114</t>
  </si>
  <si>
    <t>ULASZEWSKI, CAROL A</t>
  </si>
  <si>
    <t xml:space="preserve">A9003299700 </t>
  </si>
  <si>
    <t>20251105</t>
  </si>
  <si>
    <t xml:space="preserve">VARZELLE, PATRICE </t>
  </si>
  <si>
    <t xml:space="preserve">A9003673200 </t>
  </si>
  <si>
    <t xml:space="preserve">WEIGAND, DEMARIS </t>
  </si>
  <si>
    <t xml:space="preserve">A9003922800 </t>
  </si>
  <si>
    <t>WHITLEY, CINDY L</t>
  </si>
  <si>
    <t xml:space="preserve">A9001661900 </t>
  </si>
  <si>
    <t>WILSON, MARY C</t>
  </si>
  <si>
    <t xml:space="preserve">A9003634100 </t>
  </si>
  <si>
    <t>20251123</t>
  </si>
  <si>
    <t>ZIDAR, NADINE M</t>
  </si>
  <si>
    <t xml:space="preserve">A9001093400 </t>
  </si>
  <si>
    <t>20200201</t>
  </si>
  <si>
    <t>ZUPKOW, BONNIE E</t>
  </si>
  <si>
    <t xml:space="preserve">A9003037800 </t>
  </si>
  <si>
    <t>RYAN SHEPARD TOTALS</t>
  </si>
  <si>
    <t>Member Count: 85</t>
  </si>
  <si>
    <t>Summa Care MAPD 2026*</t>
  </si>
  <si>
    <t>[%/$=347][prorate=1/12]</t>
  </si>
  <si>
    <t>[%/$=347][prorate=2/12]</t>
  </si>
  <si>
    <t>RYAN SHEPARD</t>
  </si>
  <si>
    <t>A9003921000</t>
  </si>
  <si>
    <t>A9001229900</t>
  </si>
  <si>
    <t>A9003999500</t>
  </si>
  <si>
    <t>A9003119500</t>
  </si>
  <si>
    <t>A9003119400</t>
  </si>
  <si>
    <t>A9003018500</t>
  </si>
  <si>
    <t>A9001310600</t>
  </si>
  <si>
    <t>A9003562200</t>
  </si>
  <si>
    <t>A9003562100</t>
  </si>
  <si>
    <t>A9003203200</t>
  </si>
  <si>
    <t>A9001183200</t>
  </si>
  <si>
    <t>A9001183300</t>
  </si>
  <si>
    <t>A9003158500</t>
  </si>
  <si>
    <t>A9003158700</t>
  </si>
  <si>
    <t>A0051608100</t>
  </si>
  <si>
    <t>A9001490300</t>
  </si>
  <si>
    <t>A9001105800</t>
  </si>
  <si>
    <t>A9003019100</t>
  </si>
  <si>
    <t>A9003261900</t>
  </si>
  <si>
    <t>A9003262100</t>
  </si>
  <si>
    <t>A9003154700</t>
  </si>
  <si>
    <t>A9001163300</t>
  </si>
  <si>
    <t>A9003676000</t>
  </si>
  <si>
    <t>A9003566500</t>
  </si>
  <si>
    <t>A9003186100</t>
  </si>
  <si>
    <t>A9003514800</t>
  </si>
  <si>
    <t>A9002953500</t>
  </si>
  <si>
    <t>A9003014200</t>
  </si>
  <si>
    <t>A9002985400</t>
  </si>
  <si>
    <t>A9002985200</t>
  </si>
  <si>
    <t>A9002603700</t>
  </si>
  <si>
    <t>A9003387400</t>
  </si>
  <si>
    <t>A9002603800</t>
  </si>
  <si>
    <t>A9003142900</t>
  </si>
  <si>
    <t>A9004032200</t>
  </si>
  <si>
    <t>A9003161700</t>
  </si>
  <si>
    <t>A9003433900</t>
  </si>
  <si>
    <t>A9003434200</t>
  </si>
  <si>
    <t>A9003281700</t>
  </si>
  <si>
    <t>A9003227400</t>
  </si>
  <si>
    <t>A9003569500</t>
  </si>
  <si>
    <t>A9003569600</t>
  </si>
  <si>
    <t>A9003278800</t>
  </si>
  <si>
    <t>A9003279000</t>
  </si>
  <si>
    <t>A9003722500</t>
  </si>
  <si>
    <t>A9003137200</t>
  </si>
  <si>
    <t>A9003040400</t>
  </si>
  <si>
    <t>A9003363800</t>
  </si>
  <si>
    <t>A9003680900</t>
  </si>
  <si>
    <t>A9003364000</t>
  </si>
  <si>
    <t>A9003644800</t>
  </si>
  <si>
    <t>A9003677200</t>
  </si>
  <si>
    <t>A9003762900</t>
  </si>
  <si>
    <t>A9002977400</t>
  </si>
  <si>
    <t>A9003407900</t>
  </si>
  <si>
    <t>A9003327400</t>
  </si>
  <si>
    <t>A9003284100</t>
  </si>
  <si>
    <t>A9003382800</t>
  </si>
  <si>
    <t>A9003730500</t>
  </si>
  <si>
    <t>A0049168700</t>
  </si>
  <si>
    <t>A0033563400</t>
  </si>
  <si>
    <t>A9003752500</t>
  </si>
  <si>
    <t>A9003721200</t>
  </si>
  <si>
    <t>A9004004500</t>
  </si>
  <si>
    <t>A9002947800</t>
  </si>
  <si>
    <t>A9004007300</t>
  </si>
  <si>
    <t>A9003113400</t>
  </si>
  <si>
    <t>A9002974000</t>
  </si>
  <si>
    <t>A9003046200</t>
  </si>
  <si>
    <t>A9003046300</t>
  </si>
  <si>
    <t>A9003046700</t>
  </si>
  <si>
    <t>A9002952000</t>
  </si>
  <si>
    <t>A9004060700</t>
  </si>
  <si>
    <t>A9004060800</t>
  </si>
  <si>
    <t>A9004101700</t>
  </si>
  <si>
    <t>A9003821400</t>
  </si>
  <si>
    <t>A9003382700</t>
  </si>
  <si>
    <t>A9003482100</t>
  </si>
  <si>
    <t>A9003299700</t>
  </si>
  <si>
    <t>A9003673200</t>
  </si>
  <si>
    <t>A9003922800</t>
  </si>
  <si>
    <t>A9001661900</t>
  </si>
  <si>
    <t>A9003634100</t>
  </si>
  <si>
    <t>A9001093400</t>
  </si>
  <si>
    <t>A9003037800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</si>
</sst>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mm/dd/yyyy"/>
    <numFmt numFmtId="165" formatCode="[$-10409]&quot;$&quot;#,##0.00;\(&quot;$&quot;#,##0.00\)"/>
  </numFmts>
  <fonts count="1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20"/>
      <color rgb="FF4682B4"/>
      <name val="Calibri"/>
    </font>
    <font>
      <i/>
      <sz val="10"/>
      <color rgb="FF000000"/>
      <name val="Calibri"/>
    </font>
    <font>
      <b/>
      <sz val="14"/>
      <color rgb="FF4682B4"/>
      <name val="Calibri"/>
    </font>
    <font>
      <b/>
      <sz val="10"/>
      <color rgb="FFFFFFFF"/>
      <name val="Calibri"/>
    </font>
    <font>
      <sz val="9"/>
      <color rgb="FF000000"/>
      <name val="Calibri"/>
    </font>
    <font>
      <u/>
      <sz val="9"/>
      <color rgb="FF4682B4"/>
      <name val="Calibri"/>
    </font>
    <font>
      <sz val="10"/>
      <color rgb="FFFFFFFF"/>
      <name val="Calibri"/>
    </font>
    <font>
      <b/>
      <sz val="12"/>
      <color rgb="FFFFFFFF"/>
      <name val="Calibri"/>
    </font>
    <font>
      <b/>
      <sz val="10"/>
      <color rgb="FF000000"/>
      <name val="Calibri"/>
    </font>
    <font>
      <b/>
      <sz val="9"/>
      <color rgb="FF000000"/>
      <name val="Calibri"/>
    </font>
    <font>
      <sz val="12"/>
      <color rgb="FF000000"/>
      <name val="Calibri"/>
    </font>
    <font>
      <i/>
      <sz val="9"/>
      <color rgb="FFFF0000"/>
      <name val="Calibri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000000"/>
        <bgColor rgb="FF000000"/>
      </patternFill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  <fill>
      <patternFill patternType="solid">
        <fgColor rgb="FFDCDCDC"/>
        <bgColor rgb="FFDCDCDC"/>
      </patternFill>
    </fill>
  </fills>
  <borders count="14">
    <border>
      <left/>
      <right/>
      <top/>
      <bottom/>
      <diagonal/>
    </border>
    <border>
      <left/>
      <right/>
      <top style="thick">
        <color rgb="FF4682B4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4682B4"/>
      </left>
      <right style="thin">
        <color rgb="FF4682B4"/>
      </right>
      <top style="thin">
        <color rgb="FF4682B4"/>
      </top>
      <bottom style="thin">
        <color rgb="FF4682B4"/>
      </bottom>
      <diagonal/>
    </border>
    <border>
      <left/>
      <right/>
      <top style="thin">
        <color rgb="FF4682B4"/>
      </top>
      <bottom style="thin">
        <color rgb="FF4682B4"/>
      </bottom>
      <diagonal/>
    </border>
    <border>
      <left/>
      <right style="thin">
        <color rgb="FF4682B4"/>
      </right>
      <top style="thin">
        <color rgb="FF4682B4"/>
      </top>
      <bottom style="thin">
        <color rgb="FF4682B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682B4"/>
      </bottom>
      <diagonal/>
    </border>
    <border>
      <left/>
      <right style="thin">
        <color rgb="FFFFFFFF"/>
      </right>
      <top style="thin">
        <color rgb="FFFFFFFF"/>
      </top>
      <bottom style="thin">
        <color rgb="FF4682B4"/>
      </bottom>
      <diagonal/>
    </border>
    <border>
      <left/>
      <right/>
      <top style="thin">
        <color rgb="FFFFFFFF"/>
      </top>
      <bottom style="thin">
        <color rgb="FF4682B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51"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5" fillId="2" borderId="2" xfId="0" applyFont="1" applyFill="1" applyBorder="1" applyAlignment="1">
      <alignment vertical="top" wrapText="1" readingOrder="1"/>
    </xf>
    <xf numFmtId="0" fontId="6" fillId="0" borderId="2" xfId="0" applyFont="1" applyBorder="1" applyAlignment="1">
      <alignment vertical="top" wrapText="1" readingOrder="1"/>
    </xf>
    <xf numFmtId="0" fontId="8" fillId="3" borderId="2" xfId="0" applyFont="1" applyFill="1" applyBorder="1" applyAlignment="1">
      <alignment vertical="top" wrapText="1" readingOrder="1"/>
    </xf>
    <xf numFmtId="0" fontId="9" fillId="2" borderId="5" xfId="0" applyFont="1" applyFill="1" applyBorder="1" applyAlignment="1">
      <alignment vertical="top" wrapText="1" readingOrder="1"/>
    </xf>
    <xf numFmtId="0" fontId="10" fillId="4" borderId="8" xfId="0" applyFont="1" applyFill="1" applyBorder="1" applyAlignment="1">
      <alignment horizontal="center" vertical="top" wrapText="1" readingOrder="1"/>
    </xf>
    <xf numFmtId="0" fontId="11" fillId="4" borderId="11" xfId="0" applyFont="1" applyFill="1" applyBorder="1" applyAlignment="1">
      <alignment horizontal="center" vertical="top" wrapText="1" readingOrder="1"/>
    </xf>
    <xf numFmtId="0" fontId="6" fillId="5" borderId="2" xfId="0" applyFont="1" applyFill="1" applyBorder="1" applyAlignment="1">
      <alignment horizontal="center" vertical="top" wrapText="1" readingOrder="1"/>
    </xf>
    <xf numFmtId="165" fontId="6" fillId="5" borderId="2" xfId="0" applyNumberFormat="1" applyFont="1" applyFill="1" applyBorder="1" applyAlignment="1">
      <alignment horizontal="right" vertical="top" wrapText="1" readingOrder="1"/>
    </xf>
    <xf numFmtId="165" fontId="6" fillId="5" borderId="2" xfId="0" applyNumberFormat="1" applyFont="1" applyFill="1" applyBorder="1" applyAlignment="1">
      <alignment vertical="top" wrapText="1" readingOrder="1"/>
    </xf>
    <xf numFmtId="0" fontId="10" fillId="6" borderId="2" xfId="0" applyFont="1" applyFill="1" applyBorder="1" applyAlignment="1">
      <alignment vertical="top" wrapText="1" readingOrder="1"/>
    </xf>
    <xf numFmtId="165" fontId="10" fillId="6" borderId="2" xfId="0" applyNumberFormat="1" applyFont="1" applyFill="1" applyBorder="1" applyAlignment="1">
      <alignment vertical="top" wrapText="1" readingOrder="1"/>
    </xf>
    <xf numFmtId="0" fontId="10" fillId="6" borderId="2" xfId="0" applyFont="1" applyFill="1" applyBorder="1" applyAlignment="1">
      <alignment horizontal="center" vertical="top" wrapText="1" readingOrder="1"/>
    </xf>
    <xf numFmtId="0" fontId="6" fillId="5" borderId="2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165" fontId="6" fillId="5" borderId="2" xfId="0" applyNumberFormat="1" applyFont="1" applyFill="1" applyBorder="1" applyAlignment="1">
      <alignment vertical="top" wrapText="1" readingOrder="1"/>
    </xf>
    <xf numFmtId="0" fontId="10" fillId="6" borderId="2" xfId="0" applyFont="1" applyFill="1" applyBorder="1" applyAlignment="1">
      <alignment vertical="top" wrapText="1" readingOrder="1"/>
    </xf>
    <xf numFmtId="0" fontId="10" fillId="6" borderId="2" xfId="0" applyFont="1" applyFill="1" applyBorder="1" applyAlignment="1">
      <alignment horizontal="center" vertical="top" wrapText="1" readingOrder="1"/>
    </xf>
    <xf numFmtId="165" fontId="10" fillId="6" borderId="2" xfId="0" applyNumberFormat="1" applyFont="1" applyFill="1" applyBorder="1" applyAlignment="1">
      <alignment vertical="top" wrapText="1" readingOrder="1"/>
    </xf>
    <xf numFmtId="0" fontId="6" fillId="5" borderId="2" xfId="0" applyFont="1" applyFill="1" applyBorder="1" applyAlignment="1">
      <alignment vertical="top" wrapText="1" readingOrder="1"/>
    </xf>
    <xf numFmtId="0" fontId="7" fillId="5" borderId="2" xfId="0" applyFont="1" applyFill="1" applyBorder="1" applyAlignment="1">
      <alignment horizontal="center" vertical="top" wrapText="1" readingOrder="1"/>
    </xf>
    <xf numFmtId="0" fontId="9" fillId="2" borderId="5" xfId="0" applyFont="1" applyFill="1" applyBorder="1" applyAlignment="1">
      <alignment vertical="top" wrapText="1" readingOrder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0" fillId="4" borderId="8" xfId="0" applyFont="1" applyFill="1" applyBorder="1" applyAlignment="1">
      <alignment vertical="top" wrapText="1" readingOrder="1"/>
    </xf>
    <xf numFmtId="0" fontId="1" fillId="0" borderId="9" xfId="0" applyFont="1" applyBorder="1" applyAlignment="1">
      <alignment vertical="top" wrapText="1"/>
    </xf>
    <xf numFmtId="0" fontId="10" fillId="4" borderId="8" xfId="0" applyFont="1" applyFill="1" applyBorder="1" applyAlignment="1">
      <alignment horizontal="center" vertical="top" wrapText="1" readingOrder="1"/>
    </xf>
    <xf numFmtId="0" fontId="1" fillId="0" borderId="10" xfId="0" applyFont="1" applyBorder="1" applyAlignment="1">
      <alignment vertical="top" wrapText="1"/>
    </xf>
    <xf numFmtId="0" fontId="11" fillId="4" borderId="11" xfId="0" applyFont="1" applyFill="1" applyBorder="1" applyAlignment="1">
      <alignment horizontal="center" vertical="top" wrapText="1" readingOrder="1"/>
    </xf>
    <xf numFmtId="0" fontId="1" fillId="0" borderId="12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7" fillId="0" borderId="2" xfId="0" applyFont="1" applyBorder="1" applyAlignment="1">
      <alignment horizontal="center" vertical="top" wrapText="1" readingOrder="1"/>
    </xf>
    <xf numFmtId="0" fontId="6" fillId="0" borderId="2" xfId="0" applyFont="1" applyBorder="1" applyAlignment="1">
      <alignment horizontal="center" vertical="top" wrapText="1" readingOrder="1"/>
    </xf>
    <xf numFmtId="164" fontId="6" fillId="0" borderId="2" xfId="0" applyNumberFormat="1" applyFont="1" applyBorder="1" applyAlignment="1">
      <alignment vertical="top" wrapText="1" readingOrder="1"/>
    </xf>
    <xf numFmtId="0" fontId="8" fillId="3" borderId="2" xfId="0" applyFont="1" applyFill="1" applyBorder="1" applyAlignment="1">
      <alignment horizontal="center" vertical="top" wrapText="1" readingOrder="1"/>
    </xf>
    <xf numFmtId="0" fontId="8" fillId="3" borderId="2" xfId="0" applyFont="1" applyFill="1" applyBorder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2" xfId="0" applyFont="1" applyFill="1" applyBorder="1" applyAlignment="1">
      <alignment horizontal="center" vertical="top" wrapText="1" readingOrder="1"/>
    </xf>
    <xf numFmtId="0" fontId="10" fillId="4" borderId="8" xfId="0" applyFont="1" applyFill="1" applyBorder="1" applyAlignment="1">
      <alignment horizontal="left" vertical="top" wrapText="1" readingOrder="1"/>
    </xf>
    <xf numFmtId="0" fontId="11" fillId="4" borderId="11" xfId="0" applyFont="1" applyFill="1" applyBorder="1" applyAlignment="1">
      <alignment horizontal="left" vertical="top" wrapText="1" readingOrder="1"/>
    </xf>
    <xf numFmtId="0" fontId="1" fillId="0" borderId="0" xfId="0" applyFont="1" applyAlignment="1">
      <alignment horizontal="left"/>
    </xf>
    <xf numFmtId="0" fontId="6" fillId="5" borderId="2" xfId="0" applyFont="1" applyFill="1" applyBorder="1" applyAlignment="1">
      <alignment horizontal="left" vertical="top" wrapText="1" readingOrder="1"/>
    </xf>
    <xf numFmtId="0" fontId="0" fillId="0" borderId="0" xfId="0" applyFill="1" applyAlignment="1">
      <alignment horizontal="left"/>
    </xf>
    <xf numFmtId="165" fontId="6" fillId="5" borderId="2" xfId="0" applyNumberFormat="1" applyFont="1" applyFill="1" applyBorder="1" applyAlignment="1">
      <alignment horizontal="left" vertical="top" wrapText="1" readingOrder="1"/>
    </xf>
    <xf numFmtId="0" fontId="14" fillId="0" borderId="0" xfId="0" applyFont="1" applyAlignment="1">
      <alignment horizontal="left"/>
    </xf>
    <xf numFmtId="14" fontId="6" fillId="5" borderId="2" xfId="0" applyNumberFormat="1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0000"/>
      <rgbColor rgb="00D3D3D3"/>
      <rgbColor rgb="00FFFFFF"/>
      <rgbColor rgb="00ADD8E6"/>
      <rgbColor rgb="00DCDCDC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444500</xdr:colOff>
      <xdr:row>2</xdr:row>
      <xdr:rowOff>73609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scwp-cbidb002/ReportServer?%2FSummaCare%2FCommissions%202018%2FSC_Broker_Commission_Information&amp;Member_Nbr=A9003186100%20&amp;rs%3AParameterLanguage=" TargetMode="External"/><Relationship Id="rId21" Type="http://schemas.openxmlformats.org/officeDocument/2006/relationships/hyperlink" Target="http://scwp-cbidb002/ReportServer?%2FSummaCare%2FCommissions%202018%2FSC_Broker_Commission_Information&amp;Member_Nbr=A9003262100%20&amp;rs%3AParameterLanguage=" TargetMode="External"/><Relationship Id="rId42" Type="http://schemas.openxmlformats.org/officeDocument/2006/relationships/hyperlink" Target="http://scwp-cbidb002/ReportServer?%2FSummaCare%2FCommissions%202018%2FSC_Broker_Commission_Information&amp;Member_Nbr=A9003569500%20&amp;rs%3AParameterLanguage=" TargetMode="External"/><Relationship Id="rId47" Type="http://schemas.openxmlformats.org/officeDocument/2006/relationships/hyperlink" Target="http://scwp-cbidb002/ReportServer?%2FSummaCare%2FCommissions%202018%2FSC_Broker_Commission_Information&amp;Member_Nbr=A9003137200%20&amp;rs%3AParameterLanguage=" TargetMode="External"/><Relationship Id="rId63" Type="http://schemas.openxmlformats.org/officeDocument/2006/relationships/hyperlink" Target="http://scwp-cbidb002/ReportServer?%2FSummaCare%2FCommissions%202018%2FSC_Broker_Commission_Information&amp;Member_Nbr=A9003752500%20&amp;rs%3AParameterLanguage=" TargetMode="External"/><Relationship Id="rId68" Type="http://schemas.openxmlformats.org/officeDocument/2006/relationships/hyperlink" Target="http://scwp-cbidb002/ReportServer?%2FSummaCare%2FCommissions%202018%2FSC_Broker_Commission_Information&amp;Member_Nbr=A9003113400%20&amp;rs%3AParameterLanguage=" TargetMode="External"/><Relationship Id="rId84" Type="http://schemas.openxmlformats.org/officeDocument/2006/relationships/hyperlink" Target="http://scwp-cbidb002/ReportServer?%2FSummaCare%2FCommissions%202018%2FSC_Broker_Commission_Information&amp;Member_Nbr=A9003634100%20&amp;rs%3AParameterLanguage=" TargetMode="External"/><Relationship Id="rId16" Type="http://schemas.openxmlformats.org/officeDocument/2006/relationships/hyperlink" Target="http://scwp-cbidb002/ReportServer?%2FSummaCare%2FCommissions%202018%2FSC_Broker_Commission_Information&amp;Member_Nbr=A0051608100%20&amp;rs%3AParameterLanguage=" TargetMode="External"/><Relationship Id="rId11" Type="http://schemas.openxmlformats.org/officeDocument/2006/relationships/hyperlink" Target="http://scwp-cbidb002/ReportServer?%2FSummaCare%2FCommissions%202018%2FSC_Broker_Commission_Information&amp;Member_Nbr=A9003203200%20&amp;rs%3AParameterLanguage=" TargetMode="External"/><Relationship Id="rId32" Type="http://schemas.openxmlformats.org/officeDocument/2006/relationships/hyperlink" Target="http://scwp-cbidb002/ReportServer?%2FSummaCare%2FCommissions%202018%2FSC_Broker_Commission_Information&amp;Member_Nbr=A9002603700%20&amp;rs%3AParameterLanguage=" TargetMode="External"/><Relationship Id="rId37" Type="http://schemas.openxmlformats.org/officeDocument/2006/relationships/hyperlink" Target="http://scwp-cbidb002/ReportServer?%2FSummaCare%2FCommissions%202018%2FSC_Broker_Commission_Information&amp;Member_Nbr=A9003161700%20&amp;rs%3AParameterLanguage=" TargetMode="External"/><Relationship Id="rId53" Type="http://schemas.openxmlformats.org/officeDocument/2006/relationships/hyperlink" Target="http://scwp-cbidb002/ReportServer?%2FSummaCare%2FCommissions%202018%2FSC_Broker_Commission_Information&amp;Member_Nbr=A9003677200%20&amp;rs%3AParameterLanguage=" TargetMode="External"/><Relationship Id="rId58" Type="http://schemas.openxmlformats.org/officeDocument/2006/relationships/hyperlink" Target="http://scwp-cbidb002/ReportServer?%2FSummaCare%2FCommissions%202018%2FSC_Broker_Commission_Information&amp;Member_Nbr=A9003284100%20&amp;rs%3AParameterLanguage=" TargetMode="External"/><Relationship Id="rId74" Type="http://schemas.openxmlformats.org/officeDocument/2006/relationships/hyperlink" Target="http://scwp-cbidb002/ReportServer?%2FSummaCare%2FCommissions%202018%2FSC_Broker_Commission_Information&amp;Member_Nbr=A9004060700%20&amp;rs%3AParameterLanguage=" TargetMode="External"/><Relationship Id="rId79" Type="http://schemas.openxmlformats.org/officeDocument/2006/relationships/hyperlink" Target="http://scwp-cbidb002/ReportServer?%2FSummaCare%2FCommissions%202018%2FSC_Broker_Commission_Information&amp;Member_Nbr=A9003482100%20&amp;rs%3AParameterLanguage=" TargetMode="External"/><Relationship Id="rId5" Type="http://schemas.openxmlformats.org/officeDocument/2006/relationships/hyperlink" Target="http://scwp-cbidb002/ReportServer?%2FSummaCare%2FCommissions%202018%2FSC_Broker_Commission_Information&amp;Member_Nbr=A9003119500%20&amp;rs%3AParameterLanguage=" TargetMode="External"/><Relationship Id="rId19" Type="http://schemas.openxmlformats.org/officeDocument/2006/relationships/hyperlink" Target="http://scwp-cbidb002/ReportServer?%2FSummaCare%2FCommissions%202018%2FSC_Broker_Commission_Information&amp;Member_Nbr=A9003019100%20&amp;rs%3AParameterLanguage=" TargetMode="External"/><Relationship Id="rId14" Type="http://schemas.openxmlformats.org/officeDocument/2006/relationships/hyperlink" Target="http://scwp-cbidb002/ReportServer?%2FSummaCare%2FCommissions%202018%2FSC_Broker_Commission_Information&amp;Member_Nbr=A9003158500%20&amp;rs%3AParameterLanguage=" TargetMode="External"/><Relationship Id="rId22" Type="http://schemas.openxmlformats.org/officeDocument/2006/relationships/hyperlink" Target="http://scwp-cbidb002/ReportServer?%2FSummaCare%2FCommissions%202018%2FSC_Broker_Commission_Information&amp;Member_Nbr=A9003154700%20&amp;rs%3AParameterLanguage=" TargetMode="External"/><Relationship Id="rId27" Type="http://schemas.openxmlformats.org/officeDocument/2006/relationships/hyperlink" Target="http://scwp-cbidb002/ReportServer?%2FSummaCare%2FCommissions%202018%2FSC_Broker_Commission_Information&amp;Member_Nbr=A9003514800%20&amp;rs%3AParameterLanguage=" TargetMode="External"/><Relationship Id="rId30" Type="http://schemas.openxmlformats.org/officeDocument/2006/relationships/hyperlink" Target="http://scwp-cbidb002/ReportServer?%2FSummaCare%2FCommissions%202018%2FSC_Broker_Commission_Information&amp;Member_Nbr=A9002985400%20&amp;rs%3AParameterLanguage=" TargetMode="External"/><Relationship Id="rId35" Type="http://schemas.openxmlformats.org/officeDocument/2006/relationships/hyperlink" Target="http://scwp-cbidb002/ReportServer?%2FSummaCare%2FCommissions%202018%2FSC_Broker_Commission_Information&amp;Member_Nbr=A9003142900%20&amp;rs%3AParameterLanguage=" TargetMode="External"/><Relationship Id="rId43" Type="http://schemas.openxmlformats.org/officeDocument/2006/relationships/hyperlink" Target="http://scwp-cbidb002/ReportServer?%2FSummaCare%2FCommissions%202018%2FSC_Broker_Commission_Information&amp;Member_Nbr=A9003569600%20&amp;rs%3AParameterLanguage=" TargetMode="External"/><Relationship Id="rId48" Type="http://schemas.openxmlformats.org/officeDocument/2006/relationships/hyperlink" Target="http://scwp-cbidb002/ReportServer?%2FSummaCare%2FCommissions%202018%2FSC_Broker_Commission_Information&amp;Member_Nbr=A9003040400%20&amp;rs%3AParameterLanguage=" TargetMode="External"/><Relationship Id="rId56" Type="http://schemas.openxmlformats.org/officeDocument/2006/relationships/hyperlink" Target="http://scwp-cbidb002/ReportServer?%2FSummaCare%2FCommissions%202018%2FSC_Broker_Commission_Information&amp;Member_Nbr=A9003407900%20&amp;rs%3AParameterLanguage=" TargetMode="External"/><Relationship Id="rId64" Type="http://schemas.openxmlformats.org/officeDocument/2006/relationships/hyperlink" Target="http://scwp-cbidb002/ReportServer?%2FSummaCare%2FCommissions%202018%2FSC_Broker_Commission_Information&amp;Member_Nbr=A9003721200%20&amp;rs%3AParameterLanguage=" TargetMode="External"/><Relationship Id="rId69" Type="http://schemas.openxmlformats.org/officeDocument/2006/relationships/hyperlink" Target="http://scwp-cbidb002/ReportServer?%2FSummaCare%2FCommissions%202018%2FSC_Broker_Commission_Information&amp;Member_Nbr=A9002974000%20&amp;rs%3AParameterLanguage=" TargetMode="External"/><Relationship Id="rId77" Type="http://schemas.openxmlformats.org/officeDocument/2006/relationships/hyperlink" Target="http://scwp-cbidb002/ReportServer?%2FSummaCare%2FCommissions%202018%2FSC_Broker_Commission_Information&amp;Member_Nbr=A9003821400%20&amp;rs%3AParameterLanguage=" TargetMode="External"/><Relationship Id="rId8" Type="http://schemas.openxmlformats.org/officeDocument/2006/relationships/hyperlink" Target="http://scwp-cbidb002/ReportServer?%2FSummaCare%2FCommissions%202018%2FSC_Broker_Commission_Information&amp;Member_Nbr=A9001310600%20&amp;rs%3AParameterLanguage=" TargetMode="External"/><Relationship Id="rId51" Type="http://schemas.openxmlformats.org/officeDocument/2006/relationships/hyperlink" Target="http://scwp-cbidb002/ReportServer?%2FSummaCare%2FCommissions%202018%2FSC_Broker_Commission_Information&amp;Member_Nbr=A9003364000%20&amp;rs%3AParameterLanguage=" TargetMode="External"/><Relationship Id="rId72" Type="http://schemas.openxmlformats.org/officeDocument/2006/relationships/hyperlink" Target="http://scwp-cbidb002/ReportServer?%2FSummaCare%2FCommissions%202018%2FSC_Broker_Commission_Information&amp;Member_Nbr=A9003046700%20&amp;rs%3AParameterLanguage=" TargetMode="External"/><Relationship Id="rId80" Type="http://schemas.openxmlformats.org/officeDocument/2006/relationships/hyperlink" Target="http://scwp-cbidb002/ReportServer?%2FSummaCare%2FCommissions%202018%2FSC_Broker_Commission_Information&amp;Member_Nbr=A9003299700%20&amp;rs%3AParameterLanguage=" TargetMode="External"/><Relationship Id="rId85" Type="http://schemas.openxmlformats.org/officeDocument/2006/relationships/hyperlink" Target="http://scwp-cbidb002/ReportServer?%2FSummaCare%2FCommissions%202018%2FSC_Broker_Commission_Information&amp;Member_Nbr=A9001093400%20&amp;rs%3AParameterLanguage=" TargetMode="External"/><Relationship Id="rId3" Type="http://schemas.openxmlformats.org/officeDocument/2006/relationships/hyperlink" Target="http://scwp-cbidb002/ReportServer?%2FSummaCare%2FCommissions%202018%2FSC_Broker_Commission_Information&amp;Member_Nbr=A9001229900%20&amp;rs%3AParameterLanguage=" TargetMode="External"/><Relationship Id="rId12" Type="http://schemas.openxmlformats.org/officeDocument/2006/relationships/hyperlink" Target="http://scwp-cbidb002/ReportServer?%2FSummaCare%2FCommissions%202018%2FSC_Broker_Commission_Information&amp;Member_Nbr=A9001183200%20&amp;rs%3AParameterLanguage=" TargetMode="External"/><Relationship Id="rId17" Type="http://schemas.openxmlformats.org/officeDocument/2006/relationships/hyperlink" Target="http://scwp-cbidb002/ReportServer?%2FSummaCare%2FCommissions%202018%2FSC_Broker_Commission_Information&amp;Member_Nbr=A9001490300%20&amp;rs%3AParameterLanguage=" TargetMode="External"/><Relationship Id="rId25" Type="http://schemas.openxmlformats.org/officeDocument/2006/relationships/hyperlink" Target="http://scwp-cbidb002/ReportServer?%2FSummaCare%2FCommissions%202018%2FSC_Broker_Commission_Information&amp;Member_Nbr=A9003566500%20&amp;rs%3AParameterLanguage=" TargetMode="External"/><Relationship Id="rId33" Type="http://schemas.openxmlformats.org/officeDocument/2006/relationships/hyperlink" Target="http://scwp-cbidb002/ReportServer?%2FSummaCare%2FCommissions%202018%2FSC_Broker_Commission_Information&amp;Member_Nbr=A9003387400%20&amp;rs%3AParameterLanguage=" TargetMode="External"/><Relationship Id="rId38" Type="http://schemas.openxmlformats.org/officeDocument/2006/relationships/hyperlink" Target="http://scwp-cbidb002/ReportServer?%2FSummaCare%2FCommissions%202018%2FSC_Broker_Commission_Information&amp;Member_Nbr=A9003433900%20&amp;rs%3AParameterLanguage=" TargetMode="External"/><Relationship Id="rId46" Type="http://schemas.openxmlformats.org/officeDocument/2006/relationships/hyperlink" Target="http://scwp-cbidb002/ReportServer?%2FSummaCare%2FCommissions%202018%2FSC_Broker_Commission_Information&amp;Member_Nbr=A9003722500%20&amp;rs%3AParameterLanguage=" TargetMode="External"/><Relationship Id="rId59" Type="http://schemas.openxmlformats.org/officeDocument/2006/relationships/hyperlink" Target="http://scwp-cbidb002/ReportServer?%2FSummaCare%2FCommissions%202018%2FSC_Broker_Commission_Information&amp;Member_Nbr=A9003382800%20&amp;rs%3AParameterLanguage=" TargetMode="External"/><Relationship Id="rId67" Type="http://schemas.openxmlformats.org/officeDocument/2006/relationships/hyperlink" Target="http://scwp-cbidb002/ReportServer?%2FSummaCare%2FCommissions%202018%2FSC_Broker_Commission_Information&amp;Member_Nbr=A9004007300%20&amp;rs%3AParameterLanguage=" TargetMode="External"/><Relationship Id="rId20" Type="http://schemas.openxmlformats.org/officeDocument/2006/relationships/hyperlink" Target="http://scwp-cbidb002/ReportServer?%2FSummaCare%2FCommissions%202018%2FSC_Broker_Commission_Information&amp;Member_Nbr=A9003261900%20&amp;rs%3AParameterLanguage=" TargetMode="External"/><Relationship Id="rId41" Type="http://schemas.openxmlformats.org/officeDocument/2006/relationships/hyperlink" Target="http://scwp-cbidb002/ReportServer?%2FSummaCare%2FCommissions%202018%2FSC_Broker_Commission_Information&amp;Member_Nbr=A9003227400%20&amp;rs%3AParameterLanguage=" TargetMode="External"/><Relationship Id="rId54" Type="http://schemas.openxmlformats.org/officeDocument/2006/relationships/hyperlink" Target="http://scwp-cbidb002/ReportServer?%2FSummaCare%2FCommissions%202018%2FSC_Broker_Commission_Information&amp;Member_Nbr=A9003762900%20&amp;rs%3AParameterLanguage=" TargetMode="External"/><Relationship Id="rId62" Type="http://schemas.openxmlformats.org/officeDocument/2006/relationships/hyperlink" Target="http://scwp-cbidb002/ReportServer?%2FSummaCare%2FCommissions%202018%2FSC_Broker_Commission_Information&amp;Member_Nbr=A0033563400%20&amp;rs%3AParameterLanguage=" TargetMode="External"/><Relationship Id="rId70" Type="http://schemas.openxmlformats.org/officeDocument/2006/relationships/hyperlink" Target="http://scwp-cbidb002/ReportServer?%2FSummaCare%2FCommissions%202018%2FSC_Broker_Commission_Information&amp;Member_Nbr=A9003046200%20&amp;rs%3AParameterLanguage=" TargetMode="External"/><Relationship Id="rId75" Type="http://schemas.openxmlformats.org/officeDocument/2006/relationships/hyperlink" Target="http://scwp-cbidb002/ReportServer?%2FSummaCare%2FCommissions%202018%2FSC_Broker_Commission_Information&amp;Member_Nbr=A9004060800%20&amp;rs%3AParameterLanguage=" TargetMode="External"/><Relationship Id="rId83" Type="http://schemas.openxmlformats.org/officeDocument/2006/relationships/hyperlink" Target="http://scwp-cbidb002/ReportServer?%2FSummaCare%2FCommissions%202018%2FSC_Broker_Commission_Information&amp;Member_Nbr=A9001661900%20&amp;rs%3AParameterLanguage=" TargetMode="External"/><Relationship Id="rId1" Type="http://schemas.openxmlformats.org/officeDocument/2006/relationships/hyperlink" Target="http://scwp-cbidb002/ReportServer?%2FSummaCare%2FCommissions%202018%2FSC_Broker_Commission_Information&amp;Member_Nbr=A9004053800%20%20&amp;rs%3AParameterLanguage=" TargetMode="External"/><Relationship Id="rId6" Type="http://schemas.openxmlformats.org/officeDocument/2006/relationships/hyperlink" Target="http://scwp-cbidb002/ReportServer?%2FSummaCare%2FCommissions%202018%2FSC_Broker_Commission_Information&amp;Member_Nbr=A9003119400%20&amp;rs%3AParameterLanguage=" TargetMode="External"/><Relationship Id="rId15" Type="http://schemas.openxmlformats.org/officeDocument/2006/relationships/hyperlink" Target="http://scwp-cbidb002/ReportServer?%2FSummaCare%2FCommissions%202018%2FSC_Broker_Commission_Information&amp;Member_Nbr=A9003158700%20&amp;rs%3AParameterLanguage=" TargetMode="External"/><Relationship Id="rId23" Type="http://schemas.openxmlformats.org/officeDocument/2006/relationships/hyperlink" Target="http://scwp-cbidb002/ReportServer?%2FSummaCare%2FCommissions%202018%2FSC_Broker_Commission_Information&amp;Member_Nbr=A9001163300%20&amp;rs%3AParameterLanguage=" TargetMode="External"/><Relationship Id="rId28" Type="http://schemas.openxmlformats.org/officeDocument/2006/relationships/hyperlink" Target="http://scwp-cbidb002/ReportServer?%2FSummaCare%2FCommissions%202018%2FSC_Broker_Commission_Information&amp;Member_Nbr=A9002953500%20&amp;rs%3AParameterLanguage=" TargetMode="External"/><Relationship Id="rId36" Type="http://schemas.openxmlformats.org/officeDocument/2006/relationships/hyperlink" Target="http://scwp-cbidb002/ReportServer?%2FSummaCare%2FCommissions%202018%2FSC_Broker_Commission_Information&amp;Member_Nbr=A9004032200%20&amp;rs%3AParameterLanguage=" TargetMode="External"/><Relationship Id="rId49" Type="http://schemas.openxmlformats.org/officeDocument/2006/relationships/hyperlink" Target="http://scwp-cbidb002/ReportServer?%2FSummaCare%2FCommissions%202018%2FSC_Broker_Commission_Information&amp;Member_Nbr=A9003363800%20&amp;rs%3AParameterLanguage=" TargetMode="External"/><Relationship Id="rId57" Type="http://schemas.openxmlformats.org/officeDocument/2006/relationships/hyperlink" Target="http://scwp-cbidb002/ReportServer?%2FSummaCare%2FCommissions%202018%2FSC_Broker_Commission_Information&amp;Member_Nbr=A9003327400%20&amp;rs%3AParameterLanguage=" TargetMode="External"/><Relationship Id="rId10" Type="http://schemas.openxmlformats.org/officeDocument/2006/relationships/hyperlink" Target="http://scwp-cbidb002/ReportServer?%2FSummaCare%2FCommissions%202018%2FSC_Broker_Commission_Information&amp;Member_Nbr=A9003562100%20&amp;rs%3AParameterLanguage=" TargetMode="External"/><Relationship Id="rId31" Type="http://schemas.openxmlformats.org/officeDocument/2006/relationships/hyperlink" Target="http://scwp-cbidb002/ReportServer?%2FSummaCare%2FCommissions%202018%2FSC_Broker_Commission_Information&amp;Member_Nbr=A9002985200%20&amp;rs%3AParameterLanguage=" TargetMode="External"/><Relationship Id="rId44" Type="http://schemas.openxmlformats.org/officeDocument/2006/relationships/hyperlink" Target="http://scwp-cbidb002/ReportServer?%2FSummaCare%2FCommissions%202018%2FSC_Broker_Commission_Information&amp;Member_Nbr=A9003278800%20&amp;rs%3AParameterLanguage=" TargetMode="External"/><Relationship Id="rId52" Type="http://schemas.openxmlformats.org/officeDocument/2006/relationships/hyperlink" Target="http://scwp-cbidb002/ReportServer?%2FSummaCare%2FCommissions%202018%2FSC_Broker_Commission_Information&amp;Member_Nbr=A9003644800%20&amp;rs%3AParameterLanguage=" TargetMode="External"/><Relationship Id="rId60" Type="http://schemas.openxmlformats.org/officeDocument/2006/relationships/hyperlink" Target="http://scwp-cbidb002/ReportServer?%2FSummaCare%2FCommissions%202018%2FSC_Broker_Commission_Information&amp;Member_Nbr=A9003730500%20&amp;rs%3AParameterLanguage=" TargetMode="External"/><Relationship Id="rId65" Type="http://schemas.openxmlformats.org/officeDocument/2006/relationships/hyperlink" Target="http://scwp-cbidb002/ReportServer?%2FSummaCare%2FCommissions%202018%2FSC_Broker_Commission_Information&amp;Member_Nbr=A9004004500%20&amp;rs%3AParameterLanguage=" TargetMode="External"/><Relationship Id="rId73" Type="http://schemas.openxmlformats.org/officeDocument/2006/relationships/hyperlink" Target="http://scwp-cbidb002/ReportServer?%2FSummaCare%2FCommissions%202018%2FSC_Broker_Commission_Information&amp;Member_Nbr=A9002952000%20&amp;rs%3AParameterLanguage=" TargetMode="External"/><Relationship Id="rId78" Type="http://schemas.openxmlformats.org/officeDocument/2006/relationships/hyperlink" Target="http://scwp-cbidb002/ReportServer?%2FSummaCare%2FCommissions%202018%2FSC_Broker_Commission_Information&amp;Member_Nbr=A9003382700%20&amp;rs%3AParameterLanguage=" TargetMode="External"/><Relationship Id="rId81" Type="http://schemas.openxmlformats.org/officeDocument/2006/relationships/hyperlink" Target="http://scwp-cbidb002/ReportServer?%2FSummaCare%2FCommissions%202018%2FSC_Broker_Commission_Information&amp;Member_Nbr=A9003673200%20&amp;rs%3AParameterLanguage=" TargetMode="External"/><Relationship Id="rId86" Type="http://schemas.openxmlformats.org/officeDocument/2006/relationships/hyperlink" Target="http://scwp-cbidb002/ReportServer?%2FSummaCare%2FCommissions%202018%2FSC_Broker_Commission_Information&amp;Member_Nbr=A9003037800%20&amp;rs%3AParameterLanguage=" TargetMode="External"/><Relationship Id="rId4" Type="http://schemas.openxmlformats.org/officeDocument/2006/relationships/hyperlink" Target="http://scwp-cbidb002/ReportServer?%2FSummaCare%2FCommissions%202018%2FSC_Broker_Commission_Information&amp;Member_Nbr=A9003999500%20&amp;rs%3AParameterLanguage=" TargetMode="External"/><Relationship Id="rId9" Type="http://schemas.openxmlformats.org/officeDocument/2006/relationships/hyperlink" Target="http://scwp-cbidb002/ReportServer?%2FSummaCare%2FCommissions%202018%2FSC_Broker_Commission_Information&amp;Member_Nbr=A9003562200%20&amp;rs%3AParameterLanguage=" TargetMode="External"/><Relationship Id="rId13" Type="http://schemas.openxmlformats.org/officeDocument/2006/relationships/hyperlink" Target="http://scwp-cbidb002/ReportServer?%2FSummaCare%2FCommissions%202018%2FSC_Broker_Commission_Information&amp;Member_Nbr=A9001183300%20&amp;rs%3AParameterLanguage=" TargetMode="External"/><Relationship Id="rId18" Type="http://schemas.openxmlformats.org/officeDocument/2006/relationships/hyperlink" Target="http://scwp-cbidb002/ReportServer?%2FSummaCare%2FCommissions%202018%2FSC_Broker_Commission_Information&amp;Member_Nbr=A9001105800%20&amp;rs%3AParameterLanguage=" TargetMode="External"/><Relationship Id="rId39" Type="http://schemas.openxmlformats.org/officeDocument/2006/relationships/hyperlink" Target="http://scwp-cbidb002/ReportServer?%2FSummaCare%2FCommissions%202018%2FSC_Broker_Commission_Information&amp;Member_Nbr=A9003434200%20&amp;rs%3AParameterLanguage=" TargetMode="External"/><Relationship Id="rId34" Type="http://schemas.openxmlformats.org/officeDocument/2006/relationships/hyperlink" Target="http://scwp-cbidb002/ReportServer?%2FSummaCare%2FCommissions%202018%2FSC_Broker_Commission_Information&amp;Member_Nbr=A9002603800%20&amp;rs%3AParameterLanguage=" TargetMode="External"/><Relationship Id="rId50" Type="http://schemas.openxmlformats.org/officeDocument/2006/relationships/hyperlink" Target="http://scwp-cbidb002/ReportServer?%2FSummaCare%2FCommissions%202018%2FSC_Broker_Commission_Information&amp;Member_Nbr=A9003680900%20&amp;rs%3AParameterLanguage=" TargetMode="External"/><Relationship Id="rId55" Type="http://schemas.openxmlformats.org/officeDocument/2006/relationships/hyperlink" Target="http://scwp-cbidb002/ReportServer?%2FSummaCare%2FCommissions%202018%2FSC_Broker_Commission_Information&amp;Member_Nbr=A9002977400%20&amp;rs%3AParameterLanguage=" TargetMode="External"/><Relationship Id="rId76" Type="http://schemas.openxmlformats.org/officeDocument/2006/relationships/hyperlink" Target="http://scwp-cbidb002/ReportServer?%2FSummaCare%2FCommissions%202018%2FSC_Broker_Commission_Information&amp;Member_Nbr=A9004101700%20&amp;rs%3AParameterLanguage=" TargetMode="External"/><Relationship Id="rId7" Type="http://schemas.openxmlformats.org/officeDocument/2006/relationships/hyperlink" Target="http://scwp-cbidb002/ReportServer?%2FSummaCare%2FCommissions%202018%2FSC_Broker_Commission_Information&amp;Member_Nbr=A9003018500%20&amp;rs%3AParameterLanguage=" TargetMode="External"/><Relationship Id="rId71" Type="http://schemas.openxmlformats.org/officeDocument/2006/relationships/hyperlink" Target="http://scwp-cbidb002/ReportServer?%2FSummaCare%2FCommissions%202018%2FSC_Broker_Commission_Information&amp;Member_Nbr=A9003046300%20&amp;rs%3AParameterLanguage=" TargetMode="External"/><Relationship Id="rId2" Type="http://schemas.openxmlformats.org/officeDocument/2006/relationships/hyperlink" Target="http://scwp-cbidb002/ReportServer?%2FSummaCare%2FCommissions%202018%2FSC_Broker_Commission_Information&amp;Member_Nbr=A9003921000%20&amp;rs%3AParameterLanguage=" TargetMode="External"/><Relationship Id="rId29" Type="http://schemas.openxmlformats.org/officeDocument/2006/relationships/hyperlink" Target="http://scwp-cbidb002/ReportServer?%2FSummaCare%2FCommissions%202018%2FSC_Broker_Commission_Information&amp;Member_Nbr=A9003014200%20&amp;rs%3AParameterLanguage=" TargetMode="External"/><Relationship Id="rId24" Type="http://schemas.openxmlformats.org/officeDocument/2006/relationships/hyperlink" Target="http://scwp-cbidb002/ReportServer?%2FSummaCare%2FCommissions%202018%2FSC_Broker_Commission_Information&amp;Member_Nbr=A9003676000%20&amp;rs%3AParameterLanguage=" TargetMode="External"/><Relationship Id="rId40" Type="http://schemas.openxmlformats.org/officeDocument/2006/relationships/hyperlink" Target="http://scwp-cbidb002/ReportServer?%2FSummaCare%2FCommissions%202018%2FSC_Broker_Commission_Information&amp;Member_Nbr=A9003281700%20&amp;rs%3AParameterLanguage=" TargetMode="External"/><Relationship Id="rId45" Type="http://schemas.openxmlformats.org/officeDocument/2006/relationships/hyperlink" Target="http://scwp-cbidb002/ReportServer?%2FSummaCare%2FCommissions%202018%2FSC_Broker_Commission_Information&amp;Member_Nbr=A9003279000%20&amp;rs%3AParameterLanguage=" TargetMode="External"/><Relationship Id="rId66" Type="http://schemas.openxmlformats.org/officeDocument/2006/relationships/hyperlink" Target="http://scwp-cbidb002/ReportServer?%2FSummaCare%2FCommissions%202018%2FSC_Broker_Commission_Information&amp;Member_Nbr=A9002947800%20&amp;rs%3AParameterLanguage=" TargetMode="External"/><Relationship Id="rId87" Type="http://schemas.openxmlformats.org/officeDocument/2006/relationships/drawing" Target="../drawings/drawing1.xml"/><Relationship Id="rId61" Type="http://schemas.openxmlformats.org/officeDocument/2006/relationships/hyperlink" Target="http://scwp-cbidb002/ReportServer?%2FSummaCare%2FCommissions%202018%2FSC_Broker_Commission_Information&amp;Member_Nbr=A0049168700%20&amp;rs%3AParameterLanguage=" TargetMode="External"/><Relationship Id="rId82" Type="http://schemas.openxmlformats.org/officeDocument/2006/relationships/hyperlink" Target="http://scwp-cbidb002/ReportServer?%2FSummaCare%2FCommissions%202018%2FSC_Broker_Commission_Information&amp;Member_Nbr=A9003922800%20&amp;rs%3AParameterLanguage=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"/>
  <sheetViews>
    <sheetView showGridLines="0" workbookViewId="0">
      <selection sqref="A1:XFD1048576"/>
    </sheetView>
  </sheetViews>
  <sheetFormatPr defaultRowHeight="14.4" x14ac:dyDescent="0.3"/>
  <cols>
    <col min="1" max="1" width="0.109375" customWidth="1"/>
    <col min="2" max="2" width="21.33203125" customWidth="1"/>
    <col min="3" max="3" width="0" hidden="1" customWidth="1"/>
    <col min="4" max="4" width="6.88671875" customWidth="1"/>
    <col min="5" max="5" width="1.5546875" customWidth="1"/>
    <col min="6" max="6" width="8.6640625" customWidth="1"/>
    <col min="7" max="7" width="0.44140625" customWidth="1"/>
    <col min="8" max="8" width="9.109375" customWidth="1"/>
    <col min="9" max="9" width="2" customWidth="1"/>
    <col min="10" max="10" width="2.109375" customWidth="1"/>
    <col min="11" max="11" width="4.88671875" customWidth="1"/>
    <col min="12" max="12" width="8.88671875" customWidth="1"/>
    <col min="13" max="13" width="1.88671875" customWidth="1"/>
    <col min="14" max="14" width="8.33203125" customWidth="1"/>
    <col min="15" max="15" width="3.5546875" customWidth="1"/>
    <col min="16" max="16" width="0" hidden="1" customWidth="1"/>
    <col min="17" max="17" width="7.44140625" customWidth="1"/>
    <col min="18" max="18" width="10.6640625" customWidth="1"/>
    <col min="19" max="19" width="8.44140625" customWidth="1"/>
    <col min="20" max="20" width="8" customWidth="1"/>
    <col min="21" max="21" width="1.5546875" customWidth="1"/>
    <col min="22" max="22" width="0.44140625" customWidth="1"/>
    <col min="23" max="23" width="11.44140625" customWidth="1"/>
    <col min="24" max="24" width="10.5546875" customWidth="1"/>
    <col min="25" max="25" width="0" hidden="1" customWidth="1"/>
    <col min="26" max="26" width="0.44140625" customWidth="1"/>
    <col min="27" max="27" width="0" hidden="1" customWidth="1"/>
  </cols>
  <sheetData>
    <row r="1" spans="1:26" ht="2.1" customHeight="1" x14ac:dyDescent="0.3">
      <c r="A1" s="38"/>
      <c r="B1" s="38"/>
      <c r="C1" s="38"/>
      <c r="D1" s="38"/>
      <c r="F1" s="39" t="s">
        <v>0</v>
      </c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2" spans="1:26" ht="18" customHeight="1" x14ac:dyDescent="0.3">
      <c r="A2" s="38"/>
      <c r="B2" s="38"/>
      <c r="C2" s="38"/>
      <c r="D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V2" s="40" t="s">
        <v>1</v>
      </c>
      <c r="W2" s="38"/>
      <c r="X2" s="38"/>
    </row>
    <row r="3" spans="1:26" ht="23.7" customHeight="1" x14ac:dyDescent="0.3">
      <c r="A3" s="38"/>
      <c r="B3" s="38"/>
      <c r="C3" s="38"/>
      <c r="D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</row>
    <row r="4" spans="1:26" ht="29.7" customHeight="1" x14ac:dyDescent="0.3"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</row>
    <row r="5" spans="1:26" ht="11.85" customHeight="1" x14ac:dyDescent="0.3"/>
    <row r="6" spans="1:26" ht="4.5" customHeight="1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6" ht="18" customHeight="1" x14ac:dyDescent="0.3">
      <c r="B7" s="41" t="s">
        <v>2</v>
      </c>
      <c r="C7" s="38"/>
      <c r="D7" s="38"/>
      <c r="E7" s="38"/>
      <c r="F7" s="38"/>
      <c r="G7" s="38"/>
      <c r="H7" s="38"/>
      <c r="I7" s="38"/>
    </row>
    <row r="8" spans="1:26" ht="4.2" customHeight="1" x14ac:dyDescent="0.3"/>
    <row r="9" spans="1:26" x14ac:dyDescent="0.3">
      <c r="B9" s="2" t="s">
        <v>3</v>
      </c>
      <c r="C9" s="42" t="s">
        <v>4</v>
      </c>
      <c r="D9" s="15"/>
      <c r="E9" s="15"/>
      <c r="F9" s="16"/>
      <c r="G9" s="42" t="s">
        <v>5</v>
      </c>
      <c r="H9" s="15"/>
      <c r="I9" s="15"/>
      <c r="J9" s="16"/>
      <c r="K9" s="42" t="s">
        <v>6</v>
      </c>
      <c r="L9" s="16"/>
      <c r="M9" s="42" t="s">
        <v>7</v>
      </c>
      <c r="N9" s="15"/>
      <c r="O9" s="16"/>
    </row>
    <row r="10" spans="1:26" ht="15.15" customHeight="1" x14ac:dyDescent="0.3">
      <c r="B10" s="3" t="s">
        <v>8</v>
      </c>
      <c r="C10" s="33" t="s">
        <v>9</v>
      </c>
      <c r="D10" s="15"/>
      <c r="E10" s="15"/>
      <c r="F10" s="16"/>
      <c r="G10" s="34" t="s">
        <v>10</v>
      </c>
      <c r="H10" s="15"/>
      <c r="I10" s="15"/>
      <c r="J10" s="16"/>
      <c r="K10" s="34" t="s">
        <v>11</v>
      </c>
      <c r="L10" s="16"/>
      <c r="M10" s="35">
        <v>46097</v>
      </c>
      <c r="N10" s="15"/>
      <c r="O10" s="16"/>
    </row>
    <row r="11" spans="1:26" x14ac:dyDescent="0.3">
      <c r="B11" s="4" t="s">
        <v>12</v>
      </c>
      <c r="C11" s="36">
        <v>1</v>
      </c>
      <c r="D11" s="15"/>
      <c r="E11" s="15"/>
      <c r="F11" s="16"/>
      <c r="G11" s="36" t="s">
        <v>13</v>
      </c>
      <c r="H11" s="15"/>
      <c r="I11" s="15"/>
      <c r="J11" s="16"/>
      <c r="K11" s="36" t="s">
        <v>13</v>
      </c>
      <c r="L11" s="16"/>
      <c r="M11" s="37" t="s">
        <v>13</v>
      </c>
      <c r="N11" s="15"/>
      <c r="O11" s="16"/>
    </row>
    <row r="12" spans="1:26" ht="8.85" customHeight="1" x14ac:dyDescent="0.3"/>
    <row r="13" spans="1:26" ht="5.4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6" ht="15.6" x14ac:dyDescent="0.3">
      <c r="A14" s="23" t="s">
        <v>14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5" t="s">
        <v>15</v>
      </c>
      <c r="S14" s="5" t="s">
        <v>13</v>
      </c>
      <c r="T14" s="23" t="s">
        <v>13</v>
      </c>
      <c r="U14" s="24"/>
      <c r="V14" s="25"/>
      <c r="W14" s="5" t="s">
        <v>13</v>
      </c>
      <c r="X14" s="23" t="s">
        <v>13</v>
      </c>
      <c r="Y14" s="24"/>
      <c r="Z14" s="25"/>
    </row>
    <row r="15" spans="1:26" x14ac:dyDescent="0.3">
      <c r="A15" s="26" t="s">
        <v>16</v>
      </c>
      <c r="B15" s="27"/>
      <c r="D15" s="28" t="s">
        <v>4</v>
      </c>
      <c r="E15" s="29"/>
      <c r="F15" s="29"/>
      <c r="G15" s="27"/>
      <c r="H15" s="6" t="s">
        <v>17</v>
      </c>
      <c r="I15" s="28" t="s">
        <v>18</v>
      </c>
      <c r="J15" s="29"/>
      <c r="K15" s="27"/>
      <c r="L15" s="28" t="s">
        <v>19</v>
      </c>
      <c r="M15" s="27"/>
      <c r="N15" s="6" t="s">
        <v>20</v>
      </c>
      <c r="O15" s="30" t="s">
        <v>21</v>
      </c>
      <c r="P15" s="31"/>
      <c r="Q15" s="32"/>
      <c r="R15" s="7" t="s">
        <v>22</v>
      </c>
      <c r="S15" s="7" t="s">
        <v>23</v>
      </c>
      <c r="T15" s="30" t="s">
        <v>24</v>
      </c>
      <c r="U15" s="31"/>
      <c r="V15" s="32"/>
      <c r="W15" s="7" t="s">
        <v>25</v>
      </c>
      <c r="X15" s="30" t="s">
        <v>26</v>
      </c>
      <c r="Y15" s="31"/>
      <c r="Z15" s="32"/>
    </row>
    <row r="16" spans="1:26" x14ac:dyDescent="0.3">
      <c r="A16" s="21" t="s">
        <v>27</v>
      </c>
      <c r="B16" s="16"/>
      <c r="D16" s="22" t="s">
        <v>28</v>
      </c>
      <c r="E16" s="15"/>
      <c r="F16" s="15"/>
      <c r="G16" s="16"/>
      <c r="H16" s="8" t="s">
        <v>29</v>
      </c>
      <c r="I16" s="14" t="s">
        <v>11</v>
      </c>
      <c r="J16" s="15"/>
      <c r="K16" s="16"/>
      <c r="L16" s="14" t="s">
        <v>30</v>
      </c>
      <c r="M16" s="16"/>
      <c r="N16" s="8" t="s">
        <v>31</v>
      </c>
      <c r="O16" s="14" t="s">
        <v>32</v>
      </c>
      <c r="P16" s="15"/>
      <c r="Q16" s="16"/>
      <c r="R16" s="9">
        <v>28.92</v>
      </c>
      <c r="S16" s="8">
        <v>1</v>
      </c>
      <c r="T16" s="14">
        <v>0</v>
      </c>
      <c r="U16" s="15"/>
      <c r="V16" s="16"/>
      <c r="W16" s="10">
        <v>0</v>
      </c>
      <c r="X16" s="17">
        <v>28.92</v>
      </c>
      <c r="Y16" s="15"/>
      <c r="Z16" s="16"/>
    </row>
    <row r="17" spans="1:26" x14ac:dyDescent="0.3">
      <c r="A17" s="21" t="s">
        <v>33</v>
      </c>
      <c r="B17" s="16"/>
      <c r="D17" s="22" t="s">
        <v>34</v>
      </c>
      <c r="E17" s="15"/>
      <c r="F17" s="15"/>
      <c r="G17" s="16"/>
      <c r="H17" s="8" t="s">
        <v>29</v>
      </c>
      <c r="I17" s="14" t="s">
        <v>11</v>
      </c>
      <c r="J17" s="15"/>
      <c r="K17" s="16"/>
      <c r="L17" s="14" t="s">
        <v>30</v>
      </c>
      <c r="M17" s="16"/>
      <c r="N17" s="8" t="s">
        <v>31</v>
      </c>
      <c r="O17" s="14" t="s">
        <v>32</v>
      </c>
      <c r="P17" s="15"/>
      <c r="Q17" s="16"/>
      <c r="R17" s="9">
        <v>28.92</v>
      </c>
      <c r="S17" s="8">
        <v>1</v>
      </c>
      <c r="T17" s="14">
        <v>0</v>
      </c>
      <c r="U17" s="15"/>
      <c r="V17" s="16"/>
      <c r="W17" s="10">
        <v>0</v>
      </c>
      <c r="X17" s="17">
        <v>28.92</v>
      </c>
      <c r="Y17" s="15"/>
      <c r="Z17" s="16"/>
    </row>
    <row r="18" spans="1:26" x14ac:dyDescent="0.3">
      <c r="A18" s="21" t="s">
        <v>35</v>
      </c>
      <c r="B18" s="16"/>
      <c r="D18" s="22" t="s">
        <v>36</v>
      </c>
      <c r="E18" s="15"/>
      <c r="F18" s="15"/>
      <c r="G18" s="16"/>
      <c r="H18" s="8" t="s">
        <v>37</v>
      </c>
      <c r="I18" s="14" t="s">
        <v>11</v>
      </c>
      <c r="J18" s="15"/>
      <c r="K18" s="16"/>
      <c r="L18" s="14" t="s">
        <v>38</v>
      </c>
      <c r="M18" s="16"/>
      <c r="N18" s="8" t="s">
        <v>31</v>
      </c>
      <c r="O18" s="14" t="s">
        <v>32</v>
      </c>
      <c r="P18" s="15"/>
      <c r="Q18" s="16"/>
      <c r="R18" s="9">
        <v>28.92</v>
      </c>
      <c r="S18" s="8">
        <v>1</v>
      </c>
      <c r="T18" s="14">
        <v>0</v>
      </c>
      <c r="U18" s="15"/>
      <c r="V18" s="16"/>
      <c r="W18" s="10">
        <v>0</v>
      </c>
      <c r="X18" s="17">
        <v>28.92</v>
      </c>
      <c r="Y18" s="15"/>
      <c r="Z18" s="16"/>
    </row>
    <row r="19" spans="1:26" x14ac:dyDescent="0.3">
      <c r="A19" s="21" t="s">
        <v>39</v>
      </c>
      <c r="B19" s="16"/>
      <c r="D19" s="22" t="s">
        <v>40</v>
      </c>
      <c r="E19" s="15"/>
      <c r="F19" s="15"/>
      <c r="G19" s="16"/>
      <c r="H19" s="8" t="s">
        <v>29</v>
      </c>
      <c r="I19" s="14" t="s">
        <v>11</v>
      </c>
      <c r="J19" s="15"/>
      <c r="K19" s="16"/>
      <c r="L19" s="14" t="s">
        <v>41</v>
      </c>
      <c r="M19" s="16"/>
      <c r="N19" s="8" t="s">
        <v>31</v>
      </c>
      <c r="O19" s="14" t="s">
        <v>32</v>
      </c>
      <c r="P19" s="15"/>
      <c r="Q19" s="16"/>
      <c r="R19" s="9">
        <v>28.92</v>
      </c>
      <c r="S19" s="8">
        <v>1</v>
      </c>
      <c r="T19" s="14">
        <v>0</v>
      </c>
      <c r="U19" s="15"/>
      <c r="V19" s="16"/>
      <c r="W19" s="10">
        <v>0</v>
      </c>
      <c r="X19" s="17">
        <v>28.92</v>
      </c>
      <c r="Y19" s="15"/>
      <c r="Z19" s="16"/>
    </row>
    <row r="20" spans="1:26" x14ac:dyDescent="0.3">
      <c r="A20" s="21" t="s">
        <v>42</v>
      </c>
      <c r="B20" s="16"/>
      <c r="D20" s="22" t="s">
        <v>43</v>
      </c>
      <c r="E20" s="15"/>
      <c r="F20" s="15"/>
      <c r="G20" s="16"/>
      <c r="H20" s="8" t="s">
        <v>29</v>
      </c>
      <c r="I20" s="14" t="s">
        <v>11</v>
      </c>
      <c r="J20" s="15"/>
      <c r="K20" s="16"/>
      <c r="L20" s="14" t="s">
        <v>41</v>
      </c>
      <c r="M20" s="16"/>
      <c r="N20" s="8" t="s">
        <v>31</v>
      </c>
      <c r="O20" s="14" t="s">
        <v>32</v>
      </c>
      <c r="P20" s="15"/>
      <c r="Q20" s="16"/>
      <c r="R20" s="9">
        <v>28.92</v>
      </c>
      <c r="S20" s="8">
        <v>1</v>
      </c>
      <c r="T20" s="14">
        <v>0</v>
      </c>
      <c r="U20" s="15"/>
      <c r="V20" s="16"/>
      <c r="W20" s="10">
        <v>0</v>
      </c>
      <c r="X20" s="17">
        <v>28.92</v>
      </c>
      <c r="Y20" s="15"/>
      <c r="Z20" s="16"/>
    </row>
    <row r="21" spans="1:26" x14ac:dyDescent="0.3">
      <c r="A21" s="21" t="s">
        <v>44</v>
      </c>
      <c r="B21" s="16"/>
      <c r="D21" s="22" t="s">
        <v>45</v>
      </c>
      <c r="E21" s="15"/>
      <c r="F21" s="15"/>
      <c r="G21" s="16"/>
      <c r="H21" s="8" t="s">
        <v>29</v>
      </c>
      <c r="I21" s="14" t="s">
        <v>11</v>
      </c>
      <c r="J21" s="15"/>
      <c r="K21" s="16"/>
      <c r="L21" s="14" t="s">
        <v>46</v>
      </c>
      <c r="M21" s="16"/>
      <c r="N21" s="8" t="s">
        <v>31</v>
      </c>
      <c r="O21" s="14" t="s">
        <v>32</v>
      </c>
      <c r="P21" s="15"/>
      <c r="Q21" s="16"/>
      <c r="R21" s="9">
        <v>28.92</v>
      </c>
      <c r="S21" s="8">
        <v>1</v>
      </c>
      <c r="T21" s="14">
        <v>0</v>
      </c>
      <c r="U21" s="15"/>
      <c r="V21" s="16"/>
      <c r="W21" s="10">
        <v>0</v>
      </c>
      <c r="X21" s="17">
        <v>28.92</v>
      </c>
      <c r="Y21" s="15"/>
      <c r="Z21" s="16"/>
    </row>
    <row r="22" spans="1:26" x14ac:dyDescent="0.3">
      <c r="A22" s="21" t="s">
        <v>47</v>
      </c>
      <c r="B22" s="16"/>
      <c r="D22" s="22" t="s">
        <v>48</v>
      </c>
      <c r="E22" s="15"/>
      <c r="F22" s="15"/>
      <c r="G22" s="16"/>
      <c r="H22" s="8" t="s">
        <v>29</v>
      </c>
      <c r="I22" s="14" t="s">
        <v>11</v>
      </c>
      <c r="J22" s="15"/>
      <c r="K22" s="16"/>
      <c r="L22" s="14" t="s">
        <v>49</v>
      </c>
      <c r="M22" s="16"/>
      <c r="N22" s="8" t="s">
        <v>31</v>
      </c>
      <c r="O22" s="14" t="s">
        <v>32</v>
      </c>
      <c r="P22" s="15"/>
      <c r="Q22" s="16"/>
      <c r="R22" s="9">
        <v>28.92</v>
      </c>
      <c r="S22" s="8">
        <v>1</v>
      </c>
      <c r="T22" s="14">
        <v>0</v>
      </c>
      <c r="U22" s="15"/>
      <c r="V22" s="16"/>
      <c r="W22" s="10">
        <v>0</v>
      </c>
      <c r="X22" s="17">
        <v>28.92</v>
      </c>
      <c r="Y22" s="15"/>
      <c r="Z22" s="16"/>
    </row>
    <row r="23" spans="1:26" x14ac:dyDescent="0.3">
      <c r="A23" s="21" t="s">
        <v>50</v>
      </c>
      <c r="B23" s="16"/>
      <c r="D23" s="22" t="s">
        <v>51</v>
      </c>
      <c r="E23" s="15"/>
      <c r="F23" s="15"/>
      <c r="G23" s="16"/>
      <c r="H23" s="8" t="s">
        <v>29</v>
      </c>
      <c r="I23" s="14" t="s">
        <v>11</v>
      </c>
      <c r="J23" s="15"/>
      <c r="K23" s="16"/>
      <c r="L23" s="14" t="s">
        <v>52</v>
      </c>
      <c r="M23" s="16"/>
      <c r="N23" s="8" t="s">
        <v>31</v>
      </c>
      <c r="O23" s="14" t="s">
        <v>32</v>
      </c>
      <c r="P23" s="15"/>
      <c r="Q23" s="16"/>
      <c r="R23" s="9">
        <v>28.92</v>
      </c>
      <c r="S23" s="8">
        <v>1</v>
      </c>
      <c r="T23" s="14">
        <v>0</v>
      </c>
      <c r="U23" s="15"/>
      <c r="V23" s="16"/>
      <c r="W23" s="10">
        <v>0</v>
      </c>
      <c r="X23" s="17">
        <v>28.92</v>
      </c>
      <c r="Y23" s="15"/>
      <c r="Z23" s="16"/>
    </row>
    <row r="24" spans="1:26" x14ac:dyDescent="0.3">
      <c r="A24" s="21" t="s">
        <v>53</v>
      </c>
      <c r="B24" s="16"/>
      <c r="D24" s="22" t="s">
        <v>54</v>
      </c>
      <c r="E24" s="15"/>
      <c r="F24" s="15"/>
      <c r="G24" s="16"/>
      <c r="H24" s="8" t="s">
        <v>29</v>
      </c>
      <c r="I24" s="14" t="s">
        <v>11</v>
      </c>
      <c r="J24" s="15"/>
      <c r="K24" s="16"/>
      <c r="L24" s="14" t="s">
        <v>52</v>
      </c>
      <c r="M24" s="16"/>
      <c r="N24" s="8" t="s">
        <v>31</v>
      </c>
      <c r="O24" s="14" t="s">
        <v>32</v>
      </c>
      <c r="P24" s="15"/>
      <c r="Q24" s="16"/>
      <c r="R24" s="9">
        <v>28.92</v>
      </c>
      <c r="S24" s="8">
        <v>1</v>
      </c>
      <c r="T24" s="14">
        <v>0</v>
      </c>
      <c r="U24" s="15"/>
      <c r="V24" s="16"/>
      <c r="W24" s="10">
        <v>0</v>
      </c>
      <c r="X24" s="17">
        <v>28.92</v>
      </c>
      <c r="Y24" s="15"/>
      <c r="Z24" s="16"/>
    </row>
    <row r="25" spans="1:26" x14ac:dyDescent="0.3">
      <c r="A25" s="21" t="s">
        <v>55</v>
      </c>
      <c r="B25" s="16"/>
      <c r="D25" s="22" t="s">
        <v>56</v>
      </c>
      <c r="E25" s="15"/>
      <c r="F25" s="15"/>
      <c r="G25" s="16"/>
      <c r="H25" s="8" t="s">
        <v>29</v>
      </c>
      <c r="I25" s="14" t="s">
        <v>11</v>
      </c>
      <c r="J25" s="15"/>
      <c r="K25" s="16"/>
      <c r="L25" s="14" t="s">
        <v>57</v>
      </c>
      <c r="M25" s="16"/>
      <c r="N25" s="8" t="s">
        <v>31</v>
      </c>
      <c r="O25" s="14" t="s">
        <v>32</v>
      </c>
      <c r="P25" s="15"/>
      <c r="Q25" s="16"/>
      <c r="R25" s="9">
        <v>28.92</v>
      </c>
      <c r="S25" s="8">
        <v>1</v>
      </c>
      <c r="T25" s="14">
        <v>0</v>
      </c>
      <c r="U25" s="15"/>
      <c r="V25" s="16"/>
      <c r="W25" s="10">
        <v>0</v>
      </c>
      <c r="X25" s="17">
        <v>28.92</v>
      </c>
      <c r="Y25" s="15"/>
      <c r="Z25" s="16"/>
    </row>
    <row r="26" spans="1:26" x14ac:dyDescent="0.3">
      <c r="A26" s="21" t="s">
        <v>58</v>
      </c>
      <c r="B26" s="16"/>
      <c r="D26" s="22" t="s">
        <v>59</v>
      </c>
      <c r="E26" s="15"/>
      <c r="F26" s="15"/>
      <c r="G26" s="16"/>
      <c r="H26" s="8" t="s">
        <v>29</v>
      </c>
      <c r="I26" s="14" t="s">
        <v>11</v>
      </c>
      <c r="J26" s="15"/>
      <c r="K26" s="16"/>
      <c r="L26" s="14" t="s">
        <v>60</v>
      </c>
      <c r="M26" s="16"/>
      <c r="N26" s="8" t="s">
        <v>61</v>
      </c>
      <c r="O26" s="14" t="s">
        <v>32</v>
      </c>
      <c r="P26" s="15"/>
      <c r="Q26" s="16"/>
      <c r="R26" s="9">
        <v>28.92</v>
      </c>
      <c r="S26" s="8">
        <v>1</v>
      </c>
      <c r="T26" s="14">
        <v>0</v>
      </c>
      <c r="U26" s="15"/>
      <c r="V26" s="16"/>
      <c r="W26" s="10">
        <v>0</v>
      </c>
      <c r="X26" s="17">
        <v>28.92</v>
      </c>
      <c r="Y26" s="15"/>
      <c r="Z26" s="16"/>
    </row>
    <row r="27" spans="1:26" x14ac:dyDescent="0.3">
      <c r="A27" s="21" t="s">
        <v>62</v>
      </c>
      <c r="B27" s="16"/>
      <c r="D27" s="22" t="s">
        <v>63</v>
      </c>
      <c r="E27" s="15"/>
      <c r="F27" s="15"/>
      <c r="G27" s="16"/>
      <c r="H27" s="8" t="s">
        <v>29</v>
      </c>
      <c r="I27" s="14" t="s">
        <v>11</v>
      </c>
      <c r="J27" s="15"/>
      <c r="K27" s="16"/>
      <c r="L27" s="14" t="s">
        <v>60</v>
      </c>
      <c r="M27" s="16"/>
      <c r="N27" s="8" t="s">
        <v>61</v>
      </c>
      <c r="O27" s="14" t="s">
        <v>32</v>
      </c>
      <c r="P27" s="15"/>
      <c r="Q27" s="16"/>
      <c r="R27" s="9">
        <v>28.92</v>
      </c>
      <c r="S27" s="8">
        <v>1</v>
      </c>
      <c r="T27" s="14">
        <v>0</v>
      </c>
      <c r="U27" s="15"/>
      <c r="V27" s="16"/>
      <c r="W27" s="10">
        <v>0</v>
      </c>
      <c r="X27" s="17">
        <v>28.92</v>
      </c>
      <c r="Y27" s="15"/>
      <c r="Z27" s="16"/>
    </row>
    <row r="28" spans="1:26" x14ac:dyDescent="0.3">
      <c r="A28" s="21" t="s">
        <v>64</v>
      </c>
      <c r="B28" s="16"/>
      <c r="D28" s="22" t="s">
        <v>65</v>
      </c>
      <c r="E28" s="15"/>
      <c r="F28" s="15"/>
      <c r="G28" s="16"/>
      <c r="H28" s="8" t="s">
        <v>29</v>
      </c>
      <c r="I28" s="14" t="s">
        <v>11</v>
      </c>
      <c r="J28" s="15"/>
      <c r="K28" s="16"/>
      <c r="L28" s="14" t="s">
        <v>66</v>
      </c>
      <c r="M28" s="16"/>
      <c r="N28" s="8" t="s">
        <v>31</v>
      </c>
      <c r="O28" s="14" t="s">
        <v>32</v>
      </c>
      <c r="P28" s="15"/>
      <c r="Q28" s="16"/>
      <c r="R28" s="9">
        <v>28.92</v>
      </c>
      <c r="S28" s="8">
        <v>1</v>
      </c>
      <c r="T28" s="14">
        <v>0</v>
      </c>
      <c r="U28" s="15"/>
      <c r="V28" s="16"/>
      <c r="W28" s="10">
        <v>0</v>
      </c>
      <c r="X28" s="17">
        <v>28.92</v>
      </c>
      <c r="Y28" s="15"/>
      <c r="Z28" s="16"/>
    </row>
    <row r="29" spans="1:26" x14ac:dyDescent="0.3">
      <c r="A29" s="21" t="s">
        <v>67</v>
      </c>
      <c r="B29" s="16"/>
      <c r="D29" s="22" t="s">
        <v>68</v>
      </c>
      <c r="E29" s="15"/>
      <c r="F29" s="15"/>
      <c r="G29" s="16"/>
      <c r="H29" s="8" t="s">
        <v>29</v>
      </c>
      <c r="I29" s="14" t="s">
        <v>11</v>
      </c>
      <c r="J29" s="15"/>
      <c r="K29" s="16"/>
      <c r="L29" s="14" t="s">
        <v>66</v>
      </c>
      <c r="M29" s="16"/>
      <c r="N29" s="8" t="s">
        <v>31</v>
      </c>
      <c r="O29" s="14" t="s">
        <v>32</v>
      </c>
      <c r="P29" s="15"/>
      <c r="Q29" s="16"/>
      <c r="R29" s="9">
        <v>28.92</v>
      </c>
      <c r="S29" s="8">
        <v>1</v>
      </c>
      <c r="T29" s="14">
        <v>0</v>
      </c>
      <c r="U29" s="15"/>
      <c r="V29" s="16"/>
      <c r="W29" s="10">
        <v>0</v>
      </c>
      <c r="X29" s="17">
        <v>28.92</v>
      </c>
      <c r="Y29" s="15"/>
      <c r="Z29" s="16"/>
    </row>
    <row r="30" spans="1:26" x14ac:dyDescent="0.3">
      <c r="A30" s="21" t="s">
        <v>69</v>
      </c>
      <c r="B30" s="16"/>
      <c r="D30" s="22" t="s">
        <v>70</v>
      </c>
      <c r="E30" s="15"/>
      <c r="F30" s="15"/>
      <c r="G30" s="16"/>
      <c r="H30" s="8" t="s">
        <v>29</v>
      </c>
      <c r="I30" s="14" t="s">
        <v>11</v>
      </c>
      <c r="J30" s="15"/>
      <c r="K30" s="16"/>
      <c r="L30" s="14" t="s">
        <v>71</v>
      </c>
      <c r="M30" s="16"/>
      <c r="N30" s="8" t="s">
        <v>31</v>
      </c>
      <c r="O30" s="14" t="s">
        <v>32</v>
      </c>
      <c r="P30" s="15"/>
      <c r="Q30" s="16"/>
      <c r="R30" s="9">
        <v>28.92</v>
      </c>
      <c r="S30" s="8">
        <v>1</v>
      </c>
      <c r="T30" s="14">
        <v>0</v>
      </c>
      <c r="U30" s="15"/>
      <c r="V30" s="16"/>
      <c r="W30" s="10">
        <v>0</v>
      </c>
      <c r="X30" s="17">
        <v>28.92</v>
      </c>
      <c r="Y30" s="15"/>
      <c r="Z30" s="16"/>
    </row>
    <row r="31" spans="1:26" x14ac:dyDescent="0.3">
      <c r="A31" s="21" t="s">
        <v>72</v>
      </c>
      <c r="B31" s="16"/>
      <c r="D31" s="22" t="s">
        <v>73</v>
      </c>
      <c r="E31" s="15"/>
      <c r="F31" s="15"/>
      <c r="G31" s="16"/>
      <c r="H31" s="8" t="s">
        <v>29</v>
      </c>
      <c r="I31" s="14" t="s">
        <v>11</v>
      </c>
      <c r="J31" s="15"/>
      <c r="K31" s="16"/>
      <c r="L31" s="14" t="s">
        <v>74</v>
      </c>
      <c r="M31" s="16"/>
      <c r="N31" s="8" t="s">
        <v>31</v>
      </c>
      <c r="O31" s="14" t="s">
        <v>32</v>
      </c>
      <c r="P31" s="15"/>
      <c r="Q31" s="16"/>
      <c r="R31" s="9">
        <v>28.92</v>
      </c>
      <c r="S31" s="8">
        <v>1</v>
      </c>
      <c r="T31" s="14">
        <v>0</v>
      </c>
      <c r="U31" s="15"/>
      <c r="V31" s="16"/>
      <c r="W31" s="10">
        <v>0</v>
      </c>
      <c r="X31" s="17">
        <v>28.92</v>
      </c>
      <c r="Y31" s="15"/>
      <c r="Z31" s="16"/>
    </row>
    <row r="32" spans="1:26" x14ac:dyDescent="0.3">
      <c r="A32" s="21" t="s">
        <v>75</v>
      </c>
      <c r="B32" s="16"/>
      <c r="D32" s="22" t="s">
        <v>76</v>
      </c>
      <c r="E32" s="15"/>
      <c r="F32" s="15"/>
      <c r="G32" s="16"/>
      <c r="H32" s="8" t="s">
        <v>29</v>
      </c>
      <c r="I32" s="14" t="s">
        <v>11</v>
      </c>
      <c r="J32" s="15"/>
      <c r="K32" s="16"/>
      <c r="L32" s="14" t="s">
        <v>74</v>
      </c>
      <c r="M32" s="16"/>
      <c r="N32" s="8" t="s">
        <v>31</v>
      </c>
      <c r="O32" s="14" t="s">
        <v>32</v>
      </c>
      <c r="P32" s="15"/>
      <c r="Q32" s="16"/>
      <c r="R32" s="9">
        <v>28.92</v>
      </c>
      <c r="S32" s="8">
        <v>1</v>
      </c>
      <c r="T32" s="14">
        <v>0</v>
      </c>
      <c r="U32" s="15"/>
      <c r="V32" s="16"/>
      <c r="W32" s="10">
        <v>0</v>
      </c>
      <c r="X32" s="17">
        <v>28.92</v>
      </c>
      <c r="Y32" s="15"/>
      <c r="Z32" s="16"/>
    </row>
    <row r="33" spans="1:26" x14ac:dyDescent="0.3">
      <c r="A33" s="21" t="s">
        <v>77</v>
      </c>
      <c r="B33" s="16"/>
      <c r="D33" s="22" t="s">
        <v>78</v>
      </c>
      <c r="E33" s="15"/>
      <c r="F33" s="15"/>
      <c r="G33" s="16"/>
      <c r="H33" s="8" t="s">
        <v>29</v>
      </c>
      <c r="I33" s="14" t="s">
        <v>11</v>
      </c>
      <c r="J33" s="15"/>
      <c r="K33" s="16"/>
      <c r="L33" s="14" t="s">
        <v>46</v>
      </c>
      <c r="M33" s="16"/>
      <c r="N33" s="8" t="s">
        <v>31</v>
      </c>
      <c r="O33" s="14" t="s">
        <v>32</v>
      </c>
      <c r="P33" s="15"/>
      <c r="Q33" s="16"/>
      <c r="R33" s="9">
        <v>28.92</v>
      </c>
      <c r="S33" s="8">
        <v>1</v>
      </c>
      <c r="T33" s="14">
        <v>0</v>
      </c>
      <c r="U33" s="15"/>
      <c r="V33" s="16"/>
      <c r="W33" s="10">
        <v>0</v>
      </c>
      <c r="X33" s="17">
        <v>28.92</v>
      </c>
      <c r="Y33" s="15"/>
      <c r="Z33" s="16"/>
    </row>
    <row r="34" spans="1:26" x14ac:dyDescent="0.3">
      <c r="A34" s="21" t="s">
        <v>79</v>
      </c>
      <c r="B34" s="16"/>
      <c r="D34" s="22" t="s">
        <v>80</v>
      </c>
      <c r="E34" s="15"/>
      <c r="F34" s="15"/>
      <c r="G34" s="16"/>
      <c r="H34" s="8" t="s">
        <v>29</v>
      </c>
      <c r="I34" s="14" t="s">
        <v>11</v>
      </c>
      <c r="J34" s="15"/>
      <c r="K34" s="16"/>
      <c r="L34" s="14" t="s">
        <v>81</v>
      </c>
      <c r="M34" s="16"/>
      <c r="N34" s="8" t="s">
        <v>31</v>
      </c>
      <c r="O34" s="14" t="s">
        <v>32</v>
      </c>
      <c r="P34" s="15"/>
      <c r="Q34" s="16"/>
      <c r="R34" s="9">
        <v>28.92</v>
      </c>
      <c r="S34" s="8">
        <v>1</v>
      </c>
      <c r="T34" s="14">
        <v>0</v>
      </c>
      <c r="U34" s="15"/>
      <c r="V34" s="16"/>
      <c r="W34" s="10">
        <v>0</v>
      </c>
      <c r="X34" s="17">
        <v>28.92</v>
      </c>
      <c r="Y34" s="15"/>
      <c r="Z34" s="16"/>
    </row>
    <row r="35" spans="1:26" x14ac:dyDescent="0.3">
      <c r="A35" s="21" t="s">
        <v>82</v>
      </c>
      <c r="B35" s="16"/>
      <c r="D35" s="22" t="s">
        <v>83</v>
      </c>
      <c r="E35" s="15"/>
      <c r="F35" s="15"/>
      <c r="G35" s="16"/>
      <c r="H35" s="8" t="s">
        <v>29</v>
      </c>
      <c r="I35" s="14" t="s">
        <v>11</v>
      </c>
      <c r="J35" s="15"/>
      <c r="K35" s="16"/>
      <c r="L35" s="14" t="s">
        <v>81</v>
      </c>
      <c r="M35" s="16"/>
      <c r="N35" s="8" t="s">
        <v>31</v>
      </c>
      <c r="O35" s="14" t="s">
        <v>32</v>
      </c>
      <c r="P35" s="15"/>
      <c r="Q35" s="16"/>
      <c r="R35" s="9">
        <v>28.92</v>
      </c>
      <c r="S35" s="8">
        <v>1</v>
      </c>
      <c r="T35" s="14">
        <v>0</v>
      </c>
      <c r="U35" s="15"/>
      <c r="V35" s="16"/>
      <c r="W35" s="10">
        <v>0</v>
      </c>
      <c r="X35" s="17">
        <v>28.92</v>
      </c>
      <c r="Y35" s="15"/>
      <c r="Z35" s="16"/>
    </row>
    <row r="36" spans="1:26" x14ac:dyDescent="0.3">
      <c r="A36" s="21" t="s">
        <v>84</v>
      </c>
      <c r="B36" s="16"/>
      <c r="D36" s="22" t="s">
        <v>85</v>
      </c>
      <c r="E36" s="15"/>
      <c r="F36" s="15"/>
      <c r="G36" s="16"/>
      <c r="H36" s="8" t="s">
        <v>29</v>
      </c>
      <c r="I36" s="14" t="s">
        <v>11</v>
      </c>
      <c r="J36" s="15"/>
      <c r="K36" s="16"/>
      <c r="L36" s="14" t="s">
        <v>66</v>
      </c>
      <c r="M36" s="16"/>
      <c r="N36" s="8" t="s">
        <v>31</v>
      </c>
      <c r="O36" s="14" t="s">
        <v>32</v>
      </c>
      <c r="P36" s="15"/>
      <c r="Q36" s="16"/>
      <c r="R36" s="9">
        <v>28.92</v>
      </c>
      <c r="S36" s="8">
        <v>1</v>
      </c>
      <c r="T36" s="14">
        <v>0</v>
      </c>
      <c r="U36" s="15"/>
      <c r="V36" s="16"/>
      <c r="W36" s="10">
        <v>0</v>
      </c>
      <c r="X36" s="17">
        <v>28.92</v>
      </c>
      <c r="Y36" s="15"/>
      <c r="Z36" s="16"/>
    </row>
    <row r="37" spans="1:26" x14ac:dyDescent="0.3">
      <c r="A37" s="21" t="s">
        <v>86</v>
      </c>
      <c r="B37" s="16"/>
      <c r="D37" s="22" t="s">
        <v>87</v>
      </c>
      <c r="E37" s="15"/>
      <c r="F37" s="15"/>
      <c r="G37" s="16"/>
      <c r="H37" s="8" t="s">
        <v>29</v>
      </c>
      <c r="I37" s="14" t="s">
        <v>11</v>
      </c>
      <c r="J37" s="15"/>
      <c r="K37" s="16"/>
      <c r="L37" s="14" t="s">
        <v>74</v>
      </c>
      <c r="M37" s="16"/>
      <c r="N37" s="8" t="s">
        <v>31</v>
      </c>
      <c r="O37" s="14" t="s">
        <v>32</v>
      </c>
      <c r="P37" s="15"/>
      <c r="Q37" s="16"/>
      <c r="R37" s="9">
        <v>28.92</v>
      </c>
      <c r="S37" s="8">
        <v>1</v>
      </c>
      <c r="T37" s="14">
        <v>0</v>
      </c>
      <c r="U37" s="15"/>
      <c r="V37" s="16"/>
      <c r="W37" s="10">
        <v>0</v>
      </c>
      <c r="X37" s="17">
        <v>28.92</v>
      </c>
      <c r="Y37" s="15"/>
      <c r="Z37" s="16"/>
    </row>
    <row r="38" spans="1:26" x14ac:dyDescent="0.3">
      <c r="A38" s="21" t="s">
        <v>88</v>
      </c>
      <c r="B38" s="16"/>
      <c r="D38" s="22" t="s">
        <v>89</v>
      </c>
      <c r="E38" s="15"/>
      <c r="F38" s="15"/>
      <c r="G38" s="16"/>
      <c r="H38" s="8" t="s">
        <v>29</v>
      </c>
      <c r="I38" s="14" t="s">
        <v>11</v>
      </c>
      <c r="J38" s="15"/>
      <c r="K38" s="16"/>
      <c r="L38" s="14" t="s">
        <v>90</v>
      </c>
      <c r="M38" s="16"/>
      <c r="N38" s="8" t="s">
        <v>31</v>
      </c>
      <c r="O38" s="14" t="s">
        <v>32</v>
      </c>
      <c r="P38" s="15"/>
      <c r="Q38" s="16"/>
      <c r="R38" s="9">
        <v>28.92</v>
      </c>
      <c r="S38" s="8">
        <v>1</v>
      </c>
      <c r="T38" s="14">
        <v>0</v>
      </c>
      <c r="U38" s="15"/>
      <c r="V38" s="16"/>
      <c r="W38" s="10">
        <v>0</v>
      </c>
      <c r="X38" s="17">
        <v>28.92</v>
      </c>
      <c r="Y38" s="15"/>
      <c r="Z38" s="16"/>
    </row>
    <row r="39" spans="1:26" x14ac:dyDescent="0.3">
      <c r="A39" s="21" t="s">
        <v>91</v>
      </c>
      <c r="B39" s="16"/>
      <c r="D39" s="22" t="s">
        <v>92</v>
      </c>
      <c r="E39" s="15"/>
      <c r="F39" s="15"/>
      <c r="G39" s="16"/>
      <c r="H39" s="8" t="s">
        <v>29</v>
      </c>
      <c r="I39" s="14" t="s">
        <v>11</v>
      </c>
      <c r="J39" s="15"/>
      <c r="K39" s="16"/>
      <c r="L39" s="14" t="s">
        <v>52</v>
      </c>
      <c r="M39" s="16"/>
      <c r="N39" s="8" t="s">
        <v>31</v>
      </c>
      <c r="O39" s="14" t="s">
        <v>32</v>
      </c>
      <c r="P39" s="15"/>
      <c r="Q39" s="16"/>
      <c r="R39" s="9">
        <v>28.92</v>
      </c>
      <c r="S39" s="8">
        <v>1</v>
      </c>
      <c r="T39" s="14">
        <v>0</v>
      </c>
      <c r="U39" s="15"/>
      <c r="V39" s="16"/>
      <c r="W39" s="10">
        <v>0</v>
      </c>
      <c r="X39" s="17">
        <v>28.92</v>
      </c>
      <c r="Y39" s="15"/>
      <c r="Z39" s="16"/>
    </row>
    <row r="40" spans="1:26" x14ac:dyDescent="0.3">
      <c r="A40" s="21" t="s">
        <v>93</v>
      </c>
      <c r="B40" s="16"/>
      <c r="D40" s="22" t="s">
        <v>94</v>
      </c>
      <c r="E40" s="15"/>
      <c r="F40" s="15"/>
      <c r="G40" s="16"/>
      <c r="H40" s="8" t="s">
        <v>29</v>
      </c>
      <c r="I40" s="14" t="s">
        <v>11</v>
      </c>
      <c r="J40" s="15"/>
      <c r="K40" s="16"/>
      <c r="L40" s="14" t="s">
        <v>95</v>
      </c>
      <c r="M40" s="16"/>
      <c r="N40" s="8" t="s">
        <v>31</v>
      </c>
      <c r="O40" s="14" t="s">
        <v>32</v>
      </c>
      <c r="P40" s="15"/>
      <c r="Q40" s="16"/>
      <c r="R40" s="9">
        <v>28.92</v>
      </c>
      <c r="S40" s="8">
        <v>1</v>
      </c>
      <c r="T40" s="14">
        <v>0</v>
      </c>
      <c r="U40" s="15"/>
      <c r="V40" s="16"/>
      <c r="W40" s="10">
        <v>0</v>
      </c>
      <c r="X40" s="17">
        <v>28.92</v>
      </c>
      <c r="Y40" s="15"/>
      <c r="Z40" s="16"/>
    </row>
    <row r="41" spans="1:26" x14ac:dyDescent="0.3">
      <c r="A41" s="21" t="s">
        <v>96</v>
      </c>
      <c r="B41" s="16"/>
      <c r="D41" s="22" t="s">
        <v>97</v>
      </c>
      <c r="E41" s="15"/>
      <c r="F41" s="15"/>
      <c r="G41" s="16"/>
      <c r="H41" s="8" t="s">
        <v>29</v>
      </c>
      <c r="I41" s="14" t="s">
        <v>11</v>
      </c>
      <c r="J41" s="15"/>
      <c r="K41" s="16"/>
      <c r="L41" s="14" t="s">
        <v>98</v>
      </c>
      <c r="M41" s="16"/>
      <c r="N41" s="8" t="s">
        <v>31</v>
      </c>
      <c r="O41" s="14" t="s">
        <v>32</v>
      </c>
      <c r="P41" s="15"/>
      <c r="Q41" s="16"/>
      <c r="R41" s="9">
        <v>28.92</v>
      </c>
      <c r="S41" s="8">
        <v>1</v>
      </c>
      <c r="T41" s="14">
        <v>0</v>
      </c>
      <c r="U41" s="15"/>
      <c r="V41" s="16"/>
      <c r="W41" s="10">
        <v>0</v>
      </c>
      <c r="X41" s="17">
        <v>28.92</v>
      </c>
      <c r="Y41" s="15"/>
      <c r="Z41" s="16"/>
    </row>
    <row r="42" spans="1:26" x14ac:dyDescent="0.3">
      <c r="A42" s="21" t="s">
        <v>99</v>
      </c>
      <c r="B42" s="16"/>
      <c r="D42" s="22" t="s">
        <v>100</v>
      </c>
      <c r="E42" s="15"/>
      <c r="F42" s="15"/>
      <c r="G42" s="16"/>
      <c r="H42" s="8" t="s">
        <v>29</v>
      </c>
      <c r="I42" s="14" t="s">
        <v>11</v>
      </c>
      <c r="J42" s="15"/>
      <c r="K42" s="16"/>
      <c r="L42" s="14" t="s">
        <v>101</v>
      </c>
      <c r="M42" s="16"/>
      <c r="N42" s="8" t="s">
        <v>31</v>
      </c>
      <c r="O42" s="14" t="s">
        <v>32</v>
      </c>
      <c r="P42" s="15"/>
      <c r="Q42" s="16"/>
      <c r="R42" s="9">
        <v>28.92</v>
      </c>
      <c r="S42" s="8">
        <v>1</v>
      </c>
      <c r="T42" s="14">
        <v>0</v>
      </c>
      <c r="U42" s="15"/>
      <c r="V42" s="16"/>
      <c r="W42" s="10">
        <v>0</v>
      </c>
      <c r="X42" s="17">
        <v>28.92</v>
      </c>
      <c r="Y42" s="15"/>
      <c r="Z42" s="16"/>
    </row>
    <row r="43" spans="1:26" x14ac:dyDescent="0.3">
      <c r="A43" s="21" t="s">
        <v>102</v>
      </c>
      <c r="B43" s="16"/>
      <c r="D43" s="22" t="s">
        <v>103</v>
      </c>
      <c r="E43" s="15"/>
      <c r="F43" s="15"/>
      <c r="G43" s="16"/>
      <c r="H43" s="8" t="s">
        <v>29</v>
      </c>
      <c r="I43" s="14" t="s">
        <v>11</v>
      </c>
      <c r="J43" s="15"/>
      <c r="K43" s="16"/>
      <c r="L43" s="14" t="s">
        <v>46</v>
      </c>
      <c r="M43" s="16"/>
      <c r="N43" s="8" t="s">
        <v>31</v>
      </c>
      <c r="O43" s="14" t="s">
        <v>32</v>
      </c>
      <c r="P43" s="15"/>
      <c r="Q43" s="16"/>
      <c r="R43" s="9">
        <v>28.92</v>
      </c>
      <c r="S43" s="8">
        <v>1</v>
      </c>
      <c r="T43" s="14">
        <v>0</v>
      </c>
      <c r="U43" s="15"/>
      <c r="V43" s="16"/>
      <c r="W43" s="10">
        <v>0</v>
      </c>
      <c r="X43" s="17">
        <v>28.92</v>
      </c>
      <c r="Y43" s="15"/>
      <c r="Z43" s="16"/>
    </row>
    <row r="44" spans="1:26" x14ac:dyDescent="0.3">
      <c r="A44" s="21" t="s">
        <v>104</v>
      </c>
      <c r="B44" s="16"/>
      <c r="D44" s="22" t="s">
        <v>105</v>
      </c>
      <c r="E44" s="15"/>
      <c r="F44" s="15"/>
      <c r="G44" s="16"/>
      <c r="H44" s="8" t="s">
        <v>29</v>
      </c>
      <c r="I44" s="14" t="s">
        <v>11</v>
      </c>
      <c r="J44" s="15"/>
      <c r="K44" s="16"/>
      <c r="L44" s="14" t="s">
        <v>74</v>
      </c>
      <c r="M44" s="16"/>
      <c r="N44" s="8" t="s">
        <v>31</v>
      </c>
      <c r="O44" s="14" t="s">
        <v>32</v>
      </c>
      <c r="P44" s="15"/>
      <c r="Q44" s="16"/>
      <c r="R44" s="9">
        <v>28.92</v>
      </c>
      <c r="S44" s="8">
        <v>1</v>
      </c>
      <c r="T44" s="14">
        <v>0</v>
      </c>
      <c r="U44" s="15"/>
      <c r="V44" s="16"/>
      <c r="W44" s="10">
        <v>0</v>
      </c>
      <c r="X44" s="17">
        <v>28.92</v>
      </c>
      <c r="Y44" s="15"/>
      <c r="Z44" s="16"/>
    </row>
    <row r="45" spans="1:26" x14ac:dyDescent="0.3">
      <c r="A45" s="21" t="s">
        <v>106</v>
      </c>
      <c r="B45" s="16"/>
      <c r="D45" s="22" t="s">
        <v>107</v>
      </c>
      <c r="E45" s="15"/>
      <c r="F45" s="15"/>
      <c r="G45" s="16"/>
      <c r="H45" s="8" t="s">
        <v>29</v>
      </c>
      <c r="I45" s="14" t="s">
        <v>11</v>
      </c>
      <c r="J45" s="15"/>
      <c r="K45" s="16"/>
      <c r="L45" s="14" t="s">
        <v>74</v>
      </c>
      <c r="M45" s="16"/>
      <c r="N45" s="8" t="s">
        <v>31</v>
      </c>
      <c r="O45" s="14" t="s">
        <v>32</v>
      </c>
      <c r="P45" s="15"/>
      <c r="Q45" s="16"/>
      <c r="R45" s="9">
        <v>28.92</v>
      </c>
      <c r="S45" s="8">
        <v>1</v>
      </c>
      <c r="T45" s="14">
        <v>0</v>
      </c>
      <c r="U45" s="15"/>
      <c r="V45" s="16"/>
      <c r="W45" s="10">
        <v>0</v>
      </c>
      <c r="X45" s="17">
        <v>28.92</v>
      </c>
      <c r="Y45" s="15"/>
      <c r="Z45" s="16"/>
    </row>
    <row r="46" spans="1:26" x14ac:dyDescent="0.3">
      <c r="A46" s="21" t="s">
        <v>108</v>
      </c>
      <c r="B46" s="16"/>
      <c r="D46" s="22" t="s">
        <v>109</v>
      </c>
      <c r="E46" s="15"/>
      <c r="F46" s="15"/>
      <c r="G46" s="16"/>
      <c r="H46" s="8" t="s">
        <v>29</v>
      </c>
      <c r="I46" s="14" t="s">
        <v>11</v>
      </c>
      <c r="J46" s="15"/>
      <c r="K46" s="16"/>
      <c r="L46" s="14" t="s">
        <v>71</v>
      </c>
      <c r="M46" s="16"/>
      <c r="N46" s="8" t="s">
        <v>31</v>
      </c>
      <c r="O46" s="14" t="s">
        <v>32</v>
      </c>
      <c r="P46" s="15"/>
      <c r="Q46" s="16"/>
      <c r="R46" s="9">
        <v>28.92</v>
      </c>
      <c r="S46" s="8">
        <v>1</v>
      </c>
      <c r="T46" s="14">
        <v>0</v>
      </c>
      <c r="U46" s="15"/>
      <c r="V46" s="16"/>
      <c r="W46" s="10">
        <v>0</v>
      </c>
      <c r="X46" s="17">
        <v>28.92</v>
      </c>
      <c r="Y46" s="15"/>
      <c r="Z46" s="16"/>
    </row>
    <row r="47" spans="1:26" x14ac:dyDescent="0.3">
      <c r="A47" s="21" t="s">
        <v>110</v>
      </c>
      <c r="B47" s="16"/>
      <c r="D47" s="22" t="s">
        <v>111</v>
      </c>
      <c r="E47" s="15"/>
      <c r="F47" s="15"/>
      <c r="G47" s="16"/>
      <c r="H47" s="8" t="s">
        <v>29</v>
      </c>
      <c r="I47" s="14" t="s">
        <v>11</v>
      </c>
      <c r="J47" s="15"/>
      <c r="K47" s="16"/>
      <c r="L47" s="14" t="s">
        <v>112</v>
      </c>
      <c r="M47" s="16"/>
      <c r="N47" s="8" t="s">
        <v>31</v>
      </c>
      <c r="O47" s="14" t="s">
        <v>32</v>
      </c>
      <c r="P47" s="15"/>
      <c r="Q47" s="16"/>
      <c r="R47" s="9">
        <v>28.92</v>
      </c>
      <c r="S47" s="8">
        <v>1</v>
      </c>
      <c r="T47" s="14">
        <v>0</v>
      </c>
      <c r="U47" s="15"/>
      <c r="V47" s="16"/>
      <c r="W47" s="10">
        <v>0</v>
      </c>
      <c r="X47" s="17">
        <v>28.92</v>
      </c>
      <c r="Y47" s="15"/>
      <c r="Z47" s="16"/>
    </row>
    <row r="48" spans="1:26" x14ac:dyDescent="0.3">
      <c r="A48" s="21" t="s">
        <v>113</v>
      </c>
      <c r="B48" s="16"/>
      <c r="D48" s="22" t="s">
        <v>114</v>
      </c>
      <c r="E48" s="15"/>
      <c r="F48" s="15"/>
      <c r="G48" s="16"/>
      <c r="H48" s="8" t="s">
        <v>29</v>
      </c>
      <c r="I48" s="14" t="s">
        <v>11</v>
      </c>
      <c r="J48" s="15"/>
      <c r="K48" s="16"/>
      <c r="L48" s="14" t="s">
        <v>71</v>
      </c>
      <c r="M48" s="16"/>
      <c r="N48" s="8" t="s">
        <v>31</v>
      </c>
      <c r="O48" s="14" t="s">
        <v>32</v>
      </c>
      <c r="P48" s="15"/>
      <c r="Q48" s="16"/>
      <c r="R48" s="9">
        <v>28.92</v>
      </c>
      <c r="S48" s="8">
        <v>1</v>
      </c>
      <c r="T48" s="14">
        <v>0</v>
      </c>
      <c r="U48" s="15"/>
      <c r="V48" s="16"/>
      <c r="W48" s="10">
        <v>0</v>
      </c>
      <c r="X48" s="17">
        <v>28.92</v>
      </c>
      <c r="Y48" s="15"/>
      <c r="Z48" s="16"/>
    </row>
    <row r="49" spans="1:26" x14ac:dyDescent="0.3">
      <c r="A49" s="21" t="s">
        <v>115</v>
      </c>
      <c r="B49" s="16"/>
      <c r="D49" s="22" t="s">
        <v>116</v>
      </c>
      <c r="E49" s="15"/>
      <c r="F49" s="15"/>
      <c r="G49" s="16"/>
      <c r="H49" s="8" t="s">
        <v>29</v>
      </c>
      <c r="I49" s="14" t="s">
        <v>11</v>
      </c>
      <c r="J49" s="15"/>
      <c r="K49" s="16"/>
      <c r="L49" s="14" t="s">
        <v>117</v>
      </c>
      <c r="M49" s="16"/>
      <c r="N49" s="8" t="s">
        <v>31</v>
      </c>
      <c r="O49" s="14" t="s">
        <v>32</v>
      </c>
      <c r="P49" s="15"/>
      <c r="Q49" s="16"/>
      <c r="R49" s="9">
        <v>28.92</v>
      </c>
      <c r="S49" s="8">
        <v>1</v>
      </c>
      <c r="T49" s="14">
        <v>0</v>
      </c>
      <c r="U49" s="15"/>
      <c r="V49" s="16"/>
      <c r="W49" s="10">
        <v>0</v>
      </c>
      <c r="X49" s="17">
        <v>28.92</v>
      </c>
      <c r="Y49" s="15"/>
      <c r="Z49" s="16"/>
    </row>
    <row r="50" spans="1:26" x14ac:dyDescent="0.3">
      <c r="A50" s="21" t="s">
        <v>118</v>
      </c>
      <c r="B50" s="16"/>
      <c r="D50" s="22" t="s">
        <v>119</v>
      </c>
      <c r="E50" s="15"/>
      <c r="F50" s="15"/>
      <c r="G50" s="16"/>
      <c r="H50" s="8" t="s">
        <v>37</v>
      </c>
      <c r="I50" s="14" t="s">
        <v>11</v>
      </c>
      <c r="J50" s="15"/>
      <c r="K50" s="16"/>
      <c r="L50" s="14" t="s">
        <v>120</v>
      </c>
      <c r="M50" s="16"/>
      <c r="N50" s="8" t="s">
        <v>31</v>
      </c>
      <c r="O50" s="14" t="s">
        <v>32</v>
      </c>
      <c r="P50" s="15"/>
      <c r="Q50" s="16"/>
      <c r="R50" s="9">
        <v>28.92</v>
      </c>
      <c r="S50" s="8">
        <v>1</v>
      </c>
      <c r="T50" s="14">
        <v>0</v>
      </c>
      <c r="U50" s="15"/>
      <c r="V50" s="16"/>
      <c r="W50" s="10">
        <v>0</v>
      </c>
      <c r="X50" s="17">
        <v>28.92</v>
      </c>
      <c r="Y50" s="15"/>
      <c r="Z50" s="16"/>
    </row>
    <row r="51" spans="1:26" x14ac:dyDescent="0.3">
      <c r="A51" s="21" t="s">
        <v>121</v>
      </c>
      <c r="B51" s="16"/>
      <c r="D51" s="22" t="s">
        <v>122</v>
      </c>
      <c r="E51" s="15"/>
      <c r="F51" s="15"/>
      <c r="G51" s="16"/>
      <c r="H51" s="8" t="s">
        <v>29</v>
      </c>
      <c r="I51" s="14" t="s">
        <v>11</v>
      </c>
      <c r="J51" s="15"/>
      <c r="K51" s="16"/>
      <c r="L51" s="14" t="s">
        <v>66</v>
      </c>
      <c r="M51" s="16"/>
      <c r="N51" s="8" t="s">
        <v>31</v>
      </c>
      <c r="O51" s="14" t="s">
        <v>32</v>
      </c>
      <c r="P51" s="15"/>
      <c r="Q51" s="16"/>
      <c r="R51" s="9">
        <v>28.92</v>
      </c>
      <c r="S51" s="8">
        <v>1</v>
      </c>
      <c r="T51" s="14">
        <v>0</v>
      </c>
      <c r="U51" s="15"/>
      <c r="V51" s="16"/>
      <c r="W51" s="10">
        <v>0</v>
      </c>
      <c r="X51" s="17">
        <v>28.92</v>
      </c>
      <c r="Y51" s="15"/>
      <c r="Z51" s="16"/>
    </row>
    <row r="52" spans="1:26" x14ac:dyDescent="0.3">
      <c r="A52" s="21" t="s">
        <v>123</v>
      </c>
      <c r="B52" s="16"/>
      <c r="D52" s="22" t="s">
        <v>124</v>
      </c>
      <c r="E52" s="15"/>
      <c r="F52" s="15"/>
      <c r="G52" s="16"/>
      <c r="H52" s="8" t="s">
        <v>29</v>
      </c>
      <c r="I52" s="14" t="s">
        <v>11</v>
      </c>
      <c r="J52" s="15"/>
      <c r="K52" s="16"/>
      <c r="L52" s="14" t="s">
        <v>125</v>
      </c>
      <c r="M52" s="16"/>
      <c r="N52" s="8" t="s">
        <v>31</v>
      </c>
      <c r="O52" s="14" t="s">
        <v>32</v>
      </c>
      <c r="P52" s="15"/>
      <c r="Q52" s="16"/>
      <c r="R52" s="9">
        <v>28.92</v>
      </c>
      <c r="S52" s="8">
        <v>1</v>
      </c>
      <c r="T52" s="14">
        <v>0</v>
      </c>
      <c r="U52" s="15"/>
      <c r="V52" s="16"/>
      <c r="W52" s="10">
        <v>0</v>
      </c>
      <c r="X52" s="17">
        <v>28.92</v>
      </c>
      <c r="Y52" s="15"/>
      <c r="Z52" s="16"/>
    </row>
    <row r="53" spans="1:26" x14ac:dyDescent="0.3">
      <c r="A53" s="21" t="s">
        <v>126</v>
      </c>
      <c r="B53" s="16"/>
      <c r="D53" s="22" t="s">
        <v>127</v>
      </c>
      <c r="E53" s="15"/>
      <c r="F53" s="15"/>
      <c r="G53" s="16"/>
      <c r="H53" s="8" t="s">
        <v>29</v>
      </c>
      <c r="I53" s="14" t="s">
        <v>11</v>
      </c>
      <c r="J53" s="15"/>
      <c r="K53" s="16"/>
      <c r="L53" s="14" t="s">
        <v>125</v>
      </c>
      <c r="M53" s="16"/>
      <c r="N53" s="8" t="s">
        <v>31</v>
      </c>
      <c r="O53" s="14" t="s">
        <v>32</v>
      </c>
      <c r="P53" s="15"/>
      <c r="Q53" s="16"/>
      <c r="R53" s="9">
        <v>28.92</v>
      </c>
      <c r="S53" s="8">
        <v>1</v>
      </c>
      <c r="T53" s="14">
        <v>0</v>
      </c>
      <c r="U53" s="15"/>
      <c r="V53" s="16"/>
      <c r="W53" s="10">
        <v>0</v>
      </c>
      <c r="X53" s="17">
        <v>28.92</v>
      </c>
      <c r="Y53" s="15"/>
      <c r="Z53" s="16"/>
    </row>
    <row r="54" spans="1:26" x14ac:dyDescent="0.3">
      <c r="A54" s="21" t="s">
        <v>128</v>
      </c>
      <c r="B54" s="16"/>
      <c r="D54" s="22" t="s">
        <v>129</v>
      </c>
      <c r="E54" s="15"/>
      <c r="F54" s="15"/>
      <c r="G54" s="16"/>
      <c r="H54" s="8" t="s">
        <v>29</v>
      </c>
      <c r="I54" s="14" t="s">
        <v>11</v>
      </c>
      <c r="J54" s="15"/>
      <c r="K54" s="16"/>
      <c r="L54" s="14" t="s">
        <v>130</v>
      </c>
      <c r="M54" s="16"/>
      <c r="N54" s="8" t="s">
        <v>31</v>
      </c>
      <c r="O54" s="14" t="s">
        <v>32</v>
      </c>
      <c r="P54" s="15"/>
      <c r="Q54" s="16"/>
      <c r="R54" s="9">
        <v>28.92</v>
      </c>
      <c r="S54" s="8">
        <v>1</v>
      </c>
      <c r="T54" s="14">
        <v>0</v>
      </c>
      <c r="U54" s="15"/>
      <c r="V54" s="16"/>
      <c r="W54" s="10">
        <v>0</v>
      </c>
      <c r="X54" s="17">
        <v>28.92</v>
      </c>
      <c r="Y54" s="15"/>
      <c r="Z54" s="16"/>
    </row>
    <row r="55" spans="1:26" x14ac:dyDescent="0.3">
      <c r="A55" s="21" t="s">
        <v>131</v>
      </c>
      <c r="B55" s="16"/>
      <c r="D55" s="22" t="s">
        <v>132</v>
      </c>
      <c r="E55" s="15"/>
      <c r="F55" s="15"/>
      <c r="G55" s="16"/>
      <c r="H55" s="8" t="s">
        <v>29</v>
      </c>
      <c r="I55" s="14" t="s">
        <v>11</v>
      </c>
      <c r="J55" s="15"/>
      <c r="K55" s="16"/>
      <c r="L55" s="14" t="s">
        <v>133</v>
      </c>
      <c r="M55" s="16"/>
      <c r="N55" s="8" t="s">
        <v>31</v>
      </c>
      <c r="O55" s="14" t="s">
        <v>32</v>
      </c>
      <c r="P55" s="15"/>
      <c r="Q55" s="16"/>
      <c r="R55" s="9">
        <v>28.92</v>
      </c>
      <c r="S55" s="8">
        <v>1</v>
      </c>
      <c r="T55" s="14">
        <v>0</v>
      </c>
      <c r="U55" s="15"/>
      <c r="V55" s="16"/>
      <c r="W55" s="10">
        <v>0</v>
      </c>
      <c r="X55" s="17">
        <v>28.92</v>
      </c>
      <c r="Y55" s="15"/>
      <c r="Z55" s="16"/>
    </row>
    <row r="56" spans="1:26" x14ac:dyDescent="0.3">
      <c r="A56" s="21" t="s">
        <v>134</v>
      </c>
      <c r="B56" s="16"/>
      <c r="D56" s="22" t="s">
        <v>135</v>
      </c>
      <c r="E56" s="15"/>
      <c r="F56" s="15"/>
      <c r="G56" s="16"/>
      <c r="H56" s="8" t="s">
        <v>29</v>
      </c>
      <c r="I56" s="14" t="s">
        <v>11</v>
      </c>
      <c r="J56" s="15"/>
      <c r="K56" s="16"/>
      <c r="L56" s="14" t="s">
        <v>52</v>
      </c>
      <c r="M56" s="16"/>
      <c r="N56" s="8" t="s">
        <v>31</v>
      </c>
      <c r="O56" s="14" t="s">
        <v>32</v>
      </c>
      <c r="P56" s="15"/>
      <c r="Q56" s="16"/>
      <c r="R56" s="9">
        <v>28.92</v>
      </c>
      <c r="S56" s="8">
        <v>1</v>
      </c>
      <c r="T56" s="14">
        <v>0</v>
      </c>
      <c r="U56" s="15"/>
      <c r="V56" s="16"/>
      <c r="W56" s="10">
        <v>0</v>
      </c>
      <c r="X56" s="17">
        <v>28.92</v>
      </c>
      <c r="Y56" s="15"/>
      <c r="Z56" s="16"/>
    </row>
    <row r="57" spans="1:26" x14ac:dyDescent="0.3">
      <c r="A57" s="21" t="s">
        <v>136</v>
      </c>
      <c r="B57" s="16"/>
      <c r="D57" s="22" t="s">
        <v>137</v>
      </c>
      <c r="E57" s="15"/>
      <c r="F57" s="15"/>
      <c r="G57" s="16"/>
      <c r="H57" s="8" t="s">
        <v>29</v>
      </c>
      <c r="I57" s="14" t="s">
        <v>11</v>
      </c>
      <c r="J57" s="15"/>
      <c r="K57" s="16"/>
      <c r="L57" s="14" t="s">
        <v>52</v>
      </c>
      <c r="M57" s="16"/>
      <c r="N57" s="8" t="s">
        <v>31</v>
      </c>
      <c r="O57" s="14" t="s">
        <v>32</v>
      </c>
      <c r="P57" s="15"/>
      <c r="Q57" s="16"/>
      <c r="R57" s="9">
        <v>28.92</v>
      </c>
      <c r="S57" s="8">
        <v>1</v>
      </c>
      <c r="T57" s="14">
        <v>0</v>
      </c>
      <c r="U57" s="15"/>
      <c r="V57" s="16"/>
      <c r="W57" s="10">
        <v>0</v>
      </c>
      <c r="X57" s="17">
        <v>28.92</v>
      </c>
      <c r="Y57" s="15"/>
      <c r="Z57" s="16"/>
    </row>
    <row r="58" spans="1:26" x14ac:dyDescent="0.3">
      <c r="A58" s="21" t="s">
        <v>138</v>
      </c>
      <c r="B58" s="16"/>
      <c r="D58" s="22" t="s">
        <v>139</v>
      </c>
      <c r="E58" s="15"/>
      <c r="F58" s="15"/>
      <c r="G58" s="16"/>
      <c r="H58" s="8" t="s">
        <v>29</v>
      </c>
      <c r="I58" s="14" t="s">
        <v>11</v>
      </c>
      <c r="J58" s="15"/>
      <c r="K58" s="16"/>
      <c r="L58" s="14" t="s">
        <v>130</v>
      </c>
      <c r="M58" s="16"/>
      <c r="N58" s="8" t="s">
        <v>31</v>
      </c>
      <c r="O58" s="14" t="s">
        <v>32</v>
      </c>
      <c r="P58" s="15"/>
      <c r="Q58" s="16"/>
      <c r="R58" s="9">
        <v>28.92</v>
      </c>
      <c r="S58" s="8">
        <v>1</v>
      </c>
      <c r="T58" s="14">
        <v>0</v>
      </c>
      <c r="U58" s="15"/>
      <c r="V58" s="16"/>
      <c r="W58" s="10">
        <v>0</v>
      </c>
      <c r="X58" s="17">
        <v>28.92</v>
      </c>
      <c r="Y58" s="15"/>
      <c r="Z58" s="16"/>
    </row>
    <row r="59" spans="1:26" x14ac:dyDescent="0.3">
      <c r="A59" s="21" t="s">
        <v>140</v>
      </c>
      <c r="B59" s="16"/>
      <c r="D59" s="22" t="s">
        <v>141</v>
      </c>
      <c r="E59" s="15"/>
      <c r="F59" s="15"/>
      <c r="G59" s="16"/>
      <c r="H59" s="8" t="s">
        <v>29</v>
      </c>
      <c r="I59" s="14" t="s">
        <v>11</v>
      </c>
      <c r="J59" s="15"/>
      <c r="K59" s="16"/>
      <c r="L59" s="14" t="s">
        <v>130</v>
      </c>
      <c r="M59" s="16"/>
      <c r="N59" s="8" t="s">
        <v>31</v>
      </c>
      <c r="O59" s="14" t="s">
        <v>32</v>
      </c>
      <c r="P59" s="15"/>
      <c r="Q59" s="16"/>
      <c r="R59" s="9">
        <v>28.92</v>
      </c>
      <c r="S59" s="8">
        <v>1</v>
      </c>
      <c r="T59" s="14">
        <v>0</v>
      </c>
      <c r="U59" s="15"/>
      <c r="V59" s="16"/>
      <c r="W59" s="10">
        <v>0</v>
      </c>
      <c r="X59" s="17">
        <v>28.92</v>
      </c>
      <c r="Y59" s="15"/>
      <c r="Z59" s="16"/>
    </row>
    <row r="60" spans="1:26" x14ac:dyDescent="0.3">
      <c r="A60" s="21" t="s">
        <v>142</v>
      </c>
      <c r="B60" s="16"/>
      <c r="D60" s="22" t="s">
        <v>143</v>
      </c>
      <c r="E60" s="15"/>
      <c r="F60" s="15"/>
      <c r="G60" s="16"/>
      <c r="H60" s="8" t="s">
        <v>29</v>
      </c>
      <c r="I60" s="14" t="s">
        <v>11</v>
      </c>
      <c r="J60" s="15"/>
      <c r="K60" s="16"/>
      <c r="L60" s="14" t="s">
        <v>144</v>
      </c>
      <c r="M60" s="16"/>
      <c r="N60" s="8" t="s">
        <v>31</v>
      </c>
      <c r="O60" s="14" t="s">
        <v>32</v>
      </c>
      <c r="P60" s="15"/>
      <c r="Q60" s="16"/>
      <c r="R60" s="9">
        <v>28.92</v>
      </c>
      <c r="S60" s="8">
        <v>1</v>
      </c>
      <c r="T60" s="14">
        <v>0</v>
      </c>
      <c r="U60" s="15"/>
      <c r="V60" s="16"/>
      <c r="W60" s="10">
        <v>0</v>
      </c>
      <c r="X60" s="17">
        <v>28.92</v>
      </c>
      <c r="Y60" s="15"/>
      <c r="Z60" s="16"/>
    </row>
    <row r="61" spans="1:26" x14ac:dyDescent="0.3">
      <c r="A61" s="21" t="s">
        <v>145</v>
      </c>
      <c r="B61" s="16"/>
      <c r="D61" s="22" t="s">
        <v>146</v>
      </c>
      <c r="E61" s="15"/>
      <c r="F61" s="15"/>
      <c r="G61" s="16"/>
      <c r="H61" s="8" t="s">
        <v>29</v>
      </c>
      <c r="I61" s="14" t="s">
        <v>11</v>
      </c>
      <c r="J61" s="15"/>
      <c r="K61" s="16"/>
      <c r="L61" s="14" t="s">
        <v>117</v>
      </c>
      <c r="M61" s="16"/>
      <c r="N61" s="8" t="s">
        <v>31</v>
      </c>
      <c r="O61" s="14" t="s">
        <v>32</v>
      </c>
      <c r="P61" s="15"/>
      <c r="Q61" s="16"/>
      <c r="R61" s="9">
        <v>28.92</v>
      </c>
      <c r="S61" s="8">
        <v>1</v>
      </c>
      <c r="T61" s="14">
        <v>0</v>
      </c>
      <c r="U61" s="15"/>
      <c r="V61" s="16"/>
      <c r="W61" s="10">
        <v>0</v>
      </c>
      <c r="X61" s="17">
        <v>28.92</v>
      </c>
      <c r="Y61" s="15"/>
      <c r="Z61" s="16"/>
    </row>
    <row r="62" spans="1:26" x14ac:dyDescent="0.3">
      <c r="A62" s="21" t="s">
        <v>147</v>
      </c>
      <c r="B62" s="16"/>
      <c r="D62" s="22" t="s">
        <v>148</v>
      </c>
      <c r="E62" s="15"/>
      <c r="F62" s="15"/>
      <c r="G62" s="16"/>
      <c r="H62" s="8" t="s">
        <v>29</v>
      </c>
      <c r="I62" s="14" t="s">
        <v>11</v>
      </c>
      <c r="J62" s="15"/>
      <c r="K62" s="16"/>
      <c r="L62" s="14" t="s">
        <v>149</v>
      </c>
      <c r="M62" s="16"/>
      <c r="N62" s="8" t="s">
        <v>31</v>
      </c>
      <c r="O62" s="14" t="s">
        <v>32</v>
      </c>
      <c r="P62" s="15"/>
      <c r="Q62" s="16"/>
      <c r="R62" s="9">
        <v>28.92</v>
      </c>
      <c r="S62" s="8">
        <v>1</v>
      </c>
      <c r="T62" s="14">
        <v>0</v>
      </c>
      <c r="U62" s="15"/>
      <c r="V62" s="16"/>
      <c r="W62" s="10">
        <v>0</v>
      </c>
      <c r="X62" s="17">
        <v>28.92</v>
      </c>
      <c r="Y62" s="15"/>
      <c r="Z62" s="16"/>
    </row>
    <row r="63" spans="1:26" x14ac:dyDescent="0.3">
      <c r="A63" s="21" t="s">
        <v>150</v>
      </c>
      <c r="B63" s="16"/>
      <c r="D63" s="22" t="s">
        <v>151</v>
      </c>
      <c r="E63" s="15"/>
      <c r="F63" s="15"/>
      <c r="G63" s="16"/>
      <c r="H63" s="8" t="s">
        <v>29</v>
      </c>
      <c r="I63" s="14" t="s">
        <v>11</v>
      </c>
      <c r="J63" s="15"/>
      <c r="K63" s="16"/>
      <c r="L63" s="14" t="s">
        <v>152</v>
      </c>
      <c r="M63" s="16"/>
      <c r="N63" s="8" t="s">
        <v>31</v>
      </c>
      <c r="O63" s="14" t="s">
        <v>32</v>
      </c>
      <c r="P63" s="15"/>
      <c r="Q63" s="16"/>
      <c r="R63" s="9">
        <v>28.92</v>
      </c>
      <c r="S63" s="8">
        <v>1</v>
      </c>
      <c r="T63" s="14">
        <v>0</v>
      </c>
      <c r="U63" s="15"/>
      <c r="V63" s="16"/>
      <c r="W63" s="10">
        <v>0</v>
      </c>
      <c r="X63" s="17">
        <v>28.92</v>
      </c>
      <c r="Y63" s="15"/>
      <c r="Z63" s="16"/>
    </row>
    <row r="64" spans="1:26" x14ac:dyDescent="0.3">
      <c r="A64" s="21" t="s">
        <v>153</v>
      </c>
      <c r="B64" s="16"/>
      <c r="D64" s="22" t="s">
        <v>154</v>
      </c>
      <c r="E64" s="15"/>
      <c r="F64" s="15"/>
      <c r="G64" s="16"/>
      <c r="H64" s="8" t="s">
        <v>29</v>
      </c>
      <c r="I64" s="14" t="s">
        <v>11</v>
      </c>
      <c r="J64" s="15"/>
      <c r="K64" s="16"/>
      <c r="L64" s="14" t="s">
        <v>90</v>
      </c>
      <c r="M64" s="16"/>
      <c r="N64" s="8" t="s">
        <v>31</v>
      </c>
      <c r="O64" s="14" t="s">
        <v>32</v>
      </c>
      <c r="P64" s="15"/>
      <c r="Q64" s="16"/>
      <c r="R64" s="9">
        <v>28.92</v>
      </c>
      <c r="S64" s="8">
        <v>1</v>
      </c>
      <c r="T64" s="14">
        <v>0</v>
      </c>
      <c r="U64" s="15"/>
      <c r="V64" s="16"/>
      <c r="W64" s="10">
        <v>0</v>
      </c>
      <c r="X64" s="17">
        <v>28.92</v>
      </c>
      <c r="Y64" s="15"/>
      <c r="Z64" s="16"/>
    </row>
    <row r="65" spans="1:26" x14ac:dyDescent="0.3">
      <c r="A65" s="21" t="s">
        <v>155</v>
      </c>
      <c r="B65" s="16"/>
      <c r="D65" s="22" t="s">
        <v>156</v>
      </c>
      <c r="E65" s="15"/>
      <c r="F65" s="15"/>
      <c r="G65" s="16"/>
      <c r="H65" s="8" t="s">
        <v>29</v>
      </c>
      <c r="I65" s="14" t="s">
        <v>11</v>
      </c>
      <c r="J65" s="15"/>
      <c r="K65" s="16"/>
      <c r="L65" s="14" t="s">
        <v>152</v>
      </c>
      <c r="M65" s="16"/>
      <c r="N65" s="8" t="s">
        <v>61</v>
      </c>
      <c r="O65" s="14" t="s">
        <v>32</v>
      </c>
      <c r="P65" s="15"/>
      <c r="Q65" s="16"/>
      <c r="R65" s="9">
        <v>28.92</v>
      </c>
      <c r="S65" s="8">
        <v>1</v>
      </c>
      <c r="T65" s="14">
        <v>0</v>
      </c>
      <c r="U65" s="15"/>
      <c r="V65" s="16"/>
      <c r="W65" s="10">
        <v>0</v>
      </c>
      <c r="X65" s="17">
        <v>28.92</v>
      </c>
      <c r="Y65" s="15"/>
      <c r="Z65" s="16"/>
    </row>
    <row r="66" spans="1:26" x14ac:dyDescent="0.3">
      <c r="A66" s="21" t="s">
        <v>157</v>
      </c>
      <c r="B66" s="16"/>
      <c r="D66" s="22" t="s">
        <v>158</v>
      </c>
      <c r="E66" s="15"/>
      <c r="F66" s="15"/>
      <c r="G66" s="16"/>
      <c r="H66" s="8" t="s">
        <v>29</v>
      </c>
      <c r="I66" s="14" t="s">
        <v>11</v>
      </c>
      <c r="J66" s="15"/>
      <c r="K66" s="16"/>
      <c r="L66" s="14" t="s">
        <v>159</v>
      </c>
      <c r="M66" s="16"/>
      <c r="N66" s="8" t="s">
        <v>31</v>
      </c>
      <c r="O66" s="14" t="s">
        <v>32</v>
      </c>
      <c r="P66" s="15"/>
      <c r="Q66" s="16"/>
      <c r="R66" s="9">
        <v>28.92</v>
      </c>
      <c r="S66" s="8">
        <v>1</v>
      </c>
      <c r="T66" s="14">
        <v>0</v>
      </c>
      <c r="U66" s="15"/>
      <c r="V66" s="16"/>
      <c r="W66" s="10">
        <v>0</v>
      </c>
      <c r="X66" s="17">
        <v>28.92</v>
      </c>
      <c r="Y66" s="15"/>
      <c r="Z66" s="16"/>
    </row>
    <row r="67" spans="1:26" x14ac:dyDescent="0.3">
      <c r="A67" s="21" t="s">
        <v>160</v>
      </c>
      <c r="B67" s="16"/>
      <c r="D67" s="22" t="s">
        <v>161</v>
      </c>
      <c r="E67" s="15"/>
      <c r="F67" s="15"/>
      <c r="G67" s="16"/>
      <c r="H67" s="8" t="s">
        <v>29</v>
      </c>
      <c r="I67" s="14" t="s">
        <v>11</v>
      </c>
      <c r="J67" s="15"/>
      <c r="K67" s="16"/>
      <c r="L67" s="14" t="s">
        <v>90</v>
      </c>
      <c r="M67" s="16"/>
      <c r="N67" s="8" t="s">
        <v>31</v>
      </c>
      <c r="O67" s="14" t="s">
        <v>32</v>
      </c>
      <c r="P67" s="15"/>
      <c r="Q67" s="16"/>
      <c r="R67" s="9">
        <v>28.92</v>
      </c>
      <c r="S67" s="8">
        <v>1</v>
      </c>
      <c r="T67" s="14">
        <v>0</v>
      </c>
      <c r="U67" s="15"/>
      <c r="V67" s="16"/>
      <c r="W67" s="10">
        <v>0</v>
      </c>
      <c r="X67" s="17">
        <v>28.92</v>
      </c>
      <c r="Y67" s="15"/>
      <c r="Z67" s="16"/>
    </row>
    <row r="68" spans="1:26" x14ac:dyDescent="0.3">
      <c r="A68" s="21" t="s">
        <v>162</v>
      </c>
      <c r="B68" s="16"/>
      <c r="D68" s="22" t="s">
        <v>163</v>
      </c>
      <c r="E68" s="15"/>
      <c r="F68" s="15"/>
      <c r="G68" s="16"/>
      <c r="H68" s="8" t="s">
        <v>29</v>
      </c>
      <c r="I68" s="14" t="s">
        <v>11</v>
      </c>
      <c r="J68" s="15"/>
      <c r="K68" s="16"/>
      <c r="L68" s="14" t="s">
        <v>49</v>
      </c>
      <c r="M68" s="16"/>
      <c r="N68" s="8" t="s">
        <v>31</v>
      </c>
      <c r="O68" s="14" t="s">
        <v>32</v>
      </c>
      <c r="P68" s="15"/>
      <c r="Q68" s="16"/>
      <c r="R68" s="9">
        <v>28.92</v>
      </c>
      <c r="S68" s="8">
        <v>1</v>
      </c>
      <c r="T68" s="14">
        <v>0</v>
      </c>
      <c r="U68" s="15"/>
      <c r="V68" s="16"/>
      <c r="W68" s="10">
        <v>0</v>
      </c>
      <c r="X68" s="17">
        <v>28.92</v>
      </c>
      <c r="Y68" s="15"/>
      <c r="Z68" s="16"/>
    </row>
    <row r="69" spans="1:26" x14ac:dyDescent="0.3">
      <c r="A69" s="21" t="s">
        <v>164</v>
      </c>
      <c r="B69" s="16"/>
      <c r="D69" s="22" t="s">
        <v>165</v>
      </c>
      <c r="E69" s="15"/>
      <c r="F69" s="15"/>
      <c r="G69" s="16"/>
      <c r="H69" s="8" t="s">
        <v>29</v>
      </c>
      <c r="I69" s="14" t="s">
        <v>11</v>
      </c>
      <c r="J69" s="15"/>
      <c r="K69" s="16"/>
      <c r="L69" s="14" t="s">
        <v>166</v>
      </c>
      <c r="M69" s="16"/>
      <c r="N69" s="8" t="s">
        <v>167</v>
      </c>
      <c r="O69" s="14" t="s">
        <v>32</v>
      </c>
      <c r="P69" s="15"/>
      <c r="Q69" s="16"/>
      <c r="R69" s="9">
        <v>28.92</v>
      </c>
      <c r="S69" s="8">
        <v>1</v>
      </c>
      <c r="T69" s="14">
        <v>0</v>
      </c>
      <c r="U69" s="15"/>
      <c r="V69" s="16"/>
      <c r="W69" s="10">
        <v>0</v>
      </c>
      <c r="X69" s="17">
        <v>28.92</v>
      </c>
      <c r="Y69" s="15"/>
      <c r="Z69" s="16"/>
    </row>
    <row r="70" spans="1:26" x14ac:dyDescent="0.3">
      <c r="A70" s="21" t="s">
        <v>168</v>
      </c>
      <c r="B70" s="16"/>
      <c r="D70" s="22" t="s">
        <v>169</v>
      </c>
      <c r="E70" s="15"/>
      <c r="F70" s="15"/>
      <c r="G70" s="16"/>
      <c r="H70" s="8" t="s">
        <v>29</v>
      </c>
      <c r="I70" s="14" t="s">
        <v>11</v>
      </c>
      <c r="J70" s="15"/>
      <c r="K70" s="16"/>
      <c r="L70" s="14" t="s">
        <v>170</v>
      </c>
      <c r="M70" s="16"/>
      <c r="N70" s="8" t="s">
        <v>31</v>
      </c>
      <c r="O70" s="14" t="s">
        <v>32</v>
      </c>
      <c r="P70" s="15"/>
      <c r="Q70" s="16"/>
      <c r="R70" s="9">
        <v>28.92</v>
      </c>
      <c r="S70" s="8">
        <v>1</v>
      </c>
      <c r="T70" s="14">
        <v>0</v>
      </c>
      <c r="U70" s="15"/>
      <c r="V70" s="16"/>
      <c r="W70" s="10">
        <v>0</v>
      </c>
      <c r="X70" s="17">
        <v>28.92</v>
      </c>
      <c r="Y70" s="15"/>
      <c r="Z70" s="16"/>
    </row>
    <row r="71" spans="1:26" x14ac:dyDescent="0.3">
      <c r="A71" s="21" t="s">
        <v>171</v>
      </c>
      <c r="B71" s="16"/>
      <c r="D71" s="22" t="s">
        <v>172</v>
      </c>
      <c r="E71" s="15"/>
      <c r="F71" s="15"/>
      <c r="G71" s="16"/>
      <c r="H71" s="8" t="s">
        <v>29</v>
      </c>
      <c r="I71" s="14" t="s">
        <v>11</v>
      </c>
      <c r="J71" s="15"/>
      <c r="K71" s="16"/>
      <c r="L71" s="14" t="s">
        <v>166</v>
      </c>
      <c r="M71" s="16"/>
      <c r="N71" s="8" t="s">
        <v>31</v>
      </c>
      <c r="O71" s="14" t="s">
        <v>32</v>
      </c>
      <c r="P71" s="15"/>
      <c r="Q71" s="16"/>
      <c r="R71" s="9">
        <v>28.92</v>
      </c>
      <c r="S71" s="8">
        <v>1</v>
      </c>
      <c r="T71" s="14">
        <v>0</v>
      </c>
      <c r="U71" s="15"/>
      <c r="V71" s="16"/>
      <c r="W71" s="10">
        <v>0</v>
      </c>
      <c r="X71" s="17">
        <v>28.92</v>
      </c>
      <c r="Y71" s="15"/>
      <c r="Z71" s="16"/>
    </row>
    <row r="72" spans="1:26" x14ac:dyDescent="0.3">
      <c r="A72" s="21" t="s">
        <v>173</v>
      </c>
      <c r="B72" s="16"/>
      <c r="D72" s="22" t="s">
        <v>174</v>
      </c>
      <c r="E72" s="15"/>
      <c r="F72" s="15"/>
      <c r="G72" s="16"/>
      <c r="H72" s="8" t="s">
        <v>29</v>
      </c>
      <c r="I72" s="14" t="s">
        <v>11</v>
      </c>
      <c r="J72" s="15"/>
      <c r="K72" s="16"/>
      <c r="L72" s="14" t="s">
        <v>130</v>
      </c>
      <c r="M72" s="16"/>
      <c r="N72" s="8" t="s">
        <v>167</v>
      </c>
      <c r="O72" s="14" t="s">
        <v>32</v>
      </c>
      <c r="P72" s="15"/>
      <c r="Q72" s="16"/>
      <c r="R72" s="9">
        <v>28.92</v>
      </c>
      <c r="S72" s="8">
        <v>1</v>
      </c>
      <c r="T72" s="14">
        <v>0</v>
      </c>
      <c r="U72" s="15"/>
      <c r="V72" s="16"/>
      <c r="W72" s="10">
        <v>0</v>
      </c>
      <c r="X72" s="17">
        <v>28.92</v>
      </c>
      <c r="Y72" s="15"/>
      <c r="Z72" s="16"/>
    </row>
    <row r="73" spans="1:26" x14ac:dyDescent="0.3">
      <c r="A73" s="21" t="s">
        <v>175</v>
      </c>
      <c r="B73" s="16"/>
      <c r="D73" s="22" t="s">
        <v>176</v>
      </c>
      <c r="E73" s="15"/>
      <c r="F73" s="15"/>
      <c r="G73" s="16"/>
      <c r="H73" s="8" t="s">
        <v>29</v>
      </c>
      <c r="I73" s="14" t="s">
        <v>11</v>
      </c>
      <c r="J73" s="15"/>
      <c r="K73" s="16"/>
      <c r="L73" s="14" t="s">
        <v>112</v>
      </c>
      <c r="M73" s="16"/>
      <c r="N73" s="8" t="s">
        <v>31</v>
      </c>
      <c r="O73" s="14" t="s">
        <v>32</v>
      </c>
      <c r="P73" s="15"/>
      <c r="Q73" s="16"/>
      <c r="R73" s="9">
        <v>28.92</v>
      </c>
      <c r="S73" s="8">
        <v>1</v>
      </c>
      <c r="T73" s="14">
        <v>0</v>
      </c>
      <c r="U73" s="15"/>
      <c r="V73" s="16"/>
      <c r="W73" s="10">
        <v>0</v>
      </c>
      <c r="X73" s="17">
        <v>28.92</v>
      </c>
      <c r="Y73" s="15"/>
      <c r="Z73" s="16"/>
    </row>
    <row r="74" spans="1:26" x14ac:dyDescent="0.3">
      <c r="A74" s="21" t="s">
        <v>177</v>
      </c>
      <c r="B74" s="16"/>
      <c r="D74" s="22" t="s">
        <v>178</v>
      </c>
      <c r="E74" s="15"/>
      <c r="F74" s="15"/>
      <c r="G74" s="16"/>
      <c r="H74" s="8" t="s">
        <v>29</v>
      </c>
      <c r="I74" s="14" t="s">
        <v>11</v>
      </c>
      <c r="J74" s="15"/>
      <c r="K74" s="16"/>
      <c r="L74" s="14" t="s">
        <v>179</v>
      </c>
      <c r="M74" s="16"/>
      <c r="N74" s="8" t="s">
        <v>31</v>
      </c>
      <c r="O74" s="14" t="s">
        <v>32</v>
      </c>
      <c r="P74" s="15"/>
      <c r="Q74" s="16"/>
      <c r="R74" s="9">
        <v>28.92</v>
      </c>
      <c r="S74" s="8">
        <v>1</v>
      </c>
      <c r="T74" s="14">
        <v>0</v>
      </c>
      <c r="U74" s="15"/>
      <c r="V74" s="16"/>
      <c r="W74" s="10">
        <v>0</v>
      </c>
      <c r="X74" s="17">
        <v>28.92</v>
      </c>
      <c r="Y74" s="15"/>
      <c r="Z74" s="16"/>
    </row>
    <row r="75" spans="1:26" x14ac:dyDescent="0.3">
      <c r="A75" s="21" t="s">
        <v>180</v>
      </c>
      <c r="B75" s="16"/>
      <c r="D75" s="22" t="s">
        <v>181</v>
      </c>
      <c r="E75" s="15"/>
      <c r="F75" s="15"/>
      <c r="G75" s="16"/>
      <c r="H75" s="8" t="s">
        <v>49</v>
      </c>
      <c r="I75" s="14" t="s">
        <v>11</v>
      </c>
      <c r="J75" s="15"/>
      <c r="K75" s="16"/>
      <c r="L75" s="14" t="s">
        <v>182</v>
      </c>
      <c r="M75" s="16"/>
      <c r="N75" s="8" t="s">
        <v>31</v>
      </c>
      <c r="O75" s="14" t="s">
        <v>32</v>
      </c>
      <c r="P75" s="15"/>
      <c r="Q75" s="16"/>
      <c r="R75" s="9">
        <v>28.92</v>
      </c>
      <c r="S75" s="8">
        <v>1</v>
      </c>
      <c r="T75" s="14">
        <v>0</v>
      </c>
      <c r="U75" s="15"/>
      <c r="V75" s="16"/>
      <c r="W75" s="10">
        <v>0</v>
      </c>
      <c r="X75" s="17">
        <v>28.92</v>
      </c>
      <c r="Y75" s="15"/>
      <c r="Z75" s="16"/>
    </row>
    <row r="76" spans="1:26" x14ac:dyDescent="0.3">
      <c r="A76" s="21" t="s">
        <v>183</v>
      </c>
      <c r="B76" s="16"/>
      <c r="D76" s="22" t="s">
        <v>184</v>
      </c>
      <c r="E76" s="15"/>
      <c r="F76" s="15"/>
      <c r="G76" s="16"/>
      <c r="H76" s="8" t="s">
        <v>49</v>
      </c>
      <c r="I76" s="14" t="s">
        <v>11</v>
      </c>
      <c r="J76" s="15"/>
      <c r="K76" s="16"/>
      <c r="L76" s="14" t="s">
        <v>182</v>
      </c>
      <c r="M76" s="16"/>
      <c r="N76" s="8" t="s">
        <v>31</v>
      </c>
      <c r="O76" s="14" t="s">
        <v>32</v>
      </c>
      <c r="P76" s="15"/>
      <c r="Q76" s="16"/>
      <c r="R76" s="9">
        <v>28.92</v>
      </c>
      <c r="S76" s="8">
        <v>1</v>
      </c>
      <c r="T76" s="14">
        <v>0</v>
      </c>
      <c r="U76" s="15"/>
      <c r="V76" s="16"/>
      <c r="W76" s="10">
        <v>0</v>
      </c>
      <c r="X76" s="17">
        <v>28.92</v>
      </c>
      <c r="Y76" s="15"/>
      <c r="Z76" s="16"/>
    </row>
    <row r="77" spans="1:26" x14ac:dyDescent="0.3">
      <c r="A77" s="21" t="s">
        <v>185</v>
      </c>
      <c r="B77" s="16"/>
      <c r="D77" s="22" t="s">
        <v>186</v>
      </c>
      <c r="E77" s="15"/>
      <c r="F77" s="15"/>
      <c r="G77" s="16"/>
      <c r="H77" s="8" t="s">
        <v>29</v>
      </c>
      <c r="I77" s="14" t="s">
        <v>11</v>
      </c>
      <c r="J77" s="15"/>
      <c r="K77" s="16"/>
      <c r="L77" s="14" t="s">
        <v>49</v>
      </c>
      <c r="M77" s="16"/>
      <c r="N77" s="8" t="s">
        <v>31</v>
      </c>
      <c r="O77" s="14" t="s">
        <v>32</v>
      </c>
      <c r="P77" s="15"/>
      <c r="Q77" s="16"/>
      <c r="R77" s="9">
        <v>28.92</v>
      </c>
      <c r="S77" s="8">
        <v>1</v>
      </c>
      <c r="T77" s="14">
        <v>0</v>
      </c>
      <c r="U77" s="15"/>
      <c r="V77" s="16"/>
      <c r="W77" s="10">
        <v>0</v>
      </c>
      <c r="X77" s="17">
        <v>28.92</v>
      </c>
      <c r="Y77" s="15"/>
      <c r="Z77" s="16"/>
    </row>
    <row r="78" spans="1:26" x14ac:dyDescent="0.3">
      <c r="A78" s="21" t="s">
        <v>187</v>
      </c>
      <c r="B78" s="16"/>
      <c r="D78" s="22" t="s">
        <v>188</v>
      </c>
      <c r="E78" s="15"/>
      <c r="F78" s="15"/>
      <c r="G78" s="16"/>
      <c r="H78" s="8" t="s">
        <v>29</v>
      </c>
      <c r="I78" s="14" t="s">
        <v>11</v>
      </c>
      <c r="J78" s="15"/>
      <c r="K78" s="16"/>
      <c r="L78" s="14" t="s">
        <v>144</v>
      </c>
      <c r="M78" s="16"/>
      <c r="N78" s="8" t="s">
        <v>31</v>
      </c>
      <c r="O78" s="14" t="s">
        <v>32</v>
      </c>
      <c r="P78" s="15"/>
      <c r="Q78" s="16"/>
      <c r="R78" s="9">
        <v>28.92</v>
      </c>
      <c r="S78" s="8">
        <v>1</v>
      </c>
      <c r="T78" s="14">
        <v>0</v>
      </c>
      <c r="U78" s="15"/>
      <c r="V78" s="16"/>
      <c r="W78" s="10">
        <v>0</v>
      </c>
      <c r="X78" s="17">
        <v>28.92</v>
      </c>
      <c r="Y78" s="15"/>
      <c r="Z78" s="16"/>
    </row>
    <row r="79" spans="1:26" x14ac:dyDescent="0.3">
      <c r="A79" s="21" t="s">
        <v>189</v>
      </c>
      <c r="B79" s="16"/>
      <c r="D79" s="22" t="s">
        <v>190</v>
      </c>
      <c r="E79" s="15"/>
      <c r="F79" s="15"/>
      <c r="G79" s="16"/>
      <c r="H79" s="8" t="s">
        <v>37</v>
      </c>
      <c r="I79" s="14" t="s">
        <v>11</v>
      </c>
      <c r="J79" s="15"/>
      <c r="K79" s="16"/>
      <c r="L79" s="14" t="s">
        <v>191</v>
      </c>
      <c r="M79" s="16"/>
      <c r="N79" s="8" t="s">
        <v>31</v>
      </c>
      <c r="O79" s="14" t="s">
        <v>32</v>
      </c>
      <c r="P79" s="15"/>
      <c r="Q79" s="16"/>
      <c r="R79" s="9">
        <v>28.92</v>
      </c>
      <c r="S79" s="8">
        <v>1</v>
      </c>
      <c r="T79" s="14">
        <v>0</v>
      </c>
      <c r="U79" s="15"/>
      <c r="V79" s="16"/>
      <c r="W79" s="10">
        <v>0</v>
      </c>
      <c r="X79" s="17">
        <v>28.92</v>
      </c>
      <c r="Y79" s="15"/>
      <c r="Z79" s="16"/>
    </row>
    <row r="80" spans="1:26" x14ac:dyDescent="0.3">
      <c r="A80" s="21" t="s">
        <v>192</v>
      </c>
      <c r="B80" s="16"/>
      <c r="D80" s="22" t="s">
        <v>193</v>
      </c>
      <c r="E80" s="15"/>
      <c r="F80" s="15"/>
      <c r="G80" s="16"/>
      <c r="H80" s="8" t="s">
        <v>29</v>
      </c>
      <c r="I80" s="14" t="s">
        <v>11</v>
      </c>
      <c r="J80" s="15"/>
      <c r="K80" s="16"/>
      <c r="L80" s="14" t="s">
        <v>101</v>
      </c>
      <c r="M80" s="16"/>
      <c r="N80" s="8" t="s">
        <v>31</v>
      </c>
      <c r="O80" s="14" t="s">
        <v>32</v>
      </c>
      <c r="P80" s="15"/>
      <c r="Q80" s="16"/>
      <c r="R80" s="9">
        <v>28.92</v>
      </c>
      <c r="S80" s="8">
        <v>1</v>
      </c>
      <c r="T80" s="14">
        <v>0</v>
      </c>
      <c r="U80" s="15"/>
      <c r="V80" s="16"/>
      <c r="W80" s="10">
        <v>0</v>
      </c>
      <c r="X80" s="17">
        <v>28.92</v>
      </c>
      <c r="Y80" s="15"/>
      <c r="Z80" s="16"/>
    </row>
    <row r="81" spans="1:26" x14ac:dyDescent="0.3">
      <c r="A81" s="21" t="s">
        <v>194</v>
      </c>
      <c r="B81" s="16"/>
      <c r="D81" s="22" t="s">
        <v>195</v>
      </c>
      <c r="E81" s="15"/>
      <c r="F81" s="15"/>
      <c r="G81" s="16"/>
      <c r="H81" s="8" t="s">
        <v>37</v>
      </c>
      <c r="I81" s="14" t="s">
        <v>11</v>
      </c>
      <c r="J81" s="15"/>
      <c r="K81" s="16"/>
      <c r="L81" s="14" t="s">
        <v>196</v>
      </c>
      <c r="M81" s="16"/>
      <c r="N81" s="8" t="s">
        <v>31</v>
      </c>
      <c r="O81" s="14" t="s">
        <v>32</v>
      </c>
      <c r="P81" s="15"/>
      <c r="Q81" s="16"/>
      <c r="R81" s="9">
        <v>28.92</v>
      </c>
      <c r="S81" s="8">
        <v>1</v>
      </c>
      <c r="T81" s="14">
        <v>0</v>
      </c>
      <c r="U81" s="15"/>
      <c r="V81" s="16"/>
      <c r="W81" s="10">
        <v>0</v>
      </c>
      <c r="X81" s="17">
        <v>28.92</v>
      </c>
      <c r="Y81" s="15"/>
      <c r="Z81" s="16"/>
    </row>
    <row r="82" spans="1:26" x14ac:dyDescent="0.3">
      <c r="A82" s="21" t="s">
        <v>197</v>
      </c>
      <c r="B82" s="16"/>
      <c r="D82" s="22" t="s">
        <v>198</v>
      </c>
      <c r="E82" s="15"/>
      <c r="F82" s="15"/>
      <c r="G82" s="16"/>
      <c r="H82" s="8" t="s">
        <v>199</v>
      </c>
      <c r="I82" s="14" t="s">
        <v>11</v>
      </c>
      <c r="J82" s="15"/>
      <c r="K82" s="16"/>
      <c r="L82" s="14" t="s">
        <v>200</v>
      </c>
      <c r="M82" s="16"/>
      <c r="N82" s="8" t="s">
        <v>31</v>
      </c>
      <c r="O82" s="14" t="s">
        <v>32</v>
      </c>
      <c r="P82" s="15"/>
      <c r="Q82" s="16"/>
      <c r="R82" s="9">
        <v>28.92</v>
      </c>
      <c r="S82" s="8">
        <v>1</v>
      </c>
      <c r="T82" s="14">
        <v>0</v>
      </c>
      <c r="U82" s="15"/>
      <c r="V82" s="16"/>
      <c r="W82" s="10">
        <v>0</v>
      </c>
      <c r="X82" s="17">
        <v>28.92</v>
      </c>
      <c r="Y82" s="15"/>
      <c r="Z82" s="16"/>
    </row>
    <row r="83" spans="1:26" x14ac:dyDescent="0.3">
      <c r="A83" s="21" t="s">
        <v>201</v>
      </c>
      <c r="B83" s="16"/>
      <c r="D83" s="22" t="s">
        <v>202</v>
      </c>
      <c r="E83" s="15"/>
      <c r="F83" s="15"/>
      <c r="G83" s="16"/>
      <c r="H83" s="8" t="s">
        <v>29</v>
      </c>
      <c r="I83" s="14" t="s">
        <v>11</v>
      </c>
      <c r="J83" s="15"/>
      <c r="K83" s="16"/>
      <c r="L83" s="14" t="s">
        <v>203</v>
      </c>
      <c r="M83" s="16"/>
      <c r="N83" s="8" t="s">
        <v>31</v>
      </c>
      <c r="O83" s="14" t="s">
        <v>32</v>
      </c>
      <c r="P83" s="15"/>
      <c r="Q83" s="16"/>
      <c r="R83" s="9">
        <v>28.92</v>
      </c>
      <c r="S83" s="8">
        <v>1</v>
      </c>
      <c r="T83" s="14">
        <v>0</v>
      </c>
      <c r="U83" s="15"/>
      <c r="V83" s="16"/>
      <c r="W83" s="10">
        <v>0</v>
      </c>
      <c r="X83" s="17">
        <v>28.92</v>
      </c>
      <c r="Y83" s="15"/>
      <c r="Z83" s="16"/>
    </row>
    <row r="84" spans="1:26" x14ac:dyDescent="0.3">
      <c r="A84" s="21" t="s">
        <v>204</v>
      </c>
      <c r="B84" s="16"/>
      <c r="D84" s="22" t="s">
        <v>205</v>
      </c>
      <c r="E84" s="15"/>
      <c r="F84" s="15"/>
      <c r="G84" s="16"/>
      <c r="H84" s="8" t="s">
        <v>29</v>
      </c>
      <c r="I84" s="14" t="s">
        <v>11</v>
      </c>
      <c r="J84" s="15"/>
      <c r="K84" s="16"/>
      <c r="L84" s="14" t="s">
        <v>149</v>
      </c>
      <c r="M84" s="16"/>
      <c r="N84" s="8" t="s">
        <v>31</v>
      </c>
      <c r="O84" s="14" t="s">
        <v>32</v>
      </c>
      <c r="P84" s="15"/>
      <c r="Q84" s="16"/>
      <c r="R84" s="9">
        <v>28.92</v>
      </c>
      <c r="S84" s="8">
        <v>1</v>
      </c>
      <c r="T84" s="14">
        <v>0</v>
      </c>
      <c r="U84" s="15"/>
      <c r="V84" s="16"/>
      <c r="W84" s="10">
        <v>0</v>
      </c>
      <c r="X84" s="17">
        <v>28.92</v>
      </c>
      <c r="Y84" s="15"/>
      <c r="Z84" s="16"/>
    </row>
    <row r="85" spans="1:26" x14ac:dyDescent="0.3">
      <c r="A85" s="21" t="s">
        <v>206</v>
      </c>
      <c r="B85" s="16"/>
      <c r="D85" s="22" t="s">
        <v>207</v>
      </c>
      <c r="E85" s="15"/>
      <c r="F85" s="15"/>
      <c r="G85" s="16"/>
      <c r="H85" s="8" t="s">
        <v>29</v>
      </c>
      <c r="I85" s="14" t="s">
        <v>11</v>
      </c>
      <c r="J85" s="15"/>
      <c r="K85" s="16"/>
      <c r="L85" s="14" t="s">
        <v>149</v>
      </c>
      <c r="M85" s="16"/>
      <c r="N85" s="8" t="s">
        <v>31</v>
      </c>
      <c r="O85" s="14" t="s">
        <v>32</v>
      </c>
      <c r="P85" s="15"/>
      <c r="Q85" s="16"/>
      <c r="R85" s="9">
        <v>28.92</v>
      </c>
      <c r="S85" s="8">
        <v>1</v>
      </c>
      <c r="T85" s="14">
        <v>0</v>
      </c>
      <c r="U85" s="15"/>
      <c r="V85" s="16"/>
      <c r="W85" s="10">
        <v>0</v>
      </c>
      <c r="X85" s="17">
        <v>28.92</v>
      </c>
      <c r="Y85" s="15"/>
      <c r="Z85" s="16"/>
    </row>
    <row r="86" spans="1:26" x14ac:dyDescent="0.3">
      <c r="A86" s="21" t="s">
        <v>208</v>
      </c>
      <c r="B86" s="16"/>
      <c r="D86" s="22" t="s">
        <v>209</v>
      </c>
      <c r="E86" s="15"/>
      <c r="F86" s="15"/>
      <c r="G86" s="16"/>
      <c r="H86" s="8" t="s">
        <v>29</v>
      </c>
      <c r="I86" s="14" t="s">
        <v>11</v>
      </c>
      <c r="J86" s="15"/>
      <c r="K86" s="16"/>
      <c r="L86" s="14" t="s">
        <v>149</v>
      </c>
      <c r="M86" s="16"/>
      <c r="N86" s="8" t="s">
        <v>210</v>
      </c>
      <c r="O86" s="14" t="s">
        <v>32</v>
      </c>
      <c r="P86" s="15"/>
      <c r="Q86" s="16"/>
      <c r="R86" s="9">
        <v>28.92</v>
      </c>
      <c r="S86" s="8">
        <v>1</v>
      </c>
      <c r="T86" s="14">
        <v>0</v>
      </c>
      <c r="U86" s="15"/>
      <c r="V86" s="16"/>
      <c r="W86" s="10">
        <v>0</v>
      </c>
      <c r="X86" s="17">
        <v>28.92</v>
      </c>
      <c r="Y86" s="15"/>
      <c r="Z86" s="16"/>
    </row>
    <row r="87" spans="1:26" x14ac:dyDescent="0.3">
      <c r="A87" s="21" t="s">
        <v>211</v>
      </c>
      <c r="B87" s="16"/>
      <c r="D87" s="22" t="s">
        <v>212</v>
      </c>
      <c r="E87" s="15"/>
      <c r="F87" s="15"/>
      <c r="G87" s="16"/>
      <c r="H87" s="8" t="s">
        <v>29</v>
      </c>
      <c r="I87" s="14" t="s">
        <v>11</v>
      </c>
      <c r="J87" s="15"/>
      <c r="K87" s="16"/>
      <c r="L87" s="14" t="s">
        <v>101</v>
      </c>
      <c r="M87" s="16"/>
      <c r="N87" s="8" t="s">
        <v>31</v>
      </c>
      <c r="O87" s="14" t="s">
        <v>32</v>
      </c>
      <c r="P87" s="15"/>
      <c r="Q87" s="16"/>
      <c r="R87" s="9">
        <v>28.92</v>
      </c>
      <c r="S87" s="8">
        <v>1</v>
      </c>
      <c r="T87" s="14">
        <v>0</v>
      </c>
      <c r="U87" s="15"/>
      <c r="V87" s="16"/>
      <c r="W87" s="10">
        <v>0</v>
      </c>
      <c r="X87" s="17">
        <v>28.92</v>
      </c>
      <c r="Y87" s="15"/>
      <c r="Z87" s="16"/>
    </row>
    <row r="88" spans="1:26" x14ac:dyDescent="0.3">
      <c r="A88" s="21" t="s">
        <v>213</v>
      </c>
      <c r="B88" s="16"/>
      <c r="D88" s="22" t="s">
        <v>214</v>
      </c>
      <c r="E88" s="15"/>
      <c r="F88" s="15"/>
      <c r="G88" s="16"/>
      <c r="H88" s="8" t="s">
        <v>215</v>
      </c>
      <c r="I88" s="14" t="s">
        <v>11</v>
      </c>
      <c r="J88" s="15"/>
      <c r="K88" s="16"/>
      <c r="L88" s="14" t="s">
        <v>216</v>
      </c>
      <c r="M88" s="16"/>
      <c r="N88" s="8" t="s">
        <v>31</v>
      </c>
      <c r="O88" s="14" t="s">
        <v>32</v>
      </c>
      <c r="P88" s="15"/>
      <c r="Q88" s="16"/>
      <c r="R88" s="9">
        <v>28.92</v>
      </c>
      <c r="S88" s="8">
        <v>1</v>
      </c>
      <c r="T88" s="14">
        <v>0</v>
      </c>
      <c r="U88" s="15"/>
      <c r="V88" s="16"/>
      <c r="W88" s="10">
        <v>0</v>
      </c>
      <c r="X88" s="17">
        <v>28.92</v>
      </c>
      <c r="Y88" s="15"/>
      <c r="Z88" s="16"/>
    </row>
    <row r="89" spans="1:26" x14ac:dyDescent="0.3">
      <c r="A89" s="21" t="s">
        <v>217</v>
      </c>
      <c r="B89" s="16"/>
      <c r="D89" s="22" t="s">
        <v>218</v>
      </c>
      <c r="E89" s="15"/>
      <c r="F89" s="15"/>
      <c r="G89" s="16"/>
      <c r="H89" s="8" t="s">
        <v>215</v>
      </c>
      <c r="I89" s="14" t="s">
        <v>11</v>
      </c>
      <c r="J89" s="15"/>
      <c r="K89" s="16"/>
      <c r="L89" s="14" t="s">
        <v>216</v>
      </c>
      <c r="M89" s="16"/>
      <c r="N89" s="8" t="s">
        <v>31</v>
      </c>
      <c r="O89" s="14" t="s">
        <v>32</v>
      </c>
      <c r="P89" s="15"/>
      <c r="Q89" s="16"/>
      <c r="R89" s="9">
        <v>28.92</v>
      </c>
      <c r="S89" s="8">
        <v>1</v>
      </c>
      <c r="T89" s="14">
        <v>0</v>
      </c>
      <c r="U89" s="15"/>
      <c r="V89" s="16"/>
      <c r="W89" s="10">
        <v>0</v>
      </c>
      <c r="X89" s="17">
        <v>28.92</v>
      </c>
      <c r="Y89" s="15"/>
      <c r="Z89" s="16"/>
    </row>
    <row r="90" spans="1:26" x14ac:dyDescent="0.3">
      <c r="A90" s="21" t="s">
        <v>219</v>
      </c>
      <c r="B90" s="16"/>
      <c r="D90" s="22" t="s">
        <v>220</v>
      </c>
      <c r="E90" s="15"/>
      <c r="F90" s="15"/>
      <c r="G90" s="16"/>
      <c r="H90" s="8" t="s">
        <v>221</v>
      </c>
      <c r="I90" s="14" t="s">
        <v>11</v>
      </c>
      <c r="J90" s="15"/>
      <c r="K90" s="16"/>
      <c r="L90" s="14" t="s">
        <v>11</v>
      </c>
      <c r="M90" s="16"/>
      <c r="N90" s="8" t="s">
        <v>31</v>
      </c>
      <c r="O90" s="14" t="s">
        <v>32</v>
      </c>
      <c r="P90" s="15"/>
      <c r="Q90" s="16"/>
      <c r="R90" s="9">
        <v>28.92</v>
      </c>
      <c r="S90" s="8">
        <v>1</v>
      </c>
      <c r="T90" s="14">
        <v>1</v>
      </c>
      <c r="U90" s="15"/>
      <c r="V90" s="16"/>
      <c r="W90" s="10">
        <v>28.92</v>
      </c>
      <c r="X90" s="17">
        <v>57.84</v>
      </c>
      <c r="Y90" s="15"/>
      <c r="Z90" s="16"/>
    </row>
    <row r="91" spans="1:26" x14ac:dyDescent="0.3">
      <c r="A91" s="21" t="s">
        <v>222</v>
      </c>
      <c r="B91" s="16"/>
      <c r="D91" s="22" t="s">
        <v>223</v>
      </c>
      <c r="E91" s="15"/>
      <c r="F91" s="15"/>
      <c r="G91" s="16"/>
      <c r="H91" s="8" t="s">
        <v>29</v>
      </c>
      <c r="I91" s="14" t="s">
        <v>11</v>
      </c>
      <c r="J91" s="15"/>
      <c r="K91" s="16"/>
      <c r="L91" s="14" t="s">
        <v>224</v>
      </c>
      <c r="M91" s="16"/>
      <c r="N91" s="8" t="s">
        <v>31</v>
      </c>
      <c r="O91" s="14" t="s">
        <v>32</v>
      </c>
      <c r="P91" s="15"/>
      <c r="Q91" s="16"/>
      <c r="R91" s="9">
        <v>28.92</v>
      </c>
      <c r="S91" s="8">
        <v>1</v>
      </c>
      <c r="T91" s="14">
        <v>0</v>
      </c>
      <c r="U91" s="15"/>
      <c r="V91" s="16"/>
      <c r="W91" s="10">
        <v>0</v>
      </c>
      <c r="X91" s="17">
        <v>28.92</v>
      </c>
      <c r="Y91" s="15"/>
      <c r="Z91" s="16"/>
    </row>
    <row r="92" spans="1:26" x14ac:dyDescent="0.3">
      <c r="A92" s="21" t="s">
        <v>225</v>
      </c>
      <c r="B92" s="16"/>
      <c r="D92" s="22" t="s">
        <v>226</v>
      </c>
      <c r="E92" s="15"/>
      <c r="F92" s="15"/>
      <c r="G92" s="16"/>
      <c r="H92" s="8" t="s">
        <v>29</v>
      </c>
      <c r="I92" s="14" t="s">
        <v>11</v>
      </c>
      <c r="J92" s="15"/>
      <c r="K92" s="16"/>
      <c r="L92" s="14" t="s">
        <v>112</v>
      </c>
      <c r="M92" s="16"/>
      <c r="N92" s="8" t="s">
        <v>31</v>
      </c>
      <c r="O92" s="14" t="s">
        <v>32</v>
      </c>
      <c r="P92" s="15"/>
      <c r="Q92" s="16"/>
      <c r="R92" s="9">
        <v>28.92</v>
      </c>
      <c r="S92" s="8">
        <v>1</v>
      </c>
      <c r="T92" s="14">
        <v>0</v>
      </c>
      <c r="U92" s="15"/>
      <c r="V92" s="16"/>
      <c r="W92" s="10">
        <v>0</v>
      </c>
      <c r="X92" s="17">
        <v>28.92</v>
      </c>
      <c r="Y92" s="15"/>
      <c r="Z92" s="16"/>
    </row>
    <row r="93" spans="1:26" x14ac:dyDescent="0.3">
      <c r="A93" s="21" t="s">
        <v>227</v>
      </c>
      <c r="B93" s="16"/>
      <c r="D93" s="22" t="s">
        <v>228</v>
      </c>
      <c r="E93" s="15"/>
      <c r="F93" s="15"/>
      <c r="G93" s="16"/>
      <c r="H93" s="8" t="s">
        <v>29</v>
      </c>
      <c r="I93" s="14" t="s">
        <v>11</v>
      </c>
      <c r="J93" s="15"/>
      <c r="K93" s="16"/>
      <c r="L93" s="14" t="s">
        <v>229</v>
      </c>
      <c r="M93" s="16"/>
      <c r="N93" s="8" t="s">
        <v>31</v>
      </c>
      <c r="O93" s="14" t="s">
        <v>32</v>
      </c>
      <c r="P93" s="15"/>
      <c r="Q93" s="16"/>
      <c r="R93" s="9">
        <v>28.92</v>
      </c>
      <c r="S93" s="8">
        <v>1</v>
      </c>
      <c r="T93" s="14">
        <v>0</v>
      </c>
      <c r="U93" s="15"/>
      <c r="V93" s="16"/>
      <c r="W93" s="10">
        <v>0</v>
      </c>
      <c r="X93" s="17">
        <v>28.92</v>
      </c>
      <c r="Y93" s="15"/>
      <c r="Z93" s="16"/>
    </row>
    <row r="94" spans="1:26" x14ac:dyDescent="0.3">
      <c r="A94" s="21" t="s">
        <v>230</v>
      </c>
      <c r="B94" s="16"/>
      <c r="D94" s="22" t="s">
        <v>231</v>
      </c>
      <c r="E94" s="15"/>
      <c r="F94" s="15"/>
      <c r="G94" s="16"/>
      <c r="H94" s="8" t="s">
        <v>29</v>
      </c>
      <c r="I94" s="14" t="s">
        <v>11</v>
      </c>
      <c r="J94" s="15"/>
      <c r="K94" s="16"/>
      <c r="L94" s="14" t="s">
        <v>232</v>
      </c>
      <c r="M94" s="16"/>
      <c r="N94" s="8" t="s">
        <v>31</v>
      </c>
      <c r="O94" s="14" t="s">
        <v>32</v>
      </c>
      <c r="P94" s="15"/>
      <c r="Q94" s="16"/>
      <c r="R94" s="9">
        <v>28.92</v>
      </c>
      <c r="S94" s="8">
        <v>1</v>
      </c>
      <c r="T94" s="14">
        <v>0</v>
      </c>
      <c r="U94" s="15"/>
      <c r="V94" s="16"/>
      <c r="W94" s="10">
        <v>0</v>
      </c>
      <c r="X94" s="17">
        <v>28.92</v>
      </c>
      <c r="Y94" s="15"/>
      <c r="Z94" s="16"/>
    </row>
    <row r="95" spans="1:26" x14ac:dyDescent="0.3">
      <c r="A95" s="21" t="s">
        <v>233</v>
      </c>
      <c r="B95" s="16"/>
      <c r="D95" s="22" t="s">
        <v>234</v>
      </c>
      <c r="E95" s="15"/>
      <c r="F95" s="15"/>
      <c r="G95" s="16"/>
      <c r="H95" s="8" t="s">
        <v>29</v>
      </c>
      <c r="I95" s="14" t="s">
        <v>11</v>
      </c>
      <c r="J95" s="15"/>
      <c r="K95" s="16"/>
      <c r="L95" s="14" t="s">
        <v>90</v>
      </c>
      <c r="M95" s="16"/>
      <c r="N95" s="8" t="s">
        <v>31</v>
      </c>
      <c r="O95" s="14" t="s">
        <v>32</v>
      </c>
      <c r="P95" s="15"/>
      <c r="Q95" s="16"/>
      <c r="R95" s="9">
        <v>28.92</v>
      </c>
      <c r="S95" s="8">
        <v>1</v>
      </c>
      <c r="T95" s="14">
        <v>0</v>
      </c>
      <c r="U95" s="15"/>
      <c r="V95" s="16"/>
      <c r="W95" s="10">
        <v>0</v>
      </c>
      <c r="X95" s="17">
        <v>28.92</v>
      </c>
      <c r="Y95" s="15"/>
      <c r="Z95" s="16"/>
    </row>
    <row r="96" spans="1:26" x14ac:dyDescent="0.3">
      <c r="A96" s="21" t="s">
        <v>235</v>
      </c>
      <c r="B96" s="16"/>
      <c r="D96" s="22" t="s">
        <v>236</v>
      </c>
      <c r="E96" s="15"/>
      <c r="F96" s="15"/>
      <c r="G96" s="16"/>
      <c r="H96" s="8" t="s">
        <v>29</v>
      </c>
      <c r="I96" s="14" t="s">
        <v>11</v>
      </c>
      <c r="J96" s="15"/>
      <c r="K96" s="16"/>
      <c r="L96" s="14" t="s">
        <v>30</v>
      </c>
      <c r="M96" s="16"/>
      <c r="N96" s="8" t="s">
        <v>31</v>
      </c>
      <c r="O96" s="14" t="s">
        <v>32</v>
      </c>
      <c r="P96" s="15"/>
      <c r="Q96" s="16"/>
      <c r="R96" s="9">
        <v>28.92</v>
      </c>
      <c r="S96" s="8">
        <v>1</v>
      </c>
      <c r="T96" s="14">
        <v>0</v>
      </c>
      <c r="U96" s="15"/>
      <c r="V96" s="16"/>
      <c r="W96" s="10">
        <v>0</v>
      </c>
      <c r="X96" s="17">
        <v>28.92</v>
      </c>
      <c r="Y96" s="15"/>
      <c r="Z96" s="16"/>
    </row>
    <row r="97" spans="1:26" x14ac:dyDescent="0.3">
      <c r="A97" s="21" t="s">
        <v>237</v>
      </c>
      <c r="B97" s="16"/>
      <c r="D97" s="22" t="s">
        <v>238</v>
      </c>
      <c r="E97" s="15"/>
      <c r="F97" s="15"/>
      <c r="G97" s="16"/>
      <c r="H97" s="8" t="s">
        <v>29</v>
      </c>
      <c r="I97" s="14" t="s">
        <v>11</v>
      </c>
      <c r="J97" s="15"/>
      <c r="K97" s="16"/>
      <c r="L97" s="14" t="s">
        <v>49</v>
      </c>
      <c r="M97" s="16"/>
      <c r="N97" s="8" t="s">
        <v>31</v>
      </c>
      <c r="O97" s="14" t="s">
        <v>32</v>
      </c>
      <c r="P97" s="15"/>
      <c r="Q97" s="16"/>
      <c r="R97" s="9">
        <v>28.92</v>
      </c>
      <c r="S97" s="8">
        <v>1</v>
      </c>
      <c r="T97" s="14">
        <v>0</v>
      </c>
      <c r="U97" s="15"/>
      <c r="V97" s="16"/>
      <c r="W97" s="10">
        <v>0</v>
      </c>
      <c r="X97" s="17">
        <v>28.92</v>
      </c>
      <c r="Y97" s="15"/>
      <c r="Z97" s="16"/>
    </row>
    <row r="98" spans="1:26" x14ac:dyDescent="0.3">
      <c r="A98" s="21" t="s">
        <v>239</v>
      </c>
      <c r="B98" s="16"/>
      <c r="D98" s="22" t="s">
        <v>240</v>
      </c>
      <c r="E98" s="15"/>
      <c r="F98" s="15"/>
      <c r="G98" s="16"/>
      <c r="H98" s="8" t="s">
        <v>29</v>
      </c>
      <c r="I98" s="14" t="s">
        <v>11</v>
      </c>
      <c r="J98" s="15"/>
      <c r="K98" s="16"/>
      <c r="L98" s="14" t="s">
        <v>241</v>
      </c>
      <c r="M98" s="16"/>
      <c r="N98" s="8" t="s">
        <v>31</v>
      </c>
      <c r="O98" s="14" t="s">
        <v>32</v>
      </c>
      <c r="P98" s="15"/>
      <c r="Q98" s="16"/>
      <c r="R98" s="9">
        <v>28.92</v>
      </c>
      <c r="S98" s="8">
        <v>1</v>
      </c>
      <c r="T98" s="14">
        <v>0</v>
      </c>
      <c r="U98" s="15"/>
      <c r="V98" s="16"/>
      <c r="W98" s="10">
        <v>0</v>
      </c>
      <c r="X98" s="17">
        <v>28.92</v>
      </c>
      <c r="Y98" s="15"/>
      <c r="Z98" s="16"/>
    </row>
    <row r="99" spans="1:26" x14ac:dyDescent="0.3">
      <c r="A99" s="21" t="s">
        <v>242</v>
      </c>
      <c r="B99" s="16"/>
      <c r="D99" s="22" t="s">
        <v>243</v>
      </c>
      <c r="E99" s="15"/>
      <c r="F99" s="15"/>
      <c r="G99" s="16"/>
      <c r="H99" s="8" t="s">
        <v>49</v>
      </c>
      <c r="I99" s="14" t="s">
        <v>11</v>
      </c>
      <c r="J99" s="15"/>
      <c r="K99" s="16"/>
      <c r="L99" s="14" t="s">
        <v>244</v>
      </c>
      <c r="M99" s="16"/>
      <c r="N99" s="8" t="s">
        <v>31</v>
      </c>
      <c r="O99" s="14" t="s">
        <v>32</v>
      </c>
      <c r="P99" s="15"/>
      <c r="Q99" s="16"/>
      <c r="R99" s="9">
        <v>28.92</v>
      </c>
      <c r="S99" s="8">
        <v>1</v>
      </c>
      <c r="T99" s="14">
        <v>0</v>
      </c>
      <c r="U99" s="15"/>
      <c r="V99" s="16"/>
      <c r="W99" s="10">
        <v>0</v>
      </c>
      <c r="X99" s="17">
        <v>28.92</v>
      </c>
      <c r="Y99" s="15"/>
      <c r="Z99" s="16"/>
    </row>
    <row r="100" spans="1:26" x14ac:dyDescent="0.3">
      <c r="A100" s="21" t="s">
        <v>245</v>
      </c>
      <c r="B100" s="16"/>
      <c r="D100" s="22" t="s">
        <v>246</v>
      </c>
      <c r="E100" s="15"/>
      <c r="F100" s="15"/>
      <c r="G100" s="16"/>
      <c r="H100" s="8" t="s">
        <v>29</v>
      </c>
      <c r="I100" s="14" t="s">
        <v>11</v>
      </c>
      <c r="J100" s="15"/>
      <c r="K100" s="16"/>
      <c r="L100" s="14" t="s">
        <v>149</v>
      </c>
      <c r="M100" s="16"/>
      <c r="N100" s="8" t="s">
        <v>31</v>
      </c>
      <c r="O100" s="14" t="s">
        <v>32</v>
      </c>
      <c r="P100" s="15"/>
      <c r="Q100" s="16"/>
      <c r="R100" s="9">
        <v>28.92</v>
      </c>
      <c r="S100" s="8">
        <v>1</v>
      </c>
      <c r="T100" s="14">
        <v>0</v>
      </c>
      <c r="U100" s="15"/>
      <c r="V100" s="16"/>
      <c r="W100" s="10">
        <v>0</v>
      </c>
      <c r="X100" s="17">
        <v>28.92</v>
      </c>
      <c r="Y100" s="15"/>
      <c r="Z100" s="16"/>
    </row>
    <row r="101" spans="1:26" x14ac:dyDescent="0.3">
      <c r="A101" s="18" t="s">
        <v>247</v>
      </c>
      <c r="B101" s="15"/>
      <c r="C101" s="15"/>
      <c r="D101" s="15"/>
      <c r="E101" s="15"/>
      <c r="F101" s="15"/>
      <c r="G101" s="16"/>
      <c r="H101" s="18" t="s">
        <v>248</v>
      </c>
      <c r="I101" s="15"/>
      <c r="J101" s="15"/>
      <c r="K101" s="16"/>
      <c r="L101" s="18" t="s">
        <v>13</v>
      </c>
      <c r="M101" s="16"/>
      <c r="N101" s="11" t="s">
        <v>13</v>
      </c>
      <c r="O101" s="18" t="s">
        <v>13</v>
      </c>
      <c r="P101" s="15"/>
      <c r="Q101" s="16"/>
      <c r="R101" s="12">
        <v>2458.1999999999998</v>
      </c>
      <c r="S101" s="13">
        <v>85</v>
      </c>
      <c r="T101" s="19">
        <v>1</v>
      </c>
      <c r="U101" s="15"/>
      <c r="V101" s="16"/>
      <c r="W101" s="12">
        <v>28.92</v>
      </c>
      <c r="X101" s="20">
        <v>2487.12</v>
      </c>
      <c r="Y101" s="15"/>
      <c r="Z101" s="16"/>
    </row>
  </sheetData>
  <mergeCells count="627">
    <mergeCell ref="V2:X2"/>
    <mergeCell ref="B7:I7"/>
    <mergeCell ref="C9:F9"/>
    <mergeCell ref="G9:J9"/>
    <mergeCell ref="K9:L9"/>
    <mergeCell ref="M9:O9"/>
    <mergeCell ref="C10:F10"/>
    <mergeCell ref="G10:J10"/>
    <mergeCell ref="K10:L10"/>
    <mergeCell ref="M10:O10"/>
    <mergeCell ref="C11:F11"/>
    <mergeCell ref="G11:J11"/>
    <mergeCell ref="K11:L11"/>
    <mergeCell ref="M11:O11"/>
    <mergeCell ref="A1:D3"/>
    <mergeCell ref="F1:T4"/>
    <mergeCell ref="A14:Q14"/>
    <mergeCell ref="T14:V14"/>
    <mergeCell ref="X14:Z14"/>
    <mergeCell ref="A15:B15"/>
    <mergeCell ref="D15:G15"/>
    <mergeCell ref="I15:K15"/>
    <mergeCell ref="L15:M15"/>
    <mergeCell ref="O15:Q15"/>
    <mergeCell ref="T15:V15"/>
    <mergeCell ref="X15:Z15"/>
    <mergeCell ref="T16:V16"/>
    <mergeCell ref="X16:Z16"/>
    <mergeCell ref="A17:B17"/>
    <mergeCell ref="D17:G17"/>
    <mergeCell ref="I17:K17"/>
    <mergeCell ref="L17:M17"/>
    <mergeCell ref="O17:Q17"/>
    <mergeCell ref="T17:V17"/>
    <mergeCell ref="X17:Z17"/>
    <mergeCell ref="A16:B16"/>
    <mergeCell ref="D16:G16"/>
    <mergeCell ref="I16:K16"/>
    <mergeCell ref="L16:M16"/>
    <mergeCell ref="O16:Q16"/>
    <mergeCell ref="T18:V18"/>
    <mergeCell ref="X18:Z18"/>
    <mergeCell ref="A19:B19"/>
    <mergeCell ref="D19:G19"/>
    <mergeCell ref="I19:K19"/>
    <mergeCell ref="L19:M19"/>
    <mergeCell ref="O19:Q19"/>
    <mergeCell ref="T19:V19"/>
    <mergeCell ref="X19:Z19"/>
    <mergeCell ref="A18:B18"/>
    <mergeCell ref="D18:G18"/>
    <mergeCell ref="I18:K18"/>
    <mergeCell ref="L18:M18"/>
    <mergeCell ref="O18:Q18"/>
    <mergeCell ref="T20:V20"/>
    <mergeCell ref="X20:Z20"/>
    <mergeCell ref="A21:B21"/>
    <mergeCell ref="D21:G21"/>
    <mergeCell ref="I21:K21"/>
    <mergeCell ref="L21:M21"/>
    <mergeCell ref="O21:Q21"/>
    <mergeCell ref="T21:V21"/>
    <mergeCell ref="X21:Z21"/>
    <mergeCell ref="A20:B20"/>
    <mergeCell ref="D20:G20"/>
    <mergeCell ref="I20:K20"/>
    <mergeCell ref="L20:M20"/>
    <mergeCell ref="O20:Q20"/>
    <mergeCell ref="T22:V22"/>
    <mergeCell ref="X22:Z22"/>
    <mergeCell ref="A23:B23"/>
    <mergeCell ref="D23:G23"/>
    <mergeCell ref="I23:K23"/>
    <mergeCell ref="L23:M23"/>
    <mergeCell ref="O23:Q23"/>
    <mergeCell ref="T23:V23"/>
    <mergeCell ref="X23:Z23"/>
    <mergeCell ref="A22:B22"/>
    <mergeCell ref="D22:G22"/>
    <mergeCell ref="I22:K22"/>
    <mergeCell ref="L22:M22"/>
    <mergeCell ref="O22:Q22"/>
    <mergeCell ref="T24:V24"/>
    <mergeCell ref="X24:Z24"/>
    <mergeCell ref="A25:B25"/>
    <mergeCell ref="D25:G25"/>
    <mergeCell ref="I25:K25"/>
    <mergeCell ref="L25:M25"/>
    <mergeCell ref="O25:Q25"/>
    <mergeCell ref="T25:V25"/>
    <mergeCell ref="X25:Z25"/>
    <mergeCell ref="A24:B24"/>
    <mergeCell ref="D24:G24"/>
    <mergeCell ref="I24:K24"/>
    <mergeCell ref="L24:M24"/>
    <mergeCell ref="O24:Q24"/>
    <mergeCell ref="T26:V26"/>
    <mergeCell ref="X26:Z26"/>
    <mergeCell ref="A27:B27"/>
    <mergeCell ref="D27:G27"/>
    <mergeCell ref="I27:K27"/>
    <mergeCell ref="L27:M27"/>
    <mergeCell ref="O27:Q27"/>
    <mergeCell ref="T27:V27"/>
    <mergeCell ref="X27:Z27"/>
    <mergeCell ref="A26:B26"/>
    <mergeCell ref="D26:G26"/>
    <mergeCell ref="I26:K26"/>
    <mergeCell ref="L26:M26"/>
    <mergeCell ref="O26:Q26"/>
    <mergeCell ref="T28:V28"/>
    <mergeCell ref="X28:Z28"/>
    <mergeCell ref="A29:B29"/>
    <mergeCell ref="D29:G29"/>
    <mergeCell ref="I29:K29"/>
    <mergeCell ref="L29:M29"/>
    <mergeCell ref="O29:Q29"/>
    <mergeCell ref="T29:V29"/>
    <mergeCell ref="X29:Z29"/>
    <mergeCell ref="A28:B28"/>
    <mergeCell ref="D28:G28"/>
    <mergeCell ref="I28:K28"/>
    <mergeCell ref="L28:M28"/>
    <mergeCell ref="O28:Q28"/>
    <mergeCell ref="T30:V30"/>
    <mergeCell ref="X30:Z30"/>
    <mergeCell ref="A31:B31"/>
    <mergeCell ref="D31:G31"/>
    <mergeCell ref="I31:K31"/>
    <mergeCell ref="L31:M31"/>
    <mergeCell ref="O31:Q31"/>
    <mergeCell ref="T31:V31"/>
    <mergeCell ref="X31:Z31"/>
    <mergeCell ref="A30:B30"/>
    <mergeCell ref="D30:G30"/>
    <mergeCell ref="I30:K30"/>
    <mergeCell ref="L30:M30"/>
    <mergeCell ref="O30:Q30"/>
    <mergeCell ref="T32:V32"/>
    <mergeCell ref="X32:Z32"/>
    <mergeCell ref="A33:B33"/>
    <mergeCell ref="D33:G33"/>
    <mergeCell ref="I33:K33"/>
    <mergeCell ref="L33:M33"/>
    <mergeCell ref="O33:Q33"/>
    <mergeCell ref="T33:V33"/>
    <mergeCell ref="X33:Z33"/>
    <mergeCell ref="A32:B32"/>
    <mergeCell ref="D32:G32"/>
    <mergeCell ref="I32:K32"/>
    <mergeCell ref="L32:M32"/>
    <mergeCell ref="O32:Q32"/>
    <mergeCell ref="T34:V34"/>
    <mergeCell ref="X34:Z34"/>
    <mergeCell ref="A35:B35"/>
    <mergeCell ref="D35:G35"/>
    <mergeCell ref="I35:K35"/>
    <mergeCell ref="L35:M35"/>
    <mergeCell ref="O35:Q35"/>
    <mergeCell ref="T35:V35"/>
    <mergeCell ref="X35:Z35"/>
    <mergeCell ref="A34:B34"/>
    <mergeCell ref="D34:G34"/>
    <mergeCell ref="I34:K34"/>
    <mergeCell ref="L34:M34"/>
    <mergeCell ref="O34:Q34"/>
    <mergeCell ref="T36:V36"/>
    <mergeCell ref="X36:Z36"/>
    <mergeCell ref="A37:B37"/>
    <mergeCell ref="D37:G37"/>
    <mergeCell ref="I37:K37"/>
    <mergeCell ref="L37:M37"/>
    <mergeCell ref="O37:Q37"/>
    <mergeCell ref="T37:V37"/>
    <mergeCell ref="X37:Z37"/>
    <mergeCell ref="A36:B36"/>
    <mergeCell ref="D36:G36"/>
    <mergeCell ref="I36:K36"/>
    <mergeCell ref="L36:M36"/>
    <mergeCell ref="O36:Q36"/>
    <mergeCell ref="T38:V38"/>
    <mergeCell ref="X38:Z38"/>
    <mergeCell ref="A39:B39"/>
    <mergeCell ref="D39:G39"/>
    <mergeCell ref="I39:K39"/>
    <mergeCell ref="L39:M39"/>
    <mergeCell ref="O39:Q39"/>
    <mergeCell ref="T39:V39"/>
    <mergeCell ref="X39:Z39"/>
    <mergeCell ref="A38:B38"/>
    <mergeCell ref="D38:G38"/>
    <mergeCell ref="I38:K38"/>
    <mergeCell ref="L38:M38"/>
    <mergeCell ref="O38:Q38"/>
    <mergeCell ref="T40:V40"/>
    <mergeCell ref="X40:Z40"/>
    <mergeCell ref="A41:B41"/>
    <mergeCell ref="D41:G41"/>
    <mergeCell ref="I41:K41"/>
    <mergeCell ref="L41:M41"/>
    <mergeCell ref="O41:Q41"/>
    <mergeCell ref="T41:V41"/>
    <mergeCell ref="X41:Z41"/>
    <mergeCell ref="A40:B40"/>
    <mergeCell ref="D40:G40"/>
    <mergeCell ref="I40:K40"/>
    <mergeCell ref="L40:M40"/>
    <mergeCell ref="O40:Q40"/>
    <mergeCell ref="T42:V42"/>
    <mergeCell ref="X42:Z42"/>
    <mergeCell ref="A43:B43"/>
    <mergeCell ref="D43:G43"/>
    <mergeCell ref="I43:K43"/>
    <mergeCell ref="L43:M43"/>
    <mergeCell ref="O43:Q43"/>
    <mergeCell ref="T43:V43"/>
    <mergeCell ref="X43:Z43"/>
    <mergeCell ref="A42:B42"/>
    <mergeCell ref="D42:G42"/>
    <mergeCell ref="I42:K42"/>
    <mergeCell ref="L42:M42"/>
    <mergeCell ref="O42:Q42"/>
    <mergeCell ref="T44:V44"/>
    <mergeCell ref="X44:Z44"/>
    <mergeCell ref="A45:B45"/>
    <mergeCell ref="D45:G45"/>
    <mergeCell ref="I45:K45"/>
    <mergeCell ref="L45:M45"/>
    <mergeCell ref="O45:Q45"/>
    <mergeCell ref="T45:V45"/>
    <mergeCell ref="X45:Z45"/>
    <mergeCell ref="A44:B44"/>
    <mergeCell ref="D44:G44"/>
    <mergeCell ref="I44:K44"/>
    <mergeCell ref="L44:M44"/>
    <mergeCell ref="O44:Q44"/>
    <mergeCell ref="T46:V46"/>
    <mergeCell ref="X46:Z46"/>
    <mergeCell ref="A47:B47"/>
    <mergeCell ref="D47:G47"/>
    <mergeCell ref="I47:K47"/>
    <mergeCell ref="L47:M47"/>
    <mergeCell ref="O47:Q47"/>
    <mergeCell ref="T47:V47"/>
    <mergeCell ref="X47:Z47"/>
    <mergeCell ref="A46:B46"/>
    <mergeCell ref="D46:G46"/>
    <mergeCell ref="I46:K46"/>
    <mergeCell ref="L46:M46"/>
    <mergeCell ref="O46:Q46"/>
    <mergeCell ref="T48:V48"/>
    <mergeCell ref="X48:Z48"/>
    <mergeCell ref="A49:B49"/>
    <mergeCell ref="D49:G49"/>
    <mergeCell ref="I49:K49"/>
    <mergeCell ref="L49:M49"/>
    <mergeCell ref="O49:Q49"/>
    <mergeCell ref="T49:V49"/>
    <mergeCell ref="X49:Z49"/>
    <mergeCell ref="A48:B48"/>
    <mergeCell ref="D48:G48"/>
    <mergeCell ref="I48:K48"/>
    <mergeCell ref="L48:M48"/>
    <mergeCell ref="O48:Q48"/>
    <mergeCell ref="T50:V50"/>
    <mergeCell ref="X50:Z50"/>
    <mergeCell ref="A51:B51"/>
    <mergeCell ref="D51:G51"/>
    <mergeCell ref="I51:K51"/>
    <mergeCell ref="L51:M51"/>
    <mergeCell ref="O51:Q51"/>
    <mergeCell ref="T51:V51"/>
    <mergeCell ref="X51:Z51"/>
    <mergeCell ref="A50:B50"/>
    <mergeCell ref="D50:G50"/>
    <mergeCell ref="I50:K50"/>
    <mergeCell ref="L50:M50"/>
    <mergeCell ref="O50:Q50"/>
    <mergeCell ref="T52:V52"/>
    <mergeCell ref="X52:Z52"/>
    <mergeCell ref="A53:B53"/>
    <mergeCell ref="D53:G53"/>
    <mergeCell ref="I53:K53"/>
    <mergeCell ref="L53:M53"/>
    <mergeCell ref="O53:Q53"/>
    <mergeCell ref="T53:V53"/>
    <mergeCell ref="X53:Z53"/>
    <mergeCell ref="A52:B52"/>
    <mergeCell ref="D52:G52"/>
    <mergeCell ref="I52:K52"/>
    <mergeCell ref="L52:M52"/>
    <mergeCell ref="O52:Q52"/>
    <mergeCell ref="T54:V54"/>
    <mergeCell ref="X54:Z54"/>
    <mergeCell ref="A55:B55"/>
    <mergeCell ref="D55:G55"/>
    <mergeCell ref="I55:K55"/>
    <mergeCell ref="L55:M55"/>
    <mergeCell ref="O55:Q55"/>
    <mergeCell ref="T55:V55"/>
    <mergeCell ref="X55:Z55"/>
    <mergeCell ref="A54:B54"/>
    <mergeCell ref="D54:G54"/>
    <mergeCell ref="I54:K54"/>
    <mergeCell ref="L54:M54"/>
    <mergeCell ref="O54:Q54"/>
    <mergeCell ref="T56:V56"/>
    <mergeCell ref="X56:Z56"/>
    <mergeCell ref="A57:B57"/>
    <mergeCell ref="D57:G57"/>
    <mergeCell ref="I57:K57"/>
    <mergeCell ref="L57:M57"/>
    <mergeCell ref="O57:Q57"/>
    <mergeCell ref="T57:V57"/>
    <mergeCell ref="X57:Z57"/>
    <mergeCell ref="A56:B56"/>
    <mergeCell ref="D56:G56"/>
    <mergeCell ref="I56:K56"/>
    <mergeCell ref="L56:M56"/>
    <mergeCell ref="O56:Q56"/>
    <mergeCell ref="T58:V58"/>
    <mergeCell ref="X58:Z58"/>
    <mergeCell ref="A59:B59"/>
    <mergeCell ref="D59:G59"/>
    <mergeCell ref="I59:K59"/>
    <mergeCell ref="L59:M59"/>
    <mergeCell ref="O59:Q59"/>
    <mergeCell ref="T59:V59"/>
    <mergeCell ref="X59:Z59"/>
    <mergeCell ref="A58:B58"/>
    <mergeCell ref="D58:G58"/>
    <mergeCell ref="I58:K58"/>
    <mergeCell ref="L58:M58"/>
    <mergeCell ref="O58:Q58"/>
    <mergeCell ref="T60:V60"/>
    <mergeCell ref="X60:Z60"/>
    <mergeCell ref="A61:B61"/>
    <mergeCell ref="D61:G61"/>
    <mergeCell ref="I61:K61"/>
    <mergeCell ref="L61:M61"/>
    <mergeCell ref="O61:Q61"/>
    <mergeCell ref="T61:V61"/>
    <mergeCell ref="X61:Z61"/>
    <mergeCell ref="A60:B60"/>
    <mergeCell ref="D60:G60"/>
    <mergeCell ref="I60:K60"/>
    <mergeCell ref="L60:M60"/>
    <mergeCell ref="O60:Q60"/>
    <mergeCell ref="T62:V62"/>
    <mergeCell ref="X62:Z62"/>
    <mergeCell ref="A63:B63"/>
    <mergeCell ref="D63:G63"/>
    <mergeCell ref="I63:K63"/>
    <mergeCell ref="L63:M63"/>
    <mergeCell ref="O63:Q63"/>
    <mergeCell ref="T63:V63"/>
    <mergeCell ref="X63:Z63"/>
    <mergeCell ref="A62:B62"/>
    <mergeCell ref="D62:G62"/>
    <mergeCell ref="I62:K62"/>
    <mergeCell ref="L62:M62"/>
    <mergeCell ref="O62:Q62"/>
    <mergeCell ref="T64:V64"/>
    <mergeCell ref="X64:Z64"/>
    <mergeCell ref="A65:B65"/>
    <mergeCell ref="D65:G65"/>
    <mergeCell ref="I65:K65"/>
    <mergeCell ref="L65:M65"/>
    <mergeCell ref="O65:Q65"/>
    <mergeCell ref="T65:V65"/>
    <mergeCell ref="X65:Z65"/>
    <mergeCell ref="A64:B64"/>
    <mergeCell ref="D64:G64"/>
    <mergeCell ref="I64:K64"/>
    <mergeCell ref="L64:M64"/>
    <mergeCell ref="O64:Q64"/>
    <mergeCell ref="T66:V66"/>
    <mergeCell ref="X66:Z66"/>
    <mergeCell ref="A67:B67"/>
    <mergeCell ref="D67:G67"/>
    <mergeCell ref="I67:K67"/>
    <mergeCell ref="L67:M67"/>
    <mergeCell ref="O67:Q67"/>
    <mergeCell ref="T67:V67"/>
    <mergeCell ref="X67:Z67"/>
    <mergeCell ref="A66:B66"/>
    <mergeCell ref="D66:G66"/>
    <mergeCell ref="I66:K66"/>
    <mergeCell ref="L66:M66"/>
    <mergeCell ref="O66:Q66"/>
    <mergeCell ref="T68:V68"/>
    <mergeCell ref="X68:Z68"/>
    <mergeCell ref="A69:B69"/>
    <mergeCell ref="D69:G69"/>
    <mergeCell ref="I69:K69"/>
    <mergeCell ref="L69:M69"/>
    <mergeCell ref="O69:Q69"/>
    <mergeCell ref="T69:V69"/>
    <mergeCell ref="X69:Z69"/>
    <mergeCell ref="A68:B68"/>
    <mergeCell ref="D68:G68"/>
    <mergeCell ref="I68:K68"/>
    <mergeCell ref="L68:M68"/>
    <mergeCell ref="O68:Q68"/>
    <mergeCell ref="T70:V70"/>
    <mergeCell ref="X70:Z70"/>
    <mergeCell ref="A71:B71"/>
    <mergeCell ref="D71:G71"/>
    <mergeCell ref="I71:K71"/>
    <mergeCell ref="L71:M71"/>
    <mergeCell ref="O71:Q71"/>
    <mergeCell ref="T71:V71"/>
    <mergeCell ref="X71:Z71"/>
    <mergeCell ref="A70:B70"/>
    <mergeCell ref="D70:G70"/>
    <mergeCell ref="I70:K70"/>
    <mergeCell ref="L70:M70"/>
    <mergeCell ref="O70:Q70"/>
    <mergeCell ref="T72:V72"/>
    <mergeCell ref="X72:Z72"/>
    <mergeCell ref="A73:B73"/>
    <mergeCell ref="D73:G73"/>
    <mergeCell ref="I73:K73"/>
    <mergeCell ref="L73:M73"/>
    <mergeCell ref="O73:Q73"/>
    <mergeCell ref="T73:V73"/>
    <mergeCell ref="X73:Z73"/>
    <mergeCell ref="A72:B72"/>
    <mergeCell ref="D72:G72"/>
    <mergeCell ref="I72:K72"/>
    <mergeCell ref="L72:M72"/>
    <mergeCell ref="O72:Q72"/>
    <mergeCell ref="T74:V74"/>
    <mergeCell ref="X74:Z74"/>
    <mergeCell ref="A75:B75"/>
    <mergeCell ref="D75:G75"/>
    <mergeCell ref="I75:K75"/>
    <mergeCell ref="L75:M75"/>
    <mergeCell ref="O75:Q75"/>
    <mergeCell ref="T75:V75"/>
    <mergeCell ref="X75:Z75"/>
    <mergeCell ref="A74:B74"/>
    <mergeCell ref="D74:G74"/>
    <mergeCell ref="I74:K74"/>
    <mergeCell ref="L74:M74"/>
    <mergeCell ref="O74:Q74"/>
    <mergeCell ref="T76:V76"/>
    <mergeCell ref="X76:Z76"/>
    <mergeCell ref="A77:B77"/>
    <mergeCell ref="D77:G77"/>
    <mergeCell ref="I77:K77"/>
    <mergeCell ref="L77:M77"/>
    <mergeCell ref="O77:Q77"/>
    <mergeCell ref="T77:V77"/>
    <mergeCell ref="X77:Z77"/>
    <mergeCell ref="A76:B76"/>
    <mergeCell ref="D76:G76"/>
    <mergeCell ref="I76:K76"/>
    <mergeCell ref="L76:M76"/>
    <mergeCell ref="O76:Q76"/>
    <mergeCell ref="T78:V78"/>
    <mergeCell ref="X78:Z78"/>
    <mergeCell ref="A79:B79"/>
    <mergeCell ref="D79:G79"/>
    <mergeCell ref="I79:K79"/>
    <mergeCell ref="L79:M79"/>
    <mergeCell ref="O79:Q79"/>
    <mergeCell ref="T79:V79"/>
    <mergeCell ref="X79:Z79"/>
    <mergeCell ref="A78:B78"/>
    <mergeCell ref="D78:G78"/>
    <mergeCell ref="I78:K78"/>
    <mergeCell ref="L78:M78"/>
    <mergeCell ref="O78:Q78"/>
    <mergeCell ref="T80:V80"/>
    <mergeCell ref="X80:Z80"/>
    <mergeCell ref="A81:B81"/>
    <mergeCell ref="D81:G81"/>
    <mergeCell ref="I81:K81"/>
    <mergeCell ref="L81:M81"/>
    <mergeCell ref="O81:Q81"/>
    <mergeCell ref="T81:V81"/>
    <mergeCell ref="X81:Z81"/>
    <mergeCell ref="A80:B80"/>
    <mergeCell ref="D80:G80"/>
    <mergeCell ref="I80:K80"/>
    <mergeCell ref="L80:M80"/>
    <mergeCell ref="O80:Q80"/>
    <mergeCell ref="T82:V82"/>
    <mergeCell ref="X82:Z82"/>
    <mergeCell ref="A83:B83"/>
    <mergeCell ref="D83:G83"/>
    <mergeCell ref="I83:K83"/>
    <mergeCell ref="L83:M83"/>
    <mergeCell ref="O83:Q83"/>
    <mergeCell ref="T83:V83"/>
    <mergeCell ref="X83:Z83"/>
    <mergeCell ref="A82:B82"/>
    <mergeCell ref="D82:G82"/>
    <mergeCell ref="I82:K82"/>
    <mergeCell ref="L82:M82"/>
    <mergeCell ref="O82:Q82"/>
    <mergeCell ref="T84:V84"/>
    <mergeCell ref="X84:Z84"/>
    <mergeCell ref="A85:B85"/>
    <mergeCell ref="D85:G85"/>
    <mergeCell ref="I85:K85"/>
    <mergeCell ref="L85:M85"/>
    <mergeCell ref="O85:Q85"/>
    <mergeCell ref="T85:V85"/>
    <mergeCell ref="X85:Z85"/>
    <mergeCell ref="A84:B84"/>
    <mergeCell ref="D84:G84"/>
    <mergeCell ref="I84:K84"/>
    <mergeCell ref="L84:M84"/>
    <mergeCell ref="O84:Q84"/>
    <mergeCell ref="T86:V86"/>
    <mergeCell ref="X86:Z86"/>
    <mergeCell ref="A87:B87"/>
    <mergeCell ref="D87:G87"/>
    <mergeCell ref="I87:K87"/>
    <mergeCell ref="L87:M87"/>
    <mergeCell ref="O87:Q87"/>
    <mergeCell ref="T87:V87"/>
    <mergeCell ref="X87:Z87"/>
    <mergeCell ref="A86:B86"/>
    <mergeCell ref="D86:G86"/>
    <mergeCell ref="I86:K86"/>
    <mergeCell ref="L86:M86"/>
    <mergeCell ref="O86:Q86"/>
    <mergeCell ref="T88:V88"/>
    <mergeCell ref="X88:Z88"/>
    <mergeCell ref="A89:B89"/>
    <mergeCell ref="D89:G89"/>
    <mergeCell ref="I89:K89"/>
    <mergeCell ref="L89:M89"/>
    <mergeCell ref="O89:Q89"/>
    <mergeCell ref="T89:V89"/>
    <mergeCell ref="X89:Z89"/>
    <mergeCell ref="A88:B88"/>
    <mergeCell ref="D88:G88"/>
    <mergeCell ref="I88:K88"/>
    <mergeCell ref="L88:M88"/>
    <mergeCell ref="O88:Q88"/>
    <mergeCell ref="T90:V90"/>
    <mergeCell ref="X90:Z90"/>
    <mergeCell ref="A91:B91"/>
    <mergeCell ref="D91:G91"/>
    <mergeCell ref="I91:K91"/>
    <mergeCell ref="L91:M91"/>
    <mergeCell ref="O91:Q91"/>
    <mergeCell ref="T91:V91"/>
    <mergeCell ref="X91:Z91"/>
    <mergeCell ref="A90:B90"/>
    <mergeCell ref="D90:G90"/>
    <mergeCell ref="I90:K90"/>
    <mergeCell ref="L90:M90"/>
    <mergeCell ref="O90:Q90"/>
    <mergeCell ref="T92:V92"/>
    <mergeCell ref="X92:Z92"/>
    <mergeCell ref="A93:B93"/>
    <mergeCell ref="D93:G93"/>
    <mergeCell ref="I93:K93"/>
    <mergeCell ref="L93:M93"/>
    <mergeCell ref="O93:Q93"/>
    <mergeCell ref="T93:V93"/>
    <mergeCell ref="X93:Z93"/>
    <mergeCell ref="A92:B92"/>
    <mergeCell ref="D92:G92"/>
    <mergeCell ref="I92:K92"/>
    <mergeCell ref="L92:M92"/>
    <mergeCell ref="O92:Q92"/>
    <mergeCell ref="T94:V94"/>
    <mergeCell ref="X94:Z94"/>
    <mergeCell ref="A95:B95"/>
    <mergeCell ref="D95:G95"/>
    <mergeCell ref="I95:K95"/>
    <mergeCell ref="L95:M95"/>
    <mergeCell ref="O95:Q95"/>
    <mergeCell ref="T95:V95"/>
    <mergeCell ref="X95:Z95"/>
    <mergeCell ref="A94:B94"/>
    <mergeCell ref="D94:G94"/>
    <mergeCell ref="I94:K94"/>
    <mergeCell ref="L94:M94"/>
    <mergeCell ref="O94:Q94"/>
    <mergeCell ref="T96:V96"/>
    <mergeCell ref="X96:Z96"/>
    <mergeCell ref="A97:B97"/>
    <mergeCell ref="D97:G97"/>
    <mergeCell ref="I97:K97"/>
    <mergeCell ref="L97:M97"/>
    <mergeCell ref="O97:Q97"/>
    <mergeCell ref="T97:V97"/>
    <mergeCell ref="X97:Z97"/>
    <mergeCell ref="A96:B96"/>
    <mergeCell ref="D96:G96"/>
    <mergeCell ref="I96:K96"/>
    <mergeCell ref="L96:M96"/>
    <mergeCell ref="O96:Q96"/>
    <mergeCell ref="T98:V98"/>
    <mergeCell ref="X98:Z98"/>
    <mergeCell ref="A99:B99"/>
    <mergeCell ref="D99:G99"/>
    <mergeCell ref="I99:K99"/>
    <mergeCell ref="L99:M99"/>
    <mergeCell ref="O99:Q99"/>
    <mergeCell ref="T99:V99"/>
    <mergeCell ref="X99:Z99"/>
    <mergeCell ref="A98:B98"/>
    <mergeCell ref="D98:G98"/>
    <mergeCell ref="I98:K98"/>
    <mergeCell ref="L98:M98"/>
    <mergeCell ref="O98:Q98"/>
    <mergeCell ref="T100:V100"/>
    <mergeCell ref="X100:Z100"/>
    <mergeCell ref="A101:G101"/>
    <mergeCell ref="H101:K101"/>
    <mergeCell ref="L101:M101"/>
    <mergeCell ref="O101:Q101"/>
    <mergeCell ref="T101:V101"/>
    <mergeCell ref="X101:Z101"/>
    <mergeCell ref="A100:B100"/>
    <mergeCell ref="D100:G100"/>
    <mergeCell ref="I100:K100"/>
    <mergeCell ref="L100:M100"/>
    <mergeCell ref="O100:Q100"/>
  </mergeCells>
  <hyperlinks>
    <hyperlink ref="C10" r:id="rId1" xr:uid="{00000000-0004-0000-0000-000000000000}"/>
    <hyperlink ref="D16" r:id="rId2" xr:uid="{00000000-0004-0000-0000-000001000000}"/>
    <hyperlink ref="D17" r:id="rId3" xr:uid="{00000000-0004-0000-0000-000002000000}"/>
    <hyperlink ref="D18" r:id="rId4" xr:uid="{00000000-0004-0000-0000-000003000000}"/>
    <hyperlink ref="D19" r:id="rId5" xr:uid="{00000000-0004-0000-0000-000004000000}"/>
    <hyperlink ref="D20" r:id="rId6" xr:uid="{00000000-0004-0000-0000-000005000000}"/>
    <hyperlink ref="D21" r:id="rId7" xr:uid="{00000000-0004-0000-0000-000006000000}"/>
    <hyperlink ref="D22" r:id="rId8" xr:uid="{00000000-0004-0000-0000-000007000000}"/>
    <hyperlink ref="D23" r:id="rId9" xr:uid="{00000000-0004-0000-0000-000008000000}"/>
    <hyperlink ref="D24" r:id="rId10" xr:uid="{00000000-0004-0000-0000-000009000000}"/>
    <hyperlink ref="D25" r:id="rId11" xr:uid="{00000000-0004-0000-0000-00000A000000}"/>
    <hyperlink ref="D26" r:id="rId12" xr:uid="{00000000-0004-0000-0000-00000B000000}"/>
    <hyperlink ref="D27" r:id="rId13" xr:uid="{00000000-0004-0000-0000-00000C000000}"/>
    <hyperlink ref="D28" r:id="rId14" xr:uid="{00000000-0004-0000-0000-00000D000000}"/>
    <hyperlink ref="D29" r:id="rId15" xr:uid="{00000000-0004-0000-0000-00000E000000}"/>
    <hyperlink ref="D30" r:id="rId16" xr:uid="{00000000-0004-0000-0000-00000F000000}"/>
    <hyperlink ref="D31" r:id="rId17" xr:uid="{00000000-0004-0000-0000-000010000000}"/>
    <hyperlink ref="D32" r:id="rId18" xr:uid="{00000000-0004-0000-0000-000011000000}"/>
    <hyperlink ref="D33" r:id="rId19" xr:uid="{00000000-0004-0000-0000-000012000000}"/>
    <hyperlink ref="D34" r:id="rId20" xr:uid="{00000000-0004-0000-0000-000013000000}"/>
    <hyperlink ref="D35" r:id="rId21" xr:uid="{00000000-0004-0000-0000-000014000000}"/>
    <hyperlink ref="D36" r:id="rId22" xr:uid="{00000000-0004-0000-0000-000015000000}"/>
    <hyperlink ref="D37" r:id="rId23" xr:uid="{00000000-0004-0000-0000-000016000000}"/>
    <hyperlink ref="D38" r:id="rId24" xr:uid="{00000000-0004-0000-0000-000017000000}"/>
    <hyperlink ref="D39" r:id="rId25" xr:uid="{00000000-0004-0000-0000-000018000000}"/>
    <hyperlink ref="D40" r:id="rId26" xr:uid="{00000000-0004-0000-0000-000019000000}"/>
    <hyperlink ref="D41" r:id="rId27" xr:uid="{00000000-0004-0000-0000-00001A000000}"/>
    <hyperlink ref="D42" r:id="rId28" xr:uid="{00000000-0004-0000-0000-00001B000000}"/>
    <hyperlink ref="D43" r:id="rId29" xr:uid="{00000000-0004-0000-0000-00001C000000}"/>
    <hyperlink ref="D44" r:id="rId30" xr:uid="{00000000-0004-0000-0000-00001D000000}"/>
    <hyperlink ref="D45" r:id="rId31" xr:uid="{00000000-0004-0000-0000-00001E000000}"/>
    <hyperlink ref="D46" r:id="rId32" xr:uid="{00000000-0004-0000-0000-00001F000000}"/>
    <hyperlink ref="D47" r:id="rId33" xr:uid="{00000000-0004-0000-0000-000020000000}"/>
    <hyperlink ref="D48" r:id="rId34" xr:uid="{00000000-0004-0000-0000-000021000000}"/>
    <hyperlink ref="D49" r:id="rId35" xr:uid="{00000000-0004-0000-0000-000022000000}"/>
    <hyperlink ref="D50" r:id="rId36" xr:uid="{00000000-0004-0000-0000-000023000000}"/>
    <hyperlink ref="D51" r:id="rId37" xr:uid="{00000000-0004-0000-0000-000024000000}"/>
    <hyperlink ref="D52" r:id="rId38" xr:uid="{00000000-0004-0000-0000-000025000000}"/>
    <hyperlink ref="D53" r:id="rId39" xr:uid="{00000000-0004-0000-0000-000026000000}"/>
    <hyperlink ref="D54" r:id="rId40" xr:uid="{00000000-0004-0000-0000-000027000000}"/>
    <hyperlink ref="D55" r:id="rId41" xr:uid="{00000000-0004-0000-0000-000028000000}"/>
    <hyperlink ref="D56" r:id="rId42" xr:uid="{00000000-0004-0000-0000-000029000000}"/>
    <hyperlink ref="D57" r:id="rId43" xr:uid="{00000000-0004-0000-0000-00002A000000}"/>
    <hyperlink ref="D58" r:id="rId44" xr:uid="{00000000-0004-0000-0000-00002B000000}"/>
    <hyperlink ref="D59" r:id="rId45" xr:uid="{00000000-0004-0000-0000-00002C000000}"/>
    <hyperlink ref="D60" r:id="rId46" xr:uid="{00000000-0004-0000-0000-00002D000000}"/>
    <hyperlink ref="D61" r:id="rId47" xr:uid="{00000000-0004-0000-0000-00002E000000}"/>
    <hyperlink ref="D62" r:id="rId48" xr:uid="{00000000-0004-0000-0000-00002F000000}"/>
    <hyperlink ref="D63" r:id="rId49" xr:uid="{00000000-0004-0000-0000-000030000000}"/>
    <hyperlink ref="D64" r:id="rId50" xr:uid="{00000000-0004-0000-0000-000031000000}"/>
    <hyperlink ref="D65" r:id="rId51" xr:uid="{00000000-0004-0000-0000-000032000000}"/>
    <hyperlink ref="D66" r:id="rId52" xr:uid="{00000000-0004-0000-0000-000033000000}"/>
    <hyperlink ref="D67" r:id="rId53" xr:uid="{00000000-0004-0000-0000-000034000000}"/>
    <hyperlink ref="D68" r:id="rId54" xr:uid="{00000000-0004-0000-0000-000035000000}"/>
    <hyperlink ref="D69" r:id="rId55" xr:uid="{00000000-0004-0000-0000-000036000000}"/>
    <hyperlink ref="D70" r:id="rId56" xr:uid="{00000000-0004-0000-0000-000037000000}"/>
    <hyperlink ref="D71" r:id="rId57" xr:uid="{00000000-0004-0000-0000-000038000000}"/>
    <hyperlink ref="D72" r:id="rId58" xr:uid="{00000000-0004-0000-0000-000039000000}"/>
    <hyperlink ref="D73" r:id="rId59" xr:uid="{00000000-0004-0000-0000-00003A000000}"/>
    <hyperlink ref="D74" r:id="rId60" xr:uid="{00000000-0004-0000-0000-00003B000000}"/>
    <hyperlink ref="D75" r:id="rId61" xr:uid="{00000000-0004-0000-0000-00003C000000}"/>
    <hyperlink ref="D76" r:id="rId62" xr:uid="{00000000-0004-0000-0000-00003D000000}"/>
    <hyperlink ref="D77" r:id="rId63" xr:uid="{00000000-0004-0000-0000-00003E000000}"/>
    <hyperlink ref="D78" r:id="rId64" xr:uid="{00000000-0004-0000-0000-00003F000000}"/>
    <hyperlink ref="D79" r:id="rId65" xr:uid="{00000000-0004-0000-0000-000040000000}"/>
    <hyperlink ref="D80" r:id="rId66" xr:uid="{00000000-0004-0000-0000-000041000000}"/>
    <hyperlink ref="D81" r:id="rId67" xr:uid="{00000000-0004-0000-0000-000042000000}"/>
    <hyperlink ref="D82" r:id="rId68" xr:uid="{00000000-0004-0000-0000-000043000000}"/>
    <hyperlink ref="D83" r:id="rId69" xr:uid="{00000000-0004-0000-0000-000044000000}"/>
    <hyperlink ref="D84" r:id="rId70" xr:uid="{00000000-0004-0000-0000-000045000000}"/>
    <hyperlink ref="D85" r:id="rId71" xr:uid="{00000000-0004-0000-0000-000046000000}"/>
    <hyperlink ref="D86" r:id="rId72" xr:uid="{00000000-0004-0000-0000-000047000000}"/>
    <hyperlink ref="D87" r:id="rId73" xr:uid="{00000000-0004-0000-0000-000048000000}"/>
    <hyperlink ref="D88" r:id="rId74" xr:uid="{00000000-0004-0000-0000-000049000000}"/>
    <hyperlink ref="D89" r:id="rId75" xr:uid="{00000000-0004-0000-0000-00004A000000}"/>
    <hyperlink ref="D90" r:id="rId76" xr:uid="{00000000-0004-0000-0000-00004B000000}"/>
    <hyperlink ref="D91" r:id="rId77" xr:uid="{00000000-0004-0000-0000-00004C000000}"/>
    <hyperlink ref="D92" r:id="rId78" xr:uid="{00000000-0004-0000-0000-00004D000000}"/>
    <hyperlink ref="D93" r:id="rId79" xr:uid="{00000000-0004-0000-0000-00004E000000}"/>
    <hyperlink ref="D94" r:id="rId80" xr:uid="{00000000-0004-0000-0000-00004F000000}"/>
    <hyperlink ref="D95" r:id="rId81" xr:uid="{00000000-0004-0000-0000-000050000000}"/>
    <hyperlink ref="D96" r:id="rId82" xr:uid="{00000000-0004-0000-0000-000051000000}"/>
    <hyperlink ref="D97" r:id="rId83" xr:uid="{00000000-0004-0000-0000-000052000000}"/>
    <hyperlink ref="D98" r:id="rId84" xr:uid="{00000000-0004-0000-0000-000053000000}"/>
    <hyperlink ref="D99" r:id="rId85" xr:uid="{00000000-0004-0000-0000-000054000000}"/>
    <hyperlink ref="D100" r:id="rId86" xr:uid="{00000000-0004-0000-0000-000055000000}"/>
  </hyperlinks>
  <pageMargins left="0.25" right="0.25" top="0.25" bottom="0.25" header="0.25" footer="0.25"/>
  <pageSetup paperSize="0" orientation="landscape" horizontalDpi="300" verticalDpi="300"/>
  <headerFooter alignWithMargins="0"/>
  <drawing r:id="rId8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51203-D639-4D19-A990-DE3117B681D5}">
  <dimension ref="A1:Q86"/>
  <sheetViews>
    <sheetView tabSelected="1" topLeftCell="A46" workbookViewId="0">
      <selection activeCell="O2" sqref="O2:O86"/>
    </sheetView>
  </sheetViews>
  <sheetFormatPr defaultColWidth="11.77734375" defaultRowHeight="14.4" x14ac:dyDescent="0.3"/>
  <cols>
    <col min="1" max="1" width="22.109375" style="45" bestFit="1" customWidth="1"/>
    <col min="2" max="2" width="11.77734375" style="45"/>
    <col min="3" max="3" width="13.6640625" style="45" bestFit="1" customWidth="1"/>
    <col min="4" max="16384" width="11.77734375" style="45"/>
  </cols>
  <sheetData>
    <row r="1" spans="1:17" ht="14.4" customHeight="1" x14ac:dyDescent="0.3">
      <c r="A1" s="43" t="s">
        <v>16</v>
      </c>
      <c r="B1" s="43" t="s">
        <v>4</v>
      </c>
      <c r="C1" s="43"/>
      <c r="D1" s="43" t="s">
        <v>17</v>
      </c>
      <c r="E1" s="43" t="s">
        <v>18</v>
      </c>
      <c r="F1" s="43" t="s">
        <v>19</v>
      </c>
      <c r="G1" s="43" t="s">
        <v>20</v>
      </c>
      <c r="H1" s="44" t="s">
        <v>21</v>
      </c>
      <c r="I1" s="44" t="s">
        <v>22</v>
      </c>
      <c r="J1" s="44" t="s">
        <v>23</v>
      </c>
      <c r="K1" s="44" t="s">
        <v>24</v>
      </c>
      <c r="L1" s="44" t="s">
        <v>25</v>
      </c>
      <c r="M1" s="44" t="s">
        <v>26</v>
      </c>
    </row>
    <row r="2" spans="1:17" ht="14.4" customHeight="1" x14ac:dyDescent="0.3">
      <c r="A2" s="46" t="s">
        <v>27</v>
      </c>
      <c r="B2" s="47" t="s">
        <v>253</v>
      </c>
      <c r="C2" s="47" t="str">
        <f>CONCATENATE(B2,1)</f>
        <v>A90039210001</v>
      </c>
      <c r="D2" s="50">
        <v>46023</v>
      </c>
      <c r="E2" s="46" t="s">
        <v>11</v>
      </c>
      <c r="F2" s="46" t="s">
        <v>30</v>
      </c>
      <c r="G2" s="46" t="s">
        <v>31</v>
      </c>
      <c r="H2" s="46" t="s">
        <v>32</v>
      </c>
      <c r="I2" s="48">
        <v>28.92</v>
      </c>
      <c r="J2" s="46">
        <v>1</v>
      </c>
      <c r="K2" s="46">
        <v>0</v>
      </c>
      <c r="L2" s="48">
        <v>0</v>
      </c>
      <c r="M2" s="48">
        <v>28.92</v>
      </c>
      <c r="N2" s="45" t="s">
        <v>249</v>
      </c>
      <c r="O2" s="45" t="s">
        <v>250</v>
      </c>
      <c r="P2" s="45" t="s">
        <v>252</v>
      </c>
      <c r="Q2" s="45">
        <v>16170994</v>
      </c>
    </row>
    <row r="3" spans="1:17" ht="14.4" customHeight="1" x14ac:dyDescent="0.3">
      <c r="A3" s="46" t="s">
        <v>33</v>
      </c>
      <c r="B3" s="47" t="s">
        <v>254</v>
      </c>
      <c r="C3" s="47" t="str">
        <f t="shared" ref="C3:C66" si="0">CONCATENATE(B3,1)</f>
        <v>A90012299001</v>
      </c>
      <c r="D3" s="50">
        <v>46023</v>
      </c>
      <c r="E3" s="46" t="s">
        <v>11</v>
      </c>
      <c r="F3" s="46" t="s">
        <v>30</v>
      </c>
      <c r="G3" s="46" t="s">
        <v>31</v>
      </c>
      <c r="H3" s="46" t="s">
        <v>32</v>
      </c>
      <c r="I3" s="48">
        <v>28.92</v>
      </c>
      <c r="J3" s="46">
        <v>1</v>
      </c>
      <c r="K3" s="46">
        <v>0</v>
      </c>
      <c r="L3" s="48">
        <v>0</v>
      </c>
      <c r="M3" s="48">
        <v>28.92</v>
      </c>
      <c r="N3" s="45" t="s">
        <v>249</v>
      </c>
      <c r="O3" s="45" t="s">
        <v>250</v>
      </c>
      <c r="P3" s="45" t="s">
        <v>252</v>
      </c>
      <c r="Q3" s="45">
        <v>16170994</v>
      </c>
    </row>
    <row r="4" spans="1:17" ht="14.4" customHeight="1" x14ac:dyDescent="0.3">
      <c r="A4" s="46" t="s">
        <v>35</v>
      </c>
      <c r="B4" s="47" t="s">
        <v>255</v>
      </c>
      <c r="C4" s="47" t="str">
        <f t="shared" si="0"/>
        <v>A90039995001</v>
      </c>
      <c r="D4" s="50">
        <v>46054</v>
      </c>
      <c r="E4" s="46" t="s">
        <v>11</v>
      </c>
      <c r="F4" s="46" t="s">
        <v>38</v>
      </c>
      <c r="G4" s="46" t="s">
        <v>31</v>
      </c>
      <c r="H4" s="46" t="s">
        <v>32</v>
      </c>
      <c r="I4" s="48">
        <v>28.92</v>
      </c>
      <c r="J4" s="46">
        <v>1</v>
      </c>
      <c r="K4" s="46">
        <v>0</v>
      </c>
      <c r="L4" s="48">
        <v>0</v>
      </c>
      <c r="M4" s="48">
        <v>28.92</v>
      </c>
      <c r="N4" s="45" t="s">
        <v>249</v>
      </c>
      <c r="O4" s="45" t="s">
        <v>250</v>
      </c>
      <c r="P4" s="45" t="s">
        <v>252</v>
      </c>
      <c r="Q4" s="45">
        <v>16170994</v>
      </c>
    </row>
    <row r="5" spans="1:17" ht="14.4" customHeight="1" x14ac:dyDescent="0.3">
      <c r="A5" s="46" t="s">
        <v>39</v>
      </c>
      <c r="B5" s="47" t="s">
        <v>256</v>
      </c>
      <c r="C5" s="47" t="str">
        <f t="shared" si="0"/>
        <v>A90031195001</v>
      </c>
      <c r="D5" s="50">
        <v>46023</v>
      </c>
      <c r="E5" s="46" t="s">
        <v>11</v>
      </c>
      <c r="F5" s="46" t="s">
        <v>41</v>
      </c>
      <c r="G5" s="46" t="s">
        <v>31</v>
      </c>
      <c r="H5" s="46" t="s">
        <v>32</v>
      </c>
      <c r="I5" s="48">
        <v>28.92</v>
      </c>
      <c r="J5" s="46">
        <v>1</v>
      </c>
      <c r="K5" s="46">
        <v>0</v>
      </c>
      <c r="L5" s="48">
        <v>0</v>
      </c>
      <c r="M5" s="48">
        <v>28.92</v>
      </c>
      <c r="N5" s="45" t="s">
        <v>249</v>
      </c>
      <c r="O5" s="45" t="s">
        <v>250</v>
      </c>
      <c r="P5" s="45" t="s">
        <v>252</v>
      </c>
      <c r="Q5" s="45">
        <v>16170994</v>
      </c>
    </row>
    <row r="6" spans="1:17" ht="14.4" customHeight="1" x14ac:dyDescent="0.3">
      <c r="A6" s="46" t="s">
        <v>42</v>
      </c>
      <c r="B6" s="47" t="s">
        <v>257</v>
      </c>
      <c r="C6" s="47" t="str">
        <f t="shared" si="0"/>
        <v>A90031194001</v>
      </c>
      <c r="D6" s="50">
        <v>46023</v>
      </c>
      <c r="E6" s="46" t="s">
        <v>11</v>
      </c>
      <c r="F6" s="46" t="s">
        <v>41</v>
      </c>
      <c r="G6" s="46" t="s">
        <v>31</v>
      </c>
      <c r="H6" s="46" t="s">
        <v>32</v>
      </c>
      <c r="I6" s="48">
        <v>28.92</v>
      </c>
      <c r="J6" s="46">
        <v>1</v>
      </c>
      <c r="K6" s="46">
        <v>0</v>
      </c>
      <c r="L6" s="48">
        <v>0</v>
      </c>
      <c r="M6" s="48">
        <v>28.92</v>
      </c>
      <c r="N6" s="45" t="s">
        <v>249</v>
      </c>
      <c r="O6" s="45" t="s">
        <v>250</v>
      </c>
      <c r="P6" s="45" t="s">
        <v>252</v>
      </c>
      <c r="Q6" s="45">
        <v>16170994</v>
      </c>
    </row>
    <row r="7" spans="1:17" ht="14.4" customHeight="1" x14ac:dyDescent="0.3">
      <c r="A7" s="46" t="s">
        <v>44</v>
      </c>
      <c r="B7" s="47" t="s">
        <v>258</v>
      </c>
      <c r="C7" s="47" t="str">
        <f t="shared" si="0"/>
        <v>A90030185001</v>
      </c>
      <c r="D7" s="50">
        <v>46023</v>
      </c>
      <c r="E7" s="46" t="s">
        <v>11</v>
      </c>
      <c r="F7" s="46" t="s">
        <v>46</v>
      </c>
      <c r="G7" s="46" t="s">
        <v>31</v>
      </c>
      <c r="H7" s="46" t="s">
        <v>32</v>
      </c>
      <c r="I7" s="48">
        <v>28.92</v>
      </c>
      <c r="J7" s="46">
        <v>1</v>
      </c>
      <c r="K7" s="46">
        <v>0</v>
      </c>
      <c r="L7" s="48">
        <v>0</v>
      </c>
      <c r="M7" s="48">
        <v>28.92</v>
      </c>
      <c r="N7" s="45" t="s">
        <v>249</v>
      </c>
      <c r="O7" s="45" t="s">
        <v>250</v>
      </c>
      <c r="P7" s="45" t="s">
        <v>252</v>
      </c>
      <c r="Q7" s="45">
        <v>16170994</v>
      </c>
    </row>
    <row r="8" spans="1:17" ht="14.4" customHeight="1" x14ac:dyDescent="0.3">
      <c r="A8" s="46" t="s">
        <v>47</v>
      </c>
      <c r="B8" s="47" t="s">
        <v>259</v>
      </c>
      <c r="C8" s="47" t="str">
        <f t="shared" si="0"/>
        <v>A90013106001</v>
      </c>
      <c r="D8" s="50">
        <v>46023</v>
      </c>
      <c r="E8" s="46" t="s">
        <v>11</v>
      </c>
      <c r="F8" s="46" t="s">
        <v>49</v>
      </c>
      <c r="G8" s="46" t="s">
        <v>31</v>
      </c>
      <c r="H8" s="46" t="s">
        <v>32</v>
      </c>
      <c r="I8" s="48">
        <v>28.92</v>
      </c>
      <c r="J8" s="46">
        <v>1</v>
      </c>
      <c r="K8" s="46">
        <v>0</v>
      </c>
      <c r="L8" s="48">
        <v>0</v>
      </c>
      <c r="M8" s="48">
        <v>28.92</v>
      </c>
      <c r="N8" s="45" t="s">
        <v>249</v>
      </c>
      <c r="O8" s="45" t="s">
        <v>250</v>
      </c>
      <c r="P8" s="45" t="s">
        <v>252</v>
      </c>
      <c r="Q8" s="45">
        <v>16170994</v>
      </c>
    </row>
    <row r="9" spans="1:17" ht="14.4" customHeight="1" x14ac:dyDescent="0.3">
      <c r="A9" s="46" t="s">
        <v>50</v>
      </c>
      <c r="B9" s="47" t="s">
        <v>260</v>
      </c>
      <c r="C9" s="47" t="str">
        <f t="shared" si="0"/>
        <v>A90035622001</v>
      </c>
      <c r="D9" s="50">
        <v>46023</v>
      </c>
      <c r="E9" s="46" t="s">
        <v>11</v>
      </c>
      <c r="F9" s="46" t="s">
        <v>52</v>
      </c>
      <c r="G9" s="46" t="s">
        <v>31</v>
      </c>
      <c r="H9" s="46" t="s">
        <v>32</v>
      </c>
      <c r="I9" s="48">
        <v>28.92</v>
      </c>
      <c r="J9" s="46">
        <v>1</v>
      </c>
      <c r="K9" s="46">
        <v>0</v>
      </c>
      <c r="L9" s="48">
        <v>0</v>
      </c>
      <c r="M9" s="48">
        <v>28.92</v>
      </c>
      <c r="N9" s="45" t="s">
        <v>249</v>
      </c>
      <c r="O9" s="45" t="s">
        <v>250</v>
      </c>
      <c r="P9" s="45" t="s">
        <v>252</v>
      </c>
      <c r="Q9" s="45">
        <v>16170994</v>
      </c>
    </row>
    <row r="10" spans="1:17" ht="14.4" customHeight="1" x14ac:dyDescent="0.3">
      <c r="A10" s="46" t="s">
        <v>53</v>
      </c>
      <c r="B10" s="47" t="s">
        <v>261</v>
      </c>
      <c r="C10" s="47" t="str">
        <f t="shared" si="0"/>
        <v>A90035621001</v>
      </c>
      <c r="D10" s="50">
        <v>46023</v>
      </c>
      <c r="E10" s="46" t="s">
        <v>11</v>
      </c>
      <c r="F10" s="46" t="s">
        <v>52</v>
      </c>
      <c r="G10" s="46" t="s">
        <v>31</v>
      </c>
      <c r="H10" s="46" t="s">
        <v>32</v>
      </c>
      <c r="I10" s="48">
        <v>28.92</v>
      </c>
      <c r="J10" s="46">
        <v>1</v>
      </c>
      <c r="K10" s="46">
        <v>0</v>
      </c>
      <c r="L10" s="48">
        <v>0</v>
      </c>
      <c r="M10" s="48">
        <v>28.92</v>
      </c>
      <c r="N10" s="45" t="s">
        <v>249</v>
      </c>
      <c r="O10" s="45" t="s">
        <v>250</v>
      </c>
      <c r="P10" s="45" t="s">
        <v>252</v>
      </c>
      <c r="Q10" s="45">
        <v>16170994</v>
      </c>
    </row>
    <row r="11" spans="1:17" ht="14.4" customHeight="1" x14ac:dyDescent="0.3">
      <c r="A11" s="46" t="s">
        <v>55</v>
      </c>
      <c r="B11" s="47" t="s">
        <v>262</v>
      </c>
      <c r="C11" s="47" t="str">
        <f t="shared" si="0"/>
        <v>A90032032001</v>
      </c>
      <c r="D11" s="50">
        <v>46023</v>
      </c>
      <c r="E11" s="46" t="s">
        <v>11</v>
      </c>
      <c r="F11" s="46" t="s">
        <v>57</v>
      </c>
      <c r="G11" s="46" t="s">
        <v>31</v>
      </c>
      <c r="H11" s="46" t="s">
        <v>32</v>
      </c>
      <c r="I11" s="48">
        <v>28.92</v>
      </c>
      <c r="J11" s="46">
        <v>1</v>
      </c>
      <c r="K11" s="46">
        <v>0</v>
      </c>
      <c r="L11" s="48">
        <v>0</v>
      </c>
      <c r="M11" s="48">
        <v>28.92</v>
      </c>
      <c r="N11" s="45" t="s">
        <v>249</v>
      </c>
      <c r="O11" s="45" t="s">
        <v>250</v>
      </c>
      <c r="P11" s="45" t="s">
        <v>252</v>
      </c>
      <c r="Q11" s="45">
        <v>16170994</v>
      </c>
    </row>
    <row r="12" spans="1:17" ht="14.4" customHeight="1" x14ac:dyDescent="0.3">
      <c r="A12" s="46" t="s">
        <v>58</v>
      </c>
      <c r="B12" s="47" t="s">
        <v>263</v>
      </c>
      <c r="C12" s="47" t="str">
        <f t="shared" si="0"/>
        <v>A90011832001</v>
      </c>
      <c r="D12" s="50">
        <v>46023</v>
      </c>
      <c r="E12" s="46" t="s">
        <v>11</v>
      </c>
      <c r="F12" s="46" t="s">
        <v>60</v>
      </c>
      <c r="G12" s="46" t="s">
        <v>61</v>
      </c>
      <c r="H12" s="46" t="s">
        <v>32</v>
      </c>
      <c r="I12" s="48">
        <v>28.92</v>
      </c>
      <c r="J12" s="46">
        <v>1</v>
      </c>
      <c r="K12" s="46">
        <v>0</v>
      </c>
      <c r="L12" s="48">
        <v>0</v>
      </c>
      <c r="M12" s="48">
        <v>28.92</v>
      </c>
      <c r="N12" s="45" t="s">
        <v>249</v>
      </c>
      <c r="O12" s="45" t="s">
        <v>250</v>
      </c>
      <c r="P12" s="45" t="s">
        <v>252</v>
      </c>
      <c r="Q12" s="45">
        <v>16170994</v>
      </c>
    </row>
    <row r="13" spans="1:17" ht="14.4" customHeight="1" x14ac:dyDescent="0.3">
      <c r="A13" s="46" t="s">
        <v>62</v>
      </c>
      <c r="B13" s="47" t="s">
        <v>264</v>
      </c>
      <c r="C13" s="47" t="str">
        <f t="shared" si="0"/>
        <v>A90011833001</v>
      </c>
      <c r="D13" s="50">
        <v>46023</v>
      </c>
      <c r="E13" s="46" t="s">
        <v>11</v>
      </c>
      <c r="F13" s="46" t="s">
        <v>60</v>
      </c>
      <c r="G13" s="46" t="s">
        <v>61</v>
      </c>
      <c r="H13" s="46" t="s">
        <v>32</v>
      </c>
      <c r="I13" s="48">
        <v>28.92</v>
      </c>
      <c r="J13" s="46">
        <v>1</v>
      </c>
      <c r="K13" s="46">
        <v>0</v>
      </c>
      <c r="L13" s="48">
        <v>0</v>
      </c>
      <c r="M13" s="48">
        <v>28.92</v>
      </c>
      <c r="N13" s="45" t="s">
        <v>249</v>
      </c>
      <c r="O13" s="45" t="s">
        <v>250</v>
      </c>
      <c r="P13" s="45" t="s">
        <v>252</v>
      </c>
      <c r="Q13" s="45">
        <v>16170994</v>
      </c>
    </row>
    <row r="14" spans="1:17" ht="14.4" customHeight="1" x14ac:dyDescent="0.3">
      <c r="A14" s="46" t="s">
        <v>64</v>
      </c>
      <c r="B14" s="47" t="s">
        <v>265</v>
      </c>
      <c r="C14" s="47" t="str">
        <f t="shared" si="0"/>
        <v>A90031585001</v>
      </c>
      <c r="D14" s="50">
        <v>46023</v>
      </c>
      <c r="E14" s="46" t="s">
        <v>11</v>
      </c>
      <c r="F14" s="46" t="s">
        <v>66</v>
      </c>
      <c r="G14" s="46" t="s">
        <v>31</v>
      </c>
      <c r="H14" s="46" t="s">
        <v>32</v>
      </c>
      <c r="I14" s="48">
        <v>28.92</v>
      </c>
      <c r="J14" s="46">
        <v>1</v>
      </c>
      <c r="K14" s="46">
        <v>0</v>
      </c>
      <c r="L14" s="48">
        <v>0</v>
      </c>
      <c r="M14" s="48">
        <v>28.92</v>
      </c>
      <c r="N14" s="45" t="s">
        <v>249</v>
      </c>
      <c r="O14" s="45" t="s">
        <v>250</v>
      </c>
      <c r="P14" s="45" t="s">
        <v>252</v>
      </c>
      <c r="Q14" s="45">
        <v>16170994</v>
      </c>
    </row>
    <row r="15" spans="1:17" ht="14.4" customHeight="1" x14ac:dyDescent="0.3">
      <c r="A15" s="46" t="s">
        <v>67</v>
      </c>
      <c r="B15" s="47" t="s">
        <v>266</v>
      </c>
      <c r="C15" s="47" t="str">
        <f t="shared" si="0"/>
        <v>A90031587001</v>
      </c>
      <c r="D15" s="50">
        <v>46023</v>
      </c>
      <c r="E15" s="46" t="s">
        <v>11</v>
      </c>
      <c r="F15" s="46" t="s">
        <v>66</v>
      </c>
      <c r="G15" s="46" t="s">
        <v>31</v>
      </c>
      <c r="H15" s="46" t="s">
        <v>32</v>
      </c>
      <c r="I15" s="48">
        <v>28.92</v>
      </c>
      <c r="J15" s="46">
        <v>1</v>
      </c>
      <c r="K15" s="46">
        <v>0</v>
      </c>
      <c r="L15" s="48">
        <v>0</v>
      </c>
      <c r="M15" s="48">
        <v>28.92</v>
      </c>
      <c r="N15" s="45" t="s">
        <v>249</v>
      </c>
      <c r="O15" s="45" t="s">
        <v>250</v>
      </c>
      <c r="P15" s="45" t="s">
        <v>252</v>
      </c>
      <c r="Q15" s="45">
        <v>16170994</v>
      </c>
    </row>
    <row r="16" spans="1:17" ht="14.4" customHeight="1" x14ac:dyDescent="0.3">
      <c r="A16" s="46" t="s">
        <v>69</v>
      </c>
      <c r="B16" s="47" t="s">
        <v>267</v>
      </c>
      <c r="C16" s="47" t="str">
        <f t="shared" si="0"/>
        <v>A00516081001</v>
      </c>
      <c r="D16" s="50">
        <v>46023</v>
      </c>
      <c r="E16" s="46" t="s">
        <v>11</v>
      </c>
      <c r="F16" s="46" t="s">
        <v>71</v>
      </c>
      <c r="G16" s="46" t="s">
        <v>31</v>
      </c>
      <c r="H16" s="46" t="s">
        <v>32</v>
      </c>
      <c r="I16" s="48">
        <v>28.92</v>
      </c>
      <c r="J16" s="46">
        <v>1</v>
      </c>
      <c r="K16" s="46">
        <v>0</v>
      </c>
      <c r="L16" s="48">
        <v>0</v>
      </c>
      <c r="M16" s="48">
        <v>28.92</v>
      </c>
      <c r="N16" s="45" t="s">
        <v>249</v>
      </c>
      <c r="O16" s="45" t="s">
        <v>250</v>
      </c>
      <c r="P16" s="45" t="s">
        <v>252</v>
      </c>
      <c r="Q16" s="45">
        <v>16170994</v>
      </c>
    </row>
    <row r="17" spans="1:17" ht="14.4" customHeight="1" x14ac:dyDescent="0.3">
      <c r="A17" s="46" t="s">
        <v>72</v>
      </c>
      <c r="B17" s="47" t="s">
        <v>268</v>
      </c>
      <c r="C17" s="47" t="str">
        <f t="shared" si="0"/>
        <v>A90014903001</v>
      </c>
      <c r="D17" s="50">
        <v>46023</v>
      </c>
      <c r="E17" s="46" t="s">
        <v>11</v>
      </c>
      <c r="F17" s="46" t="s">
        <v>74</v>
      </c>
      <c r="G17" s="46" t="s">
        <v>31</v>
      </c>
      <c r="H17" s="46" t="s">
        <v>32</v>
      </c>
      <c r="I17" s="48">
        <v>28.92</v>
      </c>
      <c r="J17" s="46">
        <v>1</v>
      </c>
      <c r="K17" s="46">
        <v>0</v>
      </c>
      <c r="L17" s="48">
        <v>0</v>
      </c>
      <c r="M17" s="48">
        <v>28.92</v>
      </c>
      <c r="N17" s="45" t="s">
        <v>249</v>
      </c>
      <c r="O17" s="45" t="s">
        <v>250</v>
      </c>
      <c r="P17" s="45" t="s">
        <v>252</v>
      </c>
      <c r="Q17" s="45">
        <v>16170994</v>
      </c>
    </row>
    <row r="18" spans="1:17" ht="14.4" customHeight="1" x14ac:dyDescent="0.3">
      <c r="A18" s="46" t="s">
        <v>75</v>
      </c>
      <c r="B18" s="47" t="s">
        <v>269</v>
      </c>
      <c r="C18" s="47" t="str">
        <f t="shared" si="0"/>
        <v>A90011058001</v>
      </c>
      <c r="D18" s="50">
        <v>46023</v>
      </c>
      <c r="E18" s="46" t="s">
        <v>11</v>
      </c>
      <c r="F18" s="46" t="s">
        <v>74</v>
      </c>
      <c r="G18" s="46" t="s">
        <v>31</v>
      </c>
      <c r="H18" s="46" t="s">
        <v>32</v>
      </c>
      <c r="I18" s="48">
        <v>28.92</v>
      </c>
      <c r="J18" s="46">
        <v>1</v>
      </c>
      <c r="K18" s="46">
        <v>0</v>
      </c>
      <c r="L18" s="48">
        <v>0</v>
      </c>
      <c r="M18" s="48">
        <v>28.92</v>
      </c>
      <c r="N18" s="45" t="s">
        <v>249</v>
      </c>
      <c r="O18" s="45" t="s">
        <v>250</v>
      </c>
      <c r="P18" s="45" t="s">
        <v>252</v>
      </c>
      <c r="Q18" s="45">
        <v>16170994</v>
      </c>
    </row>
    <row r="19" spans="1:17" ht="14.4" customHeight="1" x14ac:dyDescent="0.3">
      <c r="A19" s="46" t="s">
        <v>77</v>
      </c>
      <c r="B19" s="47" t="s">
        <v>270</v>
      </c>
      <c r="C19" s="47" t="str">
        <f t="shared" si="0"/>
        <v>A90030191001</v>
      </c>
      <c r="D19" s="50">
        <v>46023</v>
      </c>
      <c r="E19" s="46" t="s">
        <v>11</v>
      </c>
      <c r="F19" s="46" t="s">
        <v>46</v>
      </c>
      <c r="G19" s="46" t="s">
        <v>31</v>
      </c>
      <c r="H19" s="46" t="s">
        <v>32</v>
      </c>
      <c r="I19" s="48">
        <v>28.92</v>
      </c>
      <c r="J19" s="46">
        <v>1</v>
      </c>
      <c r="K19" s="46">
        <v>0</v>
      </c>
      <c r="L19" s="48">
        <v>0</v>
      </c>
      <c r="M19" s="48">
        <v>28.92</v>
      </c>
      <c r="N19" s="45" t="s">
        <v>249</v>
      </c>
      <c r="O19" s="45" t="s">
        <v>250</v>
      </c>
      <c r="P19" s="45" t="s">
        <v>252</v>
      </c>
      <c r="Q19" s="45">
        <v>16170994</v>
      </c>
    </row>
    <row r="20" spans="1:17" ht="14.4" customHeight="1" x14ac:dyDescent="0.3">
      <c r="A20" s="46" t="s">
        <v>79</v>
      </c>
      <c r="B20" s="47" t="s">
        <v>271</v>
      </c>
      <c r="C20" s="47" t="str">
        <f t="shared" si="0"/>
        <v>A90032619001</v>
      </c>
      <c r="D20" s="50">
        <v>46023</v>
      </c>
      <c r="E20" s="46" t="s">
        <v>11</v>
      </c>
      <c r="F20" s="46" t="s">
        <v>81</v>
      </c>
      <c r="G20" s="46" t="s">
        <v>31</v>
      </c>
      <c r="H20" s="46" t="s">
        <v>32</v>
      </c>
      <c r="I20" s="48">
        <v>28.92</v>
      </c>
      <c r="J20" s="46">
        <v>1</v>
      </c>
      <c r="K20" s="46">
        <v>0</v>
      </c>
      <c r="L20" s="48">
        <v>0</v>
      </c>
      <c r="M20" s="48">
        <v>28.92</v>
      </c>
      <c r="N20" s="45" t="s">
        <v>249</v>
      </c>
      <c r="O20" s="45" t="s">
        <v>250</v>
      </c>
      <c r="P20" s="45" t="s">
        <v>252</v>
      </c>
      <c r="Q20" s="45">
        <v>16170994</v>
      </c>
    </row>
    <row r="21" spans="1:17" ht="14.4" customHeight="1" x14ac:dyDescent="0.3">
      <c r="A21" s="46" t="s">
        <v>82</v>
      </c>
      <c r="B21" s="47" t="s">
        <v>272</v>
      </c>
      <c r="C21" s="47" t="str">
        <f t="shared" si="0"/>
        <v>A90032621001</v>
      </c>
      <c r="D21" s="50">
        <v>46023</v>
      </c>
      <c r="E21" s="46" t="s">
        <v>11</v>
      </c>
      <c r="F21" s="46" t="s">
        <v>81</v>
      </c>
      <c r="G21" s="46" t="s">
        <v>31</v>
      </c>
      <c r="H21" s="46" t="s">
        <v>32</v>
      </c>
      <c r="I21" s="48">
        <v>28.92</v>
      </c>
      <c r="J21" s="46">
        <v>1</v>
      </c>
      <c r="K21" s="46">
        <v>0</v>
      </c>
      <c r="L21" s="48">
        <v>0</v>
      </c>
      <c r="M21" s="48">
        <v>28.92</v>
      </c>
      <c r="N21" s="45" t="s">
        <v>249</v>
      </c>
      <c r="O21" s="45" t="s">
        <v>250</v>
      </c>
      <c r="P21" s="45" t="s">
        <v>252</v>
      </c>
      <c r="Q21" s="45">
        <v>16170994</v>
      </c>
    </row>
    <row r="22" spans="1:17" ht="14.4" customHeight="1" x14ac:dyDescent="0.3">
      <c r="A22" s="46" t="s">
        <v>84</v>
      </c>
      <c r="B22" s="47" t="s">
        <v>273</v>
      </c>
      <c r="C22" s="47" t="str">
        <f t="shared" si="0"/>
        <v>A90031547001</v>
      </c>
      <c r="D22" s="50">
        <v>46023</v>
      </c>
      <c r="E22" s="46" t="s">
        <v>11</v>
      </c>
      <c r="F22" s="46" t="s">
        <v>66</v>
      </c>
      <c r="G22" s="46" t="s">
        <v>31</v>
      </c>
      <c r="H22" s="46" t="s">
        <v>32</v>
      </c>
      <c r="I22" s="48">
        <v>28.92</v>
      </c>
      <c r="J22" s="46">
        <v>1</v>
      </c>
      <c r="K22" s="46">
        <v>0</v>
      </c>
      <c r="L22" s="48">
        <v>0</v>
      </c>
      <c r="M22" s="48">
        <v>28.92</v>
      </c>
      <c r="N22" s="45" t="s">
        <v>249</v>
      </c>
      <c r="O22" s="45" t="s">
        <v>250</v>
      </c>
      <c r="P22" s="45" t="s">
        <v>252</v>
      </c>
      <c r="Q22" s="45">
        <v>16170994</v>
      </c>
    </row>
    <row r="23" spans="1:17" ht="14.4" customHeight="1" x14ac:dyDescent="0.3">
      <c r="A23" s="46" t="s">
        <v>86</v>
      </c>
      <c r="B23" s="47" t="s">
        <v>274</v>
      </c>
      <c r="C23" s="47" t="str">
        <f t="shared" si="0"/>
        <v>A90011633001</v>
      </c>
      <c r="D23" s="50">
        <v>46023</v>
      </c>
      <c r="E23" s="46" t="s">
        <v>11</v>
      </c>
      <c r="F23" s="46" t="s">
        <v>74</v>
      </c>
      <c r="G23" s="46" t="s">
        <v>31</v>
      </c>
      <c r="H23" s="46" t="s">
        <v>32</v>
      </c>
      <c r="I23" s="48">
        <v>28.92</v>
      </c>
      <c r="J23" s="46">
        <v>1</v>
      </c>
      <c r="K23" s="46">
        <v>0</v>
      </c>
      <c r="L23" s="48">
        <v>0</v>
      </c>
      <c r="M23" s="48">
        <v>28.92</v>
      </c>
      <c r="N23" s="45" t="s">
        <v>249</v>
      </c>
      <c r="O23" s="45" t="s">
        <v>250</v>
      </c>
      <c r="P23" s="45" t="s">
        <v>252</v>
      </c>
      <c r="Q23" s="45">
        <v>16170994</v>
      </c>
    </row>
    <row r="24" spans="1:17" ht="14.4" customHeight="1" x14ac:dyDescent="0.3">
      <c r="A24" s="46" t="s">
        <v>88</v>
      </c>
      <c r="B24" s="47" t="s">
        <v>275</v>
      </c>
      <c r="C24" s="47" t="str">
        <f t="shared" si="0"/>
        <v>A90036760001</v>
      </c>
      <c r="D24" s="50">
        <v>46023</v>
      </c>
      <c r="E24" s="46" t="s">
        <v>11</v>
      </c>
      <c r="F24" s="46" t="s">
        <v>90</v>
      </c>
      <c r="G24" s="46" t="s">
        <v>31</v>
      </c>
      <c r="H24" s="46" t="s">
        <v>32</v>
      </c>
      <c r="I24" s="48">
        <v>28.92</v>
      </c>
      <c r="J24" s="46">
        <v>1</v>
      </c>
      <c r="K24" s="46">
        <v>0</v>
      </c>
      <c r="L24" s="48">
        <v>0</v>
      </c>
      <c r="M24" s="48">
        <v>28.92</v>
      </c>
      <c r="N24" s="45" t="s">
        <v>249</v>
      </c>
      <c r="O24" s="45" t="s">
        <v>250</v>
      </c>
      <c r="P24" s="45" t="s">
        <v>252</v>
      </c>
      <c r="Q24" s="45">
        <v>16170994</v>
      </c>
    </row>
    <row r="25" spans="1:17" ht="14.4" customHeight="1" x14ac:dyDescent="0.3">
      <c r="A25" s="46" t="s">
        <v>91</v>
      </c>
      <c r="B25" s="47" t="s">
        <v>276</v>
      </c>
      <c r="C25" s="47" t="str">
        <f t="shared" si="0"/>
        <v>A90035665001</v>
      </c>
      <c r="D25" s="50">
        <v>46023</v>
      </c>
      <c r="E25" s="46" t="s">
        <v>11</v>
      </c>
      <c r="F25" s="46" t="s">
        <v>52</v>
      </c>
      <c r="G25" s="46" t="s">
        <v>31</v>
      </c>
      <c r="H25" s="46" t="s">
        <v>32</v>
      </c>
      <c r="I25" s="48">
        <v>28.92</v>
      </c>
      <c r="J25" s="46">
        <v>1</v>
      </c>
      <c r="K25" s="46">
        <v>0</v>
      </c>
      <c r="L25" s="48">
        <v>0</v>
      </c>
      <c r="M25" s="48">
        <v>28.92</v>
      </c>
      <c r="N25" s="45" t="s">
        <v>249</v>
      </c>
      <c r="O25" s="45" t="s">
        <v>250</v>
      </c>
      <c r="P25" s="45" t="s">
        <v>252</v>
      </c>
      <c r="Q25" s="45">
        <v>16170994</v>
      </c>
    </row>
    <row r="26" spans="1:17" ht="14.4" customHeight="1" x14ac:dyDescent="0.3">
      <c r="A26" s="46" t="s">
        <v>93</v>
      </c>
      <c r="B26" s="47" t="s">
        <v>277</v>
      </c>
      <c r="C26" s="47" t="str">
        <f t="shared" si="0"/>
        <v>A90031861001</v>
      </c>
      <c r="D26" s="50">
        <v>46023</v>
      </c>
      <c r="E26" s="46" t="s">
        <v>11</v>
      </c>
      <c r="F26" s="46" t="s">
        <v>95</v>
      </c>
      <c r="G26" s="46" t="s">
        <v>31</v>
      </c>
      <c r="H26" s="46" t="s">
        <v>32</v>
      </c>
      <c r="I26" s="48">
        <v>28.92</v>
      </c>
      <c r="J26" s="46">
        <v>1</v>
      </c>
      <c r="K26" s="46">
        <v>0</v>
      </c>
      <c r="L26" s="48">
        <v>0</v>
      </c>
      <c r="M26" s="48">
        <v>28.92</v>
      </c>
      <c r="N26" s="45" t="s">
        <v>249</v>
      </c>
      <c r="O26" s="45" t="s">
        <v>250</v>
      </c>
      <c r="P26" s="45" t="s">
        <v>252</v>
      </c>
      <c r="Q26" s="45">
        <v>16170994</v>
      </c>
    </row>
    <row r="27" spans="1:17" ht="14.4" customHeight="1" x14ac:dyDescent="0.3">
      <c r="A27" s="46" t="s">
        <v>96</v>
      </c>
      <c r="B27" s="47" t="s">
        <v>278</v>
      </c>
      <c r="C27" s="47" t="str">
        <f t="shared" si="0"/>
        <v>A90035148001</v>
      </c>
      <c r="D27" s="50">
        <v>46023</v>
      </c>
      <c r="E27" s="46" t="s">
        <v>11</v>
      </c>
      <c r="F27" s="46" t="s">
        <v>98</v>
      </c>
      <c r="G27" s="46" t="s">
        <v>31</v>
      </c>
      <c r="H27" s="46" t="s">
        <v>32</v>
      </c>
      <c r="I27" s="48">
        <v>28.92</v>
      </c>
      <c r="J27" s="46">
        <v>1</v>
      </c>
      <c r="K27" s="46">
        <v>0</v>
      </c>
      <c r="L27" s="48">
        <v>0</v>
      </c>
      <c r="M27" s="48">
        <v>28.92</v>
      </c>
      <c r="N27" s="45" t="s">
        <v>249</v>
      </c>
      <c r="O27" s="45" t="s">
        <v>250</v>
      </c>
      <c r="P27" s="45" t="s">
        <v>252</v>
      </c>
      <c r="Q27" s="45">
        <v>16170994</v>
      </c>
    </row>
    <row r="28" spans="1:17" ht="14.4" customHeight="1" x14ac:dyDescent="0.3">
      <c r="A28" s="46" t="s">
        <v>99</v>
      </c>
      <c r="B28" s="47" t="s">
        <v>279</v>
      </c>
      <c r="C28" s="47" t="str">
        <f t="shared" si="0"/>
        <v>A90029535001</v>
      </c>
      <c r="D28" s="50">
        <v>46023</v>
      </c>
      <c r="E28" s="46" t="s">
        <v>11</v>
      </c>
      <c r="F28" s="46" t="s">
        <v>101</v>
      </c>
      <c r="G28" s="46" t="s">
        <v>31</v>
      </c>
      <c r="H28" s="46" t="s">
        <v>32</v>
      </c>
      <c r="I28" s="48">
        <v>28.92</v>
      </c>
      <c r="J28" s="46">
        <v>1</v>
      </c>
      <c r="K28" s="46">
        <v>0</v>
      </c>
      <c r="L28" s="48">
        <v>0</v>
      </c>
      <c r="M28" s="48">
        <v>28.92</v>
      </c>
      <c r="N28" s="45" t="s">
        <v>249</v>
      </c>
      <c r="O28" s="45" t="s">
        <v>250</v>
      </c>
      <c r="P28" s="45" t="s">
        <v>252</v>
      </c>
      <c r="Q28" s="45">
        <v>16170994</v>
      </c>
    </row>
    <row r="29" spans="1:17" ht="14.4" customHeight="1" x14ac:dyDescent="0.3">
      <c r="A29" s="46" t="s">
        <v>102</v>
      </c>
      <c r="B29" s="47" t="s">
        <v>280</v>
      </c>
      <c r="C29" s="47" t="str">
        <f t="shared" si="0"/>
        <v>A90030142001</v>
      </c>
      <c r="D29" s="50">
        <v>46023</v>
      </c>
      <c r="E29" s="46" t="s">
        <v>11</v>
      </c>
      <c r="F29" s="46" t="s">
        <v>46</v>
      </c>
      <c r="G29" s="46" t="s">
        <v>31</v>
      </c>
      <c r="H29" s="46" t="s">
        <v>32</v>
      </c>
      <c r="I29" s="48">
        <v>28.92</v>
      </c>
      <c r="J29" s="46">
        <v>1</v>
      </c>
      <c r="K29" s="46">
        <v>0</v>
      </c>
      <c r="L29" s="48">
        <v>0</v>
      </c>
      <c r="M29" s="48">
        <v>28.92</v>
      </c>
      <c r="N29" s="45" t="s">
        <v>249</v>
      </c>
      <c r="O29" s="45" t="s">
        <v>250</v>
      </c>
      <c r="P29" s="45" t="s">
        <v>252</v>
      </c>
      <c r="Q29" s="45">
        <v>16170994</v>
      </c>
    </row>
    <row r="30" spans="1:17" ht="14.4" customHeight="1" x14ac:dyDescent="0.3">
      <c r="A30" s="46" t="s">
        <v>104</v>
      </c>
      <c r="B30" s="47" t="s">
        <v>281</v>
      </c>
      <c r="C30" s="47" t="str">
        <f t="shared" si="0"/>
        <v>A90029854001</v>
      </c>
      <c r="D30" s="50">
        <v>46023</v>
      </c>
      <c r="E30" s="46" t="s">
        <v>11</v>
      </c>
      <c r="F30" s="46" t="s">
        <v>74</v>
      </c>
      <c r="G30" s="46" t="s">
        <v>31</v>
      </c>
      <c r="H30" s="46" t="s">
        <v>32</v>
      </c>
      <c r="I30" s="48">
        <v>28.92</v>
      </c>
      <c r="J30" s="46">
        <v>1</v>
      </c>
      <c r="K30" s="46">
        <v>0</v>
      </c>
      <c r="L30" s="48">
        <v>0</v>
      </c>
      <c r="M30" s="48">
        <v>28.92</v>
      </c>
      <c r="N30" s="45" t="s">
        <v>249</v>
      </c>
      <c r="O30" s="45" t="s">
        <v>250</v>
      </c>
      <c r="P30" s="45" t="s">
        <v>252</v>
      </c>
      <c r="Q30" s="45">
        <v>16170994</v>
      </c>
    </row>
    <row r="31" spans="1:17" ht="14.4" customHeight="1" x14ac:dyDescent="0.3">
      <c r="A31" s="46" t="s">
        <v>106</v>
      </c>
      <c r="B31" s="47" t="s">
        <v>282</v>
      </c>
      <c r="C31" s="47" t="str">
        <f t="shared" si="0"/>
        <v>A90029852001</v>
      </c>
      <c r="D31" s="50">
        <v>46023</v>
      </c>
      <c r="E31" s="46" t="s">
        <v>11</v>
      </c>
      <c r="F31" s="46" t="s">
        <v>74</v>
      </c>
      <c r="G31" s="46" t="s">
        <v>31</v>
      </c>
      <c r="H31" s="46" t="s">
        <v>32</v>
      </c>
      <c r="I31" s="48">
        <v>28.92</v>
      </c>
      <c r="J31" s="46">
        <v>1</v>
      </c>
      <c r="K31" s="46">
        <v>0</v>
      </c>
      <c r="L31" s="48">
        <v>0</v>
      </c>
      <c r="M31" s="48">
        <v>28.92</v>
      </c>
      <c r="N31" s="45" t="s">
        <v>249</v>
      </c>
      <c r="O31" s="45" t="s">
        <v>250</v>
      </c>
      <c r="P31" s="45" t="s">
        <v>252</v>
      </c>
      <c r="Q31" s="45">
        <v>16170994</v>
      </c>
    </row>
    <row r="32" spans="1:17" ht="14.4" customHeight="1" x14ac:dyDescent="0.3">
      <c r="A32" s="46" t="s">
        <v>108</v>
      </c>
      <c r="B32" s="47" t="s">
        <v>283</v>
      </c>
      <c r="C32" s="47" t="str">
        <f t="shared" si="0"/>
        <v>A90026037001</v>
      </c>
      <c r="D32" s="50">
        <v>46023</v>
      </c>
      <c r="E32" s="46" t="s">
        <v>11</v>
      </c>
      <c r="F32" s="46" t="s">
        <v>71</v>
      </c>
      <c r="G32" s="46" t="s">
        <v>31</v>
      </c>
      <c r="H32" s="46" t="s">
        <v>32</v>
      </c>
      <c r="I32" s="48">
        <v>28.92</v>
      </c>
      <c r="J32" s="46">
        <v>1</v>
      </c>
      <c r="K32" s="46">
        <v>0</v>
      </c>
      <c r="L32" s="48">
        <v>0</v>
      </c>
      <c r="M32" s="48">
        <v>28.92</v>
      </c>
      <c r="N32" s="45" t="s">
        <v>249</v>
      </c>
      <c r="O32" s="45" t="s">
        <v>250</v>
      </c>
      <c r="P32" s="45" t="s">
        <v>252</v>
      </c>
      <c r="Q32" s="45">
        <v>16170994</v>
      </c>
    </row>
    <row r="33" spans="1:17" ht="14.4" customHeight="1" x14ac:dyDescent="0.3">
      <c r="A33" s="46" t="s">
        <v>110</v>
      </c>
      <c r="B33" s="47" t="s">
        <v>284</v>
      </c>
      <c r="C33" s="47" t="str">
        <f t="shared" si="0"/>
        <v>A90033874001</v>
      </c>
      <c r="D33" s="50">
        <v>46023</v>
      </c>
      <c r="E33" s="46" t="s">
        <v>11</v>
      </c>
      <c r="F33" s="46" t="s">
        <v>112</v>
      </c>
      <c r="G33" s="46" t="s">
        <v>31</v>
      </c>
      <c r="H33" s="46" t="s">
        <v>32</v>
      </c>
      <c r="I33" s="48">
        <v>28.92</v>
      </c>
      <c r="J33" s="46">
        <v>1</v>
      </c>
      <c r="K33" s="46">
        <v>0</v>
      </c>
      <c r="L33" s="48">
        <v>0</v>
      </c>
      <c r="M33" s="48">
        <v>28.92</v>
      </c>
      <c r="N33" s="45" t="s">
        <v>249</v>
      </c>
      <c r="O33" s="45" t="s">
        <v>250</v>
      </c>
      <c r="P33" s="45" t="s">
        <v>252</v>
      </c>
      <c r="Q33" s="45">
        <v>16170994</v>
      </c>
    </row>
    <row r="34" spans="1:17" ht="14.4" customHeight="1" x14ac:dyDescent="0.3">
      <c r="A34" s="46" t="s">
        <v>113</v>
      </c>
      <c r="B34" s="47" t="s">
        <v>285</v>
      </c>
      <c r="C34" s="47" t="str">
        <f t="shared" si="0"/>
        <v>A90026038001</v>
      </c>
      <c r="D34" s="50">
        <v>46023</v>
      </c>
      <c r="E34" s="46" t="s">
        <v>11</v>
      </c>
      <c r="F34" s="46" t="s">
        <v>71</v>
      </c>
      <c r="G34" s="46" t="s">
        <v>31</v>
      </c>
      <c r="H34" s="46" t="s">
        <v>32</v>
      </c>
      <c r="I34" s="48">
        <v>28.92</v>
      </c>
      <c r="J34" s="46">
        <v>1</v>
      </c>
      <c r="K34" s="46">
        <v>0</v>
      </c>
      <c r="L34" s="48">
        <v>0</v>
      </c>
      <c r="M34" s="48">
        <v>28.92</v>
      </c>
      <c r="N34" s="45" t="s">
        <v>249</v>
      </c>
      <c r="O34" s="45" t="s">
        <v>250</v>
      </c>
      <c r="P34" s="45" t="s">
        <v>252</v>
      </c>
      <c r="Q34" s="45">
        <v>16170994</v>
      </c>
    </row>
    <row r="35" spans="1:17" ht="14.4" customHeight="1" x14ac:dyDescent="0.3">
      <c r="A35" s="46" t="s">
        <v>115</v>
      </c>
      <c r="B35" s="47" t="s">
        <v>286</v>
      </c>
      <c r="C35" s="47" t="str">
        <f t="shared" si="0"/>
        <v>A90031429001</v>
      </c>
      <c r="D35" s="50">
        <v>46023</v>
      </c>
      <c r="E35" s="46" t="s">
        <v>11</v>
      </c>
      <c r="F35" s="46" t="s">
        <v>117</v>
      </c>
      <c r="G35" s="46" t="s">
        <v>31</v>
      </c>
      <c r="H35" s="46" t="s">
        <v>32</v>
      </c>
      <c r="I35" s="48">
        <v>28.92</v>
      </c>
      <c r="J35" s="46">
        <v>1</v>
      </c>
      <c r="K35" s="46">
        <v>0</v>
      </c>
      <c r="L35" s="48">
        <v>0</v>
      </c>
      <c r="M35" s="48">
        <v>28.92</v>
      </c>
      <c r="N35" s="45" t="s">
        <v>249</v>
      </c>
      <c r="O35" s="45" t="s">
        <v>250</v>
      </c>
      <c r="P35" s="45" t="s">
        <v>252</v>
      </c>
      <c r="Q35" s="45">
        <v>16170994</v>
      </c>
    </row>
    <row r="36" spans="1:17" ht="14.4" customHeight="1" x14ac:dyDescent="0.3">
      <c r="A36" s="46" t="s">
        <v>118</v>
      </c>
      <c r="B36" s="47" t="s">
        <v>287</v>
      </c>
      <c r="C36" s="47" t="str">
        <f t="shared" si="0"/>
        <v>A90040322001</v>
      </c>
      <c r="D36" s="50">
        <v>46054</v>
      </c>
      <c r="E36" s="46" t="s">
        <v>11</v>
      </c>
      <c r="F36" s="46" t="s">
        <v>120</v>
      </c>
      <c r="G36" s="46" t="s">
        <v>31</v>
      </c>
      <c r="H36" s="46" t="s">
        <v>32</v>
      </c>
      <c r="I36" s="48">
        <v>28.92</v>
      </c>
      <c r="J36" s="46">
        <v>1</v>
      </c>
      <c r="K36" s="46">
        <v>0</v>
      </c>
      <c r="L36" s="48">
        <v>0</v>
      </c>
      <c r="M36" s="48">
        <v>28.92</v>
      </c>
      <c r="N36" s="45" t="s">
        <v>249</v>
      </c>
      <c r="O36" s="45" t="s">
        <v>250</v>
      </c>
      <c r="P36" s="45" t="s">
        <v>252</v>
      </c>
      <c r="Q36" s="45">
        <v>16170994</v>
      </c>
    </row>
    <row r="37" spans="1:17" ht="14.4" customHeight="1" x14ac:dyDescent="0.3">
      <c r="A37" s="46" t="s">
        <v>121</v>
      </c>
      <c r="B37" s="47" t="s">
        <v>288</v>
      </c>
      <c r="C37" s="47" t="str">
        <f t="shared" si="0"/>
        <v>A90031617001</v>
      </c>
      <c r="D37" s="50">
        <v>46023</v>
      </c>
      <c r="E37" s="46" t="s">
        <v>11</v>
      </c>
      <c r="F37" s="46" t="s">
        <v>66</v>
      </c>
      <c r="G37" s="46" t="s">
        <v>31</v>
      </c>
      <c r="H37" s="46" t="s">
        <v>32</v>
      </c>
      <c r="I37" s="48">
        <v>28.92</v>
      </c>
      <c r="J37" s="46">
        <v>1</v>
      </c>
      <c r="K37" s="46">
        <v>0</v>
      </c>
      <c r="L37" s="48">
        <v>0</v>
      </c>
      <c r="M37" s="48">
        <v>28.92</v>
      </c>
      <c r="N37" s="45" t="s">
        <v>249</v>
      </c>
      <c r="O37" s="45" t="s">
        <v>250</v>
      </c>
      <c r="P37" s="45" t="s">
        <v>252</v>
      </c>
      <c r="Q37" s="45">
        <v>16170994</v>
      </c>
    </row>
    <row r="38" spans="1:17" ht="14.4" customHeight="1" x14ac:dyDescent="0.3">
      <c r="A38" s="46" t="s">
        <v>123</v>
      </c>
      <c r="B38" s="47" t="s">
        <v>289</v>
      </c>
      <c r="C38" s="47" t="str">
        <f t="shared" si="0"/>
        <v>A90034339001</v>
      </c>
      <c r="D38" s="50">
        <v>46023</v>
      </c>
      <c r="E38" s="46" t="s">
        <v>11</v>
      </c>
      <c r="F38" s="46" t="s">
        <v>125</v>
      </c>
      <c r="G38" s="46" t="s">
        <v>31</v>
      </c>
      <c r="H38" s="46" t="s">
        <v>32</v>
      </c>
      <c r="I38" s="48">
        <v>28.92</v>
      </c>
      <c r="J38" s="46">
        <v>1</v>
      </c>
      <c r="K38" s="46">
        <v>0</v>
      </c>
      <c r="L38" s="48">
        <v>0</v>
      </c>
      <c r="M38" s="48">
        <v>28.92</v>
      </c>
      <c r="N38" s="45" t="s">
        <v>249</v>
      </c>
      <c r="O38" s="45" t="s">
        <v>250</v>
      </c>
      <c r="P38" s="45" t="s">
        <v>252</v>
      </c>
      <c r="Q38" s="45">
        <v>16170994</v>
      </c>
    </row>
    <row r="39" spans="1:17" ht="14.4" customHeight="1" x14ac:dyDescent="0.3">
      <c r="A39" s="46" t="s">
        <v>126</v>
      </c>
      <c r="B39" s="47" t="s">
        <v>290</v>
      </c>
      <c r="C39" s="47" t="str">
        <f t="shared" si="0"/>
        <v>A90034342001</v>
      </c>
      <c r="D39" s="50">
        <v>46023</v>
      </c>
      <c r="E39" s="46" t="s">
        <v>11</v>
      </c>
      <c r="F39" s="46" t="s">
        <v>125</v>
      </c>
      <c r="G39" s="46" t="s">
        <v>31</v>
      </c>
      <c r="H39" s="46" t="s">
        <v>32</v>
      </c>
      <c r="I39" s="48">
        <v>28.92</v>
      </c>
      <c r="J39" s="46">
        <v>1</v>
      </c>
      <c r="K39" s="46">
        <v>0</v>
      </c>
      <c r="L39" s="48">
        <v>0</v>
      </c>
      <c r="M39" s="48">
        <v>28.92</v>
      </c>
      <c r="N39" s="45" t="s">
        <v>249</v>
      </c>
      <c r="O39" s="45" t="s">
        <v>250</v>
      </c>
      <c r="P39" s="45" t="s">
        <v>252</v>
      </c>
      <c r="Q39" s="45">
        <v>16170994</v>
      </c>
    </row>
    <row r="40" spans="1:17" ht="14.4" customHeight="1" x14ac:dyDescent="0.3">
      <c r="A40" s="46" t="s">
        <v>128</v>
      </c>
      <c r="B40" s="47" t="s">
        <v>291</v>
      </c>
      <c r="C40" s="47" t="str">
        <f t="shared" si="0"/>
        <v>A90032817001</v>
      </c>
      <c r="D40" s="50">
        <v>46023</v>
      </c>
      <c r="E40" s="46" t="s">
        <v>11</v>
      </c>
      <c r="F40" s="46" t="s">
        <v>130</v>
      </c>
      <c r="G40" s="46" t="s">
        <v>31</v>
      </c>
      <c r="H40" s="46" t="s">
        <v>32</v>
      </c>
      <c r="I40" s="48">
        <v>28.92</v>
      </c>
      <c r="J40" s="46">
        <v>1</v>
      </c>
      <c r="K40" s="46">
        <v>0</v>
      </c>
      <c r="L40" s="48">
        <v>0</v>
      </c>
      <c r="M40" s="48">
        <v>28.92</v>
      </c>
      <c r="N40" s="45" t="s">
        <v>249</v>
      </c>
      <c r="O40" s="45" t="s">
        <v>250</v>
      </c>
      <c r="P40" s="45" t="s">
        <v>252</v>
      </c>
      <c r="Q40" s="45">
        <v>16170994</v>
      </c>
    </row>
    <row r="41" spans="1:17" ht="14.4" customHeight="1" x14ac:dyDescent="0.3">
      <c r="A41" s="46" t="s">
        <v>131</v>
      </c>
      <c r="B41" s="47" t="s">
        <v>292</v>
      </c>
      <c r="C41" s="47" t="str">
        <f t="shared" si="0"/>
        <v>A90032274001</v>
      </c>
      <c r="D41" s="50">
        <v>46023</v>
      </c>
      <c r="E41" s="46" t="s">
        <v>11</v>
      </c>
      <c r="F41" s="46" t="s">
        <v>133</v>
      </c>
      <c r="G41" s="46" t="s">
        <v>31</v>
      </c>
      <c r="H41" s="46" t="s">
        <v>32</v>
      </c>
      <c r="I41" s="48">
        <v>28.92</v>
      </c>
      <c r="J41" s="46">
        <v>1</v>
      </c>
      <c r="K41" s="46">
        <v>0</v>
      </c>
      <c r="L41" s="48">
        <v>0</v>
      </c>
      <c r="M41" s="48">
        <v>28.92</v>
      </c>
      <c r="N41" s="45" t="s">
        <v>249</v>
      </c>
      <c r="O41" s="45" t="s">
        <v>250</v>
      </c>
      <c r="P41" s="45" t="s">
        <v>252</v>
      </c>
      <c r="Q41" s="45">
        <v>16170994</v>
      </c>
    </row>
    <row r="42" spans="1:17" ht="14.4" customHeight="1" x14ac:dyDescent="0.3">
      <c r="A42" s="46" t="s">
        <v>134</v>
      </c>
      <c r="B42" s="47" t="s">
        <v>293</v>
      </c>
      <c r="C42" s="47" t="str">
        <f t="shared" si="0"/>
        <v>A90035695001</v>
      </c>
      <c r="D42" s="50">
        <v>46023</v>
      </c>
      <c r="E42" s="46" t="s">
        <v>11</v>
      </c>
      <c r="F42" s="46" t="s">
        <v>52</v>
      </c>
      <c r="G42" s="46" t="s">
        <v>31</v>
      </c>
      <c r="H42" s="46" t="s">
        <v>32</v>
      </c>
      <c r="I42" s="48">
        <v>28.92</v>
      </c>
      <c r="J42" s="46">
        <v>1</v>
      </c>
      <c r="K42" s="46">
        <v>0</v>
      </c>
      <c r="L42" s="48">
        <v>0</v>
      </c>
      <c r="M42" s="48">
        <v>28.92</v>
      </c>
      <c r="N42" s="45" t="s">
        <v>249</v>
      </c>
      <c r="O42" s="45" t="s">
        <v>250</v>
      </c>
      <c r="P42" s="45" t="s">
        <v>252</v>
      </c>
      <c r="Q42" s="45">
        <v>16170994</v>
      </c>
    </row>
    <row r="43" spans="1:17" ht="14.4" customHeight="1" x14ac:dyDescent="0.3">
      <c r="A43" s="46" t="s">
        <v>136</v>
      </c>
      <c r="B43" s="47" t="s">
        <v>294</v>
      </c>
      <c r="C43" s="47" t="str">
        <f t="shared" si="0"/>
        <v>A90035696001</v>
      </c>
      <c r="D43" s="50">
        <v>46023</v>
      </c>
      <c r="E43" s="46" t="s">
        <v>11</v>
      </c>
      <c r="F43" s="46" t="s">
        <v>52</v>
      </c>
      <c r="G43" s="46" t="s">
        <v>31</v>
      </c>
      <c r="H43" s="46" t="s">
        <v>32</v>
      </c>
      <c r="I43" s="48">
        <v>28.92</v>
      </c>
      <c r="J43" s="46">
        <v>1</v>
      </c>
      <c r="K43" s="46">
        <v>0</v>
      </c>
      <c r="L43" s="48">
        <v>0</v>
      </c>
      <c r="M43" s="48">
        <v>28.92</v>
      </c>
      <c r="N43" s="45" t="s">
        <v>249</v>
      </c>
      <c r="O43" s="45" t="s">
        <v>250</v>
      </c>
      <c r="P43" s="45" t="s">
        <v>252</v>
      </c>
      <c r="Q43" s="45">
        <v>16170994</v>
      </c>
    </row>
    <row r="44" spans="1:17" ht="14.4" customHeight="1" x14ac:dyDescent="0.3">
      <c r="A44" s="46" t="s">
        <v>138</v>
      </c>
      <c r="B44" s="47" t="s">
        <v>295</v>
      </c>
      <c r="C44" s="47" t="str">
        <f t="shared" si="0"/>
        <v>A90032788001</v>
      </c>
      <c r="D44" s="50">
        <v>46023</v>
      </c>
      <c r="E44" s="46" t="s">
        <v>11</v>
      </c>
      <c r="F44" s="46" t="s">
        <v>130</v>
      </c>
      <c r="G44" s="46" t="s">
        <v>31</v>
      </c>
      <c r="H44" s="46" t="s">
        <v>32</v>
      </c>
      <c r="I44" s="48">
        <v>28.92</v>
      </c>
      <c r="J44" s="46">
        <v>1</v>
      </c>
      <c r="K44" s="46">
        <v>0</v>
      </c>
      <c r="L44" s="48">
        <v>0</v>
      </c>
      <c r="M44" s="48">
        <v>28.92</v>
      </c>
      <c r="N44" s="45" t="s">
        <v>249</v>
      </c>
      <c r="O44" s="45" t="s">
        <v>250</v>
      </c>
      <c r="P44" s="45" t="s">
        <v>252</v>
      </c>
      <c r="Q44" s="45">
        <v>16170994</v>
      </c>
    </row>
    <row r="45" spans="1:17" ht="14.4" customHeight="1" x14ac:dyDescent="0.3">
      <c r="A45" s="46" t="s">
        <v>140</v>
      </c>
      <c r="B45" s="47" t="s">
        <v>296</v>
      </c>
      <c r="C45" s="47" t="str">
        <f t="shared" si="0"/>
        <v>A90032790001</v>
      </c>
      <c r="D45" s="50">
        <v>46023</v>
      </c>
      <c r="E45" s="46" t="s">
        <v>11</v>
      </c>
      <c r="F45" s="46" t="s">
        <v>130</v>
      </c>
      <c r="G45" s="46" t="s">
        <v>31</v>
      </c>
      <c r="H45" s="46" t="s">
        <v>32</v>
      </c>
      <c r="I45" s="48">
        <v>28.92</v>
      </c>
      <c r="J45" s="46">
        <v>1</v>
      </c>
      <c r="K45" s="46">
        <v>0</v>
      </c>
      <c r="L45" s="48">
        <v>0</v>
      </c>
      <c r="M45" s="48">
        <v>28.92</v>
      </c>
      <c r="N45" s="45" t="s">
        <v>249</v>
      </c>
      <c r="O45" s="45" t="s">
        <v>250</v>
      </c>
      <c r="P45" s="45" t="s">
        <v>252</v>
      </c>
      <c r="Q45" s="45">
        <v>16170994</v>
      </c>
    </row>
    <row r="46" spans="1:17" ht="14.4" customHeight="1" x14ac:dyDescent="0.3">
      <c r="A46" s="46" t="s">
        <v>142</v>
      </c>
      <c r="B46" s="47" t="s">
        <v>297</v>
      </c>
      <c r="C46" s="47" t="str">
        <f t="shared" si="0"/>
        <v>A90037225001</v>
      </c>
      <c r="D46" s="50">
        <v>46023</v>
      </c>
      <c r="E46" s="46" t="s">
        <v>11</v>
      </c>
      <c r="F46" s="46" t="s">
        <v>144</v>
      </c>
      <c r="G46" s="46" t="s">
        <v>31</v>
      </c>
      <c r="H46" s="46" t="s">
        <v>32</v>
      </c>
      <c r="I46" s="48">
        <v>28.92</v>
      </c>
      <c r="J46" s="46">
        <v>1</v>
      </c>
      <c r="K46" s="46">
        <v>0</v>
      </c>
      <c r="L46" s="48">
        <v>0</v>
      </c>
      <c r="M46" s="48">
        <v>28.92</v>
      </c>
      <c r="N46" s="45" t="s">
        <v>249</v>
      </c>
      <c r="O46" s="45" t="s">
        <v>250</v>
      </c>
      <c r="P46" s="45" t="s">
        <v>252</v>
      </c>
      <c r="Q46" s="45">
        <v>16170994</v>
      </c>
    </row>
    <row r="47" spans="1:17" ht="14.4" customHeight="1" x14ac:dyDescent="0.3">
      <c r="A47" s="46" t="s">
        <v>145</v>
      </c>
      <c r="B47" s="47" t="s">
        <v>298</v>
      </c>
      <c r="C47" s="47" t="str">
        <f t="shared" si="0"/>
        <v>A90031372001</v>
      </c>
      <c r="D47" s="50">
        <v>46023</v>
      </c>
      <c r="E47" s="46" t="s">
        <v>11</v>
      </c>
      <c r="F47" s="46" t="s">
        <v>117</v>
      </c>
      <c r="G47" s="46" t="s">
        <v>31</v>
      </c>
      <c r="H47" s="46" t="s">
        <v>32</v>
      </c>
      <c r="I47" s="48">
        <v>28.92</v>
      </c>
      <c r="J47" s="46">
        <v>1</v>
      </c>
      <c r="K47" s="46">
        <v>0</v>
      </c>
      <c r="L47" s="48">
        <v>0</v>
      </c>
      <c r="M47" s="48">
        <v>28.92</v>
      </c>
      <c r="N47" s="45" t="s">
        <v>249</v>
      </c>
      <c r="O47" s="45" t="s">
        <v>250</v>
      </c>
      <c r="P47" s="45" t="s">
        <v>252</v>
      </c>
      <c r="Q47" s="45">
        <v>16170994</v>
      </c>
    </row>
    <row r="48" spans="1:17" ht="14.4" customHeight="1" x14ac:dyDescent="0.3">
      <c r="A48" s="46" t="s">
        <v>147</v>
      </c>
      <c r="B48" s="47" t="s">
        <v>299</v>
      </c>
      <c r="C48" s="47" t="str">
        <f t="shared" si="0"/>
        <v>A90030404001</v>
      </c>
      <c r="D48" s="50">
        <v>46023</v>
      </c>
      <c r="E48" s="46" t="s">
        <v>11</v>
      </c>
      <c r="F48" s="46" t="s">
        <v>149</v>
      </c>
      <c r="G48" s="46" t="s">
        <v>31</v>
      </c>
      <c r="H48" s="46" t="s">
        <v>32</v>
      </c>
      <c r="I48" s="48">
        <v>28.92</v>
      </c>
      <c r="J48" s="46">
        <v>1</v>
      </c>
      <c r="K48" s="46">
        <v>0</v>
      </c>
      <c r="L48" s="48">
        <v>0</v>
      </c>
      <c r="M48" s="48">
        <v>28.92</v>
      </c>
      <c r="N48" s="45" t="s">
        <v>249</v>
      </c>
      <c r="O48" s="45" t="s">
        <v>250</v>
      </c>
      <c r="P48" s="45" t="s">
        <v>252</v>
      </c>
      <c r="Q48" s="45">
        <v>16170994</v>
      </c>
    </row>
    <row r="49" spans="1:17" ht="14.4" customHeight="1" x14ac:dyDescent="0.3">
      <c r="A49" s="46" t="s">
        <v>150</v>
      </c>
      <c r="B49" s="47" t="s">
        <v>300</v>
      </c>
      <c r="C49" s="47" t="str">
        <f t="shared" si="0"/>
        <v>A90033638001</v>
      </c>
      <c r="D49" s="50">
        <v>46023</v>
      </c>
      <c r="E49" s="46" t="s">
        <v>11</v>
      </c>
      <c r="F49" s="46" t="s">
        <v>152</v>
      </c>
      <c r="G49" s="46" t="s">
        <v>31</v>
      </c>
      <c r="H49" s="46" t="s">
        <v>32</v>
      </c>
      <c r="I49" s="48">
        <v>28.92</v>
      </c>
      <c r="J49" s="46">
        <v>1</v>
      </c>
      <c r="K49" s="46">
        <v>0</v>
      </c>
      <c r="L49" s="48">
        <v>0</v>
      </c>
      <c r="M49" s="48">
        <v>28.92</v>
      </c>
      <c r="N49" s="45" t="s">
        <v>249</v>
      </c>
      <c r="O49" s="45" t="s">
        <v>250</v>
      </c>
      <c r="P49" s="45" t="s">
        <v>252</v>
      </c>
      <c r="Q49" s="45">
        <v>16170994</v>
      </c>
    </row>
    <row r="50" spans="1:17" ht="14.4" customHeight="1" x14ac:dyDescent="0.3">
      <c r="A50" s="46" t="s">
        <v>153</v>
      </c>
      <c r="B50" s="47" t="s">
        <v>301</v>
      </c>
      <c r="C50" s="47" t="str">
        <f t="shared" si="0"/>
        <v>A90036809001</v>
      </c>
      <c r="D50" s="50">
        <v>46023</v>
      </c>
      <c r="E50" s="46" t="s">
        <v>11</v>
      </c>
      <c r="F50" s="46" t="s">
        <v>90</v>
      </c>
      <c r="G50" s="46" t="s">
        <v>31</v>
      </c>
      <c r="H50" s="46" t="s">
        <v>32</v>
      </c>
      <c r="I50" s="48">
        <v>28.92</v>
      </c>
      <c r="J50" s="46">
        <v>1</v>
      </c>
      <c r="K50" s="46">
        <v>0</v>
      </c>
      <c r="L50" s="48">
        <v>0</v>
      </c>
      <c r="M50" s="48">
        <v>28.92</v>
      </c>
      <c r="N50" s="45" t="s">
        <v>249</v>
      </c>
      <c r="O50" s="45" t="s">
        <v>250</v>
      </c>
      <c r="P50" s="45" t="s">
        <v>252</v>
      </c>
      <c r="Q50" s="45">
        <v>16170994</v>
      </c>
    </row>
    <row r="51" spans="1:17" ht="14.4" customHeight="1" x14ac:dyDescent="0.3">
      <c r="A51" s="46" t="s">
        <v>155</v>
      </c>
      <c r="B51" s="47" t="s">
        <v>302</v>
      </c>
      <c r="C51" s="47" t="str">
        <f t="shared" si="0"/>
        <v>A90033640001</v>
      </c>
      <c r="D51" s="50">
        <v>46023</v>
      </c>
      <c r="E51" s="46" t="s">
        <v>11</v>
      </c>
      <c r="F51" s="46" t="s">
        <v>152</v>
      </c>
      <c r="G51" s="46" t="s">
        <v>61</v>
      </c>
      <c r="H51" s="46" t="s">
        <v>32</v>
      </c>
      <c r="I51" s="48">
        <v>28.92</v>
      </c>
      <c r="J51" s="46">
        <v>1</v>
      </c>
      <c r="K51" s="46">
        <v>0</v>
      </c>
      <c r="L51" s="48">
        <v>0</v>
      </c>
      <c r="M51" s="48">
        <v>28.92</v>
      </c>
      <c r="N51" s="45" t="s">
        <v>249</v>
      </c>
      <c r="O51" s="45" t="s">
        <v>250</v>
      </c>
      <c r="P51" s="45" t="s">
        <v>252</v>
      </c>
      <c r="Q51" s="45">
        <v>16170994</v>
      </c>
    </row>
    <row r="52" spans="1:17" ht="14.4" customHeight="1" x14ac:dyDescent="0.3">
      <c r="A52" s="46" t="s">
        <v>157</v>
      </c>
      <c r="B52" s="47" t="s">
        <v>303</v>
      </c>
      <c r="C52" s="47" t="str">
        <f t="shared" si="0"/>
        <v>A90036448001</v>
      </c>
      <c r="D52" s="50">
        <v>46023</v>
      </c>
      <c r="E52" s="46" t="s">
        <v>11</v>
      </c>
      <c r="F52" s="46" t="s">
        <v>159</v>
      </c>
      <c r="G52" s="46" t="s">
        <v>31</v>
      </c>
      <c r="H52" s="46" t="s">
        <v>32</v>
      </c>
      <c r="I52" s="48">
        <v>28.92</v>
      </c>
      <c r="J52" s="46">
        <v>1</v>
      </c>
      <c r="K52" s="46">
        <v>0</v>
      </c>
      <c r="L52" s="48">
        <v>0</v>
      </c>
      <c r="M52" s="48">
        <v>28.92</v>
      </c>
      <c r="N52" s="45" t="s">
        <v>249</v>
      </c>
      <c r="O52" s="45" t="s">
        <v>250</v>
      </c>
      <c r="P52" s="45" t="s">
        <v>252</v>
      </c>
      <c r="Q52" s="45">
        <v>16170994</v>
      </c>
    </row>
    <row r="53" spans="1:17" ht="14.4" customHeight="1" x14ac:dyDescent="0.3">
      <c r="A53" s="46" t="s">
        <v>160</v>
      </c>
      <c r="B53" s="47" t="s">
        <v>304</v>
      </c>
      <c r="C53" s="47" t="str">
        <f t="shared" si="0"/>
        <v>A90036772001</v>
      </c>
      <c r="D53" s="50">
        <v>46023</v>
      </c>
      <c r="E53" s="46" t="s">
        <v>11</v>
      </c>
      <c r="F53" s="46" t="s">
        <v>90</v>
      </c>
      <c r="G53" s="46" t="s">
        <v>31</v>
      </c>
      <c r="H53" s="46" t="s">
        <v>32</v>
      </c>
      <c r="I53" s="48">
        <v>28.92</v>
      </c>
      <c r="J53" s="46">
        <v>1</v>
      </c>
      <c r="K53" s="46">
        <v>0</v>
      </c>
      <c r="L53" s="48">
        <v>0</v>
      </c>
      <c r="M53" s="48">
        <v>28.92</v>
      </c>
      <c r="N53" s="45" t="s">
        <v>249</v>
      </c>
      <c r="O53" s="45" t="s">
        <v>250</v>
      </c>
      <c r="P53" s="45" t="s">
        <v>252</v>
      </c>
      <c r="Q53" s="45">
        <v>16170994</v>
      </c>
    </row>
    <row r="54" spans="1:17" ht="14.4" customHeight="1" x14ac:dyDescent="0.3">
      <c r="A54" s="46" t="s">
        <v>162</v>
      </c>
      <c r="B54" s="47" t="s">
        <v>305</v>
      </c>
      <c r="C54" s="47" t="str">
        <f t="shared" si="0"/>
        <v>A90037629001</v>
      </c>
      <c r="D54" s="50">
        <v>46023</v>
      </c>
      <c r="E54" s="46" t="s">
        <v>11</v>
      </c>
      <c r="F54" s="46" t="s">
        <v>49</v>
      </c>
      <c r="G54" s="46" t="s">
        <v>31</v>
      </c>
      <c r="H54" s="46" t="s">
        <v>32</v>
      </c>
      <c r="I54" s="48">
        <v>28.92</v>
      </c>
      <c r="J54" s="46">
        <v>1</v>
      </c>
      <c r="K54" s="46">
        <v>0</v>
      </c>
      <c r="L54" s="48">
        <v>0</v>
      </c>
      <c r="M54" s="48">
        <v>28.92</v>
      </c>
      <c r="N54" s="45" t="s">
        <v>249</v>
      </c>
      <c r="O54" s="45" t="s">
        <v>250</v>
      </c>
      <c r="P54" s="45" t="s">
        <v>252</v>
      </c>
      <c r="Q54" s="45">
        <v>16170994</v>
      </c>
    </row>
    <row r="55" spans="1:17" ht="14.4" customHeight="1" x14ac:dyDescent="0.3">
      <c r="A55" s="46" t="s">
        <v>164</v>
      </c>
      <c r="B55" s="47" t="s">
        <v>306</v>
      </c>
      <c r="C55" s="47" t="str">
        <f t="shared" si="0"/>
        <v>A90029774001</v>
      </c>
      <c r="D55" s="50">
        <v>46023</v>
      </c>
      <c r="E55" s="46" t="s">
        <v>11</v>
      </c>
      <c r="F55" s="46" t="s">
        <v>166</v>
      </c>
      <c r="G55" s="46" t="s">
        <v>167</v>
      </c>
      <c r="H55" s="46" t="s">
        <v>32</v>
      </c>
      <c r="I55" s="48">
        <v>28.92</v>
      </c>
      <c r="J55" s="46">
        <v>1</v>
      </c>
      <c r="K55" s="46">
        <v>0</v>
      </c>
      <c r="L55" s="48">
        <v>0</v>
      </c>
      <c r="M55" s="48">
        <v>28.92</v>
      </c>
      <c r="N55" s="45" t="s">
        <v>249</v>
      </c>
      <c r="O55" s="45" t="s">
        <v>250</v>
      </c>
      <c r="P55" s="45" t="s">
        <v>252</v>
      </c>
      <c r="Q55" s="45">
        <v>16170994</v>
      </c>
    </row>
    <row r="56" spans="1:17" ht="14.4" customHeight="1" x14ac:dyDescent="0.3">
      <c r="A56" s="46" t="s">
        <v>168</v>
      </c>
      <c r="B56" s="47" t="s">
        <v>307</v>
      </c>
      <c r="C56" s="47" t="str">
        <f t="shared" si="0"/>
        <v>A90034079001</v>
      </c>
      <c r="D56" s="50">
        <v>46023</v>
      </c>
      <c r="E56" s="46" t="s">
        <v>11</v>
      </c>
      <c r="F56" s="46" t="s">
        <v>170</v>
      </c>
      <c r="G56" s="46" t="s">
        <v>31</v>
      </c>
      <c r="H56" s="46" t="s">
        <v>32</v>
      </c>
      <c r="I56" s="48">
        <v>28.92</v>
      </c>
      <c r="J56" s="46">
        <v>1</v>
      </c>
      <c r="K56" s="46">
        <v>0</v>
      </c>
      <c r="L56" s="48">
        <v>0</v>
      </c>
      <c r="M56" s="48">
        <v>28.92</v>
      </c>
      <c r="N56" s="45" t="s">
        <v>249</v>
      </c>
      <c r="O56" s="45" t="s">
        <v>250</v>
      </c>
      <c r="P56" s="45" t="s">
        <v>252</v>
      </c>
      <c r="Q56" s="45">
        <v>16170994</v>
      </c>
    </row>
    <row r="57" spans="1:17" ht="14.4" customHeight="1" x14ac:dyDescent="0.3">
      <c r="A57" s="46" t="s">
        <v>171</v>
      </c>
      <c r="B57" s="47" t="s">
        <v>308</v>
      </c>
      <c r="C57" s="47" t="str">
        <f t="shared" si="0"/>
        <v>A90033274001</v>
      </c>
      <c r="D57" s="50">
        <v>46023</v>
      </c>
      <c r="E57" s="46" t="s">
        <v>11</v>
      </c>
      <c r="F57" s="46" t="s">
        <v>166</v>
      </c>
      <c r="G57" s="46" t="s">
        <v>31</v>
      </c>
      <c r="H57" s="46" t="s">
        <v>32</v>
      </c>
      <c r="I57" s="48">
        <v>28.92</v>
      </c>
      <c r="J57" s="46">
        <v>1</v>
      </c>
      <c r="K57" s="46">
        <v>0</v>
      </c>
      <c r="L57" s="48">
        <v>0</v>
      </c>
      <c r="M57" s="48">
        <v>28.92</v>
      </c>
      <c r="N57" s="45" t="s">
        <v>249</v>
      </c>
      <c r="O57" s="45" t="s">
        <v>250</v>
      </c>
      <c r="P57" s="45" t="s">
        <v>252</v>
      </c>
      <c r="Q57" s="45">
        <v>16170994</v>
      </c>
    </row>
    <row r="58" spans="1:17" ht="14.4" customHeight="1" x14ac:dyDescent="0.3">
      <c r="A58" s="46" t="s">
        <v>173</v>
      </c>
      <c r="B58" s="47" t="s">
        <v>309</v>
      </c>
      <c r="C58" s="47" t="str">
        <f t="shared" si="0"/>
        <v>A90032841001</v>
      </c>
      <c r="D58" s="50">
        <v>46023</v>
      </c>
      <c r="E58" s="46" t="s">
        <v>11</v>
      </c>
      <c r="F58" s="46" t="s">
        <v>130</v>
      </c>
      <c r="G58" s="46" t="s">
        <v>167</v>
      </c>
      <c r="H58" s="46" t="s">
        <v>32</v>
      </c>
      <c r="I58" s="48">
        <v>28.92</v>
      </c>
      <c r="J58" s="46">
        <v>1</v>
      </c>
      <c r="K58" s="46">
        <v>0</v>
      </c>
      <c r="L58" s="48">
        <v>0</v>
      </c>
      <c r="M58" s="48">
        <v>28.92</v>
      </c>
      <c r="N58" s="45" t="s">
        <v>249</v>
      </c>
      <c r="O58" s="45" t="s">
        <v>250</v>
      </c>
      <c r="P58" s="45" t="s">
        <v>252</v>
      </c>
      <c r="Q58" s="45">
        <v>16170994</v>
      </c>
    </row>
    <row r="59" spans="1:17" ht="14.4" customHeight="1" x14ac:dyDescent="0.3">
      <c r="A59" s="46" t="s">
        <v>175</v>
      </c>
      <c r="B59" s="47" t="s">
        <v>310</v>
      </c>
      <c r="C59" s="47" t="str">
        <f t="shared" si="0"/>
        <v>A90033828001</v>
      </c>
      <c r="D59" s="50">
        <v>46023</v>
      </c>
      <c r="E59" s="46" t="s">
        <v>11</v>
      </c>
      <c r="F59" s="46" t="s">
        <v>112</v>
      </c>
      <c r="G59" s="46" t="s">
        <v>31</v>
      </c>
      <c r="H59" s="46" t="s">
        <v>32</v>
      </c>
      <c r="I59" s="48">
        <v>28.92</v>
      </c>
      <c r="J59" s="46">
        <v>1</v>
      </c>
      <c r="K59" s="46">
        <v>0</v>
      </c>
      <c r="L59" s="48">
        <v>0</v>
      </c>
      <c r="M59" s="48">
        <v>28.92</v>
      </c>
      <c r="N59" s="45" t="s">
        <v>249</v>
      </c>
      <c r="O59" s="45" t="s">
        <v>250</v>
      </c>
      <c r="P59" s="45" t="s">
        <v>252</v>
      </c>
      <c r="Q59" s="45">
        <v>16170994</v>
      </c>
    </row>
    <row r="60" spans="1:17" ht="14.4" customHeight="1" x14ac:dyDescent="0.3">
      <c r="A60" s="46" t="s">
        <v>177</v>
      </c>
      <c r="B60" s="47" t="s">
        <v>311</v>
      </c>
      <c r="C60" s="47" t="str">
        <f t="shared" si="0"/>
        <v>A90037305001</v>
      </c>
      <c r="D60" s="50">
        <v>46023</v>
      </c>
      <c r="E60" s="46" t="s">
        <v>11</v>
      </c>
      <c r="F60" s="46" t="s">
        <v>179</v>
      </c>
      <c r="G60" s="46" t="s">
        <v>31</v>
      </c>
      <c r="H60" s="46" t="s">
        <v>32</v>
      </c>
      <c r="I60" s="48">
        <v>28.92</v>
      </c>
      <c r="J60" s="46">
        <v>1</v>
      </c>
      <c r="K60" s="46">
        <v>0</v>
      </c>
      <c r="L60" s="48">
        <v>0</v>
      </c>
      <c r="M60" s="48">
        <v>28.92</v>
      </c>
      <c r="N60" s="45" t="s">
        <v>249</v>
      </c>
      <c r="O60" s="45" t="s">
        <v>250</v>
      </c>
      <c r="P60" s="45" t="s">
        <v>252</v>
      </c>
      <c r="Q60" s="45">
        <v>16170994</v>
      </c>
    </row>
    <row r="61" spans="1:17" ht="14.4" customHeight="1" x14ac:dyDescent="0.3">
      <c r="A61" s="46" t="s">
        <v>180</v>
      </c>
      <c r="B61" s="47" t="s">
        <v>312</v>
      </c>
      <c r="C61" s="47" t="str">
        <f t="shared" si="0"/>
        <v>A00491687001</v>
      </c>
      <c r="D61" s="50">
        <v>45992</v>
      </c>
      <c r="E61" s="46" t="s">
        <v>11</v>
      </c>
      <c r="F61" s="46" t="s">
        <v>182</v>
      </c>
      <c r="G61" s="46" t="s">
        <v>31</v>
      </c>
      <c r="H61" s="46" t="s">
        <v>32</v>
      </c>
      <c r="I61" s="48">
        <v>28.92</v>
      </c>
      <c r="J61" s="46">
        <v>1</v>
      </c>
      <c r="K61" s="46">
        <v>0</v>
      </c>
      <c r="L61" s="48">
        <v>0</v>
      </c>
      <c r="M61" s="48">
        <v>28.92</v>
      </c>
      <c r="N61" s="45" t="s">
        <v>249</v>
      </c>
      <c r="O61" s="45" t="s">
        <v>250</v>
      </c>
      <c r="P61" s="45" t="s">
        <v>252</v>
      </c>
      <c r="Q61" s="45">
        <v>16170994</v>
      </c>
    </row>
    <row r="62" spans="1:17" ht="14.4" customHeight="1" x14ac:dyDescent="0.3">
      <c r="A62" s="46" t="s">
        <v>183</v>
      </c>
      <c r="B62" s="47" t="s">
        <v>313</v>
      </c>
      <c r="C62" s="47" t="str">
        <f t="shared" si="0"/>
        <v>A00335634001</v>
      </c>
      <c r="D62" s="50">
        <v>45992</v>
      </c>
      <c r="E62" s="46" t="s">
        <v>11</v>
      </c>
      <c r="F62" s="46" t="s">
        <v>182</v>
      </c>
      <c r="G62" s="46" t="s">
        <v>31</v>
      </c>
      <c r="H62" s="46" t="s">
        <v>32</v>
      </c>
      <c r="I62" s="48">
        <v>28.92</v>
      </c>
      <c r="J62" s="46">
        <v>1</v>
      </c>
      <c r="K62" s="46">
        <v>0</v>
      </c>
      <c r="L62" s="48">
        <v>0</v>
      </c>
      <c r="M62" s="48">
        <v>28.92</v>
      </c>
      <c r="N62" s="45" t="s">
        <v>249</v>
      </c>
      <c r="O62" s="45" t="s">
        <v>250</v>
      </c>
      <c r="P62" s="45" t="s">
        <v>252</v>
      </c>
      <c r="Q62" s="45">
        <v>16170994</v>
      </c>
    </row>
    <row r="63" spans="1:17" ht="14.4" customHeight="1" x14ac:dyDescent="0.3">
      <c r="A63" s="46" t="s">
        <v>185</v>
      </c>
      <c r="B63" s="47" t="s">
        <v>314</v>
      </c>
      <c r="C63" s="47" t="str">
        <f t="shared" si="0"/>
        <v>A90037525001</v>
      </c>
      <c r="D63" s="50">
        <v>46023</v>
      </c>
      <c r="E63" s="46" t="s">
        <v>11</v>
      </c>
      <c r="F63" s="46" t="s">
        <v>49</v>
      </c>
      <c r="G63" s="46" t="s">
        <v>31</v>
      </c>
      <c r="H63" s="46" t="s">
        <v>32</v>
      </c>
      <c r="I63" s="48">
        <v>28.92</v>
      </c>
      <c r="J63" s="46">
        <v>1</v>
      </c>
      <c r="K63" s="46">
        <v>0</v>
      </c>
      <c r="L63" s="48">
        <v>0</v>
      </c>
      <c r="M63" s="48">
        <v>28.92</v>
      </c>
      <c r="N63" s="45" t="s">
        <v>249</v>
      </c>
      <c r="O63" s="45" t="s">
        <v>250</v>
      </c>
      <c r="P63" s="45" t="s">
        <v>252</v>
      </c>
      <c r="Q63" s="45">
        <v>16170994</v>
      </c>
    </row>
    <row r="64" spans="1:17" ht="14.4" customHeight="1" x14ac:dyDescent="0.3">
      <c r="A64" s="46" t="s">
        <v>187</v>
      </c>
      <c r="B64" s="47" t="s">
        <v>315</v>
      </c>
      <c r="C64" s="47" t="str">
        <f t="shared" si="0"/>
        <v>A90037212001</v>
      </c>
      <c r="D64" s="50">
        <v>46023</v>
      </c>
      <c r="E64" s="46" t="s">
        <v>11</v>
      </c>
      <c r="F64" s="46" t="s">
        <v>144</v>
      </c>
      <c r="G64" s="46" t="s">
        <v>31</v>
      </c>
      <c r="H64" s="46" t="s">
        <v>32</v>
      </c>
      <c r="I64" s="48">
        <v>28.92</v>
      </c>
      <c r="J64" s="46">
        <v>1</v>
      </c>
      <c r="K64" s="46">
        <v>0</v>
      </c>
      <c r="L64" s="48">
        <v>0</v>
      </c>
      <c r="M64" s="48">
        <v>28.92</v>
      </c>
      <c r="N64" s="45" t="s">
        <v>249</v>
      </c>
      <c r="O64" s="45" t="s">
        <v>250</v>
      </c>
      <c r="P64" s="45" t="s">
        <v>252</v>
      </c>
      <c r="Q64" s="45">
        <v>16170994</v>
      </c>
    </row>
    <row r="65" spans="1:17" ht="14.4" customHeight="1" x14ac:dyDescent="0.3">
      <c r="A65" s="46" t="s">
        <v>189</v>
      </c>
      <c r="B65" s="47" t="s">
        <v>316</v>
      </c>
      <c r="C65" s="47" t="str">
        <f t="shared" si="0"/>
        <v>A90040045001</v>
      </c>
      <c r="D65" s="50">
        <v>46054</v>
      </c>
      <c r="E65" s="46" t="s">
        <v>11</v>
      </c>
      <c r="F65" s="46" t="s">
        <v>191</v>
      </c>
      <c r="G65" s="46" t="s">
        <v>31</v>
      </c>
      <c r="H65" s="46" t="s">
        <v>32</v>
      </c>
      <c r="I65" s="48">
        <v>28.92</v>
      </c>
      <c r="J65" s="46">
        <v>1</v>
      </c>
      <c r="K65" s="46">
        <v>0</v>
      </c>
      <c r="L65" s="48">
        <v>0</v>
      </c>
      <c r="M65" s="48">
        <v>28.92</v>
      </c>
      <c r="N65" s="45" t="s">
        <v>249</v>
      </c>
      <c r="O65" s="45" t="s">
        <v>250</v>
      </c>
      <c r="P65" s="45" t="s">
        <v>252</v>
      </c>
      <c r="Q65" s="45">
        <v>16170994</v>
      </c>
    </row>
    <row r="66" spans="1:17" ht="14.4" customHeight="1" x14ac:dyDescent="0.3">
      <c r="A66" s="46" t="s">
        <v>192</v>
      </c>
      <c r="B66" s="47" t="s">
        <v>317</v>
      </c>
      <c r="C66" s="47" t="str">
        <f t="shared" si="0"/>
        <v>A90029478001</v>
      </c>
      <c r="D66" s="50">
        <v>46023</v>
      </c>
      <c r="E66" s="46" t="s">
        <v>11</v>
      </c>
      <c r="F66" s="46" t="s">
        <v>101</v>
      </c>
      <c r="G66" s="46" t="s">
        <v>31</v>
      </c>
      <c r="H66" s="46" t="s">
        <v>32</v>
      </c>
      <c r="I66" s="48">
        <v>28.92</v>
      </c>
      <c r="J66" s="46">
        <v>1</v>
      </c>
      <c r="K66" s="46">
        <v>0</v>
      </c>
      <c r="L66" s="48">
        <v>0</v>
      </c>
      <c r="M66" s="48">
        <v>28.92</v>
      </c>
      <c r="N66" s="45" t="s">
        <v>249</v>
      </c>
      <c r="O66" s="45" t="s">
        <v>250</v>
      </c>
      <c r="P66" s="45" t="s">
        <v>252</v>
      </c>
      <c r="Q66" s="45">
        <v>16170994</v>
      </c>
    </row>
    <row r="67" spans="1:17" ht="14.4" customHeight="1" x14ac:dyDescent="0.3">
      <c r="A67" s="46" t="s">
        <v>194</v>
      </c>
      <c r="B67" s="47" t="s">
        <v>318</v>
      </c>
      <c r="C67" s="47" t="str">
        <f t="shared" ref="C67:C86" si="1">CONCATENATE(B67,1)</f>
        <v>A90040073001</v>
      </c>
      <c r="D67" s="50">
        <v>46054</v>
      </c>
      <c r="E67" s="46" t="s">
        <v>11</v>
      </c>
      <c r="F67" s="46" t="s">
        <v>196</v>
      </c>
      <c r="G67" s="46" t="s">
        <v>31</v>
      </c>
      <c r="H67" s="46" t="s">
        <v>32</v>
      </c>
      <c r="I67" s="48">
        <v>28.92</v>
      </c>
      <c r="J67" s="46">
        <v>1</v>
      </c>
      <c r="K67" s="46">
        <v>0</v>
      </c>
      <c r="L67" s="48">
        <v>0</v>
      </c>
      <c r="M67" s="48">
        <v>28.92</v>
      </c>
      <c r="N67" s="45" t="s">
        <v>249</v>
      </c>
      <c r="O67" s="45" t="s">
        <v>250</v>
      </c>
      <c r="P67" s="45" t="s">
        <v>252</v>
      </c>
      <c r="Q67" s="45">
        <v>16170994</v>
      </c>
    </row>
    <row r="68" spans="1:17" ht="14.4" customHeight="1" x14ac:dyDescent="0.3">
      <c r="A68" s="46" t="s">
        <v>197</v>
      </c>
      <c r="B68" s="47" t="s">
        <v>319</v>
      </c>
      <c r="C68" s="47" t="str">
        <f t="shared" si="1"/>
        <v>A90031134001</v>
      </c>
      <c r="D68" s="50">
        <v>45962</v>
      </c>
      <c r="E68" s="46" t="s">
        <v>11</v>
      </c>
      <c r="F68" s="46" t="s">
        <v>200</v>
      </c>
      <c r="G68" s="46" t="s">
        <v>31</v>
      </c>
      <c r="H68" s="46" t="s">
        <v>32</v>
      </c>
      <c r="I68" s="48">
        <v>28.92</v>
      </c>
      <c r="J68" s="46">
        <v>1</v>
      </c>
      <c r="K68" s="46">
        <v>0</v>
      </c>
      <c r="L68" s="48">
        <v>0</v>
      </c>
      <c r="M68" s="48">
        <v>28.92</v>
      </c>
      <c r="N68" s="45" t="s">
        <v>249</v>
      </c>
      <c r="O68" s="45" t="s">
        <v>250</v>
      </c>
      <c r="P68" s="45" t="s">
        <v>252</v>
      </c>
      <c r="Q68" s="45">
        <v>16170994</v>
      </c>
    </row>
    <row r="69" spans="1:17" ht="14.4" customHeight="1" x14ac:dyDescent="0.3">
      <c r="A69" s="46" t="s">
        <v>201</v>
      </c>
      <c r="B69" s="47" t="s">
        <v>320</v>
      </c>
      <c r="C69" s="47" t="str">
        <f t="shared" si="1"/>
        <v>A90029740001</v>
      </c>
      <c r="D69" s="50">
        <v>46023</v>
      </c>
      <c r="E69" s="46" t="s">
        <v>11</v>
      </c>
      <c r="F69" s="46" t="s">
        <v>203</v>
      </c>
      <c r="G69" s="46" t="s">
        <v>31</v>
      </c>
      <c r="H69" s="46" t="s">
        <v>32</v>
      </c>
      <c r="I69" s="48">
        <v>28.92</v>
      </c>
      <c r="J69" s="46">
        <v>1</v>
      </c>
      <c r="K69" s="46">
        <v>0</v>
      </c>
      <c r="L69" s="48">
        <v>0</v>
      </c>
      <c r="M69" s="48">
        <v>28.92</v>
      </c>
      <c r="N69" s="45" t="s">
        <v>249</v>
      </c>
      <c r="O69" s="45" t="s">
        <v>250</v>
      </c>
      <c r="P69" s="45" t="s">
        <v>252</v>
      </c>
      <c r="Q69" s="45">
        <v>16170994</v>
      </c>
    </row>
    <row r="70" spans="1:17" ht="14.4" customHeight="1" x14ac:dyDescent="0.3">
      <c r="A70" s="46" t="s">
        <v>204</v>
      </c>
      <c r="B70" s="47" t="s">
        <v>321</v>
      </c>
      <c r="C70" s="47" t="str">
        <f t="shared" si="1"/>
        <v>A90030462001</v>
      </c>
      <c r="D70" s="50">
        <v>46023</v>
      </c>
      <c r="E70" s="46" t="s">
        <v>11</v>
      </c>
      <c r="F70" s="46" t="s">
        <v>149</v>
      </c>
      <c r="G70" s="46" t="s">
        <v>31</v>
      </c>
      <c r="H70" s="46" t="s">
        <v>32</v>
      </c>
      <c r="I70" s="48">
        <v>28.92</v>
      </c>
      <c r="J70" s="46">
        <v>1</v>
      </c>
      <c r="K70" s="46">
        <v>0</v>
      </c>
      <c r="L70" s="48">
        <v>0</v>
      </c>
      <c r="M70" s="48">
        <v>28.92</v>
      </c>
      <c r="N70" s="45" t="s">
        <v>249</v>
      </c>
      <c r="O70" s="45" t="s">
        <v>250</v>
      </c>
      <c r="P70" s="45" t="s">
        <v>252</v>
      </c>
      <c r="Q70" s="45">
        <v>16170994</v>
      </c>
    </row>
    <row r="71" spans="1:17" ht="14.4" customHeight="1" x14ac:dyDescent="0.3">
      <c r="A71" s="46" t="s">
        <v>206</v>
      </c>
      <c r="B71" s="47" t="s">
        <v>322</v>
      </c>
      <c r="C71" s="47" t="str">
        <f t="shared" si="1"/>
        <v>A90030463001</v>
      </c>
      <c r="D71" s="50">
        <v>46023</v>
      </c>
      <c r="E71" s="46" t="s">
        <v>11</v>
      </c>
      <c r="F71" s="46" t="s">
        <v>149</v>
      </c>
      <c r="G71" s="46" t="s">
        <v>31</v>
      </c>
      <c r="H71" s="46" t="s">
        <v>32</v>
      </c>
      <c r="I71" s="48">
        <v>28.92</v>
      </c>
      <c r="J71" s="46">
        <v>1</v>
      </c>
      <c r="K71" s="46">
        <v>0</v>
      </c>
      <c r="L71" s="48">
        <v>0</v>
      </c>
      <c r="M71" s="48">
        <v>28.92</v>
      </c>
      <c r="N71" s="45" t="s">
        <v>249</v>
      </c>
      <c r="O71" s="45" t="s">
        <v>250</v>
      </c>
      <c r="P71" s="45" t="s">
        <v>252</v>
      </c>
      <c r="Q71" s="45">
        <v>16170994</v>
      </c>
    </row>
    <row r="72" spans="1:17" ht="14.4" customHeight="1" x14ac:dyDescent="0.3">
      <c r="A72" s="46" t="s">
        <v>208</v>
      </c>
      <c r="B72" s="47" t="s">
        <v>323</v>
      </c>
      <c r="C72" s="47" t="str">
        <f t="shared" si="1"/>
        <v>A90030467001</v>
      </c>
      <c r="D72" s="50">
        <v>46023</v>
      </c>
      <c r="E72" s="46" t="s">
        <v>11</v>
      </c>
      <c r="F72" s="46" t="s">
        <v>149</v>
      </c>
      <c r="G72" s="46" t="s">
        <v>210</v>
      </c>
      <c r="H72" s="46" t="s">
        <v>32</v>
      </c>
      <c r="I72" s="48">
        <v>28.92</v>
      </c>
      <c r="J72" s="46">
        <v>1</v>
      </c>
      <c r="K72" s="46">
        <v>0</v>
      </c>
      <c r="L72" s="48">
        <v>0</v>
      </c>
      <c r="M72" s="48">
        <v>28.92</v>
      </c>
      <c r="N72" s="45" t="s">
        <v>249</v>
      </c>
      <c r="O72" s="45" t="s">
        <v>250</v>
      </c>
      <c r="P72" s="45" t="s">
        <v>252</v>
      </c>
      <c r="Q72" s="45">
        <v>16170994</v>
      </c>
    </row>
    <row r="73" spans="1:17" ht="14.4" customHeight="1" x14ac:dyDescent="0.3">
      <c r="A73" s="46" t="s">
        <v>211</v>
      </c>
      <c r="B73" s="47" t="s">
        <v>324</v>
      </c>
      <c r="C73" s="47" t="str">
        <f t="shared" si="1"/>
        <v>A90029520001</v>
      </c>
      <c r="D73" s="50">
        <v>46023</v>
      </c>
      <c r="E73" s="46" t="s">
        <v>11</v>
      </c>
      <c r="F73" s="46" t="s">
        <v>101</v>
      </c>
      <c r="G73" s="46" t="s">
        <v>31</v>
      </c>
      <c r="H73" s="46" t="s">
        <v>32</v>
      </c>
      <c r="I73" s="48">
        <v>28.92</v>
      </c>
      <c r="J73" s="46">
        <v>1</v>
      </c>
      <c r="K73" s="46">
        <v>0</v>
      </c>
      <c r="L73" s="48">
        <v>0</v>
      </c>
      <c r="M73" s="48">
        <v>28.92</v>
      </c>
      <c r="N73" s="45" t="s">
        <v>249</v>
      </c>
      <c r="O73" s="45" t="s">
        <v>250</v>
      </c>
      <c r="P73" s="45" t="s">
        <v>252</v>
      </c>
      <c r="Q73" s="45">
        <v>16170994</v>
      </c>
    </row>
    <row r="74" spans="1:17" ht="14.4" customHeight="1" x14ac:dyDescent="0.3">
      <c r="A74" s="46" t="s">
        <v>213</v>
      </c>
      <c r="B74" s="47" t="s">
        <v>325</v>
      </c>
      <c r="C74" s="47" t="str">
        <f t="shared" si="1"/>
        <v>A90040607001</v>
      </c>
      <c r="D74" s="50">
        <v>46082</v>
      </c>
      <c r="E74" s="46" t="s">
        <v>11</v>
      </c>
      <c r="F74" s="46" t="s">
        <v>216</v>
      </c>
      <c r="G74" s="46" t="s">
        <v>31</v>
      </c>
      <c r="H74" s="46" t="s">
        <v>32</v>
      </c>
      <c r="I74" s="48">
        <v>28.92</v>
      </c>
      <c r="J74" s="46">
        <v>1</v>
      </c>
      <c r="K74" s="46">
        <v>0</v>
      </c>
      <c r="L74" s="48">
        <v>0</v>
      </c>
      <c r="M74" s="48">
        <v>28.92</v>
      </c>
      <c r="N74" s="45" t="s">
        <v>249</v>
      </c>
      <c r="O74" s="45" t="s">
        <v>250</v>
      </c>
      <c r="P74" s="45" t="s">
        <v>252</v>
      </c>
      <c r="Q74" s="45">
        <v>16170994</v>
      </c>
    </row>
    <row r="75" spans="1:17" ht="14.4" customHeight="1" x14ac:dyDescent="0.3">
      <c r="A75" s="46" t="s">
        <v>217</v>
      </c>
      <c r="B75" s="47" t="s">
        <v>326</v>
      </c>
      <c r="C75" s="47" t="str">
        <f t="shared" si="1"/>
        <v>A90040608001</v>
      </c>
      <c r="D75" s="50">
        <v>46082</v>
      </c>
      <c r="E75" s="46" t="s">
        <v>11</v>
      </c>
      <c r="F75" s="46" t="s">
        <v>216</v>
      </c>
      <c r="G75" s="46" t="s">
        <v>31</v>
      </c>
      <c r="H75" s="46" t="s">
        <v>32</v>
      </c>
      <c r="I75" s="48">
        <v>28.92</v>
      </c>
      <c r="J75" s="46">
        <v>1</v>
      </c>
      <c r="K75" s="46">
        <v>0</v>
      </c>
      <c r="L75" s="48">
        <v>0</v>
      </c>
      <c r="M75" s="48">
        <v>28.92</v>
      </c>
      <c r="N75" s="45" t="s">
        <v>249</v>
      </c>
      <c r="O75" s="45" t="s">
        <v>250</v>
      </c>
      <c r="P75" s="45" t="s">
        <v>252</v>
      </c>
      <c r="Q75" s="45">
        <v>16170994</v>
      </c>
    </row>
    <row r="76" spans="1:17" ht="14.4" customHeight="1" x14ac:dyDescent="0.3">
      <c r="A76" s="46" t="s">
        <v>219</v>
      </c>
      <c r="B76" s="47" t="s">
        <v>327</v>
      </c>
      <c r="C76" s="47" t="str">
        <f t="shared" si="1"/>
        <v>A90041017001</v>
      </c>
      <c r="D76" s="50">
        <v>46113</v>
      </c>
      <c r="E76" s="46" t="s">
        <v>11</v>
      </c>
      <c r="F76" s="46" t="s">
        <v>11</v>
      </c>
      <c r="G76" s="46" t="s">
        <v>31</v>
      </c>
      <c r="H76" s="46" t="s">
        <v>32</v>
      </c>
      <c r="I76" s="48">
        <v>28.92</v>
      </c>
      <c r="J76" s="46">
        <v>1</v>
      </c>
      <c r="K76" s="46">
        <v>1</v>
      </c>
      <c r="L76" s="48">
        <v>28.92</v>
      </c>
      <c r="M76" s="48">
        <v>57.84</v>
      </c>
      <c r="N76" s="45" t="s">
        <v>249</v>
      </c>
      <c r="O76" s="49" t="s">
        <v>251</v>
      </c>
      <c r="P76" s="45" t="s">
        <v>252</v>
      </c>
      <c r="Q76" s="45">
        <v>16170994</v>
      </c>
    </row>
    <row r="77" spans="1:17" ht="14.4" customHeight="1" x14ac:dyDescent="0.3">
      <c r="A77" s="46" t="s">
        <v>222</v>
      </c>
      <c r="B77" s="47" t="s">
        <v>328</v>
      </c>
      <c r="C77" s="47" t="str">
        <f t="shared" si="1"/>
        <v>A90038214001</v>
      </c>
      <c r="D77" s="50">
        <v>46023</v>
      </c>
      <c r="E77" s="46" t="s">
        <v>11</v>
      </c>
      <c r="F77" s="46" t="s">
        <v>224</v>
      </c>
      <c r="G77" s="46" t="s">
        <v>31</v>
      </c>
      <c r="H77" s="46" t="s">
        <v>32</v>
      </c>
      <c r="I77" s="48">
        <v>28.92</v>
      </c>
      <c r="J77" s="46">
        <v>1</v>
      </c>
      <c r="K77" s="46">
        <v>0</v>
      </c>
      <c r="L77" s="48">
        <v>0</v>
      </c>
      <c r="M77" s="48">
        <v>28.92</v>
      </c>
      <c r="N77" s="45" t="s">
        <v>249</v>
      </c>
      <c r="O77" s="45" t="s">
        <v>250</v>
      </c>
      <c r="P77" s="45" t="s">
        <v>252</v>
      </c>
      <c r="Q77" s="45">
        <v>16170994</v>
      </c>
    </row>
    <row r="78" spans="1:17" ht="14.4" customHeight="1" x14ac:dyDescent="0.3">
      <c r="A78" s="46" t="s">
        <v>225</v>
      </c>
      <c r="B78" s="47" t="s">
        <v>329</v>
      </c>
      <c r="C78" s="47" t="str">
        <f t="shared" si="1"/>
        <v>A90033827001</v>
      </c>
      <c r="D78" s="50">
        <v>46023</v>
      </c>
      <c r="E78" s="46" t="s">
        <v>11</v>
      </c>
      <c r="F78" s="46" t="s">
        <v>112</v>
      </c>
      <c r="G78" s="46" t="s">
        <v>31</v>
      </c>
      <c r="H78" s="46" t="s">
        <v>32</v>
      </c>
      <c r="I78" s="48">
        <v>28.92</v>
      </c>
      <c r="J78" s="46">
        <v>1</v>
      </c>
      <c r="K78" s="46">
        <v>0</v>
      </c>
      <c r="L78" s="48">
        <v>0</v>
      </c>
      <c r="M78" s="48">
        <v>28.92</v>
      </c>
      <c r="N78" s="45" t="s">
        <v>249</v>
      </c>
      <c r="O78" s="45" t="s">
        <v>250</v>
      </c>
      <c r="P78" s="45" t="s">
        <v>252</v>
      </c>
      <c r="Q78" s="45">
        <v>16170994</v>
      </c>
    </row>
    <row r="79" spans="1:17" ht="14.4" customHeight="1" x14ac:dyDescent="0.3">
      <c r="A79" s="46" t="s">
        <v>227</v>
      </c>
      <c r="B79" s="47" t="s">
        <v>330</v>
      </c>
      <c r="C79" s="47" t="str">
        <f t="shared" si="1"/>
        <v>A90034821001</v>
      </c>
      <c r="D79" s="50">
        <v>46023</v>
      </c>
      <c r="E79" s="46" t="s">
        <v>11</v>
      </c>
      <c r="F79" s="46" t="s">
        <v>229</v>
      </c>
      <c r="G79" s="46" t="s">
        <v>31</v>
      </c>
      <c r="H79" s="46" t="s">
        <v>32</v>
      </c>
      <c r="I79" s="48">
        <v>28.92</v>
      </c>
      <c r="J79" s="46">
        <v>1</v>
      </c>
      <c r="K79" s="46">
        <v>0</v>
      </c>
      <c r="L79" s="48">
        <v>0</v>
      </c>
      <c r="M79" s="48">
        <v>28.92</v>
      </c>
      <c r="N79" s="45" t="s">
        <v>249</v>
      </c>
      <c r="O79" s="45" t="s">
        <v>250</v>
      </c>
      <c r="P79" s="45" t="s">
        <v>252</v>
      </c>
      <c r="Q79" s="45">
        <v>16170994</v>
      </c>
    </row>
    <row r="80" spans="1:17" ht="14.4" customHeight="1" x14ac:dyDescent="0.3">
      <c r="A80" s="46" t="s">
        <v>230</v>
      </c>
      <c r="B80" s="47" t="s">
        <v>331</v>
      </c>
      <c r="C80" s="47" t="str">
        <f t="shared" si="1"/>
        <v>A90032997001</v>
      </c>
      <c r="D80" s="50">
        <v>46023</v>
      </c>
      <c r="E80" s="46" t="s">
        <v>11</v>
      </c>
      <c r="F80" s="46" t="s">
        <v>232</v>
      </c>
      <c r="G80" s="46" t="s">
        <v>31</v>
      </c>
      <c r="H80" s="46" t="s">
        <v>32</v>
      </c>
      <c r="I80" s="48">
        <v>28.92</v>
      </c>
      <c r="J80" s="46">
        <v>1</v>
      </c>
      <c r="K80" s="46">
        <v>0</v>
      </c>
      <c r="L80" s="48">
        <v>0</v>
      </c>
      <c r="M80" s="48">
        <v>28.92</v>
      </c>
      <c r="N80" s="45" t="s">
        <v>249</v>
      </c>
      <c r="O80" s="45" t="s">
        <v>250</v>
      </c>
      <c r="P80" s="45" t="s">
        <v>252</v>
      </c>
      <c r="Q80" s="45">
        <v>16170994</v>
      </c>
    </row>
    <row r="81" spans="1:17" ht="14.4" customHeight="1" x14ac:dyDescent="0.3">
      <c r="A81" s="46" t="s">
        <v>233</v>
      </c>
      <c r="B81" s="47" t="s">
        <v>332</v>
      </c>
      <c r="C81" s="47" t="str">
        <f t="shared" si="1"/>
        <v>A90036732001</v>
      </c>
      <c r="D81" s="50">
        <v>46023</v>
      </c>
      <c r="E81" s="46" t="s">
        <v>11</v>
      </c>
      <c r="F81" s="46" t="s">
        <v>90</v>
      </c>
      <c r="G81" s="46" t="s">
        <v>31</v>
      </c>
      <c r="H81" s="46" t="s">
        <v>32</v>
      </c>
      <c r="I81" s="48">
        <v>28.92</v>
      </c>
      <c r="J81" s="46">
        <v>1</v>
      </c>
      <c r="K81" s="46">
        <v>0</v>
      </c>
      <c r="L81" s="48">
        <v>0</v>
      </c>
      <c r="M81" s="48">
        <v>28.92</v>
      </c>
      <c r="N81" s="45" t="s">
        <v>249</v>
      </c>
      <c r="O81" s="45" t="s">
        <v>250</v>
      </c>
      <c r="P81" s="45" t="s">
        <v>252</v>
      </c>
      <c r="Q81" s="45">
        <v>16170994</v>
      </c>
    </row>
    <row r="82" spans="1:17" ht="14.4" customHeight="1" x14ac:dyDescent="0.3">
      <c r="A82" s="46" t="s">
        <v>235</v>
      </c>
      <c r="B82" s="47" t="s">
        <v>333</v>
      </c>
      <c r="C82" s="47" t="str">
        <f t="shared" si="1"/>
        <v>A90039228001</v>
      </c>
      <c r="D82" s="50">
        <v>46023</v>
      </c>
      <c r="E82" s="46" t="s">
        <v>11</v>
      </c>
      <c r="F82" s="46" t="s">
        <v>30</v>
      </c>
      <c r="G82" s="46" t="s">
        <v>31</v>
      </c>
      <c r="H82" s="46" t="s">
        <v>32</v>
      </c>
      <c r="I82" s="48">
        <v>28.92</v>
      </c>
      <c r="J82" s="46">
        <v>1</v>
      </c>
      <c r="K82" s="46">
        <v>0</v>
      </c>
      <c r="L82" s="48">
        <v>0</v>
      </c>
      <c r="M82" s="48">
        <v>28.92</v>
      </c>
      <c r="N82" s="45" t="s">
        <v>249</v>
      </c>
      <c r="O82" s="45" t="s">
        <v>250</v>
      </c>
      <c r="P82" s="45" t="s">
        <v>252</v>
      </c>
      <c r="Q82" s="45">
        <v>16170994</v>
      </c>
    </row>
    <row r="83" spans="1:17" ht="14.4" customHeight="1" x14ac:dyDescent="0.3">
      <c r="A83" s="46" t="s">
        <v>237</v>
      </c>
      <c r="B83" s="47" t="s">
        <v>334</v>
      </c>
      <c r="C83" s="47" t="str">
        <f t="shared" si="1"/>
        <v>A90016619001</v>
      </c>
      <c r="D83" s="50">
        <v>46023</v>
      </c>
      <c r="E83" s="46" t="s">
        <v>11</v>
      </c>
      <c r="F83" s="46" t="s">
        <v>49</v>
      </c>
      <c r="G83" s="46" t="s">
        <v>31</v>
      </c>
      <c r="H83" s="46" t="s">
        <v>32</v>
      </c>
      <c r="I83" s="48">
        <v>28.92</v>
      </c>
      <c r="J83" s="46">
        <v>1</v>
      </c>
      <c r="K83" s="46">
        <v>0</v>
      </c>
      <c r="L83" s="48">
        <v>0</v>
      </c>
      <c r="M83" s="48">
        <v>28.92</v>
      </c>
      <c r="N83" s="45" t="s">
        <v>249</v>
      </c>
      <c r="O83" s="45" t="s">
        <v>250</v>
      </c>
      <c r="P83" s="45" t="s">
        <v>252</v>
      </c>
      <c r="Q83" s="45">
        <v>16170994</v>
      </c>
    </row>
    <row r="84" spans="1:17" ht="14.4" customHeight="1" x14ac:dyDescent="0.3">
      <c r="A84" s="46" t="s">
        <v>239</v>
      </c>
      <c r="B84" s="47" t="s">
        <v>335</v>
      </c>
      <c r="C84" s="47" t="str">
        <f t="shared" si="1"/>
        <v>A90036341001</v>
      </c>
      <c r="D84" s="50">
        <v>46023</v>
      </c>
      <c r="E84" s="46" t="s">
        <v>11</v>
      </c>
      <c r="F84" s="46" t="s">
        <v>241</v>
      </c>
      <c r="G84" s="46" t="s">
        <v>31</v>
      </c>
      <c r="H84" s="46" t="s">
        <v>32</v>
      </c>
      <c r="I84" s="48">
        <v>28.92</v>
      </c>
      <c r="J84" s="46">
        <v>1</v>
      </c>
      <c r="K84" s="46">
        <v>0</v>
      </c>
      <c r="L84" s="48">
        <v>0</v>
      </c>
      <c r="M84" s="48">
        <v>28.92</v>
      </c>
      <c r="N84" s="45" t="s">
        <v>249</v>
      </c>
      <c r="O84" s="45" t="s">
        <v>250</v>
      </c>
      <c r="P84" s="45" t="s">
        <v>252</v>
      </c>
      <c r="Q84" s="45">
        <v>16170994</v>
      </c>
    </row>
    <row r="85" spans="1:17" ht="14.4" customHeight="1" x14ac:dyDescent="0.3">
      <c r="A85" s="46" t="s">
        <v>242</v>
      </c>
      <c r="B85" s="47" t="s">
        <v>336</v>
      </c>
      <c r="C85" s="47" t="str">
        <f t="shared" si="1"/>
        <v>A90010934001</v>
      </c>
      <c r="D85" s="50">
        <v>45992</v>
      </c>
      <c r="E85" s="46" t="s">
        <v>11</v>
      </c>
      <c r="F85" s="46" t="s">
        <v>244</v>
      </c>
      <c r="G85" s="46" t="s">
        <v>31</v>
      </c>
      <c r="H85" s="46" t="s">
        <v>32</v>
      </c>
      <c r="I85" s="48">
        <v>28.92</v>
      </c>
      <c r="J85" s="46">
        <v>1</v>
      </c>
      <c r="K85" s="46">
        <v>0</v>
      </c>
      <c r="L85" s="48">
        <v>0</v>
      </c>
      <c r="M85" s="48">
        <v>28.92</v>
      </c>
      <c r="N85" s="45" t="s">
        <v>249</v>
      </c>
      <c r="O85" s="45" t="s">
        <v>250</v>
      </c>
      <c r="P85" s="45" t="s">
        <v>252</v>
      </c>
      <c r="Q85" s="45">
        <v>16170994</v>
      </c>
    </row>
    <row r="86" spans="1:17" ht="14.4" customHeight="1" x14ac:dyDescent="0.3">
      <c r="A86" s="46" t="s">
        <v>245</v>
      </c>
      <c r="B86" s="47" t="s">
        <v>337</v>
      </c>
      <c r="C86" s="47" t="str">
        <f t="shared" si="1"/>
        <v>A90030378001</v>
      </c>
      <c r="D86" s="50">
        <v>46023</v>
      </c>
      <c r="E86" s="46" t="s">
        <v>11</v>
      </c>
      <c r="F86" s="46" t="s">
        <v>149</v>
      </c>
      <c r="G86" s="46" t="s">
        <v>31</v>
      </c>
      <c r="H86" s="46" t="s">
        <v>32</v>
      </c>
      <c r="I86" s="48">
        <v>28.92</v>
      </c>
      <c r="J86" s="46">
        <v>1</v>
      </c>
      <c r="K86" s="46">
        <v>0</v>
      </c>
      <c r="L86" s="48">
        <v>0</v>
      </c>
      <c r="M86" s="48">
        <v>28.92</v>
      </c>
      <c r="N86" s="45" t="s">
        <v>249</v>
      </c>
      <c r="O86" s="45" t="s">
        <v>250</v>
      </c>
      <c r="P86" s="45" t="s">
        <v>252</v>
      </c>
      <c r="Q86" s="45">
        <v>16170994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SC_GA Statements Prod</vt:lpstr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</cp:lastModifiedBy>
  <dcterms:created xsi:type="dcterms:W3CDTF">2026-05-26T13:08:35Z</dcterms:created>
  <dcterms:modified xsi:type="dcterms:W3CDTF">2026-05-27T15:32:43Z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