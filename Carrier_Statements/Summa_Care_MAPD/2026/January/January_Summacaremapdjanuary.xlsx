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mma Care MAPD\2026\January\"/>
    </mc:Choice>
  </mc:AlternateContent>
  <xr:revisionPtr revIDLastSave="0" documentId="13_ncr:1_{52917009-B9A3-4D78-9803-30C3C3DA907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C_GA Statements Prod" sheetId="1" r:id="rId1"/>
    <sheet name="Sheet1" sheetId="2" r:id="rId2"/>
    <sheet name="Sheet3" sheetId="4" r:id="rId3"/>
    <sheet name="HRA" sheetId="3" r:id="rId4"/>
  </sheets>
  <calcPr calcId="181029"/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1" i="4"/>
  <c r="G6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2" i="2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2" i="3"/>
</calcChain>
</file>

<file path=xl/sharedStrings.xml><?xml version="1.0" encoding="utf-8"?>
<sst xmlns="http://schemas.openxmlformats.org/spreadsheetml/2006/main" count="1401" uniqueCount="465">
  <si>
    <r>
      <rPr>
        <b/>
        <sz val="20"/>
        <color rgb="FF4682B4"/>
        <rFont val="Calibri"/>
        <family val="2"/>
      </rPr>
      <t xml:space="preserve">Broker Commissions Statement
</t>
    </r>
    <r>
      <rPr>
        <b/>
        <sz val="14"/>
        <color rgb="FF4682B4"/>
        <rFont val="Calibri"/>
        <family val="2"/>
      </rPr>
      <t xml:space="preserve">Ryan Shepard   (16170994)
</t>
    </r>
    <r>
      <rPr>
        <sz val="12"/>
        <color rgb="FF000000"/>
        <rFont val="Calibri"/>
        <family val="2"/>
      </rPr>
      <t xml:space="preserve">For commissions between 01/01/2026 and 01/31/2026
</t>
    </r>
    <r>
      <rPr>
        <i/>
        <sz val="9"/>
        <color rgb="FFFF0000"/>
        <rFont val="Calibri"/>
        <family val="2"/>
      </rPr>
      <t>* Reminder: Commissions not applicable on New-to-Medicare Enrollments received after October 31, 2025</t>
    </r>
  </si>
  <si>
    <t>Report Date: 1/23/2026</t>
  </si>
  <si>
    <t>Pending New or Renewal Status by CMS</t>
  </si>
  <si>
    <t>First Name</t>
  </si>
  <si>
    <t>Member Nbr</t>
  </si>
  <si>
    <t>YMDEff</t>
  </si>
  <si>
    <t>YMDEnd</t>
  </si>
  <si>
    <t>Insert Date</t>
  </si>
  <si>
    <t>DONALD L ALBRIGHT</t>
  </si>
  <si>
    <t xml:space="preserve">A9003921000  </t>
  </si>
  <si>
    <t>20260101</t>
  </si>
  <si>
    <t>99991231</t>
  </si>
  <si>
    <t>TERESA A ALBRIGHT</t>
  </si>
  <si>
    <t xml:space="preserve">A9001229900  </t>
  </si>
  <si>
    <t>DOROTHY A BRADLEY</t>
  </si>
  <si>
    <t xml:space="preserve">A9001310600  </t>
  </si>
  <si>
    <t>JERRI D COOK</t>
  </si>
  <si>
    <t xml:space="preserve">A9001183200  </t>
  </si>
  <si>
    <t>WILLARD R COOK</t>
  </si>
  <si>
    <t xml:space="preserve">A9001183300  </t>
  </si>
  <si>
    <t>BONNIE M DAVIS</t>
  </si>
  <si>
    <t xml:space="preserve">A0051608100  </t>
  </si>
  <si>
    <t>RONALD G DEPIZZOL</t>
  </si>
  <si>
    <t xml:space="preserve">A9001163300  </t>
  </si>
  <si>
    <t>CHARLOTTE J HORSCHAK</t>
  </si>
  <si>
    <t xml:space="preserve">A9002603700  </t>
  </si>
  <si>
    <t>PETE  HORSCHAK</t>
  </si>
  <si>
    <t xml:space="preserve">A9002603800  </t>
  </si>
  <si>
    <t>MARY T ORNELLA</t>
  </si>
  <si>
    <t xml:space="preserve">A9003762900  </t>
  </si>
  <si>
    <t>PATTY J RAPE</t>
  </si>
  <si>
    <t xml:space="preserve">A9003730500  </t>
  </si>
  <si>
    <t>PATRICK W RAY</t>
  </si>
  <si>
    <t xml:space="preserve">A9003752500  </t>
  </si>
  <si>
    <t>MARILYN M STROBLE</t>
  </si>
  <si>
    <t xml:space="preserve">A9003821400  </t>
  </si>
  <si>
    <t>DEMARIS  WEIGAND</t>
  </si>
  <si>
    <t xml:space="preserve">A9003922800  </t>
  </si>
  <si>
    <t>CINDY L WHITLEY</t>
  </si>
  <si>
    <t xml:space="preserve">A9001661900  </t>
  </si>
  <si>
    <t>REBECCA J ASHWORTH</t>
  </si>
  <si>
    <t xml:space="preserve">A9003999500  </t>
  </si>
  <si>
    <t>20260201</t>
  </si>
  <si>
    <t>LINDA J ROLLING</t>
  </si>
  <si>
    <t xml:space="preserve">A9004004500  </t>
  </si>
  <si>
    <t>BRENDA L ROSE</t>
  </si>
  <si>
    <t xml:space="preserve">A9004007300  </t>
  </si>
  <si>
    <t>Count</t>
  </si>
  <si>
    <t/>
  </si>
  <si>
    <t>RYAN SHEPARD (16170994) Broker Detail</t>
  </si>
  <si>
    <t>Member Name</t>
  </si>
  <si>
    <t>YMDEFF</t>
  </si>
  <si>
    <t>YMDEND</t>
  </si>
  <si>
    <t>App Date</t>
  </si>
  <si>
    <t>Pmt Rate</t>
  </si>
  <si>
    <t>GA Rate</t>
  </si>
  <si>
    <t>App Months</t>
  </si>
  <si>
    <t>Retro Months</t>
  </si>
  <si>
    <t>Retro GA Pmt</t>
  </si>
  <si>
    <t>Total Pmts</t>
  </si>
  <si>
    <t>BANKOVICH, BARBARA J</t>
  </si>
  <si>
    <t xml:space="preserve">A9003119500 </t>
  </si>
  <si>
    <t>20251025</t>
  </si>
  <si>
    <t>HRA</t>
  </si>
  <si>
    <t>BANKOVICH, PAUL W</t>
  </si>
  <si>
    <t xml:space="preserve">A9003119400 </t>
  </si>
  <si>
    <t>BOYER, DONALD E</t>
  </si>
  <si>
    <t xml:space="preserve">A9003018500 </t>
  </si>
  <si>
    <t>20251020</t>
  </si>
  <si>
    <t xml:space="preserve">BUGNO, COLLEEN </t>
  </si>
  <si>
    <t xml:space="preserve">A9003203200 </t>
  </si>
  <si>
    <t>20251030</t>
  </si>
  <si>
    <t xml:space="preserve">CVICELA, MARIA </t>
  </si>
  <si>
    <t xml:space="preserve">A9003158500 </t>
  </si>
  <si>
    <t>20251028</t>
  </si>
  <si>
    <t xml:space="preserve">CVICELA, VLADIMIR </t>
  </si>
  <si>
    <t xml:space="preserve">A9003158700 </t>
  </si>
  <si>
    <t>DAVIS, DEBORAH L</t>
  </si>
  <si>
    <t xml:space="preserve">A9001490300 </t>
  </si>
  <si>
    <t>20251018</t>
  </si>
  <si>
    <t>DAVIS, JERROLD C</t>
  </si>
  <si>
    <t xml:space="preserve">A9001105800 </t>
  </si>
  <si>
    <t>DECROW, LYNN J</t>
  </si>
  <si>
    <t xml:space="preserve">A9003019100 </t>
  </si>
  <si>
    <t>DEMMA, KAREN M</t>
  </si>
  <si>
    <t xml:space="preserve">A9003154700 </t>
  </si>
  <si>
    <t>FORD, BARBARA A</t>
  </si>
  <si>
    <t xml:space="preserve">A9003186100 </t>
  </si>
  <si>
    <t>20251029</t>
  </si>
  <si>
    <t>GARNICA, MARY J</t>
  </si>
  <si>
    <t xml:space="preserve">A9002953500 </t>
  </si>
  <si>
    <t>20251015</t>
  </si>
  <si>
    <t>GLASSER, GEORGETTE M</t>
  </si>
  <si>
    <t xml:space="preserve">A9003014200 </t>
  </si>
  <si>
    <t>HEINEY, KEVIN L</t>
  </si>
  <si>
    <t xml:space="preserve">A9002985400 </t>
  </si>
  <si>
    <t>HEINEY, REBECCA L</t>
  </si>
  <si>
    <t xml:space="preserve">A9002985200 </t>
  </si>
  <si>
    <t>HUSZAI, DIANE M</t>
  </si>
  <si>
    <t xml:space="preserve">A9003142900 </t>
  </si>
  <si>
    <t>20251027</t>
  </si>
  <si>
    <t>KAPAROFF, PAUL T</t>
  </si>
  <si>
    <t xml:space="preserve">A9003161700 </t>
  </si>
  <si>
    <t>MEISSNER, LINDA M</t>
  </si>
  <si>
    <t xml:space="preserve">A9003137200 </t>
  </si>
  <si>
    <t>METZ, JACQUELINE A</t>
  </si>
  <si>
    <t xml:space="preserve">A9003040400 </t>
  </si>
  <si>
    <t>20251022</t>
  </si>
  <si>
    <t>ROCKWOOD, MARK A</t>
  </si>
  <si>
    <t xml:space="preserve">A9002985000 </t>
  </si>
  <si>
    <t>ROSE, ANGELA E</t>
  </si>
  <si>
    <t xml:space="preserve">A9002947800 </t>
  </si>
  <si>
    <t xml:space="preserve">SCHUBKEGEL, DAYNA </t>
  </si>
  <si>
    <t xml:space="preserve">A9002973700 </t>
  </si>
  <si>
    <t>20251017</t>
  </si>
  <si>
    <t xml:space="preserve">SCHUBKEGEL, LELAND </t>
  </si>
  <si>
    <t xml:space="preserve">A9002974000 </t>
  </si>
  <si>
    <t>SHANK, LARRY L</t>
  </si>
  <si>
    <t xml:space="preserve">A9003046200 </t>
  </si>
  <si>
    <t>SHANK, MARILYN R</t>
  </si>
  <si>
    <t xml:space="preserve">A9003046300 </t>
  </si>
  <si>
    <t>SMITH, DAVID A</t>
  </si>
  <si>
    <t xml:space="preserve">A9003046700 </t>
  </si>
  <si>
    <t>STIFFLER, REGENA P</t>
  </si>
  <si>
    <t xml:space="preserve">A9002952000 </t>
  </si>
  <si>
    <t>ZUPKOW, BONNIE E</t>
  </si>
  <si>
    <t xml:space="preserve">A9003037800 </t>
  </si>
  <si>
    <t>Monthly</t>
  </si>
  <si>
    <t>BROWN, LINDA S</t>
  </si>
  <si>
    <t xml:space="preserve">A9003562200 </t>
  </si>
  <si>
    <t>20251119</t>
  </si>
  <si>
    <t>BROWN, PAUL A</t>
  </si>
  <si>
    <t xml:space="preserve">A9003562100 </t>
  </si>
  <si>
    <t>DELVILLAN, LAURIE A</t>
  </si>
  <si>
    <t xml:space="preserve">A9003261900 </t>
  </si>
  <si>
    <t>20251103</t>
  </si>
  <si>
    <t xml:space="preserve">DELVILLAN, MATTHEW </t>
  </si>
  <si>
    <t xml:space="preserve">A9003262100 </t>
  </si>
  <si>
    <t>DEVLIN, PATRICIA A</t>
  </si>
  <si>
    <t xml:space="preserve">A9003676000 </t>
  </si>
  <si>
    <t>20251125</t>
  </si>
  <si>
    <t>DINICOLA, DEBORAH J</t>
  </si>
  <si>
    <t xml:space="preserve">A9003566500 </t>
  </si>
  <si>
    <t>FREY, CAROL A</t>
  </si>
  <si>
    <t xml:space="preserve">A9003514800 </t>
  </si>
  <si>
    <t>20251117</t>
  </si>
  <si>
    <t>HORSCHAK, DOLORES M</t>
  </si>
  <si>
    <t xml:space="preserve">A9003387400 </t>
  </si>
  <si>
    <t>20251110</t>
  </si>
  <si>
    <t>KLESCH, JOANNE M</t>
  </si>
  <si>
    <t xml:space="preserve">A9003433900 </t>
  </si>
  <si>
    <t>20251112</t>
  </si>
  <si>
    <t xml:space="preserve">KLESCH, LISA </t>
  </si>
  <si>
    <t xml:space="preserve">A9003434200 </t>
  </si>
  <si>
    <t>KLINKER, CARROL A</t>
  </si>
  <si>
    <t xml:space="preserve">A9003281700 </t>
  </si>
  <si>
    <t>20251104</t>
  </si>
  <si>
    <t>KNIGHT, TERRY E</t>
  </si>
  <si>
    <t xml:space="preserve">A9003227400 </t>
  </si>
  <si>
    <t>20251031</t>
  </si>
  <si>
    <t>KNIPPER, CATHERINE E</t>
  </si>
  <si>
    <t xml:space="preserve">A9003569500 </t>
  </si>
  <si>
    <t>KUS, LINDA T</t>
  </si>
  <si>
    <t xml:space="preserve">A9003569600 </t>
  </si>
  <si>
    <t>LUCARELL, ANTHONY R</t>
  </si>
  <si>
    <t xml:space="preserve">A9003278800 </t>
  </si>
  <si>
    <t>LUCARELL, PATRICIA L</t>
  </si>
  <si>
    <t xml:space="preserve">A9003279000 </t>
  </si>
  <si>
    <t>MAST, DONALD L</t>
  </si>
  <si>
    <t xml:space="preserve">A9003722500 </t>
  </si>
  <si>
    <t>20251128</t>
  </si>
  <si>
    <t>MILLER, JOHN F</t>
  </si>
  <si>
    <t xml:space="preserve">A9003363800 </t>
  </si>
  <si>
    <t>20251108</t>
  </si>
  <si>
    <t>MILLER, LINDA S</t>
  </si>
  <si>
    <t xml:space="preserve">A9003680900 </t>
  </si>
  <si>
    <t>MILLER, PATRICIA A</t>
  </si>
  <si>
    <t xml:space="preserve">A9003364000 </t>
  </si>
  <si>
    <t>NEVISON, WILLIAM E</t>
  </si>
  <si>
    <t xml:space="preserve">A9003644800 </t>
  </si>
  <si>
    <t>20251124</t>
  </si>
  <si>
    <t>NOVAK, THOMAS P</t>
  </si>
  <si>
    <t xml:space="preserve">A9003677200 </t>
  </si>
  <si>
    <t xml:space="preserve">PICHLER, CHARLENE </t>
  </si>
  <si>
    <t xml:space="preserve">A9002977400 </t>
  </si>
  <si>
    <t>20251106</t>
  </si>
  <si>
    <t>PLAIN, NANCY E</t>
  </si>
  <si>
    <t xml:space="preserve">A9003407900 </t>
  </si>
  <si>
    <t>20251111</t>
  </si>
  <si>
    <t>POPE, VICKI L</t>
  </si>
  <si>
    <t xml:space="preserve">A9003327400 </t>
  </si>
  <si>
    <t>PORCHOWSKY, ZENOWIJ C</t>
  </si>
  <si>
    <t xml:space="preserve">A9003284100 </t>
  </si>
  <si>
    <t xml:space="preserve">RANALDI, CAROL </t>
  </si>
  <si>
    <t xml:space="preserve">A9003382800 </t>
  </si>
  <si>
    <t>RAUSCHENBERGER, CHERYL L</t>
  </si>
  <si>
    <t xml:space="preserve">A0049168700 </t>
  </si>
  <si>
    <t>20251201</t>
  </si>
  <si>
    <t>20200401</t>
  </si>
  <si>
    <t>RAUSCHENBERGER, ROGER L</t>
  </si>
  <si>
    <t xml:space="preserve">A0033563400 </t>
  </si>
  <si>
    <t xml:space="preserve">REGALLIS, JAMES </t>
  </si>
  <si>
    <t xml:space="preserve">A9003721200 </t>
  </si>
  <si>
    <t>ROSS, TIFFANY J</t>
  </si>
  <si>
    <t xml:space="preserve">A9003113400 </t>
  </si>
  <si>
    <t>20251101</t>
  </si>
  <si>
    <t>20251024</t>
  </si>
  <si>
    <t>SZYMCZYK, TONI M</t>
  </si>
  <si>
    <t xml:space="preserve">A9003382700 </t>
  </si>
  <si>
    <t>TUMA, CHRISTOPHER J</t>
  </si>
  <si>
    <t xml:space="preserve">A9003482100 </t>
  </si>
  <si>
    <t>20251114</t>
  </si>
  <si>
    <t>ULASZEWSKI, CAROL A</t>
  </si>
  <si>
    <t xml:space="preserve">A9003299700 </t>
  </si>
  <si>
    <t>20251105</t>
  </si>
  <si>
    <t xml:space="preserve">VARZELLE, PATRICE </t>
  </si>
  <si>
    <t xml:space="preserve">A9003673200 </t>
  </si>
  <si>
    <t>WILSON, MARY C</t>
  </si>
  <si>
    <t xml:space="preserve">A9003634100 </t>
  </si>
  <si>
    <t>20251123</t>
  </si>
  <si>
    <t>ZIDAR, NADINE M</t>
  </si>
  <si>
    <t xml:space="preserve">A9001093400 </t>
  </si>
  <si>
    <t>20200201</t>
  </si>
  <si>
    <t>New</t>
  </si>
  <si>
    <t>RYAN SHEPARD TOTALS</t>
  </si>
  <si>
    <t>Member Count: 65</t>
  </si>
  <si>
    <t>Summa Care HRA</t>
  </si>
  <si>
    <t>Summa Care MAPD 2026*</t>
  </si>
  <si>
    <t>Summa Care 2026</t>
  </si>
  <si>
    <t>[%/$=347][prorate=1/12]</t>
  </si>
  <si>
    <t>[%/$=694]</t>
  </si>
  <si>
    <t>A9003119500</t>
  </si>
  <si>
    <t>A9003119400</t>
  </si>
  <si>
    <t>A9003018500</t>
  </si>
  <si>
    <t>A9003562200</t>
  </si>
  <si>
    <t>A9003562100</t>
  </si>
  <si>
    <t>A9003203200</t>
  </si>
  <si>
    <t>A9003158500</t>
  </si>
  <si>
    <t>A9003158700</t>
  </si>
  <si>
    <t>A9001490300</t>
  </si>
  <si>
    <t>A9001105800</t>
  </si>
  <si>
    <t>A9003019100</t>
  </si>
  <si>
    <t>A9003261900</t>
  </si>
  <si>
    <t>A9003262100</t>
  </si>
  <si>
    <t>A9003154700</t>
  </si>
  <si>
    <t>A9003676000</t>
  </si>
  <si>
    <t>A9003566500</t>
  </si>
  <si>
    <t>A9003186100</t>
  </si>
  <si>
    <t>A9003514800</t>
  </si>
  <si>
    <t>A9002953500</t>
  </si>
  <si>
    <t>A9003014200</t>
  </si>
  <si>
    <t>A9002985400</t>
  </si>
  <si>
    <t>A9002985200</t>
  </si>
  <si>
    <t>A9003387400</t>
  </si>
  <si>
    <t>A9003142900</t>
  </si>
  <si>
    <t>A9003161700</t>
  </si>
  <si>
    <t>A9003433900</t>
  </si>
  <si>
    <t>A9003434200</t>
  </si>
  <si>
    <t>A9003281700</t>
  </si>
  <si>
    <t>A9003227400</t>
  </si>
  <si>
    <t>A9003569500</t>
  </si>
  <si>
    <t>A9003569600</t>
  </si>
  <si>
    <t>A9003278800</t>
  </si>
  <si>
    <t>A9003279000</t>
  </si>
  <si>
    <t>A9003722500</t>
  </si>
  <si>
    <t>A9003137200</t>
  </si>
  <si>
    <t>A9003040400</t>
  </si>
  <si>
    <t>A9003363800</t>
  </si>
  <si>
    <t>A9003680900</t>
  </si>
  <si>
    <t>A9003364000</t>
  </si>
  <si>
    <t>A9003644800</t>
  </si>
  <si>
    <t>A9003677200</t>
  </si>
  <si>
    <t>A9002977400</t>
  </si>
  <si>
    <t>A9003407900</t>
  </si>
  <si>
    <t>A9003327400</t>
  </si>
  <si>
    <t>A9003284100</t>
  </si>
  <si>
    <t>A9003382800</t>
  </si>
  <si>
    <t>A0049168700</t>
  </si>
  <si>
    <t>A0033563400</t>
  </si>
  <si>
    <t>A9003721200</t>
  </si>
  <si>
    <t>A9002947800</t>
  </si>
  <si>
    <t>A9003113400</t>
  </si>
  <si>
    <t>A9002973700</t>
  </si>
  <si>
    <t>A9002974000</t>
  </si>
  <si>
    <t>A9003046200</t>
  </si>
  <si>
    <t>A9003046300</t>
  </si>
  <si>
    <t>A9003046700</t>
  </si>
  <si>
    <t>A9002952000</t>
  </si>
  <si>
    <t>A9003382700</t>
  </si>
  <si>
    <t>A9003482100</t>
  </si>
  <si>
    <t>A9003299700</t>
  </si>
  <si>
    <t>A9003673200</t>
  </si>
  <si>
    <t>A9003634100</t>
  </si>
  <si>
    <t>A9001093400</t>
  </si>
  <si>
    <t>A9003037800</t>
  </si>
  <si>
    <t>A9002985000</t>
  </si>
  <si>
    <t>BANKOVICH</t>
  </si>
  <si>
    <t>BARBARA</t>
  </si>
  <si>
    <t>PAUL</t>
  </si>
  <si>
    <t>BOYER</t>
  </si>
  <si>
    <t>DONALD</t>
  </si>
  <si>
    <t>BROWN</t>
  </si>
  <si>
    <t>LINDA</t>
  </si>
  <si>
    <t>BUGNO</t>
  </si>
  <si>
    <t>COLLEEN</t>
  </si>
  <si>
    <t>CVICELA</t>
  </si>
  <si>
    <t>MARIA</t>
  </si>
  <si>
    <t>VLADIMIR</t>
  </si>
  <si>
    <t>DAVIS</t>
  </si>
  <si>
    <t>DEBORAH</t>
  </si>
  <si>
    <t>JERROLD</t>
  </si>
  <si>
    <t>DECROW</t>
  </si>
  <si>
    <t>LYNN</t>
  </si>
  <si>
    <t>DELVILLAN</t>
  </si>
  <si>
    <t>LAURIE</t>
  </si>
  <si>
    <t>MATTHEW</t>
  </si>
  <si>
    <t>DEMMA</t>
  </si>
  <si>
    <t>KAREN</t>
  </si>
  <si>
    <t>DEVLIN</t>
  </si>
  <si>
    <t>PATRICIA</t>
  </si>
  <si>
    <t>DINICOLA</t>
  </si>
  <si>
    <t>FORD</t>
  </si>
  <si>
    <t>FREY</t>
  </si>
  <si>
    <t>CAROL</t>
  </si>
  <si>
    <t>GARNICA</t>
  </si>
  <si>
    <t>MARY</t>
  </si>
  <si>
    <t>GLASSER</t>
  </si>
  <si>
    <t>GEORGETTE</t>
  </si>
  <si>
    <t>HEINEY</t>
  </si>
  <si>
    <t>KEVIN</t>
  </si>
  <si>
    <t>REBECCA</t>
  </si>
  <si>
    <t>HORSCHAK</t>
  </si>
  <si>
    <t>DOLORES</t>
  </si>
  <si>
    <t>HUSZAI</t>
  </si>
  <si>
    <t>DIANE</t>
  </si>
  <si>
    <t>KAPAROFF</t>
  </si>
  <si>
    <t>KLESCH</t>
  </si>
  <si>
    <t>JOANNE</t>
  </si>
  <si>
    <t>LISA</t>
  </si>
  <si>
    <t>KLINKER</t>
  </si>
  <si>
    <t>CARROL</t>
  </si>
  <si>
    <t>KNIGHT</t>
  </si>
  <si>
    <t>TERRY</t>
  </si>
  <si>
    <t>KNIPPER</t>
  </si>
  <si>
    <t>CATHERINE</t>
  </si>
  <si>
    <t>KUS</t>
  </si>
  <si>
    <t>LUCARELL</t>
  </si>
  <si>
    <t>ANTHONY</t>
  </si>
  <si>
    <t>MAST</t>
  </si>
  <si>
    <t>MEISSNER</t>
  </si>
  <si>
    <t>METZ</t>
  </si>
  <si>
    <t>JACQUELINE</t>
  </si>
  <si>
    <t>MILLER</t>
  </si>
  <si>
    <t>JOHN</t>
  </si>
  <si>
    <t>NEVISON</t>
  </si>
  <si>
    <t>WILLIAM</t>
  </si>
  <si>
    <t>NOVAK</t>
  </si>
  <si>
    <t>THOMAS</t>
  </si>
  <si>
    <t>PICHLER</t>
  </si>
  <si>
    <t>CHARLENE</t>
  </si>
  <si>
    <t>PLAIN</t>
  </si>
  <si>
    <t>NANCY</t>
  </si>
  <si>
    <t>POPE</t>
  </si>
  <si>
    <t>VICKI</t>
  </si>
  <si>
    <t>PORCHOWSKY</t>
  </si>
  <si>
    <t>ZENOWIJ</t>
  </si>
  <si>
    <t>RANALDI</t>
  </si>
  <si>
    <t>RAUSCHENBERGER</t>
  </si>
  <si>
    <t>CHERYL</t>
  </si>
  <si>
    <t>ROGER</t>
  </si>
  <si>
    <t>REGALLIS</t>
  </si>
  <si>
    <t>JAMES</t>
  </si>
  <si>
    <t>ROSE</t>
  </si>
  <si>
    <t>ANGELA</t>
  </si>
  <si>
    <t>ROSS</t>
  </si>
  <si>
    <t>TIFFANY</t>
  </si>
  <si>
    <t>SCHUBKEGEL</t>
  </si>
  <si>
    <t>DAYNA</t>
  </si>
  <si>
    <t>LELAND</t>
  </si>
  <si>
    <t>SHANK</t>
  </si>
  <si>
    <t>LARRY</t>
  </si>
  <si>
    <t>MARILYN</t>
  </si>
  <si>
    <t>SMITH</t>
  </si>
  <si>
    <t>DAVID</t>
  </si>
  <si>
    <t>STIFFLER</t>
  </si>
  <si>
    <t>REGENA</t>
  </si>
  <si>
    <t>SZYMCZYK</t>
  </si>
  <si>
    <t>TONI</t>
  </si>
  <si>
    <t>TUMA</t>
  </si>
  <si>
    <t>CHRISTOPHER</t>
  </si>
  <si>
    <t>ULASZEWSKI</t>
  </si>
  <si>
    <t>VARZELLE</t>
  </si>
  <si>
    <t>PATRICE</t>
  </si>
  <si>
    <t>WILSON</t>
  </si>
  <si>
    <t>ZIDAR</t>
  </si>
  <si>
    <t>NADINE</t>
  </si>
  <si>
    <t>ZUPKOW</t>
  </si>
  <si>
    <t>BONNIE</t>
  </si>
  <si>
    <t>ROCKWOOD</t>
  </si>
  <si>
    <t>MARK</t>
  </si>
  <si>
    <t>BARBARA BANKOVICH</t>
  </si>
  <si>
    <t>PAUL BANKOVICH</t>
  </si>
  <si>
    <t>DONALD BOYER</t>
  </si>
  <si>
    <t>LINDA BROWN</t>
  </si>
  <si>
    <t>PAUL BROWN</t>
  </si>
  <si>
    <t>COLLEEN BUGNO</t>
  </si>
  <si>
    <t>MARIA CVICELA</t>
  </si>
  <si>
    <t>VLADIMIR CVICELA</t>
  </si>
  <si>
    <t>DEBORAH DAVIS</t>
  </si>
  <si>
    <t>JERROLD DAVIS</t>
  </si>
  <si>
    <t>LYNN DECROW</t>
  </si>
  <si>
    <t>LAURIE DELVILLAN</t>
  </si>
  <si>
    <t>MATTHEW DELVILLAN</t>
  </si>
  <si>
    <t>KAREN DEMMA</t>
  </si>
  <si>
    <t>PATRICIA DEVLIN</t>
  </si>
  <si>
    <t>DEBORAH DINICOLA</t>
  </si>
  <si>
    <t>BARBARA FORD</t>
  </si>
  <si>
    <t>CAROL FREY</t>
  </si>
  <si>
    <t>MARY GARNICA</t>
  </si>
  <si>
    <t>GEORGETTE GLASSER</t>
  </si>
  <si>
    <t>KEVIN HEINEY</t>
  </si>
  <si>
    <t>REBECCA HEINEY</t>
  </si>
  <si>
    <t>DOLORES HORSCHAK</t>
  </si>
  <si>
    <t>DIANE HUSZAI</t>
  </si>
  <si>
    <t>PAUL KAPAROFF</t>
  </si>
  <si>
    <t>JOANNE KLESCH</t>
  </si>
  <si>
    <t>LISA KLESCH</t>
  </si>
  <si>
    <t>CARROL KLINKER</t>
  </si>
  <si>
    <t>TERRY KNIGHT</t>
  </si>
  <si>
    <t>CATHERINE KNIPPER</t>
  </si>
  <si>
    <t>LINDA KUS</t>
  </si>
  <si>
    <t>ANTHONY LUCARELL</t>
  </si>
  <si>
    <t>PATRICIA LUCARELL</t>
  </si>
  <si>
    <t>DONALD MAST</t>
  </si>
  <si>
    <t>LINDA MEISSNER</t>
  </si>
  <si>
    <t>JACQUELINE METZ</t>
  </si>
  <si>
    <t>JOHN MILLER</t>
  </si>
  <si>
    <t>LINDA MILLER</t>
  </si>
  <si>
    <t>PATRICIA MILLER</t>
  </si>
  <si>
    <t>WILLIAM NEVISON</t>
  </si>
  <si>
    <t>THOMAS NOVAK</t>
  </si>
  <si>
    <t>CHARLENE PICHLER</t>
  </si>
  <si>
    <t>NANCY PLAIN</t>
  </si>
  <si>
    <t>VICKI POPE</t>
  </si>
  <si>
    <t>ZENOWIJ PORCHOWSKY</t>
  </si>
  <si>
    <t>CAROL RANALDI</t>
  </si>
  <si>
    <t>CHERYL RAUSCHENBERGER</t>
  </si>
  <si>
    <t>ROGER RAUSCHENBERGER</t>
  </si>
  <si>
    <t>JAMES REGALLIS</t>
  </si>
  <si>
    <t>ANGELA ROSE</t>
  </si>
  <si>
    <t>TIFFANY ROSS</t>
  </si>
  <si>
    <t>DAYNA SCHUBKEGEL</t>
  </si>
  <si>
    <t>LELAND SCHUBKEGEL</t>
  </si>
  <si>
    <t>LARRY SHANK</t>
  </si>
  <si>
    <t>MARILYN SHANK</t>
  </si>
  <si>
    <t>DAVID SMITH</t>
  </si>
  <si>
    <t>REGENA STIFFLER</t>
  </si>
  <si>
    <t>TONI SZYMCZYK</t>
  </si>
  <si>
    <t>CHRISTOPHER TUMA</t>
  </si>
  <si>
    <t>CAROL ULASZEWSKI</t>
  </si>
  <si>
    <t>PATRICE VARZELLE</t>
  </si>
  <si>
    <t>MARY WILSON</t>
  </si>
  <si>
    <t>NADINE ZIDAR</t>
  </si>
  <si>
    <t>BONNIE ZUPKOW</t>
  </si>
  <si>
    <t>MARK ROCKWOOD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</si>
</sst>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m/dd/yyyy"/>
    <numFmt numFmtId="165" formatCode="[$-10409]&quot;$&quot;#,##0.00;\(&quot;$&quot;#,##0.00\)"/>
  </numFmts>
  <fonts count="1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0"/>
      <color rgb="FF4682B4"/>
      <name val="Calibri"/>
      <family val="2"/>
    </font>
    <font>
      <i/>
      <sz val="10"/>
      <color rgb="FF000000"/>
      <name val="Calibri"/>
      <family val="2"/>
    </font>
    <font>
      <b/>
      <sz val="14"/>
      <color rgb="FF4682B4"/>
      <name val="Calibri"/>
      <family val="2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  <font>
      <u/>
      <sz val="9"/>
      <color rgb="FF4682B4"/>
      <name val="Calibri"/>
      <family val="2"/>
    </font>
    <font>
      <sz val="10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2"/>
      <color rgb="FF000000"/>
      <name val="Calibri"/>
      <family val="2"/>
    </font>
    <font>
      <i/>
      <sz val="9"/>
      <color rgb="FFFF0000"/>
      <name val="Calibri"/>
      <family val="2"/>
    </font>
    <font>
      <sz val="9"/>
      <color rgb="FF4682B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000000"/>
        <bgColor rgb="FF000000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DCDCDC"/>
        <bgColor rgb="FFDCDCDC"/>
      </patternFill>
    </fill>
  </fills>
  <borders count="22">
    <border>
      <left/>
      <right/>
      <top/>
      <bottom/>
      <diagonal/>
    </border>
    <border>
      <left/>
      <right/>
      <top style="thick">
        <color rgb="FF4682B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4682B4"/>
      </left>
      <right style="thin">
        <color rgb="FF4682B4"/>
      </right>
      <top style="thin">
        <color rgb="FF4682B4"/>
      </top>
      <bottom style="thin">
        <color rgb="FF4682B4"/>
      </bottom>
      <diagonal/>
    </border>
    <border>
      <left/>
      <right/>
      <top style="thin">
        <color rgb="FF4682B4"/>
      </top>
      <bottom style="thin">
        <color rgb="FF4682B4"/>
      </bottom>
      <diagonal/>
    </border>
    <border>
      <left/>
      <right style="thin">
        <color rgb="FF4682B4"/>
      </right>
      <top style="thin">
        <color rgb="FF4682B4"/>
      </top>
      <bottom style="thin">
        <color rgb="FF4682B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682B4"/>
      </bottom>
      <diagonal/>
    </border>
    <border>
      <left/>
      <right style="thin">
        <color rgb="FFFFFFFF"/>
      </right>
      <top style="thin">
        <color rgb="FFFFFFFF"/>
      </top>
      <bottom style="thin">
        <color rgb="FF4682B4"/>
      </bottom>
      <diagonal/>
    </border>
    <border>
      <left/>
      <right/>
      <top style="thin">
        <color rgb="FFFFFFFF"/>
      </top>
      <bottom style="thin">
        <color rgb="FF4682B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 style="thin">
        <color rgb="FFD3D3D3"/>
      </bottom>
      <diagonal/>
    </border>
    <border>
      <left/>
      <right/>
      <top style="thin">
        <color rgb="FFFFFFFF"/>
      </top>
      <bottom style="thin">
        <color rgb="FFD3D3D3"/>
      </bottom>
      <diagonal/>
    </border>
    <border>
      <left/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 style="thin">
        <color rgb="FF4682B4"/>
      </bottom>
      <diagonal/>
    </border>
    <border>
      <left style="thin">
        <color rgb="FFD3D3D3"/>
      </left>
      <right/>
      <top style="thin">
        <color rgb="FF4682B4"/>
      </top>
      <bottom style="thin">
        <color rgb="FFD3D3D3"/>
      </bottom>
      <diagonal/>
    </border>
    <border>
      <left/>
      <right style="thin">
        <color rgb="FFD3D3D3"/>
      </right>
      <top style="thin">
        <color rgb="FF4682B4"/>
      </top>
      <bottom style="thin">
        <color rgb="FFD3D3D3"/>
      </bottom>
      <diagonal/>
    </border>
    <border>
      <left/>
      <right/>
      <top style="thin">
        <color rgb="FF4682B4"/>
      </top>
      <bottom style="thin">
        <color rgb="FFD3D3D3"/>
      </bottom>
      <diagonal/>
    </border>
  </borders>
  <cellStyleXfs count="1">
    <xf numFmtId="0" fontId="0" fillId="0" borderId="0"/>
  </cellStyleXfs>
  <cellXfs count="79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5" fillId="2" borderId="2" xfId="0" applyFont="1" applyFill="1" applyBorder="1" applyAlignment="1">
      <alignment vertical="top" wrapText="1" readingOrder="1"/>
    </xf>
    <xf numFmtId="0" fontId="6" fillId="0" borderId="2" xfId="0" applyFont="1" applyBorder="1" applyAlignment="1">
      <alignment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9" fillId="2" borderId="5" xfId="0" applyFont="1" applyFill="1" applyBorder="1" applyAlignment="1">
      <alignment vertical="top" wrapText="1" readingOrder="1"/>
    </xf>
    <xf numFmtId="0" fontId="10" fillId="4" borderId="8" xfId="0" applyFont="1" applyFill="1" applyBorder="1" applyAlignment="1">
      <alignment horizontal="center" vertical="top" wrapText="1" readingOrder="1"/>
    </xf>
    <xf numFmtId="0" fontId="11" fillId="4" borderId="11" xfId="0" applyFont="1" applyFill="1" applyBorder="1" applyAlignment="1">
      <alignment horizontal="center" vertical="top" wrapText="1" readingOrder="1"/>
    </xf>
    <xf numFmtId="0" fontId="6" fillId="5" borderId="2" xfId="0" applyFont="1" applyFill="1" applyBorder="1" applyAlignment="1">
      <alignment horizontal="center" vertical="top" wrapText="1" readingOrder="1"/>
    </xf>
    <xf numFmtId="165" fontId="6" fillId="5" borderId="2" xfId="0" applyNumberFormat="1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vertical="top" wrapText="1" readingOrder="1"/>
    </xf>
    <xf numFmtId="165" fontId="10" fillId="6" borderId="2" xfId="0" applyNumberFormat="1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5" borderId="2" xfId="0" applyNumberFormat="1" applyFont="1" applyFill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0" fillId="6" borderId="2" xfId="0" applyFont="1" applyFill="1" applyBorder="1" applyAlignment="1">
      <alignment vertical="top" wrapText="1" readingOrder="1"/>
    </xf>
    <xf numFmtId="165" fontId="10" fillId="6" borderId="2" xfId="0" applyNumberFormat="1" applyFont="1" applyFill="1" applyBorder="1" applyAlignment="1">
      <alignment vertical="top" wrapText="1" readingOrder="1"/>
    </xf>
    <xf numFmtId="0" fontId="6" fillId="5" borderId="2" xfId="0" applyFont="1" applyFill="1" applyBorder="1" applyAlignment="1">
      <alignment vertical="top" wrapText="1" readingOrder="1"/>
    </xf>
    <xf numFmtId="0" fontId="7" fillId="5" borderId="2" xfId="0" applyFont="1" applyFill="1" applyBorder="1" applyAlignment="1">
      <alignment horizontal="center" vertical="top" wrapText="1" readingOrder="1"/>
    </xf>
    <xf numFmtId="0" fontId="6" fillId="5" borderId="2" xfId="0" applyFont="1" applyFill="1" applyBorder="1" applyAlignment="1">
      <alignment horizontal="center" vertical="top" wrapText="1" readingOrder="1"/>
    </xf>
    <xf numFmtId="165" fontId="6" fillId="5" borderId="2" xfId="0" applyNumberFormat="1" applyFont="1" applyFill="1" applyBorder="1" applyAlignment="1">
      <alignment horizontal="right" vertical="top" wrapText="1" readingOrder="1"/>
    </xf>
    <xf numFmtId="0" fontId="9" fillId="2" borderId="5" xfId="0" applyFont="1" applyFill="1" applyBorder="1" applyAlignment="1">
      <alignment vertical="top" wrapText="1" readingOrder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0" fillId="4" borderId="8" xfId="0" applyFont="1" applyFill="1" applyBorder="1" applyAlignment="1">
      <alignment vertical="top" wrapText="1" readingOrder="1"/>
    </xf>
    <xf numFmtId="0" fontId="1" fillId="0" borderId="9" xfId="0" applyFont="1" applyBorder="1" applyAlignment="1">
      <alignment vertical="top" wrapText="1"/>
    </xf>
    <xf numFmtId="0" fontId="10" fillId="4" borderId="8" xfId="0" applyFont="1" applyFill="1" applyBorder="1" applyAlignment="1">
      <alignment horizontal="center" vertical="top" wrapText="1" readingOrder="1"/>
    </xf>
    <xf numFmtId="0" fontId="1" fillId="0" borderId="10" xfId="0" applyFont="1" applyBorder="1" applyAlignment="1">
      <alignment vertical="top" wrapText="1"/>
    </xf>
    <xf numFmtId="0" fontId="11" fillId="4" borderId="11" xfId="0" applyFont="1" applyFill="1" applyBorder="1" applyAlignment="1">
      <alignment horizontal="center" vertical="top" wrapText="1" readingOrder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8" fillId="3" borderId="2" xfId="0" applyFont="1" applyFill="1" applyBorder="1" applyAlignment="1">
      <alignment horizontal="center"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center" vertical="top" wrapText="1" readingOrder="1"/>
    </xf>
    <xf numFmtId="164" fontId="6" fillId="0" borderId="2" xfId="0" applyNumberFormat="1" applyFont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2" xfId="0" applyFont="1" applyFill="1" applyBorder="1" applyAlignment="1">
      <alignment horizontal="center" vertical="top" wrapText="1" readingOrder="1"/>
    </xf>
    <xf numFmtId="14" fontId="6" fillId="5" borderId="2" xfId="0" applyNumberFormat="1" applyFont="1" applyFill="1" applyBorder="1" applyAlignment="1">
      <alignment horizontal="center" vertical="top" wrapText="1" readingOrder="1"/>
    </xf>
    <xf numFmtId="0" fontId="11" fillId="4" borderId="15" xfId="0" applyFont="1" applyFill="1" applyBorder="1" applyAlignment="1">
      <alignment horizontal="center" vertical="top" wrapText="1" readingOrder="1"/>
    </xf>
    <xf numFmtId="0" fontId="11" fillId="4" borderId="16" xfId="0" applyFont="1" applyFill="1" applyBorder="1" applyAlignment="1">
      <alignment horizontal="center" vertical="top" wrapText="1" readingOrder="1"/>
    </xf>
    <xf numFmtId="0" fontId="11" fillId="4" borderId="17" xfId="0" applyFont="1" applyFill="1" applyBorder="1" applyAlignment="1">
      <alignment horizontal="center" vertical="top" wrapText="1" readingOrder="1"/>
    </xf>
    <xf numFmtId="0" fontId="10" fillId="4" borderId="18" xfId="0" applyFont="1" applyFill="1" applyBorder="1" applyAlignment="1">
      <alignment horizontal="center" vertical="top" wrapText="1" readingOrder="1"/>
    </xf>
    <xf numFmtId="0" fontId="10" fillId="4" borderId="9" xfId="0" applyFont="1" applyFill="1" applyBorder="1" applyAlignment="1">
      <alignment horizontal="center" vertical="top" wrapText="1" readingOrder="1"/>
    </xf>
    <xf numFmtId="0" fontId="10" fillId="4" borderId="10" xfId="0" applyFont="1" applyFill="1" applyBorder="1" applyAlignment="1">
      <alignment horizontal="center" vertical="top" wrapText="1" readingOrder="1"/>
    </xf>
    <xf numFmtId="0" fontId="10" fillId="4" borderId="18" xfId="0" applyFont="1" applyFill="1" applyBorder="1" applyAlignment="1">
      <alignment vertical="top" wrapText="1" readingOrder="1"/>
    </xf>
    <xf numFmtId="0" fontId="10" fillId="4" borderId="9" xfId="0" applyFont="1" applyFill="1" applyBorder="1" applyAlignment="1">
      <alignment vertical="top" wrapText="1" readingOrder="1"/>
    </xf>
    <xf numFmtId="165" fontId="6" fillId="5" borderId="14" xfId="0" applyNumberFormat="1" applyFont="1" applyFill="1" applyBorder="1" applyAlignment="1">
      <alignment vertical="top" wrapText="1" readingOrder="1"/>
    </xf>
    <xf numFmtId="165" fontId="6" fillId="5" borderId="3" xfId="0" applyNumberFormat="1" applyFont="1" applyFill="1" applyBorder="1" applyAlignment="1">
      <alignment vertical="top" wrapText="1" readingOrder="1"/>
    </xf>
    <xf numFmtId="165" fontId="6" fillId="5" borderId="4" xfId="0" applyNumberFormat="1" applyFont="1" applyFill="1" applyBorder="1" applyAlignment="1">
      <alignment vertical="top" wrapText="1" readingOrder="1"/>
    </xf>
    <xf numFmtId="165" fontId="6" fillId="5" borderId="14" xfId="0" applyNumberFormat="1" applyFont="1" applyFill="1" applyBorder="1" applyAlignment="1">
      <alignment horizontal="right" vertical="top" wrapText="1" readingOrder="1"/>
    </xf>
    <xf numFmtId="165" fontId="6" fillId="5" borderId="3" xfId="0" applyNumberFormat="1" applyFont="1" applyFill="1" applyBorder="1" applyAlignment="1">
      <alignment horizontal="right" vertical="top" wrapText="1" readingOrder="1"/>
    </xf>
    <xf numFmtId="165" fontId="6" fillId="5" borderId="4" xfId="0" applyNumberFormat="1" applyFont="1" applyFill="1" applyBorder="1" applyAlignment="1">
      <alignment horizontal="right" vertical="top" wrapText="1" readingOrder="1"/>
    </xf>
    <xf numFmtId="0" fontId="6" fillId="5" borderId="19" xfId="0" applyNumberFormat="1" applyFont="1" applyFill="1" applyBorder="1" applyAlignment="1">
      <alignment horizontal="center" vertical="top" wrapText="1" readingOrder="1"/>
    </xf>
    <xf numFmtId="0" fontId="6" fillId="5" borderId="20" xfId="0" applyNumberFormat="1" applyFont="1" applyFill="1" applyBorder="1" applyAlignment="1">
      <alignment horizontal="center" vertical="top" wrapText="1" readingOrder="1"/>
    </xf>
    <xf numFmtId="0" fontId="6" fillId="5" borderId="21" xfId="0" applyNumberFormat="1" applyFont="1" applyFill="1" applyBorder="1" applyAlignment="1">
      <alignment horizontal="center" vertical="top" wrapText="1" readingOrder="1"/>
    </xf>
    <xf numFmtId="0" fontId="14" fillId="5" borderId="19" xfId="0" applyNumberFormat="1" applyFont="1" applyFill="1" applyBorder="1" applyAlignment="1">
      <alignment horizontal="center" vertical="top" wrapText="1" readingOrder="1"/>
    </xf>
    <xf numFmtId="0" fontId="14" fillId="5" borderId="21" xfId="0" applyNumberFormat="1" applyFont="1" applyFill="1" applyBorder="1" applyAlignment="1">
      <alignment horizontal="center" vertical="top" wrapText="1" readingOrder="1"/>
    </xf>
    <xf numFmtId="0" fontId="14" fillId="5" borderId="20" xfId="0" applyNumberFormat="1" applyFont="1" applyFill="1" applyBorder="1" applyAlignment="1">
      <alignment horizontal="center" vertical="top" wrapText="1" readingOrder="1"/>
    </xf>
    <xf numFmtId="0" fontId="6" fillId="5" borderId="19" xfId="0" applyFont="1" applyFill="1" applyBorder="1" applyAlignment="1">
      <alignment vertical="top" wrapText="1" readingOrder="1"/>
    </xf>
    <xf numFmtId="0" fontId="6" fillId="5" borderId="20" xfId="0" applyFont="1" applyFill="1" applyBorder="1" applyAlignment="1">
      <alignment vertical="top" wrapText="1" readingOrder="1"/>
    </xf>
    <xf numFmtId="0" fontId="6" fillId="5" borderId="14" xfId="0" applyNumberFormat="1" applyFont="1" applyFill="1" applyBorder="1" applyAlignment="1">
      <alignment horizontal="center" vertical="top" wrapText="1" readingOrder="1"/>
    </xf>
    <xf numFmtId="0" fontId="6" fillId="5" borderId="4" xfId="0" applyNumberFormat="1" applyFont="1" applyFill="1" applyBorder="1" applyAlignment="1">
      <alignment horizontal="center" vertical="top" wrapText="1" readingOrder="1"/>
    </xf>
    <xf numFmtId="0" fontId="6" fillId="5" borderId="3" xfId="0" applyNumberFormat="1" applyFont="1" applyFill="1" applyBorder="1" applyAlignment="1">
      <alignment horizontal="center" vertical="top" wrapText="1" readingOrder="1"/>
    </xf>
    <xf numFmtId="0" fontId="14" fillId="5" borderId="14" xfId="0" applyNumberFormat="1" applyFont="1" applyFill="1" applyBorder="1" applyAlignment="1">
      <alignment horizontal="center" vertical="top" wrapText="1" readingOrder="1"/>
    </xf>
    <xf numFmtId="0" fontId="14" fillId="5" borderId="3" xfId="0" applyNumberFormat="1" applyFont="1" applyFill="1" applyBorder="1" applyAlignment="1">
      <alignment horizontal="center" vertical="top" wrapText="1" readingOrder="1"/>
    </xf>
    <xf numFmtId="0" fontId="14" fillId="5" borderId="4" xfId="0" applyNumberFormat="1" applyFont="1" applyFill="1" applyBorder="1" applyAlignment="1">
      <alignment horizontal="center" vertical="top" wrapText="1" readingOrder="1"/>
    </xf>
    <xf numFmtId="0" fontId="6" fillId="5" borderId="14" xfId="0" applyFont="1" applyFill="1" applyBorder="1" applyAlignment="1">
      <alignment vertical="top" wrapText="1" readingOrder="1"/>
    </xf>
    <xf numFmtId="0" fontId="6" fillId="5" borderId="4" xfId="0" applyFont="1" applyFill="1" applyBorder="1" applyAlignment="1">
      <alignment vertical="top" wrapText="1" readingOrder="1"/>
    </xf>
    <xf numFmtId="0" fontId="6" fillId="5" borderId="19" xfId="0" applyFont="1" applyFill="1" applyBorder="1" applyAlignment="1">
      <alignment vertical="top" wrapText="1" readingOrder="1"/>
    </xf>
    <xf numFmtId="0" fontId="6" fillId="5" borderId="20" xfId="0" applyFont="1" applyFill="1" applyBorder="1" applyAlignment="1">
      <alignment vertical="top" wrapText="1" readingOrder="1"/>
    </xf>
    <xf numFmtId="0" fontId="6" fillId="5" borderId="14" xfId="0" applyFont="1" applyFill="1" applyBorder="1" applyAlignment="1">
      <alignment vertical="top" wrapText="1" readingOrder="1"/>
    </xf>
    <xf numFmtId="0" fontId="6" fillId="5" borderId="4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0000"/>
      <rgbColor rgb="00D3D3D3"/>
      <rgbColor rgb="00FFFFFF"/>
      <rgbColor rgb="00ADD8E6"/>
      <rgbColor rgb="00DCDCDC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457200</xdr:colOff>
      <xdr:row>2</xdr:row>
      <xdr:rowOff>73609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scwp-cbidb002/ReportServer?%2FSummaCare%2FCommissions%202018%2FSC_Broker_Commission_Information&amp;Member_Nbr=A9001105800%20&amp;rs%3AParameterLanguage=" TargetMode="External"/><Relationship Id="rId21" Type="http://schemas.openxmlformats.org/officeDocument/2006/relationships/hyperlink" Target="http://scwp-cbidb002/ReportServer?%2FSummaCare%2FCommissions%202018%2FSC_Broker_Commission_Information&amp;Member_Nbr=A9003018500%20&amp;rs%3AParameterLanguage=" TargetMode="External"/><Relationship Id="rId42" Type="http://schemas.openxmlformats.org/officeDocument/2006/relationships/hyperlink" Target="http://scwp-cbidb002/ReportServer?%2FSummaCare%2FCommissions%202018%2FSC_Broker_Commission_Information&amp;Member_Nbr=A9003046200%20&amp;rs%3AParameterLanguage=" TargetMode="External"/><Relationship Id="rId47" Type="http://schemas.openxmlformats.org/officeDocument/2006/relationships/hyperlink" Target="http://scwp-cbidb002/ReportServer?%2FSummaCare%2FCommissions%202018%2FSC_Broker_Commission_Information&amp;Member_Nbr=A9003119500%20&amp;rs%3AParameterLanguage=" TargetMode="External"/><Relationship Id="rId63" Type="http://schemas.openxmlformats.org/officeDocument/2006/relationships/hyperlink" Target="http://scwp-cbidb002/ReportServer?%2FSummaCare%2FCommissions%202018%2FSC_Broker_Commission_Information&amp;Member_Nbr=A9003186100%20&amp;rs%3AParameterLanguage=" TargetMode="External"/><Relationship Id="rId68" Type="http://schemas.openxmlformats.org/officeDocument/2006/relationships/hyperlink" Target="http://scwp-cbidb002/ReportServer?%2FSummaCare%2FCommissions%202018%2FSC_Broker_Commission_Information&amp;Member_Nbr=A9002985200%20&amp;rs%3AParameterLanguage=" TargetMode="External"/><Relationship Id="rId84" Type="http://schemas.openxmlformats.org/officeDocument/2006/relationships/hyperlink" Target="http://scwp-cbidb002/ReportServer?%2FSummaCare%2FCommissions%202018%2FSC_Broker_Commission_Information&amp;Member_Nbr=A9003680900%20&amp;rs%3AParameterLanguage=" TargetMode="External"/><Relationship Id="rId89" Type="http://schemas.openxmlformats.org/officeDocument/2006/relationships/hyperlink" Target="http://scwp-cbidb002/ReportServer?%2FSummaCare%2FCommissions%202018%2FSC_Broker_Commission_Information&amp;Member_Nbr=A9003407900%20&amp;rs%3AParameterLanguage=" TargetMode="External"/><Relationship Id="rId112" Type="http://schemas.openxmlformats.org/officeDocument/2006/relationships/drawing" Target="../drawings/drawing1.xml"/><Relationship Id="rId2" Type="http://schemas.openxmlformats.org/officeDocument/2006/relationships/hyperlink" Target="http://scwp-cbidb002/ReportServer?%2FSummaCare%2FCommissions%202018%2FSC_Broker_Commission_Information&amp;Member_Nbr=A9001229900%20%20&amp;rs%3AParameterLanguage=" TargetMode="External"/><Relationship Id="rId16" Type="http://schemas.openxmlformats.org/officeDocument/2006/relationships/hyperlink" Target="http://scwp-cbidb002/ReportServer?%2FSummaCare%2FCommissions%202018%2FSC_Broker_Commission_Information&amp;Member_Nbr=A9003999500%20%20&amp;rs%3AParameterLanguage=" TargetMode="External"/><Relationship Id="rId29" Type="http://schemas.openxmlformats.org/officeDocument/2006/relationships/hyperlink" Target="http://scwp-cbidb002/ReportServer?%2FSummaCare%2FCommissions%202018%2FSC_Broker_Commission_Information&amp;Member_Nbr=A9003186100%20&amp;rs%3AParameterLanguage=" TargetMode="External"/><Relationship Id="rId107" Type="http://schemas.openxmlformats.org/officeDocument/2006/relationships/hyperlink" Target="http://scwp-cbidb002/ReportServer?%2FSummaCare%2FCommissions%202018%2FSC_Broker_Commission_Information&amp;Member_Nbr=A9003673200%20&amp;rs%3AParameterLanguage=" TargetMode="External"/><Relationship Id="rId11" Type="http://schemas.openxmlformats.org/officeDocument/2006/relationships/hyperlink" Target="http://scwp-cbidb002/ReportServer?%2FSummaCare%2FCommissions%202018%2FSC_Broker_Commission_Information&amp;Member_Nbr=A9003730500%20%20&amp;rs%3AParameterLanguage=" TargetMode="External"/><Relationship Id="rId24" Type="http://schemas.openxmlformats.org/officeDocument/2006/relationships/hyperlink" Target="http://scwp-cbidb002/ReportServer?%2FSummaCare%2FCommissions%202018%2FSC_Broker_Commission_Information&amp;Member_Nbr=A9003158700%20&amp;rs%3AParameterLanguage=" TargetMode="External"/><Relationship Id="rId32" Type="http://schemas.openxmlformats.org/officeDocument/2006/relationships/hyperlink" Target="http://scwp-cbidb002/ReportServer?%2FSummaCare%2FCommissions%202018%2FSC_Broker_Commission_Information&amp;Member_Nbr=A9002985400%20&amp;rs%3AParameterLanguage=" TargetMode="External"/><Relationship Id="rId37" Type="http://schemas.openxmlformats.org/officeDocument/2006/relationships/hyperlink" Target="http://scwp-cbidb002/ReportServer?%2FSummaCare%2FCommissions%202018%2FSC_Broker_Commission_Information&amp;Member_Nbr=A9003040400%20&amp;rs%3AParameterLanguage=" TargetMode="External"/><Relationship Id="rId40" Type="http://schemas.openxmlformats.org/officeDocument/2006/relationships/hyperlink" Target="http://scwp-cbidb002/ReportServer?%2FSummaCare%2FCommissions%202018%2FSC_Broker_Commission_Information&amp;Member_Nbr=A9002973700%20&amp;rs%3AParameterLanguage=" TargetMode="External"/><Relationship Id="rId45" Type="http://schemas.openxmlformats.org/officeDocument/2006/relationships/hyperlink" Target="http://scwp-cbidb002/ReportServer?%2FSummaCare%2FCommissions%202018%2FSC_Broker_Commission_Information&amp;Member_Nbr=A9002952000%20&amp;rs%3AParameterLanguage=" TargetMode="External"/><Relationship Id="rId53" Type="http://schemas.openxmlformats.org/officeDocument/2006/relationships/hyperlink" Target="http://scwp-cbidb002/ReportServer?%2FSummaCare%2FCommissions%202018%2FSC_Broker_Commission_Information&amp;Member_Nbr=A9003158500%20&amp;rs%3AParameterLanguage=" TargetMode="External"/><Relationship Id="rId58" Type="http://schemas.openxmlformats.org/officeDocument/2006/relationships/hyperlink" Target="http://scwp-cbidb002/ReportServer?%2FSummaCare%2FCommissions%202018%2FSC_Broker_Commission_Information&amp;Member_Nbr=A9003261900%20&amp;rs%3AParameterLanguage=" TargetMode="External"/><Relationship Id="rId66" Type="http://schemas.openxmlformats.org/officeDocument/2006/relationships/hyperlink" Target="http://scwp-cbidb002/ReportServer?%2FSummaCare%2FCommissions%202018%2FSC_Broker_Commission_Information&amp;Member_Nbr=A9003014200%20&amp;rs%3AParameterLanguage=" TargetMode="External"/><Relationship Id="rId74" Type="http://schemas.openxmlformats.org/officeDocument/2006/relationships/hyperlink" Target="http://scwp-cbidb002/ReportServer?%2FSummaCare%2FCommissions%202018%2FSC_Broker_Commission_Information&amp;Member_Nbr=A9003281700%20&amp;rs%3AParameterLanguage=" TargetMode="External"/><Relationship Id="rId79" Type="http://schemas.openxmlformats.org/officeDocument/2006/relationships/hyperlink" Target="http://scwp-cbidb002/ReportServer?%2FSummaCare%2FCommissions%202018%2FSC_Broker_Commission_Information&amp;Member_Nbr=A9003279000%20&amp;rs%3AParameterLanguage=" TargetMode="External"/><Relationship Id="rId87" Type="http://schemas.openxmlformats.org/officeDocument/2006/relationships/hyperlink" Target="http://scwp-cbidb002/ReportServer?%2FSummaCare%2FCommissions%202018%2FSC_Broker_Commission_Information&amp;Member_Nbr=A9003677200%20&amp;rs%3AParameterLanguage=" TargetMode="External"/><Relationship Id="rId102" Type="http://schemas.openxmlformats.org/officeDocument/2006/relationships/hyperlink" Target="http://scwp-cbidb002/ReportServer?%2FSummaCare%2FCommissions%202018%2FSC_Broker_Commission_Information&amp;Member_Nbr=A9003046700%20&amp;rs%3AParameterLanguage=" TargetMode="External"/><Relationship Id="rId110" Type="http://schemas.openxmlformats.org/officeDocument/2006/relationships/hyperlink" Target="http://scwp-cbidb002/ReportServer?%2FSummaCare%2FCommissions%202018%2FSC_Broker_Commission_Information&amp;Member_Nbr=A9003037800%20&amp;rs%3AParameterLanguage=" TargetMode="External"/><Relationship Id="rId5" Type="http://schemas.openxmlformats.org/officeDocument/2006/relationships/hyperlink" Target="http://scwp-cbidb002/ReportServer?%2FSummaCare%2FCommissions%202018%2FSC_Broker_Commission_Information&amp;Member_Nbr=A9001183300%20%20&amp;rs%3AParameterLanguage=" TargetMode="External"/><Relationship Id="rId61" Type="http://schemas.openxmlformats.org/officeDocument/2006/relationships/hyperlink" Target="http://scwp-cbidb002/ReportServer?%2FSummaCare%2FCommissions%202018%2FSC_Broker_Commission_Information&amp;Member_Nbr=A9003676000%20&amp;rs%3AParameterLanguage=" TargetMode="External"/><Relationship Id="rId82" Type="http://schemas.openxmlformats.org/officeDocument/2006/relationships/hyperlink" Target="http://scwp-cbidb002/ReportServer?%2FSummaCare%2FCommissions%202018%2FSC_Broker_Commission_Information&amp;Member_Nbr=A9003040400%20&amp;rs%3AParameterLanguage=" TargetMode="External"/><Relationship Id="rId90" Type="http://schemas.openxmlformats.org/officeDocument/2006/relationships/hyperlink" Target="http://scwp-cbidb002/ReportServer?%2FSummaCare%2FCommissions%202018%2FSC_Broker_Commission_Information&amp;Member_Nbr=A9003327400%20&amp;rs%3AParameterLanguage=" TargetMode="External"/><Relationship Id="rId95" Type="http://schemas.openxmlformats.org/officeDocument/2006/relationships/hyperlink" Target="http://scwp-cbidb002/ReportServer?%2FSummaCare%2FCommissions%202018%2FSC_Broker_Commission_Information&amp;Member_Nbr=A9003721200%20&amp;rs%3AParameterLanguage=" TargetMode="External"/><Relationship Id="rId19" Type="http://schemas.openxmlformats.org/officeDocument/2006/relationships/hyperlink" Target="http://scwp-cbidb002/ReportServer?%2FSummaCare%2FCommissions%202018%2FSC_Broker_Commission_Information&amp;Member_Nbr=A9003119500%20&amp;rs%3AParameterLanguage=" TargetMode="External"/><Relationship Id="rId14" Type="http://schemas.openxmlformats.org/officeDocument/2006/relationships/hyperlink" Target="http://scwp-cbidb002/ReportServer?%2FSummaCare%2FCommissions%202018%2FSC_Broker_Commission_Information&amp;Member_Nbr=A9003922800%20%20&amp;rs%3AParameterLanguage=" TargetMode="External"/><Relationship Id="rId22" Type="http://schemas.openxmlformats.org/officeDocument/2006/relationships/hyperlink" Target="http://scwp-cbidb002/ReportServer?%2FSummaCare%2FCommissions%202018%2FSC_Broker_Commission_Information&amp;Member_Nbr=A9003203200%20&amp;rs%3AParameterLanguage=" TargetMode="External"/><Relationship Id="rId27" Type="http://schemas.openxmlformats.org/officeDocument/2006/relationships/hyperlink" Target="http://scwp-cbidb002/ReportServer?%2FSummaCare%2FCommissions%202018%2FSC_Broker_Commission_Information&amp;Member_Nbr=A9003019100%20&amp;rs%3AParameterLanguage=" TargetMode="External"/><Relationship Id="rId30" Type="http://schemas.openxmlformats.org/officeDocument/2006/relationships/hyperlink" Target="http://scwp-cbidb002/ReportServer?%2FSummaCare%2FCommissions%202018%2FSC_Broker_Commission_Information&amp;Member_Nbr=A9002953500%20&amp;rs%3AParameterLanguage=" TargetMode="External"/><Relationship Id="rId35" Type="http://schemas.openxmlformats.org/officeDocument/2006/relationships/hyperlink" Target="http://scwp-cbidb002/ReportServer?%2FSummaCare%2FCommissions%202018%2FSC_Broker_Commission_Information&amp;Member_Nbr=A9003161700%20&amp;rs%3AParameterLanguage=" TargetMode="External"/><Relationship Id="rId43" Type="http://schemas.openxmlformats.org/officeDocument/2006/relationships/hyperlink" Target="http://scwp-cbidb002/ReportServer?%2FSummaCare%2FCommissions%202018%2FSC_Broker_Commission_Information&amp;Member_Nbr=A9003046300%20&amp;rs%3AParameterLanguage=" TargetMode="External"/><Relationship Id="rId48" Type="http://schemas.openxmlformats.org/officeDocument/2006/relationships/hyperlink" Target="http://scwp-cbidb002/ReportServer?%2FSummaCare%2FCommissions%202018%2FSC_Broker_Commission_Information&amp;Member_Nbr=A9003119400%20&amp;rs%3AParameterLanguage=" TargetMode="External"/><Relationship Id="rId56" Type="http://schemas.openxmlformats.org/officeDocument/2006/relationships/hyperlink" Target="http://scwp-cbidb002/ReportServer?%2FSummaCare%2FCommissions%202018%2FSC_Broker_Commission_Information&amp;Member_Nbr=A9001105800%20&amp;rs%3AParameterLanguage=" TargetMode="External"/><Relationship Id="rId64" Type="http://schemas.openxmlformats.org/officeDocument/2006/relationships/hyperlink" Target="http://scwp-cbidb002/ReportServer?%2FSummaCare%2FCommissions%202018%2FSC_Broker_Commission_Information&amp;Member_Nbr=A9003514800%20&amp;rs%3AParameterLanguage=" TargetMode="External"/><Relationship Id="rId69" Type="http://schemas.openxmlformats.org/officeDocument/2006/relationships/hyperlink" Target="http://scwp-cbidb002/ReportServer?%2FSummaCare%2FCommissions%202018%2FSC_Broker_Commission_Information&amp;Member_Nbr=A9003387400%20&amp;rs%3AParameterLanguage=" TargetMode="External"/><Relationship Id="rId77" Type="http://schemas.openxmlformats.org/officeDocument/2006/relationships/hyperlink" Target="http://scwp-cbidb002/ReportServer?%2FSummaCare%2FCommissions%202018%2FSC_Broker_Commission_Information&amp;Member_Nbr=A9003569600%20&amp;rs%3AParameterLanguage=" TargetMode="External"/><Relationship Id="rId100" Type="http://schemas.openxmlformats.org/officeDocument/2006/relationships/hyperlink" Target="http://scwp-cbidb002/ReportServer?%2FSummaCare%2FCommissions%202018%2FSC_Broker_Commission_Information&amp;Member_Nbr=A9003046200%20&amp;rs%3AParameterLanguage=" TargetMode="External"/><Relationship Id="rId105" Type="http://schemas.openxmlformats.org/officeDocument/2006/relationships/hyperlink" Target="http://scwp-cbidb002/ReportServer?%2FSummaCare%2FCommissions%202018%2FSC_Broker_Commission_Information&amp;Member_Nbr=A9003482100%20&amp;rs%3AParameterLanguage=" TargetMode="External"/><Relationship Id="rId8" Type="http://schemas.openxmlformats.org/officeDocument/2006/relationships/hyperlink" Target="http://scwp-cbidb002/ReportServer?%2FSummaCare%2FCommissions%202018%2FSC_Broker_Commission_Information&amp;Member_Nbr=A9002603700%20%20&amp;rs%3AParameterLanguage=" TargetMode="External"/><Relationship Id="rId51" Type="http://schemas.openxmlformats.org/officeDocument/2006/relationships/hyperlink" Target="http://scwp-cbidb002/ReportServer?%2FSummaCare%2FCommissions%202018%2FSC_Broker_Commission_Information&amp;Member_Nbr=A9003562100%20&amp;rs%3AParameterLanguage=" TargetMode="External"/><Relationship Id="rId72" Type="http://schemas.openxmlformats.org/officeDocument/2006/relationships/hyperlink" Target="http://scwp-cbidb002/ReportServer?%2FSummaCare%2FCommissions%202018%2FSC_Broker_Commission_Information&amp;Member_Nbr=A9003433900%20&amp;rs%3AParameterLanguage=" TargetMode="External"/><Relationship Id="rId80" Type="http://schemas.openxmlformats.org/officeDocument/2006/relationships/hyperlink" Target="http://scwp-cbidb002/ReportServer?%2FSummaCare%2FCommissions%202018%2FSC_Broker_Commission_Information&amp;Member_Nbr=A9003722500%20&amp;rs%3AParameterLanguage=" TargetMode="External"/><Relationship Id="rId85" Type="http://schemas.openxmlformats.org/officeDocument/2006/relationships/hyperlink" Target="http://scwp-cbidb002/ReportServer?%2FSummaCare%2FCommissions%202018%2FSC_Broker_Commission_Information&amp;Member_Nbr=A9003364000%20&amp;rs%3AParameterLanguage=" TargetMode="External"/><Relationship Id="rId93" Type="http://schemas.openxmlformats.org/officeDocument/2006/relationships/hyperlink" Target="http://scwp-cbidb002/ReportServer?%2FSummaCare%2FCommissions%202018%2FSC_Broker_Commission_Information&amp;Member_Nbr=A0049168700%20&amp;rs%3AParameterLanguage=" TargetMode="External"/><Relationship Id="rId98" Type="http://schemas.openxmlformats.org/officeDocument/2006/relationships/hyperlink" Target="http://scwp-cbidb002/ReportServer?%2FSummaCare%2FCommissions%202018%2FSC_Broker_Commission_Information&amp;Member_Nbr=A9002973700%20&amp;rs%3AParameterLanguage=" TargetMode="External"/><Relationship Id="rId3" Type="http://schemas.openxmlformats.org/officeDocument/2006/relationships/hyperlink" Target="http://scwp-cbidb002/ReportServer?%2FSummaCare%2FCommissions%202018%2FSC_Broker_Commission_Information&amp;Member_Nbr=A9001310600%20%20&amp;rs%3AParameterLanguage=" TargetMode="External"/><Relationship Id="rId12" Type="http://schemas.openxmlformats.org/officeDocument/2006/relationships/hyperlink" Target="http://scwp-cbidb002/ReportServer?%2FSummaCare%2FCommissions%202018%2FSC_Broker_Commission_Information&amp;Member_Nbr=A9003752500%20%20&amp;rs%3AParameterLanguage=" TargetMode="External"/><Relationship Id="rId17" Type="http://schemas.openxmlformats.org/officeDocument/2006/relationships/hyperlink" Target="http://scwp-cbidb002/ReportServer?%2FSummaCare%2FCommissions%202018%2FSC_Broker_Commission_Information&amp;Member_Nbr=A9004004500%20%20&amp;rs%3AParameterLanguage=" TargetMode="External"/><Relationship Id="rId25" Type="http://schemas.openxmlformats.org/officeDocument/2006/relationships/hyperlink" Target="http://scwp-cbidb002/ReportServer?%2FSummaCare%2FCommissions%202018%2FSC_Broker_Commission_Information&amp;Member_Nbr=A9001490300%20&amp;rs%3AParameterLanguage=" TargetMode="External"/><Relationship Id="rId33" Type="http://schemas.openxmlformats.org/officeDocument/2006/relationships/hyperlink" Target="http://scwp-cbidb002/ReportServer?%2FSummaCare%2FCommissions%202018%2FSC_Broker_Commission_Information&amp;Member_Nbr=A9002985200%20&amp;rs%3AParameterLanguage=" TargetMode="External"/><Relationship Id="rId38" Type="http://schemas.openxmlformats.org/officeDocument/2006/relationships/hyperlink" Target="http://scwp-cbidb002/ReportServer?%2FSummaCare%2FCommissions%202018%2FSC_Broker_Commission_Information&amp;Member_Nbr=A9002985000%20&amp;rs%3AParameterLanguage=" TargetMode="External"/><Relationship Id="rId46" Type="http://schemas.openxmlformats.org/officeDocument/2006/relationships/hyperlink" Target="http://scwp-cbidb002/ReportServer?%2FSummaCare%2FCommissions%202018%2FSC_Broker_Commission_Information&amp;Member_Nbr=A9003037800%20&amp;rs%3AParameterLanguage=" TargetMode="External"/><Relationship Id="rId59" Type="http://schemas.openxmlformats.org/officeDocument/2006/relationships/hyperlink" Target="http://scwp-cbidb002/ReportServer?%2FSummaCare%2FCommissions%202018%2FSC_Broker_Commission_Information&amp;Member_Nbr=A9003262100%20&amp;rs%3AParameterLanguage=" TargetMode="External"/><Relationship Id="rId67" Type="http://schemas.openxmlformats.org/officeDocument/2006/relationships/hyperlink" Target="http://scwp-cbidb002/ReportServer?%2FSummaCare%2FCommissions%202018%2FSC_Broker_Commission_Information&amp;Member_Nbr=A9002985400%20&amp;rs%3AParameterLanguage=" TargetMode="External"/><Relationship Id="rId103" Type="http://schemas.openxmlformats.org/officeDocument/2006/relationships/hyperlink" Target="http://scwp-cbidb002/ReportServer?%2FSummaCare%2FCommissions%202018%2FSC_Broker_Commission_Information&amp;Member_Nbr=A9002952000%20&amp;rs%3AParameterLanguage=" TargetMode="External"/><Relationship Id="rId108" Type="http://schemas.openxmlformats.org/officeDocument/2006/relationships/hyperlink" Target="http://scwp-cbidb002/ReportServer?%2FSummaCare%2FCommissions%202018%2FSC_Broker_Commission_Information&amp;Member_Nbr=A9003634100%20&amp;rs%3AParameterLanguage=" TargetMode="External"/><Relationship Id="rId20" Type="http://schemas.openxmlformats.org/officeDocument/2006/relationships/hyperlink" Target="http://scwp-cbidb002/ReportServer?%2FSummaCare%2FCommissions%202018%2FSC_Broker_Commission_Information&amp;Member_Nbr=A9003119400%20&amp;rs%3AParameterLanguage=" TargetMode="External"/><Relationship Id="rId41" Type="http://schemas.openxmlformats.org/officeDocument/2006/relationships/hyperlink" Target="http://scwp-cbidb002/ReportServer?%2FSummaCare%2FCommissions%202018%2FSC_Broker_Commission_Information&amp;Member_Nbr=A9002974000%20&amp;rs%3AParameterLanguage=" TargetMode="External"/><Relationship Id="rId54" Type="http://schemas.openxmlformats.org/officeDocument/2006/relationships/hyperlink" Target="http://scwp-cbidb002/ReportServer?%2FSummaCare%2FCommissions%202018%2FSC_Broker_Commission_Information&amp;Member_Nbr=A9003158700%20&amp;rs%3AParameterLanguage=" TargetMode="External"/><Relationship Id="rId62" Type="http://schemas.openxmlformats.org/officeDocument/2006/relationships/hyperlink" Target="http://scwp-cbidb002/ReportServer?%2FSummaCare%2FCommissions%202018%2FSC_Broker_Commission_Information&amp;Member_Nbr=A9003566500%20&amp;rs%3AParameterLanguage=" TargetMode="External"/><Relationship Id="rId70" Type="http://schemas.openxmlformats.org/officeDocument/2006/relationships/hyperlink" Target="http://scwp-cbidb002/ReportServer?%2FSummaCare%2FCommissions%202018%2FSC_Broker_Commission_Information&amp;Member_Nbr=A9003142900%20&amp;rs%3AParameterLanguage=" TargetMode="External"/><Relationship Id="rId75" Type="http://schemas.openxmlformats.org/officeDocument/2006/relationships/hyperlink" Target="http://scwp-cbidb002/ReportServer?%2FSummaCare%2FCommissions%202018%2FSC_Broker_Commission_Information&amp;Member_Nbr=A9003227400%20&amp;rs%3AParameterLanguage=" TargetMode="External"/><Relationship Id="rId83" Type="http://schemas.openxmlformats.org/officeDocument/2006/relationships/hyperlink" Target="http://scwp-cbidb002/ReportServer?%2FSummaCare%2FCommissions%202018%2FSC_Broker_Commission_Information&amp;Member_Nbr=A9003363800%20&amp;rs%3AParameterLanguage=" TargetMode="External"/><Relationship Id="rId88" Type="http://schemas.openxmlformats.org/officeDocument/2006/relationships/hyperlink" Target="http://scwp-cbidb002/ReportServer?%2FSummaCare%2FCommissions%202018%2FSC_Broker_Commission_Information&amp;Member_Nbr=A9002977400%20&amp;rs%3AParameterLanguage=" TargetMode="External"/><Relationship Id="rId91" Type="http://schemas.openxmlformats.org/officeDocument/2006/relationships/hyperlink" Target="http://scwp-cbidb002/ReportServer?%2FSummaCare%2FCommissions%202018%2FSC_Broker_Commission_Information&amp;Member_Nbr=A9003284100%20&amp;rs%3AParameterLanguage=" TargetMode="External"/><Relationship Id="rId96" Type="http://schemas.openxmlformats.org/officeDocument/2006/relationships/hyperlink" Target="http://scwp-cbidb002/ReportServer?%2FSummaCare%2FCommissions%202018%2FSC_Broker_Commission_Information&amp;Member_Nbr=A9002947800%20&amp;rs%3AParameterLanguage=" TargetMode="External"/><Relationship Id="rId111" Type="http://schemas.openxmlformats.org/officeDocument/2006/relationships/hyperlink" Target="http://scwp-cbidb002/ReportServer?%2FSummaCare%2FCommissions%202018%2FSC_Broker_Commission_Information&amp;Member_Nbr=A9002985000%20&amp;rs%3AParameterLanguage=" TargetMode="External"/><Relationship Id="rId1" Type="http://schemas.openxmlformats.org/officeDocument/2006/relationships/hyperlink" Target="http://scwp-cbidb002/ReportServer?%2FSummaCare%2FCommissions%202018%2FSC_Broker_Commission_Information&amp;Member_Nbr=A9003921000%20%20&amp;rs%3AParameterLanguage=" TargetMode="External"/><Relationship Id="rId6" Type="http://schemas.openxmlformats.org/officeDocument/2006/relationships/hyperlink" Target="http://scwp-cbidb002/ReportServer?%2FSummaCare%2FCommissions%202018%2FSC_Broker_Commission_Information&amp;Member_Nbr=A0051608100%20%20&amp;rs%3AParameterLanguage=" TargetMode="External"/><Relationship Id="rId15" Type="http://schemas.openxmlformats.org/officeDocument/2006/relationships/hyperlink" Target="http://scwp-cbidb002/ReportServer?%2FSummaCare%2FCommissions%202018%2FSC_Broker_Commission_Information&amp;Member_Nbr=A9001661900%20%20&amp;rs%3AParameterLanguage=" TargetMode="External"/><Relationship Id="rId23" Type="http://schemas.openxmlformats.org/officeDocument/2006/relationships/hyperlink" Target="http://scwp-cbidb002/ReportServer?%2FSummaCare%2FCommissions%202018%2FSC_Broker_Commission_Information&amp;Member_Nbr=A9003158500%20&amp;rs%3AParameterLanguage=" TargetMode="External"/><Relationship Id="rId28" Type="http://schemas.openxmlformats.org/officeDocument/2006/relationships/hyperlink" Target="http://scwp-cbidb002/ReportServer?%2FSummaCare%2FCommissions%202018%2FSC_Broker_Commission_Information&amp;Member_Nbr=A9003154700%20&amp;rs%3AParameterLanguage=" TargetMode="External"/><Relationship Id="rId36" Type="http://schemas.openxmlformats.org/officeDocument/2006/relationships/hyperlink" Target="http://scwp-cbidb002/ReportServer?%2FSummaCare%2FCommissions%202018%2FSC_Broker_Commission_Information&amp;Member_Nbr=A9003137200%20&amp;rs%3AParameterLanguage=" TargetMode="External"/><Relationship Id="rId49" Type="http://schemas.openxmlformats.org/officeDocument/2006/relationships/hyperlink" Target="http://scwp-cbidb002/ReportServer?%2FSummaCare%2FCommissions%202018%2FSC_Broker_Commission_Information&amp;Member_Nbr=A9003018500%20&amp;rs%3AParameterLanguage=" TargetMode="External"/><Relationship Id="rId57" Type="http://schemas.openxmlformats.org/officeDocument/2006/relationships/hyperlink" Target="http://scwp-cbidb002/ReportServer?%2FSummaCare%2FCommissions%202018%2FSC_Broker_Commission_Information&amp;Member_Nbr=A9003019100%20&amp;rs%3AParameterLanguage=" TargetMode="External"/><Relationship Id="rId106" Type="http://schemas.openxmlformats.org/officeDocument/2006/relationships/hyperlink" Target="http://scwp-cbidb002/ReportServer?%2FSummaCare%2FCommissions%202018%2FSC_Broker_Commission_Information&amp;Member_Nbr=A9003299700%20&amp;rs%3AParameterLanguage=" TargetMode="External"/><Relationship Id="rId10" Type="http://schemas.openxmlformats.org/officeDocument/2006/relationships/hyperlink" Target="http://scwp-cbidb002/ReportServer?%2FSummaCare%2FCommissions%202018%2FSC_Broker_Commission_Information&amp;Member_Nbr=A9003762900%20%20&amp;rs%3AParameterLanguage=" TargetMode="External"/><Relationship Id="rId31" Type="http://schemas.openxmlformats.org/officeDocument/2006/relationships/hyperlink" Target="http://scwp-cbidb002/ReportServer?%2FSummaCare%2FCommissions%202018%2FSC_Broker_Commission_Information&amp;Member_Nbr=A9003014200%20&amp;rs%3AParameterLanguage=" TargetMode="External"/><Relationship Id="rId44" Type="http://schemas.openxmlformats.org/officeDocument/2006/relationships/hyperlink" Target="http://scwp-cbidb002/ReportServer?%2FSummaCare%2FCommissions%202018%2FSC_Broker_Commission_Information&amp;Member_Nbr=A9003046700%20&amp;rs%3AParameterLanguage=" TargetMode="External"/><Relationship Id="rId52" Type="http://schemas.openxmlformats.org/officeDocument/2006/relationships/hyperlink" Target="http://scwp-cbidb002/ReportServer?%2FSummaCare%2FCommissions%202018%2FSC_Broker_Commission_Information&amp;Member_Nbr=A9003203200%20&amp;rs%3AParameterLanguage=" TargetMode="External"/><Relationship Id="rId60" Type="http://schemas.openxmlformats.org/officeDocument/2006/relationships/hyperlink" Target="http://scwp-cbidb002/ReportServer?%2FSummaCare%2FCommissions%202018%2FSC_Broker_Commission_Information&amp;Member_Nbr=A9003154700%20&amp;rs%3AParameterLanguage=" TargetMode="External"/><Relationship Id="rId65" Type="http://schemas.openxmlformats.org/officeDocument/2006/relationships/hyperlink" Target="http://scwp-cbidb002/ReportServer?%2FSummaCare%2FCommissions%202018%2FSC_Broker_Commission_Information&amp;Member_Nbr=A9002953500%20&amp;rs%3AParameterLanguage=" TargetMode="External"/><Relationship Id="rId73" Type="http://schemas.openxmlformats.org/officeDocument/2006/relationships/hyperlink" Target="http://scwp-cbidb002/ReportServer?%2FSummaCare%2FCommissions%202018%2FSC_Broker_Commission_Information&amp;Member_Nbr=A9003434200%20&amp;rs%3AParameterLanguage=" TargetMode="External"/><Relationship Id="rId78" Type="http://schemas.openxmlformats.org/officeDocument/2006/relationships/hyperlink" Target="http://scwp-cbidb002/ReportServer?%2FSummaCare%2FCommissions%202018%2FSC_Broker_Commission_Information&amp;Member_Nbr=A9003278800%20&amp;rs%3AParameterLanguage=" TargetMode="External"/><Relationship Id="rId81" Type="http://schemas.openxmlformats.org/officeDocument/2006/relationships/hyperlink" Target="http://scwp-cbidb002/ReportServer?%2FSummaCare%2FCommissions%202018%2FSC_Broker_Commission_Information&amp;Member_Nbr=A9003137200%20&amp;rs%3AParameterLanguage=" TargetMode="External"/><Relationship Id="rId86" Type="http://schemas.openxmlformats.org/officeDocument/2006/relationships/hyperlink" Target="http://scwp-cbidb002/ReportServer?%2FSummaCare%2FCommissions%202018%2FSC_Broker_Commission_Information&amp;Member_Nbr=A9003644800%20&amp;rs%3AParameterLanguage=" TargetMode="External"/><Relationship Id="rId94" Type="http://schemas.openxmlformats.org/officeDocument/2006/relationships/hyperlink" Target="http://scwp-cbidb002/ReportServer?%2FSummaCare%2FCommissions%202018%2FSC_Broker_Commission_Information&amp;Member_Nbr=A0033563400%20&amp;rs%3AParameterLanguage=" TargetMode="External"/><Relationship Id="rId99" Type="http://schemas.openxmlformats.org/officeDocument/2006/relationships/hyperlink" Target="http://scwp-cbidb002/ReportServer?%2FSummaCare%2FCommissions%202018%2FSC_Broker_Commission_Information&amp;Member_Nbr=A9002974000%20&amp;rs%3AParameterLanguage=" TargetMode="External"/><Relationship Id="rId101" Type="http://schemas.openxmlformats.org/officeDocument/2006/relationships/hyperlink" Target="http://scwp-cbidb002/ReportServer?%2FSummaCare%2FCommissions%202018%2FSC_Broker_Commission_Information&amp;Member_Nbr=A9003046300%20&amp;rs%3AParameterLanguage=" TargetMode="External"/><Relationship Id="rId4" Type="http://schemas.openxmlformats.org/officeDocument/2006/relationships/hyperlink" Target="http://scwp-cbidb002/ReportServer?%2FSummaCare%2FCommissions%202018%2FSC_Broker_Commission_Information&amp;Member_Nbr=A9001183200%20%20&amp;rs%3AParameterLanguage=" TargetMode="External"/><Relationship Id="rId9" Type="http://schemas.openxmlformats.org/officeDocument/2006/relationships/hyperlink" Target="http://scwp-cbidb002/ReportServer?%2FSummaCare%2FCommissions%202018%2FSC_Broker_Commission_Information&amp;Member_Nbr=A9002603800%20%20&amp;rs%3AParameterLanguage=" TargetMode="External"/><Relationship Id="rId13" Type="http://schemas.openxmlformats.org/officeDocument/2006/relationships/hyperlink" Target="http://scwp-cbidb002/ReportServer?%2FSummaCare%2FCommissions%202018%2FSC_Broker_Commission_Information&amp;Member_Nbr=A9003821400%20%20&amp;rs%3AParameterLanguage=" TargetMode="External"/><Relationship Id="rId18" Type="http://schemas.openxmlformats.org/officeDocument/2006/relationships/hyperlink" Target="http://scwp-cbidb002/ReportServer?%2FSummaCare%2FCommissions%202018%2FSC_Broker_Commission_Information&amp;Member_Nbr=A9004007300%20%20&amp;rs%3AParameterLanguage=" TargetMode="External"/><Relationship Id="rId39" Type="http://schemas.openxmlformats.org/officeDocument/2006/relationships/hyperlink" Target="http://scwp-cbidb002/ReportServer?%2FSummaCare%2FCommissions%202018%2FSC_Broker_Commission_Information&amp;Member_Nbr=A9002947800%20&amp;rs%3AParameterLanguage=" TargetMode="External"/><Relationship Id="rId109" Type="http://schemas.openxmlformats.org/officeDocument/2006/relationships/hyperlink" Target="http://scwp-cbidb002/ReportServer?%2FSummaCare%2FCommissions%202018%2FSC_Broker_Commission_Information&amp;Member_Nbr=A9001093400%20&amp;rs%3AParameterLanguage=" TargetMode="External"/><Relationship Id="rId34" Type="http://schemas.openxmlformats.org/officeDocument/2006/relationships/hyperlink" Target="http://scwp-cbidb002/ReportServer?%2FSummaCare%2FCommissions%202018%2FSC_Broker_Commission_Information&amp;Member_Nbr=A9003142900%20&amp;rs%3AParameterLanguage=" TargetMode="External"/><Relationship Id="rId50" Type="http://schemas.openxmlformats.org/officeDocument/2006/relationships/hyperlink" Target="http://scwp-cbidb002/ReportServer?%2FSummaCare%2FCommissions%202018%2FSC_Broker_Commission_Information&amp;Member_Nbr=A9003562200%20&amp;rs%3AParameterLanguage=" TargetMode="External"/><Relationship Id="rId55" Type="http://schemas.openxmlformats.org/officeDocument/2006/relationships/hyperlink" Target="http://scwp-cbidb002/ReportServer?%2FSummaCare%2FCommissions%202018%2FSC_Broker_Commission_Information&amp;Member_Nbr=A9001490300%20&amp;rs%3AParameterLanguage=" TargetMode="External"/><Relationship Id="rId76" Type="http://schemas.openxmlformats.org/officeDocument/2006/relationships/hyperlink" Target="http://scwp-cbidb002/ReportServer?%2FSummaCare%2FCommissions%202018%2FSC_Broker_Commission_Information&amp;Member_Nbr=A9003569500%20&amp;rs%3AParameterLanguage=" TargetMode="External"/><Relationship Id="rId97" Type="http://schemas.openxmlformats.org/officeDocument/2006/relationships/hyperlink" Target="http://scwp-cbidb002/ReportServer?%2FSummaCare%2FCommissions%202018%2FSC_Broker_Commission_Information&amp;Member_Nbr=A9003113400%20&amp;rs%3AParameterLanguage=" TargetMode="External"/><Relationship Id="rId104" Type="http://schemas.openxmlformats.org/officeDocument/2006/relationships/hyperlink" Target="http://scwp-cbidb002/ReportServer?%2FSummaCare%2FCommissions%202018%2FSC_Broker_Commission_Information&amp;Member_Nbr=A9003382700%20&amp;rs%3AParameterLanguage=" TargetMode="External"/><Relationship Id="rId7" Type="http://schemas.openxmlformats.org/officeDocument/2006/relationships/hyperlink" Target="http://scwp-cbidb002/ReportServer?%2FSummaCare%2FCommissions%202018%2FSC_Broker_Commission_Information&amp;Member_Nbr=A9001163300%20%20&amp;rs%3AParameterLanguage=" TargetMode="External"/><Relationship Id="rId71" Type="http://schemas.openxmlformats.org/officeDocument/2006/relationships/hyperlink" Target="http://scwp-cbidb002/ReportServer?%2FSummaCare%2FCommissions%202018%2FSC_Broker_Commission_Information&amp;Member_Nbr=A9003161700%20&amp;rs%3AParameterLanguage=" TargetMode="External"/><Relationship Id="rId92" Type="http://schemas.openxmlformats.org/officeDocument/2006/relationships/hyperlink" Target="http://scwp-cbidb002/ReportServer?%2FSummaCare%2FCommissions%202018%2FSC_Broker_Commission_Information&amp;Member_Nbr=A9003382800%20&amp;rs%3AParameterLanguage=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scwp-cbidb002/ReportServer?%2FSummaCare%2FCommissions%202018%2FSC_Broker_Commission_Information&amp;Member_Nbr=A9003262100%20&amp;rs%3AParameterLanguage=" TargetMode="External"/><Relationship Id="rId18" Type="http://schemas.openxmlformats.org/officeDocument/2006/relationships/hyperlink" Target="http://scwp-cbidb002/ReportServer?%2FSummaCare%2FCommissions%202018%2FSC_Broker_Commission_Information&amp;Member_Nbr=A9003514800%20&amp;rs%3AParameterLanguage=" TargetMode="External"/><Relationship Id="rId26" Type="http://schemas.openxmlformats.org/officeDocument/2006/relationships/hyperlink" Target="http://scwp-cbidb002/ReportServer?%2FSummaCare%2FCommissions%202018%2FSC_Broker_Commission_Information&amp;Member_Nbr=A9003433900%20&amp;rs%3AParameterLanguage=" TargetMode="External"/><Relationship Id="rId39" Type="http://schemas.openxmlformats.org/officeDocument/2006/relationships/hyperlink" Target="http://scwp-cbidb002/ReportServer?%2FSummaCare%2FCommissions%202018%2FSC_Broker_Commission_Information&amp;Member_Nbr=A9003364000%20&amp;rs%3AParameterLanguage=" TargetMode="External"/><Relationship Id="rId21" Type="http://schemas.openxmlformats.org/officeDocument/2006/relationships/hyperlink" Target="http://scwp-cbidb002/ReportServer?%2FSummaCare%2FCommissions%202018%2FSC_Broker_Commission_Information&amp;Member_Nbr=A9002985400%20&amp;rs%3AParameterLanguage=" TargetMode="External"/><Relationship Id="rId34" Type="http://schemas.openxmlformats.org/officeDocument/2006/relationships/hyperlink" Target="http://scwp-cbidb002/ReportServer?%2FSummaCare%2FCommissions%202018%2FSC_Broker_Commission_Information&amp;Member_Nbr=A9003722500%20&amp;rs%3AParameterLanguage=" TargetMode="External"/><Relationship Id="rId42" Type="http://schemas.openxmlformats.org/officeDocument/2006/relationships/hyperlink" Target="http://scwp-cbidb002/ReportServer?%2FSummaCare%2FCommissions%202018%2FSC_Broker_Commission_Information&amp;Member_Nbr=A9002977400%20&amp;rs%3AParameterLanguage=" TargetMode="External"/><Relationship Id="rId47" Type="http://schemas.openxmlformats.org/officeDocument/2006/relationships/hyperlink" Target="http://scwp-cbidb002/ReportServer?%2FSummaCare%2FCommissions%202018%2FSC_Broker_Commission_Information&amp;Member_Nbr=A0049168700%20&amp;rs%3AParameterLanguage=" TargetMode="External"/><Relationship Id="rId50" Type="http://schemas.openxmlformats.org/officeDocument/2006/relationships/hyperlink" Target="http://scwp-cbidb002/ReportServer?%2FSummaCare%2FCommissions%202018%2FSC_Broker_Commission_Information&amp;Member_Nbr=A9002947800%20&amp;rs%3AParameterLanguage=" TargetMode="External"/><Relationship Id="rId55" Type="http://schemas.openxmlformats.org/officeDocument/2006/relationships/hyperlink" Target="http://scwp-cbidb002/ReportServer?%2FSummaCare%2FCommissions%202018%2FSC_Broker_Commission_Information&amp;Member_Nbr=A9003046300%20&amp;rs%3AParameterLanguage=" TargetMode="External"/><Relationship Id="rId63" Type="http://schemas.openxmlformats.org/officeDocument/2006/relationships/hyperlink" Target="http://scwp-cbidb002/ReportServer?%2FSummaCare%2FCommissions%202018%2FSC_Broker_Commission_Information&amp;Member_Nbr=A9001093400%20&amp;rs%3AParameterLanguage=" TargetMode="External"/><Relationship Id="rId7" Type="http://schemas.openxmlformats.org/officeDocument/2006/relationships/hyperlink" Target="http://scwp-cbidb002/ReportServer?%2FSummaCare%2FCommissions%202018%2FSC_Broker_Commission_Information&amp;Member_Nbr=A9003158500%20&amp;rs%3AParameterLanguage=" TargetMode="External"/><Relationship Id="rId2" Type="http://schemas.openxmlformats.org/officeDocument/2006/relationships/hyperlink" Target="http://scwp-cbidb002/ReportServer?%2FSummaCare%2FCommissions%202018%2FSC_Broker_Commission_Information&amp;Member_Nbr=A9003119400%20&amp;rs%3AParameterLanguage=" TargetMode="External"/><Relationship Id="rId16" Type="http://schemas.openxmlformats.org/officeDocument/2006/relationships/hyperlink" Target="http://scwp-cbidb002/ReportServer?%2FSummaCare%2FCommissions%202018%2FSC_Broker_Commission_Information&amp;Member_Nbr=A9003566500%20&amp;rs%3AParameterLanguage=" TargetMode="External"/><Relationship Id="rId20" Type="http://schemas.openxmlformats.org/officeDocument/2006/relationships/hyperlink" Target="http://scwp-cbidb002/ReportServer?%2FSummaCare%2FCommissions%202018%2FSC_Broker_Commission_Information&amp;Member_Nbr=A9003014200%20&amp;rs%3AParameterLanguage=" TargetMode="External"/><Relationship Id="rId29" Type="http://schemas.openxmlformats.org/officeDocument/2006/relationships/hyperlink" Target="http://scwp-cbidb002/ReportServer?%2FSummaCare%2FCommissions%202018%2FSC_Broker_Commission_Information&amp;Member_Nbr=A9003227400%20&amp;rs%3AParameterLanguage=" TargetMode="External"/><Relationship Id="rId41" Type="http://schemas.openxmlformats.org/officeDocument/2006/relationships/hyperlink" Target="http://scwp-cbidb002/ReportServer?%2FSummaCare%2FCommissions%202018%2FSC_Broker_Commission_Information&amp;Member_Nbr=A9003677200%20&amp;rs%3AParameterLanguage=" TargetMode="External"/><Relationship Id="rId54" Type="http://schemas.openxmlformats.org/officeDocument/2006/relationships/hyperlink" Target="http://scwp-cbidb002/ReportServer?%2FSummaCare%2FCommissions%202018%2FSC_Broker_Commission_Information&amp;Member_Nbr=A9003046200%20&amp;rs%3AParameterLanguage=" TargetMode="External"/><Relationship Id="rId62" Type="http://schemas.openxmlformats.org/officeDocument/2006/relationships/hyperlink" Target="http://scwp-cbidb002/ReportServer?%2FSummaCare%2FCommissions%202018%2FSC_Broker_Commission_Information&amp;Member_Nbr=A9003634100%20&amp;rs%3AParameterLanguage=" TargetMode="External"/><Relationship Id="rId1" Type="http://schemas.openxmlformats.org/officeDocument/2006/relationships/hyperlink" Target="http://scwp-cbidb002/ReportServer?%2FSummaCare%2FCommissions%202018%2FSC_Broker_Commission_Information&amp;Member_Nbr=A9003119500%20&amp;rs%3AParameterLanguage=" TargetMode="External"/><Relationship Id="rId6" Type="http://schemas.openxmlformats.org/officeDocument/2006/relationships/hyperlink" Target="http://scwp-cbidb002/ReportServer?%2FSummaCare%2FCommissions%202018%2FSC_Broker_Commission_Information&amp;Member_Nbr=A9003203200%20&amp;rs%3AParameterLanguage=" TargetMode="External"/><Relationship Id="rId11" Type="http://schemas.openxmlformats.org/officeDocument/2006/relationships/hyperlink" Target="http://scwp-cbidb002/ReportServer?%2FSummaCare%2FCommissions%202018%2FSC_Broker_Commission_Information&amp;Member_Nbr=A9003019100%20&amp;rs%3AParameterLanguage=" TargetMode="External"/><Relationship Id="rId24" Type="http://schemas.openxmlformats.org/officeDocument/2006/relationships/hyperlink" Target="http://scwp-cbidb002/ReportServer?%2FSummaCare%2FCommissions%202018%2FSC_Broker_Commission_Information&amp;Member_Nbr=A9003142900%20&amp;rs%3AParameterLanguage=" TargetMode="External"/><Relationship Id="rId32" Type="http://schemas.openxmlformats.org/officeDocument/2006/relationships/hyperlink" Target="http://scwp-cbidb002/ReportServer?%2FSummaCare%2FCommissions%202018%2FSC_Broker_Commission_Information&amp;Member_Nbr=A9003278800%20&amp;rs%3AParameterLanguage=" TargetMode="External"/><Relationship Id="rId37" Type="http://schemas.openxmlformats.org/officeDocument/2006/relationships/hyperlink" Target="http://scwp-cbidb002/ReportServer?%2FSummaCare%2FCommissions%202018%2FSC_Broker_Commission_Information&amp;Member_Nbr=A9003363800%20&amp;rs%3AParameterLanguage=" TargetMode="External"/><Relationship Id="rId40" Type="http://schemas.openxmlformats.org/officeDocument/2006/relationships/hyperlink" Target="http://scwp-cbidb002/ReportServer?%2FSummaCare%2FCommissions%202018%2FSC_Broker_Commission_Information&amp;Member_Nbr=A9003644800%20&amp;rs%3AParameterLanguage=" TargetMode="External"/><Relationship Id="rId45" Type="http://schemas.openxmlformats.org/officeDocument/2006/relationships/hyperlink" Target="http://scwp-cbidb002/ReportServer?%2FSummaCare%2FCommissions%202018%2FSC_Broker_Commission_Information&amp;Member_Nbr=A9003284100%20&amp;rs%3AParameterLanguage=" TargetMode="External"/><Relationship Id="rId53" Type="http://schemas.openxmlformats.org/officeDocument/2006/relationships/hyperlink" Target="http://scwp-cbidb002/ReportServer?%2FSummaCare%2FCommissions%202018%2FSC_Broker_Commission_Information&amp;Member_Nbr=A9002974000%20&amp;rs%3AParameterLanguage=" TargetMode="External"/><Relationship Id="rId58" Type="http://schemas.openxmlformats.org/officeDocument/2006/relationships/hyperlink" Target="http://scwp-cbidb002/ReportServer?%2FSummaCare%2FCommissions%202018%2FSC_Broker_Commission_Information&amp;Member_Nbr=A9003382700%20&amp;rs%3AParameterLanguage=" TargetMode="External"/><Relationship Id="rId5" Type="http://schemas.openxmlformats.org/officeDocument/2006/relationships/hyperlink" Target="http://scwp-cbidb002/ReportServer?%2FSummaCare%2FCommissions%202018%2FSC_Broker_Commission_Information&amp;Member_Nbr=A9003562100%20&amp;rs%3AParameterLanguage=" TargetMode="External"/><Relationship Id="rId15" Type="http://schemas.openxmlformats.org/officeDocument/2006/relationships/hyperlink" Target="http://scwp-cbidb002/ReportServer?%2FSummaCare%2FCommissions%202018%2FSC_Broker_Commission_Information&amp;Member_Nbr=A9003676000%20&amp;rs%3AParameterLanguage=" TargetMode="External"/><Relationship Id="rId23" Type="http://schemas.openxmlformats.org/officeDocument/2006/relationships/hyperlink" Target="http://scwp-cbidb002/ReportServer?%2FSummaCare%2FCommissions%202018%2FSC_Broker_Commission_Information&amp;Member_Nbr=A9003387400%20&amp;rs%3AParameterLanguage=" TargetMode="External"/><Relationship Id="rId28" Type="http://schemas.openxmlformats.org/officeDocument/2006/relationships/hyperlink" Target="http://scwp-cbidb002/ReportServer?%2FSummaCare%2FCommissions%202018%2FSC_Broker_Commission_Information&amp;Member_Nbr=A9003281700%20&amp;rs%3AParameterLanguage=" TargetMode="External"/><Relationship Id="rId36" Type="http://schemas.openxmlformats.org/officeDocument/2006/relationships/hyperlink" Target="http://scwp-cbidb002/ReportServer?%2FSummaCare%2FCommissions%202018%2FSC_Broker_Commission_Information&amp;Member_Nbr=A9003040400%20&amp;rs%3AParameterLanguage=" TargetMode="External"/><Relationship Id="rId49" Type="http://schemas.openxmlformats.org/officeDocument/2006/relationships/hyperlink" Target="http://scwp-cbidb002/ReportServer?%2FSummaCare%2FCommissions%202018%2FSC_Broker_Commission_Information&amp;Member_Nbr=A9003721200%20&amp;rs%3AParameterLanguage=" TargetMode="External"/><Relationship Id="rId57" Type="http://schemas.openxmlformats.org/officeDocument/2006/relationships/hyperlink" Target="http://scwp-cbidb002/ReportServer?%2FSummaCare%2FCommissions%202018%2FSC_Broker_Commission_Information&amp;Member_Nbr=A9002952000%20&amp;rs%3AParameterLanguage=" TargetMode="External"/><Relationship Id="rId61" Type="http://schemas.openxmlformats.org/officeDocument/2006/relationships/hyperlink" Target="http://scwp-cbidb002/ReportServer?%2FSummaCare%2FCommissions%202018%2FSC_Broker_Commission_Information&amp;Member_Nbr=A9003673200%20&amp;rs%3AParameterLanguage=" TargetMode="External"/><Relationship Id="rId10" Type="http://schemas.openxmlformats.org/officeDocument/2006/relationships/hyperlink" Target="http://scwp-cbidb002/ReportServer?%2FSummaCare%2FCommissions%202018%2FSC_Broker_Commission_Information&amp;Member_Nbr=A9001105800%20&amp;rs%3AParameterLanguage=" TargetMode="External"/><Relationship Id="rId19" Type="http://schemas.openxmlformats.org/officeDocument/2006/relationships/hyperlink" Target="http://scwp-cbidb002/ReportServer?%2FSummaCare%2FCommissions%202018%2FSC_Broker_Commission_Information&amp;Member_Nbr=A9002953500%20&amp;rs%3AParameterLanguage=" TargetMode="External"/><Relationship Id="rId31" Type="http://schemas.openxmlformats.org/officeDocument/2006/relationships/hyperlink" Target="http://scwp-cbidb002/ReportServer?%2FSummaCare%2FCommissions%202018%2FSC_Broker_Commission_Information&amp;Member_Nbr=A9003569600%20&amp;rs%3AParameterLanguage=" TargetMode="External"/><Relationship Id="rId44" Type="http://schemas.openxmlformats.org/officeDocument/2006/relationships/hyperlink" Target="http://scwp-cbidb002/ReportServer?%2FSummaCare%2FCommissions%202018%2FSC_Broker_Commission_Information&amp;Member_Nbr=A9003327400%20&amp;rs%3AParameterLanguage=" TargetMode="External"/><Relationship Id="rId52" Type="http://schemas.openxmlformats.org/officeDocument/2006/relationships/hyperlink" Target="http://scwp-cbidb002/ReportServer?%2FSummaCare%2FCommissions%202018%2FSC_Broker_Commission_Information&amp;Member_Nbr=A9002973700%20&amp;rs%3AParameterLanguage=" TargetMode="External"/><Relationship Id="rId60" Type="http://schemas.openxmlformats.org/officeDocument/2006/relationships/hyperlink" Target="http://scwp-cbidb002/ReportServer?%2FSummaCare%2FCommissions%202018%2FSC_Broker_Commission_Information&amp;Member_Nbr=A9003299700%20&amp;rs%3AParameterLanguage=" TargetMode="External"/><Relationship Id="rId65" Type="http://schemas.openxmlformats.org/officeDocument/2006/relationships/hyperlink" Target="http://scwp-cbidb002/ReportServer?%2FSummaCare%2FCommissions%202018%2FSC_Broker_Commission_Information&amp;Member_Nbr=A9002985000%20&amp;rs%3AParameterLanguage=" TargetMode="External"/><Relationship Id="rId4" Type="http://schemas.openxmlformats.org/officeDocument/2006/relationships/hyperlink" Target="http://scwp-cbidb002/ReportServer?%2FSummaCare%2FCommissions%202018%2FSC_Broker_Commission_Information&amp;Member_Nbr=A9003562200%20&amp;rs%3AParameterLanguage=" TargetMode="External"/><Relationship Id="rId9" Type="http://schemas.openxmlformats.org/officeDocument/2006/relationships/hyperlink" Target="http://scwp-cbidb002/ReportServer?%2FSummaCare%2FCommissions%202018%2FSC_Broker_Commission_Information&amp;Member_Nbr=A9001490300%20&amp;rs%3AParameterLanguage=" TargetMode="External"/><Relationship Id="rId14" Type="http://schemas.openxmlformats.org/officeDocument/2006/relationships/hyperlink" Target="http://scwp-cbidb002/ReportServer?%2FSummaCare%2FCommissions%202018%2FSC_Broker_Commission_Information&amp;Member_Nbr=A9003154700%20&amp;rs%3AParameterLanguage=" TargetMode="External"/><Relationship Id="rId22" Type="http://schemas.openxmlformats.org/officeDocument/2006/relationships/hyperlink" Target="http://scwp-cbidb002/ReportServer?%2FSummaCare%2FCommissions%202018%2FSC_Broker_Commission_Information&amp;Member_Nbr=A9002985200%20&amp;rs%3AParameterLanguage=" TargetMode="External"/><Relationship Id="rId27" Type="http://schemas.openxmlformats.org/officeDocument/2006/relationships/hyperlink" Target="http://scwp-cbidb002/ReportServer?%2FSummaCare%2FCommissions%202018%2FSC_Broker_Commission_Information&amp;Member_Nbr=A9003434200%20&amp;rs%3AParameterLanguage=" TargetMode="External"/><Relationship Id="rId30" Type="http://schemas.openxmlformats.org/officeDocument/2006/relationships/hyperlink" Target="http://scwp-cbidb002/ReportServer?%2FSummaCare%2FCommissions%202018%2FSC_Broker_Commission_Information&amp;Member_Nbr=A9003569500%20&amp;rs%3AParameterLanguage=" TargetMode="External"/><Relationship Id="rId35" Type="http://schemas.openxmlformats.org/officeDocument/2006/relationships/hyperlink" Target="http://scwp-cbidb002/ReportServer?%2FSummaCare%2FCommissions%202018%2FSC_Broker_Commission_Information&amp;Member_Nbr=A9003137200%20&amp;rs%3AParameterLanguage=" TargetMode="External"/><Relationship Id="rId43" Type="http://schemas.openxmlformats.org/officeDocument/2006/relationships/hyperlink" Target="http://scwp-cbidb002/ReportServer?%2FSummaCare%2FCommissions%202018%2FSC_Broker_Commission_Information&amp;Member_Nbr=A9003407900%20&amp;rs%3AParameterLanguage=" TargetMode="External"/><Relationship Id="rId48" Type="http://schemas.openxmlformats.org/officeDocument/2006/relationships/hyperlink" Target="http://scwp-cbidb002/ReportServer?%2FSummaCare%2FCommissions%202018%2FSC_Broker_Commission_Information&amp;Member_Nbr=A0033563400%20&amp;rs%3AParameterLanguage=" TargetMode="External"/><Relationship Id="rId56" Type="http://schemas.openxmlformats.org/officeDocument/2006/relationships/hyperlink" Target="http://scwp-cbidb002/ReportServer?%2FSummaCare%2FCommissions%202018%2FSC_Broker_Commission_Information&amp;Member_Nbr=A9003046700%20&amp;rs%3AParameterLanguage=" TargetMode="External"/><Relationship Id="rId64" Type="http://schemas.openxmlformats.org/officeDocument/2006/relationships/hyperlink" Target="http://scwp-cbidb002/ReportServer?%2FSummaCare%2FCommissions%202018%2FSC_Broker_Commission_Information&amp;Member_Nbr=A9003037800%20&amp;rs%3AParameterLanguage=" TargetMode="External"/><Relationship Id="rId8" Type="http://schemas.openxmlformats.org/officeDocument/2006/relationships/hyperlink" Target="http://scwp-cbidb002/ReportServer?%2FSummaCare%2FCommissions%202018%2FSC_Broker_Commission_Information&amp;Member_Nbr=A9003158700%20&amp;rs%3AParameterLanguage=" TargetMode="External"/><Relationship Id="rId51" Type="http://schemas.openxmlformats.org/officeDocument/2006/relationships/hyperlink" Target="http://scwp-cbidb002/ReportServer?%2FSummaCare%2FCommissions%202018%2FSC_Broker_Commission_Information&amp;Member_Nbr=A9003113400%20&amp;rs%3AParameterLanguage=" TargetMode="External"/><Relationship Id="rId3" Type="http://schemas.openxmlformats.org/officeDocument/2006/relationships/hyperlink" Target="http://scwp-cbidb002/ReportServer?%2FSummaCare%2FCommissions%202018%2FSC_Broker_Commission_Information&amp;Member_Nbr=A9003018500%20&amp;rs%3AParameterLanguage=" TargetMode="External"/><Relationship Id="rId12" Type="http://schemas.openxmlformats.org/officeDocument/2006/relationships/hyperlink" Target="http://scwp-cbidb002/ReportServer?%2FSummaCare%2FCommissions%202018%2FSC_Broker_Commission_Information&amp;Member_Nbr=A9003261900%20&amp;rs%3AParameterLanguage=" TargetMode="External"/><Relationship Id="rId17" Type="http://schemas.openxmlformats.org/officeDocument/2006/relationships/hyperlink" Target="http://scwp-cbidb002/ReportServer?%2FSummaCare%2FCommissions%202018%2FSC_Broker_Commission_Information&amp;Member_Nbr=A9003186100%20&amp;rs%3AParameterLanguage=" TargetMode="External"/><Relationship Id="rId25" Type="http://schemas.openxmlformats.org/officeDocument/2006/relationships/hyperlink" Target="http://scwp-cbidb002/ReportServer?%2FSummaCare%2FCommissions%202018%2FSC_Broker_Commission_Information&amp;Member_Nbr=A9003161700%20&amp;rs%3AParameterLanguage=" TargetMode="External"/><Relationship Id="rId33" Type="http://schemas.openxmlformats.org/officeDocument/2006/relationships/hyperlink" Target="http://scwp-cbidb002/ReportServer?%2FSummaCare%2FCommissions%202018%2FSC_Broker_Commission_Information&amp;Member_Nbr=A9003279000%20&amp;rs%3AParameterLanguage=" TargetMode="External"/><Relationship Id="rId38" Type="http://schemas.openxmlformats.org/officeDocument/2006/relationships/hyperlink" Target="http://scwp-cbidb002/ReportServer?%2FSummaCare%2FCommissions%202018%2FSC_Broker_Commission_Information&amp;Member_Nbr=A9003680900%20&amp;rs%3AParameterLanguage=" TargetMode="External"/><Relationship Id="rId46" Type="http://schemas.openxmlformats.org/officeDocument/2006/relationships/hyperlink" Target="http://scwp-cbidb002/ReportServer?%2FSummaCare%2FCommissions%202018%2FSC_Broker_Commission_Information&amp;Member_Nbr=A9003382800%20&amp;rs%3AParameterLanguage=" TargetMode="External"/><Relationship Id="rId59" Type="http://schemas.openxmlformats.org/officeDocument/2006/relationships/hyperlink" Target="http://scwp-cbidb002/ReportServer?%2FSummaCare%2FCommissions%202018%2FSC_Broker_Commission_Information&amp;Member_Nbr=A9003482100%20&amp;rs%3AParameterLanguage=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scwp-cbidb002/ReportServer?%2FSummaCare%2FCommissions%202018%2FSC_Broker_Commission_Information&amp;Member_Nbr=A9001105800%20&amp;rs%3AParameterLanguage=" TargetMode="External"/><Relationship Id="rId13" Type="http://schemas.openxmlformats.org/officeDocument/2006/relationships/hyperlink" Target="http://scwp-cbidb002/ReportServer?%2FSummaCare%2FCommissions%202018%2FSC_Broker_Commission_Information&amp;Member_Nbr=A9003014200%20&amp;rs%3AParameterLanguage=" TargetMode="External"/><Relationship Id="rId18" Type="http://schemas.openxmlformats.org/officeDocument/2006/relationships/hyperlink" Target="http://scwp-cbidb002/ReportServer?%2FSummaCare%2FCommissions%202018%2FSC_Broker_Commission_Information&amp;Member_Nbr=A9003137200%20&amp;rs%3AParameterLanguage=" TargetMode="External"/><Relationship Id="rId26" Type="http://schemas.openxmlformats.org/officeDocument/2006/relationships/hyperlink" Target="http://scwp-cbidb002/ReportServer?%2FSummaCare%2FCommissions%202018%2FSC_Broker_Commission_Information&amp;Member_Nbr=A9003046700%20&amp;rs%3AParameterLanguage=" TargetMode="External"/><Relationship Id="rId3" Type="http://schemas.openxmlformats.org/officeDocument/2006/relationships/hyperlink" Target="http://scwp-cbidb002/ReportServer?%2FSummaCare%2FCommissions%202018%2FSC_Broker_Commission_Information&amp;Member_Nbr=A9003018500%20&amp;rs%3AParameterLanguage=" TargetMode="External"/><Relationship Id="rId21" Type="http://schemas.openxmlformats.org/officeDocument/2006/relationships/hyperlink" Target="http://scwp-cbidb002/ReportServer?%2FSummaCare%2FCommissions%202018%2FSC_Broker_Commission_Information&amp;Member_Nbr=A9002947800%20&amp;rs%3AParameterLanguage=" TargetMode="External"/><Relationship Id="rId7" Type="http://schemas.openxmlformats.org/officeDocument/2006/relationships/hyperlink" Target="http://scwp-cbidb002/ReportServer?%2FSummaCare%2FCommissions%202018%2FSC_Broker_Commission_Information&amp;Member_Nbr=A9001490300%20&amp;rs%3AParameterLanguage=" TargetMode="External"/><Relationship Id="rId12" Type="http://schemas.openxmlformats.org/officeDocument/2006/relationships/hyperlink" Target="http://scwp-cbidb002/ReportServer?%2FSummaCare%2FCommissions%202018%2FSC_Broker_Commission_Information&amp;Member_Nbr=A9002953500%20&amp;rs%3AParameterLanguage=" TargetMode="External"/><Relationship Id="rId17" Type="http://schemas.openxmlformats.org/officeDocument/2006/relationships/hyperlink" Target="http://scwp-cbidb002/ReportServer?%2FSummaCare%2FCommissions%202018%2FSC_Broker_Commission_Information&amp;Member_Nbr=A9003161700%20&amp;rs%3AParameterLanguage=" TargetMode="External"/><Relationship Id="rId25" Type="http://schemas.openxmlformats.org/officeDocument/2006/relationships/hyperlink" Target="http://scwp-cbidb002/ReportServer?%2FSummaCare%2FCommissions%202018%2FSC_Broker_Commission_Information&amp;Member_Nbr=A9003046300%20&amp;rs%3AParameterLanguage=" TargetMode="External"/><Relationship Id="rId2" Type="http://schemas.openxmlformats.org/officeDocument/2006/relationships/hyperlink" Target="http://scwp-cbidb002/ReportServer?%2FSummaCare%2FCommissions%202018%2FSC_Broker_Commission_Information&amp;Member_Nbr=A9003119400%20&amp;rs%3AParameterLanguage=" TargetMode="External"/><Relationship Id="rId16" Type="http://schemas.openxmlformats.org/officeDocument/2006/relationships/hyperlink" Target="http://scwp-cbidb002/ReportServer?%2FSummaCare%2FCommissions%202018%2FSC_Broker_Commission_Information&amp;Member_Nbr=A9003142900%20&amp;rs%3AParameterLanguage=" TargetMode="External"/><Relationship Id="rId20" Type="http://schemas.openxmlformats.org/officeDocument/2006/relationships/hyperlink" Target="http://scwp-cbidb002/ReportServer?%2FSummaCare%2FCommissions%202018%2FSC_Broker_Commission_Information&amp;Member_Nbr=A9002985000%20&amp;rs%3AParameterLanguage=" TargetMode="External"/><Relationship Id="rId1" Type="http://schemas.openxmlformats.org/officeDocument/2006/relationships/hyperlink" Target="http://scwp-cbidb002/ReportServer?%2FSummaCare%2FCommissions%202018%2FSC_Broker_Commission_Information&amp;Member_Nbr=A9003119500%20&amp;rs%3AParameterLanguage=" TargetMode="External"/><Relationship Id="rId6" Type="http://schemas.openxmlformats.org/officeDocument/2006/relationships/hyperlink" Target="http://scwp-cbidb002/ReportServer?%2FSummaCare%2FCommissions%202018%2FSC_Broker_Commission_Information&amp;Member_Nbr=A9003158700%20&amp;rs%3AParameterLanguage=" TargetMode="External"/><Relationship Id="rId11" Type="http://schemas.openxmlformats.org/officeDocument/2006/relationships/hyperlink" Target="http://scwp-cbidb002/ReportServer?%2FSummaCare%2FCommissions%202018%2FSC_Broker_Commission_Information&amp;Member_Nbr=A9003186100%20&amp;rs%3AParameterLanguage=" TargetMode="External"/><Relationship Id="rId24" Type="http://schemas.openxmlformats.org/officeDocument/2006/relationships/hyperlink" Target="http://scwp-cbidb002/ReportServer?%2FSummaCare%2FCommissions%202018%2FSC_Broker_Commission_Information&amp;Member_Nbr=A9003046200%20&amp;rs%3AParameterLanguage=" TargetMode="External"/><Relationship Id="rId5" Type="http://schemas.openxmlformats.org/officeDocument/2006/relationships/hyperlink" Target="http://scwp-cbidb002/ReportServer?%2FSummaCare%2FCommissions%202018%2FSC_Broker_Commission_Information&amp;Member_Nbr=A9003158500%20&amp;rs%3AParameterLanguage=" TargetMode="External"/><Relationship Id="rId15" Type="http://schemas.openxmlformats.org/officeDocument/2006/relationships/hyperlink" Target="http://scwp-cbidb002/ReportServer?%2FSummaCare%2FCommissions%202018%2FSC_Broker_Commission_Information&amp;Member_Nbr=A9002985200%20&amp;rs%3AParameterLanguage=" TargetMode="External"/><Relationship Id="rId23" Type="http://schemas.openxmlformats.org/officeDocument/2006/relationships/hyperlink" Target="http://scwp-cbidb002/ReportServer?%2FSummaCare%2FCommissions%202018%2FSC_Broker_Commission_Information&amp;Member_Nbr=A9002974000%20&amp;rs%3AParameterLanguage=" TargetMode="External"/><Relationship Id="rId28" Type="http://schemas.openxmlformats.org/officeDocument/2006/relationships/hyperlink" Target="http://scwp-cbidb002/ReportServer?%2FSummaCare%2FCommissions%202018%2FSC_Broker_Commission_Information&amp;Member_Nbr=A9003037800%20&amp;rs%3AParameterLanguage=" TargetMode="External"/><Relationship Id="rId10" Type="http://schemas.openxmlformats.org/officeDocument/2006/relationships/hyperlink" Target="http://scwp-cbidb002/ReportServer?%2FSummaCare%2FCommissions%202018%2FSC_Broker_Commission_Information&amp;Member_Nbr=A9003154700%20&amp;rs%3AParameterLanguage=" TargetMode="External"/><Relationship Id="rId19" Type="http://schemas.openxmlformats.org/officeDocument/2006/relationships/hyperlink" Target="http://scwp-cbidb002/ReportServer?%2FSummaCare%2FCommissions%202018%2FSC_Broker_Commission_Information&amp;Member_Nbr=A9003040400%20&amp;rs%3AParameterLanguage=" TargetMode="External"/><Relationship Id="rId4" Type="http://schemas.openxmlformats.org/officeDocument/2006/relationships/hyperlink" Target="http://scwp-cbidb002/ReportServer?%2FSummaCare%2FCommissions%202018%2FSC_Broker_Commission_Information&amp;Member_Nbr=A9003203200%20&amp;rs%3AParameterLanguage=" TargetMode="External"/><Relationship Id="rId9" Type="http://schemas.openxmlformats.org/officeDocument/2006/relationships/hyperlink" Target="http://scwp-cbidb002/ReportServer?%2FSummaCare%2FCommissions%202018%2FSC_Broker_Commission_Information&amp;Member_Nbr=A9003019100%20&amp;rs%3AParameterLanguage=" TargetMode="External"/><Relationship Id="rId14" Type="http://schemas.openxmlformats.org/officeDocument/2006/relationships/hyperlink" Target="http://scwp-cbidb002/ReportServer?%2FSummaCare%2FCommissions%202018%2FSC_Broker_Commission_Information&amp;Member_Nbr=A9002985400%20&amp;rs%3AParameterLanguage=" TargetMode="External"/><Relationship Id="rId22" Type="http://schemas.openxmlformats.org/officeDocument/2006/relationships/hyperlink" Target="http://scwp-cbidb002/ReportServer?%2FSummaCare%2FCommissions%202018%2FSC_Broker_Commission_Information&amp;Member_Nbr=A9002973700%20&amp;rs%3AParameterLanguage=" TargetMode="External"/><Relationship Id="rId27" Type="http://schemas.openxmlformats.org/officeDocument/2006/relationships/hyperlink" Target="http://scwp-cbidb002/ReportServer?%2FSummaCare%2FCommissions%202018%2FSC_Broker_Commission_Information&amp;Member_Nbr=A9002952000%20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7"/>
  <sheetViews>
    <sheetView showGridLines="0" tabSelected="1" topLeftCell="A55" workbookViewId="0">
      <selection activeCell="A31" sqref="A31:M31"/>
    </sheetView>
  </sheetViews>
  <sheetFormatPr defaultRowHeight="15" x14ac:dyDescent="0.25"/>
  <cols>
    <col min="1" max="1" width="0.140625" customWidth="1"/>
    <col min="2" max="2" width="21.28515625" customWidth="1"/>
    <col min="3" max="3" width="6.85546875" customWidth="1"/>
    <col min="4" max="4" width="1.5703125" customWidth="1"/>
    <col min="5" max="5" width="8.7109375" customWidth="1"/>
    <col min="6" max="6" width="0.42578125" customWidth="1"/>
    <col min="7" max="7" width="9.140625" customWidth="1"/>
    <col min="8" max="8" width="2" customWidth="1"/>
    <col min="9" max="9" width="2.140625" customWidth="1"/>
    <col min="10" max="10" width="4.85546875" customWidth="1"/>
    <col min="11" max="11" width="8.85546875" customWidth="1"/>
    <col min="12" max="12" width="1.85546875" customWidth="1"/>
    <col min="13" max="13" width="11" customWidth="1"/>
    <col min="14" max="14" width="0.85546875" customWidth="1"/>
    <col min="15" max="15" width="0" hidden="1" customWidth="1"/>
    <col min="16" max="16" width="9.85546875" customWidth="1"/>
    <col min="17" max="17" width="11" customWidth="1"/>
    <col min="18" max="18" width="12.5703125" customWidth="1"/>
    <col min="19" max="19" width="1.140625" customWidth="1"/>
    <col min="20" max="20" width="1.5703125" customWidth="1"/>
    <col min="21" max="21" width="8.7109375" customWidth="1"/>
    <col min="22" max="22" width="11" customWidth="1"/>
    <col min="23" max="23" width="0" hidden="1" customWidth="1"/>
    <col min="24" max="24" width="2.7109375" customWidth="1"/>
  </cols>
  <sheetData>
    <row r="1" spans="1:24" ht="2.1" customHeight="1" x14ac:dyDescent="0.25">
      <c r="A1" s="39"/>
      <c r="B1" s="39"/>
      <c r="C1" s="39"/>
      <c r="E1" s="40" t="s">
        <v>0</v>
      </c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24" ht="18" customHeight="1" x14ac:dyDescent="0.25">
      <c r="A2" s="39"/>
      <c r="B2" s="39"/>
      <c r="C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U2" s="41" t="s">
        <v>1</v>
      </c>
      <c r="V2" s="39"/>
      <c r="W2" s="39"/>
      <c r="X2" s="39"/>
    </row>
    <row r="3" spans="1:24" ht="23.65" customHeight="1" x14ac:dyDescent="0.25">
      <c r="A3" s="39"/>
      <c r="B3" s="39"/>
      <c r="C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</row>
    <row r="4" spans="1:24" ht="29.65" customHeight="1" x14ac:dyDescent="0.25"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</row>
    <row r="5" spans="1:24" ht="11.85" customHeight="1" x14ac:dyDescent="0.25"/>
    <row r="6" spans="1:24" ht="4.5" customHeight="1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8" customHeight="1" x14ac:dyDescent="0.25">
      <c r="B7" s="42" t="s">
        <v>2</v>
      </c>
      <c r="C7" s="39"/>
      <c r="D7" s="39"/>
      <c r="E7" s="39"/>
      <c r="F7" s="39"/>
      <c r="G7" s="39"/>
      <c r="H7" s="39"/>
    </row>
    <row r="8" spans="1:24" ht="4.1500000000000004" customHeight="1" x14ac:dyDescent="0.25"/>
    <row r="9" spans="1:24" x14ac:dyDescent="0.25">
      <c r="B9" s="2" t="s">
        <v>3</v>
      </c>
      <c r="C9" s="43" t="s">
        <v>4</v>
      </c>
      <c r="D9" s="16"/>
      <c r="E9" s="17"/>
      <c r="F9" s="43" t="s">
        <v>5</v>
      </c>
      <c r="G9" s="16"/>
      <c r="H9" s="16"/>
      <c r="I9" s="17"/>
      <c r="J9" s="43" t="s">
        <v>6</v>
      </c>
      <c r="K9" s="17"/>
      <c r="L9" s="43" t="s">
        <v>7</v>
      </c>
      <c r="M9" s="16"/>
      <c r="N9" s="17"/>
    </row>
    <row r="10" spans="1:24" ht="15.2" customHeight="1" x14ac:dyDescent="0.25">
      <c r="B10" s="3" t="s">
        <v>8</v>
      </c>
      <c r="C10" s="36" t="s">
        <v>9</v>
      </c>
      <c r="D10" s="16"/>
      <c r="E10" s="17"/>
      <c r="F10" s="37" t="s">
        <v>10</v>
      </c>
      <c r="G10" s="16"/>
      <c r="H10" s="16"/>
      <c r="I10" s="17"/>
      <c r="J10" s="37" t="s">
        <v>11</v>
      </c>
      <c r="K10" s="17"/>
      <c r="L10" s="38">
        <v>46010</v>
      </c>
      <c r="M10" s="16"/>
      <c r="N10" s="17"/>
    </row>
    <row r="11" spans="1:24" ht="15.2" customHeight="1" x14ac:dyDescent="0.25">
      <c r="B11" s="3" t="s">
        <v>12</v>
      </c>
      <c r="C11" s="36" t="s">
        <v>13</v>
      </c>
      <c r="D11" s="16"/>
      <c r="E11" s="17"/>
      <c r="F11" s="37" t="s">
        <v>10</v>
      </c>
      <c r="G11" s="16"/>
      <c r="H11" s="16"/>
      <c r="I11" s="17"/>
      <c r="J11" s="37" t="s">
        <v>11</v>
      </c>
      <c r="K11" s="17"/>
      <c r="L11" s="38">
        <v>46010</v>
      </c>
      <c r="M11" s="16"/>
      <c r="N11" s="17"/>
    </row>
    <row r="12" spans="1:24" ht="15.2" customHeight="1" x14ac:dyDescent="0.25">
      <c r="B12" s="3" t="s">
        <v>14</v>
      </c>
      <c r="C12" s="36" t="s">
        <v>15</v>
      </c>
      <c r="D12" s="16"/>
      <c r="E12" s="17"/>
      <c r="F12" s="37" t="s">
        <v>10</v>
      </c>
      <c r="G12" s="16"/>
      <c r="H12" s="16"/>
      <c r="I12" s="17"/>
      <c r="J12" s="37" t="s">
        <v>11</v>
      </c>
      <c r="K12" s="17"/>
      <c r="L12" s="38">
        <v>46010</v>
      </c>
      <c r="M12" s="16"/>
      <c r="N12" s="17"/>
    </row>
    <row r="13" spans="1:24" ht="15.2" customHeight="1" x14ac:dyDescent="0.25">
      <c r="B13" s="3" t="s">
        <v>16</v>
      </c>
      <c r="C13" s="36" t="s">
        <v>17</v>
      </c>
      <c r="D13" s="16"/>
      <c r="E13" s="17"/>
      <c r="F13" s="37" t="s">
        <v>10</v>
      </c>
      <c r="G13" s="16"/>
      <c r="H13" s="16"/>
      <c r="I13" s="17"/>
      <c r="J13" s="37" t="s">
        <v>11</v>
      </c>
      <c r="K13" s="17"/>
      <c r="L13" s="38">
        <v>46010</v>
      </c>
      <c r="M13" s="16"/>
      <c r="N13" s="17"/>
    </row>
    <row r="14" spans="1:24" ht="15.2" customHeight="1" x14ac:dyDescent="0.25">
      <c r="B14" s="3" t="s">
        <v>18</v>
      </c>
      <c r="C14" s="36" t="s">
        <v>19</v>
      </c>
      <c r="D14" s="16"/>
      <c r="E14" s="17"/>
      <c r="F14" s="37" t="s">
        <v>10</v>
      </c>
      <c r="G14" s="16"/>
      <c r="H14" s="16"/>
      <c r="I14" s="17"/>
      <c r="J14" s="37" t="s">
        <v>11</v>
      </c>
      <c r="K14" s="17"/>
      <c r="L14" s="38">
        <v>46010</v>
      </c>
      <c r="M14" s="16"/>
      <c r="N14" s="17"/>
    </row>
    <row r="15" spans="1:24" ht="15.2" customHeight="1" x14ac:dyDescent="0.25">
      <c r="B15" s="3" t="s">
        <v>20</v>
      </c>
      <c r="C15" s="36" t="s">
        <v>21</v>
      </c>
      <c r="D15" s="16"/>
      <c r="E15" s="17"/>
      <c r="F15" s="37" t="s">
        <v>10</v>
      </c>
      <c r="G15" s="16"/>
      <c r="H15" s="16"/>
      <c r="I15" s="17"/>
      <c r="J15" s="37" t="s">
        <v>11</v>
      </c>
      <c r="K15" s="17"/>
      <c r="L15" s="38">
        <v>46042</v>
      </c>
      <c r="M15" s="16"/>
      <c r="N15" s="17"/>
    </row>
    <row r="16" spans="1:24" ht="15.2" customHeight="1" x14ac:dyDescent="0.25">
      <c r="B16" s="3" t="s">
        <v>22</v>
      </c>
      <c r="C16" s="36" t="s">
        <v>23</v>
      </c>
      <c r="D16" s="16"/>
      <c r="E16" s="17"/>
      <c r="F16" s="37" t="s">
        <v>10</v>
      </c>
      <c r="G16" s="16"/>
      <c r="H16" s="16"/>
      <c r="I16" s="17"/>
      <c r="J16" s="37" t="s">
        <v>11</v>
      </c>
      <c r="K16" s="17"/>
      <c r="L16" s="38">
        <v>46010</v>
      </c>
      <c r="M16" s="16"/>
      <c r="N16" s="17"/>
    </row>
    <row r="17" spans="1:24" ht="15.2" customHeight="1" x14ac:dyDescent="0.25">
      <c r="B17" s="3" t="s">
        <v>24</v>
      </c>
      <c r="C17" s="36" t="s">
        <v>25</v>
      </c>
      <c r="D17" s="16"/>
      <c r="E17" s="17"/>
      <c r="F17" s="37" t="s">
        <v>10</v>
      </c>
      <c r="G17" s="16"/>
      <c r="H17" s="16"/>
      <c r="I17" s="17"/>
      <c r="J17" s="37" t="s">
        <v>11</v>
      </c>
      <c r="K17" s="17"/>
      <c r="L17" s="38">
        <v>46042</v>
      </c>
      <c r="M17" s="16"/>
      <c r="N17" s="17"/>
    </row>
    <row r="18" spans="1:24" ht="15.2" customHeight="1" x14ac:dyDescent="0.25">
      <c r="B18" s="3" t="s">
        <v>26</v>
      </c>
      <c r="C18" s="36" t="s">
        <v>27</v>
      </c>
      <c r="D18" s="16"/>
      <c r="E18" s="17"/>
      <c r="F18" s="37" t="s">
        <v>10</v>
      </c>
      <c r="G18" s="16"/>
      <c r="H18" s="16"/>
      <c r="I18" s="17"/>
      <c r="J18" s="37" t="s">
        <v>11</v>
      </c>
      <c r="K18" s="17"/>
      <c r="L18" s="38">
        <v>46042</v>
      </c>
      <c r="M18" s="16"/>
      <c r="N18" s="17"/>
    </row>
    <row r="19" spans="1:24" ht="15.2" customHeight="1" x14ac:dyDescent="0.25">
      <c r="B19" s="3" t="s">
        <v>28</v>
      </c>
      <c r="C19" s="36" t="s">
        <v>29</v>
      </c>
      <c r="D19" s="16"/>
      <c r="E19" s="17"/>
      <c r="F19" s="37" t="s">
        <v>10</v>
      </c>
      <c r="G19" s="16"/>
      <c r="H19" s="16"/>
      <c r="I19" s="17"/>
      <c r="J19" s="37" t="s">
        <v>11</v>
      </c>
      <c r="K19" s="17"/>
      <c r="L19" s="38">
        <v>46010</v>
      </c>
      <c r="M19" s="16"/>
      <c r="N19" s="17"/>
    </row>
    <row r="20" spans="1:24" ht="15.2" customHeight="1" x14ac:dyDescent="0.25">
      <c r="B20" s="3" t="s">
        <v>30</v>
      </c>
      <c r="C20" s="36" t="s">
        <v>31</v>
      </c>
      <c r="D20" s="16"/>
      <c r="E20" s="17"/>
      <c r="F20" s="37" t="s">
        <v>10</v>
      </c>
      <c r="G20" s="16"/>
      <c r="H20" s="16"/>
      <c r="I20" s="17"/>
      <c r="J20" s="37" t="s">
        <v>11</v>
      </c>
      <c r="K20" s="17"/>
      <c r="L20" s="38">
        <v>46010</v>
      </c>
      <c r="M20" s="16"/>
      <c r="N20" s="17"/>
    </row>
    <row r="21" spans="1:24" ht="15.2" customHeight="1" x14ac:dyDescent="0.25">
      <c r="B21" s="3" t="s">
        <v>32</v>
      </c>
      <c r="C21" s="36" t="s">
        <v>33</v>
      </c>
      <c r="D21" s="16"/>
      <c r="E21" s="17"/>
      <c r="F21" s="37" t="s">
        <v>10</v>
      </c>
      <c r="G21" s="16"/>
      <c r="H21" s="16"/>
      <c r="I21" s="17"/>
      <c r="J21" s="37" t="s">
        <v>11</v>
      </c>
      <c r="K21" s="17"/>
      <c r="L21" s="38">
        <v>46010</v>
      </c>
      <c r="M21" s="16"/>
      <c r="N21" s="17"/>
    </row>
    <row r="22" spans="1:24" ht="15.2" customHeight="1" x14ac:dyDescent="0.25">
      <c r="B22" s="3" t="s">
        <v>34</v>
      </c>
      <c r="C22" s="36" t="s">
        <v>35</v>
      </c>
      <c r="D22" s="16"/>
      <c r="E22" s="17"/>
      <c r="F22" s="37" t="s">
        <v>10</v>
      </c>
      <c r="G22" s="16"/>
      <c r="H22" s="16"/>
      <c r="I22" s="17"/>
      <c r="J22" s="37" t="s">
        <v>11</v>
      </c>
      <c r="K22" s="17"/>
      <c r="L22" s="38">
        <v>46010</v>
      </c>
      <c r="M22" s="16"/>
      <c r="N22" s="17"/>
    </row>
    <row r="23" spans="1:24" ht="15.2" customHeight="1" x14ac:dyDescent="0.25">
      <c r="B23" s="3" t="s">
        <v>36</v>
      </c>
      <c r="C23" s="36" t="s">
        <v>37</v>
      </c>
      <c r="D23" s="16"/>
      <c r="E23" s="17"/>
      <c r="F23" s="37" t="s">
        <v>10</v>
      </c>
      <c r="G23" s="16"/>
      <c r="H23" s="16"/>
      <c r="I23" s="17"/>
      <c r="J23" s="37" t="s">
        <v>11</v>
      </c>
      <c r="K23" s="17"/>
      <c r="L23" s="38">
        <v>46010</v>
      </c>
      <c r="M23" s="16"/>
      <c r="N23" s="17"/>
    </row>
    <row r="24" spans="1:24" ht="15.2" customHeight="1" x14ac:dyDescent="0.25">
      <c r="B24" s="3" t="s">
        <v>38</v>
      </c>
      <c r="C24" s="36" t="s">
        <v>39</v>
      </c>
      <c r="D24" s="16"/>
      <c r="E24" s="17"/>
      <c r="F24" s="37" t="s">
        <v>10</v>
      </c>
      <c r="G24" s="16"/>
      <c r="H24" s="16"/>
      <c r="I24" s="17"/>
      <c r="J24" s="37" t="s">
        <v>11</v>
      </c>
      <c r="K24" s="17"/>
      <c r="L24" s="38">
        <v>46010</v>
      </c>
      <c r="M24" s="16"/>
      <c r="N24" s="17"/>
    </row>
    <row r="25" spans="1:24" ht="15.2" customHeight="1" x14ac:dyDescent="0.25">
      <c r="B25" s="3" t="s">
        <v>40</v>
      </c>
      <c r="C25" s="36" t="s">
        <v>41</v>
      </c>
      <c r="D25" s="16"/>
      <c r="E25" s="17"/>
      <c r="F25" s="37" t="s">
        <v>42</v>
      </c>
      <c r="G25" s="16"/>
      <c r="H25" s="16"/>
      <c r="I25" s="17"/>
      <c r="J25" s="37" t="s">
        <v>11</v>
      </c>
      <c r="K25" s="17"/>
      <c r="L25" s="38">
        <v>46042</v>
      </c>
      <c r="M25" s="16"/>
      <c r="N25" s="17"/>
    </row>
    <row r="26" spans="1:24" ht="15.2" customHeight="1" x14ac:dyDescent="0.25">
      <c r="B26" s="3" t="s">
        <v>43</v>
      </c>
      <c r="C26" s="36" t="s">
        <v>44</v>
      </c>
      <c r="D26" s="16"/>
      <c r="E26" s="17"/>
      <c r="F26" s="37" t="s">
        <v>42</v>
      </c>
      <c r="G26" s="16"/>
      <c r="H26" s="16"/>
      <c r="I26" s="17"/>
      <c r="J26" s="37" t="s">
        <v>11</v>
      </c>
      <c r="K26" s="17"/>
      <c r="L26" s="38">
        <v>46042</v>
      </c>
      <c r="M26" s="16"/>
      <c r="N26" s="17"/>
    </row>
    <row r="27" spans="1:24" ht="15.2" customHeight="1" x14ac:dyDescent="0.25">
      <c r="B27" s="3" t="s">
        <v>45</v>
      </c>
      <c r="C27" s="36" t="s">
        <v>46</v>
      </c>
      <c r="D27" s="16"/>
      <c r="E27" s="17"/>
      <c r="F27" s="37" t="s">
        <v>42</v>
      </c>
      <c r="G27" s="16"/>
      <c r="H27" s="16"/>
      <c r="I27" s="17"/>
      <c r="J27" s="37" t="s">
        <v>11</v>
      </c>
      <c r="K27" s="17"/>
      <c r="L27" s="38">
        <v>46042</v>
      </c>
      <c r="M27" s="16"/>
      <c r="N27" s="17"/>
    </row>
    <row r="28" spans="1:24" x14ac:dyDescent="0.25">
      <c r="B28" s="4" t="s">
        <v>47</v>
      </c>
      <c r="C28" s="34">
        <v>18</v>
      </c>
      <c r="D28" s="16"/>
      <c r="E28" s="17"/>
      <c r="F28" s="34" t="s">
        <v>48</v>
      </c>
      <c r="G28" s="16"/>
      <c r="H28" s="16"/>
      <c r="I28" s="17"/>
      <c r="J28" s="34" t="s">
        <v>48</v>
      </c>
      <c r="K28" s="17"/>
      <c r="L28" s="35" t="s">
        <v>48</v>
      </c>
      <c r="M28" s="16"/>
      <c r="N28" s="17"/>
    </row>
    <row r="29" spans="1:24" ht="8.85" customHeight="1" x14ac:dyDescent="0.25"/>
    <row r="30" spans="1:24" ht="5.4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x14ac:dyDescent="0.25">
      <c r="A31" s="24" t="s">
        <v>49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6"/>
      <c r="N31" s="24" t="s">
        <v>48</v>
      </c>
      <c r="O31" s="25"/>
      <c r="P31" s="26"/>
      <c r="Q31" s="5" t="s">
        <v>48</v>
      </c>
      <c r="R31" s="5" t="s">
        <v>48</v>
      </c>
      <c r="S31" s="24" t="s">
        <v>48</v>
      </c>
      <c r="T31" s="25"/>
      <c r="U31" s="26"/>
      <c r="V31" s="5" t="s">
        <v>48</v>
      </c>
    </row>
    <row r="32" spans="1:24" x14ac:dyDescent="0.25">
      <c r="A32" s="27" t="s">
        <v>50</v>
      </c>
      <c r="B32" s="28"/>
      <c r="C32" s="29" t="s">
        <v>4</v>
      </c>
      <c r="D32" s="30"/>
      <c r="E32" s="30"/>
      <c r="F32" s="28"/>
      <c r="G32" s="6" t="s">
        <v>51</v>
      </c>
      <c r="H32" s="29" t="s">
        <v>52</v>
      </c>
      <c r="I32" s="30"/>
      <c r="J32" s="28"/>
      <c r="K32" s="29" t="s">
        <v>53</v>
      </c>
      <c r="L32" s="28"/>
      <c r="M32" s="7" t="s">
        <v>54</v>
      </c>
      <c r="N32" s="31" t="s">
        <v>55</v>
      </c>
      <c r="O32" s="32"/>
      <c r="P32" s="33"/>
      <c r="Q32" s="7" t="s">
        <v>56</v>
      </c>
      <c r="R32" s="7" t="s">
        <v>57</v>
      </c>
      <c r="S32" s="31" t="s">
        <v>58</v>
      </c>
      <c r="T32" s="32"/>
      <c r="U32" s="33"/>
      <c r="V32" s="7" t="s">
        <v>59</v>
      </c>
    </row>
    <row r="33" spans="1:22" x14ac:dyDescent="0.25">
      <c r="A33" s="20" t="s">
        <v>60</v>
      </c>
      <c r="B33" s="17"/>
      <c r="C33" s="21" t="s">
        <v>61</v>
      </c>
      <c r="D33" s="16"/>
      <c r="E33" s="16"/>
      <c r="F33" s="17"/>
      <c r="G33" s="8" t="s">
        <v>10</v>
      </c>
      <c r="H33" s="22" t="s">
        <v>11</v>
      </c>
      <c r="I33" s="16"/>
      <c r="J33" s="17"/>
      <c r="K33" s="22" t="s">
        <v>62</v>
      </c>
      <c r="L33" s="17"/>
      <c r="M33" s="8" t="s">
        <v>63</v>
      </c>
      <c r="N33" s="23">
        <v>50</v>
      </c>
      <c r="O33" s="16"/>
      <c r="P33" s="17"/>
      <c r="Q33" s="8">
        <v>0</v>
      </c>
      <c r="R33" s="8">
        <v>0</v>
      </c>
      <c r="S33" s="15">
        <v>0</v>
      </c>
      <c r="T33" s="16"/>
      <c r="U33" s="17"/>
      <c r="V33" s="9">
        <v>50</v>
      </c>
    </row>
    <row r="34" spans="1:22" x14ac:dyDescent="0.25">
      <c r="A34" s="20" t="s">
        <v>64</v>
      </c>
      <c r="B34" s="17"/>
      <c r="C34" s="21" t="s">
        <v>65</v>
      </c>
      <c r="D34" s="16"/>
      <c r="E34" s="16"/>
      <c r="F34" s="17"/>
      <c r="G34" s="8" t="s">
        <v>10</v>
      </c>
      <c r="H34" s="22" t="s">
        <v>11</v>
      </c>
      <c r="I34" s="16"/>
      <c r="J34" s="17"/>
      <c r="K34" s="22" t="s">
        <v>62</v>
      </c>
      <c r="L34" s="17"/>
      <c r="M34" s="8" t="s">
        <v>63</v>
      </c>
      <c r="N34" s="23">
        <v>50</v>
      </c>
      <c r="O34" s="16"/>
      <c r="P34" s="17"/>
      <c r="Q34" s="8">
        <v>0</v>
      </c>
      <c r="R34" s="8">
        <v>0</v>
      </c>
      <c r="S34" s="15">
        <v>0</v>
      </c>
      <c r="T34" s="16"/>
      <c r="U34" s="17"/>
      <c r="V34" s="9">
        <v>50</v>
      </c>
    </row>
    <row r="35" spans="1:22" x14ac:dyDescent="0.25">
      <c r="A35" s="20" t="s">
        <v>66</v>
      </c>
      <c r="B35" s="17"/>
      <c r="C35" s="21" t="s">
        <v>67</v>
      </c>
      <c r="D35" s="16"/>
      <c r="E35" s="16"/>
      <c r="F35" s="17"/>
      <c r="G35" s="8" t="s">
        <v>10</v>
      </c>
      <c r="H35" s="22" t="s">
        <v>11</v>
      </c>
      <c r="I35" s="16"/>
      <c r="J35" s="17"/>
      <c r="K35" s="22" t="s">
        <v>68</v>
      </c>
      <c r="L35" s="17"/>
      <c r="M35" s="8" t="s">
        <v>63</v>
      </c>
      <c r="N35" s="23">
        <v>50</v>
      </c>
      <c r="O35" s="16"/>
      <c r="P35" s="17"/>
      <c r="Q35" s="8">
        <v>0</v>
      </c>
      <c r="R35" s="8">
        <v>0</v>
      </c>
      <c r="S35" s="15">
        <v>0</v>
      </c>
      <c r="T35" s="16"/>
      <c r="U35" s="17"/>
      <c r="V35" s="9">
        <v>50</v>
      </c>
    </row>
    <row r="36" spans="1:22" x14ac:dyDescent="0.25">
      <c r="A36" s="20" t="s">
        <v>69</v>
      </c>
      <c r="B36" s="17"/>
      <c r="C36" s="21" t="s">
        <v>70</v>
      </c>
      <c r="D36" s="16"/>
      <c r="E36" s="16"/>
      <c r="F36" s="17"/>
      <c r="G36" s="8" t="s">
        <v>10</v>
      </c>
      <c r="H36" s="22" t="s">
        <v>11</v>
      </c>
      <c r="I36" s="16"/>
      <c r="J36" s="17"/>
      <c r="K36" s="22" t="s">
        <v>71</v>
      </c>
      <c r="L36" s="17"/>
      <c r="M36" s="8" t="s">
        <v>63</v>
      </c>
      <c r="N36" s="23">
        <v>50</v>
      </c>
      <c r="O36" s="16"/>
      <c r="P36" s="17"/>
      <c r="Q36" s="8">
        <v>0</v>
      </c>
      <c r="R36" s="8">
        <v>0</v>
      </c>
      <c r="S36" s="15">
        <v>0</v>
      </c>
      <c r="T36" s="16"/>
      <c r="U36" s="17"/>
      <c r="V36" s="9">
        <v>50</v>
      </c>
    </row>
    <row r="37" spans="1:22" x14ac:dyDescent="0.25">
      <c r="A37" s="20" t="s">
        <v>72</v>
      </c>
      <c r="B37" s="17"/>
      <c r="C37" s="21" t="s">
        <v>73</v>
      </c>
      <c r="D37" s="16"/>
      <c r="E37" s="16"/>
      <c r="F37" s="17"/>
      <c r="G37" s="8" t="s">
        <v>10</v>
      </c>
      <c r="H37" s="22" t="s">
        <v>11</v>
      </c>
      <c r="I37" s="16"/>
      <c r="J37" s="17"/>
      <c r="K37" s="22" t="s">
        <v>74</v>
      </c>
      <c r="L37" s="17"/>
      <c r="M37" s="8" t="s">
        <v>63</v>
      </c>
      <c r="N37" s="23">
        <v>50</v>
      </c>
      <c r="O37" s="16"/>
      <c r="P37" s="17"/>
      <c r="Q37" s="8">
        <v>0</v>
      </c>
      <c r="R37" s="8">
        <v>0</v>
      </c>
      <c r="S37" s="15">
        <v>0</v>
      </c>
      <c r="T37" s="16"/>
      <c r="U37" s="17"/>
      <c r="V37" s="9">
        <v>50</v>
      </c>
    </row>
    <row r="38" spans="1:22" x14ac:dyDescent="0.25">
      <c r="A38" s="20" t="s">
        <v>75</v>
      </c>
      <c r="B38" s="17"/>
      <c r="C38" s="21" t="s">
        <v>76</v>
      </c>
      <c r="D38" s="16"/>
      <c r="E38" s="16"/>
      <c r="F38" s="17"/>
      <c r="G38" s="8" t="s">
        <v>10</v>
      </c>
      <c r="H38" s="22" t="s">
        <v>11</v>
      </c>
      <c r="I38" s="16"/>
      <c r="J38" s="17"/>
      <c r="K38" s="22" t="s">
        <v>74</v>
      </c>
      <c r="L38" s="17"/>
      <c r="M38" s="8" t="s">
        <v>63</v>
      </c>
      <c r="N38" s="23">
        <v>50</v>
      </c>
      <c r="O38" s="16"/>
      <c r="P38" s="17"/>
      <c r="Q38" s="8">
        <v>0</v>
      </c>
      <c r="R38" s="8">
        <v>0</v>
      </c>
      <c r="S38" s="15">
        <v>0</v>
      </c>
      <c r="T38" s="16"/>
      <c r="U38" s="17"/>
      <c r="V38" s="9">
        <v>50</v>
      </c>
    </row>
    <row r="39" spans="1:22" x14ac:dyDescent="0.25">
      <c r="A39" s="20" t="s">
        <v>77</v>
      </c>
      <c r="B39" s="17"/>
      <c r="C39" s="21" t="s">
        <v>78</v>
      </c>
      <c r="D39" s="16"/>
      <c r="E39" s="16"/>
      <c r="F39" s="17"/>
      <c r="G39" s="8" t="s">
        <v>10</v>
      </c>
      <c r="H39" s="22" t="s">
        <v>11</v>
      </c>
      <c r="I39" s="16"/>
      <c r="J39" s="17"/>
      <c r="K39" s="22" t="s">
        <v>79</v>
      </c>
      <c r="L39" s="17"/>
      <c r="M39" s="8" t="s">
        <v>63</v>
      </c>
      <c r="N39" s="23">
        <v>50</v>
      </c>
      <c r="O39" s="16"/>
      <c r="P39" s="17"/>
      <c r="Q39" s="8">
        <v>0</v>
      </c>
      <c r="R39" s="8">
        <v>0</v>
      </c>
      <c r="S39" s="15">
        <v>0</v>
      </c>
      <c r="T39" s="16"/>
      <c r="U39" s="17"/>
      <c r="V39" s="9">
        <v>50</v>
      </c>
    </row>
    <row r="40" spans="1:22" x14ac:dyDescent="0.25">
      <c r="A40" s="20" t="s">
        <v>80</v>
      </c>
      <c r="B40" s="17"/>
      <c r="C40" s="21" t="s">
        <v>81</v>
      </c>
      <c r="D40" s="16"/>
      <c r="E40" s="16"/>
      <c r="F40" s="17"/>
      <c r="G40" s="8" t="s">
        <v>10</v>
      </c>
      <c r="H40" s="22" t="s">
        <v>11</v>
      </c>
      <c r="I40" s="16"/>
      <c r="J40" s="17"/>
      <c r="K40" s="22" t="s">
        <v>79</v>
      </c>
      <c r="L40" s="17"/>
      <c r="M40" s="8" t="s">
        <v>63</v>
      </c>
      <c r="N40" s="23">
        <v>50</v>
      </c>
      <c r="O40" s="16"/>
      <c r="P40" s="17"/>
      <c r="Q40" s="8">
        <v>0</v>
      </c>
      <c r="R40" s="8">
        <v>0</v>
      </c>
      <c r="S40" s="15">
        <v>0</v>
      </c>
      <c r="T40" s="16"/>
      <c r="U40" s="17"/>
      <c r="V40" s="9">
        <v>50</v>
      </c>
    </row>
    <row r="41" spans="1:22" x14ac:dyDescent="0.25">
      <c r="A41" s="20" t="s">
        <v>82</v>
      </c>
      <c r="B41" s="17"/>
      <c r="C41" s="21" t="s">
        <v>83</v>
      </c>
      <c r="D41" s="16"/>
      <c r="E41" s="16"/>
      <c r="F41" s="17"/>
      <c r="G41" s="8" t="s">
        <v>10</v>
      </c>
      <c r="H41" s="22" t="s">
        <v>11</v>
      </c>
      <c r="I41" s="16"/>
      <c r="J41" s="17"/>
      <c r="K41" s="22" t="s">
        <v>68</v>
      </c>
      <c r="L41" s="17"/>
      <c r="M41" s="8" t="s">
        <v>63</v>
      </c>
      <c r="N41" s="23">
        <v>50</v>
      </c>
      <c r="O41" s="16"/>
      <c r="P41" s="17"/>
      <c r="Q41" s="8">
        <v>0</v>
      </c>
      <c r="R41" s="8">
        <v>0</v>
      </c>
      <c r="S41" s="15">
        <v>0</v>
      </c>
      <c r="T41" s="16"/>
      <c r="U41" s="17"/>
      <c r="V41" s="9">
        <v>50</v>
      </c>
    </row>
    <row r="42" spans="1:22" x14ac:dyDescent="0.25">
      <c r="A42" s="20" t="s">
        <v>84</v>
      </c>
      <c r="B42" s="17"/>
      <c r="C42" s="21" t="s">
        <v>85</v>
      </c>
      <c r="D42" s="16"/>
      <c r="E42" s="16"/>
      <c r="F42" s="17"/>
      <c r="G42" s="8" t="s">
        <v>10</v>
      </c>
      <c r="H42" s="22" t="s">
        <v>11</v>
      </c>
      <c r="I42" s="16"/>
      <c r="J42" s="17"/>
      <c r="K42" s="22" t="s">
        <v>74</v>
      </c>
      <c r="L42" s="17"/>
      <c r="M42" s="8" t="s">
        <v>63</v>
      </c>
      <c r="N42" s="23">
        <v>50</v>
      </c>
      <c r="O42" s="16"/>
      <c r="P42" s="17"/>
      <c r="Q42" s="8">
        <v>0</v>
      </c>
      <c r="R42" s="8">
        <v>0</v>
      </c>
      <c r="S42" s="15">
        <v>0</v>
      </c>
      <c r="T42" s="16"/>
      <c r="U42" s="17"/>
      <c r="V42" s="9">
        <v>50</v>
      </c>
    </row>
    <row r="43" spans="1:22" x14ac:dyDescent="0.25">
      <c r="A43" s="20" t="s">
        <v>86</v>
      </c>
      <c r="B43" s="17"/>
      <c r="C43" s="21" t="s">
        <v>87</v>
      </c>
      <c r="D43" s="16"/>
      <c r="E43" s="16"/>
      <c r="F43" s="17"/>
      <c r="G43" s="8" t="s">
        <v>10</v>
      </c>
      <c r="H43" s="22" t="s">
        <v>11</v>
      </c>
      <c r="I43" s="16"/>
      <c r="J43" s="17"/>
      <c r="K43" s="22" t="s">
        <v>88</v>
      </c>
      <c r="L43" s="17"/>
      <c r="M43" s="8" t="s">
        <v>63</v>
      </c>
      <c r="N43" s="23">
        <v>50</v>
      </c>
      <c r="O43" s="16"/>
      <c r="P43" s="17"/>
      <c r="Q43" s="8">
        <v>0</v>
      </c>
      <c r="R43" s="8">
        <v>0</v>
      </c>
      <c r="S43" s="15">
        <v>0</v>
      </c>
      <c r="T43" s="16"/>
      <c r="U43" s="17"/>
      <c r="V43" s="9">
        <v>50</v>
      </c>
    </row>
    <row r="44" spans="1:22" x14ac:dyDescent="0.25">
      <c r="A44" s="20" t="s">
        <v>89</v>
      </c>
      <c r="B44" s="17"/>
      <c r="C44" s="21" t="s">
        <v>90</v>
      </c>
      <c r="D44" s="16"/>
      <c r="E44" s="16"/>
      <c r="F44" s="17"/>
      <c r="G44" s="8" t="s">
        <v>10</v>
      </c>
      <c r="H44" s="22" t="s">
        <v>11</v>
      </c>
      <c r="I44" s="16"/>
      <c r="J44" s="17"/>
      <c r="K44" s="22" t="s">
        <v>91</v>
      </c>
      <c r="L44" s="17"/>
      <c r="M44" s="8" t="s">
        <v>63</v>
      </c>
      <c r="N44" s="23">
        <v>50</v>
      </c>
      <c r="O44" s="16"/>
      <c r="P44" s="17"/>
      <c r="Q44" s="8">
        <v>0</v>
      </c>
      <c r="R44" s="8">
        <v>0</v>
      </c>
      <c r="S44" s="15">
        <v>0</v>
      </c>
      <c r="T44" s="16"/>
      <c r="U44" s="17"/>
      <c r="V44" s="9">
        <v>50</v>
      </c>
    </row>
    <row r="45" spans="1:22" x14ac:dyDescent="0.25">
      <c r="A45" s="20" t="s">
        <v>92</v>
      </c>
      <c r="B45" s="17"/>
      <c r="C45" s="21" t="s">
        <v>93</v>
      </c>
      <c r="D45" s="16"/>
      <c r="E45" s="16"/>
      <c r="F45" s="17"/>
      <c r="G45" s="8" t="s">
        <v>10</v>
      </c>
      <c r="H45" s="22" t="s">
        <v>11</v>
      </c>
      <c r="I45" s="16"/>
      <c r="J45" s="17"/>
      <c r="K45" s="22" t="s">
        <v>68</v>
      </c>
      <c r="L45" s="17"/>
      <c r="M45" s="8" t="s">
        <v>63</v>
      </c>
      <c r="N45" s="23">
        <v>50</v>
      </c>
      <c r="O45" s="16"/>
      <c r="P45" s="17"/>
      <c r="Q45" s="8">
        <v>0</v>
      </c>
      <c r="R45" s="8">
        <v>0</v>
      </c>
      <c r="S45" s="15">
        <v>0</v>
      </c>
      <c r="T45" s="16"/>
      <c r="U45" s="17"/>
      <c r="V45" s="9">
        <v>50</v>
      </c>
    </row>
    <row r="46" spans="1:22" x14ac:dyDescent="0.25">
      <c r="A46" s="20" t="s">
        <v>94</v>
      </c>
      <c r="B46" s="17"/>
      <c r="C46" s="21" t="s">
        <v>95</v>
      </c>
      <c r="D46" s="16"/>
      <c r="E46" s="16"/>
      <c r="F46" s="17"/>
      <c r="G46" s="8" t="s">
        <v>10</v>
      </c>
      <c r="H46" s="22" t="s">
        <v>11</v>
      </c>
      <c r="I46" s="16"/>
      <c r="J46" s="17"/>
      <c r="K46" s="22" t="s">
        <v>79</v>
      </c>
      <c r="L46" s="17"/>
      <c r="M46" s="8" t="s">
        <v>63</v>
      </c>
      <c r="N46" s="23">
        <v>50</v>
      </c>
      <c r="O46" s="16"/>
      <c r="P46" s="17"/>
      <c r="Q46" s="8">
        <v>0</v>
      </c>
      <c r="R46" s="8">
        <v>0</v>
      </c>
      <c r="S46" s="15">
        <v>0</v>
      </c>
      <c r="T46" s="16"/>
      <c r="U46" s="17"/>
      <c r="V46" s="9">
        <v>50</v>
      </c>
    </row>
    <row r="47" spans="1:22" x14ac:dyDescent="0.25">
      <c r="A47" s="20" t="s">
        <v>96</v>
      </c>
      <c r="B47" s="17"/>
      <c r="C47" s="21" t="s">
        <v>97</v>
      </c>
      <c r="D47" s="16"/>
      <c r="E47" s="16"/>
      <c r="F47" s="17"/>
      <c r="G47" s="8" t="s">
        <v>10</v>
      </c>
      <c r="H47" s="22" t="s">
        <v>11</v>
      </c>
      <c r="I47" s="16"/>
      <c r="J47" s="17"/>
      <c r="K47" s="22" t="s">
        <v>79</v>
      </c>
      <c r="L47" s="17"/>
      <c r="M47" s="8" t="s">
        <v>63</v>
      </c>
      <c r="N47" s="23">
        <v>50</v>
      </c>
      <c r="O47" s="16"/>
      <c r="P47" s="17"/>
      <c r="Q47" s="8">
        <v>0</v>
      </c>
      <c r="R47" s="8">
        <v>0</v>
      </c>
      <c r="S47" s="15">
        <v>0</v>
      </c>
      <c r="T47" s="16"/>
      <c r="U47" s="17"/>
      <c r="V47" s="9">
        <v>50</v>
      </c>
    </row>
    <row r="48" spans="1:22" x14ac:dyDescent="0.25">
      <c r="A48" s="20" t="s">
        <v>98</v>
      </c>
      <c r="B48" s="17"/>
      <c r="C48" s="21" t="s">
        <v>99</v>
      </c>
      <c r="D48" s="16"/>
      <c r="E48" s="16"/>
      <c r="F48" s="17"/>
      <c r="G48" s="8" t="s">
        <v>10</v>
      </c>
      <c r="H48" s="22" t="s">
        <v>11</v>
      </c>
      <c r="I48" s="16"/>
      <c r="J48" s="17"/>
      <c r="K48" s="22" t="s">
        <v>100</v>
      </c>
      <c r="L48" s="17"/>
      <c r="M48" s="8" t="s">
        <v>63</v>
      </c>
      <c r="N48" s="23">
        <v>50</v>
      </c>
      <c r="O48" s="16"/>
      <c r="P48" s="17"/>
      <c r="Q48" s="8">
        <v>0</v>
      </c>
      <c r="R48" s="8">
        <v>0</v>
      </c>
      <c r="S48" s="15">
        <v>0</v>
      </c>
      <c r="T48" s="16"/>
      <c r="U48" s="17"/>
      <c r="V48" s="9">
        <v>50</v>
      </c>
    </row>
    <row r="49" spans="1:22" x14ac:dyDescent="0.25">
      <c r="A49" s="20" t="s">
        <v>101</v>
      </c>
      <c r="B49" s="17"/>
      <c r="C49" s="21" t="s">
        <v>102</v>
      </c>
      <c r="D49" s="16"/>
      <c r="E49" s="16"/>
      <c r="F49" s="17"/>
      <c r="G49" s="8" t="s">
        <v>10</v>
      </c>
      <c r="H49" s="22" t="s">
        <v>11</v>
      </c>
      <c r="I49" s="16"/>
      <c r="J49" s="17"/>
      <c r="K49" s="22" t="s">
        <v>74</v>
      </c>
      <c r="L49" s="17"/>
      <c r="M49" s="8" t="s">
        <v>63</v>
      </c>
      <c r="N49" s="23">
        <v>50</v>
      </c>
      <c r="O49" s="16"/>
      <c r="P49" s="17"/>
      <c r="Q49" s="8">
        <v>0</v>
      </c>
      <c r="R49" s="8">
        <v>0</v>
      </c>
      <c r="S49" s="15">
        <v>0</v>
      </c>
      <c r="T49" s="16"/>
      <c r="U49" s="17"/>
      <c r="V49" s="9">
        <v>50</v>
      </c>
    </row>
    <row r="50" spans="1:22" x14ac:dyDescent="0.25">
      <c r="A50" s="20" t="s">
        <v>103</v>
      </c>
      <c r="B50" s="17"/>
      <c r="C50" s="21" t="s">
        <v>104</v>
      </c>
      <c r="D50" s="16"/>
      <c r="E50" s="16"/>
      <c r="F50" s="17"/>
      <c r="G50" s="8" t="s">
        <v>10</v>
      </c>
      <c r="H50" s="22" t="s">
        <v>11</v>
      </c>
      <c r="I50" s="16"/>
      <c r="J50" s="17"/>
      <c r="K50" s="22" t="s">
        <v>100</v>
      </c>
      <c r="L50" s="17"/>
      <c r="M50" s="8" t="s">
        <v>63</v>
      </c>
      <c r="N50" s="23">
        <v>50</v>
      </c>
      <c r="O50" s="16"/>
      <c r="P50" s="17"/>
      <c r="Q50" s="8">
        <v>0</v>
      </c>
      <c r="R50" s="8">
        <v>0</v>
      </c>
      <c r="S50" s="15">
        <v>0</v>
      </c>
      <c r="T50" s="16"/>
      <c r="U50" s="17"/>
      <c r="V50" s="9">
        <v>50</v>
      </c>
    </row>
    <row r="51" spans="1:22" x14ac:dyDescent="0.25">
      <c r="A51" s="20" t="s">
        <v>105</v>
      </c>
      <c r="B51" s="17"/>
      <c r="C51" s="21" t="s">
        <v>106</v>
      </c>
      <c r="D51" s="16"/>
      <c r="E51" s="16"/>
      <c r="F51" s="17"/>
      <c r="G51" s="8" t="s">
        <v>10</v>
      </c>
      <c r="H51" s="22" t="s">
        <v>11</v>
      </c>
      <c r="I51" s="16"/>
      <c r="J51" s="17"/>
      <c r="K51" s="22" t="s">
        <v>107</v>
      </c>
      <c r="L51" s="17"/>
      <c r="M51" s="8" t="s">
        <v>63</v>
      </c>
      <c r="N51" s="23">
        <v>50</v>
      </c>
      <c r="O51" s="16"/>
      <c r="P51" s="17"/>
      <c r="Q51" s="8">
        <v>0</v>
      </c>
      <c r="R51" s="8">
        <v>0</v>
      </c>
      <c r="S51" s="15">
        <v>0</v>
      </c>
      <c r="T51" s="16"/>
      <c r="U51" s="17"/>
      <c r="V51" s="9">
        <v>50</v>
      </c>
    </row>
    <row r="52" spans="1:22" x14ac:dyDescent="0.25">
      <c r="A52" s="20" t="s">
        <v>108</v>
      </c>
      <c r="B52" s="17"/>
      <c r="C52" s="21" t="s">
        <v>109</v>
      </c>
      <c r="D52" s="16"/>
      <c r="E52" s="16"/>
      <c r="F52" s="17"/>
      <c r="G52" s="8" t="s">
        <v>10</v>
      </c>
      <c r="H52" s="22" t="s">
        <v>11</v>
      </c>
      <c r="I52" s="16"/>
      <c r="J52" s="17"/>
      <c r="K52" s="22" t="s">
        <v>79</v>
      </c>
      <c r="L52" s="17"/>
      <c r="M52" s="8" t="s">
        <v>63</v>
      </c>
      <c r="N52" s="23">
        <v>50</v>
      </c>
      <c r="O52" s="16"/>
      <c r="P52" s="17"/>
      <c r="Q52" s="8">
        <v>0</v>
      </c>
      <c r="R52" s="8">
        <v>0</v>
      </c>
      <c r="S52" s="15">
        <v>0</v>
      </c>
      <c r="T52" s="16"/>
      <c r="U52" s="17"/>
      <c r="V52" s="9">
        <v>50</v>
      </c>
    </row>
    <row r="53" spans="1:22" x14ac:dyDescent="0.25">
      <c r="A53" s="20" t="s">
        <v>110</v>
      </c>
      <c r="B53" s="17"/>
      <c r="C53" s="21" t="s">
        <v>111</v>
      </c>
      <c r="D53" s="16"/>
      <c r="E53" s="16"/>
      <c r="F53" s="17"/>
      <c r="G53" s="8" t="s">
        <v>10</v>
      </c>
      <c r="H53" s="22" t="s">
        <v>11</v>
      </c>
      <c r="I53" s="16"/>
      <c r="J53" s="17"/>
      <c r="K53" s="22" t="s">
        <v>91</v>
      </c>
      <c r="L53" s="17"/>
      <c r="M53" s="8" t="s">
        <v>63</v>
      </c>
      <c r="N53" s="23">
        <v>50</v>
      </c>
      <c r="O53" s="16"/>
      <c r="P53" s="17"/>
      <c r="Q53" s="8">
        <v>0</v>
      </c>
      <c r="R53" s="8">
        <v>0</v>
      </c>
      <c r="S53" s="15">
        <v>0</v>
      </c>
      <c r="T53" s="16"/>
      <c r="U53" s="17"/>
      <c r="V53" s="9">
        <v>50</v>
      </c>
    </row>
    <row r="54" spans="1:22" x14ac:dyDescent="0.25">
      <c r="A54" s="20" t="s">
        <v>112</v>
      </c>
      <c r="B54" s="17"/>
      <c r="C54" s="21" t="s">
        <v>113</v>
      </c>
      <c r="D54" s="16"/>
      <c r="E54" s="16"/>
      <c r="F54" s="17"/>
      <c r="G54" s="8" t="s">
        <v>10</v>
      </c>
      <c r="H54" s="22" t="s">
        <v>11</v>
      </c>
      <c r="I54" s="16"/>
      <c r="J54" s="17"/>
      <c r="K54" s="22" t="s">
        <v>114</v>
      </c>
      <c r="L54" s="17"/>
      <c r="M54" s="8" t="s">
        <v>63</v>
      </c>
      <c r="N54" s="23">
        <v>50</v>
      </c>
      <c r="O54" s="16"/>
      <c r="P54" s="17"/>
      <c r="Q54" s="8">
        <v>0</v>
      </c>
      <c r="R54" s="8">
        <v>0</v>
      </c>
      <c r="S54" s="15">
        <v>0</v>
      </c>
      <c r="T54" s="16"/>
      <c r="U54" s="17"/>
      <c r="V54" s="9">
        <v>50</v>
      </c>
    </row>
    <row r="55" spans="1:22" x14ac:dyDescent="0.25">
      <c r="A55" s="20" t="s">
        <v>115</v>
      </c>
      <c r="B55" s="17"/>
      <c r="C55" s="21" t="s">
        <v>116</v>
      </c>
      <c r="D55" s="16"/>
      <c r="E55" s="16"/>
      <c r="F55" s="17"/>
      <c r="G55" s="8" t="s">
        <v>10</v>
      </c>
      <c r="H55" s="22" t="s">
        <v>11</v>
      </c>
      <c r="I55" s="16"/>
      <c r="J55" s="17"/>
      <c r="K55" s="22" t="s">
        <v>114</v>
      </c>
      <c r="L55" s="17"/>
      <c r="M55" s="8" t="s">
        <v>63</v>
      </c>
      <c r="N55" s="23">
        <v>50</v>
      </c>
      <c r="O55" s="16"/>
      <c r="P55" s="17"/>
      <c r="Q55" s="8">
        <v>0</v>
      </c>
      <c r="R55" s="8">
        <v>0</v>
      </c>
      <c r="S55" s="15">
        <v>0</v>
      </c>
      <c r="T55" s="16"/>
      <c r="U55" s="17"/>
      <c r="V55" s="9">
        <v>50</v>
      </c>
    </row>
    <row r="56" spans="1:22" x14ac:dyDescent="0.25">
      <c r="A56" s="20" t="s">
        <v>117</v>
      </c>
      <c r="B56" s="17"/>
      <c r="C56" s="21" t="s">
        <v>118</v>
      </c>
      <c r="D56" s="16"/>
      <c r="E56" s="16"/>
      <c r="F56" s="17"/>
      <c r="G56" s="8" t="s">
        <v>10</v>
      </c>
      <c r="H56" s="22" t="s">
        <v>11</v>
      </c>
      <c r="I56" s="16"/>
      <c r="J56" s="17"/>
      <c r="K56" s="22" t="s">
        <v>107</v>
      </c>
      <c r="L56" s="17"/>
      <c r="M56" s="8" t="s">
        <v>63</v>
      </c>
      <c r="N56" s="23">
        <v>50</v>
      </c>
      <c r="O56" s="16"/>
      <c r="P56" s="17"/>
      <c r="Q56" s="8">
        <v>0</v>
      </c>
      <c r="R56" s="8">
        <v>0</v>
      </c>
      <c r="S56" s="15">
        <v>0</v>
      </c>
      <c r="T56" s="16"/>
      <c r="U56" s="17"/>
      <c r="V56" s="9">
        <v>50</v>
      </c>
    </row>
    <row r="57" spans="1:22" x14ac:dyDescent="0.25">
      <c r="A57" s="20" t="s">
        <v>119</v>
      </c>
      <c r="B57" s="17"/>
      <c r="C57" s="21" t="s">
        <v>120</v>
      </c>
      <c r="D57" s="16"/>
      <c r="E57" s="16"/>
      <c r="F57" s="17"/>
      <c r="G57" s="8" t="s">
        <v>10</v>
      </c>
      <c r="H57" s="22" t="s">
        <v>11</v>
      </c>
      <c r="I57" s="16"/>
      <c r="J57" s="17"/>
      <c r="K57" s="22" t="s">
        <v>107</v>
      </c>
      <c r="L57" s="17"/>
      <c r="M57" s="8" t="s">
        <v>63</v>
      </c>
      <c r="N57" s="23">
        <v>50</v>
      </c>
      <c r="O57" s="16"/>
      <c r="P57" s="17"/>
      <c r="Q57" s="8">
        <v>0</v>
      </c>
      <c r="R57" s="8">
        <v>0</v>
      </c>
      <c r="S57" s="15">
        <v>0</v>
      </c>
      <c r="T57" s="16"/>
      <c r="U57" s="17"/>
      <c r="V57" s="9">
        <v>50</v>
      </c>
    </row>
    <row r="58" spans="1:22" x14ac:dyDescent="0.25">
      <c r="A58" s="20" t="s">
        <v>121</v>
      </c>
      <c r="B58" s="17"/>
      <c r="C58" s="21" t="s">
        <v>122</v>
      </c>
      <c r="D58" s="16"/>
      <c r="E58" s="16"/>
      <c r="F58" s="17"/>
      <c r="G58" s="8" t="s">
        <v>10</v>
      </c>
      <c r="H58" s="22" t="s">
        <v>11</v>
      </c>
      <c r="I58" s="16"/>
      <c r="J58" s="17"/>
      <c r="K58" s="22" t="s">
        <v>107</v>
      </c>
      <c r="L58" s="17"/>
      <c r="M58" s="8" t="s">
        <v>63</v>
      </c>
      <c r="N58" s="23">
        <v>50</v>
      </c>
      <c r="O58" s="16"/>
      <c r="P58" s="17"/>
      <c r="Q58" s="8">
        <v>0</v>
      </c>
      <c r="R58" s="8">
        <v>0</v>
      </c>
      <c r="S58" s="15">
        <v>0</v>
      </c>
      <c r="T58" s="16"/>
      <c r="U58" s="17"/>
      <c r="V58" s="9">
        <v>50</v>
      </c>
    </row>
    <row r="59" spans="1:22" x14ac:dyDescent="0.25">
      <c r="A59" s="20" t="s">
        <v>123</v>
      </c>
      <c r="B59" s="17"/>
      <c r="C59" s="21" t="s">
        <v>124</v>
      </c>
      <c r="D59" s="16"/>
      <c r="E59" s="16"/>
      <c r="F59" s="17"/>
      <c r="G59" s="8" t="s">
        <v>10</v>
      </c>
      <c r="H59" s="22" t="s">
        <v>11</v>
      </c>
      <c r="I59" s="16"/>
      <c r="J59" s="17"/>
      <c r="K59" s="22" t="s">
        <v>91</v>
      </c>
      <c r="L59" s="17"/>
      <c r="M59" s="8" t="s">
        <v>63</v>
      </c>
      <c r="N59" s="23">
        <v>50</v>
      </c>
      <c r="O59" s="16"/>
      <c r="P59" s="17"/>
      <c r="Q59" s="8">
        <v>0</v>
      </c>
      <c r="R59" s="8">
        <v>0</v>
      </c>
      <c r="S59" s="15">
        <v>0</v>
      </c>
      <c r="T59" s="16"/>
      <c r="U59" s="17"/>
      <c r="V59" s="9">
        <v>50</v>
      </c>
    </row>
    <row r="60" spans="1:22" x14ac:dyDescent="0.25">
      <c r="A60" s="20" t="s">
        <v>125</v>
      </c>
      <c r="B60" s="17"/>
      <c r="C60" s="21" t="s">
        <v>126</v>
      </c>
      <c r="D60" s="16"/>
      <c r="E60" s="16"/>
      <c r="F60" s="17"/>
      <c r="G60" s="8" t="s">
        <v>10</v>
      </c>
      <c r="H60" s="22" t="s">
        <v>11</v>
      </c>
      <c r="I60" s="16"/>
      <c r="J60" s="17"/>
      <c r="K60" s="22" t="s">
        <v>107</v>
      </c>
      <c r="L60" s="17"/>
      <c r="M60" s="8" t="s">
        <v>63</v>
      </c>
      <c r="N60" s="23">
        <v>50</v>
      </c>
      <c r="O60" s="16"/>
      <c r="P60" s="17"/>
      <c r="Q60" s="8">
        <v>0</v>
      </c>
      <c r="R60" s="8">
        <v>0</v>
      </c>
      <c r="S60" s="15">
        <v>0</v>
      </c>
      <c r="T60" s="16"/>
      <c r="U60" s="17"/>
      <c r="V60" s="9">
        <v>50</v>
      </c>
    </row>
    <row r="61" spans="1:22" x14ac:dyDescent="0.25">
      <c r="A61" s="20" t="s">
        <v>60</v>
      </c>
      <c r="B61" s="17"/>
      <c r="C61" s="21" t="s">
        <v>61</v>
      </c>
      <c r="D61" s="16"/>
      <c r="E61" s="16"/>
      <c r="F61" s="17"/>
      <c r="G61" s="8" t="s">
        <v>10</v>
      </c>
      <c r="H61" s="22" t="s">
        <v>11</v>
      </c>
      <c r="I61" s="16"/>
      <c r="J61" s="17"/>
      <c r="K61" s="22" t="s">
        <v>62</v>
      </c>
      <c r="L61" s="17"/>
      <c r="M61" s="8" t="s">
        <v>127</v>
      </c>
      <c r="N61" s="23">
        <v>28.92</v>
      </c>
      <c r="O61" s="16"/>
      <c r="P61" s="17"/>
      <c r="Q61" s="8">
        <v>1</v>
      </c>
      <c r="R61" s="8">
        <v>0</v>
      </c>
      <c r="S61" s="15">
        <v>0</v>
      </c>
      <c r="T61" s="16"/>
      <c r="U61" s="17"/>
      <c r="V61" s="9">
        <v>28.92</v>
      </c>
    </row>
    <row r="62" spans="1:22" x14ac:dyDescent="0.25">
      <c r="A62" s="20" t="s">
        <v>64</v>
      </c>
      <c r="B62" s="17"/>
      <c r="C62" s="21" t="s">
        <v>65</v>
      </c>
      <c r="D62" s="16"/>
      <c r="E62" s="16"/>
      <c r="F62" s="17"/>
      <c r="G62" s="8" t="s">
        <v>10</v>
      </c>
      <c r="H62" s="22" t="s">
        <v>11</v>
      </c>
      <c r="I62" s="16"/>
      <c r="J62" s="17"/>
      <c r="K62" s="22" t="s">
        <v>62</v>
      </c>
      <c r="L62" s="17"/>
      <c r="M62" s="8" t="s">
        <v>127</v>
      </c>
      <c r="N62" s="23">
        <v>28.92</v>
      </c>
      <c r="O62" s="16"/>
      <c r="P62" s="17"/>
      <c r="Q62" s="8">
        <v>1</v>
      </c>
      <c r="R62" s="8">
        <v>0</v>
      </c>
      <c r="S62" s="15">
        <v>0</v>
      </c>
      <c r="T62" s="16"/>
      <c r="U62" s="17"/>
      <c r="V62" s="9">
        <v>28.92</v>
      </c>
    </row>
    <row r="63" spans="1:22" x14ac:dyDescent="0.25">
      <c r="A63" s="20" t="s">
        <v>66</v>
      </c>
      <c r="B63" s="17"/>
      <c r="C63" s="21" t="s">
        <v>67</v>
      </c>
      <c r="D63" s="16"/>
      <c r="E63" s="16"/>
      <c r="F63" s="17"/>
      <c r="G63" s="8" t="s">
        <v>10</v>
      </c>
      <c r="H63" s="22" t="s">
        <v>11</v>
      </c>
      <c r="I63" s="16"/>
      <c r="J63" s="17"/>
      <c r="K63" s="22" t="s">
        <v>68</v>
      </c>
      <c r="L63" s="17"/>
      <c r="M63" s="8" t="s">
        <v>127</v>
      </c>
      <c r="N63" s="23">
        <v>28.92</v>
      </c>
      <c r="O63" s="16"/>
      <c r="P63" s="17"/>
      <c r="Q63" s="8">
        <v>1</v>
      </c>
      <c r="R63" s="8">
        <v>0</v>
      </c>
      <c r="S63" s="15">
        <v>0</v>
      </c>
      <c r="T63" s="16"/>
      <c r="U63" s="17"/>
      <c r="V63" s="9">
        <v>28.92</v>
      </c>
    </row>
    <row r="64" spans="1:22" x14ac:dyDescent="0.25">
      <c r="A64" s="20" t="s">
        <v>128</v>
      </c>
      <c r="B64" s="17"/>
      <c r="C64" s="21" t="s">
        <v>129</v>
      </c>
      <c r="D64" s="16"/>
      <c r="E64" s="16"/>
      <c r="F64" s="17"/>
      <c r="G64" s="8" t="s">
        <v>10</v>
      </c>
      <c r="H64" s="22" t="s">
        <v>11</v>
      </c>
      <c r="I64" s="16"/>
      <c r="J64" s="17"/>
      <c r="K64" s="22" t="s">
        <v>130</v>
      </c>
      <c r="L64" s="17"/>
      <c r="M64" s="8" t="s">
        <v>127</v>
      </c>
      <c r="N64" s="23">
        <v>28.92</v>
      </c>
      <c r="O64" s="16"/>
      <c r="P64" s="17"/>
      <c r="Q64" s="8">
        <v>1</v>
      </c>
      <c r="R64" s="8">
        <v>0</v>
      </c>
      <c r="S64" s="15">
        <v>0</v>
      </c>
      <c r="T64" s="16"/>
      <c r="U64" s="17"/>
      <c r="V64" s="9">
        <v>28.92</v>
      </c>
    </row>
    <row r="65" spans="1:22" x14ac:dyDescent="0.25">
      <c r="A65" s="20" t="s">
        <v>131</v>
      </c>
      <c r="B65" s="17"/>
      <c r="C65" s="21" t="s">
        <v>132</v>
      </c>
      <c r="D65" s="16"/>
      <c r="E65" s="16"/>
      <c r="F65" s="17"/>
      <c r="G65" s="8" t="s">
        <v>10</v>
      </c>
      <c r="H65" s="22" t="s">
        <v>11</v>
      </c>
      <c r="I65" s="16"/>
      <c r="J65" s="17"/>
      <c r="K65" s="22" t="s">
        <v>130</v>
      </c>
      <c r="L65" s="17"/>
      <c r="M65" s="8" t="s">
        <v>127</v>
      </c>
      <c r="N65" s="23">
        <v>28.92</v>
      </c>
      <c r="O65" s="16"/>
      <c r="P65" s="17"/>
      <c r="Q65" s="8">
        <v>1</v>
      </c>
      <c r="R65" s="8">
        <v>0</v>
      </c>
      <c r="S65" s="15">
        <v>0</v>
      </c>
      <c r="T65" s="16"/>
      <c r="U65" s="17"/>
      <c r="V65" s="9">
        <v>28.92</v>
      </c>
    </row>
    <row r="66" spans="1:22" x14ac:dyDescent="0.25">
      <c r="A66" s="20" t="s">
        <v>69</v>
      </c>
      <c r="B66" s="17"/>
      <c r="C66" s="21" t="s">
        <v>70</v>
      </c>
      <c r="D66" s="16"/>
      <c r="E66" s="16"/>
      <c r="F66" s="17"/>
      <c r="G66" s="8" t="s">
        <v>10</v>
      </c>
      <c r="H66" s="22" t="s">
        <v>11</v>
      </c>
      <c r="I66" s="16"/>
      <c r="J66" s="17"/>
      <c r="K66" s="22" t="s">
        <v>71</v>
      </c>
      <c r="L66" s="17"/>
      <c r="M66" s="8" t="s">
        <v>127</v>
      </c>
      <c r="N66" s="23">
        <v>28.92</v>
      </c>
      <c r="O66" s="16"/>
      <c r="P66" s="17"/>
      <c r="Q66" s="8">
        <v>1</v>
      </c>
      <c r="R66" s="8">
        <v>0</v>
      </c>
      <c r="S66" s="15">
        <v>0</v>
      </c>
      <c r="T66" s="16"/>
      <c r="U66" s="17"/>
      <c r="V66" s="9">
        <v>28.92</v>
      </c>
    </row>
    <row r="67" spans="1:22" x14ac:dyDescent="0.25">
      <c r="A67" s="20" t="s">
        <v>72</v>
      </c>
      <c r="B67" s="17"/>
      <c r="C67" s="21" t="s">
        <v>73</v>
      </c>
      <c r="D67" s="16"/>
      <c r="E67" s="16"/>
      <c r="F67" s="17"/>
      <c r="G67" s="8" t="s">
        <v>10</v>
      </c>
      <c r="H67" s="22" t="s">
        <v>11</v>
      </c>
      <c r="I67" s="16"/>
      <c r="J67" s="17"/>
      <c r="K67" s="22" t="s">
        <v>74</v>
      </c>
      <c r="L67" s="17"/>
      <c r="M67" s="8" t="s">
        <v>127</v>
      </c>
      <c r="N67" s="23">
        <v>28.92</v>
      </c>
      <c r="O67" s="16"/>
      <c r="P67" s="17"/>
      <c r="Q67" s="8">
        <v>1</v>
      </c>
      <c r="R67" s="8">
        <v>0</v>
      </c>
      <c r="S67" s="15">
        <v>0</v>
      </c>
      <c r="T67" s="16"/>
      <c r="U67" s="17"/>
      <c r="V67" s="9">
        <v>28.92</v>
      </c>
    </row>
    <row r="68" spans="1:22" x14ac:dyDescent="0.25">
      <c r="A68" s="20" t="s">
        <v>75</v>
      </c>
      <c r="B68" s="17"/>
      <c r="C68" s="21" t="s">
        <v>76</v>
      </c>
      <c r="D68" s="16"/>
      <c r="E68" s="16"/>
      <c r="F68" s="17"/>
      <c r="G68" s="8" t="s">
        <v>10</v>
      </c>
      <c r="H68" s="22" t="s">
        <v>11</v>
      </c>
      <c r="I68" s="16"/>
      <c r="J68" s="17"/>
      <c r="K68" s="22" t="s">
        <v>74</v>
      </c>
      <c r="L68" s="17"/>
      <c r="M68" s="8" t="s">
        <v>127</v>
      </c>
      <c r="N68" s="23">
        <v>28.92</v>
      </c>
      <c r="O68" s="16"/>
      <c r="P68" s="17"/>
      <c r="Q68" s="8">
        <v>1</v>
      </c>
      <c r="R68" s="8">
        <v>0</v>
      </c>
      <c r="S68" s="15">
        <v>0</v>
      </c>
      <c r="T68" s="16"/>
      <c r="U68" s="17"/>
      <c r="V68" s="9">
        <v>28.92</v>
      </c>
    </row>
    <row r="69" spans="1:22" x14ac:dyDescent="0.25">
      <c r="A69" s="20" t="s">
        <v>77</v>
      </c>
      <c r="B69" s="17"/>
      <c r="C69" s="21" t="s">
        <v>78</v>
      </c>
      <c r="D69" s="16"/>
      <c r="E69" s="16"/>
      <c r="F69" s="17"/>
      <c r="G69" s="8" t="s">
        <v>10</v>
      </c>
      <c r="H69" s="22" t="s">
        <v>11</v>
      </c>
      <c r="I69" s="16"/>
      <c r="J69" s="17"/>
      <c r="K69" s="22" t="s">
        <v>79</v>
      </c>
      <c r="L69" s="17"/>
      <c r="M69" s="8" t="s">
        <v>127</v>
      </c>
      <c r="N69" s="23">
        <v>28.92</v>
      </c>
      <c r="O69" s="16"/>
      <c r="P69" s="17"/>
      <c r="Q69" s="8">
        <v>1</v>
      </c>
      <c r="R69" s="8">
        <v>0</v>
      </c>
      <c r="S69" s="15">
        <v>0</v>
      </c>
      <c r="T69" s="16"/>
      <c r="U69" s="17"/>
      <c r="V69" s="9">
        <v>28.92</v>
      </c>
    </row>
    <row r="70" spans="1:22" x14ac:dyDescent="0.25">
      <c r="A70" s="20" t="s">
        <v>80</v>
      </c>
      <c r="B70" s="17"/>
      <c r="C70" s="21" t="s">
        <v>81</v>
      </c>
      <c r="D70" s="16"/>
      <c r="E70" s="16"/>
      <c r="F70" s="17"/>
      <c r="G70" s="8" t="s">
        <v>10</v>
      </c>
      <c r="H70" s="22" t="s">
        <v>11</v>
      </c>
      <c r="I70" s="16"/>
      <c r="J70" s="17"/>
      <c r="K70" s="22" t="s">
        <v>79</v>
      </c>
      <c r="L70" s="17"/>
      <c r="M70" s="8" t="s">
        <v>127</v>
      </c>
      <c r="N70" s="23">
        <v>28.92</v>
      </c>
      <c r="O70" s="16"/>
      <c r="P70" s="17"/>
      <c r="Q70" s="8">
        <v>1</v>
      </c>
      <c r="R70" s="8">
        <v>0</v>
      </c>
      <c r="S70" s="15">
        <v>0</v>
      </c>
      <c r="T70" s="16"/>
      <c r="U70" s="17"/>
      <c r="V70" s="9">
        <v>28.92</v>
      </c>
    </row>
    <row r="71" spans="1:22" x14ac:dyDescent="0.25">
      <c r="A71" s="20" t="s">
        <v>82</v>
      </c>
      <c r="B71" s="17"/>
      <c r="C71" s="21" t="s">
        <v>83</v>
      </c>
      <c r="D71" s="16"/>
      <c r="E71" s="16"/>
      <c r="F71" s="17"/>
      <c r="G71" s="8" t="s">
        <v>10</v>
      </c>
      <c r="H71" s="22" t="s">
        <v>11</v>
      </c>
      <c r="I71" s="16"/>
      <c r="J71" s="17"/>
      <c r="K71" s="22" t="s">
        <v>68</v>
      </c>
      <c r="L71" s="17"/>
      <c r="M71" s="8" t="s">
        <v>127</v>
      </c>
      <c r="N71" s="23">
        <v>28.92</v>
      </c>
      <c r="O71" s="16"/>
      <c r="P71" s="17"/>
      <c r="Q71" s="8">
        <v>1</v>
      </c>
      <c r="R71" s="8">
        <v>0</v>
      </c>
      <c r="S71" s="15">
        <v>0</v>
      </c>
      <c r="T71" s="16"/>
      <c r="U71" s="17"/>
      <c r="V71" s="9">
        <v>28.92</v>
      </c>
    </row>
    <row r="72" spans="1:22" x14ac:dyDescent="0.25">
      <c r="A72" s="20" t="s">
        <v>133</v>
      </c>
      <c r="B72" s="17"/>
      <c r="C72" s="21" t="s">
        <v>134</v>
      </c>
      <c r="D72" s="16"/>
      <c r="E72" s="16"/>
      <c r="F72" s="17"/>
      <c r="G72" s="8" t="s">
        <v>10</v>
      </c>
      <c r="H72" s="22" t="s">
        <v>11</v>
      </c>
      <c r="I72" s="16"/>
      <c r="J72" s="17"/>
      <c r="K72" s="22" t="s">
        <v>135</v>
      </c>
      <c r="L72" s="17"/>
      <c r="M72" s="8" t="s">
        <v>127</v>
      </c>
      <c r="N72" s="23">
        <v>28.92</v>
      </c>
      <c r="O72" s="16"/>
      <c r="P72" s="17"/>
      <c r="Q72" s="8">
        <v>1</v>
      </c>
      <c r="R72" s="8">
        <v>0</v>
      </c>
      <c r="S72" s="15">
        <v>0</v>
      </c>
      <c r="T72" s="16"/>
      <c r="U72" s="17"/>
      <c r="V72" s="9">
        <v>28.92</v>
      </c>
    </row>
    <row r="73" spans="1:22" x14ac:dyDescent="0.25">
      <c r="A73" s="20" t="s">
        <v>136</v>
      </c>
      <c r="B73" s="17"/>
      <c r="C73" s="21" t="s">
        <v>137</v>
      </c>
      <c r="D73" s="16"/>
      <c r="E73" s="16"/>
      <c r="F73" s="17"/>
      <c r="G73" s="8" t="s">
        <v>10</v>
      </c>
      <c r="H73" s="22" t="s">
        <v>11</v>
      </c>
      <c r="I73" s="16"/>
      <c r="J73" s="17"/>
      <c r="K73" s="22" t="s">
        <v>135</v>
      </c>
      <c r="L73" s="17"/>
      <c r="M73" s="8" t="s">
        <v>127</v>
      </c>
      <c r="N73" s="23">
        <v>28.92</v>
      </c>
      <c r="O73" s="16"/>
      <c r="P73" s="17"/>
      <c r="Q73" s="8">
        <v>1</v>
      </c>
      <c r="R73" s="8">
        <v>0</v>
      </c>
      <c r="S73" s="15">
        <v>0</v>
      </c>
      <c r="T73" s="16"/>
      <c r="U73" s="17"/>
      <c r="V73" s="9">
        <v>28.92</v>
      </c>
    </row>
    <row r="74" spans="1:22" x14ac:dyDescent="0.25">
      <c r="A74" s="20" t="s">
        <v>84</v>
      </c>
      <c r="B74" s="17"/>
      <c r="C74" s="21" t="s">
        <v>85</v>
      </c>
      <c r="D74" s="16"/>
      <c r="E74" s="16"/>
      <c r="F74" s="17"/>
      <c r="G74" s="8" t="s">
        <v>10</v>
      </c>
      <c r="H74" s="22" t="s">
        <v>11</v>
      </c>
      <c r="I74" s="16"/>
      <c r="J74" s="17"/>
      <c r="K74" s="22" t="s">
        <v>74</v>
      </c>
      <c r="L74" s="17"/>
      <c r="M74" s="8" t="s">
        <v>127</v>
      </c>
      <c r="N74" s="23">
        <v>28.92</v>
      </c>
      <c r="O74" s="16"/>
      <c r="P74" s="17"/>
      <c r="Q74" s="8">
        <v>1</v>
      </c>
      <c r="R74" s="8">
        <v>0</v>
      </c>
      <c r="S74" s="15">
        <v>0</v>
      </c>
      <c r="T74" s="16"/>
      <c r="U74" s="17"/>
      <c r="V74" s="9">
        <v>28.92</v>
      </c>
    </row>
    <row r="75" spans="1:22" x14ac:dyDescent="0.25">
      <c r="A75" s="20" t="s">
        <v>138</v>
      </c>
      <c r="B75" s="17"/>
      <c r="C75" s="21" t="s">
        <v>139</v>
      </c>
      <c r="D75" s="16"/>
      <c r="E75" s="16"/>
      <c r="F75" s="17"/>
      <c r="G75" s="8" t="s">
        <v>10</v>
      </c>
      <c r="H75" s="22" t="s">
        <v>11</v>
      </c>
      <c r="I75" s="16"/>
      <c r="J75" s="17"/>
      <c r="K75" s="22" t="s">
        <v>140</v>
      </c>
      <c r="L75" s="17"/>
      <c r="M75" s="8" t="s">
        <v>127</v>
      </c>
      <c r="N75" s="23">
        <v>28.92</v>
      </c>
      <c r="O75" s="16"/>
      <c r="P75" s="17"/>
      <c r="Q75" s="8">
        <v>1</v>
      </c>
      <c r="R75" s="8">
        <v>0</v>
      </c>
      <c r="S75" s="15">
        <v>0</v>
      </c>
      <c r="T75" s="16"/>
      <c r="U75" s="17"/>
      <c r="V75" s="9">
        <v>28.92</v>
      </c>
    </row>
    <row r="76" spans="1:22" x14ac:dyDescent="0.25">
      <c r="A76" s="20" t="s">
        <v>141</v>
      </c>
      <c r="B76" s="17"/>
      <c r="C76" s="21" t="s">
        <v>142</v>
      </c>
      <c r="D76" s="16"/>
      <c r="E76" s="16"/>
      <c r="F76" s="17"/>
      <c r="G76" s="8" t="s">
        <v>10</v>
      </c>
      <c r="H76" s="22" t="s">
        <v>11</v>
      </c>
      <c r="I76" s="16"/>
      <c r="J76" s="17"/>
      <c r="K76" s="22" t="s">
        <v>130</v>
      </c>
      <c r="L76" s="17"/>
      <c r="M76" s="8" t="s">
        <v>127</v>
      </c>
      <c r="N76" s="23">
        <v>28.92</v>
      </c>
      <c r="O76" s="16"/>
      <c r="P76" s="17"/>
      <c r="Q76" s="8">
        <v>1</v>
      </c>
      <c r="R76" s="8">
        <v>0</v>
      </c>
      <c r="S76" s="15">
        <v>0</v>
      </c>
      <c r="T76" s="16"/>
      <c r="U76" s="17"/>
      <c r="V76" s="9">
        <v>28.92</v>
      </c>
    </row>
    <row r="77" spans="1:22" x14ac:dyDescent="0.25">
      <c r="A77" s="20" t="s">
        <v>86</v>
      </c>
      <c r="B77" s="17"/>
      <c r="C77" s="21" t="s">
        <v>87</v>
      </c>
      <c r="D77" s="16"/>
      <c r="E77" s="16"/>
      <c r="F77" s="17"/>
      <c r="G77" s="8" t="s">
        <v>10</v>
      </c>
      <c r="H77" s="22" t="s">
        <v>11</v>
      </c>
      <c r="I77" s="16"/>
      <c r="J77" s="17"/>
      <c r="K77" s="22" t="s">
        <v>88</v>
      </c>
      <c r="L77" s="17"/>
      <c r="M77" s="8" t="s">
        <v>127</v>
      </c>
      <c r="N77" s="23">
        <v>28.92</v>
      </c>
      <c r="O77" s="16"/>
      <c r="P77" s="17"/>
      <c r="Q77" s="8">
        <v>1</v>
      </c>
      <c r="R77" s="8">
        <v>0</v>
      </c>
      <c r="S77" s="15">
        <v>0</v>
      </c>
      <c r="T77" s="16"/>
      <c r="U77" s="17"/>
      <c r="V77" s="9">
        <v>28.92</v>
      </c>
    </row>
    <row r="78" spans="1:22" x14ac:dyDescent="0.25">
      <c r="A78" s="20" t="s">
        <v>143</v>
      </c>
      <c r="B78" s="17"/>
      <c r="C78" s="21" t="s">
        <v>144</v>
      </c>
      <c r="D78" s="16"/>
      <c r="E78" s="16"/>
      <c r="F78" s="17"/>
      <c r="G78" s="8" t="s">
        <v>10</v>
      </c>
      <c r="H78" s="22" t="s">
        <v>11</v>
      </c>
      <c r="I78" s="16"/>
      <c r="J78" s="17"/>
      <c r="K78" s="22" t="s">
        <v>145</v>
      </c>
      <c r="L78" s="17"/>
      <c r="M78" s="8" t="s">
        <v>127</v>
      </c>
      <c r="N78" s="23">
        <v>28.92</v>
      </c>
      <c r="O78" s="16"/>
      <c r="P78" s="17"/>
      <c r="Q78" s="8">
        <v>1</v>
      </c>
      <c r="R78" s="8">
        <v>0</v>
      </c>
      <c r="S78" s="15">
        <v>0</v>
      </c>
      <c r="T78" s="16"/>
      <c r="U78" s="17"/>
      <c r="V78" s="9">
        <v>28.92</v>
      </c>
    </row>
    <row r="79" spans="1:22" x14ac:dyDescent="0.25">
      <c r="A79" s="20" t="s">
        <v>89</v>
      </c>
      <c r="B79" s="17"/>
      <c r="C79" s="21" t="s">
        <v>90</v>
      </c>
      <c r="D79" s="16"/>
      <c r="E79" s="16"/>
      <c r="F79" s="17"/>
      <c r="G79" s="8" t="s">
        <v>10</v>
      </c>
      <c r="H79" s="22" t="s">
        <v>11</v>
      </c>
      <c r="I79" s="16"/>
      <c r="J79" s="17"/>
      <c r="K79" s="22" t="s">
        <v>91</v>
      </c>
      <c r="L79" s="17"/>
      <c r="M79" s="8" t="s">
        <v>127</v>
      </c>
      <c r="N79" s="23">
        <v>28.92</v>
      </c>
      <c r="O79" s="16"/>
      <c r="P79" s="17"/>
      <c r="Q79" s="8">
        <v>1</v>
      </c>
      <c r="R79" s="8">
        <v>0</v>
      </c>
      <c r="S79" s="15">
        <v>0</v>
      </c>
      <c r="T79" s="16"/>
      <c r="U79" s="17"/>
      <c r="V79" s="9">
        <v>28.92</v>
      </c>
    </row>
    <row r="80" spans="1:22" x14ac:dyDescent="0.25">
      <c r="A80" s="20" t="s">
        <v>92</v>
      </c>
      <c r="B80" s="17"/>
      <c r="C80" s="21" t="s">
        <v>93</v>
      </c>
      <c r="D80" s="16"/>
      <c r="E80" s="16"/>
      <c r="F80" s="17"/>
      <c r="G80" s="8" t="s">
        <v>10</v>
      </c>
      <c r="H80" s="22" t="s">
        <v>11</v>
      </c>
      <c r="I80" s="16"/>
      <c r="J80" s="17"/>
      <c r="K80" s="22" t="s">
        <v>68</v>
      </c>
      <c r="L80" s="17"/>
      <c r="M80" s="8" t="s">
        <v>127</v>
      </c>
      <c r="N80" s="23">
        <v>28.92</v>
      </c>
      <c r="O80" s="16"/>
      <c r="P80" s="17"/>
      <c r="Q80" s="8">
        <v>1</v>
      </c>
      <c r="R80" s="8">
        <v>0</v>
      </c>
      <c r="S80" s="15">
        <v>0</v>
      </c>
      <c r="T80" s="16"/>
      <c r="U80" s="17"/>
      <c r="V80" s="9">
        <v>28.92</v>
      </c>
    </row>
    <row r="81" spans="1:22" x14ac:dyDescent="0.25">
      <c r="A81" s="20" t="s">
        <v>94</v>
      </c>
      <c r="B81" s="17"/>
      <c r="C81" s="21" t="s">
        <v>95</v>
      </c>
      <c r="D81" s="16"/>
      <c r="E81" s="16"/>
      <c r="F81" s="17"/>
      <c r="G81" s="8" t="s">
        <v>10</v>
      </c>
      <c r="H81" s="22" t="s">
        <v>11</v>
      </c>
      <c r="I81" s="16"/>
      <c r="J81" s="17"/>
      <c r="K81" s="22" t="s">
        <v>79</v>
      </c>
      <c r="L81" s="17"/>
      <c r="M81" s="8" t="s">
        <v>127</v>
      </c>
      <c r="N81" s="23">
        <v>28.92</v>
      </c>
      <c r="O81" s="16"/>
      <c r="P81" s="17"/>
      <c r="Q81" s="8">
        <v>1</v>
      </c>
      <c r="R81" s="8">
        <v>0</v>
      </c>
      <c r="S81" s="15">
        <v>0</v>
      </c>
      <c r="T81" s="16"/>
      <c r="U81" s="17"/>
      <c r="V81" s="9">
        <v>28.92</v>
      </c>
    </row>
    <row r="82" spans="1:22" x14ac:dyDescent="0.25">
      <c r="A82" s="20" t="s">
        <v>96</v>
      </c>
      <c r="B82" s="17"/>
      <c r="C82" s="21" t="s">
        <v>97</v>
      </c>
      <c r="D82" s="16"/>
      <c r="E82" s="16"/>
      <c r="F82" s="17"/>
      <c r="G82" s="8" t="s">
        <v>10</v>
      </c>
      <c r="H82" s="22" t="s">
        <v>11</v>
      </c>
      <c r="I82" s="16"/>
      <c r="J82" s="17"/>
      <c r="K82" s="22" t="s">
        <v>79</v>
      </c>
      <c r="L82" s="17"/>
      <c r="M82" s="8" t="s">
        <v>127</v>
      </c>
      <c r="N82" s="23">
        <v>28.92</v>
      </c>
      <c r="O82" s="16"/>
      <c r="P82" s="17"/>
      <c r="Q82" s="8">
        <v>1</v>
      </c>
      <c r="R82" s="8">
        <v>0</v>
      </c>
      <c r="S82" s="15">
        <v>0</v>
      </c>
      <c r="T82" s="16"/>
      <c r="U82" s="17"/>
      <c r="V82" s="9">
        <v>28.92</v>
      </c>
    </row>
    <row r="83" spans="1:22" x14ac:dyDescent="0.25">
      <c r="A83" s="20" t="s">
        <v>146</v>
      </c>
      <c r="B83" s="17"/>
      <c r="C83" s="21" t="s">
        <v>147</v>
      </c>
      <c r="D83" s="16"/>
      <c r="E83" s="16"/>
      <c r="F83" s="17"/>
      <c r="G83" s="8" t="s">
        <v>10</v>
      </c>
      <c r="H83" s="22" t="s">
        <v>11</v>
      </c>
      <c r="I83" s="16"/>
      <c r="J83" s="17"/>
      <c r="K83" s="22" t="s">
        <v>148</v>
      </c>
      <c r="L83" s="17"/>
      <c r="M83" s="8" t="s">
        <v>127</v>
      </c>
      <c r="N83" s="23">
        <v>28.92</v>
      </c>
      <c r="O83" s="16"/>
      <c r="P83" s="17"/>
      <c r="Q83" s="8">
        <v>1</v>
      </c>
      <c r="R83" s="8">
        <v>0</v>
      </c>
      <c r="S83" s="15">
        <v>0</v>
      </c>
      <c r="T83" s="16"/>
      <c r="U83" s="17"/>
      <c r="V83" s="9">
        <v>28.92</v>
      </c>
    </row>
    <row r="84" spans="1:22" x14ac:dyDescent="0.25">
      <c r="A84" s="20" t="s">
        <v>98</v>
      </c>
      <c r="B84" s="17"/>
      <c r="C84" s="21" t="s">
        <v>99</v>
      </c>
      <c r="D84" s="16"/>
      <c r="E84" s="16"/>
      <c r="F84" s="17"/>
      <c r="G84" s="8" t="s">
        <v>10</v>
      </c>
      <c r="H84" s="22" t="s">
        <v>11</v>
      </c>
      <c r="I84" s="16"/>
      <c r="J84" s="17"/>
      <c r="K84" s="22" t="s">
        <v>100</v>
      </c>
      <c r="L84" s="17"/>
      <c r="M84" s="8" t="s">
        <v>127</v>
      </c>
      <c r="N84" s="23">
        <v>28.92</v>
      </c>
      <c r="O84" s="16"/>
      <c r="P84" s="17"/>
      <c r="Q84" s="8">
        <v>1</v>
      </c>
      <c r="R84" s="8">
        <v>0</v>
      </c>
      <c r="S84" s="15">
        <v>0</v>
      </c>
      <c r="T84" s="16"/>
      <c r="U84" s="17"/>
      <c r="V84" s="9">
        <v>28.92</v>
      </c>
    </row>
    <row r="85" spans="1:22" x14ac:dyDescent="0.25">
      <c r="A85" s="20" t="s">
        <v>101</v>
      </c>
      <c r="B85" s="17"/>
      <c r="C85" s="21" t="s">
        <v>102</v>
      </c>
      <c r="D85" s="16"/>
      <c r="E85" s="16"/>
      <c r="F85" s="17"/>
      <c r="G85" s="8" t="s">
        <v>10</v>
      </c>
      <c r="H85" s="22" t="s">
        <v>11</v>
      </c>
      <c r="I85" s="16"/>
      <c r="J85" s="17"/>
      <c r="K85" s="22" t="s">
        <v>74</v>
      </c>
      <c r="L85" s="17"/>
      <c r="M85" s="8" t="s">
        <v>127</v>
      </c>
      <c r="N85" s="23">
        <v>28.92</v>
      </c>
      <c r="O85" s="16"/>
      <c r="P85" s="17"/>
      <c r="Q85" s="8">
        <v>1</v>
      </c>
      <c r="R85" s="8">
        <v>0</v>
      </c>
      <c r="S85" s="15">
        <v>0</v>
      </c>
      <c r="T85" s="16"/>
      <c r="U85" s="17"/>
      <c r="V85" s="9">
        <v>28.92</v>
      </c>
    </row>
    <row r="86" spans="1:22" x14ac:dyDescent="0.25">
      <c r="A86" s="20" t="s">
        <v>149</v>
      </c>
      <c r="B86" s="17"/>
      <c r="C86" s="21" t="s">
        <v>150</v>
      </c>
      <c r="D86" s="16"/>
      <c r="E86" s="16"/>
      <c r="F86" s="17"/>
      <c r="G86" s="8" t="s">
        <v>10</v>
      </c>
      <c r="H86" s="22" t="s">
        <v>11</v>
      </c>
      <c r="I86" s="16"/>
      <c r="J86" s="17"/>
      <c r="K86" s="22" t="s">
        <v>151</v>
      </c>
      <c r="L86" s="17"/>
      <c r="M86" s="8" t="s">
        <v>127</v>
      </c>
      <c r="N86" s="23">
        <v>28.92</v>
      </c>
      <c r="O86" s="16"/>
      <c r="P86" s="17"/>
      <c r="Q86" s="8">
        <v>1</v>
      </c>
      <c r="R86" s="8">
        <v>0</v>
      </c>
      <c r="S86" s="15">
        <v>0</v>
      </c>
      <c r="T86" s="16"/>
      <c r="U86" s="17"/>
      <c r="V86" s="9">
        <v>28.92</v>
      </c>
    </row>
    <row r="87" spans="1:22" x14ac:dyDescent="0.25">
      <c r="A87" s="20" t="s">
        <v>152</v>
      </c>
      <c r="B87" s="17"/>
      <c r="C87" s="21" t="s">
        <v>153</v>
      </c>
      <c r="D87" s="16"/>
      <c r="E87" s="16"/>
      <c r="F87" s="17"/>
      <c r="G87" s="8" t="s">
        <v>10</v>
      </c>
      <c r="H87" s="22" t="s">
        <v>11</v>
      </c>
      <c r="I87" s="16"/>
      <c r="J87" s="17"/>
      <c r="K87" s="22" t="s">
        <v>151</v>
      </c>
      <c r="L87" s="17"/>
      <c r="M87" s="8" t="s">
        <v>127</v>
      </c>
      <c r="N87" s="23">
        <v>28.92</v>
      </c>
      <c r="O87" s="16"/>
      <c r="P87" s="17"/>
      <c r="Q87" s="8">
        <v>1</v>
      </c>
      <c r="R87" s="8">
        <v>0</v>
      </c>
      <c r="S87" s="15">
        <v>0</v>
      </c>
      <c r="T87" s="16"/>
      <c r="U87" s="17"/>
      <c r="V87" s="9">
        <v>28.92</v>
      </c>
    </row>
    <row r="88" spans="1:22" x14ac:dyDescent="0.25">
      <c r="A88" s="20" t="s">
        <v>154</v>
      </c>
      <c r="B88" s="17"/>
      <c r="C88" s="21" t="s">
        <v>155</v>
      </c>
      <c r="D88" s="16"/>
      <c r="E88" s="16"/>
      <c r="F88" s="17"/>
      <c r="G88" s="8" t="s">
        <v>10</v>
      </c>
      <c r="H88" s="22" t="s">
        <v>11</v>
      </c>
      <c r="I88" s="16"/>
      <c r="J88" s="17"/>
      <c r="K88" s="22" t="s">
        <v>156</v>
      </c>
      <c r="L88" s="17"/>
      <c r="M88" s="8" t="s">
        <v>127</v>
      </c>
      <c r="N88" s="23">
        <v>28.92</v>
      </c>
      <c r="O88" s="16"/>
      <c r="P88" s="17"/>
      <c r="Q88" s="8">
        <v>1</v>
      </c>
      <c r="R88" s="8">
        <v>0</v>
      </c>
      <c r="S88" s="15">
        <v>0</v>
      </c>
      <c r="T88" s="16"/>
      <c r="U88" s="17"/>
      <c r="V88" s="9">
        <v>28.92</v>
      </c>
    </row>
    <row r="89" spans="1:22" x14ac:dyDescent="0.25">
      <c r="A89" s="20" t="s">
        <v>157</v>
      </c>
      <c r="B89" s="17"/>
      <c r="C89" s="21" t="s">
        <v>158</v>
      </c>
      <c r="D89" s="16"/>
      <c r="E89" s="16"/>
      <c r="F89" s="17"/>
      <c r="G89" s="8" t="s">
        <v>10</v>
      </c>
      <c r="H89" s="22" t="s">
        <v>11</v>
      </c>
      <c r="I89" s="16"/>
      <c r="J89" s="17"/>
      <c r="K89" s="22" t="s">
        <v>159</v>
      </c>
      <c r="L89" s="17"/>
      <c r="M89" s="8" t="s">
        <v>127</v>
      </c>
      <c r="N89" s="23">
        <v>28.92</v>
      </c>
      <c r="O89" s="16"/>
      <c r="P89" s="17"/>
      <c r="Q89" s="8">
        <v>1</v>
      </c>
      <c r="R89" s="8">
        <v>0</v>
      </c>
      <c r="S89" s="15">
        <v>0</v>
      </c>
      <c r="T89" s="16"/>
      <c r="U89" s="17"/>
      <c r="V89" s="9">
        <v>28.92</v>
      </c>
    </row>
    <row r="90" spans="1:22" x14ac:dyDescent="0.25">
      <c r="A90" s="20" t="s">
        <v>160</v>
      </c>
      <c r="B90" s="17"/>
      <c r="C90" s="21" t="s">
        <v>161</v>
      </c>
      <c r="D90" s="16"/>
      <c r="E90" s="16"/>
      <c r="F90" s="17"/>
      <c r="G90" s="8" t="s">
        <v>10</v>
      </c>
      <c r="H90" s="22" t="s">
        <v>11</v>
      </c>
      <c r="I90" s="16"/>
      <c r="J90" s="17"/>
      <c r="K90" s="22" t="s">
        <v>130</v>
      </c>
      <c r="L90" s="17"/>
      <c r="M90" s="8" t="s">
        <v>127</v>
      </c>
      <c r="N90" s="23">
        <v>28.92</v>
      </c>
      <c r="O90" s="16"/>
      <c r="P90" s="17"/>
      <c r="Q90" s="8">
        <v>1</v>
      </c>
      <c r="R90" s="8">
        <v>0</v>
      </c>
      <c r="S90" s="15">
        <v>0</v>
      </c>
      <c r="T90" s="16"/>
      <c r="U90" s="17"/>
      <c r="V90" s="9">
        <v>28.92</v>
      </c>
    </row>
    <row r="91" spans="1:22" x14ac:dyDescent="0.25">
      <c r="A91" s="20" t="s">
        <v>162</v>
      </c>
      <c r="B91" s="17"/>
      <c r="C91" s="21" t="s">
        <v>163</v>
      </c>
      <c r="D91" s="16"/>
      <c r="E91" s="16"/>
      <c r="F91" s="17"/>
      <c r="G91" s="8" t="s">
        <v>10</v>
      </c>
      <c r="H91" s="22" t="s">
        <v>11</v>
      </c>
      <c r="I91" s="16"/>
      <c r="J91" s="17"/>
      <c r="K91" s="22" t="s">
        <v>130</v>
      </c>
      <c r="L91" s="17"/>
      <c r="M91" s="8" t="s">
        <v>127</v>
      </c>
      <c r="N91" s="23">
        <v>28.92</v>
      </c>
      <c r="O91" s="16"/>
      <c r="P91" s="17"/>
      <c r="Q91" s="8">
        <v>1</v>
      </c>
      <c r="R91" s="8">
        <v>0</v>
      </c>
      <c r="S91" s="15">
        <v>0</v>
      </c>
      <c r="T91" s="16"/>
      <c r="U91" s="17"/>
      <c r="V91" s="9">
        <v>28.92</v>
      </c>
    </row>
    <row r="92" spans="1:22" x14ac:dyDescent="0.25">
      <c r="A92" s="20" t="s">
        <v>164</v>
      </c>
      <c r="B92" s="17"/>
      <c r="C92" s="21" t="s">
        <v>165</v>
      </c>
      <c r="D92" s="16"/>
      <c r="E92" s="16"/>
      <c r="F92" s="17"/>
      <c r="G92" s="8" t="s">
        <v>10</v>
      </c>
      <c r="H92" s="22" t="s">
        <v>11</v>
      </c>
      <c r="I92" s="16"/>
      <c r="J92" s="17"/>
      <c r="K92" s="22" t="s">
        <v>156</v>
      </c>
      <c r="L92" s="17"/>
      <c r="M92" s="8" t="s">
        <v>127</v>
      </c>
      <c r="N92" s="23">
        <v>28.92</v>
      </c>
      <c r="O92" s="16"/>
      <c r="P92" s="17"/>
      <c r="Q92" s="8">
        <v>1</v>
      </c>
      <c r="R92" s="8">
        <v>0</v>
      </c>
      <c r="S92" s="15">
        <v>0</v>
      </c>
      <c r="T92" s="16"/>
      <c r="U92" s="17"/>
      <c r="V92" s="9">
        <v>28.92</v>
      </c>
    </row>
    <row r="93" spans="1:22" x14ac:dyDescent="0.25">
      <c r="A93" s="20" t="s">
        <v>166</v>
      </c>
      <c r="B93" s="17"/>
      <c r="C93" s="21" t="s">
        <v>167</v>
      </c>
      <c r="D93" s="16"/>
      <c r="E93" s="16"/>
      <c r="F93" s="17"/>
      <c r="G93" s="8" t="s">
        <v>10</v>
      </c>
      <c r="H93" s="22" t="s">
        <v>11</v>
      </c>
      <c r="I93" s="16"/>
      <c r="J93" s="17"/>
      <c r="K93" s="22" t="s">
        <v>156</v>
      </c>
      <c r="L93" s="17"/>
      <c r="M93" s="8" t="s">
        <v>127</v>
      </c>
      <c r="N93" s="23">
        <v>28.92</v>
      </c>
      <c r="O93" s="16"/>
      <c r="P93" s="17"/>
      <c r="Q93" s="8">
        <v>1</v>
      </c>
      <c r="R93" s="8">
        <v>0</v>
      </c>
      <c r="S93" s="15">
        <v>0</v>
      </c>
      <c r="T93" s="16"/>
      <c r="U93" s="17"/>
      <c r="V93" s="9">
        <v>28.92</v>
      </c>
    </row>
    <row r="94" spans="1:22" x14ac:dyDescent="0.25">
      <c r="A94" s="20" t="s">
        <v>168</v>
      </c>
      <c r="B94" s="17"/>
      <c r="C94" s="21" t="s">
        <v>169</v>
      </c>
      <c r="D94" s="16"/>
      <c r="E94" s="16"/>
      <c r="F94" s="17"/>
      <c r="G94" s="8" t="s">
        <v>10</v>
      </c>
      <c r="H94" s="22" t="s">
        <v>11</v>
      </c>
      <c r="I94" s="16"/>
      <c r="J94" s="17"/>
      <c r="K94" s="22" t="s">
        <v>170</v>
      </c>
      <c r="L94" s="17"/>
      <c r="M94" s="8" t="s">
        <v>127</v>
      </c>
      <c r="N94" s="23">
        <v>28.92</v>
      </c>
      <c r="O94" s="16"/>
      <c r="P94" s="17"/>
      <c r="Q94" s="8">
        <v>1</v>
      </c>
      <c r="R94" s="8">
        <v>0</v>
      </c>
      <c r="S94" s="15">
        <v>0</v>
      </c>
      <c r="T94" s="16"/>
      <c r="U94" s="17"/>
      <c r="V94" s="9">
        <v>28.92</v>
      </c>
    </row>
    <row r="95" spans="1:22" x14ac:dyDescent="0.25">
      <c r="A95" s="20" t="s">
        <v>103</v>
      </c>
      <c r="B95" s="17"/>
      <c r="C95" s="21" t="s">
        <v>104</v>
      </c>
      <c r="D95" s="16"/>
      <c r="E95" s="16"/>
      <c r="F95" s="17"/>
      <c r="G95" s="8" t="s">
        <v>10</v>
      </c>
      <c r="H95" s="22" t="s">
        <v>11</v>
      </c>
      <c r="I95" s="16"/>
      <c r="J95" s="17"/>
      <c r="K95" s="22" t="s">
        <v>100</v>
      </c>
      <c r="L95" s="17"/>
      <c r="M95" s="8" t="s">
        <v>127</v>
      </c>
      <c r="N95" s="23">
        <v>28.92</v>
      </c>
      <c r="O95" s="16"/>
      <c r="P95" s="17"/>
      <c r="Q95" s="8">
        <v>1</v>
      </c>
      <c r="R95" s="8">
        <v>0</v>
      </c>
      <c r="S95" s="15">
        <v>0</v>
      </c>
      <c r="T95" s="16"/>
      <c r="U95" s="17"/>
      <c r="V95" s="9">
        <v>28.92</v>
      </c>
    </row>
    <row r="96" spans="1:22" x14ac:dyDescent="0.25">
      <c r="A96" s="20" t="s">
        <v>105</v>
      </c>
      <c r="B96" s="17"/>
      <c r="C96" s="21" t="s">
        <v>106</v>
      </c>
      <c r="D96" s="16"/>
      <c r="E96" s="16"/>
      <c r="F96" s="17"/>
      <c r="G96" s="8" t="s">
        <v>10</v>
      </c>
      <c r="H96" s="22" t="s">
        <v>11</v>
      </c>
      <c r="I96" s="16"/>
      <c r="J96" s="17"/>
      <c r="K96" s="22" t="s">
        <v>107</v>
      </c>
      <c r="L96" s="17"/>
      <c r="M96" s="8" t="s">
        <v>127</v>
      </c>
      <c r="N96" s="23">
        <v>28.92</v>
      </c>
      <c r="O96" s="16"/>
      <c r="P96" s="17"/>
      <c r="Q96" s="8">
        <v>1</v>
      </c>
      <c r="R96" s="8">
        <v>0</v>
      </c>
      <c r="S96" s="15">
        <v>0</v>
      </c>
      <c r="T96" s="16"/>
      <c r="U96" s="17"/>
      <c r="V96" s="9">
        <v>28.92</v>
      </c>
    </row>
    <row r="97" spans="1:22" x14ac:dyDescent="0.25">
      <c r="A97" s="20" t="s">
        <v>171</v>
      </c>
      <c r="B97" s="17"/>
      <c r="C97" s="21" t="s">
        <v>172</v>
      </c>
      <c r="D97" s="16"/>
      <c r="E97" s="16"/>
      <c r="F97" s="17"/>
      <c r="G97" s="8" t="s">
        <v>10</v>
      </c>
      <c r="H97" s="22" t="s">
        <v>11</v>
      </c>
      <c r="I97" s="16"/>
      <c r="J97" s="17"/>
      <c r="K97" s="22" t="s">
        <v>173</v>
      </c>
      <c r="L97" s="17"/>
      <c r="M97" s="8" t="s">
        <v>127</v>
      </c>
      <c r="N97" s="23">
        <v>28.92</v>
      </c>
      <c r="O97" s="16"/>
      <c r="P97" s="17"/>
      <c r="Q97" s="8">
        <v>1</v>
      </c>
      <c r="R97" s="8">
        <v>0</v>
      </c>
      <c r="S97" s="15">
        <v>0</v>
      </c>
      <c r="T97" s="16"/>
      <c r="U97" s="17"/>
      <c r="V97" s="9">
        <v>28.92</v>
      </c>
    </row>
    <row r="98" spans="1:22" x14ac:dyDescent="0.25">
      <c r="A98" s="20" t="s">
        <v>174</v>
      </c>
      <c r="B98" s="17"/>
      <c r="C98" s="21" t="s">
        <v>175</v>
      </c>
      <c r="D98" s="16"/>
      <c r="E98" s="16"/>
      <c r="F98" s="17"/>
      <c r="G98" s="8" t="s">
        <v>10</v>
      </c>
      <c r="H98" s="22" t="s">
        <v>11</v>
      </c>
      <c r="I98" s="16"/>
      <c r="J98" s="17"/>
      <c r="K98" s="22" t="s">
        <v>140</v>
      </c>
      <c r="L98" s="17"/>
      <c r="M98" s="8" t="s">
        <v>127</v>
      </c>
      <c r="N98" s="23">
        <v>28.92</v>
      </c>
      <c r="O98" s="16"/>
      <c r="P98" s="17"/>
      <c r="Q98" s="8">
        <v>1</v>
      </c>
      <c r="R98" s="8">
        <v>0</v>
      </c>
      <c r="S98" s="15">
        <v>0</v>
      </c>
      <c r="T98" s="16"/>
      <c r="U98" s="17"/>
      <c r="V98" s="9">
        <v>28.92</v>
      </c>
    </row>
    <row r="99" spans="1:22" x14ac:dyDescent="0.25">
      <c r="A99" s="20" t="s">
        <v>176</v>
      </c>
      <c r="B99" s="17"/>
      <c r="C99" s="21" t="s">
        <v>177</v>
      </c>
      <c r="D99" s="16"/>
      <c r="E99" s="16"/>
      <c r="F99" s="17"/>
      <c r="G99" s="8" t="s">
        <v>10</v>
      </c>
      <c r="H99" s="22" t="s">
        <v>11</v>
      </c>
      <c r="I99" s="16"/>
      <c r="J99" s="17"/>
      <c r="K99" s="22" t="s">
        <v>173</v>
      </c>
      <c r="L99" s="17"/>
      <c r="M99" s="8" t="s">
        <v>127</v>
      </c>
      <c r="N99" s="23">
        <v>28.92</v>
      </c>
      <c r="O99" s="16"/>
      <c r="P99" s="17"/>
      <c r="Q99" s="8">
        <v>1</v>
      </c>
      <c r="R99" s="8">
        <v>0</v>
      </c>
      <c r="S99" s="15">
        <v>0</v>
      </c>
      <c r="T99" s="16"/>
      <c r="U99" s="17"/>
      <c r="V99" s="9">
        <v>28.92</v>
      </c>
    </row>
    <row r="100" spans="1:22" x14ac:dyDescent="0.25">
      <c r="A100" s="20" t="s">
        <v>178</v>
      </c>
      <c r="B100" s="17"/>
      <c r="C100" s="21" t="s">
        <v>179</v>
      </c>
      <c r="D100" s="16"/>
      <c r="E100" s="16"/>
      <c r="F100" s="17"/>
      <c r="G100" s="8" t="s">
        <v>10</v>
      </c>
      <c r="H100" s="22" t="s">
        <v>11</v>
      </c>
      <c r="I100" s="16"/>
      <c r="J100" s="17"/>
      <c r="K100" s="22" t="s">
        <v>180</v>
      </c>
      <c r="L100" s="17"/>
      <c r="M100" s="8" t="s">
        <v>127</v>
      </c>
      <c r="N100" s="23">
        <v>28.92</v>
      </c>
      <c r="O100" s="16"/>
      <c r="P100" s="17"/>
      <c r="Q100" s="8">
        <v>1</v>
      </c>
      <c r="R100" s="8">
        <v>0</v>
      </c>
      <c r="S100" s="15">
        <v>0</v>
      </c>
      <c r="T100" s="16"/>
      <c r="U100" s="17"/>
      <c r="V100" s="9">
        <v>28.92</v>
      </c>
    </row>
    <row r="101" spans="1:22" x14ac:dyDescent="0.25">
      <c r="A101" s="20" t="s">
        <v>181</v>
      </c>
      <c r="B101" s="17"/>
      <c r="C101" s="21" t="s">
        <v>182</v>
      </c>
      <c r="D101" s="16"/>
      <c r="E101" s="16"/>
      <c r="F101" s="17"/>
      <c r="G101" s="8" t="s">
        <v>10</v>
      </c>
      <c r="H101" s="22" t="s">
        <v>11</v>
      </c>
      <c r="I101" s="16"/>
      <c r="J101" s="17"/>
      <c r="K101" s="22" t="s">
        <v>140</v>
      </c>
      <c r="L101" s="17"/>
      <c r="M101" s="8" t="s">
        <v>127</v>
      </c>
      <c r="N101" s="23">
        <v>28.92</v>
      </c>
      <c r="O101" s="16"/>
      <c r="P101" s="17"/>
      <c r="Q101" s="8">
        <v>1</v>
      </c>
      <c r="R101" s="8">
        <v>0</v>
      </c>
      <c r="S101" s="15">
        <v>0</v>
      </c>
      <c r="T101" s="16"/>
      <c r="U101" s="17"/>
      <c r="V101" s="9">
        <v>28.92</v>
      </c>
    </row>
    <row r="102" spans="1:22" x14ac:dyDescent="0.25">
      <c r="A102" s="20" t="s">
        <v>183</v>
      </c>
      <c r="B102" s="17"/>
      <c r="C102" s="21" t="s">
        <v>184</v>
      </c>
      <c r="D102" s="16"/>
      <c r="E102" s="16"/>
      <c r="F102" s="17"/>
      <c r="G102" s="8" t="s">
        <v>10</v>
      </c>
      <c r="H102" s="22" t="s">
        <v>11</v>
      </c>
      <c r="I102" s="16"/>
      <c r="J102" s="17"/>
      <c r="K102" s="22" t="s">
        <v>185</v>
      </c>
      <c r="L102" s="17"/>
      <c r="M102" s="8" t="s">
        <v>127</v>
      </c>
      <c r="N102" s="23">
        <v>28.92</v>
      </c>
      <c r="O102" s="16"/>
      <c r="P102" s="17"/>
      <c r="Q102" s="8">
        <v>1</v>
      </c>
      <c r="R102" s="8">
        <v>0</v>
      </c>
      <c r="S102" s="15">
        <v>0</v>
      </c>
      <c r="T102" s="16"/>
      <c r="U102" s="17"/>
      <c r="V102" s="9">
        <v>28.92</v>
      </c>
    </row>
    <row r="103" spans="1:22" x14ac:dyDescent="0.25">
      <c r="A103" s="20" t="s">
        <v>186</v>
      </c>
      <c r="B103" s="17"/>
      <c r="C103" s="21" t="s">
        <v>187</v>
      </c>
      <c r="D103" s="16"/>
      <c r="E103" s="16"/>
      <c r="F103" s="17"/>
      <c r="G103" s="8" t="s">
        <v>10</v>
      </c>
      <c r="H103" s="22" t="s">
        <v>11</v>
      </c>
      <c r="I103" s="16"/>
      <c r="J103" s="17"/>
      <c r="K103" s="22" t="s">
        <v>188</v>
      </c>
      <c r="L103" s="17"/>
      <c r="M103" s="8" t="s">
        <v>127</v>
      </c>
      <c r="N103" s="23">
        <v>28.92</v>
      </c>
      <c r="O103" s="16"/>
      <c r="P103" s="17"/>
      <c r="Q103" s="8">
        <v>1</v>
      </c>
      <c r="R103" s="8">
        <v>0</v>
      </c>
      <c r="S103" s="15">
        <v>0</v>
      </c>
      <c r="T103" s="16"/>
      <c r="U103" s="17"/>
      <c r="V103" s="9">
        <v>28.92</v>
      </c>
    </row>
    <row r="104" spans="1:22" x14ac:dyDescent="0.25">
      <c r="A104" s="20" t="s">
        <v>189</v>
      </c>
      <c r="B104" s="17"/>
      <c r="C104" s="21" t="s">
        <v>190</v>
      </c>
      <c r="D104" s="16"/>
      <c r="E104" s="16"/>
      <c r="F104" s="17"/>
      <c r="G104" s="8" t="s">
        <v>10</v>
      </c>
      <c r="H104" s="22" t="s">
        <v>11</v>
      </c>
      <c r="I104" s="16"/>
      <c r="J104" s="17"/>
      <c r="K104" s="22" t="s">
        <v>185</v>
      </c>
      <c r="L104" s="17"/>
      <c r="M104" s="8" t="s">
        <v>127</v>
      </c>
      <c r="N104" s="23">
        <v>28.92</v>
      </c>
      <c r="O104" s="16"/>
      <c r="P104" s="17"/>
      <c r="Q104" s="8">
        <v>1</v>
      </c>
      <c r="R104" s="8">
        <v>0</v>
      </c>
      <c r="S104" s="15">
        <v>0</v>
      </c>
      <c r="T104" s="16"/>
      <c r="U104" s="17"/>
      <c r="V104" s="9">
        <v>28.92</v>
      </c>
    </row>
    <row r="105" spans="1:22" x14ac:dyDescent="0.25">
      <c r="A105" s="20" t="s">
        <v>191</v>
      </c>
      <c r="B105" s="17"/>
      <c r="C105" s="21" t="s">
        <v>192</v>
      </c>
      <c r="D105" s="16"/>
      <c r="E105" s="16"/>
      <c r="F105" s="17"/>
      <c r="G105" s="8" t="s">
        <v>10</v>
      </c>
      <c r="H105" s="22" t="s">
        <v>11</v>
      </c>
      <c r="I105" s="16"/>
      <c r="J105" s="17"/>
      <c r="K105" s="22" t="s">
        <v>156</v>
      </c>
      <c r="L105" s="17"/>
      <c r="M105" s="8" t="s">
        <v>127</v>
      </c>
      <c r="N105" s="23">
        <v>28.92</v>
      </c>
      <c r="O105" s="16"/>
      <c r="P105" s="17"/>
      <c r="Q105" s="8">
        <v>1</v>
      </c>
      <c r="R105" s="8">
        <v>0</v>
      </c>
      <c r="S105" s="15">
        <v>0</v>
      </c>
      <c r="T105" s="16"/>
      <c r="U105" s="17"/>
      <c r="V105" s="9">
        <v>28.92</v>
      </c>
    </row>
    <row r="106" spans="1:22" x14ac:dyDescent="0.25">
      <c r="A106" s="20" t="s">
        <v>193</v>
      </c>
      <c r="B106" s="17"/>
      <c r="C106" s="21" t="s">
        <v>194</v>
      </c>
      <c r="D106" s="16"/>
      <c r="E106" s="16"/>
      <c r="F106" s="17"/>
      <c r="G106" s="8" t="s">
        <v>10</v>
      </c>
      <c r="H106" s="22" t="s">
        <v>11</v>
      </c>
      <c r="I106" s="16"/>
      <c r="J106" s="17"/>
      <c r="K106" s="22" t="s">
        <v>148</v>
      </c>
      <c r="L106" s="17"/>
      <c r="M106" s="8" t="s">
        <v>127</v>
      </c>
      <c r="N106" s="23">
        <v>28.92</v>
      </c>
      <c r="O106" s="16"/>
      <c r="P106" s="17"/>
      <c r="Q106" s="8">
        <v>1</v>
      </c>
      <c r="R106" s="8">
        <v>0</v>
      </c>
      <c r="S106" s="15">
        <v>0</v>
      </c>
      <c r="T106" s="16"/>
      <c r="U106" s="17"/>
      <c r="V106" s="9">
        <v>28.92</v>
      </c>
    </row>
    <row r="107" spans="1:22" x14ac:dyDescent="0.25">
      <c r="A107" s="20" t="s">
        <v>195</v>
      </c>
      <c r="B107" s="17"/>
      <c r="C107" s="21" t="s">
        <v>196</v>
      </c>
      <c r="D107" s="16"/>
      <c r="E107" s="16"/>
      <c r="F107" s="17"/>
      <c r="G107" s="8" t="s">
        <v>197</v>
      </c>
      <c r="H107" s="22" t="s">
        <v>11</v>
      </c>
      <c r="I107" s="16"/>
      <c r="J107" s="17"/>
      <c r="K107" s="22" t="s">
        <v>198</v>
      </c>
      <c r="L107" s="17"/>
      <c r="M107" s="8" t="s">
        <v>127</v>
      </c>
      <c r="N107" s="23">
        <v>28.92</v>
      </c>
      <c r="O107" s="16"/>
      <c r="P107" s="17"/>
      <c r="Q107" s="8">
        <v>1</v>
      </c>
      <c r="R107" s="8">
        <v>0</v>
      </c>
      <c r="S107" s="15">
        <v>0</v>
      </c>
      <c r="T107" s="16"/>
      <c r="U107" s="17"/>
      <c r="V107" s="9">
        <v>28.92</v>
      </c>
    </row>
    <row r="108" spans="1:22" x14ac:dyDescent="0.25">
      <c r="A108" s="20" t="s">
        <v>199</v>
      </c>
      <c r="B108" s="17"/>
      <c r="C108" s="21" t="s">
        <v>200</v>
      </c>
      <c r="D108" s="16"/>
      <c r="E108" s="16"/>
      <c r="F108" s="17"/>
      <c r="G108" s="8" t="s">
        <v>197</v>
      </c>
      <c r="H108" s="22" t="s">
        <v>11</v>
      </c>
      <c r="I108" s="16"/>
      <c r="J108" s="17"/>
      <c r="K108" s="22" t="s">
        <v>198</v>
      </c>
      <c r="L108" s="17"/>
      <c r="M108" s="8" t="s">
        <v>127</v>
      </c>
      <c r="N108" s="23">
        <v>28.92</v>
      </c>
      <c r="O108" s="16"/>
      <c r="P108" s="17"/>
      <c r="Q108" s="8">
        <v>1</v>
      </c>
      <c r="R108" s="8">
        <v>0</v>
      </c>
      <c r="S108" s="15">
        <v>0</v>
      </c>
      <c r="T108" s="16"/>
      <c r="U108" s="17"/>
      <c r="V108" s="9">
        <v>28.92</v>
      </c>
    </row>
    <row r="109" spans="1:22" x14ac:dyDescent="0.25">
      <c r="A109" s="20" t="s">
        <v>201</v>
      </c>
      <c r="B109" s="17"/>
      <c r="C109" s="21" t="s">
        <v>202</v>
      </c>
      <c r="D109" s="16"/>
      <c r="E109" s="16"/>
      <c r="F109" s="17"/>
      <c r="G109" s="8" t="s">
        <v>10</v>
      </c>
      <c r="H109" s="22" t="s">
        <v>11</v>
      </c>
      <c r="I109" s="16"/>
      <c r="J109" s="17"/>
      <c r="K109" s="22" t="s">
        <v>170</v>
      </c>
      <c r="L109" s="17"/>
      <c r="M109" s="8" t="s">
        <v>127</v>
      </c>
      <c r="N109" s="23">
        <v>28.92</v>
      </c>
      <c r="O109" s="16"/>
      <c r="P109" s="17"/>
      <c r="Q109" s="8">
        <v>1</v>
      </c>
      <c r="R109" s="8">
        <v>0</v>
      </c>
      <c r="S109" s="15">
        <v>0</v>
      </c>
      <c r="T109" s="16"/>
      <c r="U109" s="17"/>
      <c r="V109" s="9">
        <v>28.92</v>
      </c>
    </row>
    <row r="110" spans="1:22" x14ac:dyDescent="0.25">
      <c r="A110" s="20" t="s">
        <v>110</v>
      </c>
      <c r="B110" s="17"/>
      <c r="C110" s="21" t="s">
        <v>111</v>
      </c>
      <c r="D110" s="16"/>
      <c r="E110" s="16"/>
      <c r="F110" s="17"/>
      <c r="G110" s="8" t="s">
        <v>10</v>
      </c>
      <c r="H110" s="22" t="s">
        <v>11</v>
      </c>
      <c r="I110" s="16"/>
      <c r="J110" s="17"/>
      <c r="K110" s="22" t="s">
        <v>91</v>
      </c>
      <c r="L110" s="17"/>
      <c r="M110" s="8" t="s">
        <v>127</v>
      </c>
      <c r="N110" s="23">
        <v>28.92</v>
      </c>
      <c r="O110" s="16"/>
      <c r="P110" s="17"/>
      <c r="Q110" s="8">
        <v>1</v>
      </c>
      <c r="R110" s="8">
        <v>0</v>
      </c>
      <c r="S110" s="15">
        <v>0</v>
      </c>
      <c r="T110" s="16"/>
      <c r="U110" s="17"/>
      <c r="V110" s="9">
        <v>28.92</v>
      </c>
    </row>
    <row r="111" spans="1:22" x14ac:dyDescent="0.25">
      <c r="A111" s="20" t="s">
        <v>203</v>
      </c>
      <c r="B111" s="17"/>
      <c r="C111" s="21" t="s">
        <v>204</v>
      </c>
      <c r="D111" s="16"/>
      <c r="E111" s="16"/>
      <c r="F111" s="17"/>
      <c r="G111" s="8" t="s">
        <v>205</v>
      </c>
      <c r="H111" s="22" t="s">
        <v>11</v>
      </c>
      <c r="I111" s="16"/>
      <c r="J111" s="17"/>
      <c r="K111" s="22" t="s">
        <v>206</v>
      </c>
      <c r="L111" s="17"/>
      <c r="M111" s="8" t="s">
        <v>127</v>
      </c>
      <c r="N111" s="23">
        <v>28.92</v>
      </c>
      <c r="O111" s="16"/>
      <c r="P111" s="17"/>
      <c r="Q111" s="8">
        <v>1</v>
      </c>
      <c r="R111" s="8">
        <v>0</v>
      </c>
      <c r="S111" s="15">
        <v>0</v>
      </c>
      <c r="T111" s="16"/>
      <c r="U111" s="17"/>
      <c r="V111" s="9">
        <v>28.92</v>
      </c>
    </row>
    <row r="112" spans="1:22" x14ac:dyDescent="0.25">
      <c r="A112" s="20" t="s">
        <v>112</v>
      </c>
      <c r="B112" s="17"/>
      <c r="C112" s="21" t="s">
        <v>113</v>
      </c>
      <c r="D112" s="16"/>
      <c r="E112" s="16"/>
      <c r="F112" s="17"/>
      <c r="G112" s="8" t="s">
        <v>10</v>
      </c>
      <c r="H112" s="22" t="s">
        <v>11</v>
      </c>
      <c r="I112" s="16"/>
      <c r="J112" s="17"/>
      <c r="K112" s="22" t="s">
        <v>114</v>
      </c>
      <c r="L112" s="17"/>
      <c r="M112" s="8" t="s">
        <v>127</v>
      </c>
      <c r="N112" s="23">
        <v>28.92</v>
      </c>
      <c r="O112" s="16"/>
      <c r="P112" s="17"/>
      <c r="Q112" s="8">
        <v>1</v>
      </c>
      <c r="R112" s="8">
        <v>0</v>
      </c>
      <c r="S112" s="15">
        <v>0</v>
      </c>
      <c r="T112" s="16"/>
      <c r="U112" s="17"/>
      <c r="V112" s="9">
        <v>28.92</v>
      </c>
    </row>
    <row r="113" spans="1:22" x14ac:dyDescent="0.25">
      <c r="A113" s="20" t="s">
        <v>115</v>
      </c>
      <c r="B113" s="17"/>
      <c r="C113" s="21" t="s">
        <v>116</v>
      </c>
      <c r="D113" s="16"/>
      <c r="E113" s="16"/>
      <c r="F113" s="17"/>
      <c r="G113" s="8" t="s">
        <v>10</v>
      </c>
      <c r="H113" s="22" t="s">
        <v>11</v>
      </c>
      <c r="I113" s="16"/>
      <c r="J113" s="17"/>
      <c r="K113" s="22" t="s">
        <v>114</v>
      </c>
      <c r="L113" s="17"/>
      <c r="M113" s="8" t="s">
        <v>127</v>
      </c>
      <c r="N113" s="23">
        <v>28.92</v>
      </c>
      <c r="O113" s="16"/>
      <c r="P113" s="17"/>
      <c r="Q113" s="8">
        <v>1</v>
      </c>
      <c r="R113" s="8">
        <v>0</v>
      </c>
      <c r="S113" s="15">
        <v>0</v>
      </c>
      <c r="T113" s="16"/>
      <c r="U113" s="17"/>
      <c r="V113" s="9">
        <v>28.92</v>
      </c>
    </row>
    <row r="114" spans="1:22" x14ac:dyDescent="0.25">
      <c r="A114" s="20" t="s">
        <v>117</v>
      </c>
      <c r="B114" s="17"/>
      <c r="C114" s="21" t="s">
        <v>118</v>
      </c>
      <c r="D114" s="16"/>
      <c r="E114" s="16"/>
      <c r="F114" s="17"/>
      <c r="G114" s="8" t="s">
        <v>10</v>
      </c>
      <c r="H114" s="22" t="s">
        <v>11</v>
      </c>
      <c r="I114" s="16"/>
      <c r="J114" s="17"/>
      <c r="K114" s="22" t="s">
        <v>107</v>
      </c>
      <c r="L114" s="17"/>
      <c r="M114" s="8" t="s">
        <v>127</v>
      </c>
      <c r="N114" s="23">
        <v>28.92</v>
      </c>
      <c r="O114" s="16"/>
      <c r="P114" s="17"/>
      <c r="Q114" s="8">
        <v>1</v>
      </c>
      <c r="R114" s="8">
        <v>0</v>
      </c>
      <c r="S114" s="15">
        <v>0</v>
      </c>
      <c r="T114" s="16"/>
      <c r="U114" s="17"/>
      <c r="V114" s="9">
        <v>28.92</v>
      </c>
    </row>
    <row r="115" spans="1:22" x14ac:dyDescent="0.25">
      <c r="A115" s="20" t="s">
        <v>119</v>
      </c>
      <c r="B115" s="17"/>
      <c r="C115" s="21" t="s">
        <v>120</v>
      </c>
      <c r="D115" s="16"/>
      <c r="E115" s="16"/>
      <c r="F115" s="17"/>
      <c r="G115" s="8" t="s">
        <v>10</v>
      </c>
      <c r="H115" s="22" t="s">
        <v>11</v>
      </c>
      <c r="I115" s="16"/>
      <c r="J115" s="17"/>
      <c r="K115" s="22" t="s">
        <v>107</v>
      </c>
      <c r="L115" s="17"/>
      <c r="M115" s="8" t="s">
        <v>127</v>
      </c>
      <c r="N115" s="23">
        <v>28.92</v>
      </c>
      <c r="O115" s="16"/>
      <c r="P115" s="17"/>
      <c r="Q115" s="8">
        <v>1</v>
      </c>
      <c r="R115" s="8">
        <v>0</v>
      </c>
      <c r="S115" s="15">
        <v>0</v>
      </c>
      <c r="T115" s="16"/>
      <c r="U115" s="17"/>
      <c r="V115" s="9">
        <v>28.92</v>
      </c>
    </row>
    <row r="116" spans="1:22" x14ac:dyDescent="0.25">
      <c r="A116" s="20" t="s">
        <v>121</v>
      </c>
      <c r="B116" s="17"/>
      <c r="C116" s="21" t="s">
        <v>122</v>
      </c>
      <c r="D116" s="16"/>
      <c r="E116" s="16"/>
      <c r="F116" s="17"/>
      <c r="G116" s="8" t="s">
        <v>10</v>
      </c>
      <c r="H116" s="22" t="s">
        <v>11</v>
      </c>
      <c r="I116" s="16"/>
      <c r="J116" s="17"/>
      <c r="K116" s="22" t="s">
        <v>107</v>
      </c>
      <c r="L116" s="17"/>
      <c r="M116" s="8" t="s">
        <v>127</v>
      </c>
      <c r="N116" s="23">
        <v>28.92</v>
      </c>
      <c r="O116" s="16"/>
      <c r="P116" s="17"/>
      <c r="Q116" s="8">
        <v>1</v>
      </c>
      <c r="R116" s="8">
        <v>0</v>
      </c>
      <c r="S116" s="15">
        <v>0</v>
      </c>
      <c r="T116" s="16"/>
      <c r="U116" s="17"/>
      <c r="V116" s="9">
        <v>28.92</v>
      </c>
    </row>
    <row r="117" spans="1:22" x14ac:dyDescent="0.25">
      <c r="A117" s="20" t="s">
        <v>123</v>
      </c>
      <c r="B117" s="17"/>
      <c r="C117" s="21" t="s">
        <v>124</v>
      </c>
      <c r="D117" s="16"/>
      <c r="E117" s="16"/>
      <c r="F117" s="17"/>
      <c r="G117" s="8" t="s">
        <v>10</v>
      </c>
      <c r="H117" s="22" t="s">
        <v>11</v>
      </c>
      <c r="I117" s="16"/>
      <c r="J117" s="17"/>
      <c r="K117" s="22" t="s">
        <v>91</v>
      </c>
      <c r="L117" s="17"/>
      <c r="M117" s="8" t="s">
        <v>127</v>
      </c>
      <c r="N117" s="23">
        <v>28.92</v>
      </c>
      <c r="O117" s="16"/>
      <c r="P117" s="17"/>
      <c r="Q117" s="8">
        <v>1</v>
      </c>
      <c r="R117" s="8">
        <v>0</v>
      </c>
      <c r="S117" s="15">
        <v>0</v>
      </c>
      <c r="T117" s="16"/>
      <c r="U117" s="17"/>
      <c r="V117" s="9">
        <v>28.92</v>
      </c>
    </row>
    <row r="118" spans="1:22" x14ac:dyDescent="0.25">
      <c r="A118" s="20" t="s">
        <v>207</v>
      </c>
      <c r="B118" s="17"/>
      <c r="C118" s="21" t="s">
        <v>208</v>
      </c>
      <c r="D118" s="16"/>
      <c r="E118" s="16"/>
      <c r="F118" s="17"/>
      <c r="G118" s="8" t="s">
        <v>10</v>
      </c>
      <c r="H118" s="22" t="s">
        <v>11</v>
      </c>
      <c r="I118" s="16"/>
      <c r="J118" s="17"/>
      <c r="K118" s="22" t="s">
        <v>148</v>
      </c>
      <c r="L118" s="17"/>
      <c r="M118" s="8" t="s">
        <v>127</v>
      </c>
      <c r="N118" s="23">
        <v>28.92</v>
      </c>
      <c r="O118" s="16"/>
      <c r="P118" s="17"/>
      <c r="Q118" s="8">
        <v>1</v>
      </c>
      <c r="R118" s="8">
        <v>0</v>
      </c>
      <c r="S118" s="15">
        <v>0</v>
      </c>
      <c r="T118" s="16"/>
      <c r="U118" s="17"/>
      <c r="V118" s="9">
        <v>28.92</v>
      </c>
    </row>
    <row r="119" spans="1:22" x14ac:dyDescent="0.25">
      <c r="A119" s="20" t="s">
        <v>209</v>
      </c>
      <c r="B119" s="17"/>
      <c r="C119" s="21" t="s">
        <v>210</v>
      </c>
      <c r="D119" s="16"/>
      <c r="E119" s="16"/>
      <c r="F119" s="17"/>
      <c r="G119" s="8" t="s">
        <v>10</v>
      </c>
      <c r="H119" s="22" t="s">
        <v>11</v>
      </c>
      <c r="I119" s="16"/>
      <c r="J119" s="17"/>
      <c r="K119" s="22" t="s">
        <v>211</v>
      </c>
      <c r="L119" s="17"/>
      <c r="M119" s="8" t="s">
        <v>127</v>
      </c>
      <c r="N119" s="23">
        <v>28.92</v>
      </c>
      <c r="O119" s="16"/>
      <c r="P119" s="17"/>
      <c r="Q119" s="8">
        <v>1</v>
      </c>
      <c r="R119" s="8">
        <v>0</v>
      </c>
      <c r="S119" s="15">
        <v>0</v>
      </c>
      <c r="T119" s="16"/>
      <c r="U119" s="17"/>
      <c r="V119" s="9">
        <v>28.92</v>
      </c>
    </row>
    <row r="120" spans="1:22" x14ac:dyDescent="0.25">
      <c r="A120" s="20" t="s">
        <v>212</v>
      </c>
      <c r="B120" s="17"/>
      <c r="C120" s="21" t="s">
        <v>213</v>
      </c>
      <c r="D120" s="16"/>
      <c r="E120" s="16"/>
      <c r="F120" s="17"/>
      <c r="G120" s="8" t="s">
        <v>10</v>
      </c>
      <c r="H120" s="22" t="s">
        <v>11</v>
      </c>
      <c r="I120" s="16"/>
      <c r="J120" s="17"/>
      <c r="K120" s="22" t="s">
        <v>214</v>
      </c>
      <c r="L120" s="17"/>
      <c r="M120" s="8" t="s">
        <v>127</v>
      </c>
      <c r="N120" s="23">
        <v>28.92</v>
      </c>
      <c r="O120" s="16"/>
      <c r="P120" s="17"/>
      <c r="Q120" s="8">
        <v>1</v>
      </c>
      <c r="R120" s="8">
        <v>0</v>
      </c>
      <c r="S120" s="15">
        <v>0</v>
      </c>
      <c r="T120" s="16"/>
      <c r="U120" s="17"/>
      <c r="V120" s="9">
        <v>28.92</v>
      </c>
    </row>
    <row r="121" spans="1:22" x14ac:dyDescent="0.25">
      <c r="A121" s="20" t="s">
        <v>215</v>
      </c>
      <c r="B121" s="17"/>
      <c r="C121" s="21" t="s">
        <v>216</v>
      </c>
      <c r="D121" s="16"/>
      <c r="E121" s="16"/>
      <c r="F121" s="17"/>
      <c r="G121" s="8" t="s">
        <v>10</v>
      </c>
      <c r="H121" s="22" t="s">
        <v>11</v>
      </c>
      <c r="I121" s="16"/>
      <c r="J121" s="17"/>
      <c r="K121" s="22" t="s">
        <v>140</v>
      </c>
      <c r="L121" s="17"/>
      <c r="M121" s="8" t="s">
        <v>127</v>
      </c>
      <c r="N121" s="23">
        <v>28.92</v>
      </c>
      <c r="O121" s="16"/>
      <c r="P121" s="17"/>
      <c r="Q121" s="8">
        <v>1</v>
      </c>
      <c r="R121" s="8">
        <v>0</v>
      </c>
      <c r="S121" s="15">
        <v>0</v>
      </c>
      <c r="T121" s="16"/>
      <c r="U121" s="17"/>
      <c r="V121" s="9">
        <v>28.92</v>
      </c>
    </row>
    <row r="122" spans="1:22" x14ac:dyDescent="0.25">
      <c r="A122" s="20" t="s">
        <v>217</v>
      </c>
      <c r="B122" s="17"/>
      <c r="C122" s="21" t="s">
        <v>218</v>
      </c>
      <c r="D122" s="16"/>
      <c r="E122" s="16"/>
      <c r="F122" s="17"/>
      <c r="G122" s="8" t="s">
        <v>10</v>
      </c>
      <c r="H122" s="22" t="s">
        <v>11</v>
      </c>
      <c r="I122" s="16"/>
      <c r="J122" s="17"/>
      <c r="K122" s="22" t="s">
        <v>219</v>
      </c>
      <c r="L122" s="17"/>
      <c r="M122" s="8" t="s">
        <v>127</v>
      </c>
      <c r="N122" s="23">
        <v>28.92</v>
      </c>
      <c r="O122" s="16"/>
      <c r="P122" s="17"/>
      <c r="Q122" s="8">
        <v>1</v>
      </c>
      <c r="R122" s="8">
        <v>0</v>
      </c>
      <c r="S122" s="15">
        <v>0</v>
      </c>
      <c r="T122" s="16"/>
      <c r="U122" s="17"/>
      <c r="V122" s="9">
        <v>28.92</v>
      </c>
    </row>
    <row r="123" spans="1:22" x14ac:dyDescent="0.25">
      <c r="A123" s="20" t="s">
        <v>220</v>
      </c>
      <c r="B123" s="17"/>
      <c r="C123" s="21" t="s">
        <v>221</v>
      </c>
      <c r="D123" s="16"/>
      <c r="E123" s="16"/>
      <c r="F123" s="17"/>
      <c r="G123" s="8" t="s">
        <v>197</v>
      </c>
      <c r="H123" s="22" t="s">
        <v>11</v>
      </c>
      <c r="I123" s="16"/>
      <c r="J123" s="17"/>
      <c r="K123" s="22" t="s">
        <v>222</v>
      </c>
      <c r="L123" s="17"/>
      <c r="M123" s="8" t="s">
        <v>127</v>
      </c>
      <c r="N123" s="23">
        <v>28.92</v>
      </c>
      <c r="O123" s="16"/>
      <c r="P123" s="17"/>
      <c r="Q123" s="8">
        <v>1</v>
      </c>
      <c r="R123" s="8">
        <v>0</v>
      </c>
      <c r="S123" s="15">
        <v>0</v>
      </c>
      <c r="T123" s="16"/>
      <c r="U123" s="17"/>
      <c r="V123" s="9">
        <v>28.92</v>
      </c>
    </row>
    <row r="124" spans="1:22" x14ac:dyDescent="0.25">
      <c r="A124" s="20" t="s">
        <v>125</v>
      </c>
      <c r="B124" s="17"/>
      <c r="C124" s="21" t="s">
        <v>126</v>
      </c>
      <c r="D124" s="16"/>
      <c r="E124" s="16"/>
      <c r="F124" s="17"/>
      <c r="G124" s="8" t="s">
        <v>10</v>
      </c>
      <c r="H124" s="22" t="s">
        <v>11</v>
      </c>
      <c r="I124" s="16"/>
      <c r="J124" s="17"/>
      <c r="K124" s="22" t="s">
        <v>107</v>
      </c>
      <c r="L124" s="17"/>
      <c r="M124" s="8" t="s">
        <v>127</v>
      </c>
      <c r="N124" s="23">
        <v>28.92</v>
      </c>
      <c r="O124" s="16"/>
      <c r="P124" s="17"/>
      <c r="Q124" s="8">
        <v>1</v>
      </c>
      <c r="R124" s="8">
        <v>0</v>
      </c>
      <c r="S124" s="15">
        <v>0</v>
      </c>
      <c r="T124" s="16"/>
      <c r="U124" s="17"/>
      <c r="V124" s="9">
        <v>28.92</v>
      </c>
    </row>
    <row r="125" spans="1:22" x14ac:dyDescent="0.25">
      <c r="A125" s="20" t="s">
        <v>108</v>
      </c>
      <c r="B125" s="17"/>
      <c r="C125" s="21" t="s">
        <v>109</v>
      </c>
      <c r="D125" s="16"/>
      <c r="E125" s="16"/>
      <c r="F125" s="17"/>
      <c r="G125" s="8" t="s">
        <v>10</v>
      </c>
      <c r="H125" s="22" t="s">
        <v>11</v>
      </c>
      <c r="I125" s="16"/>
      <c r="J125" s="17"/>
      <c r="K125" s="22" t="s">
        <v>79</v>
      </c>
      <c r="L125" s="17"/>
      <c r="M125" s="8" t="s">
        <v>223</v>
      </c>
      <c r="N125" s="23">
        <v>694</v>
      </c>
      <c r="O125" s="16"/>
      <c r="P125" s="17"/>
      <c r="Q125" s="8">
        <v>12</v>
      </c>
      <c r="R125" s="8">
        <v>0</v>
      </c>
      <c r="S125" s="15">
        <v>0</v>
      </c>
      <c r="T125" s="16"/>
      <c r="U125" s="17"/>
      <c r="V125" s="9">
        <v>694</v>
      </c>
    </row>
    <row r="126" spans="1:22" x14ac:dyDescent="0.25">
      <c r="A126" s="18" t="s">
        <v>224</v>
      </c>
      <c r="B126" s="16"/>
      <c r="C126" s="16"/>
      <c r="D126" s="16"/>
      <c r="E126" s="16"/>
      <c r="F126" s="17"/>
      <c r="G126" s="18" t="s">
        <v>225</v>
      </c>
      <c r="H126" s="16"/>
      <c r="I126" s="16"/>
      <c r="J126" s="17"/>
      <c r="K126" s="18" t="s">
        <v>48</v>
      </c>
      <c r="L126" s="17"/>
      <c r="M126" s="10" t="s">
        <v>48</v>
      </c>
      <c r="N126" s="19">
        <v>3944.88</v>
      </c>
      <c r="O126" s="16"/>
      <c r="P126" s="17"/>
      <c r="Q126" s="12">
        <v>76</v>
      </c>
      <c r="R126" s="12">
        <v>0</v>
      </c>
      <c r="S126" s="19">
        <v>0</v>
      </c>
      <c r="T126" s="16"/>
      <c r="U126" s="17"/>
      <c r="V126" s="11">
        <v>3944.88</v>
      </c>
    </row>
    <row r="127" spans="1:22" ht="0" hidden="1" customHeight="1" x14ac:dyDescent="0.25"/>
  </sheetData>
  <mergeCells count="656">
    <mergeCell ref="U2:X2"/>
    <mergeCell ref="B7:H7"/>
    <mergeCell ref="C9:E9"/>
    <mergeCell ref="F9:I9"/>
    <mergeCell ref="J9:K9"/>
    <mergeCell ref="L9:N9"/>
    <mergeCell ref="C10:E10"/>
    <mergeCell ref="F10:I10"/>
    <mergeCell ref="J10:K10"/>
    <mergeCell ref="L10:N10"/>
    <mergeCell ref="C11:E11"/>
    <mergeCell ref="F11:I11"/>
    <mergeCell ref="J11:K11"/>
    <mergeCell ref="L11:N11"/>
    <mergeCell ref="A1:C3"/>
    <mergeCell ref="E1:S4"/>
    <mergeCell ref="C14:E14"/>
    <mergeCell ref="F14:I14"/>
    <mergeCell ref="J14:K14"/>
    <mergeCell ref="L14:N14"/>
    <mergeCell ref="C15:E15"/>
    <mergeCell ref="F15:I15"/>
    <mergeCell ref="J15:K15"/>
    <mergeCell ref="L15:N15"/>
    <mergeCell ref="C12:E12"/>
    <mergeCell ref="F12:I12"/>
    <mergeCell ref="J12:K12"/>
    <mergeCell ref="L12:N12"/>
    <mergeCell ref="C13:E13"/>
    <mergeCell ref="F13:I13"/>
    <mergeCell ref="J13:K13"/>
    <mergeCell ref="L13:N13"/>
    <mergeCell ref="C18:E18"/>
    <mergeCell ref="F18:I18"/>
    <mergeCell ref="J18:K18"/>
    <mergeCell ref="L18:N18"/>
    <mergeCell ref="C19:E19"/>
    <mergeCell ref="F19:I19"/>
    <mergeCell ref="J19:K19"/>
    <mergeCell ref="L19:N19"/>
    <mergeCell ref="C16:E16"/>
    <mergeCell ref="F16:I16"/>
    <mergeCell ref="J16:K16"/>
    <mergeCell ref="L16:N16"/>
    <mergeCell ref="C17:E17"/>
    <mergeCell ref="F17:I17"/>
    <mergeCell ref="J17:K17"/>
    <mergeCell ref="L17:N17"/>
    <mergeCell ref="C22:E22"/>
    <mergeCell ref="F22:I22"/>
    <mergeCell ref="J22:K22"/>
    <mergeCell ref="L22:N22"/>
    <mergeCell ref="C23:E23"/>
    <mergeCell ref="F23:I23"/>
    <mergeCell ref="J23:K23"/>
    <mergeCell ref="L23:N23"/>
    <mergeCell ref="C20:E20"/>
    <mergeCell ref="F20:I20"/>
    <mergeCell ref="J20:K20"/>
    <mergeCell ref="L20:N20"/>
    <mergeCell ref="C21:E21"/>
    <mergeCell ref="F21:I21"/>
    <mergeCell ref="J21:K21"/>
    <mergeCell ref="L21:N21"/>
    <mergeCell ref="C26:E26"/>
    <mergeCell ref="F26:I26"/>
    <mergeCell ref="J26:K26"/>
    <mergeCell ref="L26:N26"/>
    <mergeCell ref="C27:E27"/>
    <mergeCell ref="F27:I27"/>
    <mergeCell ref="J27:K27"/>
    <mergeCell ref="L27:N27"/>
    <mergeCell ref="C24:E24"/>
    <mergeCell ref="F24:I24"/>
    <mergeCell ref="J24:K24"/>
    <mergeCell ref="L24:N24"/>
    <mergeCell ref="C25:E25"/>
    <mergeCell ref="F25:I25"/>
    <mergeCell ref="J25:K25"/>
    <mergeCell ref="L25:N25"/>
    <mergeCell ref="S31:U31"/>
    <mergeCell ref="A32:B32"/>
    <mergeCell ref="C32:F32"/>
    <mergeCell ref="H32:J32"/>
    <mergeCell ref="K32:L32"/>
    <mergeCell ref="N32:P32"/>
    <mergeCell ref="S32:U32"/>
    <mergeCell ref="C28:E28"/>
    <mergeCell ref="F28:I28"/>
    <mergeCell ref="J28:K28"/>
    <mergeCell ref="L28:N28"/>
    <mergeCell ref="A31:M31"/>
    <mergeCell ref="N31:P31"/>
    <mergeCell ref="S33:U33"/>
    <mergeCell ref="A34:B34"/>
    <mergeCell ref="C34:F34"/>
    <mergeCell ref="H34:J34"/>
    <mergeCell ref="K34:L34"/>
    <mergeCell ref="N34:P34"/>
    <mergeCell ref="S34:U34"/>
    <mergeCell ref="A33:B33"/>
    <mergeCell ref="C33:F33"/>
    <mergeCell ref="H33:J33"/>
    <mergeCell ref="K33:L33"/>
    <mergeCell ref="N33:P33"/>
    <mergeCell ref="S35:U35"/>
    <mergeCell ref="A36:B36"/>
    <mergeCell ref="C36:F36"/>
    <mergeCell ref="H36:J36"/>
    <mergeCell ref="K36:L36"/>
    <mergeCell ref="N36:P36"/>
    <mergeCell ref="S36:U36"/>
    <mergeCell ref="A35:B35"/>
    <mergeCell ref="C35:F35"/>
    <mergeCell ref="H35:J35"/>
    <mergeCell ref="K35:L35"/>
    <mergeCell ref="N35:P35"/>
    <mergeCell ref="S37:U37"/>
    <mergeCell ref="A38:B38"/>
    <mergeCell ref="C38:F38"/>
    <mergeCell ref="H38:J38"/>
    <mergeCell ref="K38:L38"/>
    <mergeCell ref="N38:P38"/>
    <mergeCell ref="S38:U38"/>
    <mergeCell ref="A37:B37"/>
    <mergeCell ref="C37:F37"/>
    <mergeCell ref="H37:J37"/>
    <mergeCell ref="K37:L37"/>
    <mergeCell ref="N37:P37"/>
    <mergeCell ref="S39:U39"/>
    <mergeCell ref="A40:B40"/>
    <mergeCell ref="C40:F40"/>
    <mergeCell ref="H40:J40"/>
    <mergeCell ref="K40:L40"/>
    <mergeCell ref="N40:P40"/>
    <mergeCell ref="S40:U40"/>
    <mergeCell ref="A39:B39"/>
    <mergeCell ref="C39:F39"/>
    <mergeCell ref="H39:J39"/>
    <mergeCell ref="K39:L39"/>
    <mergeCell ref="N39:P39"/>
    <mergeCell ref="S41:U41"/>
    <mergeCell ref="A42:B42"/>
    <mergeCell ref="C42:F42"/>
    <mergeCell ref="H42:J42"/>
    <mergeCell ref="K42:L42"/>
    <mergeCell ref="N42:P42"/>
    <mergeCell ref="S42:U42"/>
    <mergeCell ref="A41:B41"/>
    <mergeCell ref="C41:F41"/>
    <mergeCell ref="H41:J41"/>
    <mergeCell ref="K41:L41"/>
    <mergeCell ref="N41:P41"/>
    <mergeCell ref="S43:U43"/>
    <mergeCell ref="A44:B44"/>
    <mergeCell ref="C44:F44"/>
    <mergeCell ref="H44:J44"/>
    <mergeCell ref="K44:L44"/>
    <mergeCell ref="N44:P44"/>
    <mergeCell ref="S44:U44"/>
    <mergeCell ref="A43:B43"/>
    <mergeCell ref="C43:F43"/>
    <mergeCell ref="H43:J43"/>
    <mergeCell ref="K43:L43"/>
    <mergeCell ref="N43:P43"/>
    <mergeCell ref="S45:U45"/>
    <mergeCell ref="A46:B46"/>
    <mergeCell ref="C46:F46"/>
    <mergeCell ref="H46:J46"/>
    <mergeCell ref="K46:L46"/>
    <mergeCell ref="N46:P46"/>
    <mergeCell ref="S46:U46"/>
    <mergeCell ref="A45:B45"/>
    <mergeCell ref="C45:F45"/>
    <mergeCell ref="H45:J45"/>
    <mergeCell ref="K45:L45"/>
    <mergeCell ref="N45:P45"/>
    <mergeCell ref="S47:U47"/>
    <mergeCell ref="A48:B48"/>
    <mergeCell ref="C48:F48"/>
    <mergeCell ref="H48:J48"/>
    <mergeCell ref="K48:L48"/>
    <mergeCell ref="N48:P48"/>
    <mergeCell ref="S48:U48"/>
    <mergeCell ref="A47:B47"/>
    <mergeCell ref="C47:F47"/>
    <mergeCell ref="H47:J47"/>
    <mergeCell ref="K47:L47"/>
    <mergeCell ref="N47:P47"/>
    <mergeCell ref="S49:U49"/>
    <mergeCell ref="A50:B50"/>
    <mergeCell ref="C50:F50"/>
    <mergeCell ref="H50:J50"/>
    <mergeCell ref="K50:L50"/>
    <mergeCell ref="N50:P50"/>
    <mergeCell ref="S50:U50"/>
    <mergeCell ref="A49:B49"/>
    <mergeCell ref="C49:F49"/>
    <mergeCell ref="H49:J49"/>
    <mergeCell ref="K49:L49"/>
    <mergeCell ref="N49:P49"/>
    <mergeCell ref="S51:U51"/>
    <mergeCell ref="A52:B52"/>
    <mergeCell ref="C52:F52"/>
    <mergeCell ref="H52:J52"/>
    <mergeCell ref="K52:L52"/>
    <mergeCell ref="N52:P52"/>
    <mergeCell ref="S52:U52"/>
    <mergeCell ref="A51:B51"/>
    <mergeCell ref="C51:F51"/>
    <mergeCell ref="H51:J51"/>
    <mergeCell ref="K51:L51"/>
    <mergeCell ref="N51:P51"/>
    <mergeCell ref="S53:U53"/>
    <mergeCell ref="A54:B54"/>
    <mergeCell ref="C54:F54"/>
    <mergeCell ref="H54:J54"/>
    <mergeCell ref="K54:L54"/>
    <mergeCell ref="N54:P54"/>
    <mergeCell ref="S54:U54"/>
    <mergeCell ref="A53:B53"/>
    <mergeCell ref="C53:F53"/>
    <mergeCell ref="H53:J53"/>
    <mergeCell ref="K53:L53"/>
    <mergeCell ref="N53:P53"/>
    <mergeCell ref="S55:U55"/>
    <mergeCell ref="A56:B56"/>
    <mergeCell ref="C56:F56"/>
    <mergeCell ref="H56:J56"/>
    <mergeCell ref="K56:L56"/>
    <mergeCell ref="N56:P56"/>
    <mergeCell ref="S56:U56"/>
    <mergeCell ref="A55:B55"/>
    <mergeCell ref="C55:F55"/>
    <mergeCell ref="H55:J55"/>
    <mergeCell ref="K55:L55"/>
    <mergeCell ref="N55:P55"/>
    <mergeCell ref="S57:U57"/>
    <mergeCell ref="A58:B58"/>
    <mergeCell ref="C58:F58"/>
    <mergeCell ref="H58:J58"/>
    <mergeCell ref="K58:L58"/>
    <mergeCell ref="N58:P58"/>
    <mergeCell ref="S58:U58"/>
    <mergeCell ref="A57:B57"/>
    <mergeCell ref="C57:F57"/>
    <mergeCell ref="H57:J57"/>
    <mergeCell ref="K57:L57"/>
    <mergeCell ref="N57:P57"/>
    <mergeCell ref="S59:U59"/>
    <mergeCell ref="A60:B60"/>
    <mergeCell ref="C60:F60"/>
    <mergeCell ref="H60:J60"/>
    <mergeCell ref="K60:L60"/>
    <mergeCell ref="N60:P60"/>
    <mergeCell ref="S60:U60"/>
    <mergeCell ref="A59:B59"/>
    <mergeCell ref="C59:F59"/>
    <mergeCell ref="H59:J59"/>
    <mergeCell ref="K59:L59"/>
    <mergeCell ref="N59:P59"/>
    <mergeCell ref="S61:U61"/>
    <mergeCell ref="A62:B62"/>
    <mergeCell ref="C62:F62"/>
    <mergeCell ref="H62:J62"/>
    <mergeCell ref="K62:L62"/>
    <mergeCell ref="N62:P62"/>
    <mergeCell ref="S62:U62"/>
    <mergeCell ref="A61:B61"/>
    <mergeCell ref="C61:F61"/>
    <mergeCell ref="H61:J61"/>
    <mergeCell ref="K61:L61"/>
    <mergeCell ref="N61:P61"/>
    <mergeCell ref="S63:U63"/>
    <mergeCell ref="A64:B64"/>
    <mergeCell ref="C64:F64"/>
    <mergeCell ref="H64:J64"/>
    <mergeCell ref="K64:L64"/>
    <mergeCell ref="N64:P64"/>
    <mergeCell ref="S64:U64"/>
    <mergeCell ref="A63:B63"/>
    <mergeCell ref="C63:F63"/>
    <mergeCell ref="H63:J63"/>
    <mergeCell ref="K63:L63"/>
    <mergeCell ref="N63:P63"/>
    <mergeCell ref="S65:U65"/>
    <mergeCell ref="A66:B66"/>
    <mergeCell ref="C66:F66"/>
    <mergeCell ref="H66:J66"/>
    <mergeCell ref="K66:L66"/>
    <mergeCell ref="N66:P66"/>
    <mergeCell ref="S66:U66"/>
    <mergeCell ref="A65:B65"/>
    <mergeCell ref="C65:F65"/>
    <mergeCell ref="H65:J65"/>
    <mergeCell ref="K65:L65"/>
    <mergeCell ref="N65:P65"/>
    <mergeCell ref="S67:U67"/>
    <mergeCell ref="A68:B68"/>
    <mergeCell ref="C68:F68"/>
    <mergeCell ref="H68:J68"/>
    <mergeCell ref="K68:L68"/>
    <mergeCell ref="N68:P68"/>
    <mergeCell ref="S68:U68"/>
    <mergeCell ref="A67:B67"/>
    <mergeCell ref="C67:F67"/>
    <mergeCell ref="H67:J67"/>
    <mergeCell ref="K67:L67"/>
    <mergeCell ref="N67:P67"/>
    <mergeCell ref="S69:U69"/>
    <mergeCell ref="A70:B70"/>
    <mergeCell ref="C70:F70"/>
    <mergeCell ref="H70:J70"/>
    <mergeCell ref="K70:L70"/>
    <mergeCell ref="N70:P70"/>
    <mergeCell ref="S70:U70"/>
    <mergeCell ref="A69:B69"/>
    <mergeCell ref="C69:F69"/>
    <mergeCell ref="H69:J69"/>
    <mergeCell ref="K69:L69"/>
    <mergeCell ref="N69:P69"/>
    <mergeCell ref="S71:U71"/>
    <mergeCell ref="A72:B72"/>
    <mergeCell ref="C72:F72"/>
    <mergeCell ref="H72:J72"/>
    <mergeCell ref="K72:L72"/>
    <mergeCell ref="N72:P72"/>
    <mergeCell ref="S72:U72"/>
    <mergeCell ref="A71:B71"/>
    <mergeCell ref="C71:F71"/>
    <mergeCell ref="H71:J71"/>
    <mergeCell ref="K71:L71"/>
    <mergeCell ref="N71:P71"/>
    <mergeCell ref="S73:U73"/>
    <mergeCell ref="A74:B74"/>
    <mergeCell ref="C74:F74"/>
    <mergeCell ref="H74:J74"/>
    <mergeCell ref="K74:L74"/>
    <mergeCell ref="N74:P74"/>
    <mergeCell ref="S74:U74"/>
    <mergeCell ref="A73:B73"/>
    <mergeCell ref="C73:F73"/>
    <mergeCell ref="H73:J73"/>
    <mergeCell ref="K73:L73"/>
    <mergeCell ref="N73:P73"/>
    <mergeCell ref="S75:U75"/>
    <mergeCell ref="A76:B76"/>
    <mergeCell ref="C76:F76"/>
    <mergeCell ref="H76:J76"/>
    <mergeCell ref="K76:L76"/>
    <mergeCell ref="N76:P76"/>
    <mergeCell ref="S76:U76"/>
    <mergeCell ref="A75:B75"/>
    <mergeCell ref="C75:F75"/>
    <mergeCell ref="H75:J75"/>
    <mergeCell ref="K75:L75"/>
    <mergeCell ref="N75:P75"/>
    <mergeCell ref="S77:U77"/>
    <mergeCell ref="A78:B78"/>
    <mergeCell ref="C78:F78"/>
    <mergeCell ref="H78:J78"/>
    <mergeCell ref="K78:L78"/>
    <mergeCell ref="N78:P78"/>
    <mergeCell ref="S78:U78"/>
    <mergeCell ref="A77:B77"/>
    <mergeCell ref="C77:F77"/>
    <mergeCell ref="H77:J77"/>
    <mergeCell ref="K77:L77"/>
    <mergeCell ref="N77:P77"/>
    <mergeCell ref="S79:U79"/>
    <mergeCell ref="A80:B80"/>
    <mergeCell ref="C80:F80"/>
    <mergeCell ref="H80:J80"/>
    <mergeCell ref="K80:L80"/>
    <mergeCell ref="N80:P80"/>
    <mergeCell ref="S80:U80"/>
    <mergeCell ref="A79:B79"/>
    <mergeCell ref="C79:F79"/>
    <mergeCell ref="H79:J79"/>
    <mergeCell ref="K79:L79"/>
    <mergeCell ref="N79:P79"/>
    <mergeCell ref="S81:U81"/>
    <mergeCell ref="A82:B82"/>
    <mergeCell ref="C82:F82"/>
    <mergeCell ref="H82:J82"/>
    <mergeCell ref="K82:L82"/>
    <mergeCell ref="N82:P82"/>
    <mergeCell ref="S82:U82"/>
    <mergeCell ref="A81:B81"/>
    <mergeCell ref="C81:F81"/>
    <mergeCell ref="H81:J81"/>
    <mergeCell ref="K81:L81"/>
    <mergeCell ref="N81:P81"/>
    <mergeCell ref="S83:U83"/>
    <mergeCell ref="A84:B84"/>
    <mergeCell ref="C84:F84"/>
    <mergeCell ref="H84:J84"/>
    <mergeCell ref="K84:L84"/>
    <mergeCell ref="N84:P84"/>
    <mergeCell ref="S84:U84"/>
    <mergeCell ref="A83:B83"/>
    <mergeCell ref="C83:F83"/>
    <mergeCell ref="H83:J83"/>
    <mergeCell ref="K83:L83"/>
    <mergeCell ref="N83:P83"/>
    <mergeCell ref="S85:U85"/>
    <mergeCell ref="A86:B86"/>
    <mergeCell ref="C86:F86"/>
    <mergeCell ref="H86:J86"/>
    <mergeCell ref="K86:L86"/>
    <mergeCell ref="N86:P86"/>
    <mergeCell ref="S86:U86"/>
    <mergeCell ref="A85:B85"/>
    <mergeCell ref="C85:F85"/>
    <mergeCell ref="H85:J85"/>
    <mergeCell ref="K85:L85"/>
    <mergeCell ref="N85:P85"/>
    <mergeCell ref="S87:U87"/>
    <mergeCell ref="A88:B88"/>
    <mergeCell ref="C88:F88"/>
    <mergeCell ref="H88:J88"/>
    <mergeCell ref="K88:L88"/>
    <mergeCell ref="N88:P88"/>
    <mergeCell ref="S88:U88"/>
    <mergeCell ref="A87:B87"/>
    <mergeCell ref="C87:F87"/>
    <mergeCell ref="H87:J87"/>
    <mergeCell ref="K87:L87"/>
    <mergeCell ref="N87:P87"/>
    <mergeCell ref="S89:U89"/>
    <mergeCell ref="A90:B90"/>
    <mergeCell ref="C90:F90"/>
    <mergeCell ref="H90:J90"/>
    <mergeCell ref="K90:L90"/>
    <mergeCell ref="N90:P90"/>
    <mergeCell ref="S90:U90"/>
    <mergeCell ref="A89:B89"/>
    <mergeCell ref="C89:F89"/>
    <mergeCell ref="H89:J89"/>
    <mergeCell ref="K89:L89"/>
    <mergeCell ref="N89:P89"/>
    <mergeCell ref="S91:U91"/>
    <mergeCell ref="A92:B92"/>
    <mergeCell ref="C92:F92"/>
    <mergeCell ref="H92:J92"/>
    <mergeCell ref="K92:L92"/>
    <mergeCell ref="N92:P92"/>
    <mergeCell ref="S92:U92"/>
    <mergeCell ref="A91:B91"/>
    <mergeCell ref="C91:F91"/>
    <mergeCell ref="H91:J91"/>
    <mergeCell ref="K91:L91"/>
    <mergeCell ref="N91:P91"/>
    <mergeCell ref="S93:U93"/>
    <mergeCell ref="A94:B94"/>
    <mergeCell ref="C94:F94"/>
    <mergeCell ref="H94:J94"/>
    <mergeCell ref="K94:L94"/>
    <mergeCell ref="N94:P94"/>
    <mergeCell ref="S94:U94"/>
    <mergeCell ref="A93:B93"/>
    <mergeCell ref="C93:F93"/>
    <mergeCell ref="H93:J93"/>
    <mergeCell ref="K93:L93"/>
    <mergeCell ref="N93:P93"/>
    <mergeCell ref="S95:U95"/>
    <mergeCell ref="A96:B96"/>
    <mergeCell ref="C96:F96"/>
    <mergeCell ref="H96:J96"/>
    <mergeCell ref="K96:L96"/>
    <mergeCell ref="N96:P96"/>
    <mergeCell ref="S96:U96"/>
    <mergeCell ref="A95:B95"/>
    <mergeCell ref="C95:F95"/>
    <mergeCell ref="H95:J95"/>
    <mergeCell ref="K95:L95"/>
    <mergeCell ref="N95:P95"/>
    <mergeCell ref="S97:U97"/>
    <mergeCell ref="A98:B98"/>
    <mergeCell ref="C98:F98"/>
    <mergeCell ref="H98:J98"/>
    <mergeCell ref="K98:L98"/>
    <mergeCell ref="N98:P98"/>
    <mergeCell ref="S98:U98"/>
    <mergeCell ref="A97:B97"/>
    <mergeCell ref="C97:F97"/>
    <mergeCell ref="H97:J97"/>
    <mergeCell ref="K97:L97"/>
    <mergeCell ref="N97:P97"/>
    <mergeCell ref="S99:U99"/>
    <mergeCell ref="A100:B100"/>
    <mergeCell ref="C100:F100"/>
    <mergeCell ref="H100:J100"/>
    <mergeCell ref="K100:L100"/>
    <mergeCell ref="N100:P100"/>
    <mergeCell ref="S100:U100"/>
    <mergeCell ref="A99:B99"/>
    <mergeCell ref="C99:F99"/>
    <mergeCell ref="H99:J99"/>
    <mergeCell ref="K99:L99"/>
    <mergeCell ref="N99:P99"/>
    <mergeCell ref="S101:U101"/>
    <mergeCell ref="A102:B102"/>
    <mergeCell ref="C102:F102"/>
    <mergeCell ref="H102:J102"/>
    <mergeCell ref="K102:L102"/>
    <mergeCell ref="N102:P102"/>
    <mergeCell ref="S102:U102"/>
    <mergeCell ref="A101:B101"/>
    <mergeCell ref="C101:F101"/>
    <mergeCell ref="H101:J101"/>
    <mergeCell ref="K101:L101"/>
    <mergeCell ref="N101:P101"/>
    <mergeCell ref="S103:U103"/>
    <mergeCell ref="A104:B104"/>
    <mergeCell ref="C104:F104"/>
    <mergeCell ref="H104:J104"/>
    <mergeCell ref="K104:L104"/>
    <mergeCell ref="N104:P104"/>
    <mergeCell ref="S104:U104"/>
    <mergeCell ref="A103:B103"/>
    <mergeCell ref="C103:F103"/>
    <mergeCell ref="H103:J103"/>
    <mergeCell ref="K103:L103"/>
    <mergeCell ref="N103:P103"/>
    <mergeCell ref="S105:U105"/>
    <mergeCell ref="A106:B106"/>
    <mergeCell ref="C106:F106"/>
    <mergeCell ref="H106:J106"/>
    <mergeCell ref="K106:L106"/>
    <mergeCell ref="N106:P106"/>
    <mergeCell ref="S106:U106"/>
    <mergeCell ref="A105:B105"/>
    <mergeCell ref="C105:F105"/>
    <mergeCell ref="H105:J105"/>
    <mergeCell ref="K105:L105"/>
    <mergeCell ref="N105:P105"/>
    <mergeCell ref="S107:U107"/>
    <mergeCell ref="A108:B108"/>
    <mergeCell ref="C108:F108"/>
    <mergeCell ref="H108:J108"/>
    <mergeCell ref="K108:L108"/>
    <mergeCell ref="N108:P108"/>
    <mergeCell ref="S108:U108"/>
    <mergeCell ref="A107:B107"/>
    <mergeCell ref="C107:F107"/>
    <mergeCell ref="H107:J107"/>
    <mergeCell ref="K107:L107"/>
    <mergeCell ref="N107:P107"/>
    <mergeCell ref="S109:U109"/>
    <mergeCell ref="A110:B110"/>
    <mergeCell ref="C110:F110"/>
    <mergeCell ref="H110:J110"/>
    <mergeCell ref="K110:L110"/>
    <mergeCell ref="N110:P110"/>
    <mergeCell ref="S110:U110"/>
    <mergeCell ref="A109:B109"/>
    <mergeCell ref="C109:F109"/>
    <mergeCell ref="H109:J109"/>
    <mergeCell ref="K109:L109"/>
    <mergeCell ref="N109:P109"/>
    <mergeCell ref="S111:U111"/>
    <mergeCell ref="A112:B112"/>
    <mergeCell ref="C112:F112"/>
    <mergeCell ref="H112:J112"/>
    <mergeCell ref="K112:L112"/>
    <mergeCell ref="N112:P112"/>
    <mergeCell ref="S112:U112"/>
    <mergeCell ref="A111:B111"/>
    <mergeCell ref="C111:F111"/>
    <mergeCell ref="H111:J111"/>
    <mergeCell ref="K111:L111"/>
    <mergeCell ref="N111:P111"/>
    <mergeCell ref="S113:U113"/>
    <mergeCell ref="A114:B114"/>
    <mergeCell ref="C114:F114"/>
    <mergeCell ref="H114:J114"/>
    <mergeCell ref="K114:L114"/>
    <mergeCell ref="N114:P114"/>
    <mergeCell ref="S114:U114"/>
    <mergeCell ref="A113:B113"/>
    <mergeCell ref="C113:F113"/>
    <mergeCell ref="H113:J113"/>
    <mergeCell ref="K113:L113"/>
    <mergeCell ref="N113:P113"/>
    <mergeCell ref="S115:U115"/>
    <mergeCell ref="A116:B116"/>
    <mergeCell ref="C116:F116"/>
    <mergeCell ref="H116:J116"/>
    <mergeCell ref="K116:L116"/>
    <mergeCell ref="N116:P116"/>
    <mergeCell ref="S116:U116"/>
    <mergeCell ref="A115:B115"/>
    <mergeCell ref="C115:F115"/>
    <mergeCell ref="H115:J115"/>
    <mergeCell ref="K115:L115"/>
    <mergeCell ref="N115:P115"/>
    <mergeCell ref="S117:U117"/>
    <mergeCell ref="A118:B118"/>
    <mergeCell ref="C118:F118"/>
    <mergeCell ref="H118:J118"/>
    <mergeCell ref="K118:L118"/>
    <mergeCell ref="N118:P118"/>
    <mergeCell ref="S118:U118"/>
    <mergeCell ref="A117:B117"/>
    <mergeCell ref="C117:F117"/>
    <mergeCell ref="H117:J117"/>
    <mergeCell ref="K117:L117"/>
    <mergeCell ref="N117:P117"/>
    <mergeCell ref="S119:U119"/>
    <mergeCell ref="A120:B120"/>
    <mergeCell ref="C120:F120"/>
    <mergeCell ref="H120:J120"/>
    <mergeCell ref="K120:L120"/>
    <mergeCell ref="N120:P120"/>
    <mergeCell ref="S120:U120"/>
    <mergeCell ref="A119:B119"/>
    <mergeCell ref="C119:F119"/>
    <mergeCell ref="H119:J119"/>
    <mergeCell ref="K119:L119"/>
    <mergeCell ref="N119:P119"/>
    <mergeCell ref="S121:U121"/>
    <mergeCell ref="A122:B122"/>
    <mergeCell ref="C122:F122"/>
    <mergeCell ref="H122:J122"/>
    <mergeCell ref="K122:L122"/>
    <mergeCell ref="N122:P122"/>
    <mergeCell ref="S122:U122"/>
    <mergeCell ref="A121:B121"/>
    <mergeCell ref="C121:F121"/>
    <mergeCell ref="H121:J121"/>
    <mergeCell ref="K121:L121"/>
    <mergeCell ref="N121:P121"/>
    <mergeCell ref="S123:U123"/>
    <mergeCell ref="A124:B124"/>
    <mergeCell ref="C124:F124"/>
    <mergeCell ref="H124:J124"/>
    <mergeCell ref="K124:L124"/>
    <mergeCell ref="N124:P124"/>
    <mergeCell ref="S124:U124"/>
    <mergeCell ref="A123:B123"/>
    <mergeCell ref="C123:F123"/>
    <mergeCell ref="H123:J123"/>
    <mergeCell ref="K123:L123"/>
    <mergeCell ref="N123:P123"/>
    <mergeCell ref="S125:U125"/>
    <mergeCell ref="A126:F126"/>
    <mergeCell ref="G126:J126"/>
    <mergeCell ref="K126:L126"/>
    <mergeCell ref="N126:P126"/>
    <mergeCell ref="S126:U126"/>
    <mergeCell ref="A125:B125"/>
    <mergeCell ref="C125:F125"/>
    <mergeCell ref="H125:J125"/>
    <mergeCell ref="K125:L125"/>
    <mergeCell ref="N125:P125"/>
  </mergeCells>
  <hyperlinks>
    <hyperlink ref="C10" r:id="rId1" xr:uid="{00000000-0004-0000-0000-000000000000}"/>
    <hyperlink ref="C11" r:id="rId2" xr:uid="{00000000-0004-0000-0000-000001000000}"/>
    <hyperlink ref="C12" r:id="rId3" xr:uid="{00000000-0004-0000-0000-000002000000}"/>
    <hyperlink ref="C13" r:id="rId4" xr:uid="{00000000-0004-0000-0000-000003000000}"/>
    <hyperlink ref="C14" r:id="rId5" xr:uid="{00000000-0004-0000-0000-000004000000}"/>
    <hyperlink ref="C15" r:id="rId6" xr:uid="{00000000-0004-0000-0000-000005000000}"/>
    <hyperlink ref="C16" r:id="rId7" xr:uid="{00000000-0004-0000-0000-000006000000}"/>
    <hyperlink ref="C17" r:id="rId8" xr:uid="{00000000-0004-0000-0000-000007000000}"/>
    <hyperlink ref="C18" r:id="rId9" xr:uid="{00000000-0004-0000-0000-000008000000}"/>
    <hyperlink ref="C19" r:id="rId10" xr:uid="{00000000-0004-0000-0000-000009000000}"/>
    <hyperlink ref="C20" r:id="rId11" xr:uid="{00000000-0004-0000-0000-00000A000000}"/>
    <hyperlink ref="C21" r:id="rId12" xr:uid="{00000000-0004-0000-0000-00000B000000}"/>
    <hyperlink ref="C22" r:id="rId13" xr:uid="{00000000-0004-0000-0000-00000C000000}"/>
    <hyperlink ref="C23" r:id="rId14" xr:uid="{00000000-0004-0000-0000-00000D000000}"/>
    <hyperlink ref="C24" r:id="rId15" xr:uid="{00000000-0004-0000-0000-00000E000000}"/>
    <hyperlink ref="C25" r:id="rId16" xr:uid="{00000000-0004-0000-0000-00000F000000}"/>
    <hyperlink ref="C26" r:id="rId17" xr:uid="{00000000-0004-0000-0000-000010000000}"/>
    <hyperlink ref="C27" r:id="rId18" xr:uid="{00000000-0004-0000-0000-000011000000}"/>
    <hyperlink ref="C33" r:id="rId19" xr:uid="{00000000-0004-0000-0000-000012000000}"/>
    <hyperlink ref="C34" r:id="rId20" xr:uid="{00000000-0004-0000-0000-000013000000}"/>
    <hyperlink ref="C35" r:id="rId21" xr:uid="{00000000-0004-0000-0000-000014000000}"/>
    <hyperlink ref="C36" r:id="rId22" xr:uid="{00000000-0004-0000-0000-000015000000}"/>
    <hyperlink ref="C37" r:id="rId23" xr:uid="{00000000-0004-0000-0000-000016000000}"/>
    <hyperlink ref="C38" r:id="rId24" xr:uid="{00000000-0004-0000-0000-000017000000}"/>
    <hyperlink ref="C39" r:id="rId25" xr:uid="{00000000-0004-0000-0000-000018000000}"/>
    <hyperlink ref="C40" r:id="rId26" xr:uid="{00000000-0004-0000-0000-000019000000}"/>
    <hyperlink ref="C41" r:id="rId27" xr:uid="{00000000-0004-0000-0000-00001A000000}"/>
    <hyperlink ref="C42" r:id="rId28" xr:uid="{00000000-0004-0000-0000-00001B000000}"/>
    <hyperlink ref="C43" r:id="rId29" xr:uid="{00000000-0004-0000-0000-00001C000000}"/>
    <hyperlink ref="C44" r:id="rId30" xr:uid="{00000000-0004-0000-0000-00001D000000}"/>
    <hyperlink ref="C45" r:id="rId31" xr:uid="{00000000-0004-0000-0000-00001E000000}"/>
    <hyperlink ref="C46" r:id="rId32" xr:uid="{00000000-0004-0000-0000-00001F000000}"/>
    <hyperlink ref="C47" r:id="rId33" xr:uid="{00000000-0004-0000-0000-000020000000}"/>
    <hyperlink ref="C48" r:id="rId34" xr:uid="{00000000-0004-0000-0000-000021000000}"/>
    <hyperlink ref="C49" r:id="rId35" xr:uid="{00000000-0004-0000-0000-000022000000}"/>
    <hyperlink ref="C50" r:id="rId36" xr:uid="{00000000-0004-0000-0000-000023000000}"/>
    <hyperlink ref="C51" r:id="rId37" xr:uid="{00000000-0004-0000-0000-000024000000}"/>
    <hyperlink ref="C52" r:id="rId38" xr:uid="{00000000-0004-0000-0000-000025000000}"/>
    <hyperlink ref="C53" r:id="rId39" xr:uid="{00000000-0004-0000-0000-000026000000}"/>
    <hyperlink ref="C54" r:id="rId40" xr:uid="{00000000-0004-0000-0000-000027000000}"/>
    <hyperlink ref="C55" r:id="rId41" xr:uid="{00000000-0004-0000-0000-000028000000}"/>
    <hyperlink ref="C56" r:id="rId42" xr:uid="{00000000-0004-0000-0000-000029000000}"/>
    <hyperlink ref="C57" r:id="rId43" xr:uid="{00000000-0004-0000-0000-00002A000000}"/>
    <hyperlink ref="C58" r:id="rId44" xr:uid="{00000000-0004-0000-0000-00002B000000}"/>
    <hyperlink ref="C59" r:id="rId45" xr:uid="{00000000-0004-0000-0000-00002C000000}"/>
    <hyperlink ref="C60" r:id="rId46" xr:uid="{00000000-0004-0000-0000-00002D000000}"/>
    <hyperlink ref="C61" r:id="rId47" xr:uid="{00000000-0004-0000-0000-00002E000000}"/>
    <hyperlink ref="C62" r:id="rId48" xr:uid="{00000000-0004-0000-0000-00002F000000}"/>
    <hyperlink ref="C63" r:id="rId49" xr:uid="{00000000-0004-0000-0000-000030000000}"/>
    <hyperlink ref="C64" r:id="rId50" xr:uid="{00000000-0004-0000-0000-000031000000}"/>
    <hyperlink ref="C65" r:id="rId51" xr:uid="{00000000-0004-0000-0000-000032000000}"/>
    <hyperlink ref="C66" r:id="rId52" xr:uid="{00000000-0004-0000-0000-000033000000}"/>
    <hyperlink ref="C67" r:id="rId53" xr:uid="{00000000-0004-0000-0000-000034000000}"/>
    <hyperlink ref="C68" r:id="rId54" xr:uid="{00000000-0004-0000-0000-000035000000}"/>
    <hyperlink ref="C69" r:id="rId55" xr:uid="{00000000-0004-0000-0000-000036000000}"/>
    <hyperlink ref="C70" r:id="rId56" xr:uid="{00000000-0004-0000-0000-000037000000}"/>
    <hyperlink ref="C71" r:id="rId57" xr:uid="{00000000-0004-0000-0000-000038000000}"/>
    <hyperlink ref="C72" r:id="rId58" xr:uid="{00000000-0004-0000-0000-000039000000}"/>
    <hyperlink ref="C73" r:id="rId59" xr:uid="{00000000-0004-0000-0000-00003A000000}"/>
    <hyperlink ref="C74" r:id="rId60" xr:uid="{00000000-0004-0000-0000-00003B000000}"/>
    <hyperlink ref="C75" r:id="rId61" xr:uid="{00000000-0004-0000-0000-00003C000000}"/>
    <hyperlink ref="C76" r:id="rId62" xr:uid="{00000000-0004-0000-0000-00003D000000}"/>
    <hyperlink ref="C77" r:id="rId63" xr:uid="{00000000-0004-0000-0000-00003E000000}"/>
    <hyperlink ref="C78" r:id="rId64" xr:uid="{00000000-0004-0000-0000-00003F000000}"/>
    <hyperlink ref="C79" r:id="rId65" xr:uid="{00000000-0004-0000-0000-000040000000}"/>
    <hyperlink ref="C80" r:id="rId66" xr:uid="{00000000-0004-0000-0000-000041000000}"/>
    <hyperlink ref="C81" r:id="rId67" xr:uid="{00000000-0004-0000-0000-000042000000}"/>
    <hyperlink ref="C82" r:id="rId68" xr:uid="{00000000-0004-0000-0000-000043000000}"/>
    <hyperlink ref="C83" r:id="rId69" xr:uid="{00000000-0004-0000-0000-000044000000}"/>
    <hyperlink ref="C84" r:id="rId70" xr:uid="{00000000-0004-0000-0000-000045000000}"/>
    <hyperlink ref="C85" r:id="rId71" xr:uid="{00000000-0004-0000-0000-000046000000}"/>
    <hyperlink ref="C86" r:id="rId72" xr:uid="{00000000-0004-0000-0000-000047000000}"/>
    <hyperlink ref="C87" r:id="rId73" xr:uid="{00000000-0004-0000-0000-000048000000}"/>
    <hyperlink ref="C88" r:id="rId74" xr:uid="{00000000-0004-0000-0000-000049000000}"/>
    <hyperlink ref="C89" r:id="rId75" xr:uid="{00000000-0004-0000-0000-00004A000000}"/>
    <hyperlink ref="C90" r:id="rId76" xr:uid="{00000000-0004-0000-0000-00004B000000}"/>
    <hyperlink ref="C91" r:id="rId77" xr:uid="{00000000-0004-0000-0000-00004C000000}"/>
    <hyperlink ref="C92" r:id="rId78" xr:uid="{00000000-0004-0000-0000-00004D000000}"/>
    <hyperlink ref="C93" r:id="rId79" xr:uid="{00000000-0004-0000-0000-00004E000000}"/>
    <hyperlink ref="C94" r:id="rId80" xr:uid="{00000000-0004-0000-0000-00004F000000}"/>
    <hyperlink ref="C95" r:id="rId81" xr:uid="{00000000-0004-0000-0000-000050000000}"/>
    <hyperlink ref="C96" r:id="rId82" xr:uid="{00000000-0004-0000-0000-000051000000}"/>
    <hyperlink ref="C97" r:id="rId83" xr:uid="{00000000-0004-0000-0000-000052000000}"/>
    <hyperlink ref="C98" r:id="rId84" xr:uid="{00000000-0004-0000-0000-000053000000}"/>
    <hyperlink ref="C99" r:id="rId85" xr:uid="{00000000-0004-0000-0000-000054000000}"/>
    <hyperlink ref="C100" r:id="rId86" xr:uid="{00000000-0004-0000-0000-000055000000}"/>
    <hyperlink ref="C101" r:id="rId87" xr:uid="{00000000-0004-0000-0000-000056000000}"/>
    <hyperlink ref="C102" r:id="rId88" xr:uid="{00000000-0004-0000-0000-000057000000}"/>
    <hyperlink ref="C103" r:id="rId89" xr:uid="{00000000-0004-0000-0000-000058000000}"/>
    <hyperlink ref="C104" r:id="rId90" xr:uid="{00000000-0004-0000-0000-000059000000}"/>
    <hyperlink ref="C105" r:id="rId91" xr:uid="{00000000-0004-0000-0000-00005A000000}"/>
    <hyperlink ref="C106" r:id="rId92" xr:uid="{00000000-0004-0000-0000-00005B000000}"/>
    <hyperlink ref="C107" r:id="rId93" xr:uid="{00000000-0004-0000-0000-00005C000000}"/>
    <hyperlink ref="C108" r:id="rId94" xr:uid="{00000000-0004-0000-0000-00005D000000}"/>
    <hyperlink ref="C109" r:id="rId95" xr:uid="{00000000-0004-0000-0000-00005E000000}"/>
    <hyperlink ref="C110" r:id="rId96" xr:uid="{00000000-0004-0000-0000-00005F000000}"/>
    <hyperlink ref="C111" r:id="rId97" xr:uid="{00000000-0004-0000-0000-000060000000}"/>
    <hyperlink ref="C112" r:id="rId98" xr:uid="{00000000-0004-0000-0000-000061000000}"/>
    <hyperlink ref="C113" r:id="rId99" xr:uid="{00000000-0004-0000-0000-000062000000}"/>
    <hyperlink ref="C114" r:id="rId100" xr:uid="{00000000-0004-0000-0000-000063000000}"/>
    <hyperlink ref="C115" r:id="rId101" xr:uid="{00000000-0004-0000-0000-000064000000}"/>
    <hyperlink ref="C116" r:id="rId102" xr:uid="{00000000-0004-0000-0000-000065000000}"/>
    <hyperlink ref="C117" r:id="rId103" xr:uid="{00000000-0004-0000-0000-000066000000}"/>
    <hyperlink ref="C118" r:id="rId104" xr:uid="{00000000-0004-0000-0000-000067000000}"/>
    <hyperlink ref="C119" r:id="rId105" xr:uid="{00000000-0004-0000-0000-000068000000}"/>
    <hyperlink ref="C120" r:id="rId106" xr:uid="{00000000-0004-0000-0000-000069000000}"/>
    <hyperlink ref="C121" r:id="rId107" xr:uid="{00000000-0004-0000-0000-00006A000000}"/>
    <hyperlink ref="C122" r:id="rId108" xr:uid="{00000000-0004-0000-0000-00006B000000}"/>
    <hyperlink ref="C123" r:id="rId109" xr:uid="{00000000-0004-0000-0000-00006C000000}"/>
    <hyperlink ref="C124" r:id="rId110" xr:uid="{00000000-0004-0000-0000-00006D000000}"/>
    <hyperlink ref="C125" r:id="rId111" xr:uid="{00000000-0004-0000-0000-00006E000000}"/>
  </hyperlinks>
  <pageMargins left="0.25" right="0.25" top="0.25" bottom="0.25" header="0.25" footer="0.25"/>
  <pageSetup paperSize="0" orientation="landscape" horizontalDpi="300" verticalDpi="300"/>
  <headerFooter alignWithMargins="0"/>
  <drawing r:id="rId1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D1446-29C1-487D-82CA-65AA3140A1E9}">
  <dimension ref="A1:Z66"/>
  <sheetViews>
    <sheetView topLeftCell="A28" workbookViewId="0">
      <selection activeCell="Y2" sqref="Y2:Y66"/>
    </sheetView>
  </sheetViews>
  <sheetFormatPr defaultRowHeight="15" x14ac:dyDescent="0.25"/>
  <cols>
    <col min="1" max="1" width="0.140625" customWidth="1"/>
    <col min="2" max="2" width="21.28515625" customWidth="1"/>
    <col min="3" max="3" width="6.85546875" customWidth="1"/>
    <col min="4" max="4" width="1.5703125" customWidth="1"/>
    <col min="5" max="5" width="8.7109375" customWidth="1"/>
    <col min="6" max="6" width="0.42578125" customWidth="1"/>
    <col min="7" max="7" width="18" customWidth="1"/>
    <col min="9" max="9" width="2" customWidth="1"/>
    <col min="10" max="10" width="2.140625" customWidth="1"/>
    <col min="11" max="11" width="4.85546875" customWidth="1"/>
    <col min="12" max="12" width="8.85546875" customWidth="1"/>
    <col min="13" max="13" width="1.85546875" customWidth="1"/>
    <col min="14" max="14" width="11" customWidth="1"/>
    <col min="15" max="15" width="0.85546875" customWidth="1"/>
    <col min="16" max="16" width="0" hidden="1" customWidth="1"/>
    <col min="17" max="17" width="9.85546875" customWidth="1"/>
    <col min="18" max="18" width="11" customWidth="1"/>
    <col min="19" max="19" width="12.5703125" customWidth="1"/>
    <col min="20" max="20" width="1.140625" customWidth="1"/>
    <col min="21" max="21" width="1.5703125" customWidth="1"/>
    <col min="22" max="22" width="8.7109375" customWidth="1"/>
    <col min="23" max="23" width="11" customWidth="1"/>
    <col min="24" max="24" width="23.7109375" bestFit="1" customWidth="1"/>
    <col min="25" max="25" width="23.140625" bestFit="1" customWidth="1"/>
  </cols>
  <sheetData>
    <row r="1" spans="1:26" ht="15" customHeight="1" x14ac:dyDescent="0.25">
      <c r="A1" s="51" t="s">
        <v>50</v>
      </c>
      <c r="B1" s="52"/>
      <c r="C1" s="48" t="s">
        <v>4</v>
      </c>
      <c r="D1" s="50"/>
      <c r="E1" s="50"/>
      <c r="F1" s="49"/>
      <c r="G1" s="14"/>
      <c r="H1" s="6" t="s">
        <v>51</v>
      </c>
      <c r="I1" s="48" t="s">
        <v>52</v>
      </c>
      <c r="J1" s="50"/>
      <c r="K1" s="49"/>
      <c r="L1" s="48" t="s">
        <v>53</v>
      </c>
      <c r="M1" s="49"/>
      <c r="N1" s="7" t="s">
        <v>54</v>
      </c>
      <c r="O1" s="45" t="s">
        <v>55</v>
      </c>
      <c r="P1" s="46"/>
      <c r="Q1" s="47"/>
      <c r="R1" s="7" t="s">
        <v>56</v>
      </c>
      <c r="S1" s="7" t="s">
        <v>57</v>
      </c>
      <c r="T1" s="45" t="s">
        <v>58</v>
      </c>
      <c r="U1" s="46"/>
      <c r="V1" s="47"/>
      <c r="W1" s="7" t="s">
        <v>59</v>
      </c>
    </row>
    <row r="2" spans="1:26" ht="15" customHeight="1" x14ac:dyDescent="0.25">
      <c r="A2" s="65" t="s">
        <v>400</v>
      </c>
      <c r="B2" s="66" t="s">
        <v>400</v>
      </c>
      <c r="C2" s="62" t="s">
        <v>231</v>
      </c>
      <c r="D2" s="63"/>
      <c r="E2" s="63"/>
      <c r="F2" s="64"/>
      <c r="G2" s="13" t="str">
        <f>CONCATENATE(C2,1)</f>
        <v>A90031195001</v>
      </c>
      <c r="H2" s="44">
        <v>46023</v>
      </c>
      <c r="I2" s="59">
        <v>99991231</v>
      </c>
      <c r="J2" s="61"/>
      <c r="K2" s="60"/>
      <c r="L2" s="59">
        <v>20251025</v>
      </c>
      <c r="M2" s="60"/>
      <c r="N2" s="8" t="s">
        <v>127</v>
      </c>
      <c r="O2" s="56">
        <v>28.92</v>
      </c>
      <c r="P2" s="57"/>
      <c r="Q2" s="58"/>
      <c r="R2" s="8">
        <v>1</v>
      </c>
      <c r="S2" s="8">
        <v>0</v>
      </c>
      <c r="T2" s="53">
        <v>0</v>
      </c>
      <c r="U2" s="54"/>
      <c r="V2" s="55"/>
      <c r="W2" s="9">
        <v>28.92</v>
      </c>
      <c r="X2" t="s">
        <v>227</v>
      </c>
      <c r="Y2" t="s">
        <v>229</v>
      </c>
      <c r="Z2">
        <v>16170994</v>
      </c>
    </row>
    <row r="3" spans="1:26" ht="15" customHeight="1" x14ac:dyDescent="0.25">
      <c r="A3" s="73" t="s">
        <v>401</v>
      </c>
      <c r="B3" s="74" t="s">
        <v>401</v>
      </c>
      <c r="C3" s="70" t="s">
        <v>232</v>
      </c>
      <c r="D3" s="71"/>
      <c r="E3" s="71"/>
      <c r="F3" s="72"/>
      <c r="G3" s="13" t="str">
        <f t="shared" ref="G3:G65" si="0">CONCATENATE(C3,1)</f>
        <v>A90031194001</v>
      </c>
      <c r="H3" s="44">
        <v>46023</v>
      </c>
      <c r="I3" s="67">
        <v>99991231</v>
      </c>
      <c r="J3" s="69"/>
      <c r="K3" s="68"/>
      <c r="L3" s="67">
        <v>20251025</v>
      </c>
      <c r="M3" s="68"/>
      <c r="N3" s="8" t="s">
        <v>127</v>
      </c>
      <c r="O3" s="56">
        <v>28.92</v>
      </c>
      <c r="P3" s="57"/>
      <c r="Q3" s="58"/>
      <c r="R3" s="8">
        <v>1</v>
      </c>
      <c r="S3" s="8">
        <v>0</v>
      </c>
      <c r="T3" s="53">
        <v>0</v>
      </c>
      <c r="U3" s="54"/>
      <c r="V3" s="55"/>
      <c r="W3" s="9">
        <v>28.92</v>
      </c>
      <c r="X3" t="s">
        <v>227</v>
      </c>
      <c r="Y3" t="s">
        <v>229</v>
      </c>
      <c r="Z3">
        <v>16170994</v>
      </c>
    </row>
    <row r="4" spans="1:26" ht="15" customHeight="1" x14ac:dyDescent="0.25">
      <c r="A4" s="73" t="s">
        <v>402</v>
      </c>
      <c r="B4" s="74" t="s">
        <v>402</v>
      </c>
      <c r="C4" s="70" t="s">
        <v>233</v>
      </c>
      <c r="D4" s="71"/>
      <c r="E4" s="71"/>
      <c r="F4" s="72"/>
      <c r="G4" s="13" t="str">
        <f t="shared" si="0"/>
        <v>A90030185001</v>
      </c>
      <c r="H4" s="44">
        <v>46023</v>
      </c>
      <c r="I4" s="67">
        <v>99991231</v>
      </c>
      <c r="J4" s="69"/>
      <c r="K4" s="68"/>
      <c r="L4" s="67">
        <v>20251020</v>
      </c>
      <c r="M4" s="68"/>
      <c r="N4" s="8" t="s">
        <v>127</v>
      </c>
      <c r="O4" s="56">
        <v>28.92</v>
      </c>
      <c r="P4" s="57"/>
      <c r="Q4" s="58"/>
      <c r="R4" s="8">
        <v>1</v>
      </c>
      <c r="S4" s="8">
        <v>0</v>
      </c>
      <c r="T4" s="53">
        <v>0</v>
      </c>
      <c r="U4" s="54"/>
      <c r="V4" s="55"/>
      <c r="W4" s="9">
        <v>28.92</v>
      </c>
      <c r="X4" t="s">
        <v>227</v>
      </c>
      <c r="Y4" t="s">
        <v>229</v>
      </c>
      <c r="Z4">
        <v>16170994</v>
      </c>
    </row>
    <row r="5" spans="1:26" ht="15" customHeight="1" x14ac:dyDescent="0.25">
      <c r="A5" s="73" t="s">
        <v>403</v>
      </c>
      <c r="B5" s="74" t="s">
        <v>403</v>
      </c>
      <c r="C5" s="70" t="s">
        <v>234</v>
      </c>
      <c r="D5" s="71"/>
      <c r="E5" s="71"/>
      <c r="F5" s="72"/>
      <c r="G5" s="13" t="str">
        <f t="shared" si="0"/>
        <v>A90035622001</v>
      </c>
      <c r="H5" s="44">
        <v>46023</v>
      </c>
      <c r="I5" s="67">
        <v>99991231</v>
      </c>
      <c r="J5" s="69"/>
      <c r="K5" s="68"/>
      <c r="L5" s="67">
        <v>20251119</v>
      </c>
      <c r="M5" s="68"/>
      <c r="N5" s="8" t="s">
        <v>127</v>
      </c>
      <c r="O5" s="56">
        <v>28.92</v>
      </c>
      <c r="P5" s="57"/>
      <c r="Q5" s="58"/>
      <c r="R5" s="8">
        <v>1</v>
      </c>
      <c r="S5" s="8">
        <v>0</v>
      </c>
      <c r="T5" s="53">
        <v>0</v>
      </c>
      <c r="U5" s="54"/>
      <c r="V5" s="55"/>
      <c r="W5" s="9">
        <v>28.92</v>
      </c>
      <c r="X5" t="s">
        <v>227</v>
      </c>
      <c r="Y5" t="s">
        <v>229</v>
      </c>
      <c r="Z5">
        <v>16170994</v>
      </c>
    </row>
    <row r="6" spans="1:26" ht="15" customHeight="1" x14ac:dyDescent="0.25">
      <c r="A6" s="73" t="s">
        <v>404</v>
      </c>
      <c r="B6" s="74" t="s">
        <v>404</v>
      </c>
      <c r="C6" s="70" t="s">
        <v>235</v>
      </c>
      <c r="D6" s="71"/>
      <c r="E6" s="71"/>
      <c r="F6" s="72"/>
      <c r="G6" s="13" t="str">
        <f t="shared" si="0"/>
        <v>A90035621001</v>
      </c>
      <c r="H6" s="44">
        <v>46023</v>
      </c>
      <c r="I6" s="67">
        <v>99991231</v>
      </c>
      <c r="J6" s="69"/>
      <c r="K6" s="68"/>
      <c r="L6" s="67">
        <v>20251119</v>
      </c>
      <c r="M6" s="68"/>
      <c r="N6" s="8" t="s">
        <v>127</v>
      </c>
      <c r="O6" s="56">
        <v>28.92</v>
      </c>
      <c r="P6" s="57"/>
      <c r="Q6" s="58"/>
      <c r="R6" s="8">
        <v>1</v>
      </c>
      <c r="S6" s="8">
        <v>0</v>
      </c>
      <c r="T6" s="53">
        <v>0</v>
      </c>
      <c r="U6" s="54"/>
      <c r="V6" s="55"/>
      <c r="W6" s="9">
        <v>28.92</v>
      </c>
      <c r="X6" t="s">
        <v>227</v>
      </c>
      <c r="Y6" t="s">
        <v>229</v>
      </c>
      <c r="Z6">
        <v>16170994</v>
      </c>
    </row>
    <row r="7" spans="1:26" ht="15" customHeight="1" x14ac:dyDescent="0.25">
      <c r="A7" s="73" t="s">
        <v>405</v>
      </c>
      <c r="B7" s="74" t="s">
        <v>405</v>
      </c>
      <c r="C7" s="70" t="s">
        <v>236</v>
      </c>
      <c r="D7" s="71"/>
      <c r="E7" s="71"/>
      <c r="F7" s="72"/>
      <c r="G7" s="13" t="str">
        <f t="shared" si="0"/>
        <v>A90032032001</v>
      </c>
      <c r="H7" s="44">
        <v>46023</v>
      </c>
      <c r="I7" s="67">
        <v>99991231</v>
      </c>
      <c r="J7" s="69"/>
      <c r="K7" s="68"/>
      <c r="L7" s="67">
        <v>20251030</v>
      </c>
      <c r="M7" s="68"/>
      <c r="N7" s="8" t="s">
        <v>127</v>
      </c>
      <c r="O7" s="56">
        <v>28.92</v>
      </c>
      <c r="P7" s="57"/>
      <c r="Q7" s="58"/>
      <c r="R7" s="8">
        <v>1</v>
      </c>
      <c r="S7" s="8">
        <v>0</v>
      </c>
      <c r="T7" s="53">
        <v>0</v>
      </c>
      <c r="U7" s="54"/>
      <c r="V7" s="55"/>
      <c r="W7" s="9">
        <v>28.92</v>
      </c>
      <c r="X7" t="s">
        <v>227</v>
      </c>
      <c r="Y7" t="s">
        <v>229</v>
      </c>
      <c r="Z7">
        <v>16170994</v>
      </c>
    </row>
    <row r="8" spans="1:26" ht="15" customHeight="1" x14ac:dyDescent="0.25">
      <c r="A8" s="73" t="s">
        <v>406</v>
      </c>
      <c r="B8" s="74" t="s">
        <v>406</v>
      </c>
      <c r="C8" s="70" t="s">
        <v>237</v>
      </c>
      <c r="D8" s="71"/>
      <c r="E8" s="71"/>
      <c r="F8" s="72"/>
      <c r="G8" s="13" t="str">
        <f t="shared" si="0"/>
        <v>A90031585001</v>
      </c>
      <c r="H8" s="44">
        <v>46023</v>
      </c>
      <c r="I8" s="67">
        <v>99991231</v>
      </c>
      <c r="J8" s="69"/>
      <c r="K8" s="68"/>
      <c r="L8" s="67">
        <v>20251028</v>
      </c>
      <c r="M8" s="68"/>
      <c r="N8" s="8" t="s">
        <v>127</v>
      </c>
      <c r="O8" s="56">
        <v>28.92</v>
      </c>
      <c r="P8" s="57"/>
      <c r="Q8" s="58"/>
      <c r="R8" s="8">
        <v>1</v>
      </c>
      <c r="S8" s="8">
        <v>0</v>
      </c>
      <c r="T8" s="53">
        <v>0</v>
      </c>
      <c r="U8" s="54"/>
      <c r="V8" s="55"/>
      <c r="W8" s="9">
        <v>28.92</v>
      </c>
      <c r="X8" t="s">
        <v>227</v>
      </c>
      <c r="Y8" t="s">
        <v>229</v>
      </c>
      <c r="Z8">
        <v>16170994</v>
      </c>
    </row>
    <row r="9" spans="1:26" ht="15" customHeight="1" x14ac:dyDescent="0.25">
      <c r="A9" s="73" t="s">
        <v>407</v>
      </c>
      <c r="B9" s="74" t="s">
        <v>407</v>
      </c>
      <c r="C9" s="70" t="s">
        <v>238</v>
      </c>
      <c r="D9" s="71"/>
      <c r="E9" s="71"/>
      <c r="F9" s="72"/>
      <c r="G9" s="13" t="str">
        <f t="shared" si="0"/>
        <v>A90031587001</v>
      </c>
      <c r="H9" s="44">
        <v>46023</v>
      </c>
      <c r="I9" s="67">
        <v>99991231</v>
      </c>
      <c r="J9" s="69"/>
      <c r="K9" s="68"/>
      <c r="L9" s="67">
        <v>20251028</v>
      </c>
      <c r="M9" s="68"/>
      <c r="N9" s="8" t="s">
        <v>127</v>
      </c>
      <c r="O9" s="56">
        <v>28.92</v>
      </c>
      <c r="P9" s="57"/>
      <c r="Q9" s="58"/>
      <c r="R9" s="8">
        <v>1</v>
      </c>
      <c r="S9" s="8">
        <v>0</v>
      </c>
      <c r="T9" s="53">
        <v>0</v>
      </c>
      <c r="U9" s="54"/>
      <c r="V9" s="55"/>
      <c r="W9" s="9">
        <v>28.92</v>
      </c>
      <c r="X9" t="s">
        <v>227</v>
      </c>
      <c r="Y9" t="s">
        <v>229</v>
      </c>
      <c r="Z9">
        <v>16170994</v>
      </c>
    </row>
    <row r="10" spans="1:26" ht="15" customHeight="1" x14ac:dyDescent="0.25">
      <c r="A10" s="73" t="s">
        <v>408</v>
      </c>
      <c r="B10" s="74" t="s">
        <v>408</v>
      </c>
      <c r="C10" s="70" t="s">
        <v>239</v>
      </c>
      <c r="D10" s="71"/>
      <c r="E10" s="71"/>
      <c r="F10" s="72"/>
      <c r="G10" s="13" t="str">
        <f t="shared" si="0"/>
        <v>A90014903001</v>
      </c>
      <c r="H10" s="44">
        <v>46023</v>
      </c>
      <c r="I10" s="67">
        <v>99991231</v>
      </c>
      <c r="J10" s="69"/>
      <c r="K10" s="68"/>
      <c r="L10" s="67">
        <v>20251018</v>
      </c>
      <c r="M10" s="68"/>
      <c r="N10" s="8" t="s">
        <v>127</v>
      </c>
      <c r="O10" s="56">
        <v>28.92</v>
      </c>
      <c r="P10" s="57"/>
      <c r="Q10" s="58"/>
      <c r="R10" s="8">
        <v>1</v>
      </c>
      <c r="S10" s="8">
        <v>0</v>
      </c>
      <c r="T10" s="53">
        <v>0</v>
      </c>
      <c r="U10" s="54"/>
      <c r="V10" s="55"/>
      <c r="W10" s="9">
        <v>28.92</v>
      </c>
      <c r="X10" t="s">
        <v>227</v>
      </c>
      <c r="Y10" t="s">
        <v>229</v>
      </c>
      <c r="Z10">
        <v>16170994</v>
      </c>
    </row>
    <row r="11" spans="1:26" ht="15" customHeight="1" x14ac:dyDescent="0.25">
      <c r="A11" s="73" t="s">
        <v>409</v>
      </c>
      <c r="B11" s="74" t="s">
        <v>409</v>
      </c>
      <c r="C11" s="70" t="s">
        <v>240</v>
      </c>
      <c r="D11" s="71"/>
      <c r="E11" s="71"/>
      <c r="F11" s="72"/>
      <c r="G11" s="13" t="str">
        <f t="shared" si="0"/>
        <v>A90011058001</v>
      </c>
      <c r="H11" s="44">
        <v>46023</v>
      </c>
      <c r="I11" s="67">
        <v>99991231</v>
      </c>
      <c r="J11" s="69"/>
      <c r="K11" s="68"/>
      <c r="L11" s="67">
        <v>20251018</v>
      </c>
      <c r="M11" s="68"/>
      <c r="N11" s="8" t="s">
        <v>127</v>
      </c>
      <c r="O11" s="56">
        <v>28.92</v>
      </c>
      <c r="P11" s="57"/>
      <c r="Q11" s="58"/>
      <c r="R11" s="8">
        <v>1</v>
      </c>
      <c r="S11" s="8">
        <v>0</v>
      </c>
      <c r="T11" s="53">
        <v>0</v>
      </c>
      <c r="U11" s="54"/>
      <c r="V11" s="55"/>
      <c r="W11" s="9">
        <v>28.92</v>
      </c>
      <c r="X11" t="s">
        <v>227</v>
      </c>
      <c r="Y11" t="s">
        <v>229</v>
      </c>
      <c r="Z11">
        <v>16170994</v>
      </c>
    </row>
    <row r="12" spans="1:26" ht="15" customHeight="1" x14ac:dyDescent="0.25">
      <c r="A12" s="73" t="s">
        <v>410</v>
      </c>
      <c r="B12" s="74" t="s">
        <v>410</v>
      </c>
      <c r="C12" s="70" t="s">
        <v>241</v>
      </c>
      <c r="D12" s="71"/>
      <c r="E12" s="71"/>
      <c r="F12" s="72"/>
      <c r="G12" s="13" t="str">
        <f t="shared" si="0"/>
        <v>A90030191001</v>
      </c>
      <c r="H12" s="44">
        <v>46023</v>
      </c>
      <c r="I12" s="67">
        <v>99991231</v>
      </c>
      <c r="J12" s="69"/>
      <c r="K12" s="68"/>
      <c r="L12" s="67">
        <v>20251020</v>
      </c>
      <c r="M12" s="68"/>
      <c r="N12" s="8" t="s">
        <v>127</v>
      </c>
      <c r="O12" s="56">
        <v>28.92</v>
      </c>
      <c r="P12" s="57"/>
      <c r="Q12" s="58"/>
      <c r="R12" s="8">
        <v>1</v>
      </c>
      <c r="S12" s="8">
        <v>0</v>
      </c>
      <c r="T12" s="53">
        <v>0</v>
      </c>
      <c r="U12" s="54"/>
      <c r="V12" s="55"/>
      <c r="W12" s="9">
        <v>28.92</v>
      </c>
      <c r="X12" t="s">
        <v>227</v>
      </c>
      <c r="Y12" t="s">
        <v>229</v>
      </c>
      <c r="Z12">
        <v>16170994</v>
      </c>
    </row>
    <row r="13" spans="1:26" ht="15" customHeight="1" x14ac:dyDescent="0.25">
      <c r="A13" s="73" t="s">
        <v>411</v>
      </c>
      <c r="B13" s="74" t="s">
        <v>411</v>
      </c>
      <c r="C13" s="70" t="s">
        <v>242</v>
      </c>
      <c r="D13" s="71"/>
      <c r="E13" s="71"/>
      <c r="F13" s="72"/>
      <c r="G13" s="13" t="str">
        <f t="shared" si="0"/>
        <v>A90032619001</v>
      </c>
      <c r="H13" s="44">
        <v>46023</v>
      </c>
      <c r="I13" s="67">
        <v>99991231</v>
      </c>
      <c r="J13" s="69"/>
      <c r="K13" s="68"/>
      <c r="L13" s="67">
        <v>20251103</v>
      </c>
      <c r="M13" s="68"/>
      <c r="N13" s="8" t="s">
        <v>127</v>
      </c>
      <c r="O13" s="56">
        <v>28.92</v>
      </c>
      <c r="P13" s="57"/>
      <c r="Q13" s="58"/>
      <c r="R13" s="8">
        <v>1</v>
      </c>
      <c r="S13" s="8">
        <v>0</v>
      </c>
      <c r="T13" s="53">
        <v>0</v>
      </c>
      <c r="U13" s="54"/>
      <c r="V13" s="55"/>
      <c r="W13" s="9">
        <v>28.92</v>
      </c>
      <c r="X13" t="s">
        <v>227</v>
      </c>
      <c r="Y13" t="s">
        <v>229</v>
      </c>
      <c r="Z13">
        <v>16170994</v>
      </c>
    </row>
    <row r="14" spans="1:26" ht="15" customHeight="1" x14ac:dyDescent="0.25">
      <c r="A14" s="73" t="s">
        <v>412</v>
      </c>
      <c r="B14" s="74" t="s">
        <v>412</v>
      </c>
      <c r="C14" s="70" t="s">
        <v>243</v>
      </c>
      <c r="D14" s="71"/>
      <c r="E14" s="71"/>
      <c r="F14" s="72"/>
      <c r="G14" s="13" t="str">
        <f t="shared" si="0"/>
        <v>A90032621001</v>
      </c>
      <c r="H14" s="44">
        <v>46023</v>
      </c>
      <c r="I14" s="67">
        <v>99991231</v>
      </c>
      <c r="J14" s="69"/>
      <c r="K14" s="68"/>
      <c r="L14" s="67">
        <v>20251103</v>
      </c>
      <c r="M14" s="68"/>
      <c r="N14" s="8" t="s">
        <v>127</v>
      </c>
      <c r="O14" s="56">
        <v>28.92</v>
      </c>
      <c r="P14" s="57"/>
      <c r="Q14" s="58"/>
      <c r="R14" s="8">
        <v>1</v>
      </c>
      <c r="S14" s="8">
        <v>0</v>
      </c>
      <c r="T14" s="53">
        <v>0</v>
      </c>
      <c r="U14" s="54"/>
      <c r="V14" s="55"/>
      <c r="W14" s="9">
        <v>28.92</v>
      </c>
      <c r="X14" t="s">
        <v>227</v>
      </c>
      <c r="Y14" t="s">
        <v>229</v>
      </c>
      <c r="Z14">
        <v>16170994</v>
      </c>
    </row>
    <row r="15" spans="1:26" ht="15" customHeight="1" x14ac:dyDescent="0.25">
      <c r="A15" s="73" t="s">
        <v>413</v>
      </c>
      <c r="B15" s="74" t="s">
        <v>413</v>
      </c>
      <c r="C15" s="70" t="s">
        <v>244</v>
      </c>
      <c r="D15" s="71"/>
      <c r="E15" s="71"/>
      <c r="F15" s="72"/>
      <c r="G15" s="13" t="str">
        <f t="shared" si="0"/>
        <v>A90031547001</v>
      </c>
      <c r="H15" s="44">
        <v>46023</v>
      </c>
      <c r="I15" s="67">
        <v>99991231</v>
      </c>
      <c r="J15" s="69"/>
      <c r="K15" s="68"/>
      <c r="L15" s="67">
        <v>20251028</v>
      </c>
      <c r="M15" s="68"/>
      <c r="N15" s="8" t="s">
        <v>127</v>
      </c>
      <c r="O15" s="56">
        <v>28.92</v>
      </c>
      <c r="P15" s="57"/>
      <c r="Q15" s="58"/>
      <c r="R15" s="8">
        <v>1</v>
      </c>
      <c r="S15" s="8">
        <v>0</v>
      </c>
      <c r="T15" s="53">
        <v>0</v>
      </c>
      <c r="U15" s="54"/>
      <c r="V15" s="55"/>
      <c r="W15" s="9">
        <v>28.92</v>
      </c>
      <c r="X15" t="s">
        <v>227</v>
      </c>
      <c r="Y15" t="s">
        <v>229</v>
      </c>
      <c r="Z15">
        <v>16170994</v>
      </c>
    </row>
    <row r="16" spans="1:26" ht="15" customHeight="1" x14ac:dyDescent="0.25">
      <c r="A16" s="73" t="s">
        <v>414</v>
      </c>
      <c r="B16" s="74" t="s">
        <v>414</v>
      </c>
      <c r="C16" s="70" t="s">
        <v>245</v>
      </c>
      <c r="D16" s="71"/>
      <c r="E16" s="71"/>
      <c r="F16" s="72"/>
      <c r="G16" s="13" t="str">
        <f t="shared" si="0"/>
        <v>A90036760001</v>
      </c>
      <c r="H16" s="44">
        <v>46023</v>
      </c>
      <c r="I16" s="67">
        <v>99991231</v>
      </c>
      <c r="J16" s="69"/>
      <c r="K16" s="68"/>
      <c r="L16" s="67">
        <v>20251125</v>
      </c>
      <c r="M16" s="68"/>
      <c r="N16" s="8" t="s">
        <v>127</v>
      </c>
      <c r="O16" s="56">
        <v>28.92</v>
      </c>
      <c r="P16" s="57"/>
      <c r="Q16" s="58"/>
      <c r="R16" s="8">
        <v>1</v>
      </c>
      <c r="S16" s="8">
        <v>0</v>
      </c>
      <c r="T16" s="53">
        <v>0</v>
      </c>
      <c r="U16" s="54"/>
      <c r="V16" s="55"/>
      <c r="W16" s="9">
        <v>28.92</v>
      </c>
      <c r="X16" t="s">
        <v>227</v>
      </c>
      <c r="Y16" t="s">
        <v>229</v>
      </c>
      <c r="Z16">
        <v>16170994</v>
      </c>
    </row>
    <row r="17" spans="1:26" ht="15" customHeight="1" x14ac:dyDescent="0.25">
      <c r="A17" s="73" t="s">
        <v>415</v>
      </c>
      <c r="B17" s="74" t="s">
        <v>415</v>
      </c>
      <c r="C17" s="70" t="s">
        <v>246</v>
      </c>
      <c r="D17" s="71"/>
      <c r="E17" s="71"/>
      <c r="F17" s="72"/>
      <c r="G17" s="13" t="str">
        <f t="shared" si="0"/>
        <v>A90035665001</v>
      </c>
      <c r="H17" s="44">
        <v>46023</v>
      </c>
      <c r="I17" s="67">
        <v>99991231</v>
      </c>
      <c r="J17" s="69"/>
      <c r="K17" s="68"/>
      <c r="L17" s="67">
        <v>20251119</v>
      </c>
      <c r="M17" s="68"/>
      <c r="N17" s="8" t="s">
        <v>127</v>
      </c>
      <c r="O17" s="56">
        <v>28.92</v>
      </c>
      <c r="P17" s="57"/>
      <c r="Q17" s="58"/>
      <c r="R17" s="8">
        <v>1</v>
      </c>
      <c r="S17" s="8">
        <v>0</v>
      </c>
      <c r="T17" s="53">
        <v>0</v>
      </c>
      <c r="U17" s="54"/>
      <c r="V17" s="55"/>
      <c r="W17" s="9">
        <v>28.92</v>
      </c>
      <c r="X17" t="s">
        <v>227</v>
      </c>
      <c r="Y17" t="s">
        <v>229</v>
      </c>
      <c r="Z17">
        <v>16170994</v>
      </c>
    </row>
    <row r="18" spans="1:26" ht="15" customHeight="1" x14ac:dyDescent="0.25">
      <c r="A18" s="73" t="s">
        <v>416</v>
      </c>
      <c r="B18" s="74" t="s">
        <v>416</v>
      </c>
      <c r="C18" s="70" t="s">
        <v>247</v>
      </c>
      <c r="D18" s="71"/>
      <c r="E18" s="71"/>
      <c r="F18" s="72"/>
      <c r="G18" s="13" t="str">
        <f t="shared" si="0"/>
        <v>A90031861001</v>
      </c>
      <c r="H18" s="44">
        <v>46023</v>
      </c>
      <c r="I18" s="67">
        <v>99991231</v>
      </c>
      <c r="J18" s="69"/>
      <c r="K18" s="68"/>
      <c r="L18" s="67">
        <v>20251029</v>
      </c>
      <c r="M18" s="68"/>
      <c r="N18" s="8" t="s">
        <v>127</v>
      </c>
      <c r="O18" s="56">
        <v>28.92</v>
      </c>
      <c r="P18" s="57"/>
      <c r="Q18" s="58"/>
      <c r="R18" s="8">
        <v>1</v>
      </c>
      <c r="S18" s="8">
        <v>0</v>
      </c>
      <c r="T18" s="53">
        <v>0</v>
      </c>
      <c r="U18" s="54"/>
      <c r="V18" s="55"/>
      <c r="W18" s="9">
        <v>28.92</v>
      </c>
      <c r="X18" t="s">
        <v>227</v>
      </c>
      <c r="Y18" t="s">
        <v>229</v>
      </c>
      <c r="Z18">
        <v>16170994</v>
      </c>
    </row>
    <row r="19" spans="1:26" ht="15" customHeight="1" x14ac:dyDescent="0.25">
      <c r="A19" s="73" t="s">
        <v>417</v>
      </c>
      <c r="B19" s="74" t="s">
        <v>417</v>
      </c>
      <c r="C19" s="70" t="s">
        <v>248</v>
      </c>
      <c r="D19" s="71"/>
      <c r="E19" s="71"/>
      <c r="F19" s="72"/>
      <c r="G19" s="13" t="str">
        <f t="shared" si="0"/>
        <v>A90035148001</v>
      </c>
      <c r="H19" s="44">
        <v>46023</v>
      </c>
      <c r="I19" s="67">
        <v>99991231</v>
      </c>
      <c r="J19" s="69"/>
      <c r="K19" s="68"/>
      <c r="L19" s="67">
        <v>20251117</v>
      </c>
      <c r="M19" s="68"/>
      <c r="N19" s="8" t="s">
        <v>127</v>
      </c>
      <c r="O19" s="56">
        <v>28.92</v>
      </c>
      <c r="P19" s="57"/>
      <c r="Q19" s="58"/>
      <c r="R19" s="8">
        <v>1</v>
      </c>
      <c r="S19" s="8">
        <v>0</v>
      </c>
      <c r="T19" s="53">
        <v>0</v>
      </c>
      <c r="U19" s="54"/>
      <c r="V19" s="55"/>
      <c r="W19" s="9">
        <v>28.92</v>
      </c>
      <c r="X19" t="s">
        <v>227</v>
      </c>
      <c r="Y19" t="s">
        <v>229</v>
      </c>
      <c r="Z19">
        <v>16170994</v>
      </c>
    </row>
    <row r="20" spans="1:26" ht="15" customHeight="1" x14ac:dyDescent="0.25">
      <c r="A20" s="73" t="s">
        <v>418</v>
      </c>
      <c r="B20" s="74" t="s">
        <v>418</v>
      </c>
      <c r="C20" s="70" t="s">
        <v>249</v>
      </c>
      <c r="D20" s="71"/>
      <c r="E20" s="71"/>
      <c r="F20" s="72"/>
      <c r="G20" s="13" t="str">
        <f t="shared" si="0"/>
        <v>A90029535001</v>
      </c>
      <c r="H20" s="44">
        <v>46023</v>
      </c>
      <c r="I20" s="67">
        <v>99991231</v>
      </c>
      <c r="J20" s="69"/>
      <c r="K20" s="68"/>
      <c r="L20" s="67">
        <v>20251015</v>
      </c>
      <c r="M20" s="68"/>
      <c r="N20" s="8" t="s">
        <v>127</v>
      </c>
      <c r="O20" s="56">
        <v>28.92</v>
      </c>
      <c r="P20" s="57"/>
      <c r="Q20" s="58"/>
      <c r="R20" s="8">
        <v>1</v>
      </c>
      <c r="S20" s="8">
        <v>0</v>
      </c>
      <c r="T20" s="53">
        <v>0</v>
      </c>
      <c r="U20" s="54"/>
      <c r="V20" s="55"/>
      <c r="W20" s="9">
        <v>28.92</v>
      </c>
      <c r="X20" t="s">
        <v>227</v>
      </c>
      <c r="Y20" t="s">
        <v>229</v>
      </c>
      <c r="Z20">
        <v>16170994</v>
      </c>
    </row>
    <row r="21" spans="1:26" ht="15" customHeight="1" x14ac:dyDescent="0.25">
      <c r="A21" s="73" t="s">
        <v>419</v>
      </c>
      <c r="B21" s="74" t="s">
        <v>419</v>
      </c>
      <c r="C21" s="70" t="s">
        <v>250</v>
      </c>
      <c r="D21" s="71"/>
      <c r="E21" s="71"/>
      <c r="F21" s="72"/>
      <c r="G21" s="13" t="str">
        <f t="shared" si="0"/>
        <v>A90030142001</v>
      </c>
      <c r="H21" s="44">
        <v>46023</v>
      </c>
      <c r="I21" s="67">
        <v>99991231</v>
      </c>
      <c r="J21" s="69"/>
      <c r="K21" s="68"/>
      <c r="L21" s="67">
        <v>20251020</v>
      </c>
      <c r="M21" s="68"/>
      <c r="N21" s="8" t="s">
        <v>127</v>
      </c>
      <c r="O21" s="56">
        <v>28.92</v>
      </c>
      <c r="P21" s="57"/>
      <c r="Q21" s="58"/>
      <c r="R21" s="8">
        <v>1</v>
      </c>
      <c r="S21" s="8">
        <v>0</v>
      </c>
      <c r="T21" s="53">
        <v>0</v>
      </c>
      <c r="U21" s="54"/>
      <c r="V21" s="55"/>
      <c r="W21" s="9">
        <v>28.92</v>
      </c>
      <c r="X21" t="s">
        <v>227</v>
      </c>
      <c r="Y21" t="s">
        <v>229</v>
      </c>
      <c r="Z21">
        <v>16170994</v>
      </c>
    </row>
    <row r="22" spans="1:26" ht="15" customHeight="1" x14ac:dyDescent="0.25">
      <c r="A22" s="73" t="s">
        <v>420</v>
      </c>
      <c r="B22" s="74" t="s">
        <v>420</v>
      </c>
      <c r="C22" s="70" t="s">
        <v>251</v>
      </c>
      <c r="D22" s="71"/>
      <c r="E22" s="71"/>
      <c r="F22" s="72"/>
      <c r="G22" s="13" t="str">
        <f t="shared" si="0"/>
        <v>A90029854001</v>
      </c>
      <c r="H22" s="44">
        <v>46023</v>
      </c>
      <c r="I22" s="67">
        <v>99991231</v>
      </c>
      <c r="J22" s="69"/>
      <c r="K22" s="68"/>
      <c r="L22" s="67">
        <v>20251018</v>
      </c>
      <c r="M22" s="68"/>
      <c r="N22" s="8" t="s">
        <v>127</v>
      </c>
      <c r="O22" s="56">
        <v>28.92</v>
      </c>
      <c r="P22" s="57"/>
      <c r="Q22" s="58"/>
      <c r="R22" s="8">
        <v>1</v>
      </c>
      <c r="S22" s="8">
        <v>0</v>
      </c>
      <c r="T22" s="53">
        <v>0</v>
      </c>
      <c r="U22" s="54"/>
      <c r="V22" s="55"/>
      <c r="W22" s="9">
        <v>28.92</v>
      </c>
      <c r="X22" t="s">
        <v>227</v>
      </c>
      <c r="Y22" t="s">
        <v>229</v>
      </c>
      <c r="Z22">
        <v>16170994</v>
      </c>
    </row>
    <row r="23" spans="1:26" ht="15" customHeight="1" x14ac:dyDescent="0.25">
      <c r="A23" s="73" t="s">
        <v>421</v>
      </c>
      <c r="B23" s="74" t="s">
        <v>421</v>
      </c>
      <c r="C23" s="70" t="s">
        <v>252</v>
      </c>
      <c r="D23" s="71"/>
      <c r="E23" s="71"/>
      <c r="F23" s="72"/>
      <c r="G23" s="13" t="str">
        <f t="shared" si="0"/>
        <v>A90029852001</v>
      </c>
      <c r="H23" s="44">
        <v>46023</v>
      </c>
      <c r="I23" s="67">
        <v>99991231</v>
      </c>
      <c r="J23" s="69"/>
      <c r="K23" s="68"/>
      <c r="L23" s="67">
        <v>20251018</v>
      </c>
      <c r="M23" s="68"/>
      <c r="N23" s="8" t="s">
        <v>127</v>
      </c>
      <c r="O23" s="56">
        <v>28.92</v>
      </c>
      <c r="P23" s="57"/>
      <c r="Q23" s="58"/>
      <c r="R23" s="8">
        <v>1</v>
      </c>
      <c r="S23" s="8">
        <v>0</v>
      </c>
      <c r="T23" s="53">
        <v>0</v>
      </c>
      <c r="U23" s="54"/>
      <c r="V23" s="55"/>
      <c r="W23" s="9">
        <v>28.92</v>
      </c>
      <c r="X23" t="s">
        <v>227</v>
      </c>
      <c r="Y23" t="s">
        <v>229</v>
      </c>
      <c r="Z23">
        <v>16170994</v>
      </c>
    </row>
    <row r="24" spans="1:26" ht="15" customHeight="1" x14ac:dyDescent="0.25">
      <c r="A24" s="73" t="s">
        <v>422</v>
      </c>
      <c r="B24" s="74" t="s">
        <v>422</v>
      </c>
      <c r="C24" s="70" t="s">
        <v>253</v>
      </c>
      <c r="D24" s="71"/>
      <c r="E24" s="71"/>
      <c r="F24" s="72"/>
      <c r="G24" s="13" t="str">
        <f t="shared" si="0"/>
        <v>A90033874001</v>
      </c>
      <c r="H24" s="44">
        <v>46023</v>
      </c>
      <c r="I24" s="67">
        <v>99991231</v>
      </c>
      <c r="J24" s="69"/>
      <c r="K24" s="68"/>
      <c r="L24" s="67">
        <v>20251110</v>
      </c>
      <c r="M24" s="68"/>
      <c r="N24" s="8" t="s">
        <v>127</v>
      </c>
      <c r="O24" s="56">
        <v>28.92</v>
      </c>
      <c r="P24" s="57"/>
      <c r="Q24" s="58"/>
      <c r="R24" s="8">
        <v>1</v>
      </c>
      <c r="S24" s="8">
        <v>0</v>
      </c>
      <c r="T24" s="53">
        <v>0</v>
      </c>
      <c r="U24" s="54"/>
      <c r="V24" s="55"/>
      <c r="W24" s="9">
        <v>28.92</v>
      </c>
      <c r="X24" t="s">
        <v>227</v>
      </c>
      <c r="Y24" t="s">
        <v>229</v>
      </c>
      <c r="Z24">
        <v>16170994</v>
      </c>
    </row>
    <row r="25" spans="1:26" ht="15" customHeight="1" x14ac:dyDescent="0.25">
      <c r="A25" s="73" t="s">
        <v>423</v>
      </c>
      <c r="B25" s="74" t="s">
        <v>423</v>
      </c>
      <c r="C25" s="70" t="s">
        <v>254</v>
      </c>
      <c r="D25" s="71"/>
      <c r="E25" s="71"/>
      <c r="F25" s="72"/>
      <c r="G25" s="13" t="str">
        <f t="shared" si="0"/>
        <v>A90031429001</v>
      </c>
      <c r="H25" s="44">
        <v>46023</v>
      </c>
      <c r="I25" s="67">
        <v>99991231</v>
      </c>
      <c r="J25" s="69"/>
      <c r="K25" s="68"/>
      <c r="L25" s="67">
        <v>20251027</v>
      </c>
      <c r="M25" s="68"/>
      <c r="N25" s="8" t="s">
        <v>127</v>
      </c>
      <c r="O25" s="56">
        <v>28.92</v>
      </c>
      <c r="P25" s="57"/>
      <c r="Q25" s="58"/>
      <c r="R25" s="8">
        <v>1</v>
      </c>
      <c r="S25" s="8">
        <v>0</v>
      </c>
      <c r="T25" s="53">
        <v>0</v>
      </c>
      <c r="U25" s="54"/>
      <c r="V25" s="55"/>
      <c r="W25" s="9">
        <v>28.92</v>
      </c>
      <c r="X25" t="s">
        <v>227</v>
      </c>
      <c r="Y25" t="s">
        <v>229</v>
      </c>
      <c r="Z25">
        <v>16170994</v>
      </c>
    </row>
    <row r="26" spans="1:26" ht="15" customHeight="1" x14ac:dyDescent="0.25">
      <c r="A26" s="73" t="s">
        <v>424</v>
      </c>
      <c r="B26" s="74" t="s">
        <v>424</v>
      </c>
      <c r="C26" s="70" t="s">
        <v>255</v>
      </c>
      <c r="D26" s="71"/>
      <c r="E26" s="71"/>
      <c r="F26" s="72"/>
      <c r="G26" s="13" t="str">
        <f t="shared" si="0"/>
        <v>A90031617001</v>
      </c>
      <c r="H26" s="44">
        <v>46023</v>
      </c>
      <c r="I26" s="67">
        <v>99991231</v>
      </c>
      <c r="J26" s="69"/>
      <c r="K26" s="68"/>
      <c r="L26" s="67">
        <v>20251028</v>
      </c>
      <c r="M26" s="68"/>
      <c r="N26" s="8" t="s">
        <v>127</v>
      </c>
      <c r="O26" s="56">
        <v>28.92</v>
      </c>
      <c r="P26" s="57"/>
      <c r="Q26" s="58"/>
      <c r="R26" s="8">
        <v>1</v>
      </c>
      <c r="S26" s="8">
        <v>0</v>
      </c>
      <c r="T26" s="53">
        <v>0</v>
      </c>
      <c r="U26" s="54"/>
      <c r="V26" s="55"/>
      <c r="W26" s="9">
        <v>28.92</v>
      </c>
      <c r="X26" t="s">
        <v>227</v>
      </c>
      <c r="Y26" t="s">
        <v>229</v>
      </c>
      <c r="Z26">
        <v>16170994</v>
      </c>
    </row>
    <row r="27" spans="1:26" ht="15" customHeight="1" x14ac:dyDescent="0.25">
      <c r="A27" s="73" t="s">
        <v>425</v>
      </c>
      <c r="B27" s="74" t="s">
        <v>425</v>
      </c>
      <c r="C27" s="70" t="s">
        <v>256</v>
      </c>
      <c r="D27" s="71"/>
      <c r="E27" s="71"/>
      <c r="F27" s="72"/>
      <c r="G27" s="13" t="str">
        <f t="shared" si="0"/>
        <v>A90034339001</v>
      </c>
      <c r="H27" s="44">
        <v>46023</v>
      </c>
      <c r="I27" s="67">
        <v>99991231</v>
      </c>
      <c r="J27" s="69"/>
      <c r="K27" s="68"/>
      <c r="L27" s="67">
        <v>20251112</v>
      </c>
      <c r="M27" s="68"/>
      <c r="N27" s="8" t="s">
        <v>127</v>
      </c>
      <c r="O27" s="56">
        <v>28.92</v>
      </c>
      <c r="P27" s="57"/>
      <c r="Q27" s="58"/>
      <c r="R27" s="8">
        <v>1</v>
      </c>
      <c r="S27" s="8">
        <v>0</v>
      </c>
      <c r="T27" s="53">
        <v>0</v>
      </c>
      <c r="U27" s="54"/>
      <c r="V27" s="55"/>
      <c r="W27" s="9">
        <v>28.92</v>
      </c>
      <c r="X27" t="s">
        <v>227</v>
      </c>
      <c r="Y27" t="s">
        <v>229</v>
      </c>
      <c r="Z27">
        <v>16170994</v>
      </c>
    </row>
    <row r="28" spans="1:26" ht="15" customHeight="1" x14ac:dyDescent="0.25">
      <c r="A28" s="73" t="s">
        <v>426</v>
      </c>
      <c r="B28" s="74" t="s">
        <v>426</v>
      </c>
      <c r="C28" s="70" t="s">
        <v>257</v>
      </c>
      <c r="D28" s="71"/>
      <c r="E28" s="71"/>
      <c r="F28" s="72"/>
      <c r="G28" s="13" t="str">
        <f t="shared" si="0"/>
        <v>A90034342001</v>
      </c>
      <c r="H28" s="44">
        <v>46023</v>
      </c>
      <c r="I28" s="67">
        <v>99991231</v>
      </c>
      <c r="J28" s="69"/>
      <c r="K28" s="68"/>
      <c r="L28" s="67">
        <v>20251112</v>
      </c>
      <c r="M28" s="68"/>
      <c r="N28" s="8" t="s">
        <v>127</v>
      </c>
      <c r="O28" s="56">
        <v>28.92</v>
      </c>
      <c r="P28" s="57"/>
      <c r="Q28" s="58"/>
      <c r="R28" s="8">
        <v>1</v>
      </c>
      <c r="S28" s="8">
        <v>0</v>
      </c>
      <c r="T28" s="53">
        <v>0</v>
      </c>
      <c r="U28" s="54"/>
      <c r="V28" s="55"/>
      <c r="W28" s="9">
        <v>28.92</v>
      </c>
      <c r="X28" t="s">
        <v>227</v>
      </c>
      <c r="Y28" t="s">
        <v>229</v>
      </c>
      <c r="Z28">
        <v>16170994</v>
      </c>
    </row>
    <row r="29" spans="1:26" ht="15" customHeight="1" x14ac:dyDescent="0.25">
      <c r="A29" s="73" t="s">
        <v>427</v>
      </c>
      <c r="B29" s="74" t="s">
        <v>427</v>
      </c>
      <c r="C29" s="70" t="s">
        <v>258</v>
      </c>
      <c r="D29" s="71"/>
      <c r="E29" s="71"/>
      <c r="F29" s="72"/>
      <c r="G29" s="13" t="str">
        <f t="shared" si="0"/>
        <v>A90032817001</v>
      </c>
      <c r="H29" s="44">
        <v>46023</v>
      </c>
      <c r="I29" s="67">
        <v>99991231</v>
      </c>
      <c r="J29" s="69"/>
      <c r="K29" s="68"/>
      <c r="L29" s="67">
        <v>20251104</v>
      </c>
      <c r="M29" s="68"/>
      <c r="N29" s="8" t="s">
        <v>127</v>
      </c>
      <c r="O29" s="56">
        <v>28.92</v>
      </c>
      <c r="P29" s="57"/>
      <c r="Q29" s="58"/>
      <c r="R29" s="8">
        <v>1</v>
      </c>
      <c r="S29" s="8">
        <v>0</v>
      </c>
      <c r="T29" s="53">
        <v>0</v>
      </c>
      <c r="U29" s="54"/>
      <c r="V29" s="55"/>
      <c r="W29" s="9">
        <v>28.92</v>
      </c>
      <c r="X29" t="s">
        <v>227</v>
      </c>
      <c r="Y29" t="s">
        <v>229</v>
      </c>
      <c r="Z29">
        <v>16170994</v>
      </c>
    </row>
    <row r="30" spans="1:26" ht="15" customHeight="1" x14ac:dyDescent="0.25">
      <c r="A30" s="73" t="s">
        <v>428</v>
      </c>
      <c r="B30" s="74" t="s">
        <v>428</v>
      </c>
      <c r="C30" s="70" t="s">
        <v>259</v>
      </c>
      <c r="D30" s="71"/>
      <c r="E30" s="71"/>
      <c r="F30" s="72"/>
      <c r="G30" s="13" t="str">
        <f t="shared" si="0"/>
        <v>A90032274001</v>
      </c>
      <c r="H30" s="44">
        <v>46023</v>
      </c>
      <c r="I30" s="67">
        <v>99991231</v>
      </c>
      <c r="J30" s="69"/>
      <c r="K30" s="68"/>
      <c r="L30" s="67">
        <v>20251031</v>
      </c>
      <c r="M30" s="68"/>
      <c r="N30" s="8" t="s">
        <v>127</v>
      </c>
      <c r="O30" s="56">
        <v>28.92</v>
      </c>
      <c r="P30" s="57"/>
      <c r="Q30" s="58"/>
      <c r="R30" s="8">
        <v>1</v>
      </c>
      <c r="S30" s="8">
        <v>0</v>
      </c>
      <c r="T30" s="53">
        <v>0</v>
      </c>
      <c r="U30" s="54"/>
      <c r="V30" s="55"/>
      <c r="W30" s="9">
        <v>28.92</v>
      </c>
      <c r="X30" t="s">
        <v>227</v>
      </c>
      <c r="Y30" t="s">
        <v>229</v>
      </c>
      <c r="Z30">
        <v>16170994</v>
      </c>
    </row>
    <row r="31" spans="1:26" ht="15" customHeight="1" x14ac:dyDescent="0.25">
      <c r="A31" s="73" t="s">
        <v>429</v>
      </c>
      <c r="B31" s="74" t="s">
        <v>429</v>
      </c>
      <c r="C31" s="70" t="s">
        <v>260</v>
      </c>
      <c r="D31" s="71"/>
      <c r="E31" s="71"/>
      <c r="F31" s="72"/>
      <c r="G31" s="13" t="str">
        <f t="shared" si="0"/>
        <v>A90035695001</v>
      </c>
      <c r="H31" s="44">
        <v>46023</v>
      </c>
      <c r="I31" s="67">
        <v>99991231</v>
      </c>
      <c r="J31" s="69"/>
      <c r="K31" s="68"/>
      <c r="L31" s="67">
        <v>20251119</v>
      </c>
      <c r="M31" s="68"/>
      <c r="N31" s="8" t="s">
        <v>127</v>
      </c>
      <c r="O31" s="56">
        <v>28.92</v>
      </c>
      <c r="P31" s="57"/>
      <c r="Q31" s="58"/>
      <c r="R31" s="8">
        <v>1</v>
      </c>
      <c r="S31" s="8">
        <v>0</v>
      </c>
      <c r="T31" s="53">
        <v>0</v>
      </c>
      <c r="U31" s="54"/>
      <c r="V31" s="55"/>
      <c r="W31" s="9">
        <v>28.92</v>
      </c>
      <c r="X31" t="s">
        <v>227</v>
      </c>
      <c r="Y31" t="s">
        <v>229</v>
      </c>
      <c r="Z31">
        <v>16170994</v>
      </c>
    </row>
    <row r="32" spans="1:26" ht="15" customHeight="1" x14ac:dyDescent="0.25">
      <c r="A32" s="73" t="s">
        <v>430</v>
      </c>
      <c r="B32" s="74" t="s">
        <v>430</v>
      </c>
      <c r="C32" s="70" t="s">
        <v>261</v>
      </c>
      <c r="D32" s="71"/>
      <c r="E32" s="71"/>
      <c r="F32" s="72"/>
      <c r="G32" s="13" t="str">
        <f t="shared" si="0"/>
        <v>A90035696001</v>
      </c>
      <c r="H32" s="44">
        <v>46023</v>
      </c>
      <c r="I32" s="67">
        <v>99991231</v>
      </c>
      <c r="J32" s="69"/>
      <c r="K32" s="68"/>
      <c r="L32" s="67">
        <v>20251119</v>
      </c>
      <c r="M32" s="68"/>
      <c r="N32" s="8" t="s">
        <v>127</v>
      </c>
      <c r="O32" s="56">
        <v>28.92</v>
      </c>
      <c r="P32" s="57"/>
      <c r="Q32" s="58"/>
      <c r="R32" s="8">
        <v>1</v>
      </c>
      <c r="S32" s="8">
        <v>0</v>
      </c>
      <c r="T32" s="53">
        <v>0</v>
      </c>
      <c r="U32" s="54"/>
      <c r="V32" s="55"/>
      <c r="W32" s="9">
        <v>28.92</v>
      </c>
      <c r="X32" t="s">
        <v>227</v>
      </c>
      <c r="Y32" t="s">
        <v>229</v>
      </c>
      <c r="Z32">
        <v>16170994</v>
      </c>
    </row>
    <row r="33" spans="1:26" ht="15" customHeight="1" x14ac:dyDescent="0.25">
      <c r="A33" s="73" t="s">
        <v>431</v>
      </c>
      <c r="B33" s="74" t="s">
        <v>431</v>
      </c>
      <c r="C33" s="70" t="s">
        <v>262</v>
      </c>
      <c r="D33" s="71"/>
      <c r="E33" s="71"/>
      <c r="F33" s="72"/>
      <c r="G33" s="13" t="str">
        <f t="shared" si="0"/>
        <v>A90032788001</v>
      </c>
      <c r="H33" s="44">
        <v>46023</v>
      </c>
      <c r="I33" s="67">
        <v>99991231</v>
      </c>
      <c r="J33" s="69"/>
      <c r="K33" s="68"/>
      <c r="L33" s="67">
        <v>20251104</v>
      </c>
      <c r="M33" s="68"/>
      <c r="N33" s="8" t="s">
        <v>127</v>
      </c>
      <c r="O33" s="56">
        <v>28.92</v>
      </c>
      <c r="P33" s="57"/>
      <c r="Q33" s="58"/>
      <c r="R33" s="8">
        <v>1</v>
      </c>
      <c r="S33" s="8">
        <v>0</v>
      </c>
      <c r="T33" s="53">
        <v>0</v>
      </c>
      <c r="U33" s="54"/>
      <c r="V33" s="55"/>
      <c r="W33" s="9">
        <v>28.92</v>
      </c>
      <c r="X33" t="s">
        <v>227</v>
      </c>
      <c r="Y33" t="s">
        <v>229</v>
      </c>
      <c r="Z33">
        <v>16170994</v>
      </c>
    </row>
    <row r="34" spans="1:26" ht="15" customHeight="1" x14ac:dyDescent="0.25">
      <c r="A34" s="73" t="s">
        <v>432</v>
      </c>
      <c r="B34" s="74" t="s">
        <v>432</v>
      </c>
      <c r="C34" s="70" t="s">
        <v>263</v>
      </c>
      <c r="D34" s="71"/>
      <c r="E34" s="71"/>
      <c r="F34" s="72"/>
      <c r="G34" s="13" t="str">
        <f t="shared" si="0"/>
        <v>A90032790001</v>
      </c>
      <c r="H34" s="44">
        <v>46023</v>
      </c>
      <c r="I34" s="67">
        <v>99991231</v>
      </c>
      <c r="J34" s="69"/>
      <c r="K34" s="68"/>
      <c r="L34" s="67">
        <v>20251104</v>
      </c>
      <c r="M34" s="68"/>
      <c r="N34" s="8" t="s">
        <v>127</v>
      </c>
      <c r="O34" s="56">
        <v>28.92</v>
      </c>
      <c r="P34" s="57"/>
      <c r="Q34" s="58"/>
      <c r="R34" s="8">
        <v>1</v>
      </c>
      <c r="S34" s="8">
        <v>0</v>
      </c>
      <c r="T34" s="53">
        <v>0</v>
      </c>
      <c r="U34" s="54"/>
      <c r="V34" s="55"/>
      <c r="W34" s="9">
        <v>28.92</v>
      </c>
      <c r="X34" t="s">
        <v>227</v>
      </c>
      <c r="Y34" t="s">
        <v>229</v>
      </c>
      <c r="Z34">
        <v>16170994</v>
      </c>
    </row>
    <row r="35" spans="1:26" ht="15" customHeight="1" x14ac:dyDescent="0.25">
      <c r="A35" s="73" t="s">
        <v>433</v>
      </c>
      <c r="B35" s="74" t="s">
        <v>433</v>
      </c>
      <c r="C35" s="70" t="s">
        <v>264</v>
      </c>
      <c r="D35" s="71"/>
      <c r="E35" s="71"/>
      <c r="F35" s="72"/>
      <c r="G35" s="13" t="str">
        <f t="shared" si="0"/>
        <v>A90037225001</v>
      </c>
      <c r="H35" s="44">
        <v>46023</v>
      </c>
      <c r="I35" s="67">
        <v>99991231</v>
      </c>
      <c r="J35" s="69"/>
      <c r="K35" s="68"/>
      <c r="L35" s="67">
        <v>20251128</v>
      </c>
      <c r="M35" s="68"/>
      <c r="N35" s="8" t="s">
        <v>127</v>
      </c>
      <c r="O35" s="56">
        <v>28.92</v>
      </c>
      <c r="P35" s="57"/>
      <c r="Q35" s="58"/>
      <c r="R35" s="8">
        <v>1</v>
      </c>
      <c r="S35" s="8">
        <v>0</v>
      </c>
      <c r="T35" s="53">
        <v>0</v>
      </c>
      <c r="U35" s="54"/>
      <c r="V35" s="55"/>
      <c r="W35" s="9">
        <v>28.92</v>
      </c>
      <c r="X35" t="s">
        <v>227</v>
      </c>
      <c r="Y35" t="s">
        <v>229</v>
      </c>
      <c r="Z35">
        <v>16170994</v>
      </c>
    </row>
    <row r="36" spans="1:26" ht="15" customHeight="1" x14ac:dyDescent="0.25">
      <c r="A36" s="73" t="s">
        <v>434</v>
      </c>
      <c r="B36" s="74" t="s">
        <v>434</v>
      </c>
      <c r="C36" s="70" t="s">
        <v>265</v>
      </c>
      <c r="D36" s="71"/>
      <c r="E36" s="71"/>
      <c r="F36" s="72"/>
      <c r="G36" s="13" t="str">
        <f t="shared" si="0"/>
        <v>A90031372001</v>
      </c>
      <c r="H36" s="44">
        <v>46023</v>
      </c>
      <c r="I36" s="67">
        <v>99991231</v>
      </c>
      <c r="J36" s="69"/>
      <c r="K36" s="68"/>
      <c r="L36" s="67">
        <v>20251027</v>
      </c>
      <c r="M36" s="68"/>
      <c r="N36" s="8" t="s">
        <v>127</v>
      </c>
      <c r="O36" s="56">
        <v>28.92</v>
      </c>
      <c r="P36" s="57"/>
      <c r="Q36" s="58"/>
      <c r="R36" s="8">
        <v>1</v>
      </c>
      <c r="S36" s="8">
        <v>0</v>
      </c>
      <c r="T36" s="53">
        <v>0</v>
      </c>
      <c r="U36" s="54"/>
      <c r="V36" s="55"/>
      <c r="W36" s="9">
        <v>28.92</v>
      </c>
      <c r="X36" t="s">
        <v>227</v>
      </c>
      <c r="Y36" t="s">
        <v>229</v>
      </c>
      <c r="Z36">
        <v>16170994</v>
      </c>
    </row>
    <row r="37" spans="1:26" ht="15" customHeight="1" x14ac:dyDescent="0.25">
      <c r="A37" s="73" t="s">
        <v>435</v>
      </c>
      <c r="B37" s="74" t="s">
        <v>435</v>
      </c>
      <c r="C37" s="70" t="s">
        <v>266</v>
      </c>
      <c r="D37" s="71"/>
      <c r="E37" s="71"/>
      <c r="F37" s="72"/>
      <c r="G37" s="13" t="str">
        <f t="shared" si="0"/>
        <v>A90030404001</v>
      </c>
      <c r="H37" s="44">
        <v>46023</v>
      </c>
      <c r="I37" s="67">
        <v>99991231</v>
      </c>
      <c r="J37" s="69"/>
      <c r="K37" s="68"/>
      <c r="L37" s="67">
        <v>20251022</v>
      </c>
      <c r="M37" s="68"/>
      <c r="N37" s="8" t="s">
        <v>127</v>
      </c>
      <c r="O37" s="56">
        <v>28.92</v>
      </c>
      <c r="P37" s="57"/>
      <c r="Q37" s="58"/>
      <c r="R37" s="8">
        <v>1</v>
      </c>
      <c r="S37" s="8">
        <v>0</v>
      </c>
      <c r="T37" s="53">
        <v>0</v>
      </c>
      <c r="U37" s="54"/>
      <c r="V37" s="55"/>
      <c r="W37" s="9">
        <v>28.92</v>
      </c>
      <c r="X37" t="s">
        <v>227</v>
      </c>
      <c r="Y37" t="s">
        <v>229</v>
      </c>
      <c r="Z37">
        <v>16170994</v>
      </c>
    </row>
    <row r="38" spans="1:26" ht="15" customHeight="1" x14ac:dyDescent="0.25">
      <c r="A38" s="73" t="s">
        <v>436</v>
      </c>
      <c r="B38" s="74" t="s">
        <v>436</v>
      </c>
      <c r="C38" s="70" t="s">
        <v>267</v>
      </c>
      <c r="D38" s="71"/>
      <c r="E38" s="71"/>
      <c r="F38" s="72"/>
      <c r="G38" s="13" t="str">
        <f t="shared" si="0"/>
        <v>A90033638001</v>
      </c>
      <c r="H38" s="44">
        <v>46023</v>
      </c>
      <c r="I38" s="67">
        <v>99991231</v>
      </c>
      <c r="J38" s="69"/>
      <c r="K38" s="68"/>
      <c r="L38" s="67">
        <v>20251108</v>
      </c>
      <c r="M38" s="68"/>
      <c r="N38" s="8" t="s">
        <v>127</v>
      </c>
      <c r="O38" s="56">
        <v>28.92</v>
      </c>
      <c r="P38" s="57"/>
      <c r="Q38" s="58"/>
      <c r="R38" s="8">
        <v>1</v>
      </c>
      <c r="S38" s="8">
        <v>0</v>
      </c>
      <c r="T38" s="53">
        <v>0</v>
      </c>
      <c r="U38" s="54"/>
      <c r="V38" s="55"/>
      <c r="W38" s="9">
        <v>28.92</v>
      </c>
      <c r="X38" t="s">
        <v>227</v>
      </c>
      <c r="Y38" t="s">
        <v>229</v>
      </c>
      <c r="Z38">
        <v>16170994</v>
      </c>
    </row>
    <row r="39" spans="1:26" ht="15" customHeight="1" x14ac:dyDescent="0.25">
      <c r="A39" s="73" t="s">
        <v>437</v>
      </c>
      <c r="B39" s="74" t="s">
        <v>437</v>
      </c>
      <c r="C39" s="70" t="s">
        <v>268</v>
      </c>
      <c r="D39" s="71"/>
      <c r="E39" s="71"/>
      <c r="F39" s="72"/>
      <c r="G39" s="13" t="str">
        <f t="shared" si="0"/>
        <v>A90036809001</v>
      </c>
      <c r="H39" s="44">
        <v>46023</v>
      </c>
      <c r="I39" s="67">
        <v>99991231</v>
      </c>
      <c r="J39" s="69"/>
      <c r="K39" s="68"/>
      <c r="L39" s="67">
        <v>20251125</v>
      </c>
      <c r="M39" s="68"/>
      <c r="N39" s="8" t="s">
        <v>127</v>
      </c>
      <c r="O39" s="56">
        <v>28.92</v>
      </c>
      <c r="P39" s="57"/>
      <c r="Q39" s="58"/>
      <c r="R39" s="8">
        <v>1</v>
      </c>
      <c r="S39" s="8">
        <v>0</v>
      </c>
      <c r="T39" s="53">
        <v>0</v>
      </c>
      <c r="U39" s="54"/>
      <c r="V39" s="55"/>
      <c r="W39" s="9">
        <v>28.92</v>
      </c>
      <c r="X39" t="s">
        <v>227</v>
      </c>
      <c r="Y39" t="s">
        <v>229</v>
      </c>
      <c r="Z39">
        <v>16170994</v>
      </c>
    </row>
    <row r="40" spans="1:26" ht="15" customHeight="1" x14ac:dyDescent="0.25">
      <c r="A40" s="73" t="s">
        <v>438</v>
      </c>
      <c r="B40" s="74" t="s">
        <v>438</v>
      </c>
      <c r="C40" s="70" t="s">
        <v>269</v>
      </c>
      <c r="D40" s="71"/>
      <c r="E40" s="71"/>
      <c r="F40" s="72"/>
      <c r="G40" s="13" t="str">
        <f t="shared" si="0"/>
        <v>A90033640001</v>
      </c>
      <c r="H40" s="44">
        <v>46023</v>
      </c>
      <c r="I40" s="67">
        <v>99991231</v>
      </c>
      <c r="J40" s="69"/>
      <c r="K40" s="68"/>
      <c r="L40" s="67">
        <v>20251108</v>
      </c>
      <c r="M40" s="68"/>
      <c r="N40" s="8" t="s">
        <v>127</v>
      </c>
      <c r="O40" s="56">
        <v>28.92</v>
      </c>
      <c r="P40" s="57"/>
      <c r="Q40" s="58"/>
      <c r="R40" s="8">
        <v>1</v>
      </c>
      <c r="S40" s="8">
        <v>0</v>
      </c>
      <c r="T40" s="53">
        <v>0</v>
      </c>
      <c r="U40" s="54"/>
      <c r="V40" s="55"/>
      <c r="W40" s="9">
        <v>28.92</v>
      </c>
      <c r="X40" t="s">
        <v>227</v>
      </c>
      <c r="Y40" t="s">
        <v>229</v>
      </c>
      <c r="Z40">
        <v>16170994</v>
      </c>
    </row>
    <row r="41" spans="1:26" ht="15" customHeight="1" x14ac:dyDescent="0.25">
      <c r="A41" s="73" t="s">
        <v>439</v>
      </c>
      <c r="B41" s="74" t="s">
        <v>439</v>
      </c>
      <c r="C41" s="70" t="s">
        <v>270</v>
      </c>
      <c r="D41" s="71"/>
      <c r="E41" s="71"/>
      <c r="F41" s="72"/>
      <c r="G41" s="13" t="str">
        <f t="shared" si="0"/>
        <v>A90036448001</v>
      </c>
      <c r="H41" s="44">
        <v>46023</v>
      </c>
      <c r="I41" s="67">
        <v>99991231</v>
      </c>
      <c r="J41" s="69"/>
      <c r="K41" s="68"/>
      <c r="L41" s="67">
        <v>20251124</v>
      </c>
      <c r="M41" s="68"/>
      <c r="N41" s="8" t="s">
        <v>127</v>
      </c>
      <c r="O41" s="56">
        <v>28.92</v>
      </c>
      <c r="P41" s="57"/>
      <c r="Q41" s="58"/>
      <c r="R41" s="8">
        <v>1</v>
      </c>
      <c r="S41" s="8">
        <v>0</v>
      </c>
      <c r="T41" s="53">
        <v>0</v>
      </c>
      <c r="U41" s="54"/>
      <c r="V41" s="55"/>
      <c r="W41" s="9">
        <v>28.92</v>
      </c>
      <c r="X41" t="s">
        <v>227</v>
      </c>
      <c r="Y41" t="s">
        <v>229</v>
      </c>
      <c r="Z41">
        <v>16170994</v>
      </c>
    </row>
    <row r="42" spans="1:26" ht="15" customHeight="1" x14ac:dyDescent="0.25">
      <c r="A42" s="73" t="s">
        <v>440</v>
      </c>
      <c r="B42" s="74" t="s">
        <v>440</v>
      </c>
      <c r="C42" s="70" t="s">
        <v>271</v>
      </c>
      <c r="D42" s="71"/>
      <c r="E42" s="71"/>
      <c r="F42" s="72"/>
      <c r="G42" s="13" t="str">
        <f t="shared" si="0"/>
        <v>A90036772001</v>
      </c>
      <c r="H42" s="44">
        <v>46023</v>
      </c>
      <c r="I42" s="67">
        <v>99991231</v>
      </c>
      <c r="J42" s="69"/>
      <c r="K42" s="68"/>
      <c r="L42" s="67">
        <v>20251125</v>
      </c>
      <c r="M42" s="68"/>
      <c r="N42" s="8" t="s">
        <v>127</v>
      </c>
      <c r="O42" s="56">
        <v>28.92</v>
      </c>
      <c r="P42" s="57"/>
      <c r="Q42" s="58"/>
      <c r="R42" s="8">
        <v>1</v>
      </c>
      <c r="S42" s="8">
        <v>0</v>
      </c>
      <c r="T42" s="53">
        <v>0</v>
      </c>
      <c r="U42" s="54"/>
      <c r="V42" s="55"/>
      <c r="W42" s="9">
        <v>28.92</v>
      </c>
      <c r="X42" t="s">
        <v>227</v>
      </c>
      <c r="Y42" t="s">
        <v>229</v>
      </c>
      <c r="Z42">
        <v>16170994</v>
      </c>
    </row>
    <row r="43" spans="1:26" ht="15" customHeight="1" x14ac:dyDescent="0.25">
      <c r="A43" s="73" t="s">
        <v>441</v>
      </c>
      <c r="B43" s="74" t="s">
        <v>441</v>
      </c>
      <c r="C43" s="70" t="s">
        <v>272</v>
      </c>
      <c r="D43" s="71"/>
      <c r="E43" s="71"/>
      <c r="F43" s="72"/>
      <c r="G43" s="13" t="str">
        <f t="shared" si="0"/>
        <v>A90029774001</v>
      </c>
      <c r="H43" s="44">
        <v>46023</v>
      </c>
      <c r="I43" s="67">
        <v>99991231</v>
      </c>
      <c r="J43" s="69"/>
      <c r="K43" s="68"/>
      <c r="L43" s="67">
        <v>20251106</v>
      </c>
      <c r="M43" s="68"/>
      <c r="N43" s="8" t="s">
        <v>127</v>
      </c>
      <c r="O43" s="56">
        <v>28.92</v>
      </c>
      <c r="P43" s="57"/>
      <c r="Q43" s="58"/>
      <c r="R43" s="8">
        <v>1</v>
      </c>
      <c r="S43" s="8">
        <v>0</v>
      </c>
      <c r="T43" s="53">
        <v>0</v>
      </c>
      <c r="U43" s="54"/>
      <c r="V43" s="55"/>
      <c r="W43" s="9">
        <v>28.92</v>
      </c>
      <c r="X43" t="s">
        <v>227</v>
      </c>
      <c r="Y43" t="s">
        <v>229</v>
      </c>
      <c r="Z43">
        <v>16170994</v>
      </c>
    </row>
    <row r="44" spans="1:26" ht="15" customHeight="1" x14ac:dyDescent="0.25">
      <c r="A44" s="73" t="s">
        <v>442</v>
      </c>
      <c r="B44" s="74" t="s">
        <v>442</v>
      </c>
      <c r="C44" s="70" t="s">
        <v>273</v>
      </c>
      <c r="D44" s="71"/>
      <c r="E44" s="71"/>
      <c r="F44" s="72"/>
      <c r="G44" s="13" t="str">
        <f t="shared" si="0"/>
        <v>A90034079001</v>
      </c>
      <c r="H44" s="44">
        <v>46023</v>
      </c>
      <c r="I44" s="67">
        <v>99991231</v>
      </c>
      <c r="J44" s="69"/>
      <c r="K44" s="68"/>
      <c r="L44" s="67">
        <v>20251111</v>
      </c>
      <c r="M44" s="68"/>
      <c r="N44" s="8" t="s">
        <v>127</v>
      </c>
      <c r="O44" s="56">
        <v>28.92</v>
      </c>
      <c r="P44" s="57"/>
      <c r="Q44" s="58"/>
      <c r="R44" s="8">
        <v>1</v>
      </c>
      <c r="S44" s="8">
        <v>0</v>
      </c>
      <c r="T44" s="53">
        <v>0</v>
      </c>
      <c r="U44" s="54"/>
      <c r="V44" s="55"/>
      <c r="W44" s="9">
        <v>28.92</v>
      </c>
      <c r="X44" t="s">
        <v>227</v>
      </c>
      <c r="Y44" t="s">
        <v>229</v>
      </c>
      <c r="Z44">
        <v>16170994</v>
      </c>
    </row>
    <row r="45" spans="1:26" ht="15" customHeight="1" x14ac:dyDescent="0.25">
      <c r="A45" s="73" t="s">
        <v>443</v>
      </c>
      <c r="B45" s="74" t="s">
        <v>443</v>
      </c>
      <c r="C45" s="70" t="s">
        <v>274</v>
      </c>
      <c r="D45" s="71"/>
      <c r="E45" s="71"/>
      <c r="F45" s="72"/>
      <c r="G45" s="13" t="str">
        <f t="shared" si="0"/>
        <v>A90033274001</v>
      </c>
      <c r="H45" s="44">
        <v>46023</v>
      </c>
      <c r="I45" s="67">
        <v>99991231</v>
      </c>
      <c r="J45" s="69"/>
      <c r="K45" s="68"/>
      <c r="L45" s="67">
        <v>20251106</v>
      </c>
      <c r="M45" s="68"/>
      <c r="N45" s="8" t="s">
        <v>127</v>
      </c>
      <c r="O45" s="56">
        <v>28.92</v>
      </c>
      <c r="P45" s="57"/>
      <c r="Q45" s="58"/>
      <c r="R45" s="8">
        <v>1</v>
      </c>
      <c r="S45" s="8">
        <v>0</v>
      </c>
      <c r="T45" s="53">
        <v>0</v>
      </c>
      <c r="U45" s="54"/>
      <c r="V45" s="55"/>
      <c r="W45" s="9">
        <v>28.92</v>
      </c>
      <c r="X45" t="s">
        <v>227</v>
      </c>
      <c r="Y45" t="s">
        <v>229</v>
      </c>
      <c r="Z45">
        <v>16170994</v>
      </c>
    </row>
    <row r="46" spans="1:26" ht="15" customHeight="1" x14ac:dyDescent="0.25">
      <c r="A46" s="73" t="s">
        <v>444</v>
      </c>
      <c r="B46" s="74" t="s">
        <v>444</v>
      </c>
      <c r="C46" s="70" t="s">
        <v>275</v>
      </c>
      <c r="D46" s="71"/>
      <c r="E46" s="71"/>
      <c r="F46" s="72"/>
      <c r="G46" s="13" t="str">
        <f t="shared" si="0"/>
        <v>A90032841001</v>
      </c>
      <c r="H46" s="44">
        <v>46023</v>
      </c>
      <c r="I46" s="67">
        <v>99991231</v>
      </c>
      <c r="J46" s="69"/>
      <c r="K46" s="68"/>
      <c r="L46" s="67">
        <v>20251104</v>
      </c>
      <c r="M46" s="68"/>
      <c r="N46" s="8" t="s">
        <v>127</v>
      </c>
      <c r="O46" s="56">
        <v>28.92</v>
      </c>
      <c r="P46" s="57"/>
      <c r="Q46" s="58"/>
      <c r="R46" s="8">
        <v>1</v>
      </c>
      <c r="S46" s="8">
        <v>0</v>
      </c>
      <c r="T46" s="53">
        <v>0</v>
      </c>
      <c r="U46" s="54"/>
      <c r="V46" s="55"/>
      <c r="W46" s="9">
        <v>28.92</v>
      </c>
      <c r="X46" t="s">
        <v>227</v>
      </c>
      <c r="Y46" t="s">
        <v>229</v>
      </c>
      <c r="Z46">
        <v>16170994</v>
      </c>
    </row>
    <row r="47" spans="1:26" ht="15" customHeight="1" x14ac:dyDescent="0.25">
      <c r="A47" s="73" t="s">
        <v>445</v>
      </c>
      <c r="B47" s="74" t="s">
        <v>445</v>
      </c>
      <c r="C47" s="70" t="s">
        <v>276</v>
      </c>
      <c r="D47" s="71"/>
      <c r="E47" s="71"/>
      <c r="F47" s="72"/>
      <c r="G47" s="13" t="str">
        <f t="shared" si="0"/>
        <v>A90033828001</v>
      </c>
      <c r="H47" s="44">
        <v>46023</v>
      </c>
      <c r="I47" s="67">
        <v>99991231</v>
      </c>
      <c r="J47" s="69"/>
      <c r="K47" s="68"/>
      <c r="L47" s="67">
        <v>20251110</v>
      </c>
      <c r="M47" s="68"/>
      <c r="N47" s="8" t="s">
        <v>127</v>
      </c>
      <c r="O47" s="56">
        <v>28.92</v>
      </c>
      <c r="P47" s="57"/>
      <c r="Q47" s="58"/>
      <c r="R47" s="8">
        <v>1</v>
      </c>
      <c r="S47" s="8">
        <v>0</v>
      </c>
      <c r="T47" s="53">
        <v>0</v>
      </c>
      <c r="U47" s="54"/>
      <c r="V47" s="55"/>
      <c r="W47" s="9">
        <v>28.92</v>
      </c>
      <c r="X47" t="s">
        <v>227</v>
      </c>
      <c r="Y47" t="s">
        <v>229</v>
      </c>
      <c r="Z47">
        <v>16170994</v>
      </c>
    </row>
    <row r="48" spans="1:26" ht="15" customHeight="1" x14ac:dyDescent="0.25">
      <c r="A48" s="73" t="s">
        <v>446</v>
      </c>
      <c r="B48" s="74" t="s">
        <v>446</v>
      </c>
      <c r="C48" s="70" t="s">
        <v>277</v>
      </c>
      <c r="D48" s="71"/>
      <c r="E48" s="71"/>
      <c r="F48" s="72"/>
      <c r="G48" s="13" t="str">
        <f t="shared" si="0"/>
        <v>A00491687001</v>
      </c>
      <c r="H48" s="44">
        <v>45992</v>
      </c>
      <c r="I48" s="67">
        <v>99991231</v>
      </c>
      <c r="J48" s="69"/>
      <c r="K48" s="68"/>
      <c r="L48" s="67">
        <v>20200401</v>
      </c>
      <c r="M48" s="68"/>
      <c r="N48" s="8" t="s">
        <v>127</v>
      </c>
      <c r="O48" s="56">
        <v>28.92</v>
      </c>
      <c r="P48" s="57"/>
      <c r="Q48" s="58"/>
      <c r="R48" s="8">
        <v>1</v>
      </c>
      <c r="S48" s="8">
        <v>0</v>
      </c>
      <c r="T48" s="53">
        <v>0</v>
      </c>
      <c r="U48" s="54"/>
      <c r="V48" s="55"/>
      <c r="W48" s="9">
        <v>28.92</v>
      </c>
      <c r="X48" t="s">
        <v>227</v>
      </c>
      <c r="Y48" t="s">
        <v>229</v>
      </c>
      <c r="Z48">
        <v>16170994</v>
      </c>
    </row>
    <row r="49" spans="1:26" ht="15" customHeight="1" x14ac:dyDescent="0.25">
      <c r="A49" s="73" t="s">
        <v>447</v>
      </c>
      <c r="B49" s="74" t="s">
        <v>447</v>
      </c>
      <c r="C49" s="70" t="s">
        <v>278</v>
      </c>
      <c r="D49" s="71"/>
      <c r="E49" s="71"/>
      <c r="F49" s="72"/>
      <c r="G49" s="13" t="str">
        <f t="shared" si="0"/>
        <v>A00335634001</v>
      </c>
      <c r="H49" s="44">
        <v>45992</v>
      </c>
      <c r="I49" s="67">
        <v>99991231</v>
      </c>
      <c r="J49" s="69"/>
      <c r="K49" s="68"/>
      <c r="L49" s="67">
        <v>20200401</v>
      </c>
      <c r="M49" s="68"/>
      <c r="N49" s="8" t="s">
        <v>127</v>
      </c>
      <c r="O49" s="56">
        <v>28.92</v>
      </c>
      <c r="P49" s="57"/>
      <c r="Q49" s="58"/>
      <c r="R49" s="8">
        <v>1</v>
      </c>
      <c r="S49" s="8">
        <v>0</v>
      </c>
      <c r="T49" s="53">
        <v>0</v>
      </c>
      <c r="U49" s="54"/>
      <c r="V49" s="55"/>
      <c r="W49" s="9">
        <v>28.92</v>
      </c>
      <c r="X49" t="s">
        <v>227</v>
      </c>
      <c r="Y49" t="s">
        <v>229</v>
      </c>
      <c r="Z49">
        <v>16170994</v>
      </c>
    </row>
    <row r="50" spans="1:26" ht="15" customHeight="1" x14ac:dyDescent="0.25">
      <c r="A50" s="73" t="s">
        <v>448</v>
      </c>
      <c r="B50" s="74" t="s">
        <v>448</v>
      </c>
      <c r="C50" s="70" t="s">
        <v>279</v>
      </c>
      <c r="D50" s="71"/>
      <c r="E50" s="71"/>
      <c r="F50" s="72"/>
      <c r="G50" s="13" t="str">
        <f t="shared" si="0"/>
        <v>A90037212001</v>
      </c>
      <c r="H50" s="44">
        <v>46023</v>
      </c>
      <c r="I50" s="67">
        <v>99991231</v>
      </c>
      <c r="J50" s="69"/>
      <c r="K50" s="68"/>
      <c r="L50" s="67">
        <v>20251128</v>
      </c>
      <c r="M50" s="68"/>
      <c r="N50" s="8" t="s">
        <v>127</v>
      </c>
      <c r="O50" s="56">
        <v>28.92</v>
      </c>
      <c r="P50" s="57"/>
      <c r="Q50" s="58"/>
      <c r="R50" s="8">
        <v>1</v>
      </c>
      <c r="S50" s="8">
        <v>0</v>
      </c>
      <c r="T50" s="53">
        <v>0</v>
      </c>
      <c r="U50" s="54"/>
      <c r="V50" s="55"/>
      <c r="W50" s="9">
        <v>28.92</v>
      </c>
      <c r="X50" t="s">
        <v>227</v>
      </c>
      <c r="Y50" t="s">
        <v>229</v>
      </c>
      <c r="Z50">
        <v>16170994</v>
      </c>
    </row>
    <row r="51" spans="1:26" ht="15" customHeight="1" x14ac:dyDescent="0.25">
      <c r="A51" s="73" t="s">
        <v>449</v>
      </c>
      <c r="B51" s="74" t="s">
        <v>449</v>
      </c>
      <c r="C51" s="70" t="s">
        <v>280</v>
      </c>
      <c r="D51" s="71"/>
      <c r="E51" s="71"/>
      <c r="F51" s="72"/>
      <c r="G51" s="13" t="str">
        <f t="shared" si="0"/>
        <v>A90029478001</v>
      </c>
      <c r="H51" s="44">
        <v>46023</v>
      </c>
      <c r="I51" s="67">
        <v>99991231</v>
      </c>
      <c r="J51" s="69"/>
      <c r="K51" s="68"/>
      <c r="L51" s="67">
        <v>20251015</v>
      </c>
      <c r="M51" s="68"/>
      <c r="N51" s="8" t="s">
        <v>127</v>
      </c>
      <c r="O51" s="56">
        <v>28.92</v>
      </c>
      <c r="P51" s="57"/>
      <c r="Q51" s="58"/>
      <c r="R51" s="8">
        <v>1</v>
      </c>
      <c r="S51" s="8">
        <v>0</v>
      </c>
      <c r="T51" s="53">
        <v>0</v>
      </c>
      <c r="U51" s="54"/>
      <c r="V51" s="55"/>
      <c r="W51" s="9">
        <v>28.92</v>
      </c>
      <c r="X51" t="s">
        <v>227</v>
      </c>
      <c r="Y51" t="s">
        <v>229</v>
      </c>
      <c r="Z51">
        <v>16170994</v>
      </c>
    </row>
    <row r="52" spans="1:26" ht="15" customHeight="1" x14ac:dyDescent="0.25">
      <c r="A52" s="73" t="s">
        <v>450</v>
      </c>
      <c r="B52" s="74" t="s">
        <v>450</v>
      </c>
      <c r="C52" s="70" t="s">
        <v>281</v>
      </c>
      <c r="D52" s="71"/>
      <c r="E52" s="71"/>
      <c r="F52" s="72"/>
      <c r="G52" s="13" t="str">
        <f t="shared" si="0"/>
        <v>A90031134001</v>
      </c>
      <c r="H52" s="44">
        <v>45962</v>
      </c>
      <c r="I52" s="67">
        <v>99991231</v>
      </c>
      <c r="J52" s="69"/>
      <c r="K52" s="68"/>
      <c r="L52" s="67">
        <v>20251024</v>
      </c>
      <c r="M52" s="68"/>
      <c r="N52" s="8" t="s">
        <v>127</v>
      </c>
      <c r="O52" s="56">
        <v>28.92</v>
      </c>
      <c r="P52" s="57"/>
      <c r="Q52" s="58"/>
      <c r="R52" s="8">
        <v>1</v>
      </c>
      <c r="S52" s="8">
        <v>0</v>
      </c>
      <c r="T52" s="53">
        <v>0</v>
      </c>
      <c r="U52" s="54"/>
      <c r="V52" s="55"/>
      <c r="W52" s="9">
        <v>28.92</v>
      </c>
      <c r="X52" t="s">
        <v>227</v>
      </c>
      <c r="Y52" t="s">
        <v>229</v>
      </c>
      <c r="Z52">
        <v>16170994</v>
      </c>
    </row>
    <row r="53" spans="1:26" ht="15" customHeight="1" x14ac:dyDescent="0.25">
      <c r="A53" s="73" t="s">
        <v>451</v>
      </c>
      <c r="B53" s="74" t="s">
        <v>451</v>
      </c>
      <c r="C53" s="70" t="s">
        <v>282</v>
      </c>
      <c r="D53" s="71"/>
      <c r="E53" s="71"/>
      <c r="F53" s="72"/>
      <c r="G53" s="13" t="str">
        <f t="shared" si="0"/>
        <v>A90029737001</v>
      </c>
      <c r="H53" s="44">
        <v>46023</v>
      </c>
      <c r="I53" s="67">
        <v>99991231</v>
      </c>
      <c r="J53" s="69"/>
      <c r="K53" s="68"/>
      <c r="L53" s="67">
        <v>20251017</v>
      </c>
      <c r="M53" s="68"/>
      <c r="N53" s="8" t="s">
        <v>127</v>
      </c>
      <c r="O53" s="56">
        <v>28.92</v>
      </c>
      <c r="P53" s="57"/>
      <c r="Q53" s="58"/>
      <c r="R53" s="8">
        <v>1</v>
      </c>
      <c r="S53" s="8">
        <v>0</v>
      </c>
      <c r="T53" s="53">
        <v>0</v>
      </c>
      <c r="U53" s="54"/>
      <c r="V53" s="55"/>
      <c r="W53" s="9">
        <v>28.92</v>
      </c>
      <c r="X53" t="s">
        <v>227</v>
      </c>
      <c r="Y53" t="s">
        <v>229</v>
      </c>
      <c r="Z53">
        <v>16170994</v>
      </c>
    </row>
    <row r="54" spans="1:26" ht="15" customHeight="1" x14ac:dyDescent="0.25">
      <c r="A54" s="73" t="s">
        <v>452</v>
      </c>
      <c r="B54" s="74" t="s">
        <v>452</v>
      </c>
      <c r="C54" s="70" t="s">
        <v>283</v>
      </c>
      <c r="D54" s="71"/>
      <c r="E54" s="71"/>
      <c r="F54" s="72"/>
      <c r="G54" s="13" t="str">
        <f t="shared" si="0"/>
        <v>A90029740001</v>
      </c>
      <c r="H54" s="44">
        <v>46023</v>
      </c>
      <c r="I54" s="67">
        <v>99991231</v>
      </c>
      <c r="J54" s="69"/>
      <c r="K54" s="68"/>
      <c r="L54" s="67">
        <v>20251017</v>
      </c>
      <c r="M54" s="68"/>
      <c r="N54" s="8" t="s">
        <v>127</v>
      </c>
      <c r="O54" s="56">
        <v>28.92</v>
      </c>
      <c r="P54" s="57"/>
      <c r="Q54" s="58"/>
      <c r="R54" s="8">
        <v>1</v>
      </c>
      <c r="S54" s="8">
        <v>0</v>
      </c>
      <c r="T54" s="53">
        <v>0</v>
      </c>
      <c r="U54" s="54"/>
      <c r="V54" s="55"/>
      <c r="W54" s="9">
        <v>28.92</v>
      </c>
      <c r="X54" t="s">
        <v>227</v>
      </c>
      <c r="Y54" t="s">
        <v>229</v>
      </c>
      <c r="Z54">
        <v>16170994</v>
      </c>
    </row>
    <row r="55" spans="1:26" ht="15" customHeight="1" x14ac:dyDescent="0.25">
      <c r="A55" s="73" t="s">
        <v>453</v>
      </c>
      <c r="B55" s="74" t="s">
        <v>453</v>
      </c>
      <c r="C55" s="70" t="s">
        <v>284</v>
      </c>
      <c r="D55" s="71"/>
      <c r="E55" s="71"/>
      <c r="F55" s="72"/>
      <c r="G55" s="13" t="str">
        <f t="shared" si="0"/>
        <v>A90030462001</v>
      </c>
      <c r="H55" s="44">
        <v>46023</v>
      </c>
      <c r="I55" s="67">
        <v>99991231</v>
      </c>
      <c r="J55" s="69"/>
      <c r="K55" s="68"/>
      <c r="L55" s="67">
        <v>20251022</v>
      </c>
      <c r="M55" s="68"/>
      <c r="N55" s="8" t="s">
        <v>127</v>
      </c>
      <c r="O55" s="56">
        <v>28.92</v>
      </c>
      <c r="P55" s="57"/>
      <c r="Q55" s="58"/>
      <c r="R55" s="8">
        <v>1</v>
      </c>
      <c r="S55" s="8">
        <v>0</v>
      </c>
      <c r="T55" s="53">
        <v>0</v>
      </c>
      <c r="U55" s="54"/>
      <c r="V55" s="55"/>
      <c r="W55" s="9">
        <v>28.92</v>
      </c>
      <c r="X55" t="s">
        <v>227</v>
      </c>
      <c r="Y55" t="s">
        <v>229</v>
      </c>
      <c r="Z55">
        <v>16170994</v>
      </c>
    </row>
    <row r="56" spans="1:26" ht="15" customHeight="1" x14ac:dyDescent="0.25">
      <c r="A56" s="73" t="s">
        <v>454</v>
      </c>
      <c r="B56" s="74" t="s">
        <v>454</v>
      </c>
      <c r="C56" s="70" t="s">
        <v>285</v>
      </c>
      <c r="D56" s="71"/>
      <c r="E56" s="71"/>
      <c r="F56" s="72"/>
      <c r="G56" s="13" t="str">
        <f t="shared" si="0"/>
        <v>A90030463001</v>
      </c>
      <c r="H56" s="44">
        <v>46023</v>
      </c>
      <c r="I56" s="67">
        <v>99991231</v>
      </c>
      <c r="J56" s="69"/>
      <c r="K56" s="68"/>
      <c r="L56" s="67">
        <v>20251022</v>
      </c>
      <c r="M56" s="68"/>
      <c r="N56" s="8" t="s">
        <v>127</v>
      </c>
      <c r="O56" s="56">
        <v>28.92</v>
      </c>
      <c r="P56" s="57"/>
      <c r="Q56" s="58"/>
      <c r="R56" s="8">
        <v>1</v>
      </c>
      <c r="S56" s="8">
        <v>0</v>
      </c>
      <c r="T56" s="53">
        <v>0</v>
      </c>
      <c r="U56" s="54"/>
      <c r="V56" s="55"/>
      <c r="W56" s="9">
        <v>28.92</v>
      </c>
      <c r="X56" t="s">
        <v>227</v>
      </c>
      <c r="Y56" t="s">
        <v>229</v>
      </c>
      <c r="Z56">
        <v>16170994</v>
      </c>
    </row>
    <row r="57" spans="1:26" ht="15" customHeight="1" x14ac:dyDescent="0.25">
      <c r="A57" s="73" t="s">
        <v>455</v>
      </c>
      <c r="B57" s="74" t="s">
        <v>455</v>
      </c>
      <c r="C57" s="70" t="s">
        <v>286</v>
      </c>
      <c r="D57" s="71"/>
      <c r="E57" s="71"/>
      <c r="F57" s="72"/>
      <c r="G57" s="13" t="str">
        <f t="shared" si="0"/>
        <v>A90030467001</v>
      </c>
      <c r="H57" s="44">
        <v>46023</v>
      </c>
      <c r="I57" s="67">
        <v>99991231</v>
      </c>
      <c r="J57" s="69"/>
      <c r="K57" s="68"/>
      <c r="L57" s="67">
        <v>20251022</v>
      </c>
      <c r="M57" s="68"/>
      <c r="N57" s="8" t="s">
        <v>127</v>
      </c>
      <c r="O57" s="56">
        <v>28.92</v>
      </c>
      <c r="P57" s="57"/>
      <c r="Q57" s="58"/>
      <c r="R57" s="8">
        <v>1</v>
      </c>
      <c r="S57" s="8">
        <v>0</v>
      </c>
      <c r="T57" s="53">
        <v>0</v>
      </c>
      <c r="U57" s="54"/>
      <c r="V57" s="55"/>
      <c r="W57" s="9">
        <v>28.92</v>
      </c>
      <c r="X57" t="s">
        <v>227</v>
      </c>
      <c r="Y57" t="s">
        <v>229</v>
      </c>
      <c r="Z57">
        <v>16170994</v>
      </c>
    </row>
    <row r="58" spans="1:26" ht="15" customHeight="1" x14ac:dyDescent="0.25">
      <c r="A58" s="73" t="s">
        <v>456</v>
      </c>
      <c r="B58" s="74" t="s">
        <v>456</v>
      </c>
      <c r="C58" s="70" t="s">
        <v>287</v>
      </c>
      <c r="D58" s="71"/>
      <c r="E58" s="71"/>
      <c r="F58" s="72"/>
      <c r="G58" s="13" t="str">
        <f t="shared" si="0"/>
        <v>A90029520001</v>
      </c>
      <c r="H58" s="44">
        <v>46023</v>
      </c>
      <c r="I58" s="67">
        <v>99991231</v>
      </c>
      <c r="J58" s="69"/>
      <c r="K58" s="68"/>
      <c r="L58" s="67">
        <v>20251015</v>
      </c>
      <c r="M58" s="68"/>
      <c r="N58" s="8" t="s">
        <v>127</v>
      </c>
      <c r="O58" s="56">
        <v>28.92</v>
      </c>
      <c r="P58" s="57"/>
      <c r="Q58" s="58"/>
      <c r="R58" s="8">
        <v>1</v>
      </c>
      <c r="S58" s="8">
        <v>0</v>
      </c>
      <c r="T58" s="53">
        <v>0</v>
      </c>
      <c r="U58" s="54"/>
      <c r="V58" s="55"/>
      <c r="W58" s="9">
        <v>28.92</v>
      </c>
      <c r="X58" t="s">
        <v>227</v>
      </c>
      <c r="Y58" t="s">
        <v>229</v>
      </c>
      <c r="Z58">
        <v>16170994</v>
      </c>
    </row>
    <row r="59" spans="1:26" ht="15" customHeight="1" x14ac:dyDescent="0.25">
      <c r="A59" s="73" t="s">
        <v>457</v>
      </c>
      <c r="B59" s="74" t="s">
        <v>457</v>
      </c>
      <c r="C59" s="70" t="s">
        <v>288</v>
      </c>
      <c r="D59" s="71"/>
      <c r="E59" s="71"/>
      <c r="F59" s="72"/>
      <c r="G59" s="13" t="str">
        <f t="shared" si="0"/>
        <v>A90033827001</v>
      </c>
      <c r="H59" s="44">
        <v>46023</v>
      </c>
      <c r="I59" s="67">
        <v>99991231</v>
      </c>
      <c r="J59" s="69"/>
      <c r="K59" s="68"/>
      <c r="L59" s="67">
        <v>20251110</v>
      </c>
      <c r="M59" s="68"/>
      <c r="N59" s="8" t="s">
        <v>127</v>
      </c>
      <c r="O59" s="56">
        <v>28.92</v>
      </c>
      <c r="P59" s="57"/>
      <c r="Q59" s="58"/>
      <c r="R59" s="8">
        <v>1</v>
      </c>
      <c r="S59" s="8">
        <v>0</v>
      </c>
      <c r="T59" s="53">
        <v>0</v>
      </c>
      <c r="U59" s="54"/>
      <c r="V59" s="55"/>
      <c r="W59" s="9">
        <v>28.92</v>
      </c>
      <c r="X59" t="s">
        <v>227</v>
      </c>
      <c r="Y59" t="s">
        <v>229</v>
      </c>
      <c r="Z59">
        <v>16170994</v>
      </c>
    </row>
    <row r="60" spans="1:26" ht="15" customHeight="1" x14ac:dyDescent="0.25">
      <c r="A60" s="73" t="s">
        <v>458</v>
      </c>
      <c r="B60" s="74" t="s">
        <v>458</v>
      </c>
      <c r="C60" s="70" t="s">
        <v>289</v>
      </c>
      <c r="D60" s="71"/>
      <c r="E60" s="71"/>
      <c r="F60" s="72"/>
      <c r="G60" s="13" t="str">
        <f t="shared" si="0"/>
        <v>A90034821001</v>
      </c>
      <c r="H60" s="44">
        <v>46023</v>
      </c>
      <c r="I60" s="67">
        <v>99991231</v>
      </c>
      <c r="J60" s="69"/>
      <c r="K60" s="68"/>
      <c r="L60" s="67">
        <v>20251114</v>
      </c>
      <c r="M60" s="68"/>
      <c r="N60" s="8" t="s">
        <v>127</v>
      </c>
      <c r="O60" s="56">
        <v>28.92</v>
      </c>
      <c r="P60" s="57"/>
      <c r="Q60" s="58"/>
      <c r="R60" s="8">
        <v>1</v>
      </c>
      <c r="S60" s="8">
        <v>0</v>
      </c>
      <c r="T60" s="53">
        <v>0</v>
      </c>
      <c r="U60" s="54"/>
      <c r="V60" s="55"/>
      <c r="W60" s="9">
        <v>28.92</v>
      </c>
      <c r="X60" t="s">
        <v>227</v>
      </c>
      <c r="Y60" t="s">
        <v>229</v>
      </c>
      <c r="Z60">
        <v>16170994</v>
      </c>
    </row>
    <row r="61" spans="1:26" ht="15" customHeight="1" x14ac:dyDescent="0.25">
      <c r="A61" s="73" t="s">
        <v>459</v>
      </c>
      <c r="B61" s="74" t="s">
        <v>459</v>
      </c>
      <c r="C61" s="70" t="s">
        <v>290</v>
      </c>
      <c r="D61" s="71"/>
      <c r="E61" s="71"/>
      <c r="F61" s="72"/>
      <c r="G61" s="13" t="str">
        <f t="shared" si="0"/>
        <v>A90032997001</v>
      </c>
      <c r="H61" s="44">
        <v>46023</v>
      </c>
      <c r="I61" s="67">
        <v>99991231</v>
      </c>
      <c r="J61" s="69"/>
      <c r="K61" s="68"/>
      <c r="L61" s="67">
        <v>20251105</v>
      </c>
      <c r="M61" s="68"/>
      <c r="N61" s="8" t="s">
        <v>127</v>
      </c>
      <c r="O61" s="56">
        <v>28.92</v>
      </c>
      <c r="P61" s="57"/>
      <c r="Q61" s="58"/>
      <c r="R61" s="8">
        <v>1</v>
      </c>
      <c r="S61" s="8">
        <v>0</v>
      </c>
      <c r="T61" s="53">
        <v>0</v>
      </c>
      <c r="U61" s="54"/>
      <c r="V61" s="55"/>
      <c r="W61" s="9">
        <v>28.92</v>
      </c>
      <c r="X61" t="s">
        <v>227</v>
      </c>
      <c r="Y61" t="s">
        <v>229</v>
      </c>
      <c r="Z61">
        <v>16170994</v>
      </c>
    </row>
    <row r="62" spans="1:26" ht="15" customHeight="1" x14ac:dyDescent="0.25">
      <c r="A62" s="73" t="s">
        <v>460</v>
      </c>
      <c r="B62" s="74" t="s">
        <v>460</v>
      </c>
      <c r="C62" s="70" t="s">
        <v>291</v>
      </c>
      <c r="D62" s="71"/>
      <c r="E62" s="71"/>
      <c r="F62" s="72"/>
      <c r="G62" s="13" t="str">
        <f t="shared" si="0"/>
        <v>A90036732001</v>
      </c>
      <c r="H62" s="44">
        <v>46023</v>
      </c>
      <c r="I62" s="67">
        <v>99991231</v>
      </c>
      <c r="J62" s="69"/>
      <c r="K62" s="68"/>
      <c r="L62" s="67">
        <v>20251125</v>
      </c>
      <c r="M62" s="68"/>
      <c r="N62" s="8" t="s">
        <v>127</v>
      </c>
      <c r="O62" s="56">
        <v>28.92</v>
      </c>
      <c r="P62" s="57"/>
      <c r="Q62" s="58"/>
      <c r="R62" s="8">
        <v>1</v>
      </c>
      <c r="S62" s="8">
        <v>0</v>
      </c>
      <c r="T62" s="53">
        <v>0</v>
      </c>
      <c r="U62" s="54"/>
      <c r="V62" s="55"/>
      <c r="W62" s="9">
        <v>28.92</v>
      </c>
      <c r="X62" t="s">
        <v>227</v>
      </c>
      <c r="Y62" t="s">
        <v>229</v>
      </c>
      <c r="Z62">
        <v>16170994</v>
      </c>
    </row>
    <row r="63" spans="1:26" ht="15" customHeight="1" x14ac:dyDescent="0.25">
      <c r="A63" s="73" t="s">
        <v>461</v>
      </c>
      <c r="B63" s="74" t="s">
        <v>461</v>
      </c>
      <c r="C63" s="70" t="s">
        <v>292</v>
      </c>
      <c r="D63" s="71"/>
      <c r="E63" s="71"/>
      <c r="F63" s="72"/>
      <c r="G63" s="13" t="str">
        <f t="shared" si="0"/>
        <v>A90036341001</v>
      </c>
      <c r="H63" s="44">
        <v>46023</v>
      </c>
      <c r="I63" s="67">
        <v>99991231</v>
      </c>
      <c r="J63" s="69"/>
      <c r="K63" s="68"/>
      <c r="L63" s="67">
        <v>20251123</v>
      </c>
      <c r="M63" s="68"/>
      <c r="N63" s="8" t="s">
        <v>127</v>
      </c>
      <c r="O63" s="56">
        <v>28.92</v>
      </c>
      <c r="P63" s="57"/>
      <c r="Q63" s="58"/>
      <c r="R63" s="8">
        <v>1</v>
      </c>
      <c r="S63" s="8">
        <v>0</v>
      </c>
      <c r="T63" s="53">
        <v>0</v>
      </c>
      <c r="U63" s="54"/>
      <c r="V63" s="55"/>
      <c r="W63" s="9">
        <v>28.92</v>
      </c>
      <c r="X63" t="s">
        <v>227</v>
      </c>
      <c r="Y63" t="s">
        <v>229</v>
      </c>
      <c r="Z63">
        <v>16170994</v>
      </c>
    </row>
    <row r="64" spans="1:26" ht="15" customHeight="1" x14ac:dyDescent="0.25">
      <c r="A64" s="73" t="s">
        <v>462</v>
      </c>
      <c r="B64" s="74" t="s">
        <v>462</v>
      </c>
      <c r="C64" s="70" t="s">
        <v>293</v>
      </c>
      <c r="D64" s="71"/>
      <c r="E64" s="71"/>
      <c r="F64" s="72"/>
      <c r="G64" s="13" t="str">
        <f t="shared" si="0"/>
        <v>A90010934001</v>
      </c>
      <c r="H64" s="44">
        <v>45992</v>
      </c>
      <c r="I64" s="67">
        <v>99991231</v>
      </c>
      <c r="J64" s="69"/>
      <c r="K64" s="68"/>
      <c r="L64" s="67">
        <v>20200201</v>
      </c>
      <c r="M64" s="68"/>
      <c r="N64" s="8" t="s">
        <v>127</v>
      </c>
      <c r="O64" s="56">
        <v>28.92</v>
      </c>
      <c r="P64" s="57"/>
      <c r="Q64" s="58"/>
      <c r="R64" s="8">
        <v>1</v>
      </c>
      <c r="S64" s="8">
        <v>0</v>
      </c>
      <c r="T64" s="53">
        <v>0</v>
      </c>
      <c r="U64" s="54"/>
      <c r="V64" s="55"/>
      <c r="W64" s="9">
        <v>28.92</v>
      </c>
      <c r="X64" t="s">
        <v>227</v>
      </c>
      <c r="Y64" t="s">
        <v>229</v>
      </c>
      <c r="Z64">
        <v>16170994</v>
      </c>
    </row>
    <row r="65" spans="1:26" ht="15" customHeight="1" x14ac:dyDescent="0.25">
      <c r="A65" s="73" t="s">
        <v>463</v>
      </c>
      <c r="B65" s="74" t="s">
        <v>463</v>
      </c>
      <c r="C65" s="70" t="s">
        <v>294</v>
      </c>
      <c r="D65" s="71"/>
      <c r="E65" s="71"/>
      <c r="F65" s="72"/>
      <c r="G65" s="13" t="str">
        <f t="shared" si="0"/>
        <v>A90030378001</v>
      </c>
      <c r="H65" s="44">
        <v>46023</v>
      </c>
      <c r="I65" s="67">
        <v>99991231</v>
      </c>
      <c r="J65" s="69"/>
      <c r="K65" s="68"/>
      <c r="L65" s="67">
        <v>20251022</v>
      </c>
      <c r="M65" s="68"/>
      <c r="N65" s="8" t="s">
        <v>127</v>
      </c>
      <c r="O65" s="56">
        <v>28.92</v>
      </c>
      <c r="P65" s="57"/>
      <c r="Q65" s="58"/>
      <c r="R65" s="8">
        <v>1</v>
      </c>
      <c r="S65" s="8">
        <v>0</v>
      </c>
      <c r="T65" s="53">
        <v>0</v>
      </c>
      <c r="U65" s="54"/>
      <c r="V65" s="55"/>
      <c r="W65" s="9">
        <v>28.92</v>
      </c>
      <c r="X65" t="s">
        <v>227</v>
      </c>
      <c r="Y65" t="s">
        <v>229</v>
      </c>
      <c r="Z65">
        <v>16170994</v>
      </c>
    </row>
    <row r="66" spans="1:26" ht="15" customHeight="1" x14ac:dyDescent="0.25">
      <c r="A66" s="73" t="s">
        <v>464</v>
      </c>
      <c r="B66" s="74" t="s">
        <v>464</v>
      </c>
      <c r="C66" s="70" t="s">
        <v>295</v>
      </c>
      <c r="D66" s="71"/>
      <c r="E66" s="71"/>
      <c r="F66" s="72"/>
      <c r="G66" s="13" t="str">
        <f>CONCATENATE(C66,2)</f>
        <v>A90029850002</v>
      </c>
      <c r="H66" s="44">
        <v>46023</v>
      </c>
      <c r="I66" s="67">
        <v>99991231</v>
      </c>
      <c r="J66" s="69"/>
      <c r="K66" s="68"/>
      <c r="L66" s="67">
        <v>20251018</v>
      </c>
      <c r="M66" s="68"/>
      <c r="N66" s="8" t="s">
        <v>223</v>
      </c>
      <c r="O66" s="56">
        <v>694</v>
      </c>
      <c r="P66" s="57"/>
      <c r="Q66" s="58"/>
      <c r="R66" s="8">
        <v>12</v>
      </c>
      <c r="S66" s="8">
        <v>0</v>
      </c>
      <c r="T66" s="53">
        <v>0</v>
      </c>
      <c r="U66" s="54"/>
      <c r="V66" s="55"/>
      <c r="W66" s="9">
        <v>694</v>
      </c>
      <c r="X66" t="s">
        <v>228</v>
      </c>
      <c r="Y66" t="s">
        <v>230</v>
      </c>
      <c r="Z66">
        <v>16170994</v>
      </c>
    </row>
  </sheetData>
  <mergeCells count="396">
    <mergeCell ref="A66:B66"/>
    <mergeCell ref="C66:F66"/>
    <mergeCell ref="I66:K66"/>
    <mergeCell ref="L66:M66"/>
    <mergeCell ref="O66:Q66"/>
    <mergeCell ref="T66:V66"/>
    <mergeCell ref="A65:B65"/>
    <mergeCell ref="C65:F65"/>
    <mergeCell ref="I65:K65"/>
    <mergeCell ref="L65:M65"/>
    <mergeCell ref="O65:Q65"/>
    <mergeCell ref="T65:V65"/>
    <mergeCell ref="A64:B64"/>
    <mergeCell ref="C64:F64"/>
    <mergeCell ref="I64:K64"/>
    <mergeCell ref="L64:M64"/>
    <mergeCell ref="O64:Q64"/>
    <mergeCell ref="T64:V64"/>
    <mergeCell ref="A63:B63"/>
    <mergeCell ref="C63:F63"/>
    <mergeCell ref="I63:K63"/>
    <mergeCell ref="L63:M63"/>
    <mergeCell ref="O63:Q63"/>
    <mergeCell ref="T63:V63"/>
    <mergeCell ref="A62:B62"/>
    <mergeCell ref="C62:F62"/>
    <mergeCell ref="I62:K62"/>
    <mergeCell ref="L62:M62"/>
    <mergeCell ref="O62:Q62"/>
    <mergeCell ref="T62:V62"/>
    <mergeCell ref="A61:B61"/>
    <mergeCell ref="C61:F61"/>
    <mergeCell ref="I61:K61"/>
    <mergeCell ref="L61:M61"/>
    <mergeCell ref="O61:Q61"/>
    <mergeCell ref="T61:V61"/>
    <mergeCell ref="A60:B60"/>
    <mergeCell ref="C60:F60"/>
    <mergeCell ref="I60:K60"/>
    <mergeCell ref="L60:M60"/>
    <mergeCell ref="O60:Q60"/>
    <mergeCell ref="T60:V60"/>
    <mergeCell ref="A59:B59"/>
    <mergeCell ref="C59:F59"/>
    <mergeCell ref="I59:K59"/>
    <mergeCell ref="L59:M59"/>
    <mergeCell ref="O59:Q59"/>
    <mergeCell ref="T59:V59"/>
    <mergeCell ref="A58:B58"/>
    <mergeCell ref="C58:F58"/>
    <mergeCell ref="I58:K58"/>
    <mergeCell ref="L58:M58"/>
    <mergeCell ref="O58:Q58"/>
    <mergeCell ref="T58:V58"/>
    <mergeCell ref="A57:B57"/>
    <mergeCell ref="C57:F57"/>
    <mergeCell ref="I57:K57"/>
    <mergeCell ref="L57:M57"/>
    <mergeCell ref="O57:Q57"/>
    <mergeCell ref="T57:V57"/>
    <mergeCell ref="A56:B56"/>
    <mergeCell ref="C56:F56"/>
    <mergeCell ref="I56:K56"/>
    <mergeCell ref="L56:M56"/>
    <mergeCell ref="O56:Q56"/>
    <mergeCell ref="T56:V56"/>
    <mergeCell ref="A55:B55"/>
    <mergeCell ref="C55:F55"/>
    <mergeCell ref="I55:K55"/>
    <mergeCell ref="L55:M55"/>
    <mergeCell ref="O55:Q55"/>
    <mergeCell ref="T55:V55"/>
    <mergeCell ref="A54:B54"/>
    <mergeCell ref="C54:F54"/>
    <mergeCell ref="I54:K54"/>
    <mergeCell ref="L54:M54"/>
    <mergeCell ref="O54:Q54"/>
    <mergeCell ref="T54:V54"/>
    <mergeCell ref="A53:B53"/>
    <mergeCell ref="C53:F53"/>
    <mergeCell ref="I53:K53"/>
    <mergeCell ref="L53:M53"/>
    <mergeCell ref="O53:Q53"/>
    <mergeCell ref="T53:V53"/>
    <mergeCell ref="A52:B52"/>
    <mergeCell ref="C52:F52"/>
    <mergeCell ref="I52:K52"/>
    <mergeCell ref="L52:M52"/>
    <mergeCell ref="O52:Q52"/>
    <mergeCell ref="T52:V52"/>
    <mergeCell ref="A51:B51"/>
    <mergeCell ref="C51:F51"/>
    <mergeCell ref="I51:K51"/>
    <mergeCell ref="L51:M51"/>
    <mergeCell ref="O51:Q51"/>
    <mergeCell ref="T51:V51"/>
    <mergeCell ref="A50:B50"/>
    <mergeCell ref="C50:F50"/>
    <mergeCell ref="I50:K50"/>
    <mergeCell ref="L50:M50"/>
    <mergeCell ref="O50:Q50"/>
    <mergeCell ref="T50:V50"/>
    <mergeCell ref="A49:B49"/>
    <mergeCell ref="C49:F49"/>
    <mergeCell ref="I49:K49"/>
    <mergeCell ref="L49:M49"/>
    <mergeCell ref="O49:Q49"/>
    <mergeCell ref="T49:V49"/>
    <mergeCell ref="A48:B48"/>
    <mergeCell ref="C48:F48"/>
    <mergeCell ref="I48:K48"/>
    <mergeCell ref="L48:M48"/>
    <mergeCell ref="O48:Q48"/>
    <mergeCell ref="T48:V48"/>
    <mergeCell ref="A47:B47"/>
    <mergeCell ref="C47:F47"/>
    <mergeCell ref="I47:K47"/>
    <mergeCell ref="L47:M47"/>
    <mergeCell ref="O47:Q47"/>
    <mergeCell ref="T47:V47"/>
    <mergeCell ref="A46:B46"/>
    <mergeCell ref="C46:F46"/>
    <mergeCell ref="I46:K46"/>
    <mergeCell ref="L46:M46"/>
    <mergeCell ref="O46:Q46"/>
    <mergeCell ref="T46:V46"/>
    <mergeCell ref="A45:B45"/>
    <mergeCell ref="C45:F45"/>
    <mergeCell ref="I45:K45"/>
    <mergeCell ref="L45:M45"/>
    <mergeCell ref="O45:Q45"/>
    <mergeCell ref="T45:V45"/>
    <mergeCell ref="A44:B44"/>
    <mergeCell ref="C44:F44"/>
    <mergeCell ref="I44:K44"/>
    <mergeCell ref="L44:M44"/>
    <mergeCell ref="O44:Q44"/>
    <mergeCell ref="T44:V44"/>
    <mergeCell ref="A43:B43"/>
    <mergeCell ref="C43:F43"/>
    <mergeCell ref="I43:K43"/>
    <mergeCell ref="L43:M43"/>
    <mergeCell ref="O43:Q43"/>
    <mergeCell ref="T43:V43"/>
    <mergeCell ref="A42:B42"/>
    <mergeCell ref="C42:F42"/>
    <mergeCell ref="I42:K42"/>
    <mergeCell ref="L42:M42"/>
    <mergeCell ref="O42:Q42"/>
    <mergeCell ref="T42:V42"/>
    <mergeCell ref="A41:B41"/>
    <mergeCell ref="C41:F41"/>
    <mergeCell ref="I41:K41"/>
    <mergeCell ref="L41:M41"/>
    <mergeCell ref="O41:Q41"/>
    <mergeCell ref="T41:V41"/>
    <mergeCell ref="A40:B40"/>
    <mergeCell ref="C40:F40"/>
    <mergeCell ref="I40:K40"/>
    <mergeCell ref="L40:M40"/>
    <mergeCell ref="O40:Q40"/>
    <mergeCell ref="T40:V40"/>
    <mergeCell ref="A39:B39"/>
    <mergeCell ref="C39:F39"/>
    <mergeCell ref="I39:K39"/>
    <mergeCell ref="L39:M39"/>
    <mergeCell ref="O39:Q39"/>
    <mergeCell ref="T39:V39"/>
    <mergeCell ref="A38:B38"/>
    <mergeCell ref="C38:F38"/>
    <mergeCell ref="I38:K38"/>
    <mergeCell ref="L38:M38"/>
    <mergeCell ref="O38:Q38"/>
    <mergeCell ref="T38:V38"/>
    <mergeCell ref="A37:B37"/>
    <mergeCell ref="C37:F37"/>
    <mergeCell ref="I37:K37"/>
    <mergeCell ref="L37:M37"/>
    <mergeCell ref="O37:Q37"/>
    <mergeCell ref="T37:V37"/>
    <mergeCell ref="A36:B36"/>
    <mergeCell ref="C36:F36"/>
    <mergeCell ref="I36:K36"/>
    <mergeCell ref="L36:M36"/>
    <mergeCell ref="O36:Q36"/>
    <mergeCell ref="T36:V36"/>
    <mergeCell ref="A35:B35"/>
    <mergeCell ref="C35:F35"/>
    <mergeCell ref="I35:K35"/>
    <mergeCell ref="L35:M35"/>
    <mergeCell ref="O35:Q35"/>
    <mergeCell ref="T35:V35"/>
    <mergeCell ref="A34:B34"/>
    <mergeCell ref="C34:F34"/>
    <mergeCell ref="I34:K34"/>
    <mergeCell ref="L34:M34"/>
    <mergeCell ref="O34:Q34"/>
    <mergeCell ref="T34:V34"/>
    <mergeCell ref="A33:B33"/>
    <mergeCell ref="C33:F33"/>
    <mergeCell ref="I33:K33"/>
    <mergeCell ref="L33:M33"/>
    <mergeCell ref="O33:Q33"/>
    <mergeCell ref="T33:V33"/>
    <mergeCell ref="A32:B32"/>
    <mergeCell ref="C32:F32"/>
    <mergeCell ref="I32:K32"/>
    <mergeCell ref="L32:M32"/>
    <mergeCell ref="O32:Q32"/>
    <mergeCell ref="T32:V32"/>
    <mergeCell ref="A31:B31"/>
    <mergeCell ref="C31:F31"/>
    <mergeCell ref="I31:K31"/>
    <mergeCell ref="L31:M31"/>
    <mergeCell ref="O31:Q31"/>
    <mergeCell ref="T31:V31"/>
    <mergeCell ref="A30:B30"/>
    <mergeCell ref="C30:F30"/>
    <mergeCell ref="I30:K30"/>
    <mergeCell ref="L30:M30"/>
    <mergeCell ref="O30:Q30"/>
    <mergeCell ref="T30:V30"/>
    <mergeCell ref="A29:B29"/>
    <mergeCell ref="C29:F29"/>
    <mergeCell ref="I29:K29"/>
    <mergeCell ref="L29:M29"/>
    <mergeCell ref="O29:Q29"/>
    <mergeCell ref="T29:V29"/>
    <mergeCell ref="A28:B28"/>
    <mergeCell ref="C28:F28"/>
    <mergeCell ref="I28:K28"/>
    <mergeCell ref="L28:M28"/>
    <mergeCell ref="O28:Q28"/>
    <mergeCell ref="T28:V28"/>
    <mergeCell ref="A27:B27"/>
    <mergeCell ref="C27:F27"/>
    <mergeCell ref="I27:K27"/>
    <mergeCell ref="L27:M27"/>
    <mergeCell ref="O27:Q27"/>
    <mergeCell ref="T27:V27"/>
    <mergeCell ref="A26:B26"/>
    <mergeCell ref="C26:F26"/>
    <mergeCell ref="I26:K26"/>
    <mergeCell ref="L26:M26"/>
    <mergeCell ref="O26:Q26"/>
    <mergeCell ref="T26:V26"/>
    <mergeCell ref="A25:B25"/>
    <mergeCell ref="C25:F25"/>
    <mergeCell ref="I25:K25"/>
    <mergeCell ref="L25:M25"/>
    <mergeCell ref="O25:Q25"/>
    <mergeCell ref="T25:V25"/>
    <mergeCell ref="A24:B24"/>
    <mergeCell ref="C24:F24"/>
    <mergeCell ref="I24:K24"/>
    <mergeCell ref="L24:M24"/>
    <mergeCell ref="O24:Q24"/>
    <mergeCell ref="T24:V24"/>
    <mergeCell ref="A23:B23"/>
    <mergeCell ref="C23:F23"/>
    <mergeCell ref="I23:K23"/>
    <mergeCell ref="L23:M23"/>
    <mergeCell ref="O23:Q23"/>
    <mergeCell ref="T23:V23"/>
    <mergeCell ref="A22:B22"/>
    <mergeCell ref="C22:F22"/>
    <mergeCell ref="I22:K22"/>
    <mergeCell ref="L22:M22"/>
    <mergeCell ref="O22:Q22"/>
    <mergeCell ref="T22:V22"/>
    <mergeCell ref="A21:B21"/>
    <mergeCell ref="C21:F21"/>
    <mergeCell ref="I21:K21"/>
    <mergeCell ref="L21:M21"/>
    <mergeCell ref="O21:Q21"/>
    <mergeCell ref="T21:V21"/>
    <mergeCell ref="A20:B20"/>
    <mergeCell ref="C20:F20"/>
    <mergeCell ref="I20:K20"/>
    <mergeCell ref="L20:M20"/>
    <mergeCell ref="O20:Q20"/>
    <mergeCell ref="T20:V20"/>
    <mergeCell ref="A19:B19"/>
    <mergeCell ref="C19:F19"/>
    <mergeCell ref="I19:K19"/>
    <mergeCell ref="L19:M19"/>
    <mergeCell ref="O19:Q19"/>
    <mergeCell ref="T19:V19"/>
    <mergeCell ref="A18:B18"/>
    <mergeCell ref="C18:F18"/>
    <mergeCell ref="I18:K18"/>
    <mergeCell ref="L18:M18"/>
    <mergeCell ref="O18:Q18"/>
    <mergeCell ref="T18:V18"/>
    <mergeCell ref="A17:B17"/>
    <mergeCell ref="C17:F17"/>
    <mergeCell ref="I17:K17"/>
    <mergeCell ref="L17:M17"/>
    <mergeCell ref="O17:Q17"/>
    <mergeCell ref="T17:V17"/>
    <mergeCell ref="A16:B16"/>
    <mergeCell ref="C16:F16"/>
    <mergeCell ref="I16:K16"/>
    <mergeCell ref="L16:M16"/>
    <mergeCell ref="O16:Q16"/>
    <mergeCell ref="T16:V16"/>
    <mergeCell ref="A15:B15"/>
    <mergeCell ref="C15:F15"/>
    <mergeCell ref="I15:K15"/>
    <mergeCell ref="L15:M15"/>
    <mergeCell ref="O15:Q15"/>
    <mergeCell ref="T15:V15"/>
    <mergeCell ref="A14:B14"/>
    <mergeCell ref="C14:F14"/>
    <mergeCell ref="I14:K14"/>
    <mergeCell ref="L14:M14"/>
    <mergeCell ref="O14:Q14"/>
    <mergeCell ref="T14:V14"/>
    <mergeCell ref="A13:B13"/>
    <mergeCell ref="C13:F13"/>
    <mergeCell ref="I13:K13"/>
    <mergeCell ref="L13:M13"/>
    <mergeCell ref="O13:Q13"/>
    <mergeCell ref="T13:V13"/>
    <mergeCell ref="A12:B12"/>
    <mergeCell ref="C12:F12"/>
    <mergeCell ref="I12:K12"/>
    <mergeCell ref="L12:M12"/>
    <mergeCell ref="O12:Q12"/>
    <mergeCell ref="T12:V12"/>
    <mergeCell ref="A11:B11"/>
    <mergeCell ref="C11:F11"/>
    <mergeCell ref="I11:K11"/>
    <mergeCell ref="L11:M11"/>
    <mergeCell ref="O11:Q11"/>
    <mergeCell ref="T11:V11"/>
    <mergeCell ref="A10:B10"/>
    <mergeCell ref="C10:F10"/>
    <mergeCell ref="I10:K10"/>
    <mergeCell ref="L10:M10"/>
    <mergeCell ref="O10:Q10"/>
    <mergeCell ref="T10:V10"/>
    <mergeCell ref="A9:B9"/>
    <mergeCell ref="C9:F9"/>
    <mergeCell ref="I9:K9"/>
    <mergeCell ref="L9:M9"/>
    <mergeCell ref="O9:Q9"/>
    <mergeCell ref="T9:V9"/>
    <mergeCell ref="A8:B8"/>
    <mergeCell ref="C8:F8"/>
    <mergeCell ref="I8:K8"/>
    <mergeCell ref="L8:M8"/>
    <mergeCell ref="O8:Q8"/>
    <mergeCell ref="T8:V8"/>
    <mergeCell ref="A7:B7"/>
    <mergeCell ref="C7:F7"/>
    <mergeCell ref="I7:K7"/>
    <mergeCell ref="L7:M7"/>
    <mergeCell ref="O7:Q7"/>
    <mergeCell ref="T7:V7"/>
    <mergeCell ref="A6:B6"/>
    <mergeCell ref="C6:F6"/>
    <mergeCell ref="I6:K6"/>
    <mergeCell ref="L6:M6"/>
    <mergeCell ref="O6:Q6"/>
    <mergeCell ref="T6:V6"/>
    <mergeCell ref="A5:B5"/>
    <mergeCell ref="C5:F5"/>
    <mergeCell ref="I5:K5"/>
    <mergeCell ref="L5:M5"/>
    <mergeCell ref="O5:Q5"/>
    <mergeCell ref="T5:V5"/>
    <mergeCell ref="A4:B4"/>
    <mergeCell ref="C4:F4"/>
    <mergeCell ref="I4:K4"/>
    <mergeCell ref="L4:M4"/>
    <mergeCell ref="O4:Q4"/>
    <mergeCell ref="T4:V4"/>
    <mergeCell ref="A3:B3"/>
    <mergeCell ref="C3:F3"/>
    <mergeCell ref="I3:K3"/>
    <mergeCell ref="L3:M3"/>
    <mergeCell ref="O3:Q3"/>
    <mergeCell ref="T3:V3"/>
    <mergeCell ref="A2:B2"/>
    <mergeCell ref="C2:F2"/>
    <mergeCell ref="I2:K2"/>
    <mergeCell ref="L2:M2"/>
    <mergeCell ref="O2:Q2"/>
    <mergeCell ref="T2:V2"/>
    <mergeCell ref="A1:B1"/>
    <mergeCell ref="C1:F1"/>
    <mergeCell ref="I1:K1"/>
    <mergeCell ref="L1:M1"/>
    <mergeCell ref="O1:Q1"/>
    <mergeCell ref="T1:V1"/>
  </mergeCells>
  <hyperlinks>
    <hyperlink ref="C2" r:id="rId1" display="A9003119500 " xr:uid="{A92F877E-B8CE-468E-B93D-83F6274BCD12}"/>
    <hyperlink ref="C3" r:id="rId2" display="A9003119400 " xr:uid="{A4ADD262-0D9E-45EE-AEA2-F0AE9A17E1DF}"/>
    <hyperlink ref="C4" r:id="rId3" display="A9003018500 " xr:uid="{5804534D-2124-4372-992B-A08DF111C5F2}"/>
    <hyperlink ref="C5" r:id="rId4" display="A9003562200 " xr:uid="{46FE755B-E829-4408-AFC9-167643121E37}"/>
    <hyperlink ref="C6" r:id="rId5" display="A9003562100 " xr:uid="{E40A2A72-0168-4BEA-BD38-6DEAA390D246}"/>
    <hyperlink ref="C7" r:id="rId6" display="A9003203200 " xr:uid="{52BF25FB-5209-4524-8426-B8C86B2D2EF5}"/>
    <hyperlink ref="C8" r:id="rId7" display="A9003158500 " xr:uid="{658A2D24-FCD4-4289-95F9-0EE69E559991}"/>
    <hyperlink ref="C9" r:id="rId8" display="A9003158700 " xr:uid="{1F2918E0-5403-4026-8411-8F503EB7CCEA}"/>
    <hyperlink ref="C10" r:id="rId9" display="A9001490300 " xr:uid="{DFCB6E60-2198-456C-9AA4-F8F330704DB7}"/>
    <hyperlink ref="C11" r:id="rId10" display="A9001105800 " xr:uid="{9E994E76-E0DC-4120-A2DC-98AA24B2891D}"/>
    <hyperlink ref="C12" r:id="rId11" display="A9003019100 " xr:uid="{1996D9F9-F184-475C-B11A-501A8C223EAC}"/>
    <hyperlink ref="C13" r:id="rId12" display="A9003261900 " xr:uid="{B3C6BB8C-3BB3-4C10-889D-6EC73173CB91}"/>
    <hyperlink ref="C14" r:id="rId13" display="A9003262100 " xr:uid="{C2D7B8A2-D1FA-45FF-ADDA-4A7A8490CDD9}"/>
    <hyperlink ref="C15" r:id="rId14" display="A9003154700 " xr:uid="{E76B8368-269D-40E0-94B9-2982401935E3}"/>
    <hyperlink ref="C16" r:id="rId15" display="A9003676000 " xr:uid="{5EEAAA38-D4D8-4C91-98A3-ED590D00CC0C}"/>
    <hyperlink ref="C17" r:id="rId16" display="A9003566500 " xr:uid="{8D0A61A8-1A0C-4D65-ABA4-F2FDCC821803}"/>
    <hyperlink ref="C18" r:id="rId17" display="A9003186100 " xr:uid="{80483625-F079-47F2-906E-2C1BE2AD3658}"/>
    <hyperlink ref="C19" r:id="rId18" display="A9003514800 " xr:uid="{0CDF77AD-E592-4F7E-8EA8-02EF3A6E62D9}"/>
    <hyperlink ref="C20" r:id="rId19" display="A9002953500 " xr:uid="{D174B5F7-D328-4C2A-87E0-ABE6F3CAE81D}"/>
    <hyperlink ref="C21" r:id="rId20" display="A9003014200 " xr:uid="{5084E632-5B14-4FA9-99D0-54A40E70C5DC}"/>
    <hyperlink ref="C22" r:id="rId21" display="A9002985400 " xr:uid="{642125EA-616E-45D2-B22C-211E908E56A2}"/>
    <hyperlink ref="C23" r:id="rId22" display="A9002985200 " xr:uid="{8722067E-5D87-4CE4-A9D6-B6EDBFD0137A}"/>
    <hyperlink ref="C24" r:id="rId23" display="A9003387400 " xr:uid="{169BBF3B-8C32-4BE3-B3E7-F4F22361B37D}"/>
    <hyperlink ref="C25" r:id="rId24" display="A9003142900 " xr:uid="{F85C97BF-4603-4BA9-96C4-706DF6F11099}"/>
    <hyperlink ref="C26" r:id="rId25" display="A9003161700 " xr:uid="{DEDF0129-0AB0-4B55-BCAA-EA3868E5ECFD}"/>
    <hyperlink ref="C27" r:id="rId26" display="A9003433900 " xr:uid="{532229D9-D2DA-40D3-AF7F-FD1F8D3AEFB7}"/>
    <hyperlink ref="C28" r:id="rId27" display="A9003434200 " xr:uid="{DEC4C214-7EC4-4006-BFD9-2F1B995B8967}"/>
    <hyperlink ref="C29" r:id="rId28" display="A9003281700 " xr:uid="{1FD11C2A-1312-4A62-9F07-3EE092230905}"/>
    <hyperlink ref="C30" r:id="rId29" display="A9003227400 " xr:uid="{A57633BE-83F1-4050-ACCB-78DD30E1E84B}"/>
    <hyperlink ref="C31" r:id="rId30" display="A9003569500 " xr:uid="{68865A14-D1CD-4CC4-962F-A24553A7EC7D}"/>
    <hyperlink ref="C32" r:id="rId31" display="A9003569600 " xr:uid="{54413E9A-0F32-4B50-9010-38625FCAE018}"/>
    <hyperlink ref="C33" r:id="rId32" display="A9003278800 " xr:uid="{2B52F619-4FDB-489D-8124-26D23F389542}"/>
    <hyperlink ref="C34" r:id="rId33" display="A9003279000 " xr:uid="{646CB3E3-8F6B-4B40-958A-1CCC2548678D}"/>
    <hyperlink ref="C35" r:id="rId34" display="A9003722500 " xr:uid="{F04550B6-9774-4381-BEDE-E9750CBCABE5}"/>
    <hyperlink ref="C36" r:id="rId35" display="A9003137200 " xr:uid="{45304F19-3B6D-49F7-8BF4-11A562E56CEA}"/>
    <hyperlink ref="C37" r:id="rId36" display="A9003040400 " xr:uid="{FDC9410F-EED4-45E3-89E2-BADB1ECE2529}"/>
    <hyperlink ref="C38" r:id="rId37" display="A9003363800 " xr:uid="{EE714C13-6183-4DEE-97A9-DFC65488ED69}"/>
    <hyperlink ref="C39" r:id="rId38" display="A9003680900 " xr:uid="{E414D13A-32C2-4D42-AA42-BE0B4CCFBBC7}"/>
    <hyperlink ref="C40" r:id="rId39" display="A9003364000 " xr:uid="{BCD889D1-9870-44FC-9939-D5DBC4E83D03}"/>
    <hyperlink ref="C41" r:id="rId40" display="A9003644800 " xr:uid="{B553F270-1EB0-4F74-A9D0-71BF423B3413}"/>
    <hyperlink ref="C42" r:id="rId41" display="A9003677200 " xr:uid="{BFCC712C-3427-4E93-B990-15A459FDFB6C}"/>
    <hyperlink ref="C43" r:id="rId42" display="A9002977400 " xr:uid="{FCD2C039-ABD9-4F41-A544-BF439F453D31}"/>
    <hyperlink ref="C44" r:id="rId43" display="A9003407900 " xr:uid="{AE982209-EF7B-4BCC-8657-EE09F22E8975}"/>
    <hyperlink ref="C45" r:id="rId44" display="A9003327400 " xr:uid="{6C7ADE91-B42A-4852-AD91-669A64F94DEA}"/>
    <hyperlink ref="C46" r:id="rId45" display="A9003284100 " xr:uid="{5A3E157B-FA7D-4654-82F0-02AC873B2788}"/>
    <hyperlink ref="C47" r:id="rId46" display="A9003382800 " xr:uid="{292D7D13-E9AC-4190-A1C4-5A7C9CA2CA4C}"/>
    <hyperlink ref="C48" r:id="rId47" display="A0049168700 " xr:uid="{48214211-025A-4F6D-87DA-0F288BD1EA15}"/>
    <hyperlink ref="C49" r:id="rId48" display="A0033563400 " xr:uid="{28F232A5-2839-4B86-A942-038C9F6CA733}"/>
    <hyperlink ref="C50" r:id="rId49" display="A9003721200 " xr:uid="{7A335A5F-EFE0-4C48-938F-BC176A466584}"/>
    <hyperlink ref="C51" r:id="rId50" display="A9002947800 " xr:uid="{1CE177DC-EFFA-41A1-AD1F-5CA34DC1763C}"/>
    <hyperlink ref="C52" r:id="rId51" display="A9003113400 " xr:uid="{233A7E86-5BA8-4A20-9A0B-2996DBBC091A}"/>
    <hyperlink ref="C53" r:id="rId52" display="A9002973700 " xr:uid="{D6C9D714-4868-4C74-8196-988F0E411ADD}"/>
    <hyperlink ref="C54" r:id="rId53" display="A9002974000 " xr:uid="{0CA0BED2-076A-4021-A781-586C97DC15AC}"/>
    <hyperlink ref="C55" r:id="rId54" display="A9003046200 " xr:uid="{CB56D79C-2E68-486D-A298-1D0CE387B0C1}"/>
    <hyperlink ref="C56" r:id="rId55" display="A9003046300 " xr:uid="{7AF0C2F6-8BB0-47F7-934F-02EA08D9AC92}"/>
    <hyperlink ref="C57" r:id="rId56" display="A9003046700 " xr:uid="{AD29D260-4915-4763-8B77-E492A31F3185}"/>
    <hyperlink ref="C58" r:id="rId57" display="A9002952000 " xr:uid="{EE177950-9031-4E05-9FF7-66CA89CAD9D6}"/>
    <hyperlink ref="C59" r:id="rId58" display="A9003382700 " xr:uid="{476EB3A5-15B0-4D49-88C9-04379B73AF9B}"/>
    <hyperlink ref="C60" r:id="rId59" display="A9003482100 " xr:uid="{F3E3FF7F-0FBF-4175-B924-7C31C38D5FF0}"/>
    <hyperlink ref="C61" r:id="rId60" display="A9003299700 " xr:uid="{AD7AC8F6-8521-4A64-B2C3-20A8229EBBA8}"/>
    <hyperlink ref="C62" r:id="rId61" display="A9003673200 " xr:uid="{CF44C577-D142-4BF4-8BD5-45A9E09F96CE}"/>
    <hyperlink ref="C63" r:id="rId62" display="A9003634100 " xr:uid="{0AE2778F-6201-4E4B-AF06-56707A0AFCD6}"/>
    <hyperlink ref="C64" r:id="rId63" display="A9001093400 " xr:uid="{EAB8DA49-CEF5-4E75-AB1B-D9055E06A374}"/>
    <hyperlink ref="C65" r:id="rId64" display="A9003037800 " xr:uid="{21CD8230-620C-4A5C-965E-5235CC40E59A}"/>
    <hyperlink ref="C66" r:id="rId65" display="A9002985000 " xr:uid="{3AF0A545-8784-4A11-AB37-632DE081337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F016E-6EAC-4A39-9289-DCA06318CF01}">
  <dimension ref="A1:C65"/>
  <sheetViews>
    <sheetView workbookViewId="0">
      <selection activeCell="C1" sqref="C1:C65"/>
    </sheetView>
  </sheetViews>
  <sheetFormatPr defaultRowHeight="15" x14ac:dyDescent="0.25"/>
  <cols>
    <col min="1" max="1" width="22.7109375" bestFit="1" customWidth="1"/>
    <col min="3" max="3" width="20.85546875" bestFit="1" customWidth="1"/>
  </cols>
  <sheetData>
    <row r="1" spans="1:3" ht="15" customHeight="1" x14ac:dyDescent="0.25">
      <c r="A1" s="75" t="s">
        <v>296</v>
      </c>
      <c r="B1" s="76" t="s">
        <v>297</v>
      </c>
      <c r="C1" t="str">
        <f>CONCATENATE(B1," ",A1)</f>
        <v>BARBARA BANKOVICH</v>
      </c>
    </row>
    <row r="2" spans="1:3" ht="15" customHeight="1" x14ac:dyDescent="0.25">
      <c r="A2" s="77" t="s">
        <v>296</v>
      </c>
      <c r="B2" s="78" t="s">
        <v>298</v>
      </c>
      <c r="C2" t="str">
        <f t="shared" ref="C2:C65" si="0">CONCATENATE(B2," ",A2)</f>
        <v>PAUL BANKOVICH</v>
      </c>
    </row>
    <row r="3" spans="1:3" ht="15" customHeight="1" x14ac:dyDescent="0.25">
      <c r="A3" s="77" t="s">
        <v>299</v>
      </c>
      <c r="B3" s="78" t="s">
        <v>300</v>
      </c>
      <c r="C3" t="str">
        <f t="shared" si="0"/>
        <v>DONALD BOYER</v>
      </c>
    </row>
    <row r="4" spans="1:3" ht="15" customHeight="1" x14ac:dyDescent="0.25">
      <c r="A4" s="77" t="s">
        <v>301</v>
      </c>
      <c r="B4" s="78" t="s">
        <v>302</v>
      </c>
      <c r="C4" t="str">
        <f t="shared" si="0"/>
        <v>LINDA BROWN</v>
      </c>
    </row>
    <row r="5" spans="1:3" ht="15" customHeight="1" x14ac:dyDescent="0.25">
      <c r="A5" s="77" t="s">
        <v>301</v>
      </c>
      <c r="B5" s="78" t="s">
        <v>298</v>
      </c>
      <c r="C5" t="str">
        <f t="shared" si="0"/>
        <v>PAUL BROWN</v>
      </c>
    </row>
    <row r="6" spans="1:3" ht="15" customHeight="1" x14ac:dyDescent="0.25">
      <c r="A6" s="77" t="s">
        <v>303</v>
      </c>
      <c r="B6" s="78" t="s">
        <v>304</v>
      </c>
      <c r="C6" t="str">
        <f t="shared" si="0"/>
        <v>COLLEEN BUGNO</v>
      </c>
    </row>
    <row r="7" spans="1:3" ht="15" customHeight="1" x14ac:dyDescent="0.25">
      <c r="A7" s="77" t="s">
        <v>305</v>
      </c>
      <c r="B7" s="78" t="s">
        <v>306</v>
      </c>
      <c r="C7" t="str">
        <f t="shared" si="0"/>
        <v>MARIA CVICELA</v>
      </c>
    </row>
    <row r="8" spans="1:3" ht="15" customHeight="1" x14ac:dyDescent="0.25">
      <c r="A8" s="77" t="s">
        <v>305</v>
      </c>
      <c r="B8" s="78" t="s">
        <v>307</v>
      </c>
      <c r="C8" t="str">
        <f t="shared" si="0"/>
        <v>VLADIMIR CVICELA</v>
      </c>
    </row>
    <row r="9" spans="1:3" ht="15" customHeight="1" x14ac:dyDescent="0.25">
      <c r="A9" s="77" t="s">
        <v>308</v>
      </c>
      <c r="B9" s="78" t="s">
        <v>309</v>
      </c>
      <c r="C9" t="str">
        <f t="shared" si="0"/>
        <v>DEBORAH DAVIS</v>
      </c>
    </row>
    <row r="10" spans="1:3" ht="15" customHeight="1" x14ac:dyDescent="0.25">
      <c r="A10" s="77" t="s">
        <v>308</v>
      </c>
      <c r="B10" s="78" t="s">
        <v>310</v>
      </c>
      <c r="C10" t="str">
        <f t="shared" si="0"/>
        <v>JERROLD DAVIS</v>
      </c>
    </row>
    <row r="11" spans="1:3" ht="15" customHeight="1" x14ac:dyDescent="0.25">
      <c r="A11" s="77" t="s">
        <v>311</v>
      </c>
      <c r="B11" s="78" t="s">
        <v>312</v>
      </c>
      <c r="C11" t="str">
        <f t="shared" si="0"/>
        <v>LYNN DECROW</v>
      </c>
    </row>
    <row r="12" spans="1:3" ht="15" customHeight="1" x14ac:dyDescent="0.25">
      <c r="A12" s="77" t="s">
        <v>313</v>
      </c>
      <c r="B12" s="78" t="s">
        <v>314</v>
      </c>
      <c r="C12" t="str">
        <f t="shared" si="0"/>
        <v>LAURIE DELVILLAN</v>
      </c>
    </row>
    <row r="13" spans="1:3" ht="15" customHeight="1" x14ac:dyDescent="0.25">
      <c r="A13" s="77" t="s">
        <v>313</v>
      </c>
      <c r="B13" s="78" t="s">
        <v>315</v>
      </c>
      <c r="C13" t="str">
        <f t="shared" si="0"/>
        <v>MATTHEW DELVILLAN</v>
      </c>
    </row>
    <row r="14" spans="1:3" ht="15" customHeight="1" x14ac:dyDescent="0.25">
      <c r="A14" s="77" t="s">
        <v>316</v>
      </c>
      <c r="B14" s="78" t="s">
        <v>317</v>
      </c>
      <c r="C14" t="str">
        <f t="shared" si="0"/>
        <v>KAREN DEMMA</v>
      </c>
    </row>
    <row r="15" spans="1:3" ht="15" customHeight="1" x14ac:dyDescent="0.25">
      <c r="A15" s="77" t="s">
        <v>318</v>
      </c>
      <c r="B15" s="78" t="s">
        <v>319</v>
      </c>
      <c r="C15" t="str">
        <f t="shared" si="0"/>
        <v>PATRICIA DEVLIN</v>
      </c>
    </row>
    <row r="16" spans="1:3" ht="15" customHeight="1" x14ac:dyDescent="0.25">
      <c r="A16" s="77" t="s">
        <v>320</v>
      </c>
      <c r="B16" s="78" t="s">
        <v>309</v>
      </c>
      <c r="C16" t="str">
        <f t="shared" si="0"/>
        <v>DEBORAH DINICOLA</v>
      </c>
    </row>
    <row r="17" spans="1:3" ht="15" customHeight="1" x14ac:dyDescent="0.25">
      <c r="A17" s="77" t="s">
        <v>321</v>
      </c>
      <c r="B17" s="78" t="s">
        <v>297</v>
      </c>
      <c r="C17" t="str">
        <f t="shared" si="0"/>
        <v>BARBARA FORD</v>
      </c>
    </row>
    <row r="18" spans="1:3" ht="15" customHeight="1" x14ac:dyDescent="0.25">
      <c r="A18" s="77" t="s">
        <v>322</v>
      </c>
      <c r="B18" s="78" t="s">
        <v>323</v>
      </c>
      <c r="C18" t="str">
        <f t="shared" si="0"/>
        <v>CAROL FREY</v>
      </c>
    </row>
    <row r="19" spans="1:3" ht="15" customHeight="1" x14ac:dyDescent="0.25">
      <c r="A19" s="77" t="s">
        <v>324</v>
      </c>
      <c r="B19" s="78" t="s">
        <v>325</v>
      </c>
      <c r="C19" t="str">
        <f t="shared" si="0"/>
        <v>MARY GARNICA</v>
      </c>
    </row>
    <row r="20" spans="1:3" ht="15" customHeight="1" x14ac:dyDescent="0.25">
      <c r="A20" s="77" t="s">
        <v>326</v>
      </c>
      <c r="B20" s="78" t="s">
        <v>327</v>
      </c>
      <c r="C20" t="str">
        <f t="shared" si="0"/>
        <v>GEORGETTE GLASSER</v>
      </c>
    </row>
    <row r="21" spans="1:3" ht="15" customHeight="1" x14ac:dyDescent="0.25">
      <c r="A21" s="77" t="s">
        <v>328</v>
      </c>
      <c r="B21" s="78" t="s">
        <v>329</v>
      </c>
      <c r="C21" t="str">
        <f t="shared" si="0"/>
        <v>KEVIN HEINEY</v>
      </c>
    </row>
    <row r="22" spans="1:3" ht="15" customHeight="1" x14ac:dyDescent="0.25">
      <c r="A22" s="77" t="s">
        <v>328</v>
      </c>
      <c r="B22" s="78" t="s">
        <v>330</v>
      </c>
      <c r="C22" t="str">
        <f t="shared" si="0"/>
        <v>REBECCA HEINEY</v>
      </c>
    </row>
    <row r="23" spans="1:3" ht="15" customHeight="1" x14ac:dyDescent="0.25">
      <c r="A23" s="77" t="s">
        <v>331</v>
      </c>
      <c r="B23" s="78" t="s">
        <v>332</v>
      </c>
      <c r="C23" t="str">
        <f t="shared" si="0"/>
        <v>DOLORES HORSCHAK</v>
      </c>
    </row>
    <row r="24" spans="1:3" ht="15" customHeight="1" x14ac:dyDescent="0.25">
      <c r="A24" s="77" t="s">
        <v>333</v>
      </c>
      <c r="B24" s="78" t="s">
        <v>334</v>
      </c>
      <c r="C24" t="str">
        <f t="shared" si="0"/>
        <v>DIANE HUSZAI</v>
      </c>
    </row>
    <row r="25" spans="1:3" ht="15" customHeight="1" x14ac:dyDescent="0.25">
      <c r="A25" s="77" t="s">
        <v>335</v>
      </c>
      <c r="B25" s="78" t="s">
        <v>298</v>
      </c>
      <c r="C25" t="str">
        <f t="shared" si="0"/>
        <v>PAUL KAPAROFF</v>
      </c>
    </row>
    <row r="26" spans="1:3" ht="15" customHeight="1" x14ac:dyDescent="0.25">
      <c r="A26" s="77" t="s">
        <v>336</v>
      </c>
      <c r="B26" s="78" t="s">
        <v>337</v>
      </c>
      <c r="C26" t="str">
        <f t="shared" si="0"/>
        <v>JOANNE KLESCH</v>
      </c>
    </row>
    <row r="27" spans="1:3" ht="15" customHeight="1" x14ac:dyDescent="0.25">
      <c r="A27" s="77" t="s">
        <v>336</v>
      </c>
      <c r="B27" s="78" t="s">
        <v>338</v>
      </c>
      <c r="C27" t="str">
        <f t="shared" si="0"/>
        <v>LISA KLESCH</v>
      </c>
    </row>
    <row r="28" spans="1:3" ht="15" customHeight="1" x14ac:dyDescent="0.25">
      <c r="A28" s="77" t="s">
        <v>339</v>
      </c>
      <c r="B28" s="78" t="s">
        <v>340</v>
      </c>
      <c r="C28" t="str">
        <f t="shared" si="0"/>
        <v>CARROL KLINKER</v>
      </c>
    </row>
    <row r="29" spans="1:3" ht="15" customHeight="1" x14ac:dyDescent="0.25">
      <c r="A29" s="77" t="s">
        <v>341</v>
      </c>
      <c r="B29" s="78" t="s">
        <v>342</v>
      </c>
      <c r="C29" t="str">
        <f t="shared" si="0"/>
        <v>TERRY KNIGHT</v>
      </c>
    </row>
    <row r="30" spans="1:3" ht="15" customHeight="1" x14ac:dyDescent="0.25">
      <c r="A30" s="77" t="s">
        <v>343</v>
      </c>
      <c r="B30" s="78" t="s">
        <v>344</v>
      </c>
      <c r="C30" t="str">
        <f t="shared" si="0"/>
        <v>CATHERINE KNIPPER</v>
      </c>
    </row>
    <row r="31" spans="1:3" ht="15" customHeight="1" x14ac:dyDescent="0.25">
      <c r="A31" s="77" t="s">
        <v>345</v>
      </c>
      <c r="B31" s="78" t="s">
        <v>302</v>
      </c>
      <c r="C31" t="str">
        <f t="shared" si="0"/>
        <v>LINDA KUS</v>
      </c>
    </row>
    <row r="32" spans="1:3" ht="15" customHeight="1" x14ac:dyDescent="0.25">
      <c r="A32" s="77" t="s">
        <v>346</v>
      </c>
      <c r="B32" s="78" t="s">
        <v>347</v>
      </c>
      <c r="C32" t="str">
        <f t="shared" si="0"/>
        <v>ANTHONY LUCARELL</v>
      </c>
    </row>
    <row r="33" spans="1:3" ht="15" customHeight="1" x14ac:dyDescent="0.25">
      <c r="A33" s="77" t="s">
        <v>346</v>
      </c>
      <c r="B33" s="78" t="s">
        <v>319</v>
      </c>
      <c r="C33" t="str">
        <f t="shared" si="0"/>
        <v>PATRICIA LUCARELL</v>
      </c>
    </row>
    <row r="34" spans="1:3" ht="15" customHeight="1" x14ac:dyDescent="0.25">
      <c r="A34" s="77" t="s">
        <v>348</v>
      </c>
      <c r="B34" s="78" t="s">
        <v>300</v>
      </c>
      <c r="C34" t="str">
        <f t="shared" si="0"/>
        <v>DONALD MAST</v>
      </c>
    </row>
    <row r="35" spans="1:3" ht="15" customHeight="1" x14ac:dyDescent="0.25">
      <c r="A35" s="77" t="s">
        <v>349</v>
      </c>
      <c r="B35" s="78" t="s">
        <v>302</v>
      </c>
      <c r="C35" t="str">
        <f t="shared" si="0"/>
        <v>LINDA MEISSNER</v>
      </c>
    </row>
    <row r="36" spans="1:3" ht="15" customHeight="1" x14ac:dyDescent="0.25">
      <c r="A36" s="77" t="s">
        <v>350</v>
      </c>
      <c r="B36" s="78" t="s">
        <v>351</v>
      </c>
      <c r="C36" t="str">
        <f t="shared" si="0"/>
        <v>JACQUELINE METZ</v>
      </c>
    </row>
    <row r="37" spans="1:3" ht="15" customHeight="1" x14ac:dyDescent="0.25">
      <c r="A37" s="77" t="s">
        <v>352</v>
      </c>
      <c r="B37" s="78" t="s">
        <v>353</v>
      </c>
      <c r="C37" t="str">
        <f t="shared" si="0"/>
        <v>JOHN MILLER</v>
      </c>
    </row>
    <row r="38" spans="1:3" ht="15" customHeight="1" x14ac:dyDescent="0.25">
      <c r="A38" s="77" t="s">
        <v>352</v>
      </c>
      <c r="B38" s="78" t="s">
        <v>302</v>
      </c>
      <c r="C38" t="str">
        <f t="shared" si="0"/>
        <v>LINDA MILLER</v>
      </c>
    </row>
    <row r="39" spans="1:3" ht="15" customHeight="1" x14ac:dyDescent="0.25">
      <c r="A39" s="77" t="s">
        <v>352</v>
      </c>
      <c r="B39" s="78" t="s">
        <v>319</v>
      </c>
      <c r="C39" t="str">
        <f t="shared" si="0"/>
        <v>PATRICIA MILLER</v>
      </c>
    </row>
    <row r="40" spans="1:3" ht="15" customHeight="1" x14ac:dyDescent="0.25">
      <c r="A40" s="77" t="s">
        <v>354</v>
      </c>
      <c r="B40" s="78" t="s">
        <v>355</v>
      </c>
      <c r="C40" t="str">
        <f t="shared" si="0"/>
        <v>WILLIAM NEVISON</v>
      </c>
    </row>
    <row r="41" spans="1:3" ht="15" customHeight="1" x14ac:dyDescent="0.25">
      <c r="A41" s="77" t="s">
        <v>356</v>
      </c>
      <c r="B41" s="78" t="s">
        <v>357</v>
      </c>
      <c r="C41" t="str">
        <f t="shared" si="0"/>
        <v>THOMAS NOVAK</v>
      </c>
    </row>
    <row r="42" spans="1:3" ht="15" customHeight="1" x14ac:dyDescent="0.25">
      <c r="A42" s="77" t="s">
        <v>358</v>
      </c>
      <c r="B42" s="78" t="s">
        <v>359</v>
      </c>
      <c r="C42" t="str">
        <f t="shared" si="0"/>
        <v>CHARLENE PICHLER</v>
      </c>
    </row>
    <row r="43" spans="1:3" ht="15" customHeight="1" x14ac:dyDescent="0.25">
      <c r="A43" s="77" t="s">
        <v>360</v>
      </c>
      <c r="B43" s="78" t="s">
        <v>361</v>
      </c>
      <c r="C43" t="str">
        <f t="shared" si="0"/>
        <v>NANCY PLAIN</v>
      </c>
    </row>
    <row r="44" spans="1:3" ht="15" customHeight="1" x14ac:dyDescent="0.25">
      <c r="A44" s="77" t="s">
        <v>362</v>
      </c>
      <c r="B44" s="78" t="s">
        <v>363</v>
      </c>
      <c r="C44" t="str">
        <f t="shared" si="0"/>
        <v>VICKI POPE</v>
      </c>
    </row>
    <row r="45" spans="1:3" ht="15" customHeight="1" x14ac:dyDescent="0.25">
      <c r="A45" s="77" t="s">
        <v>364</v>
      </c>
      <c r="B45" s="78" t="s">
        <v>365</v>
      </c>
      <c r="C45" t="str">
        <f t="shared" si="0"/>
        <v>ZENOWIJ PORCHOWSKY</v>
      </c>
    </row>
    <row r="46" spans="1:3" ht="15" customHeight="1" x14ac:dyDescent="0.25">
      <c r="A46" s="77" t="s">
        <v>366</v>
      </c>
      <c r="B46" s="78" t="s">
        <v>323</v>
      </c>
      <c r="C46" t="str">
        <f t="shared" si="0"/>
        <v>CAROL RANALDI</v>
      </c>
    </row>
    <row r="47" spans="1:3" ht="15" customHeight="1" x14ac:dyDescent="0.25">
      <c r="A47" s="77" t="s">
        <v>367</v>
      </c>
      <c r="B47" s="78" t="s">
        <v>368</v>
      </c>
      <c r="C47" t="str">
        <f t="shared" si="0"/>
        <v>CHERYL RAUSCHENBERGER</v>
      </c>
    </row>
    <row r="48" spans="1:3" ht="15" customHeight="1" x14ac:dyDescent="0.25">
      <c r="A48" s="77" t="s">
        <v>367</v>
      </c>
      <c r="B48" s="78" t="s">
        <v>369</v>
      </c>
      <c r="C48" t="str">
        <f t="shared" si="0"/>
        <v>ROGER RAUSCHENBERGER</v>
      </c>
    </row>
    <row r="49" spans="1:3" ht="15" customHeight="1" x14ac:dyDescent="0.25">
      <c r="A49" s="77" t="s">
        <v>370</v>
      </c>
      <c r="B49" s="78" t="s">
        <v>371</v>
      </c>
      <c r="C49" t="str">
        <f t="shared" si="0"/>
        <v>JAMES REGALLIS</v>
      </c>
    </row>
    <row r="50" spans="1:3" ht="15" customHeight="1" x14ac:dyDescent="0.25">
      <c r="A50" s="77" t="s">
        <v>372</v>
      </c>
      <c r="B50" s="78" t="s">
        <v>373</v>
      </c>
      <c r="C50" t="str">
        <f t="shared" si="0"/>
        <v>ANGELA ROSE</v>
      </c>
    </row>
    <row r="51" spans="1:3" ht="15" customHeight="1" x14ac:dyDescent="0.25">
      <c r="A51" s="77" t="s">
        <v>374</v>
      </c>
      <c r="B51" s="78" t="s">
        <v>375</v>
      </c>
      <c r="C51" t="str">
        <f t="shared" si="0"/>
        <v>TIFFANY ROSS</v>
      </c>
    </row>
    <row r="52" spans="1:3" ht="15" customHeight="1" x14ac:dyDescent="0.25">
      <c r="A52" s="77" t="s">
        <v>376</v>
      </c>
      <c r="B52" s="78" t="s">
        <v>377</v>
      </c>
      <c r="C52" t="str">
        <f t="shared" si="0"/>
        <v>DAYNA SCHUBKEGEL</v>
      </c>
    </row>
    <row r="53" spans="1:3" ht="15" customHeight="1" x14ac:dyDescent="0.25">
      <c r="A53" s="77" t="s">
        <v>376</v>
      </c>
      <c r="B53" s="78" t="s">
        <v>378</v>
      </c>
      <c r="C53" t="str">
        <f t="shared" si="0"/>
        <v>LELAND SCHUBKEGEL</v>
      </c>
    </row>
    <row r="54" spans="1:3" ht="15" customHeight="1" x14ac:dyDescent="0.25">
      <c r="A54" s="77" t="s">
        <v>379</v>
      </c>
      <c r="B54" s="78" t="s">
        <v>380</v>
      </c>
      <c r="C54" t="str">
        <f t="shared" si="0"/>
        <v>LARRY SHANK</v>
      </c>
    </row>
    <row r="55" spans="1:3" ht="15" customHeight="1" x14ac:dyDescent="0.25">
      <c r="A55" s="77" t="s">
        <v>379</v>
      </c>
      <c r="B55" s="78" t="s">
        <v>381</v>
      </c>
      <c r="C55" t="str">
        <f t="shared" si="0"/>
        <v>MARILYN SHANK</v>
      </c>
    </row>
    <row r="56" spans="1:3" ht="15" customHeight="1" x14ac:dyDescent="0.25">
      <c r="A56" s="77" t="s">
        <v>382</v>
      </c>
      <c r="B56" s="78" t="s">
        <v>383</v>
      </c>
      <c r="C56" t="str">
        <f t="shared" si="0"/>
        <v>DAVID SMITH</v>
      </c>
    </row>
    <row r="57" spans="1:3" ht="15" customHeight="1" x14ac:dyDescent="0.25">
      <c r="A57" s="77" t="s">
        <v>384</v>
      </c>
      <c r="B57" s="78" t="s">
        <v>385</v>
      </c>
      <c r="C57" t="str">
        <f t="shared" si="0"/>
        <v>REGENA STIFFLER</v>
      </c>
    </row>
    <row r="58" spans="1:3" ht="15" customHeight="1" x14ac:dyDescent="0.25">
      <c r="A58" s="77" t="s">
        <v>386</v>
      </c>
      <c r="B58" s="78" t="s">
        <v>387</v>
      </c>
      <c r="C58" t="str">
        <f t="shared" si="0"/>
        <v>TONI SZYMCZYK</v>
      </c>
    </row>
    <row r="59" spans="1:3" ht="15" customHeight="1" x14ac:dyDescent="0.25">
      <c r="A59" s="77" t="s">
        <v>388</v>
      </c>
      <c r="B59" s="78" t="s">
        <v>389</v>
      </c>
      <c r="C59" t="str">
        <f t="shared" si="0"/>
        <v>CHRISTOPHER TUMA</v>
      </c>
    </row>
    <row r="60" spans="1:3" ht="15" customHeight="1" x14ac:dyDescent="0.25">
      <c r="A60" s="77" t="s">
        <v>390</v>
      </c>
      <c r="B60" s="78" t="s">
        <v>323</v>
      </c>
      <c r="C60" t="str">
        <f t="shared" si="0"/>
        <v>CAROL ULASZEWSKI</v>
      </c>
    </row>
    <row r="61" spans="1:3" ht="15" customHeight="1" x14ac:dyDescent="0.25">
      <c r="A61" s="77" t="s">
        <v>391</v>
      </c>
      <c r="B61" s="78" t="s">
        <v>392</v>
      </c>
      <c r="C61" t="str">
        <f t="shared" si="0"/>
        <v>PATRICE VARZELLE</v>
      </c>
    </row>
    <row r="62" spans="1:3" ht="15" customHeight="1" x14ac:dyDescent="0.25">
      <c r="A62" s="77" t="s">
        <v>393</v>
      </c>
      <c r="B62" s="78" t="s">
        <v>325</v>
      </c>
      <c r="C62" t="str">
        <f t="shared" si="0"/>
        <v>MARY WILSON</v>
      </c>
    </row>
    <row r="63" spans="1:3" ht="15" customHeight="1" x14ac:dyDescent="0.25">
      <c r="A63" s="77" t="s">
        <v>394</v>
      </c>
      <c r="B63" s="78" t="s">
        <v>395</v>
      </c>
      <c r="C63" t="str">
        <f t="shared" si="0"/>
        <v>NADINE ZIDAR</v>
      </c>
    </row>
    <row r="64" spans="1:3" ht="15" customHeight="1" x14ac:dyDescent="0.25">
      <c r="A64" s="77" t="s">
        <v>396</v>
      </c>
      <c r="B64" s="78" t="s">
        <v>397</v>
      </c>
      <c r="C64" t="str">
        <f t="shared" si="0"/>
        <v>BONNIE ZUPKOW</v>
      </c>
    </row>
    <row r="65" spans="1:3" ht="15" customHeight="1" x14ac:dyDescent="0.25">
      <c r="A65" s="77" t="s">
        <v>398</v>
      </c>
      <c r="B65" s="78" t="s">
        <v>399</v>
      </c>
      <c r="C65" t="str">
        <f t="shared" si="0"/>
        <v>MARK ROCKWOOD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A55E-9871-4120-88AF-15089839F7FE}">
  <dimension ref="A1:X29"/>
  <sheetViews>
    <sheetView workbookViewId="0">
      <selection activeCell="K16" sqref="K16:L16"/>
    </sheetView>
  </sheetViews>
  <sheetFormatPr defaultRowHeight="15" x14ac:dyDescent="0.25"/>
  <cols>
    <col min="19" max="19" width="4.85546875" customWidth="1"/>
    <col min="20" max="20" width="2.28515625" customWidth="1"/>
    <col min="21" max="21" width="5.140625" customWidth="1"/>
    <col min="23" max="23" width="16.28515625" bestFit="1" customWidth="1"/>
    <col min="24" max="24" width="51.42578125" bestFit="1" customWidth="1"/>
  </cols>
  <sheetData>
    <row r="1" spans="1:24" x14ac:dyDescent="0.25">
      <c r="A1" s="27" t="s">
        <v>50</v>
      </c>
      <c r="B1" s="28"/>
      <c r="C1" s="29" t="s">
        <v>4</v>
      </c>
      <c r="D1" s="30"/>
      <c r="E1" s="30"/>
      <c r="F1" s="28"/>
      <c r="G1" s="6" t="s">
        <v>51</v>
      </c>
      <c r="H1" s="29" t="s">
        <v>52</v>
      </c>
      <c r="I1" s="30"/>
      <c r="J1" s="28"/>
      <c r="K1" s="29" t="s">
        <v>53</v>
      </c>
      <c r="L1" s="28"/>
      <c r="M1" s="7" t="s">
        <v>54</v>
      </c>
      <c r="N1" s="31" t="s">
        <v>55</v>
      </c>
      <c r="O1" s="32"/>
      <c r="P1" s="33"/>
      <c r="Q1" s="7" t="s">
        <v>56</v>
      </c>
      <c r="R1" s="7" t="s">
        <v>57</v>
      </c>
      <c r="S1" s="31" t="s">
        <v>58</v>
      </c>
      <c r="T1" s="32"/>
      <c r="U1" s="33"/>
      <c r="V1" s="7" t="s">
        <v>59</v>
      </c>
    </row>
    <row r="2" spans="1:24" x14ac:dyDescent="0.25">
      <c r="A2" s="20" t="s">
        <v>60</v>
      </c>
      <c r="B2" s="17"/>
      <c r="C2" s="21" t="s">
        <v>61</v>
      </c>
      <c r="D2" s="16"/>
      <c r="E2" s="16"/>
      <c r="F2" s="17"/>
      <c r="G2" s="8" t="s">
        <v>10</v>
      </c>
      <c r="H2" s="22" t="s">
        <v>11</v>
      </c>
      <c r="I2" s="16"/>
      <c r="J2" s="17"/>
      <c r="K2" s="22" t="s">
        <v>62</v>
      </c>
      <c r="L2" s="17"/>
      <c r="M2" s="8" t="s">
        <v>63</v>
      </c>
      <c r="N2" s="23">
        <v>50</v>
      </c>
      <c r="O2" s="16"/>
      <c r="P2" s="17"/>
      <c r="Q2" s="8">
        <v>0</v>
      </c>
      <c r="R2" s="8">
        <v>0</v>
      </c>
      <c r="S2" s="15">
        <v>0</v>
      </c>
      <c r="T2" s="16"/>
      <c r="U2" s="17"/>
      <c r="V2" s="9">
        <v>50</v>
      </c>
      <c r="W2" t="s">
        <v>226</v>
      </c>
      <c r="X2" t="str">
        <f>CONCATENATE(W2," ",A2," ",C2)</f>
        <v xml:space="preserve">Summa Care HRA BANKOVICH, BARBARA J A9003119500 </v>
      </c>
    </row>
    <row r="3" spans="1:24" x14ac:dyDescent="0.25">
      <c r="A3" s="20" t="s">
        <v>64</v>
      </c>
      <c r="B3" s="17"/>
      <c r="C3" s="21" t="s">
        <v>65</v>
      </c>
      <c r="D3" s="16"/>
      <c r="E3" s="16"/>
      <c r="F3" s="17"/>
      <c r="G3" s="8" t="s">
        <v>10</v>
      </c>
      <c r="H3" s="22" t="s">
        <v>11</v>
      </c>
      <c r="I3" s="16"/>
      <c r="J3" s="17"/>
      <c r="K3" s="22" t="s">
        <v>62</v>
      </c>
      <c r="L3" s="17"/>
      <c r="M3" s="8" t="s">
        <v>63</v>
      </c>
      <c r="N3" s="23">
        <v>50</v>
      </c>
      <c r="O3" s="16"/>
      <c r="P3" s="17"/>
      <c r="Q3" s="8">
        <v>0</v>
      </c>
      <c r="R3" s="8">
        <v>0</v>
      </c>
      <c r="S3" s="15">
        <v>0</v>
      </c>
      <c r="T3" s="16"/>
      <c r="U3" s="17"/>
      <c r="V3" s="9">
        <v>50</v>
      </c>
      <c r="W3" t="s">
        <v>226</v>
      </c>
      <c r="X3" t="str">
        <f t="shared" ref="X3:X29" si="0">CONCATENATE(W3," ",A3," ",C3)</f>
        <v xml:space="preserve">Summa Care HRA BANKOVICH, PAUL W A9003119400 </v>
      </c>
    </row>
    <row r="4" spans="1:24" x14ac:dyDescent="0.25">
      <c r="A4" s="20" t="s">
        <v>66</v>
      </c>
      <c r="B4" s="17"/>
      <c r="C4" s="21" t="s">
        <v>67</v>
      </c>
      <c r="D4" s="16"/>
      <c r="E4" s="16"/>
      <c r="F4" s="17"/>
      <c r="G4" s="8" t="s">
        <v>10</v>
      </c>
      <c r="H4" s="22" t="s">
        <v>11</v>
      </c>
      <c r="I4" s="16"/>
      <c r="J4" s="17"/>
      <c r="K4" s="22" t="s">
        <v>68</v>
      </c>
      <c r="L4" s="17"/>
      <c r="M4" s="8" t="s">
        <v>63</v>
      </c>
      <c r="N4" s="23">
        <v>50</v>
      </c>
      <c r="O4" s="16"/>
      <c r="P4" s="17"/>
      <c r="Q4" s="8">
        <v>0</v>
      </c>
      <c r="R4" s="8">
        <v>0</v>
      </c>
      <c r="S4" s="15">
        <v>0</v>
      </c>
      <c r="T4" s="16"/>
      <c r="U4" s="17"/>
      <c r="V4" s="9">
        <v>50</v>
      </c>
      <c r="W4" t="s">
        <v>226</v>
      </c>
      <c r="X4" t="str">
        <f t="shared" si="0"/>
        <v xml:space="preserve">Summa Care HRA BOYER, DONALD E A9003018500 </v>
      </c>
    </row>
    <row r="5" spans="1:24" x14ac:dyDescent="0.25">
      <c r="A5" s="20" t="s">
        <v>69</v>
      </c>
      <c r="B5" s="17"/>
      <c r="C5" s="21" t="s">
        <v>70</v>
      </c>
      <c r="D5" s="16"/>
      <c r="E5" s="16"/>
      <c r="F5" s="17"/>
      <c r="G5" s="8" t="s">
        <v>10</v>
      </c>
      <c r="H5" s="22" t="s">
        <v>11</v>
      </c>
      <c r="I5" s="16"/>
      <c r="J5" s="17"/>
      <c r="K5" s="22" t="s">
        <v>71</v>
      </c>
      <c r="L5" s="17"/>
      <c r="M5" s="8" t="s">
        <v>63</v>
      </c>
      <c r="N5" s="23">
        <v>50</v>
      </c>
      <c r="O5" s="16"/>
      <c r="P5" s="17"/>
      <c r="Q5" s="8">
        <v>0</v>
      </c>
      <c r="R5" s="8">
        <v>0</v>
      </c>
      <c r="S5" s="15">
        <v>0</v>
      </c>
      <c r="T5" s="16"/>
      <c r="U5" s="17"/>
      <c r="V5" s="9">
        <v>50</v>
      </c>
      <c r="W5" t="s">
        <v>226</v>
      </c>
      <c r="X5" t="str">
        <f t="shared" si="0"/>
        <v xml:space="preserve">Summa Care HRA BUGNO, COLLEEN  A9003203200 </v>
      </c>
    </row>
    <row r="6" spans="1:24" x14ac:dyDescent="0.25">
      <c r="A6" s="20" t="s">
        <v>72</v>
      </c>
      <c r="B6" s="17"/>
      <c r="C6" s="21" t="s">
        <v>73</v>
      </c>
      <c r="D6" s="16"/>
      <c r="E6" s="16"/>
      <c r="F6" s="17"/>
      <c r="G6" s="8" t="s">
        <v>10</v>
      </c>
      <c r="H6" s="22" t="s">
        <v>11</v>
      </c>
      <c r="I6" s="16"/>
      <c r="J6" s="17"/>
      <c r="K6" s="22" t="s">
        <v>74</v>
      </c>
      <c r="L6" s="17"/>
      <c r="M6" s="8" t="s">
        <v>63</v>
      </c>
      <c r="N6" s="23">
        <v>50</v>
      </c>
      <c r="O6" s="16"/>
      <c r="P6" s="17"/>
      <c r="Q6" s="8">
        <v>0</v>
      </c>
      <c r="R6" s="8">
        <v>0</v>
      </c>
      <c r="S6" s="15">
        <v>0</v>
      </c>
      <c r="T6" s="16"/>
      <c r="U6" s="17"/>
      <c r="V6" s="9">
        <v>50</v>
      </c>
      <c r="W6" t="s">
        <v>226</v>
      </c>
      <c r="X6" t="str">
        <f t="shared" si="0"/>
        <v xml:space="preserve">Summa Care HRA CVICELA, MARIA  A9003158500 </v>
      </c>
    </row>
    <row r="7" spans="1:24" x14ac:dyDescent="0.25">
      <c r="A7" s="20" t="s">
        <v>75</v>
      </c>
      <c r="B7" s="17"/>
      <c r="C7" s="21" t="s">
        <v>76</v>
      </c>
      <c r="D7" s="16"/>
      <c r="E7" s="16"/>
      <c r="F7" s="17"/>
      <c r="G7" s="8" t="s">
        <v>10</v>
      </c>
      <c r="H7" s="22" t="s">
        <v>11</v>
      </c>
      <c r="I7" s="16"/>
      <c r="J7" s="17"/>
      <c r="K7" s="22" t="s">
        <v>74</v>
      </c>
      <c r="L7" s="17"/>
      <c r="M7" s="8" t="s">
        <v>63</v>
      </c>
      <c r="N7" s="23">
        <v>50</v>
      </c>
      <c r="O7" s="16"/>
      <c r="P7" s="17"/>
      <c r="Q7" s="8">
        <v>0</v>
      </c>
      <c r="R7" s="8">
        <v>0</v>
      </c>
      <c r="S7" s="15">
        <v>0</v>
      </c>
      <c r="T7" s="16"/>
      <c r="U7" s="17"/>
      <c r="V7" s="9">
        <v>50</v>
      </c>
      <c r="W7" t="s">
        <v>226</v>
      </c>
      <c r="X7" t="str">
        <f t="shared" si="0"/>
        <v xml:space="preserve">Summa Care HRA CVICELA, VLADIMIR  A9003158700 </v>
      </c>
    </row>
    <row r="8" spans="1:24" x14ac:dyDescent="0.25">
      <c r="A8" s="20" t="s">
        <v>77</v>
      </c>
      <c r="B8" s="17"/>
      <c r="C8" s="21" t="s">
        <v>78</v>
      </c>
      <c r="D8" s="16"/>
      <c r="E8" s="16"/>
      <c r="F8" s="17"/>
      <c r="G8" s="8" t="s">
        <v>10</v>
      </c>
      <c r="H8" s="22" t="s">
        <v>11</v>
      </c>
      <c r="I8" s="16"/>
      <c r="J8" s="17"/>
      <c r="K8" s="22" t="s">
        <v>79</v>
      </c>
      <c r="L8" s="17"/>
      <c r="M8" s="8" t="s">
        <v>63</v>
      </c>
      <c r="N8" s="23">
        <v>50</v>
      </c>
      <c r="O8" s="16"/>
      <c r="P8" s="17"/>
      <c r="Q8" s="8">
        <v>0</v>
      </c>
      <c r="R8" s="8">
        <v>0</v>
      </c>
      <c r="S8" s="15">
        <v>0</v>
      </c>
      <c r="T8" s="16"/>
      <c r="U8" s="17"/>
      <c r="V8" s="9">
        <v>50</v>
      </c>
      <c r="W8" t="s">
        <v>226</v>
      </c>
      <c r="X8" t="str">
        <f t="shared" si="0"/>
        <v xml:space="preserve">Summa Care HRA DAVIS, DEBORAH L A9001490300 </v>
      </c>
    </row>
    <row r="9" spans="1:24" x14ac:dyDescent="0.25">
      <c r="A9" s="20" t="s">
        <v>80</v>
      </c>
      <c r="B9" s="17"/>
      <c r="C9" s="21" t="s">
        <v>81</v>
      </c>
      <c r="D9" s="16"/>
      <c r="E9" s="16"/>
      <c r="F9" s="17"/>
      <c r="G9" s="8" t="s">
        <v>10</v>
      </c>
      <c r="H9" s="22" t="s">
        <v>11</v>
      </c>
      <c r="I9" s="16"/>
      <c r="J9" s="17"/>
      <c r="K9" s="22" t="s">
        <v>79</v>
      </c>
      <c r="L9" s="17"/>
      <c r="M9" s="8" t="s">
        <v>63</v>
      </c>
      <c r="N9" s="23">
        <v>50</v>
      </c>
      <c r="O9" s="16"/>
      <c r="P9" s="17"/>
      <c r="Q9" s="8">
        <v>0</v>
      </c>
      <c r="R9" s="8">
        <v>0</v>
      </c>
      <c r="S9" s="15">
        <v>0</v>
      </c>
      <c r="T9" s="16"/>
      <c r="U9" s="17"/>
      <c r="V9" s="9">
        <v>50</v>
      </c>
      <c r="W9" t="s">
        <v>226</v>
      </c>
      <c r="X9" t="str">
        <f t="shared" si="0"/>
        <v xml:space="preserve">Summa Care HRA DAVIS, JERROLD C A9001105800 </v>
      </c>
    </row>
    <row r="10" spans="1:24" x14ac:dyDescent="0.25">
      <c r="A10" s="20" t="s">
        <v>82</v>
      </c>
      <c r="B10" s="17"/>
      <c r="C10" s="21" t="s">
        <v>83</v>
      </c>
      <c r="D10" s="16"/>
      <c r="E10" s="16"/>
      <c r="F10" s="17"/>
      <c r="G10" s="8" t="s">
        <v>10</v>
      </c>
      <c r="H10" s="22" t="s">
        <v>11</v>
      </c>
      <c r="I10" s="16"/>
      <c r="J10" s="17"/>
      <c r="K10" s="22" t="s">
        <v>68</v>
      </c>
      <c r="L10" s="17"/>
      <c r="M10" s="8" t="s">
        <v>63</v>
      </c>
      <c r="N10" s="23">
        <v>50</v>
      </c>
      <c r="O10" s="16"/>
      <c r="P10" s="17"/>
      <c r="Q10" s="8">
        <v>0</v>
      </c>
      <c r="R10" s="8">
        <v>0</v>
      </c>
      <c r="S10" s="15">
        <v>0</v>
      </c>
      <c r="T10" s="16"/>
      <c r="U10" s="17"/>
      <c r="V10" s="9">
        <v>50</v>
      </c>
      <c r="W10" t="s">
        <v>226</v>
      </c>
      <c r="X10" t="str">
        <f t="shared" si="0"/>
        <v xml:space="preserve">Summa Care HRA DECROW, LYNN J A9003019100 </v>
      </c>
    </row>
    <row r="11" spans="1:24" x14ac:dyDescent="0.25">
      <c r="A11" s="20" t="s">
        <v>84</v>
      </c>
      <c r="B11" s="17"/>
      <c r="C11" s="21" t="s">
        <v>85</v>
      </c>
      <c r="D11" s="16"/>
      <c r="E11" s="16"/>
      <c r="F11" s="17"/>
      <c r="G11" s="8" t="s">
        <v>10</v>
      </c>
      <c r="H11" s="22" t="s">
        <v>11</v>
      </c>
      <c r="I11" s="16"/>
      <c r="J11" s="17"/>
      <c r="K11" s="22" t="s">
        <v>74</v>
      </c>
      <c r="L11" s="17"/>
      <c r="M11" s="8" t="s">
        <v>63</v>
      </c>
      <c r="N11" s="23">
        <v>50</v>
      </c>
      <c r="O11" s="16"/>
      <c r="P11" s="17"/>
      <c r="Q11" s="8">
        <v>0</v>
      </c>
      <c r="R11" s="8">
        <v>0</v>
      </c>
      <c r="S11" s="15">
        <v>0</v>
      </c>
      <c r="T11" s="16"/>
      <c r="U11" s="17"/>
      <c r="V11" s="9">
        <v>50</v>
      </c>
      <c r="W11" t="s">
        <v>226</v>
      </c>
      <c r="X11" t="str">
        <f t="shared" si="0"/>
        <v xml:space="preserve">Summa Care HRA DEMMA, KAREN M A9003154700 </v>
      </c>
    </row>
    <row r="12" spans="1:24" x14ac:dyDescent="0.25">
      <c r="A12" s="20" t="s">
        <v>86</v>
      </c>
      <c r="B12" s="17"/>
      <c r="C12" s="21" t="s">
        <v>87</v>
      </c>
      <c r="D12" s="16"/>
      <c r="E12" s="16"/>
      <c r="F12" s="17"/>
      <c r="G12" s="8" t="s">
        <v>10</v>
      </c>
      <c r="H12" s="22" t="s">
        <v>11</v>
      </c>
      <c r="I12" s="16"/>
      <c r="J12" s="17"/>
      <c r="K12" s="22" t="s">
        <v>88</v>
      </c>
      <c r="L12" s="17"/>
      <c r="M12" s="8" t="s">
        <v>63</v>
      </c>
      <c r="N12" s="23">
        <v>50</v>
      </c>
      <c r="O12" s="16"/>
      <c r="P12" s="17"/>
      <c r="Q12" s="8">
        <v>0</v>
      </c>
      <c r="R12" s="8">
        <v>0</v>
      </c>
      <c r="S12" s="15">
        <v>0</v>
      </c>
      <c r="T12" s="16"/>
      <c r="U12" s="17"/>
      <c r="V12" s="9">
        <v>50</v>
      </c>
      <c r="W12" t="s">
        <v>226</v>
      </c>
      <c r="X12" t="str">
        <f t="shared" si="0"/>
        <v xml:space="preserve">Summa Care HRA FORD, BARBARA A A9003186100 </v>
      </c>
    </row>
    <row r="13" spans="1:24" x14ac:dyDescent="0.25">
      <c r="A13" s="20" t="s">
        <v>89</v>
      </c>
      <c r="B13" s="17"/>
      <c r="C13" s="21" t="s">
        <v>90</v>
      </c>
      <c r="D13" s="16"/>
      <c r="E13" s="16"/>
      <c r="F13" s="17"/>
      <c r="G13" s="8" t="s">
        <v>10</v>
      </c>
      <c r="H13" s="22" t="s">
        <v>11</v>
      </c>
      <c r="I13" s="16"/>
      <c r="J13" s="17"/>
      <c r="K13" s="22" t="s">
        <v>91</v>
      </c>
      <c r="L13" s="17"/>
      <c r="M13" s="8" t="s">
        <v>63</v>
      </c>
      <c r="N13" s="23">
        <v>50</v>
      </c>
      <c r="O13" s="16"/>
      <c r="P13" s="17"/>
      <c r="Q13" s="8">
        <v>0</v>
      </c>
      <c r="R13" s="8">
        <v>0</v>
      </c>
      <c r="S13" s="15">
        <v>0</v>
      </c>
      <c r="T13" s="16"/>
      <c r="U13" s="17"/>
      <c r="V13" s="9">
        <v>50</v>
      </c>
      <c r="W13" t="s">
        <v>226</v>
      </c>
      <c r="X13" t="str">
        <f t="shared" si="0"/>
        <v xml:space="preserve">Summa Care HRA GARNICA, MARY J A9002953500 </v>
      </c>
    </row>
    <row r="14" spans="1:24" x14ac:dyDescent="0.25">
      <c r="A14" s="20" t="s">
        <v>92</v>
      </c>
      <c r="B14" s="17"/>
      <c r="C14" s="21" t="s">
        <v>93</v>
      </c>
      <c r="D14" s="16"/>
      <c r="E14" s="16"/>
      <c r="F14" s="17"/>
      <c r="G14" s="8" t="s">
        <v>10</v>
      </c>
      <c r="H14" s="22" t="s">
        <v>11</v>
      </c>
      <c r="I14" s="16"/>
      <c r="J14" s="17"/>
      <c r="K14" s="22" t="s">
        <v>68</v>
      </c>
      <c r="L14" s="17"/>
      <c r="M14" s="8" t="s">
        <v>63</v>
      </c>
      <c r="N14" s="23">
        <v>50</v>
      </c>
      <c r="O14" s="16"/>
      <c r="P14" s="17"/>
      <c r="Q14" s="8">
        <v>0</v>
      </c>
      <c r="R14" s="8">
        <v>0</v>
      </c>
      <c r="S14" s="15">
        <v>0</v>
      </c>
      <c r="T14" s="16"/>
      <c r="U14" s="17"/>
      <c r="V14" s="9">
        <v>50</v>
      </c>
      <c r="W14" t="s">
        <v>226</v>
      </c>
      <c r="X14" t="str">
        <f t="shared" si="0"/>
        <v xml:space="preserve">Summa Care HRA GLASSER, GEORGETTE M A9003014200 </v>
      </c>
    </row>
    <row r="15" spans="1:24" x14ac:dyDescent="0.25">
      <c r="A15" s="20" t="s">
        <v>94</v>
      </c>
      <c r="B15" s="17"/>
      <c r="C15" s="21" t="s">
        <v>95</v>
      </c>
      <c r="D15" s="16"/>
      <c r="E15" s="16"/>
      <c r="F15" s="17"/>
      <c r="G15" s="8" t="s">
        <v>10</v>
      </c>
      <c r="H15" s="22" t="s">
        <v>11</v>
      </c>
      <c r="I15" s="16"/>
      <c r="J15" s="17"/>
      <c r="K15" s="22" t="s">
        <v>79</v>
      </c>
      <c r="L15" s="17"/>
      <c r="M15" s="8" t="s">
        <v>63</v>
      </c>
      <c r="N15" s="23">
        <v>50</v>
      </c>
      <c r="O15" s="16"/>
      <c r="P15" s="17"/>
      <c r="Q15" s="8">
        <v>0</v>
      </c>
      <c r="R15" s="8">
        <v>0</v>
      </c>
      <c r="S15" s="15">
        <v>0</v>
      </c>
      <c r="T15" s="16"/>
      <c r="U15" s="17"/>
      <c r="V15" s="9">
        <v>50</v>
      </c>
      <c r="W15" t="s">
        <v>226</v>
      </c>
      <c r="X15" t="str">
        <f t="shared" si="0"/>
        <v xml:space="preserve">Summa Care HRA HEINEY, KEVIN L A9002985400 </v>
      </c>
    </row>
    <row r="16" spans="1:24" x14ac:dyDescent="0.25">
      <c r="A16" s="20" t="s">
        <v>96</v>
      </c>
      <c r="B16" s="17"/>
      <c r="C16" s="21" t="s">
        <v>97</v>
      </c>
      <c r="D16" s="16"/>
      <c r="E16" s="16"/>
      <c r="F16" s="17"/>
      <c r="G16" s="8" t="s">
        <v>10</v>
      </c>
      <c r="H16" s="22" t="s">
        <v>11</v>
      </c>
      <c r="I16" s="16"/>
      <c r="J16" s="17"/>
      <c r="K16" s="22" t="s">
        <v>79</v>
      </c>
      <c r="L16" s="17"/>
      <c r="M16" s="8" t="s">
        <v>63</v>
      </c>
      <c r="N16" s="23">
        <v>50</v>
      </c>
      <c r="O16" s="16"/>
      <c r="P16" s="17"/>
      <c r="Q16" s="8">
        <v>0</v>
      </c>
      <c r="R16" s="8">
        <v>0</v>
      </c>
      <c r="S16" s="15">
        <v>0</v>
      </c>
      <c r="T16" s="16"/>
      <c r="U16" s="17"/>
      <c r="V16" s="9">
        <v>50</v>
      </c>
      <c r="W16" t="s">
        <v>226</v>
      </c>
      <c r="X16" t="str">
        <f t="shared" si="0"/>
        <v xml:space="preserve">Summa Care HRA HEINEY, REBECCA L A9002985200 </v>
      </c>
    </row>
    <row r="17" spans="1:24" x14ac:dyDescent="0.25">
      <c r="A17" s="20" t="s">
        <v>98</v>
      </c>
      <c r="B17" s="17"/>
      <c r="C17" s="21" t="s">
        <v>99</v>
      </c>
      <c r="D17" s="16"/>
      <c r="E17" s="16"/>
      <c r="F17" s="17"/>
      <c r="G17" s="8" t="s">
        <v>10</v>
      </c>
      <c r="H17" s="22" t="s">
        <v>11</v>
      </c>
      <c r="I17" s="16"/>
      <c r="J17" s="17"/>
      <c r="K17" s="22" t="s">
        <v>100</v>
      </c>
      <c r="L17" s="17"/>
      <c r="M17" s="8" t="s">
        <v>63</v>
      </c>
      <c r="N17" s="23">
        <v>50</v>
      </c>
      <c r="O17" s="16"/>
      <c r="P17" s="17"/>
      <c r="Q17" s="8">
        <v>0</v>
      </c>
      <c r="R17" s="8">
        <v>0</v>
      </c>
      <c r="S17" s="15">
        <v>0</v>
      </c>
      <c r="T17" s="16"/>
      <c r="U17" s="17"/>
      <c r="V17" s="9">
        <v>50</v>
      </c>
      <c r="W17" t="s">
        <v>226</v>
      </c>
      <c r="X17" t="str">
        <f t="shared" si="0"/>
        <v xml:space="preserve">Summa Care HRA HUSZAI, DIANE M A9003142900 </v>
      </c>
    </row>
    <row r="18" spans="1:24" x14ac:dyDescent="0.25">
      <c r="A18" s="20" t="s">
        <v>101</v>
      </c>
      <c r="B18" s="17"/>
      <c r="C18" s="21" t="s">
        <v>102</v>
      </c>
      <c r="D18" s="16"/>
      <c r="E18" s="16"/>
      <c r="F18" s="17"/>
      <c r="G18" s="8" t="s">
        <v>10</v>
      </c>
      <c r="H18" s="22" t="s">
        <v>11</v>
      </c>
      <c r="I18" s="16"/>
      <c r="J18" s="17"/>
      <c r="K18" s="22" t="s">
        <v>74</v>
      </c>
      <c r="L18" s="17"/>
      <c r="M18" s="8" t="s">
        <v>63</v>
      </c>
      <c r="N18" s="23">
        <v>50</v>
      </c>
      <c r="O18" s="16"/>
      <c r="P18" s="17"/>
      <c r="Q18" s="8">
        <v>0</v>
      </c>
      <c r="R18" s="8">
        <v>0</v>
      </c>
      <c r="S18" s="15">
        <v>0</v>
      </c>
      <c r="T18" s="16"/>
      <c r="U18" s="17"/>
      <c r="V18" s="9">
        <v>50</v>
      </c>
      <c r="W18" t="s">
        <v>226</v>
      </c>
      <c r="X18" t="str">
        <f t="shared" si="0"/>
        <v xml:space="preserve">Summa Care HRA KAPAROFF, PAUL T A9003161700 </v>
      </c>
    </row>
    <row r="19" spans="1:24" x14ac:dyDescent="0.25">
      <c r="A19" s="20" t="s">
        <v>103</v>
      </c>
      <c r="B19" s="17"/>
      <c r="C19" s="21" t="s">
        <v>104</v>
      </c>
      <c r="D19" s="16"/>
      <c r="E19" s="16"/>
      <c r="F19" s="17"/>
      <c r="G19" s="8" t="s">
        <v>10</v>
      </c>
      <c r="H19" s="22" t="s">
        <v>11</v>
      </c>
      <c r="I19" s="16"/>
      <c r="J19" s="17"/>
      <c r="K19" s="22" t="s">
        <v>100</v>
      </c>
      <c r="L19" s="17"/>
      <c r="M19" s="8" t="s">
        <v>63</v>
      </c>
      <c r="N19" s="23">
        <v>50</v>
      </c>
      <c r="O19" s="16"/>
      <c r="P19" s="17"/>
      <c r="Q19" s="8">
        <v>0</v>
      </c>
      <c r="R19" s="8">
        <v>0</v>
      </c>
      <c r="S19" s="15">
        <v>0</v>
      </c>
      <c r="T19" s="16"/>
      <c r="U19" s="17"/>
      <c r="V19" s="9">
        <v>50</v>
      </c>
      <c r="W19" t="s">
        <v>226</v>
      </c>
      <c r="X19" t="str">
        <f t="shared" si="0"/>
        <v xml:space="preserve">Summa Care HRA MEISSNER, LINDA M A9003137200 </v>
      </c>
    </row>
    <row r="20" spans="1:24" x14ac:dyDescent="0.25">
      <c r="A20" s="20" t="s">
        <v>105</v>
      </c>
      <c r="B20" s="17"/>
      <c r="C20" s="21" t="s">
        <v>106</v>
      </c>
      <c r="D20" s="16"/>
      <c r="E20" s="16"/>
      <c r="F20" s="17"/>
      <c r="G20" s="8" t="s">
        <v>10</v>
      </c>
      <c r="H20" s="22" t="s">
        <v>11</v>
      </c>
      <c r="I20" s="16"/>
      <c r="J20" s="17"/>
      <c r="K20" s="22" t="s">
        <v>107</v>
      </c>
      <c r="L20" s="17"/>
      <c r="M20" s="8" t="s">
        <v>63</v>
      </c>
      <c r="N20" s="23">
        <v>50</v>
      </c>
      <c r="O20" s="16"/>
      <c r="P20" s="17"/>
      <c r="Q20" s="8">
        <v>0</v>
      </c>
      <c r="R20" s="8">
        <v>0</v>
      </c>
      <c r="S20" s="15">
        <v>0</v>
      </c>
      <c r="T20" s="16"/>
      <c r="U20" s="17"/>
      <c r="V20" s="9">
        <v>50</v>
      </c>
      <c r="W20" t="s">
        <v>226</v>
      </c>
      <c r="X20" t="str">
        <f t="shared" si="0"/>
        <v xml:space="preserve">Summa Care HRA METZ, JACQUELINE A A9003040400 </v>
      </c>
    </row>
    <row r="21" spans="1:24" x14ac:dyDescent="0.25">
      <c r="A21" s="20" t="s">
        <v>108</v>
      </c>
      <c r="B21" s="17"/>
      <c r="C21" s="21" t="s">
        <v>109</v>
      </c>
      <c r="D21" s="16"/>
      <c r="E21" s="16"/>
      <c r="F21" s="17"/>
      <c r="G21" s="8" t="s">
        <v>10</v>
      </c>
      <c r="H21" s="22" t="s">
        <v>11</v>
      </c>
      <c r="I21" s="16"/>
      <c r="J21" s="17"/>
      <c r="K21" s="22" t="s">
        <v>79</v>
      </c>
      <c r="L21" s="17"/>
      <c r="M21" s="8" t="s">
        <v>63</v>
      </c>
      <c r="N21" s="23">
        <v>50</v>
      </c>
      <c r="O21" s="16"/>
      <c r="P21" s="17"/>
      <c r="Q21" s="8">
        <v>0</v>
      </c>
      <c r="R21" s="8">
        <v>0</v>
      </c>
      <c r="S21" s="15">
        <v>0</v>
      </c>
      <c r="T21" s="16"/>
      <c r="U21" s="17"/>
      <c r="V21" s="9">
        <v>50</v>
      </c>
      <c r="W21" t="s">
        <v>226</v>
      </c>
      <c r="X21" t="str">
        <f t="shared" si="0"/>
        <v xml:space="preserve">Summa Care HRA ROCKWOOD, MARK A A9002985000 </v>
      </c>
    </row>
    <row r="22" spans="1:24" x14ac:dyDescent="0.25">
      <c r="A22" s="20" t="s">
        <v>110</v>
      </c>
      <c r="B22" s="17"/>
      <c r="C22" s="21" t="s">
        <v>111</v>
      </c>
      <c r="D22" s="16"/>
      <c r="E22" s="16"/>
      <c r="F22" s="17"/>
      <c r="G22" s="8" t="s">
        <v>10</v>
      </c>
      <c r="H22" s="22" t="s">
        <v>11</v>
      </c>
      <c r="I22" s="16"/>
      <c r="J22" s="17"/>
      <c r="K22" s="22" t="s">
        <v>91</v>
      </c>
      <c r="L22" s="17"/>
      <c r="M22" s="8" t="s">
        <v>63</v>
      </c>
      <c r="N22" s="23">
        <v>50</v>
      </c>
      <c r="O22" s="16"/>
      <c r="P22" s="17"/>
      <c r="Q22" s="8">
        <v>0</v>
      </c>
      <c r="R22" s="8">
        <v>0</v>
      </c>
      <c r="S22" s="15">
        <v>0</v>
      </c>
      <c r="T22" s="16"/>
      <c r="U22" s="17"/>
      <c r="V22" s="9">
        <v>50</v>
      </c>
      <c r="W22" t="s">
        <v>226</v>
      </c>
      <c r="X22" t="str">
        <f t="shared" si="0"/>
        <v xml:space="preserve">Summa Care HRA ROSE, ANGELA E A9002947800 </v>
      </c>
    </row>
    <row r="23" spans="1:24" x14ac:dyDescent="0.25">
      <c r="A23" s="20" t="s">
        <v>112</v>
      </c>
      <c r="B23" s="17"/>
      <c r="C23" s="21" t="s">
        <v>113</v>
      </c>
      <c r="D23" s="16"/>
      <c r="E23" s="16"/>
      <c r="F23" s="17"/>
      <c r="G23" s="8" t="s">
        <v>10</v>
      </c>
      <c r="H23" s="22" t="s">
        <v>11</v>
      </c>
      <c r="I23" s="16"/>
      <c r="J23" s="17"/>
      <c r="K23" s="22" t="s">
        <v>114</v>
      </c>
      <c r="L23" s="17"/>
      <c r="M23" s="8" t="s">
        <v>63</v>
      </c>
      <c r="N23" s="23">
        <v>50</v>
      </c>
      <c r="O23" s="16"/>
      <c r="P23" s="17"/>
      <c r="Q23" s="8">
        <v>0</v>
      </c>
      <c r="R23" s="8">
        <v>0</v>
      </c>
      <c r="S23" s="15">
        <v>0</v>
      </c>
      <c r="T23" s="16"/>
      <c r="U23" s="17"/>
      <c r="V23" s="9">
        <v>50</v>
      </c>
      <c r="W23" t="s">
        <v>226</v>
      </c>
      <c r="X23" t="str">
        <f t="shared" si="0"/>
        <v xml:space="preserve">Summa Care HRA SCHUBKEGEL, DAYNA  A9002973700 </v>
      </c>
    </row>
    <row r="24" spans="1:24" x14ac:dyDescent="0.25">
      <c r="A24" s="20" t="s">
        <v>115</v>
      </c>
      <c r="B24" s="17"/>
      <c r="C24" s="21" t="s">
        <v>116</v>
      </c>
      <c r="D24" s="16"/>
      <c r="E24" s="16"/>
      <c r="F24" s="17"/>
      <c r="G24" s="8" t="s">
        <v>10</v>
      </c>
      <c r="H24" s="22" t="s">
        <v>11</v>
      </c>
      <c r="I24" s="16"/>
      <c r="J24" s="17"/>
      <c r="K24" s="22" t="s">
        <v>114</v>
      </c>
      <c r="L24" s="17"/>
      <c r="M24" s="8" t="s">
        <v>63</v>
      </c>
      <c r="N24" s="23">
        <v>50</v>
      </c>
      <c r="O24" s="16"/>
      <c r="P24" s="17"/>
      <c r="Q24" s="8">
        <v>0</v>
      </c>
      <c r="R24" s="8">
        <v>0</v>
      </c>
      <c r="S24" s="15">
        <v>0</v>
      </c>
      <c r="T24" s="16"/>
      <c r="U24" s="17"/>
      <c r="V24" s="9">
        <v>50</v>
      </c>
      <c r="W24" t="s">
        <v>226</v>
      </c>
      <c r="X24" t="str">
        <f t="shared" si="0"/>
        <v xml:space="preserve">Summa Care HRA SCHUBKEGEL, LELAND  A9002974000 </v>
      </c>
    </row>
    <row r="25" spans="1:24" x14ac:dyDescent="0.25">
      <c r="A25" s="20" t="s">
        <v>117</v>
      </c>
      <c r="B25" s="17"/>
      <c r="C25" s="21" t="s">
        <v>118</v>
      </c>
      <c r="D25" s="16"/>
      <c r="E25" s="16"/>
      <c r="F25" s="17"/>
      <c r="G25" s="8" t="s">
        <v>10</v>
      </c>
      <c r="H25" s="22" t="s">
        <v>11</v>
      </c>
      <c r="I25" s="16"/>
      <c r="J25" s="17"/>
      <c r="K25" s="22" t="s">
        <v>107</v>
      </c>
      <c r="L25" s="17"/>
      <c r="M25" s="8" t="s">
        <v>63</v>
      </c>
      <c r="N25" s="23">
        <v>50</v>
      </c>
      <c r="O25" s="16"/>
      <c r="P25" s="17"/>
      <c r="Q25" s="8">
        <v>0</v>
      </c>
      <c r="R25" s="8">
        <v>0</v>
      </c>
      <c r="S25" s="15">
        <v>0</v>
      </c>
      <c r="T25" s="16"/>
      <c r="U25" s="17"/>
      <c r="V25" s="9">
        <v>50</v>
      </c>
      <c r="W25" t="s">
        <v>226</v>
      </c>
      <c r="X25" t="str">
        <f t="shared" si="0"/>
        <v xml:space="preserve">Summa Care HRA SHANK, LARRY L A9003046200 </v>
      </c>
    </row>
    <row r="26" spans="1:24" x14ac:dyDescent="0.25">
      <c r="A26" s="20" t="s">
        <v>119</v>
      </c>
      <c r="B26" s="17"/>
      <c r="C26" s="21" t="s">
        <v>120</v>
      </c>
      <c r="D26" s="16"/>
      <c r="E26" s="16"/>
      <c r="F26" s="17"/>
      <c r="G26" s="8" t="s">
        <v>10</v>
      </c>
      <c r="H26" s="22" t="s">
        <v>11</v>
      </c>
      <c r="I26" s="16"/>
      <c r="J26" s="17"/>
      <c r="K26" s="22" t="s">
        <v>107</v>
      </c>
      <c r="L26" s="17"/>
      <c r="M26" s="8" t="s">
        <v>63</v>
      </c>
      <c r="N26" s="23">
        <v>50</v>
      </c>
      <c r="O26" s="16"/>
      <c r="P26" s="17"/>
      <c r="Q26" s="8">
        <v>0</v>
      </c>
      <c r="R26" s="8">
        <v>0</v>
      </c>
      <c r="S26" s="15">
        <v>0</v>
      </c>
      <c r="T26" s="16"/>
      <c r="U26" s="17"/>
      <c r="V26" s="9">
        <v>50</v>
      </c>
      <c r="W26" t="s">
        <v>226</v>
      </c>
      <c r="X26" t="str">
        <f t="shared" si="0"/>
        <v xml:space="preserve">Summa Care HRA SHANK, MARILYN R A9003046300 </v>
      </c>
    </row>
    <row r="27" spans="1:24" x14ac:dyDescent="0.25">
      <c r="A27" s="20" t="s">
        <v>121</v>
      </c>
      <c r="B27" s="17"/>
      <c r="C27" s="21" t="s">
        <v>122</v>
      </c>
      <c r="D27" s="16"/>
      <c r="E27" s="16"/>
      <c r="F27" s="17"/>
      <c r="G27" s="8" t="s">
        <v>10</v>
      </c>
      <c r="H27" s="22" t="s">
        <v>11</v>
      </c>
      <c r="I27" s="16"/>
      <c r="J27" s="17"/>
      <c r="K27" s="22" t="s">
        <v>107</v>
      </c>
      <c r="L27" s="17"/>
      <c r="M27" s="8" t="s">
        <v>63</v>
      </c>
      <c r="N27" s="23">
        <v>50</v>
      </c>
      <c r="O27" s="16"/>
      <c r="P27" s="17"/>
      <c r="Q27" s="8">
        <v>0</v>
      </c>
      <c r="R27" s="8">
        <v>0</v>
      </c>
      <c r="S27" s="15">
        <v>0</v>
      </c>
      <c r="T27" s="16"/>
      <c r="U27" s="17"/>
      <c r="V27" s="9">
        <v>50</v>
      </c>
      <c r="W27" t="s">
        <v>226</v>
      </c>
      <c r="X27" t="str">
        <f t="shared" si="0"/>
        <v xml:space="preserve">Summa Care HRA SMITH, DAVID A A9003046700 </v>
      </c>
    </row>
    <row r="28" spans="1:24" x14ac:dyDescent="0.25">
      <c r="A28" s="20" t="s">
        <v>123</v>
      </c>
      <c r="B28" s="17"/>
      <c r="C28" s="21" t="s">
        <v>124</v>
      </c>
      <c r="D28" s="16"/>
      <c r="E28" s="16"/>
      <c r="F28" s="17"/>
      <c r="G28" s="8" t="s">
        <v>10</v>
      </c>
      <c r="H28" s="22" t="s">
        <v>11</v>
      </c>
      <c r="I28" s="16"/>
      <c r="J28" s="17"/>
      <c r="K28" s="22" t="s">
        <v>91</v>
      </c>
      <c r="L28" s="17"/>
      <c r="M28" s="8" t="s">
        <v>63</v>
      </c>
      <c r="N28" s="23">
        <v>50</v>
      </c>
      <c r="O28" s="16"/>
      <c r="P28" s="17"/>
      <c r="Q28" s="8">
        <v>0</v>
      </c>
      <c r="R28" s="8">
        <v>0</v>
      </c>
      <c r="S28" s="15">
        <v>0</v>
      </c>
      <c r="T28" s="16"/>
      <c r="U28" s="17"/>
      <c r="V28" s="9">
        <v>50</v>
      </c>
      <c r="W28" t="s">
        <v>226</v>
      </c>
      <c r="X28" t="str">
        <f t="shared" si="0"/>
        <v xml:space="preserve">Summa Care HRA STIFFLER, REGENA P A9002952000 </v>
      </c>
    </row>
    <row r="29" spans="1:24" x14ac:dyDescent="0.25">
      <c r="A29" s="20" t="s">
        <v>125</v>
      </c>
      <c r="B29" s="17"/>
      <c r="C29" s="21" t="s">
        <v>126</v>
      </c>
      <c r="D29" s="16"/>
      <c r="E29" s="16"/>
      <c r="F29" s="17"/>
      <c r="G29" s="8" t="s">
        <v>10</v>
      </c>
      <c r="H29" s="22" t="s">
        <v>11</v>
      </c>
      <c r="I29" s="16"/>
      <c r="J29" s="17"/>
      <c r="K29" s="22" t="s">
        <v>107</v>
      </c>
      <c r="L29" s="17"/>
      <c r="M29" s="8" t="s">
        <v>63</v>
      </c>
      <c r="N29" s="23">
        <v>50</v>
      </c>
      <c r="O29" s="16"/>
      <c r="P29" s="17"/>
      <c r="Q29" s="8">
        <v>0</v>
      </c>
      <c r="R29" s="8">
        <v>0</v>
      </c>
      <c r="S29" s="15">
        <v>0</v>
      </c>
      <c r="T29" s="16"/>
      <c r="U29" s="17"/>
      <c r="V29" s="9">
        <v>50</v>
      </c>
      <c r="W29" t="s">
        <v>226</v>
      </c>
      <c r="X29" t="str">
        <f t="shared" si="0"/>
        <v xml:space="preserve">Summa Care HRA ZUPKOW, BONNIE E A9003037800 </v>
      </c>
    </row>
  </sheetData>
  <mergeCells count="174">
    <mergeCell ref="A29:B29"/>
    <mergeCell ref="C29:F29"/>
    <mergeCell ref="H29:J29"/>
    <mergeCell ref="K29:L29"/>
    <mergeCell ref="N29:P29"/>
    <mergeCell ref="S29:U29"/>
    <mergeCell ref="A28:B28"/>
    <mergeCell ref="C28:F28"/>
    <mergeCell ref="H28:J28"/>
    <mergeCell ref="K28:L28"/>
    <mergeCell ref="N28:P28"/>
    <mergeCell ref="S28:U28"/>
    <mergeCell ref="A27:B27"/>
    <mergeCell ref="C27:F27"/>
    <mergeCell ref="H27:J27"/>
    <mergeCell ref="K27:L27"/>
    <mergeCell ref="N27:P27"/>
    <mergeCell ref="S27:U27"/>
    <mergeCell ref="A26:B26"/>
    <mergeCell ref="C26:F26"/>
    <mergeCell ref="H26:J26"/>
    <mergeCell ref="K26:L26"/>
    <mergeCell ref="N26:P26"/>
    <mergeCell ref="S26:U26"/>
    <mergeCell ref="A25:B25"/>
    <mergeCell ref="C25:F25"/>
    <mergeCell ref="H25:J25"/>
    <mergeCell ref="K25:L25"/>
    <mergeCell ref="N25:P25"/>
    <mergeCell ref="S25:U25"/>
    <mergeCell ref="A24:B24"/>
    <mergeCell ref="C24:F24"/>
    <mergeCell ref="H24:J24"/>
    <mergeCell ref="K24:L24"/>
    <mergeCell ref="N24:P24"/>
    <mergeCell ref="S24:U24"/>
    <mergeCell ref="A23:B23"/>
    <mergeCell ref="C23:F23"/>
    <mergeCell ref="H23:J23"/>
    <mergeCell ref="K23:L23"/>
    <mergeCell ref="N23:P23"/>
    <mergeCell ref="S23:U23"/>
    <mergeCell ref="A22:B22"/>
    <mergeCell ref="C22:F22"/>
    <mergeCell ref="H22:J22"/>
    <mergeCell ref="K22:L22"/>
    <mergeCell ref="N22:P22"/>
    <mergeCell ref="S22:U22"/>
    <mergeCell ref="A21:B21"/>
    <mergeCell ref="C21:F21"/>
    <mergeCell ref="H21:J21"/>
    <mergeCell ref="K21:L21"/>
    <mergeCell ref="N21:P21"/>
    <mergeCell ref="S21:U21"/>
    <mergeCell ref="A20:B20"/>
    <mergeCell ref="C20:F20"/>
    <mergeCell ref="H20:J20"/>
    <mergeCell ref="K20:L20"/>
    <mergeCell ref="N20:P20"/>
    <mergeCell ref="S20:U20"/>
    <mergeCell ref="A19:B19"/>
    <mergeCell ref="C19:F19"/>
    <mergeCell ref="H19:J19"/>
    <mergeCell ref="K19:L19"/>
    <mergeCell ref="N19:P19"/>
    <mergeCell ref="S19:U19"/>
    <mergeCell ref="A18:B18"/>
    <mergeCell ref="C18:F18"/>
    <mergeCell ref="H18:J18"/>
    <mergeCell ref="K18:L18"/>
    <mergeCell ref="N18:P18"/>
    <mergeCell ref="S18:U18"/>
    <mergeCell ref="A17:B17"/>
    <mergeCell ref="C17:F17"/>
    <mergeCell ref="H17:J17"/>
    <mergeCell ref="K17:L17"/>
    <mergeCell ref="N17:P17"/>
    <mergeCell ref="S17:U17"/>
    <mergeCell ref="A16:B16"/>
    <mergeCell ref="C16:F16"/>
    <mergeCell ref="H16:J16"/>
    <mergeCell ref="K16:L16"/>
    <mergeCell ref="N16:P16"/>
    <mergeCell ref="S16:U16"/>
    <mergeCell ref="A15:B15"/>
    <mergeCell ref="C15:F15"/>
    <mergeCell ref="H15:J15"/>
    <mergeCell ref="K15:L15"/>
    <mergeCell ref="N15:P15"/>
    <mergeCell ref="S15:U15"/>
    <mergeCell ref="A14:B14"/>
    <mergeCell ref="C14:F14"/>
    <mergeCell ref="H14:J14"/>
    <mergeCell ref="K14:L14"/>
    <mergeCell ref="N14:P14"/>
    <mergeCell ref="S14:U14"/>
    <mergeCell ref="A13:B13"/>
    <mergeCell ref="C13:F13"/>
    <mergeCell ref="H13:J13"/>
    <mergeCell ref="K13:L13"/>
    <mergeCell ref="N13:P13"/>
    <mergeCell ref="S13:U13"/>
    <mergeCell ref="A12:B12"/>
    <mergeCell ref="C12:F12"/>
    <mergeCell ref="H12:J12"/>
    <mergeCell ref="K12:L12"/>
    <mergeCell ref="N12:P12"/>
    <mergeCell ref="S12:U12"/>
    <mergeCell ref="A11:B11"/>
    <mergeCell ref="C11:F11"/>
    <mergeCell ref="H11:J11"/>
    <mergeCell ref="K11:L11"/>
    <mergeCell ref="N11:P11"/>
    <mergeCell ref="S11:U11"/>
    <mergeCell ref="A10:B10"/>
    <mergeCell ref="C10:F10"/>
    <mergeCell ref="H10:J10"/>
    <mergeCell ref="K10:L10"/>
    <mergeCell ref="N10:P10"/>
    <mergeCell ref="S10:U10"/>
    <mergeCell ref="A9:B9"/>
    <mergeCell ref="C9:F9"/>
    <mergeCell ref="H9:J9"/>
    <mergeCell ref="K9:L9"/>
    <mergeCell ref="N9:P9"/>
    <mergeCell ref="S9:U9"/>
    <mergeCell ref="A8:B8"/>
    <mergeCell ref="C8:F8"/>
    <mergeCell ref="H8:J8"/>
    <mergeCell ref="K8:L8"/>
    <mergeCell ref="N8:P8"/>
    <mergeCell ref="S8:U8"/>
    <mergeCell ref="A7:B7"/>
    <mergeCell ref="C7:F7"/>
    <mergeCell ref="H7:J7"/>
    <mergeCell ref="K7:L7"/>
    <mergeCell ref="N7:P7"/>
    <mergeCell ref="S7:U7"/>
    <mergeCell ref="A6:B6"/>
    <mergeCell ref="C6:F6"/>
    <mergeCell ref="H6:J6"/>
    <mergeCell ref="K6:L6"/>
    <mergeCell ref="N6:P6"/>
    <mergeCell ref="S6:U6"/>
    <mergeCell ref="A5:B5"/>
    <mergeCell ref="C5:F5"/>
    <mergeCell ref="H5:J5"/>
    <mergeCell ref="K5:L5"/>
    <mergeCell ref="N5:P5"/>
    <mergeCell ref="S5:U5"/>
    <mergeCell ref="A4:B4"/>
    <mergeCell ref="C4:F4"/>
    <mergeCell ref="H4:J4"/>
    <mergeCell ref="K4:L4"/>
    <mergeCell ref="N4:P4"/>
    <mergeCell ref="S4:U4"/>
    <mergeCell ref="A3:B3"/>
    <mergeCell ref="C3:F3"/>
    <mergeCell ref="H3:J3"/>
    <mergeCell ref="K3:L3"/>
    <mergeCell ref="N3:P3"/>
    <mergeCell ref="S3:U3"/>
    <mergeCell ref="A2:B2"/>
    <mergeCell ref="C2:F2"/>
    <mergeCell ref="H2:J2"/>
    <mergeCell ref="K2:L2"/>
    <mergeCell ref="N2:P2"/>
    <mergeCell ref="S2:U2"/>
    <mergeCell ref="A1:B1"/>
    <mergeCell ref="C1:F1"/>
    <mergeCell ref="H1:J1"/>
    <mergeCell ref="K1:L1"/>
    <mergeCell ref="N1:P1"/>
    <mergeCell ref="S1:U1"/>
  </mergeCells>
  <hyperlinks>
    <hyperlink ref="C2" r:id="rId1" xr:uid="{E0BDB522-7F2E-4BDC-BA01-9A522E6F7A36}"/>
    <hyperlink ref="C3" r:id="rId2" xr:uid="{A77F759D-4345-4ECB-BFC3-3AA6A3287252}"/>
    <hyperlink ref="C4" r:id="rId3" xr:uid="{717D75E7-E000-4DDE-BB14-6C77EFAA95DA}"/>
    <hyperlink ref="C5" r:id="rId4" xr:uid="{638B8B48-B0EC-409D-9382-B49C8651F508}"/>
    <hyperlink ref="C6" r:id="rId5" xr:uid="{4B686B59-E08C-478A-81BC-7A8AC1CB2D86}"/>
    <hyperlink ref="C7" r:id="rId6" xr:uid="{1EA28442-6AEE-485A-BB6C-83771257426F}"/>
    <hyperlink ref="C8" r:id="rId7" xr:uid="{90CD68A9-5EDE-48D3-AE1E-9FF667FB6EC6}"/>
    <hyperlink ref="C9" r:id="rId8" xr:uid="{E1E12A86-7ABB-46FD-A69E-285C967D7E61}"/>
    <hyperlink ref="C10" r:id="rId9" xr:uid="{EF15E022-F729-4827-9EB8-9CFF0E36D7F0}"/>
    <hyperlink ref="C11" r:id="rId10" xr:uid="{2FB784DD-77EA-4C92-B09E-86568C1771A0}"/>
    <hyperlink ref="C12" r:id="rId11" xr:uid="{77DB2462-9A26-439F-90AD-F31ACB2A237E}"/>
    <hyperlink ref="C13" r:id="rId12" xr:uid="{D8B64974-FCF4-4A93-9532-EA0F7A2FCECB}"/>
    <hyperlink ref="C14" r:id="rId13" xr:uid="{0E02765F-7CC7-4A66-91E8-E6B39D2F2D65}"/>
    <hyperlink ref="C15" r:id="rId14" xr:uid="{E8C9391E-553A-437C-ADDE-3002998F33D8}"/>
    <hyperlink ref="C16" r:id="rId15" xr:uid="{B72A8406-67EA-47AF-956A-A452B784ED85}"/>
    <hyperlink ref="C17" r:id="rId16" xr:uid="{6B823276-77F0-4BC6-8033-51E8557050E1}"/>
    <hyperlink ref="C18" r:id="rId17" xr:uid="{5BAF0815-E026-4E55-846D-07BB319F085D}"/>
    <hyperlink ref="C19" r:id="rId18" xr:uid="{E552421B-38FE-474A-8695-DA31FC55C872}"/>
    <hyperlink ref="C20" r:id="rId19" xr:uid="{F0EA99A4-1B75-4337-85C7-2CC761265B96}"/>
    <hyperlink ref="C21" r:id="rId20" xr:uid="{1BF96072-1DBF-457F-90F7-2D326AA5E207}"/>
    <hyperlink ref="C22" r:id="rId21" xr:uid="{B46DBD7B-7993-4F37-88B6-BE3356E4DB27}"/>
    <hyperlink ref="C23" r:id="rId22" xr:uid="{25D7C3BC-7F0B-4698-8D93-248FF2A9D721}"/>
    <hyperlink ref="C24" r:id="rId23" xr:uid="{9858ACE7-B29B-4ED6-831D-764549133454}"/>
    <hyperlink ref="C25" r:id="rId24" xr:uid="{8D785527-772F-4519-AAFC-9A26A9CBC645}"/>
    <hyperlink ref="C26" r:id="rId25" xr:uid="{1FDD95A4-6AAC-498E-A3A2-1FA3886017AD}"/>
    <hyperlink ref="C27" r:id="rId26" xr:uid="{044F38F2-4AEE-4023-A5F3-09ADF032D4FA}"/>
    <hyperlink ref="C28" r:id="rId27" xr:uid="{30B78400-EB47-417B-A38A-729CB18F4F83}"/>
    <hyperlink ref="C29" r:id="rId28" xr:uid="{7FC51CD6-9546-456E-AF6A-7625DDFF94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SC_GA Statements Prod</vt:lpstr>
      <vt:lpstr>Sheet1</vt:lpstr>
      <vt:lpstr>Sheet3</vt:lpstr>
      <vt:lpstr>HRA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2026-01-24T08:41:44Z</dcterms:created>
  <dcterms:modified xsi:type="dcterms:W3CDTF">2026-01-27T20:46:45Z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