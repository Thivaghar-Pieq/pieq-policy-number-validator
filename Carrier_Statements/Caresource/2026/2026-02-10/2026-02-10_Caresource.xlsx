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6\Caresource 2-10-26\"/>
    </mc:Choice>
  </mc:AlternateContent>
  <xr:revisionPtr revIDLastSave="0" documentId="13_ncr:1_{54DEE131-87D8-45AB-B1A5-38C848A0FE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</sheets>
  <calcPr calcId="181029"/>
  <extLst>
    <ext uri="GoogleSheetsCustomDataVersion2">
      <go:sheetsCustomData xmlns:go="http://customooxmlschemas.google.com/" r:id="rId5" roundtripDataChecksum="lZzHbqwl5+FRa0NAL5SsVtChe/ne+iHelynDMLo30Wk="/>
    </ext>
  </extLst>
</workbook>
</file>

<file path=xl/calcChain.xml><?xml version="1.0" encoding="utf-8"?>
<calcChain xmlns="http://schemas.openxmlformats.org/spreadsheetml/2006/main">
  <c r="AC29" i="1" l="1"/>
  <c r="AB29" i="1"/>
</calcChain>
</file>

<file path=xl/sharedStrings.xml><?xml version="1.0" encoding="utf-8"?>
<sst xmlns="http://schemas.openxmlformats.org/spreadsheetml/2006/main" count="626" uniqueCount="626">
  <si>
    <r>
      <rPr>
        <b/>
        <sz val="10"/>
        <color theme="1"/>
        <rFont val="Arial"/>
        <family val="2"/>
      </rPr>
      <t>SUMMARY</t>
    </r>
  </si>
  <si>
    <r>
      <rPr>
        <b/>
        <sz val="9"/>
        <color rgb="FF000000"/>
        <rFont val="Arial"/>
        <family val="2"/>
      </rPr>
      <t xml:space="preserve">Amount
</t>
    </r>
    <r>
      <rPr>
        <sz val="9"/>
        <color rgb="FF000000"/>
        <rFont val="Arial MT"/>
      </rPr>
      <t xml:space="preserve">$459.96
</t>
    </r>
    <r>
      <rPr>
        <sz val="9"/>
        <color rgb="FF000000"/>
        <rFont val="Arial MT"/>
      </rPr>
      <t>$951.27</t>
    </r>
  </si>
  <si>
    <r>
      <rPr>
        <b/>
        <sz val="9"/>
        <color rgb="FF000000"/>
        <rFont val="Arial"/>
        <family val="2"/>
      </rPr>
      <t xml:space="preserve">Payable Regular Commissions:
</t>
    </r>
    <r>
      <rPr>
        <sz val="9"/>
        <color rgb="FF000000"/>
        <rFont val="Arial MT"/>
      </rPr>
      <t>New Enrollment Commissions Renewal Commissions</t>
    </r>
  </si>
  <si>
    <r>
      <rPr>
        <b/>
        <sz val="9"/>
        <color theme="1"/>
        <rFont val="Arial"/>
        <family val="2"/>
      </rPr>
      <t>Regular Commissions Sub-Totals:                                                   $1,411.23</t>
    </r>
  </si>
  <si>
    <r>
      <rPr>
        <b/>
        <sz val="9"/>
        <color theme="1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color theme="1"/>
        <rFont val="Arial"/>
        <family val="2"/>
      </rPr>
      <t>$1,411.23</t>
    </r>
  </si>
  <si>
    <r>
      <rPr>
        <b/>
        <sz val="11"/>
        <color theme="1"/>
        <rFont val="Arial"/>
        <family val="2"/>
      </rPr>
      <t>SUMMARY TOTALS</t>
    </r>
  </si>
  <si>
    <r>
      <rPr>
        <b/>
        <sz val="9"/>
        <color theme="1"/>
        <rFont val="Arial"/>
        <family val="2"/>
      </rPr>
      <t>Beginning Balance Forward:</t>
    </r>
  </si>
  <si>
    <r>
      <rPr>
        <b/>
        <sz val="9"/>
        <color theme="1"/>
        <rFont val="Arial"/>
        <family val="2"/>
      </rPr>
      <t>Commission Activity:</t>
    </r>
  </si>
  <si>
    <r>
      <rPr>
        <b/>
        <sz val="9"/>
        <color theme="1"/>
        <rFont val="Arial"/>
        <family val="2"/>
      </rPr>
      <t>Bonuses:</t>
    </r>
  </si>
  <si>
    <r>
      <rPr>
        <b/>
        <sz val="9"/>
        <color theme="1"/>
        <rFont val="Arial"/>
        <family val="2"/>
      </rPr>
      <t>Manual Adjustments:</t>
    </r>
  </si>
  <si>
    <r>
      <rPr>
        <b/>
        <sz val="9"/>
        <color theme="1"/>
        <rFont val="Arial"/>
        <family val="2"/>
      </rPr>
      <t>TriCare Payments:</t>
    </r>
  </si>
  <si>
    <r>
      <rPr>
        <b/>
        <sz val="9"/>
        <color theme="1"/>
        <rFont val="Arial"/>
        <family val="2"/>
      </rPr>
      <t>Total Commissions:</t>
    </r>
  </si>
  <si>
    <r>
      <rPr>
        <b/>
        <sz val="9"/>
        <color theme="1"/>
        <rFont val="Arial"/>
        <family val="2"/>
      </rPr>
      <t>Amount to Pay:</t>
    </r>
  </si>
  <si>
    <r>
      <rPr>
        <b/>
        <sz val="9"/>
        <color theme="1"/>
        <rFont val="Arial"/>
        <family val="2"/>
      </rPr>
      <t>Ending Balance Forward:</t>
    </r>
  </si>
  <si>
    <t>Writing Producer                           13374569                                Skarnulis, Jerald</t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</si>
  <si>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</si>
  <si>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</si>
  <si>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</si>
  <si>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</si>
  <si>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</si>
  <si>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</si>
  <si>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</si>
  <si>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</si>
  <si>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</si>
  <si>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</si>
  <si>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</si>
  <si>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</si>
  <si>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</si>
  <si>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</si>
  <si>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</si>
  <si>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</si>
  <si>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</si>
  <si>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</si>
  <si>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</si>
  <si>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</si>
  <si>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Burkett, Terri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</si>
  <si>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</si>
  <si>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</si>
  <si>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</si>
  <si>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</si>
  <si>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</t>
    </r>
  </si>
  <si>
    <r>
      <rPr>
        <b/>
        <sz val="9"/>
        <color theme="1"/>
        <rFont val="Arial"/>
        <family val="2"/>
      </rPr>
      <t>Total for Writing Producer       13374569        Skarnulis, Jerald                                                                                                                                                                                                                                     $ 15.00</t>
    </r>
  </si>
  <si>
    <t>Writing Producer                           15278437                                Hoffmann, Jason R</t>
  </si>
  <si>
    <r>
      <rPr>
        <b/>
        <sz val="10"/>
        <color theme="1"/>
        <rFont val="Arial"/>
        <family val="2"/>
      </rPr>
      <t>New Enrollment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</si>
  <si>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</si>
  <si>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</si>
  <si>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</si>
  <si>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</si>
  <si>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</si>
  <si>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</si>
  <si>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</si>
  <si>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</si>
  <si>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</si>
  <si>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</si>
  <si>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</si>
  <si>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</si>
  <si>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</si>
  <si>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</si>
  <si>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</si>
  <si>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</si>
  <si>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</si>
  <si>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</si>
  <si>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</si>
  <si>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Ziska, Denise</t>
    </r>
  </si>
  <si>
    <r>
      <rPr>
        <sz val="8"/>
        <color theme="1"/>
        <rFont val="Arial MT"/>
      </rPr>
      <t>Silver 700 $10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</si>
  <si>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</si>
  <si>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</si>
  <si>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</si>
  <si>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$ 10.00</t>
    </r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</si>
  <si>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</si>
  <si>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Effective</t>
    </r>
  </si>
  <si>
    <r>
      <rPr>
        <b/>
        <sz val="9"/>
        <color theme="1"/>
        <rFont val="Arial"/>
        <family val="2"/>
      </rPr>
      <t>Termination</t>
    </r>
  </si>
  <si>
    <r>
      <rPr>
        <b/>
        <sz val="9"/>
        <color theme="1"/>
        <rFont val="Arial"/>
        <family val="2"/>
      </rPr>
      <t>% of</t>
    </r>
  </si>
  <si>
    <r>
      <rPr>
        <b/>
        <sz val="9"/>
        <color theme="1"/>
        <rFont val="Arial"/>
        <family val="2"/>
      </rPr>
      <t>Commission Based on</t>
    </r>
  </si>
  <si>
    <r>
      <rPr>
        <b/>
        <sz val="9"/>
        <color theme="1"/>
        <rFont val="Arial"/>
        <family val="2"/>
      </rPr>
      <t>Base PMPM</t>
    </r>
  </si>
  <si>
    <r>
      <rPr>
        <b/>
        <sz val="9"/>
        <color theme="1"/>
        <rFont val="Arial"/>
        <family val="2"/>
      </rPr>
      <t>Enhanced PMPM</t>
    </r>
  </si>
  <si>
    <r>
      <rPr>
        <b/>
        <sz val="9"/>
        <color theme="1"/>
        <rFont val="Arial"/>
        <family val="2"/>
      </rPr>
      <t>Member</t>
    </r>
  </si>
  <si>
    <r>
      <rPr>
        <b/>
        <sz val="9"/>
        <color theme="1"/>
        <rFont val="Arial"/>
        <family val="2"/>
      </rPr>
      <t>Commission Based on</t>
    </r>
  </si>
  <si>
    <r>
      <rPr>
        <b/>
        <sz val="9"/>
        <color theme="1"/>
        <rFont val="Arial"/>
        <family val="2"/>
      </rPr>
      <t>Total Commission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</si>
  <si>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</si>
  <si>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</si>
  <si>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</si>
  <si>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</si>
  <si>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Date</t>
    </r>
  </si>
  <si>
    <r>
      <rPr>
        <b/>
        <sz val="9"/>
        <color theme="1"/>
        <rFont val="Arial"/>
        <family val="2"/>
      </rPr>
      <t>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</si>
  <si>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</si>
  <si>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</si>
  <si>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</si>
  <si>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</si>
  <si>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</si>
  <si>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</si>
  <si>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</si>
  <si>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</si>
  <si>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Count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</si>
  <si>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</si>
  <si>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</si>
  <si>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Paid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</si>
  <si>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</si>
  <si>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Friend, Evon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</si>
  <si>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</si>
  <si>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</si>
  <si>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</si>
  <si>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</si>
  <si>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</t>
    </r>
  </si>
  <si>
    <r>
      <rPr>
        <b/>
        <sz val="9"/>
        <color theme="1"/>
        <rFont val="Arial"/>
        <family val="2"/>
      </rPr>
      <t>Total for Writing Producer       15278437        Hoffmann, Jason R                                                                                                                                                                                                                                   $ 52.00</t>
    </r>
  </si>
  <si>
    <t>Writing Producer                           17528908                                Inskipt, Deborah Lee</t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</si>
  <si>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</si>
  <si>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</si>
  <si>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</si>
  <si>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</si>
  <si>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</si>
  <si>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</si>
  <si>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</si>
  <si>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</si>
  <si>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</si>
  <si>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</si>
  <si>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</si>
  <si>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</si>
  <si>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</si>
  <si>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</si>
  <si>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</si>
  <si>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</si>
  <si>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</si>
  <si>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</si>
  <si>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</si>
  <si>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WV</t>
    </r>
  </si>
  <si>
    <r>
      <rPr>
        <sz val="8"/>
        <color theme="1"/>
        <rFont val="Arial MT"/>
      </rPr>
      <t>Joseph, Lura J.</t>
    </r>
  </si>
  <si>
    <r>
      <rPr>
        <sz val="8"/>
        <color theme="1"/>
        <rFont val="Arial MT"/>
      </rPr>
      <t>Healthy Heart Gold 3000 $0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</si>
  <si>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</si>
  <si>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</si>
  <si>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</si>
  <si>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WV</t>
    </r>
  </si>
  <si>
    <r>
      <rPr>
        <sz val="8"/>
        <color theme="1"/>
        <rFont val="Arial MT"/>
      </rPr>
      <t>Henry, Lori</t>
    </r>
  </si>
  <si>
    <r>
      <rPr>
        <sz val="8"/>
        <color theme="1"/>
        <rFont val="Arial MT"/>
      </rPr>
      <t>Low Premium Silver 800 $2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</si>
  <si>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</si>
  <si>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</si>
  <si>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</si>
  <si>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WV</t>
    </r>
  </si>
  <si>
    <r>
      <rPr>
        <sz val="8"/>
        <color theme="1"/>
        <rFont val="Arial MT"/>
      </rPr>
      <t>Stephan, Alana</t>
    </r>
  </si>
  <si>
    <r>
      <rPr>
        <sz val="8"/>
        <color theme="1"/>
        <rFont val="Arial MT"/>
      </rPr>
      <t>Low Premium Silver 800 $2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</si>
  <si>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</si>
  <si>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</si>
  <si>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</si>
  <si>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</t>
    </r>
  </si>
  <si>
    <r>
      <rPr>
        <b/>
        <sz val="9"/>
        <color theme="1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  $ 80.00</t>
    </r>
  </si>
  <si>
    <t>Writing Producer                           18754354                                Yale, Jacob D</t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</si>
  <si>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</si>
  <si>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</si>
  <si>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</si>
  <si>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</si>
  <si>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</si>
  <si>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</si>
  <si>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</si>
  <si>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</si>
  <si>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</si>
  <si>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</si>
  <si>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</si>
  <si>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</si>
  <si>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</si>
  <si>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</si>
  <si>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</si>
  <si>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</si>
  <si>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</si>
  <si>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</si>
  <si>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</si>
  <si>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GA</t>
    </r>
  </si>
  <si>
    <r>
      <rPr>
        <sz val="8"/>
        <color theme="1"/>
        <rFont val="Arial MT"/>
      </rPr>
      <t>Tisone, Oliviah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</si>
  <si>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</si>
  <si>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</si>
  <si>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</si>
  <si>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</si>
  <si>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</t>
    </r>
  </si>
  <si>
    <r>
      <rPr>
        <b/>
        <sz val="9"/>
        <color theme="1"/>
        <rFont val="Arial"/>
        <family val="2"/>
      </rPr>
      <t>Total for Writing Producer       18754354        Yale, Jacob D                                                                                                                                                                                                                                        $ 21.74</t>
    </r>
  </si>
  <si>
    <t>Writing Producer                           19279958                                Kinyua, Jared Mucangi</t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</si>
  <si>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</si>
  <si>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</si>
  <si>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</si>
  <si>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</si>
  <si>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</si>
  <si>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</si>
  <si>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</si>
  <si>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</si>
  <si>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</si>
  <si>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</si>
  <si>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</si>
  <si>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</si>
  <si>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</si>
  <si>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</si>
  <si>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</si>
  <si>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</si>
  <si>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</si>
  <si>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</si>
  <si>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</si>
  <si>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</si>
  <si>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Marcum, Jack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</si>
  <si>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</si>
  <si>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</si>
  <si>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</si>
  <si>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</si>
  <si>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</t>
    </r>
  </si>
  <si>
    <t>Total for Writing Producer       19279958        Kinyua, Jared Mucangi                                                                                                                                                                                                                                $ 75.00</t>
  </si>
  <si>
    <t>Writing Producer                           20724564                                Sanderock, Marsha LeeAnn</t>
  </si>
  <si>
    <r>
      <rPr>
        <b/>
        <sz val="10"/>
        <color theme="1"/>
        <rFont val="Arial"/>
        <family val="2"/>
      </rPr>
      <t>New Enrollment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</si>
  <si>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</si>
  <si>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</si>
  <si>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</si>
  <si>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</si>
  <si>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</si>
  <si>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</si>
  <si>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</si>
  <si>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</si>
  <si>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</si>
  <si>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</si>
  <si>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</si>
  <si>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</si>
  <si>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</si>
  <si>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</si>
  <si>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</si>
  <si>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</si>
  <si>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</si>
  <si>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</si>
  <si>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</si>
  <si>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Pittman, Linda S.</t>
    </r>
  </si>
  <si>
    <r>
      <rPr>
        <sz val="8"/>
        <color theme="1"/>
        <rFont val="Arial MT"/>
      </rPr>
      <t>Silver 5000 $20 Generic</t>
    </r>
  </si>
  <si>
    <r>
      <rPr>
        <sz val="8"/>
        <color theme="1"/>
        <rFont val="Arial MT"/>
      </rPr>
      <t>12/2025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</si>
  <si>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</si>
  <si>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</si>
  <si>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</si>
  <si>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Smith, Beverly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</si>
  <si>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</si>
  <si>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</si>
  <si>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</si>
  <si>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</si>
  <si>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</si>
  <si>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Kuhstoss, Sheryl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</si>
  <si>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</si>
  <si>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</si>
  <si>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</si>
  <si>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</si>
  <si>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</si>
  <si>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Nasal, Katie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</si>
  <si>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</si>
  <si>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</si>
  <si>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</si>
  <si>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</si>
  <si>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</si>
  <si>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Hayden, Jamie</t>
    </r>
  </si>
  <si>
    <r>
      <rPr>
        <sz val="8"/>
        <color theme="1"/>
        <rFont val="Arial MT"/>
      </rPr>
      <t>Low Premium Bronze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</si>
  <si>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</si>
  <si>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</si>
  <si>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</si>
  <si>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</si>
  <si>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West, Theresa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</si>
  <si>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</si>
  <si>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</si>
  <si>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</si>
  <si>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</si>
  <si>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</si>
  <si>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Economou, Jacob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</si>
  <si>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</si>
  <si>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</si>
  <si>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</si>
  <si>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</si>
  <si>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$ 174.00</t>
    </r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</si>
  <si>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</si>
  <si>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Effective</t>
    </r>
  </si>
  <si>
    <r>
      <rPr>
        <b/>
        <sz val="9"/>
        <color theme="1"/>
        <rFont val="Arial"/>
        <family val="2"/>
      </rPr>
      <t>Termination</t>
    </r>
  </si>
  <si>
    <r>
      <rPr>
        <b/>
        <sz val="9"/>
        <color theme="1"/>
        <rFont val="Arial"/>
        <family val="2"/>
      </rPr>
      <t>% of</t>
    </r>
  </si>
  <si>
    <r>
      <rPr>
        <b/>
        <sz val="9"/>
        <color theme="1"/>
        <rFont val="Arial"/>
        <family val="2"/>
      </rPr>
      <t>Commission Based on</t>
    </r>
  </si>
  <si>
    <r>
      <rPr>
        <b/>
        <sz val="9"/>
        <color theme="1"/>
        <rFont val="Arial"/>
        <family val="2"/>
      </rPr>
      <t>Base PMPM</t>
    </r>
  </si>
  <si>
    <r>
      <rPr>
        <b/>
        <sz val="9"/>
        <color theme="1"/>
        <rFont val="Arial"/>
        <family val="2"/>
      </rPr>
      <t>Enhanced PMPM</t>
    </r>
  </si>
  <si>
    <r>
      <rPr>
        <b/>
        <sz val="9"/>
        <color theme="1"/>
        <rFont val="Arial"/>
        <family val="2"/>
      </rPr>
      <t>Member</t>
    </r>
  </si>
  <si>
    <r>
      <rPr>
        <b/>
        <sz val="9"/>
        <color theme="1"/>
        <rFont val="Arial"/>
        <family val="2"/>
      </rPr>
      <t>Commission Based on</t>
    </r>
  </si>
  <si>
    <r>
      <rPr>
        <b/>
        <sz val="9"/>
        <color theme="1"/>
        <rFont val="Arial"/>
        <family val="2"/>
      </rPr>
      <t>Total Commission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</si>
  <si>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</si>
  <si>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</si>
  <si>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</si>
  <si>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</si>
  <si>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Date</t>
    </r>
  </si>
  <si>
    <r>
      <rPr>
        <b/>
        <sz val="9"/>
        <color theme="1"/>
        <rFont val="Arial"/>
        <family val="2"/>
      </rPr>
      <t>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</si>
  <si>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</si>
  <si>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</si>
  <si>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</si>
  <si>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</si>
  <si>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</si>
  <si>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</si>
  <si>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</si>
  <si>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</si>
  <si>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Count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</si>
  <si>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</si>
  <si>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</si>
  <si>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Paid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</si>
  <si>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</si>
  <si>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Harbert, Gregory A.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</si>
  <si>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</si>
  <si>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</si>
  <si>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</si>
  <si>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</si>
  <si>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</si>
  <si>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Dison, Lex C.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</si>
  <si>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</si>
  <si>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</si>
  <si>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</si>
  <si>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</si>
  <si>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</si>
  <si>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Hollowell, Dian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</si>
  <si>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</si>
  <si>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</si>
  <si>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</si>
  <si>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</si>
  <si>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</si>
  <si>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Frieders, Ingred A.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</si>
  <si>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</si>
  <si>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</si>
  <si>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</si>
  <si>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</si>
  <si>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</si>
  <si>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Wenzel, Andrew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</si>
  <si>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</si>
  <si>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</si>
  <si>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</si>
  <si>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</si>
  <si>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</si>
  <si>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Allender, Tina</t>
    </r>
  </si>
  <si>
    <r>
      <rPr>
        <sz val="8"/>
        <color theme="1"/>
        <rFont val="Arial MT"/>
      </rPr>
      <t>Low Premium Silver 800 $2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</si>
  <si>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</si>
  <si>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</si>
  <si>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</si>
  <si>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</si>
  <si>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Sims, Barbara J.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</si>
  <si>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</si>
  <si>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</si>
  <si>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</si>
  <si>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</si>
  <si>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</si>
  <si>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Snyder, Alesia</t>
    </r>
  </si>
  <si>
    <r>
      <rPr>
        <sz val="8"/>
        <color theme="1"/>
        <rFont val="Arial MT"/>
      </rPr>
      <t>HDHP Preventive Silver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</si>
  <si>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</si>
  <si>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</si>
  <si>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</si>
  <si>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</si>
  <si>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Campbell, Lisa</t>
    </r>
  </si>
  <si>
    <r>
      <rPr>
        <sz val="8"/>
        <color theme="1"/>
        <rFont val="Arial MT"/>
      </rPr>
      <t>Low Premium Bronze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</si>
  <si>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</si>
  <si>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</si>
  <si>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</si>
  <si>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</si>
  <si>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Murrin, Markee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</si>
  <si>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</si>
  <si>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</si>
  <si>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</si>
  <si>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</si>
  <si>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</si>
  <si>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Kight, Marcus</t>
    </r>
  </si>
  <si>
    <r>
      <rPr>
        <sz val="8"/>
        <color theme="1"/>
        <rFont val="Arial MT"/>
      </rPr>
      <t>Low Premium Silver 500 $0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</si>
  <si>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</si>
  <si>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</si>
  <si>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</si>
  <si>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</si>
  <si>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Clark, Karen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</si>
  <si>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</si>
  <si>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</si>
  <si>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</si>
  <si>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</si>
  <si>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</si>
  <si>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Hoene, Stephanie</t>
    </r>
  </si>
  <si>
    <r>
      <rPr>
        <sz val="8"/>
        <color theme="1"/>
        <rFont val="Arial MT"/>
      </rPr>
      <t>Silver 3000 $20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</si>
  <si>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</si>
  <si>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</si>
  <si>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</si>
  <si>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</si>
  <si>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Perry, Amanda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</si>
  <si>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</si>
  <si>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</si>
  <si>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</si>
  <si>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</si>
  <si>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</si>
  <si>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Tremblay, Robert</t>
    </r>
  </si>
  <si>
    <r>
      <rPr>
        <sz val="8"/>
        <color theme="1"/>
        <rFont val="Arial MT"/>
      </rPr>
      <t>Silver 700 $10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</si>
  <si>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</si>
  <si>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</si>
  <si>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</si>
  <si>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</si>
  <si>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Lane, Julie</t>
    </r>
  </si>
  <si>
    <r>
      <rPr>
        <sz val="8"/>
        <color theme="1"/>
        <rFont val="Arial MT"/>
      </rPr>
      <t>Low Premium Silver 800 $2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</si>
  <si>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</si>
  <si>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</si>
  <si>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</si>
  <si>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</si>
  <si>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Pittman, Linda S.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</si>
  <si>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</si>
  <si>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</si>
  <si>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</si>
  <si>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</si>
  <si>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</si>
  <si>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Hill, Stacey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</si>
  <si>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</si>
  <si>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</si>
  <si>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</si>
  <si>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</si>
  <si>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</t>
    </r>
  </si>
  <si>
    <r>
      <rPr>
        <b/>
        <sz val="9"/>
        <color theme="1"/>
        <rFont val="Arial"/>
        <family val="2"/>
      </rPr>
      <t>Total for Writing Producer       20724564        Sanderock, Marsha LeeAnn                                                                                                                                                                                                                          $ 564.00</t>
    </r>
  </si>
  <si>
    <t>Writing Producer                           21749481                                Carney, Daniel</t>
  </si>
  <si>
    <r>
      <rPr>
        <b/>
        <sz val="10"/>
        <color theme="1"/>
        <rFont val="Arial"/>
        <family val="2"/>
      </rPr>
      <t>New Enrollment</t>
    </r>
  </si>
  <si>
    <r>
      <rPr>
        <b/>
        <sz val="9"/>
        <color theme="1"/>
        <rFont val="Arial"/>
        <family val="2"/>
      </rPr>
      <t>Commission</t>
    </r>
  </si>
  <si>
    <r>
      <rPr>
        <b/>
        <sz val="9"/>
        <color theme="1"/>
        <rFont val="Arial"/>
        <family val="2"/>
      </rPr>
      <t>Base</t>
    </r>
  </si>
  <si>
    <r>
      <rPr>
        <b/>
        <sz val="9"/>
        <color theme="1"/>
        <rFont val="Arial"/>
        <family val="2"/>
      </rPr>
      <t>Enhanced</t>
    </r>
  </si>
  <si>
    <r>
      <rPr>
        <b/>
        <sz val="9"/>
        <color theme="1"/>
        <rFont val="Arial"/>
        <family val="2"/>
      </rPr>
      <t>Commission</t>
    </r>
  </si>
  <si>
    <r>
      <rPr>
        <b/>
        <sz val="9"/>
        <color theme="1"/>
        <rFont val="Arial"/>
        <family val="2"/>
      </rPr>
      <t>Total</t>
    </r>
  </si>
  <si>
    <r>
      <rPr>
        <b/>
        <sz val="9"/>
        <color theme="1"/>
        <rFont val="Arial"/>
        <family val="2"/>
      </rPr>
      <t>Effective   Termination</t>
    </r>
  </si>
  <si>
    <r>
      <rPr>
        <b/>
        <sz val="9"/>
        <color theme="1"/>
        <rFont val="Arial"/>
        <family val="2"/>
      </rPr>
      <t>% of</t>
    </r>
  </si>
  <si>
    <r>
      <rPr>
        <b/>
        <sz val="9"/>
        <color theme="1"/>
        <rFont val="Arial"/>
        <family val="2"/>
      </rPr>
      <t>Based on</t>
    </r>
  </si>
  <si>
    <r>
      <rPr>
        <b/>
        <sz val="9"/>
        <color theme="1"/>
        <rFont val="Arial"/>
        <family val="2"/>
      </rPr>
      <t>PMPM</t>
    </r>
  </si>
  <si>
    <r>
      <rPr>
        <b/>
        <sz val="9"/>
        <color theme="1"/>
        <rFont val="Arial"/>
        <family val="2"/>
      </rPr>
      <t>PMPM</t>
    </r>
  </si>
  <si>
    <r>
      <rPr>
        <b/>
        <sz val="9"/>
        <color theme="1"/>
        <rFont val="Arial"/>
        <family val="2"/>
      </rPr>
      <t>Member</t>
    </r>
  </si>
  <si>
    <r>
      <rPr>
        <b/>
        <sz val="9"/>
        <color theme="1"/>
        <rFont val="Arial"/>
        <family val="2"/>
      </rPr>
      <t>Based on</t>
    </r>
  </si>
  <si>
    <r>
      <rPr>
        <b/>
        <sz val="9"/>
        <color theme="1"/>
        <rFont val="Arial"/>
        <family val="2"/>
      </rPr>
      <t>Commission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</si>
  <si>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</si>
  <si>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    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</si>
  <si>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</si>
  <si>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Date            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</si>
  <si>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</si>
  <si>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</si>
  <si>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</si>
  <si>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</si>
  <si>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</si>
  <si>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</si>
  <si>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</si>
  <si>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</si>
  <si>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Count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</si>
  <si>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</si>
  <si>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</si>
  <si>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Paid</t>
    </r>
  </si>
  <si>
    <t>IN      113178497       Armantrout, Robert J.   Bronze 7500 $25 Generic      01/01/2026                             01/2026         N               $ 477.04            0.00%                 $ 0.00    $ 15.00         $ 1.00          $ 16.00              1                $ 16.00                 N                         $ 16.00</t>
  </si>
  <si>
    <r>
      <rPr>
        <b/>
        <sz val="9"/>
        <color theme="1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$ 16.00</t>
    </r>
  </si>
  <si>
    <r>
      <rPr>
        <b/>
        <sz val="9"/>
        <color theme="1"/>
        <rFont val="Arial"/>
        <family val="2"/>
      </rPr>
      <t>Total for Writing Producer       21749481        Carney, Daniel                                                                                                                                                                                                                                       $ 16.00</t>
    </r>
  </si>
  <si>
    <t>Writing Producer                           8977234                                  Caltagirone, Ryan J</t>
  </si>
  <si>
    <r>
      <rPr>
        <b/>
        <sz val="10"/>
        <color theme="1"/>
        <rFont val="Arial"/>
        <family val="2"/>
      </rPr>
      <t>New Enrollment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</si>
  <si>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</si>
  <si>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</si>
  <si>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</si>
  <si>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</si>
  <si>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Effective Date</t>
    </r>
  </si>
  <si>
    <r>
      <rPr>
        <b/>
        <sz val="9"/>
        <color theme="1"/>
        <rFont val="Arial"/>
        <family val="2"/>
      </rPr>
      <t>Termination 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</si>
  <si>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</si>
  <si>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</si>
  <si>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</si>
  <si>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% of Premium</t>
    </r>
  </si>
  <si>
    <r>
      <rPr>
        <b/>
        <sz val="9"/>
        <color theme="1"/>
        <rFont val="Arial"/>
        <family val="2"/>
      </rPr>
      <t>Commission Based on Premium</t>
    </r>
  </si>
  <si>
    <r>
      <rPr>
        <b/>
        <sz val="9"/>
        <color rgb="FF000000"/>
        <rFont val="Arial"/>
        <family val="2"/>
      </rPr>
      <t xml:space="preserve">Base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</si>
  <si>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rgb="FF000000"/>
        <rFont val="Arial"/>
        <family val="2"/>
      </rPr>
      <t xml:space="preserve">Enhanced PMPM
</t>
    </r>
    <r>
      <rPr>
        <b/>
        <sz val="9"/>
        <color rgb="FF000000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</si>
  <si>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</si>
  <si>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Member Count</t>
    </r>
  </si>
  <si>
    <r>
      <rPr>
        <b/>
        <sz val="9"/>
        <color theme="1"/>
        <rFont val="Arial"/>
        <family val="2"/>
      </rPr>
      <t>Commission Based on 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</si>
  <si>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</si>
  <si>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Total Commission Paid</t>
    </r>
  </si>
  <si>
    <r>
      <rPr>
        <sz val="8"/>
        <color theme="1"/>
        <rFont val="Arial MT"/>
      </rPr>
      <t>GA</t>
    </r>
  </si>
  <si>
    <r>
      <rPr>
        <sz val="8"/>
        <color theme="1"/>
        <rFont val="Arial MT"/>
      </rPr>
      <t>Hirner, Daniel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</si>
  <si>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</si>
  <si>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</si>
  <si>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</si>
  <si>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</si>
  <si>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GA</t>
    </r>
  </si>
  <si>
    <r>
      <rPr>
        <sz val="8"/>
        <color theme="1"/>
        <rFont val="Arial MT"/>
      </rPr>
      <t>Walden, Michelle D.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</si>
  <si>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</si>
  <si>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</si>
  <si>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</si>
  <si>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</si>
  <si>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GA</t>
    </r>
  </si>
  <si>
    <r>
      <rPr>
        <sz val="8"/>
        <color theme="1"/>
        <rFont val="Arial MT"/>
      </rPr>
      <t>Snyder, Tanya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</si>
  <si>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</si>
  <si>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</si>
  <si>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</si>
  <si>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</si>
  <si>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</si>
  <si>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Rutherford, Melissa K.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</si>
  <si>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</si>
  <si>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</si>
  <si>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</si>
  <si>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</si>
  <si>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</si>
  <si>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Estelle, Meloney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</si>
  <si>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</si>
  <si>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</si>
  <si>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</si>
  <si>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</si>
  <si>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</si>
  <si>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Paramore, Brinda J.</t>
    </r>
  </si>
  <si>
    <r>
      <rPr>
        <sz val="8"/>
        <color theme="1"/>
        <rFont val="Arial MT"/>
      </rPr>
      <t>HDHP Preventive Silver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</si>
  <si>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</si>
  <si>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</si>
  <si>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</si>
  <si>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</si>
  <si>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Kettwig, Nicole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</si>
  <si>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</si>
  <si>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</si>
  <si>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</si>
  <si>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</si>
  <si>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</si>
  <si>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Maxwell, Nancy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</si>
  <si>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</si>
  <si>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</si>
  <si>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</si>
  <si>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</si>
  <si>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</si>
  <si>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Roy-Alexander, Dipali</t>
    </r>
  </si>
  <si>
    <r>
      <rPr>
        <sz val="8"/>
        <color theme="1"/>
        <rFont val="Arial MT"/>
      </rPr>
      <t>Healthy Heart Silver 5000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</si>
  <si>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</si>
  <si>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</si>
  <si>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</si>
  <si>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</si>
  <si>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Pittenger, Debra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</si>
  <si>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</si>
  <si>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</si>
  <si>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</si>
  <si>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</si>
  <si>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$ 259.96</t>
    </r>
  </si>
  <si>
    <r>
      <rPr>
        <b/>
        <sz val="10"/>
        <color theme="1"/>
        <rFont val="Arial"/>
        <family val="2"/>
      </rPr>
      <t>Renewals</t>
    </r>
  </si>
  <si>
    <r>
      <rPr>
        <b/>
        <sz val="9"/>
        <color theme="1"/>
        <rFont val="Arial"/>
        <family val="2"/>
      </rPr>
      <t>Effective</t>
    </r>
  </si>
  <si>
    <r>
      <rPr>
        <b/>
        <sz val="9"/>
        <color theme="1"/>
        <rFont val="Arial"/>
        <family val="2"/>
      </rPr>
      <t>Termination</t>
    </r>
  </si>
  <si>
    <r>
      <rPr>
        <b/>
        <sz val="9"/>
        <color theme="1"/>
        <rFont val="Arial"/>
        <family val="2"/>
      </rPr>
      <t>% of</t>
    </r>
  </si>
  <si>
    <r>
      <rPr>
        <b/>
        <sz val="9"/>
        <color theme="1"/>
        <rFont val="Arial"/>
        <family val="2"/>
      </rPr>
      <t>Commission Based on</t>
    </r>
  </si>
  <si>
    <r>
      <rPr>
        <b/>
        <sz val="9"/>
        <color theme="1"/>
        <rFont val="Arial"/>
        <family val="2"/>
      </rPr>
      <t>Base PMPM</t>
    </r>
  </si>
  <si>
    <r>
      <rPr>
        <b/>
        <sz val="9"/>
        <color theme="1"/>
        <rFont val="Arial"/>
        <family val="2"/>
      </rPr>
      <t>Enhanced PMPM</t>
    </r>
  </si>
  <si>
    <r>
      <rPr>
        <b/>
        <sz val="9"/>
        <color theme="1"/>
        <rFont val="Arial"/>
        <family val="2"/>
      </rPr>
      <t>Member</t>
    </r>
  </si>
  <si>
    <r>
      <rPr>
        <b/>
        <sz val="9"/>
        <color theme="1"/>
        <rFont val="Arial"/>
        <family val="2"/>
      </rPr>
      <t>Commission Based on</t>
    </r>
  </si>
  <si>
    <r>
      <rPr>
        <b/>
        <sz val="9"/>
        <color theme="1"/>
        <rFont val="Arial"/>
        <family val="2"/>
      </rPr>
      <t>Total Commission</t>
    </r>
  </si>
  <si>
    <r>
      <rPr>
        <b/>
        <sz val="9"/>
        <color theme="1"/>
        <rFont val="Arial"/>
        <family val="2"/>
      </rPr>
      <t>State</t>
    </r>
  </si>
  <si>
    <r>
      <rPr>
        <b/>
        <sz val="9"/>
        <color theme="1"/>
        <rFont val="Arial"/>
        <family val="2"/>
      </rPr>
      <t>Member ID</t>
    </r>
  </si>
  <si>
    <r>
      <rPr>
        <b/>
        <sz val="9"/>
        <color theme="1"/>
        <rFont val="Arial"/>
        <family val="2"/>
      </rPr>
      <t>Name</t>
    </r>
  </si>
  <si>
    <r>
      <rPr>
        <b/>
        <sz val="9"/>
        <color theme="1"/>
        <rFont val="Arial"/>
        <family val="2"/>
      </rPr>
      <t>Product</t>
    </r>
  </si>
  <si>
    <r>
      <rPr>
        <b/>
        <sz val="9"/>
        <color theme="1"/>
        <rFont val="Arial"/>
        <family val="2"/>
      </rPr>
      <t>Date</t>
    </r>
  </si>
  <si>
    <r>
      <rPr>
        <b/>
        <sz val="9"/>
        <color theme="1"/>
        <rFont val="Arial"/>
        <family val="2"/>
      </rPr>
      <t>Date</t>
    </r>
  </si>
  <si>
    <r>
      <rPr>
        <b/>
        <sz val="9"/>
        <color theme="1"/>
        <rFont val="Arial"/>
        <family val="2"/>
      </rPr>
      <t>Period</t>
    </r>
  </si>
  <si>
    <r>
      <rPr>
        <b/>
        <sz val="9"/>
        <color theme="1"/>
        <rFont val="Arial"/>
        <family val="2"/>
      </rPr>
      <t>Retro ?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</si>
  <si>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</si>
  <si>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</si>
  <si>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Premium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</si>
  <si>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</si>
  <si>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</si>
  <si>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</si>
  <si>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Count</t>
    </r>
  </si>
  <si>
    <r>
      <rPr>
        <b/>
        <sz val="9"/>
        <color theme="1"/>
        <rFont val="Arial"/>
        <family val="2"/>
      </rPr>
      <t>Rate</t>
    </r>
  </si>
  <si>
    <r>
      <rPr>
        <b/>
        <sz val="9"/>
        <color theme="1"/>
        <rFont val="Arial"/>
        <family val="2"/>
      </rPr>
      <t>Override</t>
    </r>
  </si>
  <si>
    <r>
      <rPr>
        <b/>
        <sz val="9"/>
        <color theme="1"/>
        <rFont val="Arial"/>
        <family val="2"/>
      </rPr>
      <t>Paid</t>
    </r>
  </si>
  <si>
    <r>
      <rPr>
        <sz val="8"/>
        <color theme="1"/>
        <rFont val="Arial MT"/>
      </rPr>
      <t>GA</t>
    </r>
  </si>
  <si>
    <t>c</t>
  </si>
  <si>
    <r>
      <rPr>
        <sz val="8"/>
        <color theme="1"/>
        <rFont val="Arial MT"/>
      </rPr>
      <t>Coates, Frida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</si>
  <si>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</si>
  <si>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</si>
  <si>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</si>
  <si>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</si>
  <si>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GA</t>
    </r>
  </si>
  <si>
    <r>
      <rPr>
        <sz val="8"/>
        <color theme="1"/>
        <rFont val="Arial MT"/>
      </rPr>
      <t>Crowe, Gary M.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</si>
  <si>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</si>
  <si>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</si>
  <si>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</si>
  <si>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</si>
  <si>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GA</t>
    </r>
  </si>
  <si>
    <r>
      <rPr>
        <sz val="8"/>
        <color theme="1"/>
        <rFont val="Arial MT"/>
      </rPr>
      <t>Robles, Caroline</t>
    </r>
  </si>
  <si>
    <r>
      <rPr>
        <sz val="8"/>
        <color theme="1"/>
        <rFont val="Arial MT"/>
      </rPr>
      <t>Core Bronze HMO 7500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</si>
  <si>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</si>
  <si>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</si>
  <si>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</si>
  <si>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</si>
  <si>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Hartman, Jerry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</si>
  <si>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</si>
  <si>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</si>
  <si>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</si>
  <si>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</si>
  <si>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</si>
  <si>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Zollars, Samuel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</si>
  <si>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</si>
  <si>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</si>
  <si>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</si>
  <si>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</si>
  <si>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</si>
  <si>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Prescaro, Kimberly</t>
    </r>
  </si>
  <si>
    <r>
      <rPr>
        <sz val="8"/>
        <color theme="1"/>
        <rFont val="Arial MT"/>
      </rPr>
      <t>Low Premium Silver 800 $2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</si>
  <si>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</si>
  <si>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</si>
  <si>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</si>
  <si>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</si>
  <si>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Beach, Sherry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</si>
  <si>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</si>
  <si>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</si>
  <si>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</si>
  <si>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</si>
  <si>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</si>
  <si>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Kissel, Amy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</si>
  <si>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</si>
  <si>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</si>
  <si>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</si>
  <si>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</si>
  <si>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IN</t>
    </r>
  </si>
  <si>
    <r>
      <rPr>
        <sz val="8"/>
        <color theme="1"/>
        <rFont val="Arial MT"/>
      </rPr>
      <t>Kissel, Seth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</si>
  <si>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</si>
  <si>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</si>
  <si>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</si>
  <si>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</si>
  <si>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</si>
  <si>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Dello, Jackie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</si>
  <si>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</si>
  <si>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</si>
  <si>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</si>
  <si>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</si>
  <si>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</si>
  <si>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Mariner, Don J.</t>
    </r>
  </si>
  <si>
    <r>
      <rPr>
        <sz val="8"/>
        <color theme="1"/>
        <rFont val="Arial MT"/>
      </rPr>
      <t>Healthy Heart Silver 4600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</si>
  <si>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</si>
  <si>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</si>
  <si>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</si>
  <si>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</si>
  <si>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Stevanus, Christopher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</si>
  <si>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</si>
  <si>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</si>
  <si>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</si>
  <si>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</si>
  <si>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OH</t>
    </r>
  </si>
  <si>
    <r>
      <rPr>
        <sz val="8"/>
        <color theme="1"/>
        <rFont val="Arial MT"/>
      </rPr>
      <t>Binns, Connie</t>
    </r>
  </si>
  <si>
    <r>
      <rPr>
        <sz val="8"/>
        <color theme="1"/>
        <rFont val="Arial MT"/>
      </rPr>
      <t>Bronze 7500 $25 Generic</t>
    </r>
  </si>
  <si>
    <r>
      <rPr>
        <sz val="8"/>
        <color theme="1"/>
        <rFont val="Arial MT"/>
      </rPr>
      <t>01/2026</t>
    </r>
  </si>
  <si>
    <r>
      <rPr>
        <sz val="8"/>
        <color theme="1"/>
        <rFont val="Arial MT"/>
      </rPr>
      <t>N</t>
    </r>
  </si>
  <si>
    <r>
      <rPr>
        <sz val="8"/>
        <color theme="1"/>
        <rFont val="Arial MT"/>
      </rPr>
      <t>N</t>
    </r>
  </si>
  <si>
    <r>
      <rPr>
        <b/>
        <sz val="9"/>
        <color theme="1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$ 327.53</t>
    </r>
  </si>
  <si>
    <r>
      <rPr>
        <b/>
        <sz val="9"/>
        <color theme="1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$ 587.49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</si>
</sst>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\$#,##0.00"/>
    <numFmt numFmtId="166" formatCode="mm/dd/yyyy"/>
    <numFmt numFmtId="167" formatCode="\$\ #,##0.00"/>
    <numFmt numFmtId="168" formatCode="\$\ 0.00"/>
  </numFmts>
  <fonts count="13">
    <font>
      <sz val="10"/>
      <color rgb="FF000000"/>
      <name val="Times New Roman"/>
      <scheme val="minor"/>
    </font>
    <font>
      <b/>
      <sz val="10"/>
      <color theme="1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theme="1"/>
      <name val="Times New Roman"/>
      <family val="1"/>
      <scheme val="minor"/>
    </font>
    <font>
      <sz val="9"/>
      <color rgb="FF000000"/>
      <name val="Arial MT"/>
    </font>
    <font>
      <b/>
      <vertAlign val="subscript"/>
      <sz val="9"/>
      <color theme="1"/>
      <name val="Arial"/>
      <family val="2"/>
    </font>
    <font>
      <sz val="8"/>
      <color theme="1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" fontId="8" fillId="5" borderId="5" xfId="0" applyNumberFormat="1" applyFont="1" applyFill="1" applyBorder="1" applyAlignment="1">
      <alignment horizontal="center" vertical="top" shrinkToFit="1"/>
    </xf>
    <xf numFmtId="0" fontId="7" fillId="5" borderId="5" xfId="0" applyFont="1" applyFill="1" applyBorder="1" applyAlignment="1">
      <alignment horizontal="left" vertical="top" wrapText="1"/>
    </xf>
    <xf numFmtId="166" fontId="8" fillId="5" borderId="5" xfId="0" applyNumberFormat="1" applyFont="1" applyFill="1" applyBorder="1" applyAlignment="1">
      <alignment horizontal="center" vertical="top" shrinkToFit="1"/>
    </xf>
    <xf numFmtId="0" fontId="3" fillId="5" borderId="5" xfId="0" applyFont="1" applyFill="1" applyBorder="1" applyAlignment="1">
      <alignment horizontal="left" vertical="center" wrapText="1"/>
    </xf>
    <xf numFmtId="167" fontId="8" fillId="5" borderId="5" xfId="0" applyNumberFormat="1" applyFont="1" applyFill="1" applyBorder="1" applyAlignment="1">
      <alignment horizontal="left" vertical="top" shrinkToFit="1"/>
    </xf>
    <xf numFmtId="10" fontId="8" fillId="5" borderId="5" xfId="0" applyNumberFormat="1" applyFont="1" applyFill="1" applyBorder="1" applyAlignment="1">
      <alignment horizontal="right" vertical="top" shrinkToFit="1"/>
    </xf>
    <xf numFmtId="168" fontId="8" fillId="5" borderId="5" xfId="0" applyNumberFormat="1" applyFont="1" applyFill="1" applyBorder="1" applyAlignment="1">
      <alignment horizontal="right" vertical="top" shrinkToFit="1"/>
    </xf>
    <xf numFmtId="168" fontId="8" fillId="5" borderId="5" xfId="0" applyNumberFormat="1" applyFont="1" applyFill="1" applyBorder="1" applyAlignment="1">
      <alignment horizontal="center" vertical="top" shrinkToFit="1"/>
    </xf>
    <xf numFmtId="0" fontId="3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top"/>
    </xf>
    <xf numFmtId="168" fontId="6" fillId="0" borderId="0" xfId="0" applyNumberFormat="1" applyFont="1" applyAlignment="1">
      <alignment horizontal="right" vertical="top" shrinkToFit="1"/>
    </xf>
    <xf numFmtId="0" fontId="3" fillId="0" borderId="5" xfId="0" applyFont="1" applyBorder="1" applyAlignment="1">
      <alignment horizontal="left" wrapText="1"/>
    </xf>
    <xf numFmtId="0" fontId="7" fillId="5" borderId="12" xfId="0" applyFont="1" applyFill="1" applyBorder="1" applyAlignment="1">
      <alignment horizontal="center" vertical="top" wrapText="1"/>
    </xf>
    <xf numFmtId="1" fontId="8" fillId="5" borderId="12" xfId="0" applyNumberFormat="1" applyFont="1" applyFill="1" applyBorder="1" applyAlignment="1">
      <alignment horizontal="center" vertical="top" shrinkToFit="1"/>
    </xf>
    <xf numFmtId="0" fontId="7" fillId="5" borderId="12" xfId="0" applyFont="1" applyFill="1" applyBorder="1" applyAlignment="1">
      <alignment horizontal="left" vertical="top" wrapText="1"/>
    </xf>
    <xf numFmtId="166" fontId="8" fillId="5" borderId="12" xfId="0" applyNumberFormat="1" applyFont="1" applyFill="1" applyBorder="1" applyAlignment="1">
      <alignment horizontal="center" vertical="top" shrinkToFit="1"/>
    </xf>
    <xf numFmtId="0" fontId="3" fillId="5" borderId="12" xfId="0" applyFont="1" applyFill="1" applyBorder="1" applyAlignment="1">
      <alignment horizontal="left" wrapText="1"/>
    </xf>
    <xf numFmtId="167" fontId="8" fillId="5" borderId="12" xfId="0" applyNumberFormat="1" applyFont="1" applyFill="1" applyBorder="1" applyAlignment="1">
      <alignment horizontal="left" vertical="top" shrinkToFit="1"/>
    </xf>
    <xf numFmtId="10" fontId="8" fillId="5" borderId="12" xfId="0" applyNumberFormat="1" applyFont="1" applyFill="1" applyBorder="1" applyAlignment="1">
      <alignment horizontal="right" vertical="top" shrinkToFit="1"/>
    </xf>
    <xf numFmtId="168" fontId="8" fillId="5" borderId="12" xfId="0" applyNumberFormat="1" applyFont="1" applyFill="1" applyBorder="1" applyAlignment="1">
      <alignment horizontal="right" vertical="top" shrinkToFit="1"/>
    </xf>
    <xf numFmtId="168" fontId="8" fillId="5" borderId="12" xfId="0" applyNumberFormat="1" applyFont="1" applyFill="1" applyBorder="1" applyAlignment="1">
      <alignment horizontal="center" vertical="top" shrinkToFit="1"/>
    </xf>
    <xf numFmtId="0" fontId="3" fillId="5" borderId="0" xfId="0" applyFont="1" applyFill="1" applyAlignment="1">
      <alignment horizontal="left" wrapText="1"/>
    </xf>
    <xf numFmtId="0" fontId="3" fillId="4" borderId="13" xfId="0" applyFont="1" applyFill="1" applyBorder="1" applyAlignment="1">
      <alignment horizontal="left" wrapText="1"/>
    </xf>
    <xf numFmtId="0" fontId="1" fillId="4" borderId="13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1" fontId="8" fillId="0" borderId="5" xfId="0" applyNumberFormat="1" applyFont="1" applyBorder="1" applyAlignment="1">
      <alignment horizontal="center" vertical="top" shrinkToFit="1"/>
    </xf>
    <xf numFmtId="0" fontId="7" fillId="0" borderId="5" xfId="0" applyFont="1" applyBorder="1" applyAlignment="1">
      <alignment horizontal="left" vertical="top" wrapText="1"/>
    </xf>
    <xf numFmtId="166" fontId="8" fillId="0" borderId="5" xfId="0" applyNumberFormat="1" applyFont="1" applyBorder="1" applyAlignment="1">
      <alignment horizontal="center" vertical="top" shrinkToFit="1"/>
    </xf>
    <xf numFmtId="167" fontId="8" fillId="0" borderId="5" xfId="0" applyNumberFormat="1" applyFont="1" applyBorder="1" applyAlignment="1">
      <alignment horizontal="left" vertical="top" shrinkToFit="1"/>
    </xf>
    <xf numFmtId="10" fontId="8" fillId="0" borderId="5" xfId="0" applyNumberFormat="1" applyFont="1" applyBorder="1" applyAlignment="1">
      <alignment horizontal="right" vertical="top" shrinkToFit="1"/>
    </xf>
    <xf numFmtId="168" fontId="8" fillId="0" borderId="5" xfId="0" applyNumberFormat="1" applyFont="1" applyBorder="1" applyAlignment="1">
      <alignment horizontal="right" vertical="top" shrinkToFit="1"/>
    </xf>
    <xf numFmtId="168" fontId="8" fillId="0" borderId="5" xfId="0" applyNumberFormat="1" applyFont="1" applyBorder="1" applyAlignment="1">
      <alignment horizontal="center" vertical="top" shrinkToFit="1"/>
    </xf>
    <xf numFmtId="0" fontId="7" fillId="3" borderId="12" xfId="0" applyFont="1" applyFill="1" applyBorder="1" applyAlignment="1">
      <alignment horizontal="center" vertical="top" wrapText="1"/>
    </xf>
    <xf numFmtId="1" fontId="8" fillId="3" borderId="12" xfId="0" applyNumberFormat="1" applyFont="1" applyFill="1" applyBorder="1" applyAlignment="1">
      <alignment horizontal="center" vertical="top" shrinkToFit="1"/>
    </xf>
    <xf numFmtId="0" fontId="7" fillId="3" borderId="12" xfId="0" applyFont="1" applyFill="1" applyBorder="1" applyAlignment="1">
      <alignment horizontal="left" vertical="top" wrapText="1"/>
    </xf>
    <xf numFmtId="166" fontId="8" fillId="3" borderId="12" xfId="0" applyNumberFormat="1" applyFont="1" applyFill="1" applyBorder="1" applyAlignment="1">
      <alignment horizontal="center" vertical="top" shrinkToFit="1"/>
    </xf>
    <xf numFmtId="0" fontId="3" fillId="3" borderId="12" xfId="0" applyFont="1" applyFill="1" applyBorder="1" applyAlignment="1">
      <alignment horizontal="left" wrapText="1"/>
    </xf>
    <xf numFmtId="167" fontId="8" fillId="3" borderId="12" xfId="0" applyNumberFormat="1" applyFont="1" applyFill="1" applyBorder="1" applyAlignment="1">
      <alignment horizontal="right" vertical="top" shrinkToFit="1"/>
    </xf>
    <xf numFmtId="10" fontId="8" fillId="3" borderId="12" xfId="0" applyNumberFormat="1" applyFont="1" applyFill="1" applyBorder="1" applyAlignment="1">
      <alignment horizontal="right" vertical="top" shrinkToFit="1"/>
    </xf>
    <xf numFmtId="168" fontId="8" fillId="3" borderId="12" xfId="0" applyNumberFormat="1" applyFont="1" applyFill="1" applyBorder="1" applyAlignment="1">
      <alignment horizontal="right" vertical="top" shrinkToFit="1"/>
    </xf>
    <xf numFmtId="168" fontId="8" fillId="3" borderId="12" xfId="0" applyNumberFormat="1" applyFont="1" applyFill="1" applyBorder="1" applyAlignment="1">
      <alignment horizontal="center" vertical="top" shrinkToFit="1"/>
    </xf>
    <xf numFmtId="0" fontId="7" fillId="0" borderId="0" xfId="0" applyFont="1" applyAlignment="1">
      <alignment horizontal="center" vertical="top" wrapText="1"/>
    </xf>
    <xf numFmtId="1" fontId="8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left" vertical="top" wrapText="1"/>
    </xf>
    <xf numFmtId="166" fontId="8" fillId="0" borderId="0" xfId="0" applyNumberFormat="1" applyFont="1" applyAlignment="1">
      <alignment horizontal="center" vertical="top" shrinkToFit="1"/>
    </xf>
    <xf numFmtId="167" fontId="8" fillId="0" borderId="0" xfId="0" applyNumberFormat="1" applyFont="1" applyAlignment="1">
      <alignment horizontal="right" vertical="top" shrinkToFit="1"/>
    </xf>
    <xf numFmtId="10" fontId="8" fillId="0" borderId="0" xfId="0" applyNumberFormat="1" applyFont="1" applyAlignment="1">
      <alignment horizontal="right" vertical="top" shrinkToFit="1"/>
    </xf>
    <xf numFmtId="168" fontId="8" fillId="0" borderId="0" xfId="0" applyNumberFormat="1" applyFont="1" applyAlignment="1">
      <alignment horizontal="right" vertical="top" shrinkToFit="1"/>
    </xf>
    <xf numFmtId="168" fontId="8" fillId="0" borderId="0" xfId="0" applyNumberFormat="1" applyFont="1" applyAlignment="1">
      <alignment horizontal="center" vertical="top" shrinkToFit="1"/>
    </xf>
    <xf numFmtId="4" fontId="8" fillId="0" borderId="5" xfId="0" applyNumberFormat="1" applyFont="1" applyBorder="1" applyAlignment="1">
      <alignment horizontal="right" vertical="top" shrinkToFit="1"/>
    </xf>
    <xf numFmtId="167" fontId="8" fillId="5" borderId="12" xfId="0" applyNumberFormat="1" applyFont="1" applyFill="1" applyBorder="1" applyAlignment="1">
      <alignment horizontal="right" vertical="top" shrinkToFit="1"/>
    </xf>
    <xf numFmtId="167" fontId="8" fillId="0" borderId="5" xfId="0" applyNumberFormat="1" applyFont="1" applyBorder="1" applyAlignment="1">
      <alignment horizontal="right" vertical="top" shrinkToFit="1"/>
    </xf>
    <xf numFmtId="0" fontId="7" fillId="5" borderId="0" xfId="0" applyFont="1" applyFill="1" applyAlignment="1">
      <alignment horizontal="center" vertical="top" wrapText="1"/>
    </xf>
    <xf numFmtId="1" fontId="8" fillId="5" borderId="0" xfId="0" applyNumberFormat="1" applyFont="1" applyFill="1" applyAlignment="1">
      <alignment horizontal="center" vertical="top" shrinkToFit="1"/>
    </xf>
    <xf numFmtId="0" fontId="7" fillId="5" borderId="0" xfId="0" applyFont="1" applyFill="1" applyAlignment="1">
      <alignment horizontal="left" vertical="top" wrapText="1"/>
    </xf>
    <xf numFmtId="166" fontId="8" fillId="5" borderId="0" xfId="0" applyNumberFormat="1" applyFont="1" applyFill="1" applyAlignment="1">
      <alignment horizontal="center" vertical="top" shrinkToFit="1"/>
    </xf>
    <xf numFmtId="167" fontId="8" fillId="5" borderId="0" xfId="0" applyNumberFormat="1" applyFont="1" applyFill="1" applyAlignment="1">
      <alignment horizontal="right" vertical="top" shrinkToFit="1"/>
    </xf>
    <xf numFmtId="10" fontId="8" fillId="5" borderId="0" xfId="0" applyNumberFormat="1" applyFont="1" applyFill="1" applyAlignment="1">
      <alignment horizontal="right" vertical="top" shrinkToFit="1"/>
    </xf>
    <xf numFmtId="168" fontId="8" fillId="5" borderId="0" xfId="0" applyNumberFormat="1" applyFont="1" applyFill="1" applyAlignment="1">
      <alignment horizontal="right" vertical="top" shrinkToFit="1"/>
    </xf>
    <xf numFmtId="168" fontId="8" fillId="5" borderId="0" xfId="0" applyNumberFormat="1" applyFont="1" applyFill="1" applyAlignment="1">
      <alignment horizontal="center" vertical="top" shrinkToFit="1"/>
    </xf>
    <xf numFmtId="168" fontId="8" fillId="5" borderId="0" xfId="0" applyNumberFormat="1" applyFont="1" applyFill="1" applyAlignment="1">
      <alignment horizontal="left" vertical="top" shrinkToFit="1"/>
    </xf>
    <xf numFmtId="167" fontId="8" fillId="5" borderId="0" xfId="0" applyNumberFormat="1" applyFont="1" applyFill="1" applyAlignment="1">
      <alignment horizontal="left" vertical="top" shrinkToFit="1"/>
    </xf>
    <xf numFmtId="168" fontId="8" fillId="5" borderId="12" xfId="0" applyNumberFormat="1" applyFont="1" applyFill="1" applyBorder="1" applyAlignment="1">
      <alignment horizontal="left" vertical="top" shrinkToFit="1"/>
    </xf>
    <xf numFmtId="0" fontId="4" fillId="0" borderId="0" xfId="0" applyFont="1" applyAlignment="1">
      <alignment horizontal="center" vertical="top" wrapText="1"/>
    </xf>
    <xf numFmtId="4" fontId="8" fillId="0" borderId="5" xfId="0" applyNumberFormat="1" applyFont="1" applyBorder="1" applyAlignment="1">
      <alignment horizontal="left" vertical="top" shrinkToFit="1"/>
    </xf>
    <xf numFmtId="4" fontId="8" fillId="3" borderId="12" xfId="0" applyNumberFormat="1" applyFont="1" applyFill="1" applyBorder="1" applyAlignment="1">
      <alignment horizontal="left" vertical="top" shrinkToFit="1"/>
    </xf>
    <xf numFmtId="4" fontId="8" fillId="0" borderId="0" xfId="0" applyNumberFormat="1" applyFont="1" applyAlignment="1">
      <alignment horizontal="left" vertical="top" shrinkToFit="1"/>
    </xf>
    <xf numFmtId="167" fontId="8" fillId="0" borderId="0" xfId="0" applyNumberFormat="1" applyFont="1" applyAlignment="1">
      <alignment horizontal="left" vertical="top" shrinkToFit="1"/>
    </xf>
    <xf numFmtId="1" fontId="8" fillId="5" borderId="12" xfId="0" applyNumberFormat="1" applyFont="1" applyFill="1" applyBorder="1" applyAlignment="1">
      <alignment horizontal="left" vertical="top" shrinkToFit="1"/>
    </xf>
    <xf numFmtId="166" fontId="8" fillId="5" borderId="12" xfId="0" applyNumberFormat="1" applyFont="1" applyFill="1" applyBorder="1" applyAlignment="1">
      <alignment horizontal="left" vertical="top" shrinkToFit="1"/>
    </xf>
    <xf numFmtId="167" fontId="8" fillId="5" borderId="12" xfId="0" applyNumberFormat="1" applyFont="1" applyFill="1" applyBorder="1" applyAlignment="1">
      <alignment horizontal="center" vertical="top" shrinkToFit="1"/>
    </xf>
    <xf numFmtId="1" fontId="8" fillId="5" borderId="0" xfId="0" applyNumberFormat="1" applyFont="1" applyFill="1" applyAlignment="1">
      <alignment horizontal="left" vertical="top" shrinkToFit="1"/>
    </xf>
    <xf numFmtId="167" fontId="8" fillId="5" borderId="0" xfId="0" applyNumberFormat="1" applyFont="1" applyFill="1" applyAlignment="1">
      <alignment horizontal="center" vertical="top" shrinkToFit="1"/>
    </xf>
    <xf numFmtId="1" fontId="8" fillId="0" borderId="0" xfId="0" applyNumberFormat="1" applyFont="1" applyAlignment="1">
      <alignment horizontal="left" vertical="top" shrinkToFit="1"/>
    </xf>
    <xf numFmtId="167" fontId="8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 shrinkToFit="1"/>
    </xf>
    <xf numFmtId="0" fontId="2" fillId="0" borderId="4" xfId="0" applyFont="1" applyBorder="1" applyAlignment="1">
      <alignment horizontal="left" vertical="top"/>
    </xf>
    <xf numFmtId="165" fontId="6" fillId="0" borderId="5" xfId="0" applyNumberFormat="1" applyFont="1" applyBorder="1" applyAlignment="1">
      <alignment horizontal="left" vertical="top" shrinkToFit="1"/>
    </xf>
    <xf numFmtId="0" fontId="2" fillId="0" borderId="5" xfId="0" applyFont="1" applyBorder="1" applyAlignment="1">
      <alignment horizontal="left" vertical="top"/>
    </xf>
    <xf numFmtId="165" fontId="6" fillId="0" borderId="0" xfId="0" applyNumberFormat="1" applyFont="1" applyAlignment="1">
      <alignment horizontal="left" vertical="top" shrinkToFit="1"/>
    </xf>
    <xf numFmtId="0" fontId="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4" borderId="9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0" borderId="4" xfId="0" applyFont="1" applyBorder="1" applyAlignment="1">
      <alignment horizontal="left" wrapText="1"/>
    </xf>
    <xf numFmtId="0" fontId="7" fillId="5" borderId="5" xfId="0" applyFont="1" applyFill="1" applyBorder="1" applyAlignment="1">
      <alignment horizontal="left" vertical="top" wrapText="1"/>
    </xf>
    <xf numFmtId="168" fontId="8" fillId="5" borderId="5" xfId="0" applyNumberFormat="1" applyFont="1" applyFill="1" applyBorder="1" applyAlignment="1">
      <alignment horizontal="center" vertical="top" shrinkToFit="1"/>
    </xf>
    <xf numFmtId="0" fontId="4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left" vertical="top" shrinkToFit="1"/>
    </xf>
    <xf numFmtId="164" fontId="6" fillId="3" borderId="1" xfId="0" applyNumberFormat="1" applyFont="1" applyFill="1" applyBorder="1" applyAlignment="1">
      <alignment horizontal="right" vertical="top" shrinkToFit="1"/>
    </xf>
    <xf numFmtId="0" fontId="7" fillId="5" borderId="5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3" fillId="4" borderId="14" xfId="0" applyFont="1" applyFill="1" applyBorder="1" applyAlignment="1">
      <alignment horizontal="left" wrapText="1"/>
    </xf>
    <xf numFmtId="0" fontId="2" fillId="0" borderId="1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168" fontId="8" fillId="5" borderId="1" xfId="0" applyNumberFormat="1" applyFont="1" applyFill="1" applyBorder="1" applyAlignment="1">
      <alignment horizontal="center" vertical="top" shrinkToFit="1"/>
    </xf>
    <xf numFmtId="0" fontId="3" fillId="5" borderId="0" xfId="0" applyFont="1" applyFill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168" fontId="8" fillId="0" borderId="5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wrapText="1"/>
    </xf>
    <xf numFmtId="0" fontId="7" fillId="5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left" vertical="top" wrapText="1"/>
    </xf>
    <xf numFmtId="168" fontId="8" fillId="5" borderId="0" xfId="0" applyNumberFormat="1" applyFont="1" applyFill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/>
    </xf>
    <xf numFmtId="0" fontId="1" fillId="4" borderId="14" xfId="0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68" fontId="8" fillId="0" borderId="0" xfId="0" applyNumberFormat="1" applyFont="1" applyAlignment="1">
      <alignment horizontal="center" vertical="top" shrinkToFit="1"/>
    </xf>
    <xf numFmtId="0" fontId="7" fillId="3" borderId="1" xfId="0" applyFont="1" applyFill="1" applyBorder="1" applyAlignment="1">
      <alignment horizontal="left" vertical="top" wrapText="1"/>
    </xf>
    <xf numFmtId="168" fontId="8" fillId="3" borderId="1" xfId="0" applyNumberFormat="1" applyFont="1" applyFill="1" applyBorder="1" applyAlignment="1">
      <alignment horizontal="center" vertical="top" shrinkToFi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4</xdr:row>
      <xdr:rowOff>76200</xdr:rowOff>
    </xdr:from>
    <xdr:ext cx="107632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6250" y="3780000"/>
          <a:ext cx="1079500" cy="0"/>
        </a:xfrm>
        <a:custGeom>
          <a:avLst/>
          <a:gdLst/>
          <a:ahLst/>
          <a:cxnLst/>
          <a:rect l="l" t="t" r="r" b="b"/>
          <a:pathLst>
            <a:path w="1079500" h="120000" extrusionOk="0">
              <a:moveTo>
                <a:pt x="0" y="0"/>
              </a:moveTo>
              <a:lnTo>
                <a:pt x="107950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A16" workbookViewId="0">
      <selection activeCell="AC30" sqref="AC30"/>
    </sheetView>
  </sheetViews>
  <sheetFormatPr defaultColWidth="14.5" defaultRowHeight="15" customHeight="1"/>
  <cols>
    <col min="1" max="1" width="6.83203125" customWidth="1"/>
    <col min="2" max="2" width="12.6640625" customWidth="1"/>
    <col min="3" max="3" width="20.83203125" customWidth="1"/>
    <col min="4" max="4" width="22" customWidth="1"/>
    <col min="5" max="5" width="1.1640625" customWidth="1"/>
    <col min="6" max="6" width="11.5" customWidth="1"/>
    <col min="7" max="7" width="12.6640625" customWidth="1"/>
    <col min="8" max="8" width="6.83203125" customWidth="1"/>
    <col min="9" max="9" width="1.1640625" customWidth="1"/>
    <col min="10" max="10" width="9.33203125" customWidth="1"/>
    <col min="11" max="11" width="12.6640625" customWidth="1"/>
    <col min="12" max="12" width="10.5" customWidth="1"/>
    <col min="13" max="13" width="15.1640625" customWidth="1"/>
    <col min="14" max="14" width="3.33203125" customWidth="1"/>
    <col min="15" max="15" width="4.6640625" customWidth="1"/>
    <col min="16" max="16" width="8" customWidth="1"/>
    <col min="17" max="17" width="4.6640625" customWidth="1"/>
    <col min="18" max="18" width="3.33203125" customWidth="1"/>
    <col min="19" max="19" width="5.6640625" customWidth="1"/>
    <col min="20" max="20" width="11.5" customWidth="1"/>
    <col min="21" max="21" width="14" customWidth="1"/>
    <col min="22" max="22" width="10.5" customWidth="1"/>
    <col min="23" max="23" width="15.1640625" customWidth="1"/>
    <col min="24" max="25" width="2.33203125" customWidth="1"/>
    <col min="26" max="26" width="8.6640625" customWidth="1"/>
  </cols>
  <sheetData>
    <row r="1" spans="1:25" ht="14.25" customHeight="1">
      <c r="A1" s="117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5"/>
      <c r="Y1" s="1"/>
    </row>
    <row r="2" spans="1:25" ht="20.25" customHeight="1">
      <c r="A2" s="111"/>
      <c r="B2" s="90"/>
      <c r="C2" s="90"/>
      <c r="D2" s="90"/>
      <c r="E2" s="111"/>
      <c r="F2" s="90"/>
      <c r="G2" s="90"/>
      <c r="H2" s="90"/>
      <c r="I2" s="111"/>
      <c r="J2" s="90"/>
      <c r="K2" s="90"/>
      <c r="L2" s="90"/>
      <c r="M2" s="90"/>
      <c r="N2" s="90"/>
      <c r="O2" s="111"/>
      <c r="P2" s="90"/>
      <c r="Q2" s="110" t="s">
        <v>1</v>
      </c>
      <c r="R2" s="90"/>
      <c r="S2" s="90"/>
      <c r="T2" s="90"/>
      <c r="U2" s="90"/>
      <c r="V2" s="90"/>
      <c r="W2" s="90"/>
      <c r="X2" s="90"/>
      <c r="Y2" s="90"/>
    </row>
    <row r="3" spans="1:25" ht="34.5" customHeight="1">
      <c r="A3" s="110" t="s">
        <v>2</v>
      </c>
      <c r="B3" s="90"/>
      <c r="C3" s="90"/>
      <c r="D3" s="90"/>
      <c r="E3" s="90"/>
      <c r="F3" s="90"/>
      <c r="G3" s="90"/>
      <c r="H3" s="90"/>
      <c r="I3" s="111"/>
      <c r="J3" s="90"/>
      <c r="K3" s="90"/>
      <c r="L3" s="90"/>
      <c r="M3" s="90"/>
      <c r="N3" s="90"/>
      <c r="O3" s="111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spans="1:25" ht="5.25" customHeight="1">
      <c r="A4" s="90"/>
      <c r="B4" s="90"/>
      <c r="C4" s="90"/>
      <c r="D4" s="90"/>
      <c r="E4" s="90"/>
      <c r="F4" s="90"/>
      <c r="G4" s="90"/>
      <c r="H4" s="90"/>
      <c r="I4" s="89"/>
      <c r="J4" s="90"/>
      <c r="K4" s="90"/>
      <c r="L4" s="90"/>
      <c r="M4" s="90"/>
      <c r="N4" s="90"/>
      <c r="O4" s="89"/>
      <c r="P4" s="90"/>
      <c r="Q4" s="89"/>
      <c r="R4" s="90"/>
      <c r="S4" s="89"/>
      <c r="T4" s="90"/>
      <c r="U4" s="90"/>
      <c r="V4" s="90"/>
      <c r="W4" s="90"/>
      <c r="X4" s="90"/>
      <c r="Y4" s="1"/>
    </row>
    <row r="5" spans="1:25" ht="20.25" customHeight="1">
      <c r="A5" s="111"/>
      <c r="B5" s="90"/>
      <c r="C5" s="90"/>
      <c r="D5" s="90"/>
      <c r="E5" s="111"/>
      <c r="F5" s="90"/>
      <c r="G5" s="90"/>
      <c r="H5" s="90"/>
      <c r="I5" s="91" t="s">
        <v>3</v>
      </c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30.75" customHeight="1">
      <c r="A6" s="118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ht="43.5" customHeight="1">
      <c r="A7" s="119" t="s">
        <v>5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</row>
    <row r="8" spans="1:25" ht="12.75" customHeight="1">
      <c r="A8" s="89"/>
      <c r="B8" s="90"/>
      <c r="C8" s="90"/>
      <c r="D8" s="90"/>
      <c r="E8" s="91" t="s">
        <v>6</v>
      </c>
      <c r="F8" s="90"/>
      <c r="G8" s="90"/>
      <c r="H8" s="90"/>
      <c r="I8" s="90"/>
      <c r="J8" s="90"/>
      <c r="K8" s="90"/>
      <c r="L8" s="90"/>
      <c r="M8" s="90"/>
      <c r="N8" s="90"/>
      <c r="O8" s="92">
        <v>0</v>
      </c>
      <c r="P8" s="90"/>
      <c r="Q8" s="90"/>
      <c r="R8" s="90"/>
      <c r="S8" s="89"/>
      <c r="T8" s="90"/>
      <c r="U8" s="90"/>
      <c r="V8" s="90"/>
      <c r="W8" s="90"/>
      <c r="X8" s="90"/>
      <c r="Y8" s="1"/>
    </row>
    <row r="9" spans="1:25" ht="12.75" customHeight="1">
      <c r="A9" s="89"/>
      <c r="B9" s="90"/>
      <c r="C9" s="90"/>
      <c r="D9" s="90"/>
      <c r="E9" s="93" t="s">
        <v>7</v>
      </c>
      <c r="F9" s="94"/>
      <c r="G9" s="94"/>
      <c r="H9" s="94"/>
      <c r="I9" s="94"/>
      <c r="J9" s="94"/>
      <c r="K9" s="94"/>
      <c r="L9" s="94"/>
      <c r="M9" s="94"/>
      <c r="N9" s="95"/>
      <c r="O9" s="120">
        <v>1411.23</v>
      </c>
      <c r="P9" s="94"/>
      <c r="Q9" s="94"/>
      <c r="R9" s="95"/>
      <c r="S9" s="89"/>
      <c r="T9" s="90"/>
      <c r="U9" s="90"/>
      <c r="V9" s="90"/>
      <c r="W9" s="90"/>
      <c r="X9" s="90"/>
      <c r="Y9" s="1"/>
    </row>
    <row r="10" spans="1:25" ht="12.75" customHeight="1">
      <c r="A10" s="89"/>
      <c r="B10" s="90"/>
      <c r="C10" s="90"/>
      <c r="D10" s="90"/>
      <c r="E10" s="91" t="s">
        <v>8</v>
      </c>
      <c r="F10" s="90"/>
      <c r="G10" s="90"/>
      <c r="H10" s="90"/>
      <c r="I10" s="90"/>
      <c r="J10" s="90"/>
      <c r="K10" s="90"/>
      <c r="L10" s="90"/>
      <c r="M10" s="90"/>
      <c r="N10" s="90"/>
      <c r="O10" s="92">
        <v>0</v>
      </c>
      <c r="P10" s="90"/>
      <c r="Q10" s="90"/>
      <c r="R10" s="90"/>
      <c r="S10" s="89"/>
      <c r="T10" s="90"/>
      <c r="U10" s="90"/>
      <c r="V10" s="90"/>
      <c r="W10" s="90"/>
      <c r="X10" s="90"/>
      <c r="Y10" s="1"/>
    </row>
    <row r="11" spans="1:25" ht="12.75" customHeight="1">
      <c r="A11" s="89"/>
      <c r="B11" s="90"/>
      <c r="C11" s="90"/>
      <c r="D11" s="90"/>
      <c r="E11" s="93" t="s">
        <v>9</v>
      </c>
      <c r="F11" s="94"/>
      <c r="G11" s="94"/>
      <c r="H11" s="94"/>
      <c r="I11" s="94"/>
      <c r="J11" s="94"/>
      <c r="K11" s="94"/>
      <c r="L11" s="94"/>
      <c r="M11" s="94"/>
      <c r="N11" s="95"/>
      <c r="O11" s="121">
        <v>0</v>
      </c>
      <c r="P11" s="94"/>
      <c r="Q11" s="94"/>
      <c r="R11" s="95"/>
      <c r="S11" s="89"/>
      <c r="T11" s="90"/>
      <c r="U11" s="90"/>
      <c r="V11" s="90"/>
      <c r="W11" s="90"/>
      <c r="X11" s="90"/>
      <c r="Y11" s="1"/>
    </row>
    <row r="12" spans="1:25" ht="12.75" customHeight="1">
      <c r="A12" s="89"/>
      <c r="B12" s="90"/>
      <c r="C12" s="90"/>
      <c r="D12" s="90"/>
      <c r="E12" s="91" t="s">
        <v>10</v>
      </c>
      <c r="F12" s="90"/>
      <c r="G12" s="90"/>
      <c r="H12" s="90"/>
      <c r="I12" s="90"/>
      <c r="J12" s="90"/>
      <c r="K12" s="90"/>
      <c r="L12" s="90"/>
      <c r="M12" s="90"/>
      <c r="N12" s="90"/>
      <c r="O12" s="96">
        <v>0</v>
      </c>
      <c r="P12" s="97"/>
      <c r="Q12" s="97"/>
      <c r="R12" s="97"/>
      <c r="S12" s="89"/>
      <c r="T12" s="90"/>
      <c r="U12" s="90"/>
      <c r="V12" s="90"/>
      <c r="W12" s="90"/>
      <c r="X12" s="90"/>
      <c r="Y12" s="1"/>
    </row>
    <row r="13" spans="1:25" ht="16.5" customHeight="1">
      <c r="A13" s="89"/>
      <c r="B13" s="90"/>
      <c r="C13" s="90"/>
      <c r="D13" s="90"/>
      <c r="E13" s="91" t="s">
        <v>11</v>
      </c>
      <c r="F13" s="90"/>
      <c r="G13" s="90"/>
      <c r="H13" s="90"/>
      <c r="I13" s="90"/>
      <c r="J13" s="90"/>
      <c r="K13" s="90"/>
      <c r="L13" s="90"/>
      <c r="M13" s="90"/>
      <c r="N13" s="90"/>
      <c r="O13" s="98">
        <v>1411.23</v>
      </c>
      <c r="P13" s="99"/>
      <c r="Q13" s="99"/>
      <c r="R13" s="99"/>
      <c r="S13" s="89"/>
      <c r="T13" s="90"/>
      <c r="U13" s="90"/>
      <c r="V13" s="90"/>
      <c r="W13" s="90"/>
      <c r="X13" s="90"/>
      <c r="Y13" s="1"/>
    </row>
    <row r="14" spans="1:25" ht="18" customHeight="1">
      <c r="A14" s="89"/>
      <c r="B14" s="90"/>
      <c r="C14" s="90"/>
      <c r="D14" s="90"/>
      <c r="E14" s="91" t="s">
        <v>12</v>
      </c>
      <c r="F14" s="90"/>
      <c r="G14" s="90"/>
      <c r="H14" s="90"/>
      <c r="I14" s="90"/>
      <c r="J14" s="90"/>
      <c r="K14" s="90"/>
      <c r="L14" s="90"/>
      <c r="M14" s="90"/>
      <c r="N14" s="90"/>
      <c r="O14" s="100">
        <v>1411.23</v>
      </c>
      <c r="P14" s="90"/>
      <c r="Q14" s="90"/>
      <c r="R14" s="90"/>
      <c r="S14" s="89"/>
      <c r="T14" s="90"/>
      <c r="U14" s="90"/>
      <c r="V14" s="90"/>
      <c r="W14" s="90"/>
      <c r="X14" s="90"/>
      <c r="Y14" s="1"/>
    </row>
    <row r="15" spans="1:25" ht="12.75" customHeight="1">
      <c r="A15" s="89"/>
      <c r="B15" s="90"/>
      <c r="C15" s="90"/>
      <c r="D15" s="90"/>
      <c r="E15" s="91" t="s">
        <v>13</v>
      </c>
      <c r="F15" s="90"/>
      <c r="G15" s="90"/>
      <c r="H15" s="90"/>
      <c r="I15" s="90"/>
      <c r="J15" s="90"/>
      <c r="K15" s="90"/>
      <c r="L15" s="90"/>
      <c r="M15" s="90"/>
      <c r="N15" s="90"/>
      <c r="O15" s="92">
        <v>0</v>
      </c>
      <c r="P15" s="90"/>
      <c r="Q15" s="90"/>
      <c r="R15" s="90"/>
      <c r="S15" s="89"/>
      <c r="T15" s="90"/>
      <c r="U15" s="90"/>
      <c r="V15" s="90"/>
      <c r="W15" s="90"/>
      <c r="X15" s="90"/>
      <c r="Y15" s="1"/>
    </row>
    <row r="16" spans="1:25" ht="16.5" customHeight="1">
      <c r="A16" s="103" t="s">
        <v>14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89"/>
      <c r="Y16" s="90"/>
    </row>
    <row r="17" spans="1:29" ht="14.25" customHeight="1">
      <c r="A17" s="106" t="s">
        <v>15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8"/>
      <c r="X17" s="89"/>
      <c r="Y17" s="90"/>
    </row>
    <row r="18" spans="1:29" ht="38.25" customHeight="1">
      <c r="A18" s="4" t="s">
        <v>16</v>
      </c>
      <c r="B18" s="4" t="s">
        <v>17</v>
      </c>
      <c r="C18" s="5" t="s">
        <v>18</v>
      </c>
      <c r="D18" s="113" t="s">
        <v>19</v>
      </c>
      <c r="E18" s="97"/>
      <c r="F18" s="6" t="s">
        <v>20</v>
      </c>
      <c r="G18" s="6" t="s">
        <v>21</v>
      </c>
      <c r="H18" s="102" t="s">
        <v>22</v>
      </c>
      <c r="I18" s="97"/>
      <c r="J18" s="4" t="s">
        <v>23</v>
      </c>
      <c r="K18" s="5" t="s">
        <v>24</v>
      </c>
      <c r="L18" s="6" t="s">
        <v>25</v>
      </c>
      <c r="M18" s="7" t="s">
        <v>26</v>
      </c>
      <c r="N18" s="109" t="s">
        <v>27</v>
      </c>
      <c r="O18" s="97"/>
      <c r="P18" s="101" t="s">
        <v>28</v>
      </c>
      <c r="Q18" s="97"/>
      <c r="R18" s="102" t="s">
        <v>29</v>
      </c>
      <c r="S18" s="97"/>
      <c r="T18" s="6" t="s">
        <v>30</v>
      </c>
      <c r="U18" s="8" t="s">
        <v>31</v>
      </c>
      <c r="V18" s="4" t="s">
        <v>32</v>
      </c>
      <c r="W18" s="8" t="s">
        <v>33</v>
      </c>
      <c r="X18" s="110"/>
      <c r="Y18" s="90"/>
    </row>
    <row r="19" spans="1:29" ht="18.75" customHeight="1">
      <c r="A19" s="9" t="s">
        <v>34</v>
      </c>
      <c r="B19" s="10">
        <v>111593834</v>
      </c>
      <c r="C19" s="11" t="s">
        <v>35</v>
      </c>
      <c r="D19" s="114" t="s">
        <v>36</v>
      </c>
      <c r="E19" s="99"/>
      <c r="F19" s="12">
        <v>46023</v>
      </c>
      <c r="G19" s="13"/>
      <c r="H19" s="122" t="s">
        <v>37</v>
      </c>
      <c r="I19" s="99"/>
      <c r="J19" s="9" t="s">
        <v>38</v>
      </c>
      <c r="K19" s="14">
        <v>1118.1500000000001</v>
      </c>
      <c r="L19" s="15">
        <v>0</v>
      </c>
      <c r="M19" s="16">
        <v>0</v>
      </c>
      <c r="N19" s="115">
        <v>15</v>
      </c>
      <c r="O19" s="99"/>
      <c r="P19" s="115">
        <v>0</v>
      </c>
      <c r="Q19" s="99"/>
      <c r="R19" s="115">
        <v>15</v>
      </c>
      <c r="S19" s="99"/>
      <c r="T19" s="10">
        <v>1</v>
      </c>
      <c r="U19" s="17">
        <v>15</v>
      </c>
      <c r="V19" s="9" t="s">
        <v>39</v>
      </c>
      <c r="W19" s="16">
        <v>15</v>
      </c>
      <c r="X19" s="112"/>
      <c r="Y19" s="90"/>
      <c r="Z19" s="19"/>
    </row>
    <row r="20" spans="1:29" ht="28.5" customHeight="1">
      <c r="A20" s="2"/>
      <c r="B20" s="2"/>
      <c r="C20" s="2"/>
      <c r="D20" s="116" t="s">
        <v>40</v>
      </c>
      <c r="E20" s="90"/>
      <c r="F20" s="2"/>
      <c r="G20" s="2"/>
      <c r="H20" s="111"/>
      <c r="I20" s="90"/>
      <c r="J20" s="2"/>
      <c r="K20" s="2"/>
      <c r="L20" s="2"/>
      <c r="M20" s="2"/>
      <c r="N20" s="111"/>
      <c r="O20" s="90"/>
      <c r="P20" s="111"/>
      <c r="Q20" s="90"/>
      <c r="R20" s="111"/>
      <c r="S20" s="90"/>
      <c r="T20" s="2"/>
      <c r="U20" s="2"/>
      <c r="V20" s="2"/>
      <c r="W20" s="20">
        <v>15</v>
      </c>
      <c r="X20" s="111"/>
      <c r="Y20" s="90"/>
    </row>
    <row r="21" spans="1:29" ht="64.5" customHeight="1">
      <c r="A21" s="91" t="s">
        <v>41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 spans="1:29" ht="16.5" customHeight="1">
      <c r="A22" s="103" t="s">
        <v>42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11"/>
      <c r="Y22" s="90"/>
    </row>
    <row r="23" spans="1:29" ht="14.25" customHeight="1">
      <c r="A23" s="106" t="s">
        <v>43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8"/>
      <c r="X23" s="89"/>
      <c r="Y23" s="90"/>
    </row>
    <row r="24" spans="1:29" ht="38.25" customHeight="1">
      <c r="A24" s="4" t="s">
        <v>44</v>
      </c>
      <c r="B24" s="4" t="s">
        <v>45</v>
      </c>
      <c r="C24" s="5" t="s">
        <v>46</v>
      </c>
      <c r="D24" s="113" t="s">
        <v>47</v>
      </c>
      <c r="E24" s="97"/>
      <c r="F24" s="6" t="s">
        <v>48</v>
      </c>
      <c r="G24" s="6" t="s">
        <v>49</v>
      </c>
      <c r="H24" s="102" t="s">
        <v>50</v>
      </c>
      <c r="I24" s="97"/>
      <c r="J24" s="4" t="s">
        <v>51</v>
      </c>
      <c r="K24" s="5" t="s">
        <v>52</v>
      </c>
      <c r="L24" s="6" t="s">
        <v>53</v>
      </c>
      <c r="M24" s="7" t="s">
        <v>54</v>
      </c>
      <c r="N24" s="109" t="s">
        <v>55</v>
      </c>
      <c r="O24" s="97"/>
      <c r="P24" s="101" t="s">
        <v>56</v>
      </c>
      <c r="Q24" s="97"/>
      <c r="R24" s="102" t="s">
        <v>57</v>
      </c>
      <c r="S24" s="97"/>
      <c r="T24" s="6" t="s">
        <v>58</v>
      </c>
      <c r="U24" s="8" t="s">
        <v>59</v>
      </c>
      <c r="V24" s="4" t="s">
        <v>60</v>
      </c>
      <c r="W24" s="8" t="s">
        <v>61</v>
      </c>
      <c r="X24" s="110"/>
      <c r="Y24" s="90"/>
    </row>
    <row r="25" spans="1:29" ht="5.25" customHeight="1">
      <c r="A25" s="21"/>
      <c r="B25" s="21"/>
      <c r="C25" s="21"/>
      <c r="D25" s="125"/>
      <c r="E25" s="99"/>
      <c r="F25" s="21"/>
      <c r="G25" s="21"/>
      <c r="H25" s="125"/>
      <c r="I25" s="99"/>
      <c r="J25" s="21"/>
      <c r="K25" s="21"/>
      <c r="L25" s="21"/>
      <c r="M25" s="21"/>
      <c r="N25" s="125"/>
      <c r="O25" s="99"/>
      <c r="P25" s="125"/>
      <c r="Q25" s="99"/>
      <c r="R25" s="125"/>
      <c r="S25" s="99"/>
      <c r="T25" s="21"/>
      <c r="U25" s="21"/>
      <c r="V25" s="21"/>
      <c r="W25" s="21"/>
      <c r="X25" s="89"/>
      <c r="Y25" s="90"/>
    </row>
    <row r="26" spans="1:29" ht="12" customHeight="1">
      <c r="A26" s="22" t="s">
        <v>62</v>
      </c>
      <c r="B26" s="23">
        <v>112977808</v>
      </c>
      <c r="C26" s="24" t="s">
        <v>63</v>
      </c>
      <c r="D26" s="126" t="s">
        <v>64</v>
      </c>
      <c r="E26" s="95"/>
      <c r="F26" s="25">
        <v>46023</v>
      </c>
      <c r="G26" s="26"/>
      <c r="H26" s="127" t="s">
        <v>65</v>
      </c>
      <c r="I26" s="95"/>
      <c r="J26" s="22" t="s">
        <v>66</v>
      </c>
      <c r="K26" s="27">
        <v>1104.7</v>
      </c>
      <c r="L26" s="28">
        <v>0</v>
      </c>
      <c r="M26" s="29">
        <v>0</v>
      </c>
      <c r="N26" s="131">
        <v>10</v>
      </c>
      <c r="O26" s="95"/>
      <c r="P26" s="131">
        <v>0</v>
      </c>
      <c r="Q26" s="95"/>
      <c r="R26" s="131">
        <v>10</v>
      </c>
      <c r="S26" s="95"/>
      <c r="T26" s="23">
        <v>1</v>
      </c>
      <c r="U26" s="30">
        <v>10</v>
      </c>
      <c r="V26" s="22" t="s">
        <v>67</v>
      </c>
      <c r="W26" s="29">
        <v>10</v>
      </c>
      <c r="X26" s="132"/>
      <c r="Y26" s="90"/>
      <c r="Z26" s="19"/>
    </row>
    <row r="27" spans="1:29" ht="21.75" customHeight="1">
      <c r="A27" s="91" t="s">
        <v>68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111"/>
      <c r="Y27" s="90"/>
    </row>
    <row r="28" spans="1:29" ht="14.25" customHeight="1">
      <c r="A28" s="32"/>
      <c r="B28" s="32"/>
      <c r="C28" s="32"/>
      <c r="D28" s="128"/>
      <c r="E28" s="129"/>
      <c r="F28" s="32"/>
      <c r="G28" s="32"/>
      <c r="H28" s="128"/>
      <c r="I28" s="129"/>
      <c r="J28" s="32"/>
      <c r="K28" s="33" t="s">
        <v>69</v>
      </c>
      <c r="L28" s="32"/>
      <c r="M28" s="32"/>
      <c r="N28" s="128"/>
      <c r="O28" s="129"/>
      <c r="P28" s="128"/>
      <c r="Q28" s="129"/>
      <c r="R28" s="128"/>
      <c r="S28" s="129"/>
      <c r="T28" s="32"/>
      <c r="U28" s="32"/>
      <c r="V28" s="32"/>
      <c r="W28" s="32"/>
      <c r="X28" s="89"/>
      <c r="Y28" s="90"/>
    </row>
    <row r="29" spans="1:29" ht="25.5" customHeight="1">
      <c r="A29" s="34"/>
      <c r="B29" s="34"/>
      <c r="C29" s="34"/>
      <c r="D29" s="123"/>
      <c r="E29" s="99"/>
      <c r="F29" s="35" t="s">
        <v>70</v>
      </c>
      <c r="G29" s="35" t="s">
        <v>71</v>
      </c>
      <c r="H29" s="123"/>
      <c r="I29" s="99"/>
      <c r="J29" s="34"/>
      <c r="K29" s="34"/>
      <c r="L29" s="36" t="s">
        <v>72</v>
      </c>
      <c r="M29" s="37" t="s">
        <v>73</v>
      </c>
      <c r="N29" s="133" t="s">
        <v>74</v>
      </c>
      <c r="O29" s="99"/>
      <c r="P29" s="133" t="s">
        <v>75</v>
      </c>
      <c r="Q29" s="99"/>
      <c r="R29" s="123"/>
      <c r="S29" s="99"/>
      <c r="T29" s="35" t="s">
        <v>76</v>
      </c>
      <c r="U29" s="37" t="s">
        <v>77</v>
      </c>
      <c r="V29" s="34"/>
      <c r="W29" s="37" t="s">
        <v>78</v>
      </c>
      <c r="X29" s="111"/>
      <c r="Y29" s="90"/>
      <c r="AB29">
        <f>34.44+2.94+4.62</f>
        <v>41.999999999999993</v>
      </c>
      <c r="AC29">
        <f>35.28+2.94+3.78</f>
        <v>42</v>
      </c>
    </row>
    <row r="30" spans="1:29" ht="12.75" customHeight="1">
      <c r="A30" s="8" t="s">
        <v>79</v>
      </c>
      <c r="B30" s="8" t="s">
        <v>80</v>
      </c>
      <c r="C30" s="7" t="s">
        <v>81</v>
      </c>
      <c r="D30" s="130" t="s">
        <v>82</v>
      </c>
      <c r="E30" s="97"/>
      <c r="F30" s="8" t="s">
        <v>83</v>
      </c>
      <c r="G30" s="8" t="s">
        <v>84</v>
      </c>
      <c r="H30" s="124" t="s">
        <v>85</v>
      </c>
      <c r="I30" s="97"/>
      <c r="J30" s="8" t="s">
        <v>86</v>
      </c>
      <c r="K30" s="7" t="s">
        <v>87</v>
      </c>
      <c r="L30" s="7" t="s">
        <v>88</v>
      </c>
      <c r="M30" s="7" t="s">
        <v>89</v>
      </c>
      <c r="N30" s="124" t="s">
        <v>90</v>
      </c>
      <c r="O30" s="97"/>
      <c r="P30" s="124" t="s">
        <v>91</v>
      </c>
      <c r="Q30" s="97"/>
      <c r="R30" s="124" t="s">
        <v>92</v>
      </c>
      <c r="S30" s="97"/>
      <c r="T30" s="8" t="s">
        <v>93</v>
      </c>
      <c r="U30" s="8" t="s">
        <v>94</v>
      </c>
      <c r="V30" s="8" t="s">
        <v>95</v>
      </c>
      <c r="W30" s="7" t="s">
        <v>96</v>
      </c>
      <c r="X30" s="111"/>
      <c r="Y30" s="90"/>
    </row>
    <row r="31" spans="1:29" ht="18.75" customHeight="1">
      <c r="A31" s="38" t="s">
        <v>97</v>
      </c>
      <c r="B31" s="39">
        <v>110995709</v>
      </c>
      <c r="C31" s="40" t="s">
        <v>98</v>
      </c>
      <c r="D31" s="134" t="s">
        <v>99</v>
      </c>
      <c r="E31" s="99"/>
      <c r="F31" s="41">
        <v>46023</v>
      </c>
      <c r="G31" s="34"/>
      <c r="H31" s="135" t="s">
        <v>100</v>
      </c>
      <c r="I31" s="99"/>
      <c r="J31" s="38" t="s">
        <v>101</v>
      </c>
      <c r="K31" s="42">
        <v>2093.44</v>
      </c>
      <c r="L31" s="43">
        <v>0</v>
      </c>
      <c r="M31" s="44">
        <v>0</v>
      </c>
      <c r="N31" s="136">
        <v>21</v>
      </c>
      <c r="O31" s="99"/>
      <c r="P31" s="136">
        <v>0</v>
      </c>
      <c r="Q31" s="99"/>
      <c r="R31" s="136">
        <v>21</v>
      </c>
      <c r="S31" s="99"/>
      <c r="T31" s="39">
        <v>2</v>
      </c>
      <c r="U31" s="45">
        <v>42</v>
      </c>
      <c r="V31" s="38" t="s">
        <v>102</v>
      </c>
      <c r="W31" s="44">
        <v>42</v>
      </c>
      <c r="X31" s="111"/>
      <c r="Y31" s="90"/>
    </row>
    <row r="32" spans="1:29" ht="13.5" customHeight="1">
      <c r="A32" s="1"/>
      <c r="B32" s="1"/>
      <c r="C32" s="1"/>
      <c r="D32" s="116" t="s">
        <v>103</v>
      </c>
      <c r="E32" s="90"/>
      <c r="F32" s="1"/>
      <c r="G32" s="1"/>
      <c r="H32" s="89"/>
      <c r="I32" s="90"/>
      <c r="J32" s="1"/>
      <c r="K32" s="1"/>
      <c r="L32" s="1"/>
      <c r="M32" s="1"/>
      <c r="N32" s="89"/>
      <c r="O32" s="90"/>
      <c r="P32" s="89"/>
      <c r="Q32" s="90"/>
      <c r="R32" s="89"/>
      <c r="S32" s="90"/>
      <c r="T32" s="1"/>
      <c r="U32" s="1"/>
      <c r="V32" s="1"/>
      <c r="W32" s="20">
        <v>42</v>
      </c>
      <c r="X32" s="89"/>
      <c r="Y32" s="90"/>
    </row>
    <row r="33" spans="1:25" ht="203.25" customHeight="1">
      <c r="A33" s="137" t="s">
        <v>104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 spans="1:25" ht="16.5" customHeight="1">
      <c r="A34" s="103" t="s">
        <v>105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11"/>
      <c r="Y34" s="90"/>
    </row>
    <row r="35" spans="1:25" ht="14.25" customHeight="1">
      <c r="A35" s="106" t="s">
        <v>106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8"/>
      <c r="X35" s="89"/>
      <c r="Y35" s="90"/>
    </row>
    <row r="36" spans="1:25" ht="38.25" customHeight="1">
      <c r="A36" s="4" t="s">
        <v>107</v>
      </c>
      <c r="B36" s="4" t="s">
        <v>108</v>
      </c>
      <c r="C36" s="5" t="s">
        <v>109</v>
      </c>
      <c r="D36" s="113" t="s">
        <v>110</v>
      </c>
      <c r="E36" s="97"/>
      <c r="F36" s="6" t="s">
        <v>111</v>
      </c>
      <c r="G36" s="6" t="s">
        <v>112</v>
      </c>
      <c r="H36" s="102" t="s">
        <v>113</v>
      </c>
      <c r="I36" s="97"/>
      <c r="J36" s="4" t="s">
        <v>114</v>
      </c>
      <c r="K36" s="5" t="s">
        <v>115</v>
      </c>
      <c r="L36" s="6" t="s">
        <v>116</v>
      </c>
      <c r="M36" s="7" t="s">
        <v>117</v>
      </c>
      <c r="N36" s="109" t="s">
        <v>118</v>
      </c>
      <c r="O36" s="97"/>
      <c r="P36" s="101" t="s">
        <v>119</v>
      </c>
      <c r="Q36" s="97"/>
      <c r="R36" s="102" t="s">
        <v>120</v>
      </c>
      <c r="S36" s="97"/>
      <c r="T36" s="6" t="s">
        <v>121</v>
      </c>
      <c r="U36" s="8" t="s">
        <v>122</v>
      </c>
      <c r="V36" s="4" t="s">
        <v>123</v>
      </c>
      <c r="W36" s="8" t="s">
        <v>124</v>
      </c>
      <c r="X36" s="110"/>
      <c r="Y36" s="90"/>
    </row>
    <row r="37" spans="1:25" ht="5.25" customHeight="1">
      <c r="A37" s="21"/>
      <c r="B37" s="21"/>
      <c r="C37" s="21"/>
      <c r="D37" s="125"/>
      <c r="E37" s="99"/>
      <c r="F37" s="21"/>
      <c r="G37" s="21"/>
      <c r="H37" s="125"/>
      <c r="I37" s="99"/>
      <c r="J37" s="21"/>
      <c r="K37" s="21"/>
      <c r="L37" s="21"/>
      <c r="M37" s="21"/>
      <c r="N37" s="125"/>
      <c r="O37" s="99"/>
      <c r="P37" s="125"/>
      <c r="Q37" s="99"/>
      <c r="R37" s="125"/>
      <c r="S37" s="99"/>
      <c r="T37" s="21"/>
      <c r="U37" s="21"/>
      <c r="V37" s="21"/>
      <c r="W37" s="21"/>
      <c r="X37" s="89"/>
      <c r="Y37" s="90"/>
    </row>
    <row r="38" spans="1:25" ht="12" customHeight="1">
      <c r="A38" s="46" t="s">
        <v>125</v>
      </c>
      <c r="B38" s="47">
        <v>110103887</v>
      </c>
      <c r="C38" s="48" t="s">
        <v>126</v>
      </c>
      <c r="D38" s="149" t="s">
        <v>127</v>
      </c>
      <c r="E38" s="95"/>
      <c r="F38" s="49">
        <v>46023</v>
      </c>
      <c r="G38" s="50"/>
      <c r="H38" s="146" t="s">
        <v>128</v>
      </c>
      <c r="I38" s="95"/>
      <c r="J38" s="46" t="s">
        <v>129</v>
      </c>
      <c r="K38" s="51">
        <v>1970.84</v>
      </c>
      <c r="L38" s="52">
        <v>0</v>
      </c>
      <c r="M38" s="53">
        <v>0</v>
      </c>
      <c r="N38" s="150">
        <v>20</v>
      </c>
      <c r="O38" s="95"/>
      <c r="P38" s="150">
        <v>0</v>
      </c>
      <c r="Q38" s="95"/>
      <c r="R38" s="150">
        <v>20</v>
      </c>
      <c r="S38" s="95"/>
      <c r="T38" s="47">
        <v>1</v>
      </c>
      <c r="U38" s="54">
        <v>20</v>
      </c>
      <c r="V38" s="46" t="s">
        <v>130</v>
      </c>
      <c r="W38" s="53">
        <v>20</v>
      </c>
      <c r="X38" s="89"/>
      <c r="Y38" s="90"/>
    </row>
    <row r="39" spans="1:25" ht="12" customHeight="1">
      <c r="A39" s="55" t="s">
        <v>131</v>
      </c>
      <c r="B39" s="56">
        <v>110809733</v>
      </c>
      <c r="C39" s="57" t="s">
        <v>132</v>
      </c>
      <c r="D39" s="151" t="s">
        <v>133</v>
      </c>
      <c r="E39" s="90"/>
      <c r="F39" s="58">
        <v>46023</v>
      </c>
      <c r="G39" s="1"/>
      <c r="H39" s="147" t="s">
        <v>134</v>
      </c>
      <c r="I39" s="90"/>
      <c r="J39" s="55" t="s">
        <v>135</v>
      </c>
      <c r="K39" s="59">
        <v>1891.91</v>
      </c>
      <c r="L39" s="60">
        <v>0</v>
      </c>
      <c r="M39" s="61">
        <v>0</v>
      </c>
      <c r="N39" s="148">
        <v>20</v>
      </c>
      <c r="O39" s="90"/>
      <c r="P39" s="148">
        <v>0</v>
      </c>
      <c r="Q39" s="90"/>
      <c r="R39" s="148">
        <v>20</v>
      </c>
      <c r="S39" s="90"/>
      <c r="T39" s="56">
        <v>1</v>
      </c>
      <c r="U39" s="62">
        <v>20</v>
      </c>
      <c r="V39" s="55" t="s">
        <v>136</v>
      </c>
      <c r="W39" s="61">
        <v>20</v>
      </c>
      <c r="X39" s="89"/>
      <c r="Y39" s="90"/>
    </row>
    <row r="40" spans="1:25" ht="12" customHeight="1">
      <c r="A40" s="46" t="s">
        <v>137</v>
      </c>
      <c r="B40" s="47">
        <v>112319621</v>
      </c>
      <c r="C40" s="48" t="s">
        <v>138</v>
      </c>
      <c r="D40" s="149" t="s">
        <v>139</v>
      </c>
      <c r="E40" s="95"/>
      <c r="F40" s="49">
        <v>46023</v>
      </c>
      <c r="G40" s="50"/>
      <c r="H40" s="146" t="s">
        <v>140</v>
      </c>
      <c r="I40" s="95"/>
      <c r="J40" s="46" t="s">
        <v>141</v>
      </c>
      <c r="K40" s="51">
        <v>3462.7</v>
      </c>
      <c r="L40" s="52">
        <v>0</v>
      </c>
      <c r="M40" s="53">
        <v>0</v>
      </c>
      <c r="N40" s="150">
        <v>20</v>
      </c>
      <c r="O40" s="95"/>
      <c r="P40" s="150">
        <v>0</v>
      </c>
      <c r="Q40" s="95"/>
      <c r="R40" s="150">
        <v>20</v>
      </c>
      <c r="S40" s="95"/>
      <c r="T40" s="47">
        <v>2</v>
      </c>
      <c r="U40" s="54">
        <v>40</v>
      </c>
      <c r="V40" s="46" t="s">
        <v>142</v>
      </c>
      <c r="W40" s="53">
        <v>40</v>
      </c>
      <c r="X40" s="89"/>
      <c r="Y40" s="90"/>
    </row>
    <row r="41" spans="1:25" ht="30" customHeight="1">
      <c r="A41" s="2"/>
      <c r="B41" s="2"/>
      <c r="C41" s="2"/>
      <c r="D41" s="116" t="s">
        <v>143</v>
      </c>
      <c r="E41" s="90"/>
      <c r="F41" s="2"/>
      <c r="G41" s="2"/>
      <c r="H41" s="111"/>
      <c r="I41" s="90"/>
      <c r="J41" s="2"/>
      <c r="K41" s="2"/>
      <c r="L41" s="2"/>
      <c r="M41" s="2"/>
      <c r="N41" s="111"/>
      <c r="O41" s="90"/>
      <c r="P41" s="111"/>
      <c r="Q41" s="90"/>
      <c r="R41" s="111"/>
      <c r="S41" s="90"/>
      <c r="T41" s="2"/>
      <c r="U41" s="2"/>
      <c r="V41" s="2"/>
      <c r="W41" s="20">
        <v>80</v>
      </c>
      <c r="X41" s="111"/>
      <c r="Y41" s="90"/>
    </row>
    <row r="42" spans="1:25" ht="64.5" customHeight="1">
      <c r="A42" s="91" t="s">
        <v>144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</row>
    <row r="43" spans="1:25" ht="16.5" customHeight="1">
      <c r="A43" s="103" t="s">
        <v>145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11"/>
      <c r="Y43" s="90"/>
    </row>
    <row r="44" spans="1:25" ht="14.25" customHeight="1">
      <c r="A44" s="106" t="s">
        <v>146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8"/>
      <c r="X44" s="89"/>
      <c r="Y44" s="90"/>
    </row>
    <row r="45" spans="1:25" ht="38.25" customHeight="1">
      <c r="A45" s="4" t="s">
        <v>147</v>
      </c>
      <c r="B45" s="4" t="s">
        <v>148</v>
      </c>
      <c r="C45" s="5" t="s">
        <v>149</v>
      </c>
      <c r="D45" s="113" t="s">
        <v>150</v>
      </c>
      <c r="E45" s="97"/>
      <c r="F45" s="6" t="s">
        <v>151</v>
      </c>
      <c r="G45" s="6" t="s">
        <v>152</v>
      </c>
      <c r="H45" s="102" t="s">
        <v>153</v>
      </c>
      <c r="I45" s="97"/>
      <c r="J45" s="4" t="s">
        <v>154</v>
      </c>
      <c r="K45" s="5" t="s">
        <v>155</v>
      </c>
      <c r="L45" s="6" t="s">
        <v>156</v>
      </c>
      <c r="M45" s="7" t="s">
        <v>157</v>
      </c>
      <c r="N45" s="109" t="s">
        <v>158</v>
      </c>
      <c r="O45" s="97"/>
      <c r="P45" s="101" t="s">
        <v>159</v>
      </c>
      <c r="Q45" s="97"/>
      <c r="R45" s="102" t="s">
        <v>160</v>
      </c>
      <c r="S45" s="97"/>
      <c r="T45" s="6" t="s">
        <v>161</v>
      </c>
      <c r="U45" s="8" t="s">
        <v>162</v>
      </c>
      <c r="V45" s="4" t="s">
        <v>163</v>
      </c>
      <c r="W45" s="8" t="s">
        <v>164</v>
      </c>
      <c r="X45" s="110"/>
      <c r="Y45" s="90"/>
    </row>
    <row r="46" spans="1:25" ht="18.75" customHeight="1">
      <c r="A46" s="38" t="s">
        <v>165</v>
      </c>
      <c r="B46" s="39">
        <v>112381370</v>
      </c>
      <c r="C46" s="40" t="s">
        <v>166</v>
      </c>
      <c r="D46" s="134" t="s">
        <v>167</v>
      </c>
      <c r="E46" s="99"/>
      <c r="F46" s="41">
        <v>46023</v>
      </c>
      <c r="G46" s="34"/>
      <c r="H46" s="135" t="s">
        <v>168</v>
      </c>
      <c r="I46" s="99"/>
      <c r="J46" s="38" t="s">
        <v>169</v>
      </c>
      <c r="K46" s="63">
        <v>543.53</v>
      </c>
      <c r="L46" s="43">
        <v>0.04</v>
      </c>
      <c r="M46" s="44">
        <v>21.74</v>
      </c>
      <c r="N46" s="136">
        <v>0</v>
      </c>
      <c r="O46" s="99"/>
      <c r="P46" s="136">
        <v>0</v>
      </c>
      <c r="Q46" s="99"/>
      <c r="R46" s="136">
        <v>0</v>
      </c>
      <c r="S46" s="99"/>
      <c r="T46" s="39">
        <v>1</v>
      </c>
      <c r="U46" s="45">
        <v>0</v>
      </c>
      <c r="V46" s="38" t="s">
        <v>170</v>
      </c>
      <c r="W46" s="44">
        <v>21.74</v>
      </c>
      <c r="X46" s="111"/>
      <c r="Y46" s="90"/>
    </row>
    <row r="47" spans="1:25" ht="13.5" customHeight="1">
      <c r="A47" s="1"/>
      <c r="B47" s="1"/>
      <c r="C47" s="1"/>
      <c r="D47" s="116" t="s">
        <v>171</v>
      </c>
      <c r="E47" s="90"/>
      <c r="F47" s="1"/>
      <c r="G47" s="1"/>
      <c r="H47" s="89"/>
      <c r="I47" s="90"/>
      <c r="J47" s="1"/>
      <c r="K47" s="1"/>
      <c r="L47" s="1"/>
      <c r="M47" s="1"/>
      <c r="N47" s="89"/>
      <c r="O47" s="90"/>
      <c r="P47" s="89"/>
      <c r="Q47" s="90"/>
      <c r="R47" s="89"/>
      <c r="S47" s="90"/>
      <c r="T47" s="1"/>
      <c r="U47" s="1"/>
      <c r="V47" s="1"/>
      <c r="W47" s="20">
        <v>21.74</v>
      </c>
      <c r="X47" s="89"/>
      <c r="Y47" s="90"/>
    </row>
    <row r="48" spans="1:25" ht="203.25" customHeight="1">
      <c r="A48" s="137" t="s">
        <v>172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 spans="1:26" ht="16.5" customHeight="1">
      <c r="A49" s="103" t="s">
        <v>173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11"/>
      <c r="Y49" s="90"/>
    </row>
    <row r="50" spans="1:26" ht="14.25" customHeight="1">
      <c r="A50" s="106" t="s">
        <v>174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8"/>
      <c r="X50" s="89"/>
      <c r="Y50" s="90"/>
    </row>
    <row r="51" spans="1:26" ht="38.25" customHeight="1">
      <c r="A51" s="4" t="s">
        <v>175</v>
      </c>
      <c r="B51" s="4" t="s">
        <v>176</v>
      </c>
      <c r="C51" s="5" t="s">
        <v>177</v>
      </c>
      <c r="D51" s="113" t="s">
        <v>178</v>
      </c>
      <c r="E51" s="97"/>
      <c r="F51" s="6" t="s">
        <v>179</v>
      </c>
      <c r="G51" s="6" t="s">
        <v>180</v>
      </c>
      <c r="H51" s="102" t="s">
        <v>181</v>
      </c>
      <c r="I51" s="97"/>
      <c r="J51" s="4" t="s">
        <v>182</v>
      </c>
      <c r="K51" s="5" t="s">
        <v>183</v>
      </c>
      <c r="L51" s="6" t="s">
        <v>184</v>
      </c>
      <c r="M51" s="7" t="s">
        <v>185</v>
      </c>
      <c r="N51" s="109" t="s">
        <v>186</v>
      </c>
      <c r="O51" s="97"/>
      <c r="P51" s="101" t="s">
        <v>187</v>
      </c>
      <c r="Q51" s="97"/>
      <c r="R51" s="102" t="s">
        <v>188</v>
      </c>
      <c r="S51" s="97"/>
      <c r="T51" s="6" t="s">
        <v>189</v>
      </c>
      <c r="U51" s="8" t="s">
        <v>190</v>
      </c>
      <c r="V51" s="4" t="s">
        <v>191</v>
      </c>
      <c r="W51" s="8" t="s">
        <v>192</v>
      </c>
      <c r="X51" s="110"/>
      <c r="Y51" s="90"/>
    </row>
    <row r="52" spans="1:26" ht="5.25" customHeight="1">
      <c r="A52" s="21"/>
      <c r="B52" s="21"/>
      <c r="C52" s="21"/>
      <c r="D52" s="125"/>
      <c r="E52" s="99"/>
      <c r="F52" s="21"/>
      <c r="G52" s="21"/>
      <c r="H52" s="125"/>
      <c r="I52" s="99"/>
      <c r="J52" s="21"/>
      <c r="K52" s="21"/>
      <c r="L52" s="21"/>
      <c r="M52" s="21"/>
      <c r="N52" s="125"/>
      <c r="O52" s="99"/>
      <c r="P52" s="125"/>
      <c r="Q52" s="99"/>
      <c r="R52" s="125"/>
      <c r="S52" s="99"/>
      <c r="T52" s="21"/>
      <c r="U52" s="21"/>
      <c r="V52" s="21"/>
      <c r="W52" s="21"/>
      <c r="X52" s="89"/>
      <c r="Y52" s="90"/>
    </row>
    <row r="53" spans="1:26" ht="12" customHeight="1">
      <c r="A53" s="22" t="s">
        <v>193</v>
      </c>
      <c r="B53" s="23">
        <v>109377263</v>
      </c>
      <c r="C53" s="24" t="s">
        <v>194</v>
      </c>
      <c r="D53" s="126" t="s">
        <v>195</v>
      </c>
      <c r="E53" s="95"/>
      <c r="F53" s="25">
        <v>46023</v>
      </c>
      <c r="G53" s="26"/>
      <c r="H53" s="127" t="s">
        <v>196</v>
      </c>
      <c r="I53" s="95"/>
      <c r="J53" s="22" t="s">
        <v>197</v>
      </c>
      <c r="K53" s="64">
        <v>2065.67</v>
      </c>
      <c r="L53" s="28">
        <v>0</v>
      </c>
      <c r="M53" s="29">
        <v>0</v>
      </c>
      <c r="N53" s="131">
        <v>15</v>
      </c>
      <c r="O53" s="95"/>
      <c r="P53" s="131">
        <v>0</v>
      </c>
      <c r="Q53" s="95"/>
      <c r="R53" s="131">
        <v>15</v>
      </c>
      <c r="S53" s="95"/>
      <c r="T53" s="23">
        <v>5</v>
      </c>
      <c r="U53" s="30">
        <v>75</v>
      </c>
      <c r="V53" s="22" t="s">
        <v>198</v>
      </c>
      <c r="W53" s="29">
        <v>75</v>
      </c>
      <c r="X53" s="132"/>
      <c r="Y53" s="90"/>
      <c r="Z53" s="19"/>
    </row>
    <row r="54" spans="1:26" ht="30" customHeight="1">
      <c r="A54" s="2"/>
      <c r="B54" s="2"/>
      <c r="C54" s="2"/>
      <c r="D54" s="91" t="s">
        <v>199</v>
      </c>
      <c r="E54" s="90"/>
      <c r="F54" s="2"/>
      <c r="G54" s="2"/>
      <c r="H54" s="111"/>
      <c r="I54" s="90"/>
      <c r="J54" s="2"/>
      <c r="K54" s="2"/>
      <c r="L54" s="2"/>
      <c r="M54" s="2"/>
      <c r="N54" s="111"/>
      <c r="O54" s="90"/>
      <c r="P54" s="111"/>
      <c r="Q54" s="90"/>
      <c r="R54" s="111"/>
      <c r="S54" s="90"/>
      <c r="T54" s="2"/>
      <c r="U54" s="2"/>
      <c r="V54" s="2"/>
      <c r="W54" s="20">
        <v>75</v>
      </c>
      <c r="X54" s="111"/>
      <c r="Y54" s="90"/>
    </row>
    <row r="55" spans="1:26" ht="64.5" customHeight="1">
      <c r="A55" s="91" t="s">
        <v>200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</row>
    <row r="56" spans="1:26" ht="16.5" customHeight="1">
      <c r="A56" s="103" t="s">
        <v>201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11"/>
      <c r="Y56" s="90"/>
    </row>
    <row r="57" spans="1:26" ht="14.25" customHeight="1">
      <c r="A57" s="106" t="s">
        <v>202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8"/>
      <c r="X57" s="89"/>
      <c r="Y57" s="90"/>
    </row>
    <row r="58" spans="1:26" ht="38.25" customHeight="1">
      <c r="A58" s="4" t="s">
        <v>203</v>
      </c>
      <c r="B58" s="4" t="s">
        <v>204</v>
      </c>
      <c r="C58" s="5" t="s">
        <v>205</v>
      </c>
      <c r="D58" s="113" t="s">
        <v>206</v>
      </c>
      <c r="E58" s="97"/>
      <c r="F58" s="6" t="s">
        <v>207</v>
      </c>
      <c r="G58" s="6" t="s">
        <v>208</v>
      </c>
      <c r="H58" s="102" t="s">
        <v>209</v>
      </c>
      <c r="I58" s="97"/>
      <c r="J58" s="4" t="s">
        <v>210</v>
      </c>
      <c r="K58" s="5" t="s">
        <v>211</v>
      </c>
      <c r="L58" s="6" t="s">
        <v>212</v>
      </c>
      <c r="M58" s="7" t="s">
        <v>213</v>
      </c>
      <c r="N58" s="109" t="s">
        <v>214</v>
      </c>
      <c r="O58" s="97"/>
      <c r="P58" s="101" t="s">
        <v>215</v>
      </c>
      <c r="Q58" s="97"/>
      <c r="R58" s="102" t="s">
        <v>216</v>
      </c>
      <c r="S58" s="97"/>
      <c r="T58" s="6" t="s">
        <v>217</v>
      </c>
      <c r="U58" s="8" t="s">
        <v>218</v>
      </c>
      <c r="V58" s="4" t="s">
        <v>219</v>
      </c>
      <c r="W58" s="8" t="s">
        <v>220</v>
      </c>
      <c r="X58" s="110"/>
      <c r="Y58" s="90"/>
    </row>
    <row r="59" spans="1:26" ht="16.5" customHeight="1">
      <c r="A59" s="38" t="s">
        <v>221</v>
      </c>
      <c r="B59" s="39">
        <v>112900372</v>
      </c>
      <c r="C59" s="40" t="s">
        <v>222</v>
      </c>
      <c r="D59" s="134" t="s">
        <v>223</v>
      </c>
      <c r="E59" s="99"/>
      <c r="F59" s="41">
        <v>45992</v>
      </c>
      <c r="G59" s="41">
        <v>46022</v>
      </c>
      <c r="H59" s="135" t="s">
        <v>224</v>
      </c>
      <c r="I59" s="99"/>
      <c r="J59" s="38" t="s">
        <v>225</v>
      </c>
      <c r="K59" s="65">
        <v>1027.7</v>
      </c>
      <c r="L59" s="43">
        <v>0</v>
      </c>
      <c r="M59" s="44">
        <v>0</v>
      </c>
      <c r="N59" s="136">
        <v>24</v>
      </c>
      <c r="O59" s="99"/>
      <c r="P59" s="136">
        <v>0</v>
      </c>
      <c r="Q59" s="99"/>
      <c r="R59" s="136">
        <v>24</v>
      </c>
      <c r="S59" s="99"/>
      <c r="T59" s="39">
        <v>1</v>
      </c>
      <c r="U59" s="45">
        <v>24</v>
      </c>
      <c r="V59" s="38" t="s">
        <v>226</v>
      </c>
      <c r="W59" s="44">
        <v>24</v>
      </c>
      <c r="X59" s="111"/>
      <c r="Y59" s="90"/>
    </row>
    <row r="60" spans="1:26" ht="12" customHeight="1">
      <c r="A60" s="22" t="s">
        <v>227</v>
      </c>
      <c r="B60" s="23">
        <v>112945646</v>
      </c>
      <c r="C60" s="24" t="s">
        <v>228</v>
      </c>
      <c r="D60" s="126" t="s">
        <v>229</v>
      </c>
      <c r="E60" s="95"/>
      <c r="F60" s="25">
        <v>46023</v>
      </c>
      <c r="G60" s="26"/>
      <c r="H60" s="127" t="s">
        <v>230</v>
      </c>
      <c r="I60" s="95"/>
      <c r="J60" s="22" t="s">
        <v>231</v>
      </c>
      <c r="K60" s="64">
        <v>1066.28</v>
      </c>
      <c r="L60" s="28">
        <v>0</v>
      </c>
      <c r="M60" s="29">
        <v>0</v>
      </c>
      <c r="N60" s="131">
        <v>15</v>
      </c>
      <c r="O60" s="95"/>
      <c r="P60" s="131">
        <v>0</v>
      </c>
      <c r="Q60" s="95"/>
      <c r="R60" s="131">
        <v>15</v>
      </c>
      <c r="S60" s="95"/>
      <c r="T60" s="23">
        <v>1</v>
      </c>
      <c r="U60" s="30">
        <v>15</v>
      </c>
      <c r="V60" s="22" t="s">
        <v>232</v>
      </c>
      <c r="W60" s="29">
        <v>15</v>
      </c>
      <c r="X60" s="132"/>
      <c r="Y60" s="90"/>
      <c r="Z60" s="19"/>
    </row>
    <row r="61" spans="1:26" ht="12" customHeight="1">
      <c r="A61" s="66" t="s">
        <v>233</v>
      </c>
      <c r="B61" s="67">
        <v>112958461</v>
      </c>
      <c r="C61" s="68" t="s">
        <v>234</v>
      </c>
      <c r="D61" s="139" t="s">
        <v>235</v>
      </c>
      <c r="E61" s="90"/>
      <c r="F61" s="69">
        <v>46023</v>
      </c>
      <c r="G61" s="31"/>
      <c r="H61" s="138" t="s">
        <v>236</v>
      </c>
      <c r="I61" s="90"/>
      <c r="J61" s="66" t="s">
        <v>237</v>
      </c>
      <c r="K61" s="70">
        <v>2210.35</v>
      </c>
      <c r="L61" s="71">
        <v>0</v>
      </c>
      <c r="M61" s="72">
        <v>0</v>
      </c>
      <c r="N61" s="140">
        <v>15</v>
      </c>
      <c r="O61" s="90"/>
      <c r="P61" s="140">
        <v>0</v>
      </c>
      <c r="Q61" s="90"/>
      <c r="R61" s="140">
        <v>15</v>
      </c>
      <c r="S61" s="90"/>
      <c r="T61" s="67">
        <v>2</v>
      </c>
      <c r="U61" s="73">
        <v>30</v>
      </c>
      <c r="V61" s="66" t="s">
        <v>238</v>
      </c>
      <c r="W61" s="72">
        <v>30</v>
      </c>
      <c r="X61" s="132"/>
      <c r="Y61" s="90"/>
      <c r="Z61" s="19"/>
    </row>
    <row r="62" spans="1:26" ht="12" customHeight="1">
      <c r="A62" s="22" t="s">
        <v>239</v>
      </c>
      <c r="B62" s="23">
        <v>112958479</v>
      </c>
      <c r="C62" s="24" t="s">
        <v>240</v>
      </c>
      <c r="D62" s="126" t="s">
        <v>241</v>
      </c>
      <c r="E62" s="95"/>
      <c r="F62" s="25">
        <v>46023</v>
      </c>
      <c r="G62" s="26"/>
      <c r="H62" s="127" t="s">
        <v>242</v>
      </c>
      <c r="I62" s="95"/>
      <c r="J62" s="22" t="s">
        <v>243</v>
      </c>
      <c r="K62" s="29">
        <v>478.88</v>
      </c>
      <c r="L62" s="28">
        <v>0</v>
      </c>
      <c r="M62" s="29">
        <v>0</v>
      </c>
      <c r="N62" s="131">
        <v>15</v>
      </c>
      <c r="O62" s="95"/>
      <c r="P62" s="131">
        <v>0</v>
      </c>
      <c r="Q62" s="95"/>
      <c r="R62" s="131">
        <v>15</v>
      </c>
      <c r="S62" s="95"/>
      <c r="T62" s="23">
        <v>1</v>
      </c>
      <c r="U62" s="30">
        <v>15</v>
      </c>
      <c r="V62" s="22" t="s">
        <v>244</v>
      </c>
      <c r="W62" s="29">
        <v>15</v>
      </c>
      <c r="X62" s="132"/>
      <c r="Y62" s="90"/>
      <c r="Z62" s="19"/>
    </row>
    <row r="63" spans="1:26" ht="12" customHeight="1">
      <c r="A63" s="66" t="s">
        <v>245</v>
      </c>
      <c r="B63" s="67">
        <v>113171521</v>
      </c>
      <c r="C63" s="68" t="s">
        <v>246</v>
      </c>
      <c r="D63" s="139" t="s">
        <v>247</v>
      </c>
      <c r="E63" s="90"/>
      <c r="F63" s="69">
        <v>46023</v>
      </c>
      <c r="G63" s="69">
        <v>46053</v>
      </c>
      <c r="H63" s="138" t="s">
        <v>248</v>
      </c>
      <c r="I63" s="90"/>
      <c r="J63" s="66" t="s">
        <v>249</v>
      </c>
      <c r="K63" s="70">
        <v>2247.36</v>
      </c>
      <c r="L63" s="71">
        <v>0</v>
      </c>
      <c r="M63" s="72">
        <v>0</v>
      </c>
      <c r="N63" s="140">
        <v>15</v>
      </c>
      <c r="O63" s="90"/>
      <c r="P63" s="140">
        <v>0</v>
      </c>
      <c r="Q63" s="90"/>
      <c r="R63" s="140">
        <v>15</v>
      </c>
      <c r="S63" s="90"/>
      <c r="T63" s="67">
        <v>3</v>
      </c>
      <c r="U63" s="73">
        <v>45</v>
      </c>
      <c r="V63" s="66" t="s">
        <v>250</v>
      </c>
      <c r="W63" s="72">
        <v>45</v>
      </c>
      <c r="X63" s="132"/>
      <c r="Y63" s="90"/>
      <c r="Z63" s="19"/>
    </row>
    <row r="64" spans="1:26" ht="12" customHeight="1">
      <c r="A64" s="22" t="s">
        <v>251</v>
      </c>
      <c r="B64" s="23">
        <v>113202336</v>
      </c>
      <c r="C64" s="24" t="s">
        <v>252</v>
      </c>
      <c r="D64" s="126" t="s">
        <v>253</v>
      </c>
      <c r="E64" s="95"/>
      <c r="F64" s="25">
        <v>46023</v>
      </c>
      <c r="G64" s="26"/>
      <c r="H64" s="127" t="s">
        <v>254</v>
      </c>
      <c r="I64" s="95"/>
      <c r="J64" s="22" t="s">
        <v>255</v>
      </c>
      <c r="K64" s="64">
        <v>1090.19</v>
      </c>
      <c r="L64" s="28">
        <v>0</v>
      </c>
      <c r="M64" s="29">
        <v>0</v>
      </c>
      <c r="N64" s="131">
        <v>15</v>
      </c>
      <c r="O64" s="95"/>
      <c r="P64" s="131">
        <v>0</v>
      </c>
      <c r="Q64" s="95"/>
      <c r="R64" s="131">
        <v>15</v>
      </c>
      <c r="S64" s="95"/>
      <c r="T64" s="23">
        <v>1</v>
      </c>
      <c r="U64" s="30">
        <v>15</v>
      </c>
      <c r="V64" s="22" t="s">
        <v>256</v>
      </c>
      <c r="W64" s="29">
        <v>15</v>
      </c>
      <c r="X64" s="132"/>
      <c r="Y64" s="90"/>
      <c r="Z64" s="19"/>
    </row>
    <row r="65" spans="1:26" ht="17.25" customHeight="1">
      <c r="A65" s="66" t="s">
        <v>257</v>
      </c>
      <c r="B65" s="67">
        <v>113203997</v>
      </c>
      <c r="C65" s="68" t="s">
        <v>258</v>
      </c>
      <c r="D65" s="139" t="s">
        <v>259</v>
      </c>
      <c r="E65" s="90"/>
      <c r="F65" s="69">
        <v>46023</v>
      </c>
      <c r="G65" s="18"/>
      <c r="H65" s="138" t="s">
        <v>260</v>
      </c>
      <c r="I65" s="90"/>
      <c r="J65" s="66" t="s">
        <v>261</v>
      </c>
      <c r="K65" s="70">
        <v>1127.3699999999999</v>
      </c>
      <c r="L65" s="71">
        <v>0</v>
      </c>
      <c r="M65" s="72">
        <v>0</v>
      </c>
      <c r="N65" s="140">
        <v>15</v>
      </c>
      <c r="O65" s="90"/>
      <c r="P65" s="140">
        <v>0</v>
      </c>
      <c r="Q65" s="90"/>
      <c r="R65" s="140">
        <v>15</v>
      </c>
      <c r="S65" s="90"/>
      <c r="T65" s="67">
        <v>2</v>
      </c>
      <c r="U65" s="73">
        <v>30</v>
      </c>
      <c r="V65" s="66" t="s">
        <v>262</v>
      </c>
      <c r="W65" s="72">
        <v>30</v>
      </c>
      <c r="X65" s="112"/>
      <c r="Y65" s="90"/>
      <c r="Z65" s="19"/>
    </row>
    <row r="66" spans="1:26" ht="12.75" customHeight="1">
      <c r="A66" s="91" t="s">
        <v>263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</row>
    <row r="67" spans="1:26" ht="14.25" customHeight="1">
      <c r="A67" s="128"/>
      <c r="B67" s="143"/>
      <c r="C67" s="143"/>
      <c r="D67" s="143"/>
      <c r="E67" s="143"/>
      <c r="F67" s="143"/>
      <c r="G67" s="143"/>
      <c r="H67" s="143"/>
      <c r="I67" s="143"/>
      <c r="J67" s="129"/>
      <c r="K67" s="33" t="s">
        <v>264</v>
      </c>
      <c r="L67" s="128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29"/>
      <c r="X67" s="89"/>
      <c r="Y67" s="90"/>
    </row>
    <row r="68" spans="1:26" ht="25.5" customHeight="1">
      <c r="A68" s="34"/>
      <c r="B68" s="34"/>
      <c r="C68" s="34"/>
      <c r="D68" s="123"/>
      <c r="E68" s="99"/>
      <c r="F68" s="35" t="s">
        <v>265</v>
      </c>
      <c r="G68" s="35" t="s">
        <v>266</v>
      </c>
      <c r="H68" s="123"/>
      <c r="I68" s="99"/>
      <c r="J68" s="34"/>
      <c r="K68" s="34"/>
      <c r="L68" s="36" t="s">
        <v>267</v>
      </c>
      <c r="M68" s="37" t="s">
        <v>268</v>
      </c>
      <c r="N68" s="133" t="s">
        <v>269</v>
      </c>
      <c r="O68" s="99"/>
      <c r="P68" s="133" t="s">
        <v>270</v>
      </c>
      <c r="Q68" s="99"/>
      <c r="R68" s="123"/>
      <c r="S68" s="99"/>
      <c r="T68" s="35" t="s">
        <v>271</v>
      </c>
      <c r="U68" s="37" t="s">
        <v>272</v>
      </c>
      <c r="V68" s="34"/>
      <c r="W68" s="37" t="s">
        <v>273</v>
      </c>
      <c r="X68" s="111"/>
      <c r="Y68" s="90"/>
    </row>
    <row r="69" spans="1:26" ht="12.75" customHeight="1">
      <c r="A69" s="8" t="s">
        <v>274</v>
      </c>
      <c r="B69" s="8" t="s">
        <v>275</v>
      </c>
      <c r="C69" s="7" t="s">
        <v>276</v>
      </c>
      <c r="D69" s="130" t="s">
        <v>277</v>
      </c>
      <c r="E69" s="97"/>
      <c r="F69" s="8" t="s">
        <v>278</v>
      </c>
      <c r="G69" s="8" t="s">
        <v>279</v>
      </c>
      <c r="H69" s="124" t="s">
        <v>280</v>
      </c>
      <c r="I69" s="97"/>
      <c r="J69" s="8" t="s">
        <v>281</v>
      </c>
      <c r="K69" s="7" t="s">
        <v>282</v>
      </c>
      <c r="L69" s="7" t="s">
        <v>283</v>
      </c>
      <c r="M69" s="7" t="s">
        <v>284</v>
      </c>
      <c r="N69" s="124" t="s">
        <v>285</v>
      </c>
      <c r="O69" s="97"/>
      <c r="P69" s="124" t="s">
        <v>286</v>
      </c>
      <c r="Q69" s="97"/>
      <c r="R69" s="124" t="s">
        <v>287</v>
      </c>
      <c r="S69" s="97"/>
      <c r="T69" s="8" t="s">
        <v>288</v>
      </c>
      <c r="U69" s="8" t="s">
        <v>289</v>
      </c>
      <c r="V69" s="8" t="s">
        <v>290</v>
      </c>
      <c r="W69" s="7" t="s">
        <v>291</v>
      </c>
      <c r="X69" s="111"/>
      <c r="Y69" s="90"/>
    </row>
    <row r="70" spans="1:26" ht="5.25" customHeight="1">
      <c r="A70" s="21"/>
      <c r="B70" s="21"/>
      <c r="C70" s="21"/>
      <c r="D70" s="125"/>
      <c r="E70" s="99"/>
      <c r="F70" s="21"/>
      <c r="G70" s="21"/>
      <c r="H70" s="125"/>
      <c r="I70" s="99"/>
      <c r="J70" s="21"/>
      <c r="K70" s="21"/>
      <c r="L70" s="21"/>
      <c r="M70" s="21"/>
      <c r="N70" s="125"/>
      <c r="O70" s="99"/>
      <c r="P70" s="125"/>
      <c r="Q70" s="99"/>
      <c r="R70" s="125"/>
      <c r="S70" s="99"/>
      <c r="T70" s="21"/>
      <c r="U70" s="21"/>
      <c r="V70" s="21"/>
      <c r="W70" s="21"/>
      <c r="X70" s="89"/>
      <c r="Y70" s="90"/>
    </row>
    <row r="71" spans="1:26" ht="12" customHeight="1">
      <c r="A71" s="22" t="s">
        <v>292</v>
      </c>
      <c r="B71" s="23">
        <v>109255892</v>
      </c>
      <c r="C71" s="24" t="s">
        <v>293</v>
      </c>
      <c r="D71" s="126" t="s">
        <v>294</v>
      </c>
      <c r="E71" s="95"/>
      <c r="F71" s="25">
        <v>46023</v>
      </c>
      <c r="G71" s="26"/>
      <c r="H71" s="127" t="s">
        <v>295</v>
      </c>
      <c r="I71" s="95"/>
      <c r="J71" s="22" t="s">
        <v>296</v>
      </c>
      <c r="K71" s="27">
        <v>1656.34</v>
      </c>
      <c r="L71" s="28">
        <v>0</v>
      </c>
      <c r="M71" s="29">
        <v>0</v>
      </c>
      <c r="N71" s="131">
        <v>15</v>
      </c>
      <c r="O71" s="95"/>
      <c r="P71" s="131">
        <v>0</v>
      </c>
      <c r="Q71" s="95"/>
      <c r="R71" s="131">
        <v>15</v>
      </c>
      <c r="S71" s="95"/>
      <c r="T71" s="23">
        <v>2</v>
      </c>
      <c r="U71" s="30">
        <v>30</v>
      </c>
      <c r="V71" s="22" t="s">
        <v>297</v>
      </c>
      <c r="W71" s="29">
        <v>30</v>
      </c>
      <c r="X71" s="132"/>
      <c r="Y71" s="90"/>
      <c r="Z71" s="19"/>
    </row>
    <row r="72" spans="1:26" ht="12" customHeight="1">
      <c r="A72" s="66" t="s">
        <v>298</v>
      </c>
      <c r="B72" s="67">
        <v>109327029</v>
      </c>
      <c r="C72" s="68" t="s">
        <v>299</v>
      </c>
      <c r="D72" s="139" t="s">
        <v>300</v>
      </c>
      <c r="E72" s="90"/>
      <c r="F72" s="69">
        <v>46023</v>
      </c>
      <c r="G72" s="31"/>
      <c r="H72" s="138" t="s">
        <v>301</v>
      </c>
      <c r="I72" s="90"/>
      <c r="J72" s="66" t="s">
        <v>302</v>
      </c>
      <c r="K72" s="74">
        <v>854.72</v>
      </c>
      <c r="L72" s="71">
        <v>0</v>
      </c>
      <c r="M72" s="72">
        <v>0</v>
      </c>
      <c r="N72" s="140">
        <v>15</v>
      </c>
      <c r="O72" s="90"/>
      <c r="P72" s="140">
        <v>0</v>
      </c>
      <c r="Q72" s="90"/>
      <c r="R72" s="140">
        <v>15</v>
      </c>
      <c r="S72" s="90"/>
      <c r="T72" s="67">
        <v>1</v>
      </c>
      <c r="U72" s="73">
        <v>15</v>
      </c>
      <c r="V72" s="66" t="s">
        <v>303</v>
      </c>
      <c r="W72" s="72">
        <v>15</v>
      </c>
      <c r="X72" s="132"/>
      <c r="Y72" s="90"/>
      <c r="Z72" s="19"/>
    </row>
    <row r="73" spans="1:26" ht="12" customHeight="1">
      <c r="A73" s="22" t="s">
        <v>304</v>
      </c>
      <c r="B73" s="23">
        <v>109405923</v>
      </c>
      <c r="C73" s="24" t="s">
        <v>305</v>
      </c>
      <c r="D73" s="126" t="s">
        <v>306</v>
      </c>
      <c r="E73" s="95"/>
      <c r="F73" s="25">
        <v>46023</v>
      </c>
      <c r="G73" s="26"/>
      <c r="H73" s="127" t="s">
        <v>307</v>
      </c>
      <c r="I73" s="95"/>
      <c r="J73" s="22" t="s">
        <v>308</v>
      </c>
      <c r="K73" s="27">
        <v>1004.91</v>
      </c>
      <c r="L73" s="28">
        <v>0</v>
      </c>
      <c r="M73" s="29">
        <v>0</v>
      </c>
      <c r="N73" s="131">
        <v>15</v>
      </c>
      <c r="O73" s="95"/>
      <c r="P73" s="131">
        <v>0</v>
      </c>
      <c r="Q73" s="95"/>
      <c r="R73" s="131">
        <v>15</v>
      </c>
      <c r="S73" s="95"/>
      <c r="T73" s="23">
        <v>2</v>
      </c>
      <c r="U73" s="30">
        <v>30</v>
      </c>
      <c r="V73" s="22" t="s">
        <v>309</v>
      </c>
      <c r="W73" s="29">
        <v>30</v>
      </c>
      <c r="X73" s="132"/>
      <c r="Y73" s="90"/>
      <c r="Z73" s="19"/>
    </row>
    <row r="74" spans="1:26" ht="12" customHeight="1">
      <c r="A74" s="66" t="s">
        <v>310</v>
      </c>
      <c r="B74" s="67">
        <v>110696019</v>
      </c>
      <c r="C74" s="68" t="s">
        <v>311</v>
      </c>
      <c r="D74" s="139" t="s">
        <v>312</v>
      </c>
      <c r="E74" s="90"/>
      <c r="F74" s="69">
        <v>46023</v>
      </c>
      <c r="G74" s="31"/>
      <c r="H74" s="138" t="s">
        <v>313</v>
      </c>
      <c r="I74" s="90"/>
      <c r="J74" s="66" t="s">
        <v>314</v>
      </c>
      <c r="K74" s="74">
        <v>994.3</v>
      </c>
      <c r="L74" s="71">
        <v>0</v>
      </c>
      <c r="M74" s="72">
        <v>0</v>
      </c>
      <c r="N74" s="140">
        <v>15</v>
      </c>
      <c r="O74" s="90"/>
      <c r="P74" s="140">
        <v>0</v>
      </c>
      <c r="Q74" s="90"/>
      <c r="R74" s="140">
        <v>15</v>
      </c>
      <c r="S74" s="90"/>
      <c r="T74" s="67">
        <v>1</v>
      </c>
      <c r="U74" s="73">
        <v>15</v>
      </c>
      <c r="V74" s="66" t="s">
        <v>315</v>
      </c>
      <c r="W74" s="72">
        <v>15</v>
      </c>
      <c r="X74" s="132"/>
      <c r="Y74" s="90"/>
      <c r="Z74" s="19"/>
    </row>
    <row r="75" spans="1:26" ht="12" customHeight="1">
      <c r="A75" s="22" t="s">
        <v>316</v>
      </c>
      <c r="B75" s="23">
        <v>110851077</v>
      </c>
      <c r="C75" s="24" t="s">
        <v>317</v>
      </c>
      <c r="D75" s="126" t="s">
        <v>318</v>
      </c>
      <c r="E75" s="95"/>
      <c r="F75" s="25">
        <v>46023</v>
      </c>
      <c r="G75" s="26"/>
      <c r="H75" s="127" t="s">
        <v>319</v>
      </c>
      <c r="I75" s="95"/>
      <c r="J75" s="22" t="s">
        <v>320</v>
      </c>
      <c r="K75" s="27">
        <v>1556.54</v>
      </c>
      <c r="L75" s="28">
        <v>0</v>
      </c>
      <c r="M75" s="29">
        <v>0</v>
      </c>
      <c r="N75" s="131">
        <v>15</v>
      </c>
      <c r="O75" s="95"/>
      <c r="P75" s="131">
        <v>0</v>
      </c>
      <c r="Q75" s="95"/>
      <c r="R75" s="131">
        <v>15</v>
      </c>
      <c r="S75" s="95"/>
      <c r="T75" s="23">
        <v>3</v>
      </c>
      <c r="U75" s="30">
        <v>45</v>
      </c>
      <c r="V75" s="22" t="s">
        <v>321</v>
      </c>
      <c r="W75" s="29">
        <v>45</v>
      </c>
      <c r="X75" s="132"/>
      <c r="Y75" s="90"/>
      <c r="Z75" s="19"/>
    </row>
    <row r="76" spans="1:26" ht="12" customHeight="1">
      <c r="A76" s="66" t="s">
        <v>322</v>
      </c>
      <c r="B76" s="67">
        <v>111131780</v>
      </c>
      <c r="C76" s="68" t="s">
        <v>323</v>
      </c>
      <c r="D76" s="139" t="s">
        <v>324</v>
      </c>
      <c r="E76" s="90"/>
      <c r="F76" s="69">
        <v>46023</v>
      </c>
      <c r="G76" s="31"/>
      <c r="H76" s="138" t="s">
        <v>325</v>
      </c>
      <c r="I76" s="90"/>
      <c r="J76" s="66" t="s">
        <v>326</v>
      </c>
      <c r="K76" s="75">
        <v>1494.32</v>
      </c>
      <c r="L76" s="71">
        <v>0</v>
      </c>
      <c r="M76" s="72">
        <v>0</v>
      </c>
      <c r="N76" s="140">
        <v>15</v>
      </c>
      <c r="O76" s="90"/>
      <c r="P76" s="140">
        <v>0</v>
      </c>
      <c r="Q76" s="90"/>
      <c r="R76" s="140">
        <v>15</v>
      </c>
      <c r="S76" s="90"/>
      <c r="T76" s="67">
        <v>2</v>
      </c>
      <c r="U76" s="73">
        <v>30</v>
      </c>
      <c r="V76" s="66" t="s">
        <v>327</v>
      </c>
      <c r="W76" s="72">
        <v>30</v>
      </c>
      <c r="X76" s="132"/>
      <c r="Y76" s="90"/>
      <c r="Z76" s="19"/>
    </row>
    <row r="77" spans="1:26" ht="12" customHeight="1">
      <c r="A77" s="22" t="s">
        <v>328</v>
      </c>
      <c r="B77" s="23">
        <v>111339206</v>
      </c>
      <c r="C77" s="24" t="s">
        <v>329</v>
      </c>
      <c r="D77" s="126" t="s">
        <v>330</v>
      </c>
      <c r="E77" s="95"/>
      <c r="F77" s="25">
        <v>46023</v>
      </c>
      <c r="G77" s="26"/>
      <c r="H77" s="127" t="s">
        <v>331</v>
      </c>
      <c r="I77" s="95"/>
      <c r="J77" s="22" t="s">
        <v>332</v>
      </c>
      <c r="K77" s="76">
        <v>966.86</v>
      </c>
      <c r="L77" s="28">
        <v>0</v>
      </c>
      <c r="M77" s="29">
        <v>0</v>
      </c>
      <c r="N77" s="131">
        <v>15</v>
      </c>
      <c r="O77" s="95"/>
      <c r="P77" s="131">
        <v>0</v>
      </c>
      <c r="Q77" s="95"/>
      <c r="R77" s="131">
        <v>15</v>
      </c>
      <c r="S77" s="95"/>
      <c r="T77" s="23">
        <v>1</v>
      </c>
      <c r="U77" s="30">
        <v>15</v>
      </c>
      <c r="V77" s="22" t="s">
        <v>333</v>
      </c>
      <c r="W77" s="29">
        <v>15</v>
      </c>
      <c r="X77" s="132"/>
      <c r="Y77" s="90"/>
      <c r="Z77" s="19"/>
    </row>
    <row r="78" spans="1:26" ht="12" customHeight="1">
      <c r="A78" s="66" t="s">
        <v>334</v>
      </c>
      <c r="B78" s="67">
        <v>111928637</v>
      </c>
      <c r="C78" s="68" t="s">
        <v>335</v>
      </c>
      <c r="D78" s="139" t="s">
        <v>336</v>
      </c>
      <c r="E78" s="90"/>
      <c r="F78" s="69">
        <v>46023</v>
      </c>
      <c r="G78" s="31"/>
      <c r="H78" s="138" t="s">
        <v>337</v>
      </c>
      <c r="I78" s="90"/>
      <c r="J78" s="66" t="s">
        <v>338</v>
      </c>
      <c r="K78" s="75">
        <v>1358.69</v>
      </c>
      <c r="L78" s="71">
        <v>0</v>
      </c>
      <c r="M78" s="72">
        <v>0</v>
      </c>
      <c r="N78" s="140">
        <v>15</v>
      </c>
      <c r="O78" s="90"/>
      <c r="P78" s="140">
        <v>0</v>
      </c>
      <c r="Q78" s="90"/>
      <c r="R78" s="140">
        <v>15</v>
      </c>
      <c r="S78" s="90"/>
      <c r="T78" s="67">
        <v>1</v>
      </c>
      <c r="U78" s="73">
        <v>15</v>
      </c>
      <c r="V78" s="66" t="s">
        <v>339</v>
      </c>
      <c r="W78" s="72">
        <v>15</v>
      </c>
      <c r="X78" s="132"/>
      <c r="Y78" s="90"/>
      <c r="Z78" s="19"/>
    </row>
    <row r="79" spans="1:26" ht="12" customHeight="1">
      <c r="A79" s="22" t="s">
        <v>340</v>
      </c>
      <c r="B79" s="23">
        <v>112041303</v>
      </c>
      <c r="C79" s="24" t="s">
        <v>341</v>
      </c>
      <c r="D79" s="126" t="s">
        <v>342</v>
      </c>
      <c r="E79" s="95"/>
      <c r="F79" s="25">
        <v>46023</v>
      </c>
      <c r="G79" s="26"/>
      <c r="H79" s="127" t="s">
        <v>343</v>
      </c>
      <c r="I79" s="95"/>
      <c r="J79" s="22" t="s">
        <v>344</v>
      </c>
      <c r="K79" s="27">
        <v>1105.98</v>
      </c>
      <c r="L79" s="28">
        <v>0</v>
      </c>
      <c r="M79" s="29">
        <v>0</v>
      </c>
      <c r="N79" s="131">
        <v>15</v>
      </c>
      <c r="O79" s="95"/>
      <c r="P79" s="131">
        <v>0</v>
      </c>
      <c r="Q79" s="95"/>
      <c r="R79" s="131">
        <v>15</v>
      </c>
      <c r="S79" s="95"/>
      <c r="T79" s="23">
        <v>1</v>
      </c>
      <c r="U79" s="30">
        <v>15</v>
      </c>
      <c r="V79" s="22" t="s">
        <v>345</v>
      </c>
      <c r="W79" s="29">
        <v>15</v>
      </c>
      <c r="X79" s="132"/>
      <c r="Y79" s="90"/>
      <c r="Z79" s="19"/>
    </row>
    <row r="80" spans="1:26" ht="12" customHeight="1">
      <c r="A80" s="66" t="s">
        <v>346</v>
      </c>
      <c r="B80" s="67">
        <v>112232108</v>
      </c>
      <c r="C80" s="68" t="s">
        <v>347</v>
      </c>
      <c r="D80" s="139" t="s">
        <v>348</v>
      </c>
      <c r="E80" s="90"/>
      <c r="F80" s="69">
        <v>46023</v>
      </c>
      <c r="G80" s="69">
        <v>46055</v>
      </c>
      <c r="H80" s="138" t="s">
        <v>349</v>
      </c>
      <c r="I80" s="90"/>
      <c r="J80" s="66" t="s">
        <v>350</v>
      </c>
      <c r="K80" s="74">
        <v>930.43</v>
      </c>
      <c r="L80" s="71">
        <v>0</v>
      </c>
      <c r="M80" s="72">
        <v>0</v>
      </c>
      <c r="N80" s="140">
        <v>15</v>
      </c>
      <c r="O80" s="90"/>
      <c r="P80" s="140">
        <v>0</v>
      </c>
      <c r="Q80" s="90"/>
      <c r="R80" s="140">
        <v>15</v>
      </c>
      <c r="S80" s="90"/>
      <c r="T80" s="67">
        <v>2</v>
      </c>
      <c r="U80" s="73">
        <v>30</v>
      </c>
      <c r="V80" s="66" t="s">
        <v>351</v>
      </c>
      <c r="W80" s="72">
        <v>30</v>
      </c>
      <c r="X80" s="132"/>
      <c r="Y80" s="90"/>
      <c r="Z80" s="19"/>
    </row>
    <row r="81" spans="1:26" ht="12" customHeight="1">
      <c r="A81" s="22" t="s">
        <v>352</v>
      </c>
      <c r="B81" s="23">
        <v>112331941</v>
      </c>
      <c r="C81" s="24" t="s">
        <v>353</v>
      </c>
      <c r="D81" s="126" t="s">
        <v>354</v>
      </c>
      <c r="E81" s="95"/>
      <c r="F81" s="25">
        <v>46023</v>
      </c>
      <c r="G81" s="26"/>
      <c r="H81" s="127" t="s">
        <v>355</v>
      </c>
      <c r="I81" s="95"/>
      <c r="J81" s="22" t="s">
        <v>356</v>
      </c>
      <c r="K81" s="76">
        <v>454.16</v>
      </c>
      <c r="L81" s="28">
        <v>0</v>
      </c>
      <c r="M81" s="29">
        <v>0</v>
      </c>
      <c r="N81" s="131">
        <v>15</v>
      </c>
      <c r="O81" s="95"/>
      <c r="P81" s="131">
        <v>0</v>
      </c>
      <c r="Q81" s="95"/>
      <c r="R81" s="131">
        <v>15</v>
      </c>
      <c r="S81" s="95"/>
      <c r="T81" s="23">
        <v>1</v>
      </c>
      <c r="U81" s="30">
        <v>15</v>
      </c>
      <c r="V81" s="22" t="s">
        <v>357</v>
      </c>
      <c r="W81" s="29">
        <v>15</v>
      </c>
      <c r="X81" s="132"/>
      <c r="Y81" s="90"/>
      <c r="Z81" s="19"/>
    </row>
    <row r="82" spans="1:26" ht="12" customHeight="1">
      <c r="A82" s="66" t="s">
        <v>358</v>
      </c>
      <c r="B82" s="67">
        <v>112351334</v>
      </c>
      <c r="C82" s="68" t="s">
        <v>359</v>
      </c>
      <c r="D82" s="139" t="s">
        <v>360</v>
      </c>
      <c r="E82" s="90"/>
      <c r="F82" s="69">
        <v>46023</v>
      </c>
      <c r="G82" s="31"/>
      <c r="H82" s="138" t="s">
        <v>361</v>
      </c>
      <c r="I82" s="90"/>
      <c r="J82" s="66" t="s">
        <v>362</v>
      </c>
      <c r="K82" s="75">
        <v>2240.3200000000002</v>
      </c>
      <c r="L82" s="71">
        <v>0</v>
      </c>
      <c r="M82" s="72">
        <v>0</v>
      </c>
      <c r="N82" s="140">
        <v>15</v>
      </c>
      <c r="O82" s="90"/>
      <c r="P82" s="140">
        <v>0</v>
      </c>
      <c r="Q82" s="90"/>
      <c r="R82" s="140">
        <v>15</v>
      </c>
      <c r="S82" s="90"/>
      <c r="T82" s="67">
        <v>2</v>
      </c>
      <c r="U82" s="73">
        <v>30</v>
      </c>
      <c r="V82" s="66" t="s">
        <v>363</v>
      </c>
      <c r="W82" s="72">
        <v>30</v>
      </c>
      <c r="X82" s="132"/>
      <c r="Y82" s="90"/>
      <c r="Z82" s="19"/>
    </row>
    <row r="83" spans="1:26" ht="12" customHeight="1">
      <c r="A83" s="22" t="s">
        <v>364</v>
      </c>
      <c r="B83" s="23">
        <v>112360820</v>
      </c>
      <c r="C83" s="24" t="s">
        <v>365</v>
      </c>
      <c r="D83" s="126" t="s">
        <v>366</v>
      </c>
      <c r="E83" s="95"/>
      <c r="F83" s="25">
        <v>46023</v>
      </c>
      <c r="G83" s="26"/>
      <c r="H83" s="127" t="s">
        <v>367</v>
      </c>
      <c r="I83" s="95"/>
      <c r="J83" s="22" t="s">
        <v>368</v>
      </c>
      <c r="K83" s="76">
        <v>857.77</v>
      </c>
      <c r="L83" s="28">
        <v>0</v>
      </c>
      <c r="M83" s="29">
        <v>0</v>
      </c>
      <c r="N83" s="131">
        <v>15</v>
      </c>
      <c r="O83" s="95"/>
      <c r="P83" s="131">
        <v>0</v>
      </c>
      <c r="Q83" s="95"/>
      <c r="R83" s="131">
        <v>15</v>
      </c>
      <c r="S83" s="95"/>
      <c r="T83" s="23">
        <v>1</v>
      </c>
      <c r="U83" s="30">
        <v>15</v>
      </c>
      <c r="V83" s="22" t="s">
        <v>369</v>
      </c>
      <c r="W83" s="29">
        <v>15</v>
      </c>
      <c r="X83" s="132"/>
      <c r="Y83" s="90"/>
      <c r="Z83" s="19"/>
    </row>
    <row r="84" spans="1:26" ht="12" customHeight="1">
      <c r="A84" s="66" t="s">
        <v>370</v>
      </c>
      <c r="B84" s="67">
        <v>112501330</v>
      </c>
      <c r="C84" s="68" t="s">
        <v>371</v>
      </c>
      <c r="D84" s="139" t="s">
        <v>372</v>
      </c>
      <c r="E84" s="90"/>
      <c r="F84" s="69">
        <v>46023</v>
      </c>
      <c r="G84" s="31"/>
      <c r="H84" s="138" t="s">
        <v>373</v>
      </c>
      <c r="I84" s="90"/>
      <c r="J84" s="66" t="s">
        <v>374</v>
      </c>
      <c r="K84" s="75">
        <v>1279.33</v>
      </c>
      <c r="L84" s="71">
        <v>0</v>
      </c>
      <c r="M84" s="72">
        <v>0</v>
      </c>
      <c r="N84" s="140">
        <v>15</v>
      </c>
      <c r="O84" s="90"/>
      <c r="P84" s="140">
        <v>0</v>
      </c>
      <c r="Q84" s="90"/>
      <c r="R84" s="140">
        <v>15</v>
      </c>
      <c r="S84" s="90"/>
      <c r="T84" s="67">
        <v>2</v>
      </c>
      <c r="U84" s="73">
        <v>30</v>
      </c>
      <c r="V84" s="66" t="s">
        <v>375</v>
      </c>
      <c r="W84" s="72">
        <v>30</v>
      </c>
      <c r="X84" s="132"/>
      <c r="Y84" s="90"/>
      <c r="Z84" s="19"/>
    </row>
    <row r="85" spans="1:26" ht="12" customHeight="1">
      <c r="A85" s="22" t="s">
        <v>376</v>
      </c>
      <c r="B85" s="23">
        <v>112870011</v>
      </c>
      <c r="C85" s="24" t="s">
        <v>377</v>
      </c>
      <c r="D85" s="126" t="s">
        <v>378</v>
      </c>
      <c r="E85" s="95"/>
      <c r="F85" s="25">
        <v>46023</v>
      </c>
      <c r="G85" s="26"/>
      <c r="H85" s="127" t="s">
        <v>379</v>
      </c>
      <c r="I85" s="95"/>
      <c r="J85" s="22" t="s">
        <v>380</v>
      </c>
      <c r="K85" s="27">
        <v>1395.24</v>
      </c>
      <c r="L85" s="28">
        <v>0</v>
      </c>
      <c r="M85" s="29">
        <v>0</v>
      </c>
      <c r="N85" s="131">
        <v>15</v>
      </c>
      <c r="O85" s="95"/>
      <c r="P85" s="131">
        <v>0</v>
      </c>
      <c r="Q85" s="95"/>
      <c r="R85" s="131">
        <v>15</v>
      </c>
      <c r="S85" s="95"/>
      <c r="T85" s="23">
        <v>1</v>
      </c>
      <c r="U85" s="30">
        <v>15</v>
      </c>
      <c r="V85" s="22" t="s">
        <v>381</v>
      </c>
      <c r="W85" s="29">
        <v>15</v>
      </c>
      <c r="X85" s="132"/>
      <c r="Y85" s="90"/>
      <c r="Z85" s="19"/>
    </row>
    <row r="86" spans="1:26" ht="12" customHeight="1">
      <c r="A86" s="66" t="s">
        <v>382</v>
      </c>
      <c r="B86" s="67">
        <v>112876247</v>
      </c>
      <c r="C86" s="68" t="s">
        <v>383</v>
      </c>
      <c r="D86" s="139" t="s">
        <v>384</v>
      </c>
      <c r="E86" s="90"/>
      <c r="F86" s="69">
        <v>46023</v>
      </c>
      <c r="G86" s="31"/>
      <c r="H86" s="138" t="s">
        <v>385</v>
      </c>
      <c r="I86" s="90"/>
      <c r="J86" s="66" t="s">
        <v>386</v>
      </c>
      <c r="K86" s="75">
        <v>1271.1199999999999</v>
      </c>
      <c r="L86" s="71">
        <v>0</v>
      </c>
      <c r="M86" s="72">
        <v>0</v>
      </c>
      <c r="N86" s="140">
        <v>15</v>
      </c>
      <c r="O86" s="90"/>
      <c r="P86" s="140">
        <v>0</v>
      </c>
      <c r="Q86" s="90"/>
      <c r="R86" s="140">
        <v>15</v>
      </c>
      <c r="S86" s="90"/>
      <c r="T86" s="67">
        <v>1</v>
      </c>
      <c r="U86" s="73">
        <v>15</v>
      </c>
      <c r="V86" s="66" t="s">
        <v>387</v>
      </c>
      <c r="W86" s="72">
        <v>15</v>
      </c>
      <c r="X86" s="132"/>
      <c r="Y86" s="90"/>
      <c r="Z86" s="19"/>
    </row>
    <row r="87" spans="1:26" ht="12" customHeight="1">
      <c r="A87" s="22" t="s">
        <v>388</v>
      </c>
      <c r="B87" s="23">
        <v>112900372</v>
      </c>
      <c r="C87" s="24" t="s">
        <v>389</v>
      </c>
      <c r="D87" s="126" t="s">
        <v>390</v>
      </c>
      <c r="E87" s="95"/>
      <c r="F87" s="25">
        <v>46023</v>
      </c>
      <c r="G87" s="26"/>
      <c r="H87" s="127" t="s">
        <v>391</v>
      </c>
      <c r="I87" s="95"/>
      <c r="J87" s="22" t="s">
        <v>392</v>
      </c>
      <c r="K87" s="27">
        <v>1090.19</v>
      </c>
      <c r="L87" s="28">
        <v>0</v>
      </c>
      <c r="M87" s="29">
        <v>0</v>
      </c>
      <c r="N87" s="131">
        <v>15</v>
      </c>
      <c r="O87" s="95"/>
      <c r="P87" s="131">
        <v>0</v>
      </c>
      <c r="Q87" s="95"/>
      <c r="R87" s="131">
        <v>15</v>
      </c>
      <c r="S87" s="95"/>
      <c r="T87" s="23">
        <v>1</v>
      </c>
      <c r="U87" s="30">
        <v>15</v>
      </c>
      <c r="V87" s="22" t="s">
        <v>393</v>
      </c>
      <c r="W87" s="29">
        <v>15</v>
      </c>
      <c r="X87" s="132"/>
      <c r="Y87" s="90"/>
      <c r="Z87" s="19"/>
    </row>
    <row r="88" spans="1:26" ht="13.5" customHeight="1">
      <c r="A88" s="66" t="s">
        <v>394</v>
      </c>
      <c r="B88" s="67">
        <v>112941118</v>
      </c>
      <c r="C88" s="68" t="s">
        <v>395</v>
      </c>
      <c r="D88" s="139" t="s">
        <v>396</v>
      </c>
      <c r="E88" s="90"/>
      <c r="F88" s="69">
        <v>46023</v>
      </c>
      <c r="G88" s="31"/>
      <c r="H88" s="138" t="s">
        <v>397</v>
      </c>
      <c r="I88" s="90"/>
      <c r="J88" s="66" t="s">
        <v>398</v>
      </c>
      <c r="K88" s="74">
        <v>933.49</v>
      </c>
      <c r="L88" s="71">
        <v>0</v>
      </c>
      <c r="M88" s="72">
        <v>0</v>
      </c>
      <c r="N88" s="140">
        <v>15</v>
      </c>
      <c r="O88" s="90"/>
      <c r="P88" s="140">
        <v>0</v>
      </c>
      <c r="Q88" s="90"/>
      <c r="R88" s="140">
        <v>15</v>
      </c>
      <c r="S88" s="90"/>
      <c r="T88" s="67">
        <v>1</v>
      </c>
      <c r="U88" s="73">
        <v>15</v>
      </c>
      <c r="V88" s="66" t="s">
        <v>399</v>
      </c>
      <c r="W88" s="72">
        <v>15</v>
      </c>
      <c r="X88" s="132"/>
      <c r="Y88" s="90"/>
      <c r="Z88" s="19"/>
    </row>
    <row r="89" spans="1:26" ht="28.5" customHeight="1">
      <c r="A89" s="2"/>
      <c r="B89" s="2"/>
      <c r="C89" s="2"/>
      <c r="D89" s="91" t="s">
        <v>400</v>
      </c>
      <c r="E89" s="90"/>
      <c r="F89" s="2"/>
      <c r="G89" s="2"/>
      <c r="H89" s="111"/>
      <c r="I89" s="90"/>
      <c r="J89" s="2"/>
      <c r="K89" s="2"/>
      <c r="L89" s="2"/>
      <c r="M89" s="2"/>
      <c r="N89" s="111"/>
      <c r="O89" s="90"/>
      <c r="P89" s="111"/>
      <c r="Q89" s="90"/>
      <c r="R89" s="111"/>
      <c r="S89" s="90"/>
      <c r="T89" s="2"/>
      <c r="U89" s="2"/>
      <c r="V89" s="2"/>
      <c r="W89" s="20">
        <v>390</v>
      </c>
      <c r="X89" s="111"/>
      <c r="Y89" s="90"/>
    </row>
    <row r="90" spans="1:26" ht="64.5" customHeight="1">
      <c r="A90" s="91" t="s">
        <v>401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</row>
    <row r="91" spans="1:26" ht="15.75" customHeight="1">
      <c r="A91" s="141" t="s">
        <v>402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5"/>
      <c r="X91" s="89"/>
      <c r="Y91" s="90"/>
    </row>
    <row r="92" spans="1:26" ht="15" customHeight="1">
      <c r="A92" s="142" t="s">
        <v>403</v>
      </c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29"/>
      <c r="X92" s="89"/>
      <c r="Y92" s="90"/>
    </row>
    <row r="93" spans="1:26" ht="12.75" customHeight="1">
      <c r="A93" s="89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3" t="s">
        <v>404</v>
      </c>
      <c r="N93" s="144" t="s">
        <v>405</v>
      </c>
      <c r="O93" s="90"/>
      <c r="P93" s="144" t="s">
        <v>406</v>
      </c>
      <c r="Q93" s="90"/>
      <c r="R93" s="89"/>
      <c r="S93" s="90"/>
      <c r="T93" s="1"/>
      <c r="U93" s="77" t="s">
        <v>407</v>
      </c>
      <c r="V93" s="1"/>
      <c r="W93" s="3" t="s">
        <v>408</v>
      </c>
      <c r="X93" s="89"/>
      <c r="Y93" s="90"/>
    </row>
    <row r="94" spans="1:26" ht="12.75" customHeight="1">
      <c r="A94" s="1"/>
      <c r="B94" s="89"/>
      <c r="C94" s="90"/>
      <c r="D94" s="89"/>
      <c r="E94" s="90"/>
      <c r="F94" s="91" t="s">
        <v>409</v>
      </c>
      <c r="G94" s="90"/>
      <c r="H94" s="89"/>
      <c r="I94" s="90"/>
      <c r="J94" s="1"/>
      <c r="K94" s="1"/>
      <c r="L94" s="3" t="s">
        <v>410</v>
      </c>
      <c r="M94" s="3" t="s">
        <v>411</v>
      </c>
      <c r="N94" s="144" t="s">
        <v>412</v>
      </c>
      <c r="O94" s="90"/>
      <c r="P94" s="144" t="s">
        <v>413</v>
      </c>
      <c r="Q94" s="90"/>
      <c r="R94" s="89"/>
      <c r="S94" s="90"/>
      <c r="T94" s="77" t="s">
        <v>414</v>
      </c>
      <c r="U94" s="77" t="s">
        <v>415</v>
      </c>
      <c r="V94" s="1"/>
      <c r="W94" s="3" t="s">
        <v>416</v>
      </c>
      <c r="X94" s="89"/>
      <c r="Y94" s="90"/>
    </row>
    <row r="95" spans="1:26" ht="12.75" customHeight="1">
      <c r="A95" s="8" t="s">
        <v>417</v>
      </c>
      <c r="B95" s="130" t="s">
        <v>418</v>
      </c>
      <c r="C95" s="97"/>
      <c r="D95" s="130" t="s">
        <v>419</v>
      </c>
      <c r="E95" s="97"/>
      <c r="F95" s="130" t="s">
        <v>420</v>
      </c>
      <c r="G95" s="97"/>
      <c r="H95" s="124" t="s">
        <v>421</v>
      </c>
      <c r="I95" s="97"/>
      <c r="J95" s="8" t="s">
        <v>422</v>
      </c>
      <c r="K95" s="7" t="s">
        <v>423</v>
      </c>
      <c r="L95" s="7" t="s">
        <v>424</v>
      </c>
      <c r="M95" s="7" t="s">
        <v>425</v>
      </c>
      <c r="N95" s="124" t="s">
        <v>426</v>
      </c>
      <c r="O95" s="97"/>
      <c r="P95" s="124" t="s">
        <v>427</v>
      </c>
      <c r="Q95" s="97"/>
      <c r="R95" s="124" t="s">
        <v>428</v>
      </c>
      <c r="S95" s="97"/>
      <c r="T95" s="8" t="s">
        <v>429</v>
      </c>
      <c r="U95" s="8" t="s">
        <v>430</v>
      </c>
      <c r="V95" s="8" t="s">
        <v>431</v>
      </c>
      <c r="W95" s="7" t="s">
        <v>432</v>
      </c>
      <c r="X95" s="111"/>
      <c r="Y95" s="90"/>
    </row>
    <row r="96" spans="1:26" ht="12" customHeight="1">
      <c r="A96" s="145" t="s">
        <v>433</v>
      </c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5"/>
      <c r="X96" s="132"/>
      <c r="Y96" s="90"/>
      <c r="Z96" s="19"/>
    </row>
    <row r="97" spans="1:26" ht="30" customHeight="1">
      <c r="A97" s="91" t="s">
        <v>434</v>
      </c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</row>
    <row r="98" spans="1:26" ht="64.5" customHeight="1">
      <c r="A98" s="91" t="s">
        <v>435</v>
      </c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</row>
    <row r="99" spans="1:26" ht="15.75" customHeight="1">
      <c r="A99" s="141" t="s">
        <v>436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5"/>
      <c r="X99" s="89"/>
      <c r="Y99" s="90"/>
    </row>
    <row r="100" spans="1:26" ht="15" customHeight="1">
      <c r="A100" s="142" t="s">
        <v>437</v>
      </c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29"/>
      <c r="X100" s="89"/>
      <c r="Y100" s="90"/>
    </row>
    <row r="101" spans="1:26" ht="38.25" customHeight="1">
      <c r="A101" s="4" t="s">
        <v>438</v>
      </c>
      <c r="B101" s="4" t="s">
        <v>439</v>
      </c>
      <c r="C101" s="5" t="s">
        <v>440</v>
      </c>
      <c r="D101" s="113" t="s">
        <v>441</v>
      </c>
      <c r="E101" s="97"/>
      <c r="F101" s="6" t="s">
        <v>442</v>
      </c>
      <c r="G101" s="6" t="s">
        <v>443</v>
      </c>
      <c r="H101" s="102" t="s">
        <v>444</v>
      </c>
      <c r="I101" s="97"/>
      <c r="J101" s="4" t="s">
        <v>445</v>
      </c>
      <c r="K101" s="5" t="s">
        <v>446</v>
      </c>
      <c r="L101" s="6" t="s">
        <v>447</v>
      </c>
      <c r="M101" s="7" t="s">
        <v>448</v>
      </c>
      <c r="N101" s="109" t="s">
        <v>449</v>
      </c>
      <c r="O101" s="97"/>
      <c r="P101" s="101" t="s">
        <v>450</v>
      </c>
      <c r="Q101" s="97"/>
      <c r="R101" s="102" t="s">
        <v>451</v>
      </c>
      <c r="S101" s="97"/>
      <c r="T101" s="6" t="s">
        <v>452</v>
      </c>
      <c r="U101" s="8" t="s">
        <v>453</v>
      </c>
      <c r="V101" s="4" t="s">
        <v>454</v>
      </c>
      <c r="W101" s="8" t="s">
        <v>455</v>
      </c>
      <c r="X101" s="110"/>
      <c r="Y101" s="90"/>
    </row>
    <row r="102" spans="1:26" ht="16.5" customHeight="1">
      <c r="A102" s="38" t="s">
        <v>456</v>
      </c>
      <c r="B102" s="39">
        <v>112956116</v>
      </c>
      <c r="C102" s="40" t="s">
        <v>457</v>
      </c>
      <c r="D102" s="134" t="s">
        <v>458</v>
      </c>
      <c r="E102" s="99"/>
      <c r="F102" s="41">
        <v>46023</v>
      </c>
      <c r="G102" s="34"/>
      <c r="H102" s="135" t="s">
        <v>459</v>
      </c>
      <c r="I102" s="99"/>
      <c r="J102" s="38" t="s">
        <v>460</v>
      </c>
      <c r="K102" s="78">
        <v>1355.36</v>
      </c>
      <c r="L102" s="43">
        <v>0.04</v>
      </c>
      <c r="M102" s="44">
        <v>54.21</v>
      </c>
      <c r="N102" s="136">
        <v>0</v>
      </c>
      <c r="O102" s="99"/>
      <c r="P102" s="136">
        <v>0</v>
      </c>
      <c r="Q102" s="99"/>
      <c r="R102" s="136">
        <v>0</v>
      </c>
      <c r="S102" s="99"/>
      <c r="T102" s="39">
        <v>1</v>
      </c>
      <c r="U102" s="45">
        <v>0</v>
      </c>
      <c r="V102" s="38" t="s">
        <v>461</v>
      </c>
      <c r="W102" s="44">
        <v>54.21</v>
      </c>
      <c r="X102" s="111"/>
      <c r="Y102" s="90"/>
    </row>
    <row r="103" spans="1:26" ht="12" customHeight="1">
      <c r="A103" s="46" t="s">
        <v>462</v>
      </c>
      <c r="B103" s="47">
        <v>112982699</v>
      </c>
      <c r="C103" s="48" t="s">
        <v>463</v>
      </c>
      <c r="D103" s="149" t="s">
        <v>464</v>
      </c>
      <c r="E103" s="95"/>
      <c r="F103" s="49">
        <v>46023</v>
      </c>
      <c r="G103" s="50"/>
      <c r="H103" s="146" t="s">
        <v>465</v>
      </c>
      <c r="I103" s="95"/>
      <c r="J103" s="46" t="s">
        <v>466</v>
      </c>
      <c r="K103" s="79">
        <v>968.75</v>
      </c>
      <c r="L103" s="52">
        <v>0.04</v>
      </c>
      <c r="M103" s="53">
        <v>38.75</v>
      </c>
      <c r="N103" s="150">
        <v>0</v>
      </c>
      <c r="O103" s="95"/>
      <c r="P103" s="150">
        <v>0</v>
      </c>
      <c r="Q103" s="95"/>
      <c r="R103" s="150">
        <v>0</v>
      </c>
      <c r="S103" s="95"/>
      <c r="T103" s="47">
        <v>1</v>
      </c>
      <c r="U103" s="54">
        <v>0</v>
      </c>
      <c r="V103" s="46" t="s">
        <v>467</v>
      </c>
      <c r="W103" s="53">
        <v>38.75</v>
      </c>
      <c r="X103" s="89"/>
      <c r="Y103" s="90"/>
    </row>
    <row r="104" spans="1:26" ht="12" customHeight="1">
      <c r="A104" s="55" t="s">
        <v>468</v>
      </c>
      <c r="B104" s="56">
        <v>112982708</v>
      </c>
      <c r="C104" s="57" t="s">
        <v>469</v>
      </c>
      <c r="D104" s="151" t="s">
        <v>470</v>
      </c>
      <c r="E104" s="90"/>
      <c r="F104" s="58">
        <v>46023</v>
      </c>
      <c r="G104" s="1"/>
      <c r="H104" s="147" t="s">
        <v>471</v>
      </c>
      <c r="I104" s="90"/>
      <c r="J104" s="55" t="s">
        <v>472</v>
      </c>
      <c r="K104" s="80">
        <v>1500.08</v>
      </c>
      <c r="L104" s="60">
        <v>0.04</v>
      </c>
      <c r="M104" s="61">
        <v>60</v>
      </c>
      <c r="N104" s="148">
        <v>0</v>
      </c>
      <c r="O104" s="90"/>
      <c r="P104" s="148">
        <v>0</v>
      </c>
      <c r="Q104" s="90"/>
      <c r="R104" s="148">
        <v>0</v>
      </c>
      <c r="S104" s="90"/>
      <c r="T104" s="56">
        <v>1</v>
      </c>
      <c r="U104" s="62">
        <v>0</v>
      </c>
      <c r="V104" s="55" t="s">
        <v>473</v>
      </c>
      <c r="W104" s="61">
        <v>60</v>
      </c>
      <c r="X104" s="89"/>
      <c r="Y104" s="90"/>
    </row>
    <row r="105" spans="1:26" ht="12" customHeight="1">
      <c r="A105" s="22" t="s">
        <v>474</v>
      </c>
      <c r="B105" s="23">
        <v>112949073</v>
      </c>
      <c r="C105" s="24" t="s">
        <v>475</v>
      </c>
      <c r="D105" s="126" t="s">
        <v>476</v>
      </c>
      <c r="E105" s="95"/>
      <c r="F105" s="25">
        <v>46023</v>
      </c>
      <c r="G105" s="26"/>
      <c r="H105" s="127" t="s">
        <v>477</v>
      </c>
      <c r="I105" s="95"/>
      <c r="J105" s="22" t="s">
        <v>478</v>
      </c>
      <c r="K105" s="76">
        <v>971.96</v>
      </c>
      <c r="L105" s="28">
        <v>0</v>
      </c>
      <c r="M105" s="29">
        <v>0</v>
      </c>
      <c r="N105" s="131">
        <v>15</v>
      </c>
      <c r="O105" s="95"/>
      <c r="P105" s="131">
        <v>0</v>
      </c>
      <c r="Q105" s="95"/>
      <c r="R105" s="131">
        <v>15</v>
      </c>
      <c r="S105" s="95"/>
      <c r="T105" s="23">
        <v>1</v>
      </c>
      <c r="U105" s="30">
        <v>15</v>
      </c>
      <c r="V105" s="22" t="s">
        <v>479</v>
      </c>
      <c r="W105" s="29">
        <v>15</v>
      </c>
      <c r="X105" s="132"/>
      <c r="Y105" s="90"/>
      <c r="Z105" s="19"/>
    </row>
    <row r="106" spans="1:26" ht="12" customHeight="1">
      <c r="A106" s="66" t="s">
        <v>480</v>
      </c>
      <c r="B106" s="67">
        <v>112953723</v>
      </c>
      <c r="C106" s="68" t="s">
        <v>481</v>
      </c>
      <c r="D106" s="139" t="s">
        <v>482</v>
      </c>
      <c r="E106" s="90"/>
      <c r="F106" s="69">
        <v>46023</v>
      </c>
      <c r="G106" s="31"/>
      <c r="H106" s="138" t="s">
        <v>483</v>
      </c>
      <c r="I106" s="90"/>
      <c r="J106" s="66" t="s">
        <v>484</v>
      </c>
      <c r="K106" s="74">
        <v>397.56</v>
      </c>
      <c r="L106" s="71">
        <v>0</v>
      </c>
      <c r="M106" s="72">
        <v>0</v>
      </c>
      <c r="N106" s="140">
        <v>15</v>
      </c>
      <c r="O106" s="90"/>
      <c r="P106" s="140">
        <v>0</v>
      </c>
      <c r="Q106" s="90"/>
      <c r="R106" s="140">
        <v>15</v>
      </c>
      <c r="S106" s="90"/>
      <c r="T106" s="67">
        <v>1</v>
      </c>
      <c r="U106" s="73">
        <v>15</v>
      </c>
      <c r="V106" s="66" t="s">
        <v>485</v>
      </c>
      <c r="W106" s="72">
        <v>15</v>
      </c>
      <c r="X106" s="132"/>
      <c r="Y106" s="90"/>
      <c r="Z106" s="19"/>
    </row>
    <row r="107" spans="1:26" ht="12" customHeight="1">
      <c r="A107" s="22" t="s">
        <v>486</v>
      </c>
      <c r="B107" s="23">
        <v>112956066</v>
      </c>
      <c r="C107" s="24" t="s">
        <v>487</v>
      </c>
      <c r="D107" s="126" t="s">
        <v>488</v>
      </c>
      <c r="E107" s="95"/>
      <c r="F107" s="25">
        <v>46023</v>
      </c>
      <c r="G107" s="26"/>
      <c r="H107" s="127" t="s">
        <v>489</v>
      </c>
      <c r="I107" s="95"/>
      <c r="J107" s="22" t="s">
        <v>490</v>
      </c>
      <c r="K107" s="27">
        <v>1229.1600000000001</v>
      </c>
      <c r="L107" s="28">
        <v>0</v>
      </c>
      <c r="M107" s="29">
        <v>0</v>
      </c>
      <c r="N107" s="131">
        <v>15</v>
      </c>
      <c r="O107" s="95"/>
      <c r="P107" s="131">
        <v>0</v>
      </c>
      <c r="Q107" s="95"/>
      <c r="R107" s="131">
        <v>15</v>
      </c>
      <c r="S107" s="95"/>
      <c r="T107" s="23">
        <v>1</v>
      </c>
      <c r="U107" s="30">
        <v>15</v>
      </c>
      <c r="V107" s="22" t="s">
        <v>491</v>
      </c>
      <c r="W107" s="29">
        <v>15</v>
      </c>
      <c r="X107" s="132"/>
      <c r="Y107" s="90"/>
      <c r="Z107" s="19"/>
    </row>
    <row r="108" spans="1:26" ht="12" customHeight="1">
      <c r="A108" s="66" t="s">
        <v>492</v>
      </c>
      <c r="B108" s="67">
        <v>112978628</v>
      </c>
      <c r="C108" s="68" t="s">
        <v>493</v>
      </c>
      <c r="D108" s="139" t="s">
        <v>494</v>
      </c>
      <c r="E108" s="90"/>
      <c r="F108" s="69">
        <v>46023</v>
      </c>
      <c r="G108" s="69">
        <v>46059</v>
      </c>
      <c r="H108" s="138" t="s">
        <v>495</v>
      </c>
      <c r="I108" s="90"/>
      <c r="J108" s="66" t="s">
        <v>496</v>
      </c>
      <c r="K108" s="74">
        <v>451.47</v>
      </c>
      <c r="L108" s="71">
        <v>0</v>
      </c>
      <c r="M108" s="72">
        <v>0</v>
      </c>
      <c r="N108" s="140">
        <v>15</v>
      </c>
      <c r="O108" s="90"/>
      <c r="P108" s="140">
        <v>1</v>
      </c>
      <c r="Q108" s="90"/>
      <c r="R108" s="140">
        <v>16</v>
      </c>
      <c r="S108" s="90"/>
      <c r="T108" s="67">
        <v>1</v>
      </c>
      <c r="U108" s="73">
        <v>16</v>
      </c>
      <c r="V108" s="66" t="s">
        <v>497</v>
      </c>
      <c r="W108" s="72">
        <v>16</v>
      </c>
      <c r="X108" s="132"/>
      <c r="Y108" s="90"/>
      <c r="Z108" s="19"/>
    </row>
    <row r="109" spans="1:26" ht="12" customHeight="1">
      <c r="A109" s="22" t="s">
        <v>498</v>
      </c>
      <c r="B109" s="23">
        <v>113159408</v>
      </c>
      <c r="C109" s="24" t="s">
        <v>499</v>
      </c>
      <c r="D109" s="126" t="s">
        <v>500</v>
      </c>
      <c r="E109" s="95"/>
      <c r="F109" s="25">
        <v>46023</v>
      </c>
      <c r="G109" s="26"/>
      <c r="H109" s="127" t="s">
        <v>501</v>
      </c>
      <c r="I109" s="95"/>
      <c r="J109" s="22" t="s">
        <v>502</v>
      </c>
      <c r="K109" s="76">
        <v>877.42</v>
      </c>
      <c r="L109" s="28">
        <v>0</v>
      </c>
      <c r="M109" s="29">
        <v>0</v>
      </c>
      <c r="N109" s="131">
        <v>15</v>
      </c>
      <c r="O109" s="95"/>
      <c r="P109" s="131">
        <v>0</v>
      </c>
      <c r="Q109" s="95"/>
      <c r="R109" s="131">
        <v>15</v>
      </c>
      <c r="S109" s="95"/>
      <c r="T109" s="23">
        <v>1</v>
      </c>
      <c r="U109" s="30">
        <v>15</v>
      </c>
      <c r="V109" s="22" t="s">
        <v>503</v>
      </c>
      <c r="W109" s="29">
        <v>15</v>
      </c>
      <c r="X109" s="132"/>
      <c r="Y109" s="90"/>
      <c r="Z109" s="19"/>
    </row>
    <row r="110" spans="1:26" ht="12" customHeight="1">
      <c r="A110" s="55" t="s">
        <v>504</v>
      </c>
      <c r="B110" s="56">
        <v>112905472</v>
      </c>
      <c r="C110" s="57" t="s">
        <v>505</v>
      </c>
      <c r="D110" s="151" t="s">
        <v>506</v>
      </c>
      <c r="E110" s="90"/>
      <c r="F110" s="58">
        <v>46023</v>
      </c>
      <c r="G110" s="1"/>
      <c r="H110" s="147" t="s">
        <v>507</v>
      </c>
      <c r="I110" s="90"/>
      <c r="J110" s="55" t="s">
        <v>508</v>
      </c>
      <c r="K110" s="81">
        <v>1587.71</v>
      </c>
      <c r="L110" s="60">
        <v>0</v>
      </c>
      <c r="M110" s="61">
        <v>0</v>
      </c>
      <c r="N110" s="148">
        <v>21</v>
      </c>
      <c r="O110" s="90"/>
      <c r="P110" s="148">
        <v>0</v>
      </c>
      <c r="Q110" s="90"/>
      <c r="R110" s="148">
        <v>21</v>
      </c>
      <c r="S110" s="90"/>
      <c r="T110" s="56">
        <v>1</v>
      </c>
      <c r="U110" s="62">
        <v>21</v>
      </c>
      <c r="V110" s="55" t="s">
        <v>509</v>
      </c>
      <c r="W110" s="61">
        <v>21</v>
      </c>
      <c r="X110" s="89"/>
      <c r="Y110" s="90"/>
    </row>
    <row r="111" spans="1:26" ht="12" customHeight="1">
      <c r="A111" s="22" t="s">
        <v>510</v>
      </c>
      <c r="B111" s="23">
        <v>112980045</v>
      </c>
      <c r="C111" s="24" t="s">
        <v>511</v>
      </c>
      <c r="D111" s="126" t="s">
        <v>512</v>
      </c>
      <c r="E111" s="95"/>
      <c r="F111" s="25">
        <v>46023</v>
      </c>
      <c r="G111" s="26"/>
      <c r="H111" s="127" t="s">
        <v>513</v>
      </c>
      <c r="I111" s="95"/>
      <c r="J111" s="22" t="s">
        <v>514</v>
      </c>
      <c r="K111" s="27">
        <v>1051.74</v>
      </c>
      <c r="L111" s="28">
        <v>0</v>
      </c>
      <c r="M111" s="29">
        <v>0</v>
      </c>
      <c r="N111" s="131">
        <v>10</v>
      </c>
      <c r="O111" s="95"/>
      <c r="P111" s="131">
        <v>0</v>
      </c>
      <c r="Q111" s="95"/>
      <c r="R111" s="131">
        <v>10</v>
      </c>
      <c r="S111" s="95"/>
      <c r="T111" s="23">
        <v>1</v>
      </c>
      <c r="U111" s="30">
        <v>10</v>
      </c>
      <c r="V111" s="22" t="s">
        <v>515</v>
      </c>
      <c r="W111" s="29">
        <v>10</v>
      </c>
      <c r="X111" s="132"/>
      <c r="Y111" s="90"/>
      <c r="Z111" s="19"/>
    </row>
    <row r="112" spans="1:26" ht="21.75" customHeight="1">
      <c r="A112" s="91" t="s">
        <v>516</v>
      </c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111"/>
      <c r="Y112" s="90"/>
    </row>
    <row r="113" spans="1:26" ht="14.25" customHeight="1">
      <c r="A113" s="32"/>
      <c r="B113" s="32"/>
      <c r="C113" s="32"/>
      <c r="D113" s="128"/>
      <c r="E113" s="129"/>
      <c r="F113" s="32"/>
      <c r="G113" s="32"/>
      <c r="H113" s="128"/>
      <c r="I113" s="129"/>
      <c r="J113" s="32"/>
      <c r="K113" s="33" t="s">
        <v>517</v>
      </c>
      <c r="L113" s="32"/>
      <c r="M113" s="32"/>
      <c r="N113" s="128"/>
      <c r="O113" s="129"/>
      <c r="P113" s="128"/>
      <c r="Q113" s="129"/>
      <c r="R113" s="128"/>
      <c r="S113" s="129"/>
      <c r="T113" s="32"/>
      <c r="U113" s="32"/>
      <c r="V113" s="32"/>
      <c r="W113" s="32"/>
      <c r="X113" s="89"/>
      <c r="Y113" s="90"/>
    </row>
    <row r="114" spans="1:26" ht="25.5" customHeight="1">
      <c r="A114" s="34"/>
      <c r="B114" s="34"/>
      <c r="C114" s="34"/>
      <c r="D114" s="123"/>
      <c r="E114" s="99"/>
      <c r="F114" s="35" t="s">
        <v>518</v>
      </c>
      <c r="G114" s="35" t="s">
        <v>519</v>
      </c>
      <c r="H114" s="123"/>
      <c r="I114" s="99"/>
      <c r="J114" s="34"/>
      <c r="K114" s="34"/>
      <c r="L114" s="36" t="s">
        <v>520</v>
      </c>
      <c r="M114" s="37" t="s">
        <v>521</v>
      </c>
      <c r="N114" s="133" t="s">
        <v>522</v>
      </c>
      <c r="O114" s="99"/>
      <c r="P114" s="133" t="s">
        <v>523</v>
      </c>
      <c r="Q114" s="99"/>
      <c r="R114" s="123"/>
      <c r="S114" s="99"/>
      <c r="T114" s="35" t="s">
        <v>524</v>
      </c>
      <c r="U114" s="37" t="s">
        <v>525</v>
      </c>
      <c r="V114" s="34"/>
      <c r="W114" s="37" t="s">
        <v>526</v>
      </c>
      <c r="X114" s="111"/>
      <c r="Y114" s="90"/>
    </row>
    <row r="115" spans="1:26" ht="12.75" customHeight="1">
      <c r="A115" s="8" t="s">
        <v>527</v>
      </c>
      <c r="B115" s="8" t="s">
        <v>528</v>
      </c>
      <c r="C115" s="7" t="s">
        <v>529</v>
      </c>
      <c r="D115" s="130" t="s">
        <v>530</v>
      </c>
      <c r="E115" s="97"/>
      <c r="F115" s="8" t="s">
        <v>531</v>
      </c>
      <c r="G115" s="8" t="s">
        <v>532</v>
      </c>
      <c r="H115" s="124" t="s">
        <v>533</v>
      </c>
      <c r="I115" s="97"/>
      <c r="J115" s="8" t="s">
        <v>534</v>
      </c>
      <c r="K115" s="7" t="s">
        <v>535</v>
      </c>
      <c r="L115" s="7" t="s">
        <v>536</v>
      </c>
      <c r="M115" s="7" t="s">
        <v>537</v>
      </c>
      <c r="N115" s="124" t="s">
        <v>538</v>
      </c>
      <c r="O115" s="97"/>
      <c r="P115" s="124" t="s">
        <v>539</v>
      </c>
      <c r="Q115" s="97"/>
      <c r="R115" s="124" t="s">
        <v>540</v>
      </c>
      <c r="S115" s="97"/>
      <c r="T115" s="8" t="s">
        <v>541</v>
      </c>
      <c r="U115" s="8" t="s">
        <v>542</v>
      </c>
      <c r="V115" s="8" t="s">
        <v>543</v>
      </c>
      <c r="W115" s="7" t="s">
        <v>544</v>
      </c>
      <c r="X115" s="111"/>
      <c r="Y115" s="90"/>
    </row>
    <row r="116" spans="1:26" ht="16.5" customHeight="1">
      <c r="A116" s="38" t="s">
        <v>545</v>
      </c>
      <c r="B116" s="39" t="s">
        <v>546</v>
      </c>
      <c r="C116" s="40" t="s">
        <v>547</v>
      </c>
      <c r="D116" s="134" t="s">
        <v>548</v>
      </c>
      <c r="E116" s="99"/>
      <c r="F116" s="41">
        <v>46023</v>
      </c>
      <c r="G116" s="34"/>
      <c r="H116" s="135" t="s">
        <v>549</v>
      </c>
      <c r="I116" s="99"/>
      <c r="J116" s="38" t="s">
        <v>550</v>
      </c>
      <c r="K116" s="78">
        <v>1810.7</v>
      </c>
      <c r="L116" s="43">
        <v>0.04</v>
      </c>
      <c r="M116" s="44">
        <v>72.430000000000007</v>
      </c>
      <c r="N116" s="136">
        <v>0</v>
      </c>
      <c r="O116" s="99"/>
      <c r="P116" s="136">
        <v>0</v>
      </c>
      <c r="Q116" s="99"/>
      <c r="R116" s="136">
        <v>0</v>
      </c>
      <c r="S116" s="99"/>
      <c r="T116" s="39">
        <v>2</v>
      </c>
      <c r="U116" s="45">
        <v>0</v>
      </c>
      <c r="V116" s="38" t="s">
        <v>551</v>
      </c>
      <c r="W116" s="44">
        <v>72.430000000000007</v>
      </c>
      <c r="X116" s="111"/>
      <c r="Y116" s="90"/>
    </row>
    <row r="117" spans="1:26" ht="12" customHeight="1">
      <c r="A117" s="46" t="s">
        <v>552</v>
      </c>
      <c r="B117" s="47">
        <v>110987700</v>
      </c>
      <c r="C117" s="48" t="s">
        <v>553</v>
      </c>
      <c r="D117" s="149" t="s">
        <v>554</v>
      </c>
      <c r="E117" s="95"/>
      <c r="F117" s="49">
        <v>46023</v>
      </c>
      <c r="G117" s="50"/>
      <c r="H117" s="146" t="s">
        <v>555</v>
      </c>
      <c r="I117" s="95"/>
      <c r="J117" s="46" t="s">
        <v>556</v>
      </c>
      <c r="K117" s="79">
        <v>1476.09</v>
      </c>
      <c r="L117" s="52">
        <v>0.04</v>
      </c>
      <c r="M117" s="53">
        <v>59.04</v>
      </c>
      <c r="N117" s="150">
        <v>0</v>
      </c>
      <c r="O117" s="95"/>
      <c r="P117" s="150">
        <v>0</v>
      </c>
      <c r="Q117" s="95"/>
      <c r="R117" s="150">
        <v>0</v>
      </c>
      <c r="S117" s="95"/>
      <c r="T117" s="47">
        <v>1</v>
      </c>
      <c r="U117" s="54">
        <v>0</v>
      </c>
      <c r="V117" s="46" t="s">
        <v>557</v>
      </c>
      <c r="W117" s="53">
        <v>59.04</v>
      </c>
      <c r="X117" s="89"/>
      <c r="Y117" s="90"/>
    </row>
    <row r="118" spans="1:26" ht="12" customHeight="1">
      <c r="A118" s="55" t="s">
        <v>558</v>
      </c>
      <c r="B118" s="56">
        <v>111102853</v>
      </c>
      <c r="C118" s="57" t="s">
        <v>559</v>
      </c>
      <c r="D118" s="151" t="s">
        <v>560</v>
      </c>
      <c r="E118" s="90"/>
      <c r="F118" s="58">
        <v>46023</v>
      </c>
      <c r="G118" s="1"/>
      <c r="H118" s="147" t="s">
        <v>561</v>
      </c>
      <c r="I118" s="90"/>
      <c r="J118" s="55" t="s">
        <v>562</v>
      </c>
      <c r="K118" s="80">
        <v>1001.54</v>
      </c>
      <c r="L118" s="60">
        <v>0.04</v>
      </c>
      <c r="M118" s="61">
        <v>40.06</v>
      </c>
      <c r="N118" s="148">
        <v>0</v>
      </c>
      <c r="O118" s="90"/>
      <c r="P118" s="148">
        <v>0</v>
      </c>
      <c r="Q118" s="90"/>
      <c r="R118" s="148">
        <v>0</v>
      </c>
      <c r="S118" s="90"/>
      <c r="T118" s="56">
        <v>1</v>
      </c>
      <c r="U118" s="62">
        <v>0</v>
      </c>
      <c r="V118" s="55" t="s">
        <v>563</v>
      </c>
      <c r="W118" s="61">
        <v>40.06</v>
      </c>
      <c r="X118" s="89"/>
      <c r="Y118" s="90"/>
    </row>
    <row r="119" spans="1:26" ht="12" customHeight="1">
      <c r="A119" s="22" t="s">
        <v>564</v>
      </c>
      <c r="B119" s="23">
        <v>109263551</v>
      </c>
      <c r="C119" s="24" t="s">
        <v>565</v>
      </c>
      <c r="D119" s="126" t="s">
        <v>566</v>
      </c>
      <c r="E119" s="95"/>
      <c r="F119" s="25">
        <v>46023</v>
      </c>
      <c r="G119" s="26"/>
      <c r="H119" s="127" t="s">
        <v>567</v>
      </c>
      <c r="I119" s="95"/>
      <c r="J119" s="22" t="s">
        <v>568</v>
      </c>
      <c r="K119" s="27">
        <v>1128.27</v>
      </c>
      <c r="L119" s="28">
        <v>0</v>
      </c>
      <c r="M119" s="29">
        <v>0</v>
      </c>
      <c r="N119" s="131">
        <v>15</v>
      </c>
      <c r="O119" s="95"/>
      <c r="P119" s="131">
        <v>0</v>
      </c>
      <c r="Q119" s="95"/>
      <c r="R119" s="131">
        <v>15</v>
      </c>
      <c r="S119" s="95"/>
      <c r="T119" s="23">
        <v>1</v>
      </c>
      <c r="U119" s="30">
        <v>15</v>
      </c>
      <c r="V119" s="22" t="s">
        <v>569</v>
      </c>
      <c r="W119" s="29">
        <v>15</v>
      </c>
      <c r="X119" s="132"/>
      <c r="Y119" s="90"/>
      <c r="Z119" s="19"/>
    </row>
    <row r="120" spans="1:26" ht="12" customHeight="1">
      <c r="A120" s="66" t="s">
        <v>570</v>
      </c>
      <c r="B120" s="67">
        <v>110913614</v>
      </c>
      <c r="C120" s="68" t="s">
        <v>571</v>
      </c>
      <c r="D120" s="139" t="s">
        <v>572</v>
      </c>
      <c r="E120" s="90"/>
      <c r="F120" s="69">
        <v>46023</v>
      </c>
      <c r="G120" s="31"/>
      <c r="H120" s="138" t="s">
        <v>573</v>
      </c>
      <c r="I120" s="90"/>
      <c r="J120" s="66" t="s">
        <v>574</v>
      </c>
      <c r="K120" s="74">
        <v>992.67</v>
      </c>
      <c r="L120" s="71">
        <v>0</v>
      </c>
      <c r="M120" s="72">
        <v>0</v>
      </c>
      <c r="N120" s="140">
        <v>15</v>
      </c>
      <c r="O120" s="90"/>
      <c r="P120" s="140">
        <v>0</v>
      </c>
      <c r="Q120" s="90"/>
      <c r="R120" s="140">
        <v>15</v>
      </c>
      <c r="S120" s="90"/>
      <c r="T120" s="67">
        <v>1</v>
      </c>
      <c r="U120" s="73">
        <v>15</v>
      </c>
      <c r="V120" s="66" t="s">
        <v>575</v>
      </c>
      <c r="W120" s="72">
        <v>15</v>
      </c>
      <c r="X120" s="132"/>
      <c r="Y120" s="90"/>
      <c r="Z120" s="19"/>
    </row>
    <row r="121" spans="1:26" ht="11.25" customHeight="1">
      <c r="A121" s="22" t="s">
        <v>576</v>
      </c>
      <c r="B121" s="82">
        <v>111241629</v>
      </c>
      <c r="C121" s="24" t="s">
        <v>577</v>
      </c>
      <c r="D121" s="127" t="s">
        <v>578</v>
      </c>
      <c r="E121" s="95"/>
      <c r="F121" s="25">
        <v>46023</v>
      </c>
      <c r="G121" s="83">
        <v>46043</v>
      </c>
      <c r="H121" s="127" t="s">
        <v>579</v>
      </c>
      <c r="I121" s="95"/>
      <c r="J121" s="22" t="s">
        <v>580</v>
      </c>
      <c r="K121" s="84">
        <v>1252.68</v>
      </c>
      <c r="L121" s="28">
        <v>0</v>
      </c>
      <c r="M121" s="29">
        <v>0</v>
      </c>
      <c r="N121" s="131">
        <v>15</v>
      </c>
      <c r="O121" s="95"/>
      <c r="P121" s="131">
        <v>0</v>
      </c>
      <c r="Q121" s="95"/>
      <c r="R121" s="131">
        <v>15</v>
      </c>
      <c r="S121" s="95"/>
      <c r="T121" s="23">
        <v>1</v>
      </c>
      <c r="U121" s="30">
        <v>15</v>
      </c>
      <c r="V121" s="22" t="s">
        <v>581</v>
      </c>
      <c r="W121" s="29">
        <v>15</v>
      </c>
      <c r="X121" s="132"/>
      <c r="Y121" s="90"/>
      <c r="Z121" s="19"/>
    </row>
    <row r="122" spans="1:26" ht="12" customHeight="1">
      <c r="A122" s="66" t="s">
        <v>582</v>
      </c>
      <c r="B122" s="85">
        <v>111828564</v>
      </c>
      <c r="C122" s="68" t="s">
        <v>583</v>
      </c>
      <c r="D122" s="138" t="s">
        <v>584</v>
      </c>
      <c r="E122" s="90"/>
      <c r="F122" s="69">
        <v>46023</v>
      </c>
      <c r="G122" s="31"/>
      <c r="H122" s="138" t="s">
        <v>585</v>
      </c>
      <c r="I122" s="90"/>
      <c r="J122" s="66" t="s">
        <v>586</v>
      </c>
      <c r="K122" s="86">
        <v>1030.68</v>
      </c>
      <c r="L122" s="71">
        <v>0</v>
      </c>
      <c r="M122" s="72">
        <v>0</v>
      </c>
      <c r="N122" s="140">
        <v>15</v>
      </c>
      <c r="O122" s="90"/>
      <c r="P122" s="140">
        <v>0</v>
      </c>
      <c r="Q122" s="90"/>
      <c r="R122" s="140">
        <v>15</v>
      </c>
      <c r="S122" s="90"/>
      <c r="T122" s="67">
        <v>1</v>
      </c>
      <c r="U122" s="73">
        <v>15</v>
      </c>
      <c r="V122" s="66" t="s">
        <v>587</v>
      </c>
      <c r="W122" s="72">
        <v>15</v>
      </c>
      <c r="X122" s="132"/>
      <c r="Y122" s="90"/>
      <c r="Z122" s="19"/>
    </row>
    <row r="123" spans="1:26" ht="12" customHeight="1">
      <c r="A123" s="22" t="s">
        <v>588</v>
      </c>
      <c r="B123" s="82">
        <v>112555327</v>
      </c>
      <c r="C123" s="24" t="s">
        <v>589</v>
      </c>
      <c r="D123" s="127" t="s">
        <v>590</v>
      </c>
      <c r="E123" s="95"/>
      <c r="F123" s="25">
        <v>46023</v>
      </c>
      <c r="G123" s="26"/>
      <c r="H123" s="127" t="s">
        <v>591</v>
      </c>
      <c r="I123" s="95"/>
      <c r="J123" s="22" t="s">
        <v>592</v>
      </c>
      <c r="K123" s="84">
        <v>1795.66</v>
      </c>
      <c r="L123" s="28">
        <v>0</v>
      </c>
      <c r="M123" s="29">
        <v>0</v>
      </c>
      <c r="N123" s="131">
        <v>15</v>
      </c>
      <c r="O123" s="95"/>
      <c r="P123" s="131">
        <v>0</v>
      </c>
      <c r="Q123" s="95"/>
      <c r="R123" s="131">
        <v>15</v>
      </c>
      <c r="S123" s="95"/>
      <c r="T123" s="23">
        <v>2</v>
      </c>
      <c r="U123" s="30">
        <v>30</v>
      </c>
      <c r="V123" s="22" t="s">
        <v>593</v>
      </c>
      <c r="W123" s="29">
        <v>30</v>
      </c>
      <c r="X123" s="132"/>
      <c r="Y123" s="90"/>
      <c r="Z123" s="19"/>
    </row>
    <row r="124" spans="1:26" ht="12" customHeight="1">
      <c r="A124" s="66" t="s">
        <v>594</v>
      </c>
      <c r="B124" s="85">
        <v>112555365</v>
      </c>
      <c r="C124" s="68" t="s">
        <v>595</v>
      </c>
      <c r="D124" s="138" t="s">
        <v>596</v>
      </c>
      <c r="E124" s="90"/>
      <c r="F124" s="69">
        <v>46023</v>
      </c>
      <c r="G124" s="31"/>
      <c r="H124" s="138" t="s">
        <v>597</v>
      </c>
      <c r="I124" s="90"/>
      <c r="J124" s="66" t="s">
        <v>598</v>
      </c>
      <c r="K124" s="73">
        <v>365.91</v>
      </c>
      <c r="L124" s="71">
        <v>0</v>
      </c>
      <c r="M124" s="72">
        <v>0</v>
      </c>
      <c r="N124" s="140">
        <v>15</v>
      </c>
      <c r="O124" s="90"/>
      <c r="P124" s="140">
        <v>0</v>
      </c>
      <c r="Q124" s="90"/>
      <c r="R124" s="140">
        <v>15</v>
      </c>
      <c r="S124" s="90"/>
      <c r="T124" s="67">
        <v>1</v>
      </c>
      <c r="U124" s="73">
        <v>15</v>
      </c>
      <c r="V124" s="66" t="s">
        <v>599</v>
      </c>
      <c r="W124" s="72">
        <v>15</v>
      </c>
      <c r="X124" s="132"/>
      <c r="Y124" s="90"/>
      <c r="Z124" s="19"/>
    </row>
    <row r="125" spans="1:26" ht="12" customHeight="1">
      <c r="A125" s="22" t="s">
        <v>600</v>
      </c>
      <c r="B125" s="82">
        <v>109839671</v>
      </c>
      <c r="C125" s="24" t="s">
        <v>601</v>
      </c>
      <c r="D125" s="127" t="s">
        <v>602</v>
      </c>
      <c r="E125" s="95"/>
      <c r="F125" s="25">
        <v>46023</v>
      </c>
      <c r="G125" s="26"/>
      <c r="H125" s="127" t="s">
        <v>603</v>
      </c>
      <c r="I125" s="95"/>
      <c r="J125" s="22" t="s">
        <v>604</v>
      </c>
      <c r="K125" s="84">
        <v>1068.8399999999999</v>
      </c>
      <c r="L125" s="28">
        <v>0</v>
      </c>
      <c r="M125" s="29">
        <v>0</v>
      </c>
      <c r="N125" s="131">
        <v>10</v>
      </c>
      <c r="O125" s="95"/>
      <c r="P125" s="131">
        <v>0</v>
      </c>
      <c r="Q125" s="95"/>
      <c r="R125" s="131">
        <v>10</v>
      </c>
      <c r="S125" s="95"/>
      <c r="T125" s="23">
        <v>1</v>
      </c>
      <c r="U125" s="30">
        <v>10</v>
      </c>
      <c r="V125" s="22" t="s">
        <v>605</v>
      </c>
      <c r="W125" s="29">
        <v>10</v>
      </c>
      <c r="X125" s="132"/>
      <c r="Y125" s="90"/>
      <c r="Z125" s="19"/>
    </row>
    <row r="126" spans="1:26" ht="12" customHeight="1">
      <c r="A126" s="55" t="s">
        <v>606</v>
      </c>
      <c r="B126" s="87">
        <v>110293235</v>
      </c>
      <c r="C126" s="57" t="s">
        <v>607</v>
      </c>
      <c r="D126" s="147" t="s">
        <v>608</v>
      </c>
      <c r="E126" s="90"/>
      <c r="F126" s="58">
        <v>46023</v>
      </c>
      <c r="G126" s="1"/>
      <c r="H126" s="147" t="s">
        <v>609</v>
      </c>
      <c r="I126" s="90"/>
      <c r="J126" s="55" t="s">
        <v>610</v>
      </c>
      <c r="K126" s="88">
        <v>1217.3599999999999</v>
      </c>
      <c r="L126" s="60">
        <v>0</v>
      </c>
      <c r="M126" s="61">
        <v>0</v>
      </c>
      <c r="N126" s="148">
        <v>21</v>
      </c>
      <c r="O126" s="90"/>
      <c r="P126" s="148">
        <v>0</v>
      </c>
      <c r="Q126" s="90"/>
      <c r="R126" s="148">
        <v>21</v>
      </c>
      <c r="S126" s="90"/>
      <c r="T126" s="56">
        <v>1</v>
      </c>
      <c r="U126" s="62">
        <v>21</v>
      </c>
      <c r="V126" s="55" t="s">
        <v>611</v>
      </c>
      <c r="W126" s="61">
        <v>21</v>
      </c>
      <c r="X126" s="89"/>
      <c r="Y126" s="90"/>
    </row>
    <row r="127" spans="1:26" ht="12" customHeight="1">
      <c r="A127" s="22" t="s">
        <v>612</v>
      </c>
      <c r="B127" s="82">
        <v>111849444</v>
      </c>
      <c r="C127" s="24" t="s">
        <v>613</v>
      </c>
      <c r="D127" s="127" t="s">
        <v>614</v>
      </c>
      <c r="E127" s="95"/>
      <c r="F127" s="25">
        <v>46023</v>
      </c>
      <c r="G127" s="26"/>
      <c r="H127" s="127" t="s">
        <v>615</v>
      </c>
      <c r="I127" s="95"/>
      <c r="J127" s="22" t="s">
        <v>616</v>
      </c>
      <c r="K127" s="30">
        <v>907.81</v>
      </c>
      <c r="L127" s="28">
        <v>0</v>
      </c>
      <c r="M127" s="29">
        <v>0</v>
      </c>
      <c r="N127" s="131">
        <v>10</v>
      </c>
      <c r="O127" s="95"/>
      <c r="P127" s="131">
        <v>0</v>
      </c>
      <c r="Q127" s="95"/>
      <c r="R127" s="131">
        <v>10</v>
      </c>
      <c r="S127" s="95"/>
      <c r="T127" s="23">
        <v>1</v>
      </c>
      <c r="U127" s="30">
        <v>10</v>
      </c>
      <c r="V127" s="22" t="s">
        <v>617</v>
      </c>
      <c r="W127" s="29">
        <v>10</v>
      </c>
      <c r="X127" s="132"/>
      <c r="Y127" s="90"/>
      <c r="Z127" s="19"/>
    </row>
    <row r="128" spans="1:26" ht="17.25" customHeight="1">
      <c r="A128" s="66" t="s">
        <v>618</v>
      </c>
      <c r="B128" s="85">
        <v>112342893</v>
      </c>
      <c r="C128" s="68" t="s">
        <v>619</v>
      </c>
      <c r="D128" s="138" t="s">
        <v>620</v>
      </c>
      <c r="E128" s="90"/>
      <c r="F128" s="69">
        <v>46023</v>
      </c>
      <c r="G128" s="18"/>
      <c r="H128" s="138" t="s">
        <v>621</v>
      </c>
      <c r="I128" s="90"/>
      <c r="J128" s="66" t="s">
        <v>622</v>
      </c>
      <c r="K128" s="86">
        <v>1022.8</v>
      </c>
      <c r="L128" s="71">
        <v>0</v>
      </c>
      <c r="M128" s="72">
        <v>0</v>
      </c>
      <c r="N128" s="140">
        <v>10</v>
      </c>
      <c r="O128" s="90"/>
      <c r="P128" s="140">
        <v>0</v>
      </c>
      <c r="Q128" s="90"/>
      <c r="R128" s="140">
        <v>10</v>
      </c>
      <c r="S128" s="90"/>
      <c r="T128" s="67">
        <v>1</v>
      </c>
      <c r="U128" s="73">
        <v>10</v>
      </c>
      <c r="V128" s="66" t="s">
        <v>623</v>
      </c>
      <c r="W128" s="72">
        <v>10</v>
      </c>
      <c r="X128" s="112"/>
      <c r="Y128" s="90"/>
      <c r="Z128" s="19"/>
    </row>
    <row r="129" spans="1:25" ht="24.75" customHeight="1">
      <c r="A129" s="91" t="s">
        <v>624</v>
      </c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</row>
    <row r="130" spans="1:25" ht="12.75" customHeight="1">
      <c r="A130" s="91" t="s">
        <v>625</v>
      </c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</row>
    <row r="131" spans="1:25" ht="15.75" customHeight="1"/>
    <row r="132" spans="1:25" ht="15.75" customHeight="1"/>
    <row r="133" spans="1:25" ht="15.75" customHeight="1"/>
    <row r="134" spans="1:25" ht="15.75" customHeight="1"/>
    <row r="135" spans="1:25" ht="15.75" customHeight="1"/>
    <row r="136" spans="1:25" ht="15.75" customHeight="1"/>
    <row r="137" spans="1:25" ht="15.75" customHeight="1"/>
    <row r="138" spans="1:25" ht="15.75" customHeight="1"/>
    <row r="139" spans="1:25" ht="15.75" customHeight="1"/>
    <row r="140" spans="1:25" ht="15.75" customHeight="1"/>
    <row r="141" spans="1:25" ht="15.75" customHeight="1"/>
    <row r="142" spans="1:25" ht="15.75" customHeight="1"/>
    <row r="143" spans="1:25" ht="15.75" customHeight="1"/>
    <row r="144" spans="1:25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9">
    <mergeCell ref="X73:Y73"/>
    <mergeCell ref="H109:I109"/>
    <mergeCell ref="H110:I110"/>
    <mergeCell ref="D106:E106"/>
    <mergeCell ref="D107:E107"/>
    <mergeCell ref="H107:I107"/>
    <mergeCell ref="D108:E108"/>
    <mergeCell ref="H108:I108"/>
    <mergeCell ref="D109:E109"/>
    <mergeCell ref="D110:E110"/>
    <mergeCell ref="L67:W67"/>
    <mergeCell ref="N68:O68"/>
    <mergeCell ref="P68:Q68"/>
    <mergeCell ref="R68:S68"/>
    <mergeCell ref="N72:O72"/>
    <mergeCell ref="P72:Q72"/>
    <mergeCell ref="R72:S72"/>
    <mergeCell ref="X67:Y67"/>
    <mergeCell ref="X68:Y68"/>
    <mergeCell ref="X69:Y69"/>
    <mergeCell ref="X70:Y70"/>
    <mergeCell ref="X71:Y71"/>
    <mergeCell ref="X72:Y72"/>
    <mergeCell ref="N64:O64"/>
    <mergeCell ref="P64:Q64"/>
    <mergeCell ref="R64:S64"/>
    <mergeCell ref="X64:Y64"/>
    <mergeCell ref="N65:O65"/>
    <mergeCell ref="P65:Q65"/>
    <mergeCell ref="R65:S65"/>
    <mergeCell ref="X65:Y65"/>
    <mergeCell ref="A66:Y66"/>
    <mergeCell ref="P62:Q62"/>
    <mergeCell ref="R62:S62"/>
    <mergeCell ref="X62:Y62"/>
    <mergeCell ref="N63:O63"/>
    <mergeCell ref="P63:Q63"/>
    <mergeCell ref="R63:S63"/>
    <mergeCell ref="X63:Y63"/>
    <mergeCell ref="N60:O60"/>
    <mergeCell ref="P60:Q60"/>
    <mergeCell ref="R60:S60"/>
    <mergeCell ref="N61:O61"/>
    <mergeCell ref="P61:Q61"/>
    <mergeCell ref="R61:S61"/>
    <mergeCell ref="N62:O62"/>
    <mergeCell ref="X74:Y74"/>
    <mergeCell ref="X75:Y75"/>
    <mergeCell ref="X76:Y76"/>
    <mergeCell ref="X77:Y77"/>
    <mergeCell ref="X78:Y78"/>
    <mergeCell ref="X79:Y79"/>
    <mergeCell ref="X80:Y80"/>
    <mergeCell ref="X88:Y88"/>
    <mergeCell ref="X89:Y89"/>
    <mergeCell ref="X81:Y81"/>
    <mergeCell ref="X82:Y82"/>
    <mergeCell ref="X83:Y83"/>
    <mergeCell ref="X84:Y84"/>
    <mergeCell ref="X85:Y85"/>
    <mergeCell ref="X86:Y86"/>
    <mergeCell ref="X87:Y87"/>
    <mergeCell ref="P81:Q81"/>
    <mergeCell ref="R81:S81"/>
    <mergeCell ref="N79:O79"/>
    <mergeCell ref="P79:Q79"/>
    <mergeCell ref="R79:S79"/>
    <mergeCell ref="N80:O80"/>
    <mergeCell ref="P80:Q80"/>
    <mergeCell ref="R80:S80"/>
    <mergeCell ref="N81:O81"/>
    <mergeCell ref="P53:Q53"/>
    <mergeCell ref="R53:S53"/>
    <mergeCell ref="P54:Q54"/>
    <mergeCell ref="R54:S54"/>
    <mergeCell ref="N54:O54"/>
    <mergeCell ref="N58:O58"/>
    <mergeCell ref="P58:Q58"/>
    <mergeCell ref="R58:S58"/>
    <mergeCell ref="N59:O59"/>
    <mergeCell ref="P59:Q59"/>
    <mergeCell ref="R59:S59"/>
    <mergeCell ref="X50:Y50"/>
    <mergeCell ref="X51:Y51"/>
    <mergeCell ref="X52:Y52"/>
    <mergeCell ref="X53:Y53"/>
    <mergeCell ref="X54:Y54"/>
    <mergeCell ref="X58:Y58"/>
    <mergeCell ref="X59:Y59"/>
    <mergeCell ref="X60:Y60"/>
    <mergeCell ref="X61:Y61"/>
    <mergeCell ref="A55:Y55"/>
    <mergeCell ref="A56:W56"/>
    <mergeCell ref="X56:Y56"/>
    <mergeCell ref="A57:W57"/>
    <mergeCell ref="X57:Y57"/>
    <mergeCell ref="A50:W50"/>
    <mergeCell ref="D51:E51"/>
    <mergeCell ref="N51:O51"/>
    <mergeCell ref="P51:Q51"/>
    <mergeCell ref="R51:S51"/>
    <mergeCell ref="D52:E52"/>
    <mergeCell ref="R52:S52"/>
    <mergeCell ref="N52:O52"/>
    <mergeCell ref="P52:Q52"/>
    <mergeCell ref="N53:O53"/>
    <mergeCell ref="D47:E47"/>
    <mergeCell ref="H47:I47"/>
    <mergeCell ref="R47:S47"/>
    <mergeCell ref="N47:O47"/>
    <mergeCell ref="P47:Q47"/>
    <mergeCell ref="X47:Y47"/>
    <mergeCell ref="A48:Y48"/>
    <mergeCell ref="A49:W49"/>
    <mergeCell ref="X49:Y49"/>
    <mergeCell ref="X45:Y45"/>
    <mergeCell ref="X46:Y46"/>
    <mergeCell ref="D36:E36"/>
    <mergeCell ref="D37:E37"/>
    <mergeCell ref="H37:I37"/>
    <mergeCell ref="D38:E38"/>
    <mergeCell ref="H38:I38"/>
    <mergeCell ref="D39:E39"/>
    <mergeCell ref="D40:E40"/>
    <mergeCell ref="D46:E46"/>
    <mergeCell ref="H46:I46"/>
    <mergeCell ref="N46:O46"/>
    <mergeCell ref="P46:Q46"/>
    <mergeCell ref="R46:S46"/>
    <mergeCell ref="P36:Q36"/>
    <mergeCell ref="R36:S36"/>
    <mergeCell ref="N37:O37"/>
    <mergeCell ref="P37:Q37"/>
    <mergeCell ref="R37:S37"/>
    <mergeCell ref="X37:Y37"/>
    <mergeCell ref="N38:O38"/>
    <mergeCell ref="H39:I39"/>
    <mergeCell ref="H40:I40"/>
    <mergeCell ref="D45:E45"/>
    <mergeCell ref="H45:I45"/>
    <mergeCell ref="N45:O45"/>
    <mergeCell ref="P45:Q45"/>
    <mergeCell ref="R45:S45"/>
    <mergeCell ref="A34:W34"/>
    <mergeCell ref="X34:Y34"/>
    <mergeCell ref="A35:W35"/>
    <mergeCell ref="X35:Y35"/>
    <mergeCell ref="H36:I36"/>
    <mergeCell ref="N36:O36"/>
    <mergeCell ref="X36:Y36"/>
    <mergeCell ref="P38:Q38"/>
    <mergeCell ref="R38:S38"/>
    <mergeCell ref="N39:O39"/>
    <mergeCell ref="P39:Q39"/>
    <mergeCell ref="R39:S39"/>
    <mergeCell ref="N40:O40"/>
    <mergeCell ref="P40:Q40"/>
    <mergeCell ref="R40:S40"/>
    <mergeCell ref="X38:Y38"/>
    <mergeCell ref="X39:Y39"/>
    <mergeCell ref="X40:Y40"/>
    <mergeCell ref="X41:Y41"/>
    <mergeCell ref="D41:E41"/>
    <mergeCell ref="H41:I41"/>
    <mergeCell ref="N41:O41"/>
    <mergeCell ref="P41:Q41"/>
    <mergeCell ref="R41:S41"/>
    <mergeCell ref="A42:Y42"/>
    <mergeCell ref="X43:Y43"/>
    <mergeCell ref="A43:W43"/>
    <mergeCell ref="A44:W44"/>
    <mergeCell ref="X44:Y44"/>
    <mergeCell ref="P128:Q128"/>
    <mergeCell ref="R128:S128"/>
    <mergeCell ref="A129:Y129"/>
    <mergeCell ref="A130:Y130"/>
    <mergeCell ref="N125:O125"/>
    <mergeCell ref="N126:O126"/>
    <mergeCell ref="P126:Q126"/>
    <mergeCell ref="R126:S126"/>
    <mergeCell ref="N127:O127"/>
    <mergeCell ref="P127:Q127"/>
    <mergeCell ref="R127:S127"/>
    <mergeCell ref="X122:Y122"/>
    <mergeCell ref="X123:Y123"/>
    <mergeCell ref="X124:Y124"/>
    <mergeCell ref="X125:Y125"/>
    <mergeCell ref="X126:Y126"/>
    <mergeCell ref="X127:Y127"/>
    <mergeCell ref="X128:Y128"/>
    <mergeCell ref="D121:E121"/>
    <mergeCell ref="D122:E122"/>
    <mergeCell ref="N122:O122"/>
    <mergeCell ref="P122:Q122"/>
    <mergeCell ref="R122:S122"/>
    <mergeCell ref="D123:E123"/>
    <mergeCell ref="R123:S123"/>
    <mergeCell ref="N123:O123"/>
    <mergeCell ref="P123:Q123"/>
    <mergeCell ref="N124:O124"/>
    <mergeCell ref="P124:Q124"/>
    <mergeCell ref="R124:S124"/>
    <mergeCell ref="P125:Q125"/>
    <mergeCell ref="R125:S125"/>
    <mergeCell ref="H127:I127"/>
    <mergeCell ref="H128:I128"/>
    <mergeCell ref="N128:O128"/>
    <mergeCell ref="N121:O121"/>
    <mergeCell ref="P121:Q121"/>
    <mergeCell ref="X121:Y121"/>
    <mergeCell ref="D120:E120"/>
    <mergeCell ref="H120:I120"/>
    <mergeCell ref="N120:O120"/>
    <mergeCell ref="P120:Q120"/>
    <mergeCell ref="R120:S120"/>
    <mergeCell ref="H121:I121"/>
    <mergeCell ref="R121:S121"/>
    <mergeCell ref="D126:E126"/>
    <mergeCell ref="D127:E127"/>
    <mergeCell ref="D128:E128"/>
    <mergeCell ref="H122:I122"/>
    <mergeCell ref="H123:I123"/>
    <mergeCell ref="D124:E124"/>
    <mergeCell ref="H124:I124"/>
    <mergeCell ref="D125:E125"/>
    <mergeCell ref="H125:I125"/>
    <mergeCell ref="H126:I126"/>
    <mergeCell ref="H117:I117"/>
    <mergeCell ref="H118:I118"/>
    <mergeCell ref="D119:E119"/>
    <mergeCell ref="H119:I119"/>
    <mergeCell ref="N119:O119"/>
    <mergeCell ref="P119:Q119"/>
    <mergeCell ref="R119:S119"/>
    <mergeCell ref="D114:E114"/>
    <mergeCell ref="D115:E115"/>
    <mergeCell ref="H115:I115"/>
    <mergeCell ref="D116:E116"/>
    <mergeCell ref="H116:I116"/>
    <mergeCell ref="D117:E117"/>
    <mergeCell ref="D118:E118"/>
    <mergeCell ref="X119:Y119"/>
    <mergeCell ref="X120:Y120"/>
    <mergeCell ref="P114:Q114"/>
    <mergeCell ref="R114:S114"/>
    <mergeCell ref="N115:O115"/>
    <mergeCell ref="P115:Q115"/>
    <mergeCell ref="R115:S115"/>
    <mergeCell ref="X115:Y115"/>
    <mergeCell ref="N116:O116"/>
    <mergeCell ref="P116:Q116"/>
    <mergeCell ref="R116:S116"/>
    <mergeCell ref="N117:O117"/>
    <mergeCell ref="P117:Q117"/>
    <mergeCell ref="R117:S117"/>
    <mergeCell ref="N118:O118"/>
    <mergeCell ref="P118:Q118"/>
    <mergeCell ref="R118:S118"/>
    <mergeCell ref="X116:Y116"/>
    <mergeCell ref="X117:Y117"/>
    <mergeCell ref="X118:Y118"/>
    <mergeCell ref="A112:W112"/>
    <mergeCell ref="X112:Y112"/>
    <mergeCell ref="N113:O113"/>
    <mergeCell ref="N114:O114"/>
    <mergeCell ref="D113:E113"/>
    <mergeCell ref="H113:I113"/>
    <mergeCell ref="P113:Q113"/>
    <mergeCell ref="R113:S113"/>
    <mergeCell ref="X113:Y113"/>
    <mergeCell ref="H114:I114"/>
    <mergeCell ref="X114:Y114"/>
    <mergeCell ref="N110:O110"/>
    <mergeCell ref="P110:Q110"/>
    <mergeCell ref="R110:S110"/>
    <mergeCell ref="X110:Y110"/>
    <mergeCell ref="D111:E111"/>
    <mergeCell ref="H111:I111"/>
    <mergeCell ref="N111:O111"/>
    <mergeCell ref="P111:Q111"/>
    <mergeCell ref="R111:S111"/>
    <mergeCell ref="X111:Y111"/>
    <mergeCell ref="D104:E104"/>
    <mergeCell ref="D105:E105"/>
    <mergeCell ref="H105:I105"/>
    <mergeCell ref="P105:Q105"/>
    <mergeCell ref="R105:S105"/>
    <mergeCell ref="X105:Y105"/>
    <mergeCell ref="H106:I106"/>
    <mergeCell ref="X106:Y106"/>
    <mergeCell ref="P109:Q109"/>
    <mergeCell ref="R109:S109"/>
    <mergeCell ref="X109:Y109"/>
    <mergeCell ref="H102:I102"/>
    <mergeCell ref="N102:O102"/>
    <mergeCell ref="P102:Q102"/>
    <mergeCell ref="R102:S102"/>
    <mergeCell ref="X102:Y102"/>
    <mergeCell ref="D102:E102"/>
    <mergeCell ref="D103:E103"/>
    <mergeCell ref="N103:O103"/>
    <mergeCell ref="P103:Q103"/>
    <mergeCell ref="R103:S103"/>
    <mergeCell ref="X103:Y103"/>
    <mergeCell ref="X108:Y108"/>
    <mergeCell ref="N105:O105"/>
    <mergeCell ref="N106:O106"/>
    <mergeCell ref="N107:O107"/>
    <mergeCell ref="N108:O108"/>
    <mergeCell ref="P108:Q108"/>
    <mergeCell ref="R108:S108"/>
    <mergeCell ref="N109:O109"/>
    <mergeCell ref="P101:Q101"/>
    <mergeCell ref="R101:S101"/>
    <mergeCell ref="H103:I103"/>
    <mergeCell ref="H104:I104"/>
    <mergeCell ref="N104:O104"/>
    <mergeCell ref="P104:Q104"/>
    <mergeCell ref="R104:S104"/>
    <mergeCell ref="X104:Y104"/>
    <mergeCell ref="P106:Q106"/>
    <mergeCell ref="R106:S106"/>
    <mergeCell ref="P107:Q107"/>
    <mergeCell ref="R107:S107"/>
    <mergeCell ref="X107:Y107"/>
    <mergeCell ref="X96:Y96"/>
    <mergeCell ref="A93:L93"/>
    <mergeCell ref="N93:O93"/>
    <mergeCell ref="P93:Q93"/>
    <mergeCell ref="R93:S93"/>
    <mergeCell ref="B94:C94"/>
    <mergeCell ref="D94:E94"/>
    <mergeCell ref="R94:S94"/>
    <mergeCell ref="F94:G94"/>
    <mergeCell ref="H94:I94"/>
    <mergeCell ref="B95:C95"/>
    <mergeCell ref="D95:E95"/>
    <mergeCell ref="F95:G95"/>
    <mergeCell ref="H95:I95"/>
    <mergeCell ref="A96:W96"/>
    <mergeCell ref="A90:Y90"/>
    <mergeCell ref="A91:W91"/>
    <mergeCell ref="X91:Y91"/>
    <mergeCell ref="A92:W92"/>
    <mergeCell ref="X92:Y92"/>
    <mergeCell ref="N94:O94"/>
    <mergeCell ref="P94:Q94"/>
    <mergeCell ref="N95:O95"/>
    <mergeCell ref="P95:Q95"/>
    <mergeCell ref="R95:S95"/>
    <mergeCell ref="X93:Y93"/>
    <mergeCell ref="X94:Y94"/>
    <mergeCell ref="X95:Y95"/>
    <mergeCell ref="N82:O82"/>
    <mergeCell ref="P82:Q82"/>
    <mergeCell ref="R82:S82"/>
    <mergeCell ref="N83:O83"/>
    <mergeCell ref="P83:Q83"/>
    <mergeCell ref="R83:S83"/>
    <mergeCell ref="N84:O84"/>
    <mergeCell ref="P84:Q84"/>
    <mergeCell ref="R84:S84"/>
    <mergeCell ref="H101:I101"/>
    <mergeCell ref="N101:O101"/>
    <mergeCell ref="A97:Y97"/>
    <mergeCell ref="A98:Y98"/>
    <mergeCell ref="A99:W99"/>
    <mergeCell ref="X99:Y99"/>
    <mergeCell ref="A100:W100"/>
    <mergeCell ref="X100:Y100"/>
    <mergeCell ref="D101:E101"/>
    <mergeCell ref="X101:Y101"/>
    <mergeCell ref="P78:Q78"/>
    <mergeCell ref="R78:S78"/>
    <mergeCell ref="N76:O76"/>
    <mergeCell ref="P76:Q76"/>
    <mergeCell ref="R76:S76"/>
    <mergeCell ref="N77:O77"/>
    <mergeCell ref="P77:Q77"/>
    <mergeCell ref="R77:S77"/>
    <mergeCell ref="N78:O78"/>
    <mergeCell ref="P75:Q75"/>
    <mergeCell ref="R75:S75"/>
    <mergeCell ref="N73:O73"/>
    <mergeCell ref="P73:Q73"/>
    <mergeCell ref="R73:S73"/>
    <mergeCell ref="N74:O74"/>
    <mergeCell ref="P74:Q74"/>
    <mergeCell ref="R74:S74"/>
    <mergeCell ref="N75:O75"/>
    <mergeCell ref="P71:Q71"/>
    <mergeCell ref="R71:S71"/>
    <mergeCell ref="N69:O69"/>
    <mergeCell ref="P69:Q69"/>
    <mergeCell ref="R69:S69"/>
    <mergeCell ref="N70:O70"/>
    <mergeCell ref="P70:Q70"/>
    <mergeCell ref="R70:S70"/>
    <mergeCell ref="N71:O71"/>
    <mergeCell ref="D88:E88"/>
    <mergeCell ref="H88:I88"/>
    <mergeCell ref="D89:E89"/>
    <mergeCell ref="H89:I89"/>
    <mergeCell ref="P87:Q87"/>
    <mergeCell ref="R87:S87"/>
    <mergeCell ref="N85:O85"/>
    <mergeCell ref="P85:Q85"/>
    <mergeCell ref="R85:S85"/>
    <mergeCell ref="N86:O86"/>
    <mergeCell ref="P86:Q86"/>
    <mergeCell ref="R86:S86"/>
    <mergeCell ref="N87:O87"/>
    <mergeCell ref="N88:O88"/>
    <mergeCell ref="P88:Q88"/>
    <mergeCell ref="R88:S88"/>
    <mergeCell ref="N89:O89"/>
    <mergeCell ref="P89:Q89"/>
    <mergeCell ref="R89:S89"/>
    <mergeCell ref="H74:I74"/>
    <mergeCell ref="D74:E74"/>
    <mergeCell ref="D75:E75"/>
    <mergeCell ref="D76:E76"/>
    <mergeCell ref="D77:E77"/>
    <mergeCell ref="D78:E78"/>
    <mergeCell ref="D79:E79"/>
    <mergeCell ref="D80:E80"/>
    <mergeCell ref="D87:E87"/>
    <mergeCell ref="H87:I87"/>
    <mergeCell ref="D69:E69"/>
    <mergeCell ref="D70:E70"/>
    <mergeCell ref="D71:E71"/>
    <mergeCell ref="D72:E72"/>
    <mergeCell ref="D73:E73"/>
    <mergeCell ref="H68:I68"/>
    <mergeCell ref="H69:I69"/>
    <mergeCell ref="H70:I70"/>
    <mergeCell ref="H71:I71"/>
    <mergeCell ref="H72:I72"/>
    <mergeCell ref="H73:I73"/>
    <mergeCell ref="H59:I59"/>
    <mergeCell ref="H60:I60"/>
    <mergeCell ref="H61:I61"/>
    <mergeCell ref="H62:I62"/>
    <mergeCell ref="H63:I63"/>
    <mergeCell ref="H64:I64"/>
    <mergeCell ref="H65:I65"/>
    <mergeCell ref="D65:E65"/>
    <mergeCell ref="D68:E68"/>
    <mergeCell ref="A67:J67"/>
    <mergeCell ref="H85:I85"/>
    <mergeCell ref="H86:I86"/>
    <mergeCell ref="D81:E81"/>
    <mergeCell ref="D82:E82"/>
    <mergeCell ref="D83:E83"/>
    <mergeCell ref="D84:E84"/>
    <mergeCell ref="H84:I84"/>
    <mergeCell ref="D85:E85"/>
    <mergeCell ref="D86:E86"/>
    <mergeCell ref="A33:Y33"/>
    <mergeCell ref="H82:I82"/>
    <mergeCell ref="H83:I83"/>
    <mergeCell ref="H75:I75"/>
    <mergeCell ref="H76:I76"/>
    <mergeCell ref="H77:I77"/>
    <mergeCell ref="H78:I78"/>
    <mergeCell ref="H79:I79"/>
    <mergeCell ref="H80:I80"/>
    <mergeCell ref="H81:I81"/>
    <mergeCell ref="H51:I51"/>
    <mergeCell ref="H52:I52"/>
    <mergeCell ref="D53:E53"/>
    <mergeCell ref="H53:I53"/>
    <mergeCell ref="D54:E54"/>
    <mergeCell ref="H54:I54"/>
    <mergeCell ref="H58:I58"/>
    <mergeCell ref="D58:E58"/>
    <mergeCell ref="D59:E59"/>
    <mergeCell ref="D60:E60"/>
    <mergeCell ref="D61:E61"/>
    <mergeCell ref="D62:E62"/>
    <mergeCell ref="D63:E63"/>
    <mergeCell ref="D64:E64"/>
    <mergeCell ref="D31:E31"/>
    <mergeCell ref="H31:I31"/>
    <mergeCell ref="N31:O31"/>
    <mergeCell ref="P31:Q31"/>
    <mergeCell ref="R31:S31"/>
    <mergeCell ref="X31:Y31"/>
    <mergeCell ref="D32:E32"/>
    <mergeCell ref="H32:I32"/>
    <mergeCell ref="N32:O32"/>
    <mergeCell ref="P32:Q32"/>
    <mergeCell ref="R32:S32"/>
    <mergeCell ref="X32:Y32"/>
    <mergeCell ref="P24:Q24"/>
    <mergeCell ref="R24:S24"/>
    <mergeCell ref="X24:Y24"/>
    <mergeCell ref="H25:I25"/>
    <mergeCell ref="X25:Y25"/>
    <mergeCell ref="P29:Q29"/>
    <mergeCell ref="R29:S29"/>
    <mergeCell ref="X29:Y29"/>
    <mergeCell ref="N30:O30"/>
    <mergeCell ref="P30:Q30"/>
    <mergeCell ref="R30:S30"/>
    <mergeCell ref="X30:Y30"/>
    <mergeCell ref="N24:O24"/>
    <mergeCell ref="N25:O25"/>
    <mergeCell ref="N26:O26"/>
    <mergeCell ref="N28:O28"/>
    <mergeCell ref="P28:Q28"/>
    <mergeCell ref="R28:S28"/>
    <mergeCell ref="N29:O29"/>
    <mergeCell ref="A21:Y21"/>
    <mergeCell ref="A22:W22"/>
    <mergeCell ref="X22:Y22"/>
    <mergeCell ref="A23:W23"/>
    <mergeCell ref="X23:Y23"/>
    <mergeCell ref="H29:I29"/>
    <mergeCell ref="H30:I30"/>
    <mergeCell ref="D25:E25"/>
    <mergeCell ref="D26:E26"/>
    <mergeCell ref="H26:I26"/>
    <mergeCell ref="D28:E28"/>
    <mergeCell ref="H28:I28"/>
    <mergeCell ref="D29:E29"/>
    <mergeCell ref="D30:E30"/>
    <mergeCell ref="P25:Q25"/>
    <mergeCell ref="R25:S25"/>
    <mergeCell ref="P26:Q26"/>
    <mergeCell ref="R26:S26"/>
    <mergeCell ref="X26:Y26"/>
    <mergeCell ref="A27:W27"/>
    <mergeCell ref="X27:Y27"/>
    <mergeCell ref="X28:Y28"/>
    <mergeCell ref="D24:E24"/>
    <mergeCell ref="H24:I24"/>
    <mergeCell ref="A5:D5"/>
    <mergeCell ref="E5:H5"/>
    <mergeCell ref="I5:Y5"/>
    <mergeCell ref="A6:Y6"/>
    <mergeCell ref="A7:Y7"/>
    <mergeCell ref="A8:D8"/>
    <mergeCell ref="E8:N8"/>
    <mergeCell ref="O8:R8"/>
    <mergeCell ref="S8:X8"/>
    <mergeCell ref="I3:N3"/>
    <mergeCell ref="O3:P3"/>
    <mergeCell ref="Q4:R4"/>
    <mergeCell ref="S4:X4"/>
    <mergeCell ref="A1:X1"/>
    <mergeCell ref="A2:D2"/>
    <mergeCell ref="E2:H2"/>
    <mergeCell ref="I2:N2"/>
    <mergeCell ref="O2:P2"/>
    <mergeCell ref="Q2:Y3"/>
    <mergeCell ref="A3:H4"/>
    <mergeCell ref="I4:N4"/>
    <mergeCell ref="O4:P4"/>
    <mergeCell ref="N20:O20"/>
    <mergeCell ref="P20:Q20"/>
    <mergeCell ref="X19:Y19"/>
    <mergeCell ref="X20:Y20"/>
    <mergeCell ref="D18:E18"/>
    <mergeCell ref="D19:E19"/>
    <mergeCell ref="N19:O19"/>
    <mergeCell ref="P19:Q19"/>
    <mergeCell ref="R19:S19"/>
    <mergeCell ref="D20:E20"/>
    <mergeCell ref="R20:S20"/>
    <mergeCell ref="H19:I19"/>
    <mergeCell ref="H20:I20"/>
    <mergeCell ref="P18:Q18"/>
    <mergeCell ref="R18:S18"/>
    <mergeCell ref="A16:W16"/>
    <mergeCell ref="X16:Y16"/>
    <mergeCell ref="A17:W17"/>
    <mergeCell ref="X17:Y17"/>
    <mergeCell ref="H18:I18"/>
    <mergeCell ref="N18:O18"/>
    <mergeCell ref="X18:Y18"/>
    <mergeCell ref="E13:N13"/>
    <mergeCell ref="O13:R13"/>
    <mergeCell ref="S13:X13"/>
    <mergeCell ref="O15:R15"/>
    <mergeCell ref="S15:X15"/>
    <mergeCell ref="A13:D13"/>
    <mergeCell ref="A14:D14"/>
    <mergeCell ref="E14:N14"/>
    <mergeCell ref="O14:R14"/>
    <mergeCell ref="S14:X14"/>
    <mergeCell ref="A15:D15"/>
    <mergeCell ref="E15:N15"/>
    <mergeCell ref="A9:D9"/>
    <mergeCell ref="A10:D10"/>
    <mergeCell ref="E10:N10"/>
    <mergeCell ref="O10:R10"/>
    <mergeCell ref="S10:X10"/>
    <mergeCell ref="A11:D11"/>
    <mergeCell ref="E11:N11"/>
    <mergeCell ref="A12:D12"/>
    <mergeCell ref="E12:N12"/>
    <mergeCell ref="O12:R12"/>
    <mergeCell ref="S12:X12"/>
    <mergeCell ref="E9:N9"/>
    <mergeCell ref="O9:R9"/>
    <mergeCell ref="S9:X9"/>
    <mergeCell ref="O11:R11"/>
    <mergeCell ref="S11:X1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2026-02-20T09:50:46Z</dcterms:created>
  <dcterms:modified xsi:type="dcterms:W3CDTF">2026-03-05T21:23:06Z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2026-02-10T00:00:00Z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2026-02-10T00:00:00Z</vt:filetime>
  </property>
</Properties>
</file>