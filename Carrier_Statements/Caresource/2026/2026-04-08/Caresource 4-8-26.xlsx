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Table 2" sheetId="2" r:id="rId5"/>
    <sheet state="visible" name="Table 3" sheetId="3" r:id="rId6"/>
    <sheet state="visible" name="Table 4" sheetId="4" r:id="rId7"/>
    <sheet state="visible" name="Table 5" sheetId="5" r:id="rId8"/>
    <sheet state="visible" name="Table 6" sheetId="6" r:id="rId9"/>
    <sheet state="visible" name="Table 7" sheetId="7" r:id="rId10"/>
  </sheets>
  <definedNames/>
  <calcPr/>
  <extLst>
    <ext uri="GoogleSheetsCustomDataVersion2">
      <go:sheetsCustomData xmlns:go="http://customooxmlschemas.google.com/" r:id="rId11" roundtripDataChecksum="7gxQAc3vAklbbpeyyjTu919KpqPD6nVSat5O0cd8buY="/>
    </ext>
  </extLst>
</workbook>
</file>

<file path=xl/sharedStrings.xml><?xml version="1.0" encoding="utf-8"?>
<sst xmlns="http://schemas.openxmlformats.org/spreadsheetml/2006/main" count="796" uniqueCount="796">
  <si>
    <r>
      <rPr>
        <rFont val="Arial"/>
        <b/>
        <color theme="1"/>
        <sz val="10.0"/>
      </rPr>
      <t>SUMMARY</t>
    </r>
  </si>
  <si>
    <r>
      <rPr>
        <rFont val="Arial"/>
        <b/>
        <color rgb="FF000000"/>
        <sz val="9.0"/>
      </rPr>
      <t xml:space="preserve">Payable Regular Commissions:
</t>
    </r>
    <r>
      <rPr>
        <rFont val="Arial MT"/>
        <color rgb="FF000000"/>
        <sz val="9.0"/>
      </rPr>
      <t>New Enrollment Commissions Renewal Commissions</t>
    </r>
  </si>
  <si>
    <r>
      <rPr>
        <rFont val="Arial"/>
        <b/>
        <color rgb="FF000000"/>
        <sz val="9.0"/>
      </rPr>
      <t xml:space="preserve">Amount
</t>
    </r>
    <r>
      <rPr>
        <rFont val="Arial MT"/>
        <color rgb="FF000000"/>
        <sz val="9.0"/>
      </rPr>
      <t xml:space="preserve">$585.82
</t>
    </r>
    <r>
      <rPr>
        <rFont val="Arial MT"/>
        <color rgb="FF000000"/>
        <sz val="9.0"/>
      </rPr>
      <t>$1,162.27</t>
    </r>
  </si>
  <si>
    <r>
      <rPr>
        <rFont val="Arial"/>
        <b/>
        <color theme="1"/>
        <sz val="9.0"/>
      </rPr>
      <t>Regular Commissions Sub-Totals:                                                   $1,748.09</t>
    </r>
  </si>
  <si>
    <r>
      <rPr>
        <rFont val="Arial"/>
        <b/>
        <color theme="1"/>
        <sz val="9.0"/>
      </rPr>
      <t xml:space="preserve">Total Commissions:                                                                                                </t>
    </r>
    <r>
      <rPr>
        <rFont val="Arial"/>
        <b/>
        <color theme="1"/>
        <sz val="9.0"/>
        <vertAlign val="subscript"/>
      </rPr>
      <t>$1,748.09</t>
    </r>
  </si>
  <si>
    <r>
      <rPr>
        <rFont val="Arial"/>
        <b/>
        <color theme="1"/>
        <sz val="11.0"/>
      </rPr>
      <t>SUMMARY TOTALS</t>
    </r>
  </si>
  <si>
    <r>
      <rPr>
        <rFont val="Arial"/>
        <b/>
        <color theme="1"/>
        <sz val="9.0"/>
      </rPr>
      <t>Beginning Balance Forward:</t>
    </r>
  </si>
  <si>
    <r>
      <rPr>
        <rFont val="Arial"/>
        <b/>
        <color theme="1"/>
        <sz val="9.0"/>
      </rPr>
      <t>Commission Activity:</t>
    </r>
  </si>
  <si>
    <r>
      <rPr>
        <rFont val="Arial"/>
        <b/>
        <color theme="1"/>
        <sz val="9.0"/>
      </rPr>
      <t>Bonuses:</t>
    </r>
  </si>
  <si>
    <r>
      <rPr>
        <rFont val="Arial"/>
        <b/>
        <color theme="1"/>
        <sz val="9.0"/>
      </rPr>
      <t>Manual Adjustments:</t>
    </r>
  </si>
  <si>
    <r>
      <rPr>
        <rFont val="Arial"/>
        <b/>
        <color theme="1"/>
        <sz val="9.0"/>
      </rPr>
      <t>TriCare Payments:</t>
    </r>
  </si>
  <si>
    <r>
      <rPr>
        <rFont val="Arial"/>
        <b/>
        <color theme="1"/>
        <sz val="9.0"/>
      </rPr>
      <t>Total Commissions:</t>
    </r>
  </si>
  <si>
    <r>
      <rPr>
        <rFont val="Arial"/>
        <b/>
        <color theme="1"/>
        <sz val="9.0"/>
      </rPr>
      <t>Amount to Pay:</t>
    </r>
  </si>
  <si>
    <r>
      <rPr>
        <rFont val="Arial"/>
        <b/>
        <color theme="1"/>
        <sz val="9.0"/>
      </rPr>
      <t>Ending Balance Forward:</t>
    </r>
  </si>
  <si>
    <t>Writing Producer                           13374569                                Skarnulis, Jerald</t>
  </si>
  <si>
    <r>
      <rPr>
        <rFont val="Arial"/>
        <b/>
        <color theme="1"/>
        <sz val="10.0"/>
      </rPr>
      <t>Renewals</t>
    </r>
  </si>
  <si>
    <r>
      <rPr>
        <rFont val="Arial"/>
        <b/>
        <color theme="1"/>
        <sz val="9.0"/>
      </rPr>
      <t>State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</si>
  <si>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</si>
  <si>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</si>
  <si>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</si>
  <si>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Effective Date</t>
    </r>
  </si>
  <si>
    <r>
      <rPr>
        <rFont val="Arial"/>
        <b/>
        <color theme="1"/>
        <sz val="9.0"/>
      </rPr>
      <t>Termination Date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</si>
  <si>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</si>
  <si>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Retro ?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</si>
  <si>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</si>
  <si>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% of Premium</t>
    </r>
  </si>
  <si>
    <r>
      <rPr>
        <rFont val="Arial"/>
        <b/>
        <color rgb="FF000000"/>
        <sz val="9.0"/>
      </rPr>
      <t xml:space="preserve">Commission Based on
</t>
    </r>
    <r>
      <rPr>
        <rFont val="Arial"/>
        <b/>
        <color rgb="FF000000"/>
        <sz val="9.0"/>
      </rPr>
      <t>Premium</t>
    </r>
  </si>
  <si>
    <r>
      <rPr>
        <rFont val="Arial"/>
        <b/>
        <color rgb="FF000000"/>
        <sz val="9.0"/>
      </rPr>
      <t xml:space="preserve">Base PMPM
</t>
    </r>
    <r>
      <rPr>
        <rFont val="Arial"/>
        <b/>
        <color rgb="FF000000"/>
        <sz val="9.0"/>
      </rPr>
      <t>Rate</t>
    </r>
  </si>
  <si>
    <r>
      <rPr>
        <rFont val="Arial"/>
        <b/>
        <color rgb="FF000000"/>
        <sz val="9.0"/>
      </rPr>
      <t xml:space="preserve">Enhanced PMPM
</t>
    </r>
    <r>
      <rPr>
        <rFont val="Arial"/>
        <b/>
        <color rgb="FF000000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</si>
  <si>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</si>
  <si>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Member Count</t>
    </r>
  </si>
  <si>
    <r>
      <rPr>
        <rFont val="Arial"/>
        <b/>
        <color rgb="FF000000"/>
        <sz val="9.0"/>
      </rPr>
      <t xml:space="preserve">Commission Based on
</t>
    </r>
    <r>
      <rPr>
        <rFont val="Arial"/>
        <b/>
        <color rgb="FF000000"/>
        <sz val="9.0"/>
      </rPr>
      <t>Rate</t>
    </r>
  </si>
  <si>
    <r>
      <rPr>
        <rFont val="Arial"/>
        <b/>
        <color theme="1"/>
        <sz val="9.0"/>
      </rPr>
      <t>Override</t>
    </r>
  </si>
  <si>
    <r>
      <rPr>
        <rFont val="Arial"/>
        <b/>
        <color rgb="FF000000"/>
        <sz val="9.0"/>
      </rPr>
      <t xml:space="preserve">Total Commission
</t>
    </r>
    <r>
      <rPr>
        <rFont val="Arial"/>
        <b/>
        <color rgb="FF000000"/>
        <sz val="9.0"/>
      </rPr>
      <t>Paid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</si>
  <si>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</si>
  <si>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Burkett, Terri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</si>
  <si>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</si>
  <si>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</si>
  <si>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</si>
  <si>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</si>
  <si>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Renewals</t>
    </r>
  </si>
  <si>
    <r>
      <rPr>
        <rFont val="Arial"/>
        <b/>
        <color theme="1"/>
        <sz val="9.0"/>
      </rPr>
      <t>Total for Writing Producer       13374569        Skarnulis, Jerald                                                                                                                                                                                                                                     $ 15.00</t>
    </r>
  </si>
  <si>
    <t>Writing Producer                           15278437                                Hoffmann, Jason R</t>
  </si>
  <si>
    <r>
      <rPr>
        <rFont val="Arial"/>
        <b/>
        <color theme="1"/>
        <sz val="10.0"/>
      </rPr>
      <t>New Enrollment</t>
    </r>
  </si>
  <si>
    <r>
      <rPr>
        <rFont val="Arial"/>
        <b/>
        <color theme="1"/>
        <sz val="9.0"/>
      </rPr>
      <t>State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</si>
  <si>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</si>
  <si>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</si>
  <si>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</si>
  <si>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Effective Date</t>
    </r>
  </si>
  <si>
    <r>
      <rPr>
        <rFont val="Arial"/>
        <b/>
        <color theme="1"/>
        <sz val="9.0"/>
      </rPr>
      <t>Termination Date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</si>
  <si>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</si>
  <si>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Retro ?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</si>
  <si>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</si>
  <si>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% of Premium</t>
    </r>
  </si>
  <si>
    <r>
      <rPr>
        <rFont val="Arial"/>
        <b/>
        <color rgb="FF000000"/>
        <sz val="9.0"/>
      </rPr>
      <t xml:space="preserve">Commission
</t>
    </r>
    <r>
      <rPr>
        <rFont val="Arial"/>
        <b/>
        <color rgb="FF000000"/>
        <sz val="9.0"/>
      </rPr>
      <t>Based on Premium</t>
    </r>
  </si>
  <si>
    <r>
      <rPr>
        <rFont val="Arial"/>
        <b/>
        <color rgb="FF000000"/>
        <sz val="9.0"/>
      </rPr>
      <t xml:space="preserve">Base PMPM
</t>
    </r>
    <r>
      <rPr>
        <rFont val="Arial"/>
        <b/>
        <color rgb="FF000000"/>
        <sz val="9.0"/>
      </rPr>
      <t>Rate</t>
    </r>
  </si>
  <si>
    <r>
      <rPr>
        <rFont val="Arial"/>
        <b/>
        <color rgb="FF000000"/>
        <sz val="9.0"/>
      </rPr>
      <t xml:space="preserve">Enhanced PMPM
</t>
    </r>
    <r>
      <rPr>
        <rFont val="Arial"/>
        <b/>
        <color rgb="FF000000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</si>
  <si>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</si>
  <si>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Member Count</t>
    </r>
  </si>
  <si>
    <r>
      <rPr>
        <rFont val="Arial"/>
        <b/>
        <color rgb="FF000000"/>
        <sz val="9.0"/>
      </rPr>
      <t xml:space="preserve">Commission
</t>
    </r>
    <r>
      <rPr>
        <rFont val="Arial"/>
        <b/>
        <color rgb="FF000000"/>
        <sz val="9.0"/>
      </rPr>
      <t>Based on Rate</t>
    </r>
  </si>
  <si>
    <r>
      <rPr>
        <rFont val="Arial"/>
        <b/>
        <color theme="1"/>
        <sz val="9.0"/>
      </rPr>
      <t>Override</t>
    </r>
  </si>
  <si>
    <r>
      <rPr>
        <rFont val="Arial"/>
        <b/>
        <color rgb="FF000000"/>
        <sz val="9.0"/>
      </rPr>
      <t xml:space="preserve">Total
</t>
    </r>
    <r>
      <rPr>
        <rFont val="Arial"/>
        <b/>
        <color rgb="FF000000"/>
        <sz val="9.0"/>
      </rPr>
      <t>Commission Paid</t>
    </r>
  </si>
  <si>
    <r>
      <rPr>
        <rFont val="Arial MT"/>
        <color theme="1"/>
        <sz val="8.0"/>
      </rPr>
      <t>OH</t>
    </r>
  </si>
  <si>
    <r>
      <rPr>
        <rFont val="Arial MT"/>
        <color theme="1"/>
        <sz val="8.0"/>
      </rPr>
      <t>Ziska, Denise</t>
    </r>
  </si>
  <si>
    <r>
      <rPr>
        <rFont val="Arial MT"/>
        <color theme="1"/>
        <sz val="8.0"/>
      </rPr>
      <t>Silver 700 $10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</si>
  <si>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</si>
  <si>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</si>
  <si>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</si>
  <si>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  $ 10.00</t>
    </r>
  </si>
  <si>
    <r>
      <rPr>
        <rFont val="Arial"/>
        <b/>
        <color theme="1"/>
        <sz val="10.0"/>
      </rPr>
      <t>Renewals</t>
    </r>
  </si>
  <si>
    <r>
      <rPr>
        <rFont val="Arial"/>
        <b/>
        <color theme="1"/>
        <sz val="9.0"/>
      </rPr>
      <t>Effective</t>
    </r>
  </si>
  <si>
    <r>
      <rPr>
        <rFont val="Arial"/>
        <b/>
        <color theme="1"/>
        <sz val="9.0"/>
      </rPr>
      <t>Termination</t>
    </r>
  </si>
  <si>
    <r>
      <rPr>
        <rFont val="Arial"/>
        <b/>
        <color theme="1"/>
        <sz val="9.0"/>
      </rPr>
      <t>% of</t>
    </r>
  </si>
  <si>
    <r>
      <rPr>
        <rFont val="Arial"/>
        <b/>
        <color theme="1"/>
        <sz val="9.0"/>
      </rPr>
      <t>Commission Based on</t>
    </r>
  </si>
  <si>
    <r>
      <rPr>
        <rFont val="Arial"/>
        <b/>
        <color theme="1"/>
        <sz val="9.0"/>
      </rPr>
      <t>Base PMPM</t>
    </r>
  </si>
  <si>
    <r>
      <rPr>
        <rFont val="Arial"/>
        <b/>
        <color theme="1"/>
        <sz val="9.0"/>
      </rPr>
      <t>Enhanced PMPM</t>
    </r>
  </si>
  <si>
    <r>
      <rPr>
        <rFont val="Arial"/>
        <b/>
        <color theme="1"/>
        <sz val="9.0"/>
      </rPr>
      <t>Member</t>
    </r>
  </si>
  <si>
    <r>
      <rPr>
        <rFont val="Arial"/>
        <b/>
        <color theme="1"/>
        <sz val="9.0"/>
      </rPr>
      <t>Commission Based on</t>
    </r>
  </si>
  <si>
    <r>
      <rPr>
        <rFont val="Arial"/>
        <b/>
        <color theme="1"/>
        <sz val="9.0"/>
      </rPr>
      <t>Total Commission</t>
    </r>
  </si>
  <si>
    <r>
      <rPr>
        <rFont val="Arial"/>
        <b/>
        <color theme="1"/>
        <sz val="9.0"/>
      </rPr>
      <t>State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</si>
  <si>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</si>
  <si>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</si>
  <si>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</si>
  <si>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Date</t>
    </r>
  </si>
  <si>
    <r>
      <rPr>
        <rFont val="Arial"/>
        <b/>
        <color theme="1"/>
        <sz val="9.0"/>
      </rPr>
      <t>Date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</si>
  <si>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</si>
  <si>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Retro ?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</si>
  <si>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</si>
  <si>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</si>
  <si>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</si>
  <si>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</si>
  <si>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</si>
  <si>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</si>
  <si>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Count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</si>
  <si>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</si>
  <si>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Override</t>
    </r>
  </si>
  <si>
    <r>
      <rPr>
        <rFont val="Arial"/>
        <b/>
        <color theme="1"/>
        <sz val="9.0"/>
      </rPr>
      <t>Paid</t>
    </r>
  </si>
  <si>
    <r>
      <rPr>
        <rFont val="Arial MT"/>
        <color theme="1"/>
        <sz val="8.0"/>
      </rPr>
      <t>OH</t>
    </r>
  </si>
  <si>
    <r>
      <rPr>
        <rFont val="Arial MT"/>
        <color theme="1"/>
        <sz val="8.0"/>
      </rPr>
      <t>Friend, Evon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</si>
  <si>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</si>
  <si>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</si>
  <si>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</si>
  <si>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</si>
  <si>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Renewals</t>
    </r>
  </si>
  <si>
    <r>
      <rPr>
        <rFont val="Arial"/>
        <b/>
        <color theme="1"/>
        <sz val="9.0"/>
      </rPr>
      <t>Total for Writing Producer       15278437        Hoffmann, Jason R                                                                                                                                                                                                                                   $ 52.00</t>
    </r>
  </si>
  <si>
    <t>Writing Producer                           16170994                                Shepard, Ryan Patrick</t>
  </si>
  <si>
    <r>
      <rPr>
        <rFont val="Arial"/>
        <b/>
        <color theme="1"/>
        <sz val="10.0"/>
      </rPr>
      <t>Renewals</t>
    </r>
  </si>
  <si>
    <r>
      <rPr>
        <rFont val="Arial"/>
        <b/>
        <color theme="1"/>
        <sz val="9.0"/>
      </rPr>
      <t>State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</si>
  <si>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</si>
  <si>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</si>
  <si>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</si>
  <si>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Effective Date</t>
    </r>
  </si>
  <si>
    <r>
      <rPr>
        <rFont val="Arial"/>
        <b/>
        <color theme="1"/>
        <sz val="9.0"/>
      </rPr>
      <t>Termination Date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</si>
  <si>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</si>
  <si>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Retro ?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</si>
  <si>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</si>
  <si>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% of Premium</t>
    </r>
  </si>
  <si>
    <r>
      <rPr>
        <rFont val="Arial"/>
        <b/>
        <color rgb="FF000000"/>
        <sz val="9.0"/>
      </rPr>
      <t xml:space="preserve">Commission Based on
</t>
    </r>
    <r>
      <rPr>
        <rFont val="Arial"/>
        <b/>
        <color rgb="FF000000"/>
        <sz val="9.0"/>
      </rPr>
      <t>Premium</t>
    </r>
  </si>
  <si>
    <r>
      <rPr>
        <rFont val="Arial"/>
        <b/>
        <color rgb="FF000000"/>
        <sz val="9.0"/>
      </rPr>
      <t xml:space="preserve">Base PMPM
</t>
    </r>
    <r>
      <rPr>
        <rFont val="Arial"/>
        <b/>
        <color rgb="FF000000"/>
        <sz val="9.0"/>
      </rPr>
      <t>Rate</t>
    </r>
  </si>
  <si>
    <r>
      <rPr>
        <rFont val="Arial"/>
        <b/>
        <color rgb="FF000000"/>
        <sz val="9.0"/>
      </rPr>
      <t xml:space="preserve">Enhanced PMPM
</t>
    </r>
    <r>
      <rPr>
        <rFont val="Arial"/>
        <b/>
        <color rgb="FF000000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</si>
  <si>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</si>
  <si>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Member Count</t>
    </r>
  </si>
  <si>
    <r>
      <rPr>
        <rFont val="Arial"/>
        <b/>
        <color rgb="FF000000"/>
        <sz val="9.0"/>
      </rPr>
      <t xml:space="preserve">Commission Based on
</t>
    </r>
    <r>
      <rPr>
        <rFont val="Arial"/>
        <b/>
        <color rgb="FF000000"/>
        <sz val="9.0"/>
      </rPr>
      <t>Rate</t>
    </r>
  </si>
  <si>
    <r>
      <rPr>
        <rFont val="Arial"/>
        <b/>
        <color theme="1"/>
        <sz val="9.0"/>
      </rPr>
      <t>Override</t>
    </r>
  </si>
  <si>
    <r>
      <rPr>
        <rFont val="Arial"/>
        <b/>
        <color rgb="FF000000"/>
        <sz val="9.0"/>
      </rPr>
      <t xml:space="preserve">Total Commission
</t>
    </r>
    <r>
      <rPr>
        <rFont val="Arial"/>
        <b/>
        <color rgb="FF000000"/>
        <sz val="9.0"/>
      </rPr>
      <t>Paid</t>
    </r>
  </si>
  <si>
    <r>
      <rPr>
        <rFont val="Arial MT"/>
        <color theme="1"/>
        <sz val="8.0"/>
      </rPr>
      <t>OH</t>
    </r>
  </si>
  <si>
    <r>
      <rPr>
        <rFont val="Arial MT"/>
        <color theme="1"/>
        <sz val="8.0"/>
      </rPr>
      <t>Collins, Derek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</si>
  <si>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</si>
  <si>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</si>
  <si>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</si>
  <si>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</si>
  <si>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OH</t>
    </r>
  </si>
  <si>
    <r>
      <rPr>
        <rFont val="Arial MT"/>
        <color theme="1"/>
        <sz val="8.0"/>
      </rPr>
      <t>Zakich, Savannah</t>
    </r>
  </si>
  <si>
    <r>
      <rPr>
        <rFont val="Arial MT"/>
        <color theme="1"/>
        <sz val="8.0"/>
      </rPr>
      <t>Low Premium Silver 800 $2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</si>
  <si>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</si>
  <si>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</si>
  <si>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</si>
  <si>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OH</t>
    </r>
  </si>
  <si>
    <r>
      <rPr>
        <rFont val="Arial MT"/>
        <color theme="1"/>
        <sz val="8.0"/>
      </rPr>
      <t>Kearns, Lana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</si>
  <si>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</si>
  <si>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</si>
  <si>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</si>
  <si>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</si>
  <si>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OH</t>
    </r>
  </si>
  <si>
    <r>
      <rPr>
        <rFont val="Arial MT"/>
        <color theme="1"/>
        <sz val="8.0"/>
      </rPr>
      <t>Rhodes, Stephen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</si>
  <si>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</si>
  <si>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</si>
  <si>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</si>
  <si>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</si>
  <si>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OH</t>
    </r>
  </si>
  <si>
    <r>
      <rPr>
        <rFont val="Arial MT"/>
        <color theme="1"/>
        <sz val="8.0"/>
      </rPr>
      <t>Ann  Rhodes, Mary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</si>
  <si>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</si>
  <si>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</si>
  <si>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</si>
  <si>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</si>
  <si>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OH</t>
    </r>
  </si>
  <si>
    <r>
      <rPr>
        <rFont val="Arial MT"/>
        <color theme="1"/>
        <sz val="8.0"/>
      </rPr>
      <t>Kopan, Marie D.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</si>
  <si>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</si>
  <si>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</si>
  <si>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</si>
  <si>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</si>
  <si>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OH</t>
    </r>
  </si>
  <si>
    <r>
      <rPr>
        <rFont val="Arial MT"/>
        <color theme="1"/>
        <sz val="8.0"/>
      </rPr>
      <t>Esper, Lawrence</t>
    </r>
  </si>
  <si>
    <r>
      <rPr>
        <rFont val="Arial MT"/>
        <color theme="1"/>
        <sz val="8.0"/>
      </rPr>
      <t>Silver 700 $10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</si>
  <si>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</si>
  <si>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</si>
  <si>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</si>
  <si>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OH</t>
    </r>
  </si>
  <si>
    <r>
      <rPr>
        <rFont val="Arial MT"/>
        <color theme="1"/>
        <sz val="8.0"/>
      </rPr>
      <t>Hickey, Patrick</t>
    </r>
  </si>
  <si>
    <r>
      <rPr>
        <rFont val="Arial MT"/>
        <color theme="1"/>
        <sz val="8.0"/>
      </rPr>
      <t>Silver Zero $0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</si>
  <si>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</si>
  <si>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</si>
  <si>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</si>
  <si>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OH</t>
    </r>
  </si>
  <si>
    <r>
      <rPr>
        <rFont val="Arial MT"/>
        <color theme="1"/>
        <sz val="8.0"/>
      </rPr>
      <t>Mcdonald, James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</si>
  <si>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</si>
  <si>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</si>
  <si>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</si>
  <si>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</si>
  <si>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OH</t>
    </r>
  </si>
  <si>
    <r>
      <rPr>
        <rFont val="Arial MT"/>
        <color theme="1"/>
        <sz val="8.0"/>
      </rPr>
      <t>Furgerson, James</t>
    </r>
  </si>
  <si>
    <r>
      <rPr>
        <rFont val="Arial MT"/>
        <color theme="1"/>
        <sz val="8.0"/>
      </rPr>
      <t>Diabetes Silver 5000 $0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</si>
  <si>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</si>
  <si>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</si>
  <si>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</si>
  <si>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OH</t>
    </r>
  </si>
  <si>
    <r>
      <rPr>
        <rFont val="Arial MT"/>
        <color theme="1"/>
        <sz val="8.0"/>
      </rPr>
      <t>Nevison, Nancy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</si>
  <si>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</si>
  <si>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</si>
  <si>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</si>
  <si>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</si>
  <si>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Renewals</t>
    </r>
  </si>
  <si>
    <r>
      <rPr>
        <rFont val="Arial"/>
        <b/>
        <color theme="1"/>
        <sz val="9.0"/>
      </rPr>
      <t>Total for Writing Producer       16170994        Shepard, Ryan Patrick                                                                                                                                                                                                                               $ 220.00</t>
    </r>
  </si>
  <si>
    <t>Writing Producer                           17528908                                Inskipt, Deborah Lee</t>
  </si>
  <si>
    <r>
      <rPr>
        <rFont val="Arial"/>
        <b/>
        <color theme="1"/>
        <sz val="10.0"/>
      </rPr>
      <t>Renewals</t>
    </r>
  </si>
  <si>
    <r>
      <rPr>
        <rFont val="Arial"/>
        <b/>
        <color theme="1"/>
        <sz val="9.0"/>
      </rPr>
      <t>Commission</t>
    </r>
  </si>
  <si>
    <r>
      <rPr>
        <rFont val="Arial"/>
        <b/>
        <color theme="1"/>
        <sz val="9.0"/>
      </rPr>
      <t>Base</t>
    </r>
  </si>
  <si>
    <r>
      <rPr>
        <rFont val="Arial"/>
        <b/>
        <color theme="1"/>
        <sz val="9.0"/>
      </rPr>
      <t>Enhanced</t>
    </r>
  </si>
  <si>
    <r>
      <rPr>
        <rFont val="Arial"/>
        <b/>
        <color theme="1"/>
        <sz val="9.0"/>
      </rPr>
      <t>Commission</t>
    </r>
  </si>
  <si>
    <r>
      <rPr>
        <rFont val="Arial"/>
        <b/>
        <color theme="1"/>
        <sz val="9.0"/>
      </rPr>
      <t>Total</t>
    </r>
  </si>
  <si>
    <r>
      <rPr>
        <rFont val="Arial"/>
        <b/>
        <color theme="1"/>
        <sz val="9.0"/>
      </rPr>
      <t>Effective   Termination</t>
    </r>
  </si>
  <si>
    <r>
      <rPr>
        <rFont val="Arial"/>
        <b/>
        <color theme="1"/>
        <sz val="9.0"/>
      </rPr>
      <t>% of</t>
    </r>
  </si>
  <si>
    <r>
      <rPr>
        <rFont val="Arial"/>
        <b/>
        <color theme="1"/>
        <sz val="9.0"/>
      </rPr>
      <t>Based on</t>
    </r>
  </si>
  <si>
    <r>
      <rPr>
        <rFont val="Arial"/>
        <b/>
        <color theme="1"/>
        <sz val="9.0"/>
      </rPr>
      <t>PMPM</t>
    </r>
  </si>
  <si>
    <r>
      <rPr>
        <rFont val="Arial"/>
        <b/>
        <color theme="1"/>
        <sz val="9.0"/>
      </rPr>
      <t>PMPM</t>
    </r>
  </si>
  <si>
    <r>
      <rPr>
        <rFont val="Arial"/>
        <b/>
        <color theme="1"/>
        <sz val="9.0"/>
      </rPr>
      <t>Member</t>
    </r>
  </si>
  <si>
    <r>
      <rPr>
        <rFont val="Arial"/>
        <b/>
        <color theme="1"/>
        <sz val="9.0"/>
      </rPr>
      <t>Based on</t>
    </r>
  </si>
  <si>
    <r>
      <rPr>
        <rFont val="Arial"/>
        <b/>
        <color theme="1"/>
        <sz val="9.0"/>
      </rPr>
      <t>Commission</t>
    </r>
  </si>
  <si>
    <r>
      <rPr>
        <rFont val="Arial"/>
        <b/>
        <color theme="1"/>
        <sz val="9.0"/>
      </rPr>
      <t>State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</si>
  <si>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</si>
  <si>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</si>
  <si>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</si>
  <si>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Date             Date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</si>
  <si>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</si>
  <si>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Retro ?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</si>
  <si>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</si>
  <si>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</si>
  <si>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</si>
  <si>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</si>
  <si>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</si>
  <si>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</si>
  <si>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Count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</si>
  <si>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</si>
  <si>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Override</t>
    </r>
  </si>
  <si>
    <r>
      <rPr>
        <rFont val="Arial"/>
        <b/>
        <color theme="1"/>
        <sz val="9.0"/>
      </rPr>
      <t>Paid</t>
    </r>
  </si>
  <si>
    <r>
      <rPr>
        <rFont val="Arial MT"/>
        <color theme="1"/>
        <sz val="8.0"/>
      </rPr>
      <t>WV</t>
    </r>
  </si>
  <si>
    <r>
      <rPr>
        <rFont val="Arial MT"/>
        <color theme="1"/>
        <sz val="8.0"/>
      </rPr>
      <t>Joseph, Lura J.</t>
    </r>
  </si>
  <si>
    <r>
      <rPr>
        <rFont val="Arial MT"/>
        <color theme="1"/>
        <sz val="8.0"/>
      </rPr>
      <t>Healthy Heart Gold 3000 $0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</si>
  <si>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</si>
  <si>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</si>
  <si>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</si>
  <si>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WV</t>
    </r>
  </si>
  <si>
    <r>
      <rPr>
        <rFont val="Arial MT"/>
        <color theme="1"/>
        <sz val="8.0"/>
      </rPr>
      <t>Henry, Lori</t>
    </r>
  </si>
  <si>
    <r>
      <rPr>
        <rFont val="Arial MT"/>
        <color theme="1"/>
        <sz val="8.0"/>
      </rPr>
      <t>Low Premium Silver 800 $2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</si>
  <si>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</si>
  <si>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</si>
  <si>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</si>
  <si>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WV</t>
    </r>
  </si>
  <si>
    <r>
      <rPr>
        <rFont val="Arial MT"/>
        <color theme="1"/>
        <sz val="8.0"/>
      </rPr>
      <t>Stephan, Alana</t>
    </r>
  </si>
  <si>
    <r>
      <rPr>
        <rFont val="Arial MT"/>
        <color theme="1"/>
        <sz val="8.0"/>
      </rPr>
      <t>Low Premium Silver 800 $2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</si>
  <si>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</si>
  <si>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</si>
  <si>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</si>
  <si>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Renewals</t>
    </r>
  </si>
  <si>
    <r>
      <rPr>
        <rFont val="Arial"/>
        <b/>
        <color theme="1"/>
        <sz val="9.0"/>
      </rPr>
      <t>Total for Writing Producer       17528908        Inskipt, Deborah Lee                                                                                                                                                                                                                                  $ 80.00</t>
    </r>
  </si>
  <si>
    <t>Writing Producer                           18754354                                Yale, Jacob D</t>
  </si>
  <si>
    <r>
      <rPr>
        <rFont val="Arial"/>
        <b/>
        <color theme="1"/>
        <sz val="10.0"/>
      </rPr>
      <t>Renewals</t>
    </r>
  </si>
  <si>
    <r>
      <rPr>
        <rFont val="Arial"/>
        <b/>
        <color theme="1"/>
        <sz val="9.0"/>
      </rPr>
      <t>State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</si>
  <si>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</si>
  <si>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</si>
  <si>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</si>
  <si>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Effective Date</t>
    </r>
  </si>
  <si>
    <r>
      <rPr>
        <rFont val="Arial"/>
        <b/>
        <color theme="1"/>
        <sz val="9.0"/>
      </rPr>
      <t>Termination Date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</si>
  <si>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</si>
  <si>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Retro ?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</si>
  <si>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</si>
  <si>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% of Premium</t>
    </r>
  </si>
  <si>
    <r>
      <rPr>
        <rFont val="Arial"/>
        <b/>
        <color rgb="FF000000"/>
        <sz val="9.0"/>
      </rPr>
      <t xml:space="preserve">Commission Based on
</t>
    </r>
    <r>
      <rPr>
        <rFont val="Arial"/>
        <b/>
        <color rgb="FF000000"/>
        <sz val="9.0"/>
      </rPr>
      <t>Premium</t>
    </r>
  </si>
  <si>
    <r>
      <rPr>
        <rFont val="Arial"/>
        <b/>
        <color rgb="FF000000"/>
        <sz val="9.0"/>
      </rPr>
      <t xml:space="preserve">Base PMPM
</t>
    </r>
    <r>
      <rPr>
        <rFont val="Arial"/>
        <b/>
        <color rgb="FF000000"/>
        <sz val="9.0"/>
      </rPr>
      <t>Rate</t>
    </r>
  </si>
  <si>
    <r>
      <rPr>
        <rFont val="Arial"/>
        <b/>
        <color rgb="FF000000"/>
        <sz val="9.0"/>
      </rPr>
      <t xml:space="preserve">Enhanced PMPM
</t>
    </r>
    <r>
      <rPr>
        <rFont val="Arial"/>
        <b/>
        <color rgb="FF000000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</si>
  <si>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</si>
  <si>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Member Count</t>
    </r>
  </si>
  <si>
    <r>
      <rPr>
        <rFont val="Arial"/>
        <b/>
        <color rgb="FF000000"/>
        <sz val="9.0"/>
      </rPr>
      <t xml:space="preserve">Commission Based on
</t>
    </r>
    <r>
      <rPr>
        <rFont val="Arial"/>
        <b/>
        <color rgb="FF000000"/>
        <sz val="9.0"/>
      </rPr>
      <t>Rate</t>
    </r>
  </si>
  <si>
    <r>
      <rPr>
        <rFont val="Arial"/>
        <b/>
        <color theme="1"/>
        <sz val="9.0"/>
      </rPr>
      <t>Override</t>
    </r>
  </si>
  <si>
    <r>
      <rPr>
        <rFont val="Arial"/>
        <b/>
        <color rgb="FF000000"/>
        <sz val="9.0"/>
      </rPr>
      <t xml:space="preserve">Total Commission
</t>
    </r>
    <r>
      <rPr>
        <rFont val="Arial"/>
        <b/>
        <color rgb="FF000000"/>
        <sz val="9.0"/>
      </rPr>
      <t>Paid</t>
    </r>
  </si>
  <si>
    <r>
      <rPr>
        <rFont val="Arial MT"/>
        <color theme="1"/>
        <sz val="8.0"/>
      </rPr>
      <t>GA</t>
    </r>
  </si>
  <si>
    <r>
      <rPr>
        <rFont val="Arial MT"/>
        <color theme="1"/>
        <sz val="8.0"/>
      </rPr>
      <t>Tisone, Oliviah</t>
    </r>
  </si>
  <si>
    <r>
      <rPr>
        <rFont val="Arial MT"/>
        <color theme="1"/>
        <sz val="8.0"/>
      </rPr>
      <t>Core Bronze HMO 7500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</si>
  <si>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</si>
  <si>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</si>
  <si>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</si>
  <si>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Renewals</t>
    </r>
  </si>
  <si>
    <r>
      <rPr>
        <rFont val="Arial"/>
        <b/>
        <color theme="1"/>
        <sz val="9.0"/>
      </rPr>
      <t>Total for Writing Producer       18754354        Yale, Jacob D                                                                                                                                                                                                                                        $ 21.74</t>
    </r>
  </si>
  <si>
    <t>Writing Producer                           19279958                                Kinyua, Jared Mucangi</t>
  </si>
  <si>
    <r>
      <rPr>
        <rFont val="Arial"/>
        <b/>
        <color theme="1"/>
        <sz val="10.0"/>
      </rPr>
      <t>New Enrollment</t>
    </r>
  </si>
  <si>
    <r>
      <rPr>
        <rFont val="Arial"/>
        <b/>
        <color theme="1"/>
        <sz val="9.0"/>
      </rPr>
      <t>Effective</t>
    </r>
  </si>
  <si>
    <r>
      <rPr>
        <rFont val="Arial"/>
        <b/>
        <color theme="1"/>
        <sz val="9.0"/>
      </rPr>
      <t>Termination</t>
    </r>
  </si>
  <si>
    <r>
      <rPr>
        <rFont val="Arial"/>
        <b/>
        <color theme="1"/>
        <sz val="9.0"/>
      </rPr>
      <t>% of</t>
    </r>
  </si>
  <si>
    <r>
      <rPr>
        <rFont val="Arial"/>
        <b/>
        <color rgb="FF000000"/>
        <sz val="9.0"/>
      </rPr>
      <t xml:space="preserve">Commission
</t>
    </r>
    <r>
      <rPr>
        <rFont val="Arial"/>
        <b/>
        <color rgb="FF000000"/>
        <sz val="9.0"/>
      </rPr>
      <t>Based on</t>
    </r>
  </si>
  <si>
    <r>
      <rPr>
        <rFont val="Arial"/>
        <b/>
        <color rgb="FF000000"/>
        <sz val="9.0"/>
      </rPr>
      <t xml:space="preserve">Base
</t>
    </r>
    <r>
      <rPr>
        <rFont val="Arial"/>
        <b/>
        <color rgb="FF000000"/>
        <sz val="9.0"/>
      </rPr>
      <t>PMPM</t>
    </r>
  </si>
  <si>
    <r>
      <rPr>
        <rFont val="Arial"/>
        <b/>
        <color rgb="FF000000"/>
        <sz val="9.0"/>
      </rPr>
      <t xml:space="preserve">Enhanced
</t>
    </r>
    <r>
      <rPr>
        <rFont val="Arial"/>
        <b/>
        <color rgb="FF000000"/>
        <sz val="9.0"/>
      </rPr>
      <t>PMPM</t>
    </r>
  </si>
  <si>
    <r>
      <rPr>
        <rFont val="Arial"/>
        <b/>
        <color theme="1"/>
        <sz val="9.0"/>
      </rPr>
      <t>Member</t>
    </r>
  </si>
  <si>
    <r>
      <rPr>
        <rFont val="Arial"/>
        <b/>
        <color rgb="FF000000"/>
        <sz val="9.0"/>
      </rPr>
      <t xml:space="preserve">Commission
</t>
    </r>
    <r>
      <rPr>
        <rFont val="Arial"/>
        <b/>
        <color rgb="FF000000"/>
        <sz val="9.0"/>
      </rPr>
      <t>Based on</t>
    </r>
  </si>
  <si>
    <r>
      <rPr>
        <rFont val="Arial"/>
        <b/>
        <color rgb="FF000000"/>
        <sz val="9.0"/>
      </rPr>
      <t xml:space="preserve">Total
</t>
    </r>
    <r>
      <rPr>
        <rFont val="Arial"/>
        <b/>
        <color rgb="FF000000"/>
        <sz val="9.0"/>
      </rPr>
      <t>Commission</t>
    </r>
  </si>
  <si>
    <r>
      <rPr>
        <rFont val="Arial"/>
        <b/>
        <color theme="1"/>
        <sz val="9.0"/>
      </rPr>
      <t>State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</si>
  <si>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</si>
  <si>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</si>
  <si>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</si>
  <si>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Date</t>
    </r>
  </si>
  <si>
    <r>
      <rPr>
        <rFont val="Arial"/>
        <b/>
        <color theme="1"/>
        <sz val="9.0"/>
      </rPr>
      <t>Date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</si>
  <si>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</si>
  <si>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Retro ?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</si>
  <si>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</si>
  <si>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</si>
  <si>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</si>
  <si>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</si>
  <si>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</si>
  <si>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</si>
  <si>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Count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</si>
  <si>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</si>
  <si>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Override</t>
    </r>
  </si>
  <si>
    <r>
      <rPr>
        <rFont val="Arial"/>
        <b/>
        <color theme="1"/>
        <sz val="9.0"/>
      </rPr>
      <t>Paid</t>
    </r>
  </si>
  <si>
    <r>
      <rPr>
        <rFont val="Arial MT"/>
        <color theme="1"/>
        <sz val="8.0"/>
      </rPr>
      <t>GA</t>
    </r>
  </si>
  <si>
    <r>
      <rPr>
        <rFont val="Arial MT"/>
        <color theme="1"/>
        <sz val="8.0"/>
      </rPr>
      <t>Johnson, Renita</t>
    </r>
  </si>
  <si>
    <r>
      <rPr>
        <rFont val="Arial MT"/>
        <color theme="1"/>
        <sz val="8.0"/>
      </rPr>
      <t>Core Bronze HMO 7500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</si>
  <si>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</si>
  <si>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</si>
  <si>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</si>
  <si>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  $ 60.00</t>
    </r>
  </si>
  <si>
    <r>
      <rPr>
        <rFont val="Arial"/>
        <b/>
        <color theme="1"/>
        <sz val="10.0"/>
      </rPr>
      <t>Renewals</t>
    </r>
  </si>
  <si>
    <r>
      <rPr>
        <rFont val="Arial"/>
        <b/>
        <color theme="1"/>
        <sz val="9.0"/>
      </rPr>
      <t>State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</si>
  <si>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</si>
  <si>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</si>
  <si>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</si>
  <si>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Effective Date</t>
    </r>
  </si>
  <si>
    <r>
      <rPr>
        <rFont val="Arial"/>
        <b/>
        <color theme="1"/>
        <sz val="9.0"/>
      </rPr>
      <t>Termination Date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</si>
  <si>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</si>
  <si>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Retro ?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</si>
  <si>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</si>
  <si>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% of Premium</t>
    </r>
  </si>
  <si>
    <r>
      <rPr>
        <rFont val="Arial"/>
        <b/>
        <color theme="1"/>
        <sz val="9.0"/>
      </rPr>
      <t>Commission Based on Premium</t>
    </r>
  </si>
  <si>
    <r>
      <rPr>
        <rFont val="Arial"/>
        <b/>
        <color rgb="FF000000"/>
        <sz val="9.0"/>
      </rPr>
      <t xml:space="preserve">Base PMPM
</t>
    </r>
    <r>
      <rPr>
        <rFont val="Arial"/>
        <b/>
        <color rgb="FF000000"/>
        <sz val="9.0"/>
      </rPr>
      <t>Rate</t>
    </r>
  </si>
  <si>
    <r>
      <rPr>
        <rFont val="Arial"/>
        <b/>
        <color rgb="FF000000"/>
        <sz val="9.0"/>
      </rPr>
      <t xml:space="preserve">Enhanced PMPM
</t>
    </r>
    <r>
      <rPr>
        <rFont val="Arial"/>
        <b/>
        <color rgb="FF000000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</si>
  <si>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</si>
  <si>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Member Count</t>
    </r>
  </si>
  <si>
    <r>
      <rPr>
        <rFont val="Arial"/>
        <b/>
        <color theme="1"/>
        <sz val="9.0"/>
      </rPr>
      <t>Commission Based on Rate</t>
    </r>
  </si>
  <si>
    <r>
      <rPr>
        <rFont val="Arial"/>
        <b/>
        <color theme="1"/>
        <sz val="9.0"/>
      </rPr>
      <t>Override</t>
    </r>
  </si>
  <si>
    <r>
      <rPr>
        <rFont val="Arial"/>
        <b/>
        <color theme="1"/>
        <sz val="9.0"/>
      </rPr>
      <t>Total Commission Paid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</si>
  <si>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</si>
  <si>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Marcum, Jack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</si>
  <si>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</si>
  <si>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</si>
  <si>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</si>
  <si>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</si>
  <si>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Renewals</t>
    </r>
  </si>
  <si>
    <r>
      <rPr>
        <rFont val="Arial"/>
        <b/>
        <color theme="1"/>
        <sz val="9.0"/>
      </rPr>
      <t>Total for Writing Producer       19279958        Kinyua, Jared Mucangi                                                                                                                                                                                                                              $ 135.00</t>
    </r>
  </si>
  <si>
    <t>Writing Producer                           19681796                                Taugner, Christian</t>
  </si>
  <si>
    <r>
      <rPr>
        <rFont val="Arial"/>
        <b/>
        <color theme="1"/>
        <sz val="10.0"/>
      </rPr>
      <t>New Enrollment</t>
    </r>
  </si>
  <si>
    <r>
      <rPr>
        <rFont val="Arial"/>
        <b/>
        <color theme="1"/>
        <sz val="9.0"/>
      </rPr>
      <t>State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</si>
  <si>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</si>
  <si>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</si>
  <si>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</si>
  <si>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Effective Date</t>
    </r>
  </si>
  <si>
    <r>
      <rPr>
        <rFont val="Arial"/>
        <b/>
        <color theme="1"/>
        <sz val="9.0"/>
      </rPr>
      <t>Termination Date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</si>
  <si>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</si>
  <si>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Retro ?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</si>
  <si>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</si>
  <si>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% of Premium</t>
    </r>
  </si>
  <si>
    <r>
      <rPr>
        <rFont val="Arial"/>
        <b/>
        <color rgb="FF000000"/>
        <sz val="9.0"/>
      </rPr>
      <t xml:space="preserve">Commission Based on
</t>
    </r>
    <r>
      <rPr>
        <rFont val="Arial"/>
        <b/>
        <color rgb="FF000000"/>
        <sz val="9.0"/>
      </rPr>
      <t>Premium</t>
    </r>
  </si>
  <si>
    <r>
      <rPr>
        <rFont val="Arial"/>
        <b/>
        <color rgb="FF000000"/>
        <sz val="9.0"/>
      </rPr>
      <t xml:space="preserve">Base PMPM
</t>
    </r>
    <r>
      <rPr>
        <rFont val="Arial"/>
        <b/>
        <color rgb="FF000000"/>
        <sz val="9.0"/>
      </rPr>
      <t>Rate</t>
    </r>
  </si>
  <si>
    <r>
      <rPr>
        <rFont val="Arial"/>
        <b/>
        <color rgb="FF000000"/>
        <sz val="9.0"/>
      </rPr>
      <t xml:space="preserve">Enhanced PMPM
</t>
    </r>
    <r>
      <rPr>
        <rFont val="Arial"/>
        <b/>
        <color rgb="FF000000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</si>
  <si>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</si>
  <si>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Member Count</t>
    </r>
  </si>
  <si>
    <r>
      <rPr>
        <rFont val="Arial"/>
        <b/>
        <color rgb="FF000000"/>
        <sz val="9.0"/>
      </rPr>
      <t xml:space="preserve">Commission Based on
</t>
    </r>
    <r>
      <rPr>
        <rFont val="Arial"/>
        <b/>
        <color rgb="FF000000"/>
        <sz val="9.0"/>
      </rPr>
      <t>Rate</t>
    </r>
  </si>
  <si>
    <r>
      <rPr>
        <rFont val="Arial"/>
        <b/>
        <color theme="1"/>
        <sz val="9.0"/>
      </rPr>
      <t>Override</t>
    </r>
  </si>
  <si>
    <r>
      <rPr>
        <rFont val="Arial"/>
        <b/>
        <color rgb="FF000000"/>
        <sz val="9.0"/>
      </rPr>
      <t xml:space="preserve">Total Commission
</t>
    </r>
    <r>
      <rPr>
        <rFont val="Arial"/>
        <b/>
        <color rgb="FF000000"/>
        <sz val="9.0"/>
      </rPr>
      <t>Paid</t>
    </r>
  </si>
  <si>
    <r>
      <rPr>
        <rFont val="Arial MT"/>
        <color theme="1"/>
        <sz val="8.0"/>
      </rPr>
      <t>WI</t>
    </r>
  </si>
  <si>
    <r>
      <rPr>
        <rFont val="Arial MT"/>
        <color theme="1"/>
        <sz val="8.0"/>
      </rPr>
      <t>Clark, Jan</t>
    </r>
  </si>
  <si>
    <r>
      <rPr>
        <rFont val="Arial MT"/>
        <color theme="1"/>
        <sz val="8.0"/>
      </rPr>
      <t>CareSource (Common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</si>
  <si>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</si>
  <si>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</si>
  <si>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</si>
  <si>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WI</t>
    </r>
  </si>
  <si>
    <r>
      <rPr>
        <rFont val="Arial MT"/>
        <color theme="1"/>
        <sz val="8.0"/>
      </rPr>
      <t>Hughes, Ann</t>
    </r>
  </si>
  <si>
    <r>
      <rPr>
        <rFont val="Arial MT"/>
        <color theme="1"/>
        <sz val="8.0"/>
      </rPr>
      <t>CareSource (Common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</si>
  <si>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</si>
  <si>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</si>
  <si>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</si>
  <si>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  $ 40.00</t>
    </r>
  </si>
  <si>
    <r>
      <rPr>
        <rFont val="Arial"/>
        <b/>
        <color theme="1"/>
        <sz val="9.0"/>
      </rPr>
      <t>Total for Writing Producer       19681796        Taugner, Christian                                                                                                                                                                                                                                    $ 40.00</t>
    </r>
  </si>
  <si>
    <t>Writing Producer                           20724564                                Sanderock, Marsha LeeAnn</t>
  </si>
  <si>
    <r>
      <rPr>
        <rFont val="Arial"/>
        <b/>
        <color theme="1"/>
        <sz val="10.0"/>
      </rPr>
      <t>New Enrollment</t>
    </r>
  </si>
  <si>
    <r>
      <rPr>
        <rFont val="Arial"/>
        <b/>
        <color theme="1"/>
        <sz val="9.0"/>
      </rPr>
      <t>Effective   Termination</t>
    </r>
  </si>
  <si>
    <r>
      <rPr>
        <rFont val="Arial"/>
        <b/>
        <color theme="1"/>
        <sz val="9.0"/>
      </rPr>
      <t>% of</t>
    </r>
  </si>
  <si>
    <r>
      <rPr>
        <rFont val="Arial"/>
        <b/>
        <color rgb="FF000000"/>
        <sz val="9.0"/>
      </rPr>
      <t xml:space="preserve">Commission
</t>
    </r>
    <r>
      <rPr>
        <rFont val="Arial"/>
        <b/>
        <color rgb="FF000000"/>
        <sz val="9.0"/>
      </rPr>
      <t>Based on</t>
    </r>
  </si>
  <si>
    <r>
      <rPr>
        <rFont val="Arial"/>
        <b/>
        <color rgb="FF000000"/>
        <sz val="9.0"/>
      </rPr>
      <t xml:space="preserve">Base
</t>
    </r>
    <r>
      <rPr>
        <rFont val="Arial"/>
        <b/>
        <color rgb="FF000000"/>
        <sz val="9.0"/>
      </rPr>
      <t>PMPM</t>
    </r>
  </si>
  <si>
    <r>
      <rPr>
        <rFont val="Arial"/>
        <b/>
        <color rgb="FF000000"/>
        <sz val="9.0"/>
      </rPr>
      <t xml:space="preserve">Enhanced
</t>
    </r>
    <r>
      <rPr>
        <rFont val="Arial"/>
        <b/>
        <color rgb="FF000000"/>
        <sz val="9.0"/>
      </rPr>
      <t>PMPM</t>
    </r>
  </si>
  <si>
    <r>
      <rPr>
        <rFont val="Arial"/>
        <b/>
        <color theme="1"/>
        <sz val="9.0"/>
      </rPr>
      <t>Member</t>
    </r>
  </si>
  <si>
    <r>
      <rPr>
        <rFont val="Arial"/>
        <b/>
        <color rgb="FF000000"/>
        <sz val="9.0"/>
      </rPr>
      <t xml:space="preserve">Commission
</t>
    </r>
    <r>
      <rPr>
        <rFont val="Arial"/>
        <b/>
        <color rgb="FF000000"/>
        <sz val="9.0"/>
      </rPr>
      <t>Based on</t>
    </r>
  </si>
  <si>
    <r>
      <rPr>
        <rFont val="Arial"/>
        <b/>
        <color rgb="FF000000"/>
        <sz val="9.0"/>
      </rPr>
      <t xml:space="preserve">Total
</t>
    </r>
    <r>
      <rPr>
        <rFont val="Arial"/>
        <b/>
        <color rgb="FF000000"/>
        <sz val="9.0"/>
      </rPr>
      <t>Commission</t>
    </r>
  </si>
  <si>
    <r>
      <rPr>
        <rFont val="Arial"/>
        <b/>
        <color theme="1"/>
        <sz val="9.0"/>
      </rPr>
      <t>State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</si>
  <si>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</si>
  <si>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</si>
  <si>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</si>
  <si>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Date             Date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</si>
  <si>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</si>
  <si>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Retro ?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</si>
  <si>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</si>
  <si>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</si>
  <si>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</si>
  <si>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</si>
  <si>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</si>
  <si>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</si>
  <si>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Count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</si>
  <si>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</si>
  <si>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Override</t>
    </r>
  </si>
  <si>
    <r>
      <rPr>
        <rFont val="Arial"/>
        <b/>
        <color theme="1"/>
        <sz val="9.0"/>
      </rPr>
      <t>Paid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</si>
  <si>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</si>
  <si>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Smith, Beverly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</si>
  <si>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</si>
  <si>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</si>
  <si>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</si>
  <si>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</si>
  <si>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</si>
  <si>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Kuhstoss, Sheryl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</si>
  <si>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</si>
  <si>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</si>
  <si>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</si>
  <si>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</si>
  <si>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</si>
  <si>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Nasal, Katie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</si>
  <si>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</si>
  <si>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</si>
  <si>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</si>
  <si>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</si>
  <si>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</si>
  <si>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Hayden, Jamie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</si>
  <si>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</si>
  <si>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</si>
  <si>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</si>
  <si>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</si>
  <si>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</si>
  <si>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Reeves, Gerri L.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</si>
  <si>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</si>
  <si>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</si>
  <si>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</si>
  <si>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</si>
  <si>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</si>
  <si>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West, Theresa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</si>
  <si>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</si>
  <si>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</si>
  <si>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</si>
  <si>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</si>
  <si>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</si>
  <si>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Long, Eric L.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</si>
  <si>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</si>
  <si>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</si>
  <si>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</si>
  <si>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</si>
  <si>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$ 180.00</t>
    </r>
  </si>
  <si>
    <r>
      <rPr>
        <rFont val="Arial"/>
        <b/>
        <color theme="1"/>
        <sz val="10.0"/>
      </rPr>
      <t>Renewals</t>
    </r>
  </si>
  <si>
    <r>
      <rPr>
        <rFont val="Arial"/>
        <b/>
        <color theme="1"/>
        <sz val="9.0"/>
      </rPr>
      <t>Effective</t>
    </r>
  </si>
  <si>
    <r>
      <rPr>
        <rFont val="Arial"/>
        <b/>
        <color theme="1"/>
        <sz val="9.0"/>
      </rPr>
      <t>Termination</t>
    </r>
  </si>
  <si>
    <r>
      <rPr>
        <rFont val="Arial"/>
        <b/>
        <color theme="1"/>
        <sz val="9.0"/>
      </rPr>
      <t>% of</t>
    </r>
  </si>
  <si>
    <r>
      <rPr>
        <rFont val="Arial"/>
        <b/>
        <color theme="1"/>
        <sz val="9.0"/>
      </rPr>
      <t>Commission Based on</t>
    </r>
  </si>
  <si>
    <r>
      <rPr>
        <rFont val="Arial"/>
        <b/>
        <color theme="1"/>
        <sz val="9.0"/>
      </rPr>
      <t>Base PMPM</t>
    </r>
  </si>
  <si>
    <r>
      <rPr>
        <rFont val="Arial"/>
        <b/>
        <color theme="1"/>
        <sz val="9.0"/>
      </rPr>
      <t>Enhanced PMPM</t>
    </r>
  </si>
  <si>
    <r>
      <rPr>
        <rFont val="Arial"/>
        <b/>
        <color theme="1"/>
        <sz val="9.0"/>
      </rPr>
      <t>Member</t>
    </r>
  </si>
  <si>
    <r>
      <rPr>
        <rFont val="Arial"/>
        <b/>
        <color theme="1"/>
        <sz val="9.0"/>
      </rPr>
      <t>Commission Based on</t>
    </r>
  </si>
  <si>
    <r>
      <rPr>
        <rFont val="Arial"/>
        <b/>
        <color theme="1"/>
        <sz val="9.0"/>
      </rPr>
      <t>Total Commission</t>
    </r>
  </si>
  <si>
    <r>
      <rPr>
        <rFont val="Arial"/>
        <b/>
        <color theme="1"/>
        <sz val="9.0"/>
      </rPr>
      <t>State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</si>
  <si>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</si>
  <si>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</si>
  <si>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</si>
  <si>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Date</t>
    </r>
  </si>
  <si>
    <r>
      <rPr>
        <rFont val="Arial"/>
        <b/>
        <color theme="1"/>
        <sz val="9.0"/>
      </rPr>
      <t>Date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</si>
  <si>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</si>
  <si>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Retro ?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</si>
  <si>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</si>
  <si>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</si>
  <si>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</si>
  <si>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</si>
  <si>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</si>
  <si>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</si>
  <si>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Count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</si>
  <si>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</si>
  <si>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Override</t>
    </r>
  </si>
  <si>
    <r>
      <rPr>
        <rFont val="Arial"/>
        <b/>
        <color theme="1"/>
        <sz val="9.0"/>
      </rPr>
      <t>Paid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</si>
  <si>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</si>
  <si>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Harbert, Gregory A.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</si>
  <si>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</si>
  <si>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</si>
  <si>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</si>
  <si>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</si>
  <si>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</si>
  <si>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Dison, Lex C.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</si>
  <si>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</si>
  <si>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</si>
  <si>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</si>
  <si>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</si>
  <si>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</si>
  <si>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Hollowell, Dian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</si>
  <si>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</si>
  <si>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</si>
  <si>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</si>
  <si>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</si>
  <si>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</si>
  <si>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Roan, Scott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</si>
  <si>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</si>
  <si>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</si>
  <si>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</si>
  <si>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</si>
  <si>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</si>
  <si>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Montgomery, Kaleb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</si>
  <si>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</si>
  <si>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</si>
  <si>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</si>
  <si>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</si>
  <si>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</si>
  <si>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Frieders, Ingred A.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</si>
  <si>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</si>
  <si>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</si>
  <si>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</si>
  <si>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</si>
  <si>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</si>
  <si>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Wenzel, Andrew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</si>
  <si>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</si>
  <si>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</si>
  <si>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</si>
  <si>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</si>
  <si>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</si>
  <si>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Allender, Tina</t>
    </r>
  </si>
  <si>
    <r>
      <rPr>
        <rFont val="Arial MT"/>
        <color theme="1"/>
        <sz val="8.0"/>
      </rPr>
      <t>Low Premium Silver 800 $2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</si>
  <si>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</si>
  <si>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</si>
  <si>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</si>
  <si>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</si>
  <si>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Sims, Barbara J.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</si>
  <si>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</si>
  <si>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</si>
  <si>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</si>
  <si>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</si>
  <si>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</si>
  <si>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Snyder, Alesia</t>
    </r>
  </si>
  <si>
    <r>
      <rPr>
        <rFont val="Arial MT"/>
        <color theme="1"/>
        <sz val="8.0"/>
      </rPr>
      <t>HDHP Preventive Silver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</si>
  <si>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</si>
  <si>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</si>
  <si>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</si>
  <si>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</si>
  <si>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Campbell, Lisa</t>
    </r>
  </si>
  <si>
    <r>
      <rPr>
        <rFont val="Arial MT"/>
        <color theme="1"/>
        <sz val="8.0"/>
      </rPr>
      <t>Low Premium Bronze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</si>
  <si>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</si>
  <si>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</si>
  <si>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</si>
  <si>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</si>
  <si>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Allender, Seth</t>
    </r>
  </si>
  <si>
    <r>
      <rPr>
        <rFont val="Arial MT"/>
        <color theme="1"/>
        <sz val="8.0"/>
      </rPr>
      <t>Low Premium Silver 800 $2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</si>
  <si>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</si>
  <si>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</si>
  <si>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</si>
  <si>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</si>
  <si>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Kight, Marcus</t>
    </r>
  </si>
  <si>
    <r>
      <rPr>
        <rFont val="Arial MT"/>
        <color theme="1"/>
        <sz val="8.0"/>
      </rPr>
      <t>Low Premium Silver 500 $0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</si>
  <si>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</si>
  <si>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</si>
  <si>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</si>
  <si>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</si>
  <si>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Clark, Karen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</si>
  <si>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</si>
  <si>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</si>
  <si>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</si>
  <si>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</si>
  <si>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</si>
  <si>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Hoene, Stephanie</t>
    </r>
  </si>
  <si>
    <r>
      <rPr>
        <rFont val="Arial MT"/>
        <color theme="1"/>
        <sz val="8.0"/>
      </rPr>
      <t>Silver 3000 $20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</si>
  <si>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</si>
  <si>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</si>
  <si>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</si>
  <si>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</si>
  <si>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Perry, Amanda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</si>
  <si>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</si>
  <si>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</si>
  <si>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</si>
  <si>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</si>
  <si>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</si>
  <si>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Tremblay, Robert</t>
    </r>
  </si>
  <si>
    <r>
      <rPr>
        <rFont val="Arial MT"/>
        <color theme="1"/>
        <sz val="8.0"/>
      </rPr>
      <t>Silver 700 $10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</si>
  <si>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</si>
  <si>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</si>
  <si>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</si>
  <si>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</si>
  <si>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Lane, Julie</t>
    </r>
  </si>
  <si>
    <r>
      <rPr>
        <rFont val="Arial MT"/>
        <color theme="1"/>
        <sz val="8.0"/>
      </rPr>
      <t>Low Premium Silver 800 $2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</si>
  <si>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</si>
  <si>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</si>
  <si>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</si>
  <si>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</si>
  <si>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Pittman, Linda S.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</si>
  <si>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</si>
  <si>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</si>
  <si>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</si>
  <si>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</si>
  <si>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</si>
  <si>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Hill, Stacey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</si>
  <si>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</si>
  <si>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</si>
  <si>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</si>
  <si>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</si>
  <si>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Renewals</t>
    </r>
  </si>
  <si>
    <r>
      <rPr>
        <rFont val="Arial"/>
        <b/>
        <color theme="1"/>
        <sz val="9.0"/>
      </rPr>
      <t>Total for Writing Producer       20724564        Sanderock, Marsha LeeAnn                                                                                                                                                                                                                          $ 586.00</t>
    </r>
  </si>
  <si>
    <t>Writing Producer                           21749481                                Carney, Daniel</t>
  </si>
  <si>
    <r>
      <rPr>
        <rFont val="Arial"/>
        <b/>
        <color theme="1"/>
        <sz val="10.0"/>
      </rPr>
      <t>New Enrollment</t>
    </r>
  </si>
  <si>
    <r>
      <rPr>
        <rFont val="Arial"/>
        <b/>
        <color theme="1"/>
        <sz val="9.0"/>
      </rPr>
      <t>State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</si>
  <si>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</si>
  <si>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</si>
  <si>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</si>
  <si>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Effective Date</t>
    </r>
  </si>
  <si>
    <r>
      <rPr>
        <rFont val="Arial"/>
        <b/>
        <color theme="1"/>
        <sz val="9.0"/>
      </rPr>
      <t>Termination Date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</si>
  <si>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</si>
  <si>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Retro ?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</si>
  <si>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</si>
  <si>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% of Premium</t>
    </r>
  </si>
  <si>
    <r>
      <rPr>
        <rFont val="Arial"/>
        <b/>
        <color rgb="FF000000"/>
        <sz val="9.0"/>
      </rPr>
      <t xml:space="preserve">Commission Based on
</t>
    </r>
    <r>
      <rPr>
        <rFont val="Arial"/>
        <b/>
        <color rgb="FF000000"/>
        <sz val="9.0"/>
      </rPr>
      <t>Premium</t>
    </r>
  </si>
  <si>
    <r>
      <rPr>
        <rFont val="Arial"/>
        <b/>
        <color rgb="FF000000"/>
        <sz val="9.0"/>
      </rPr>
      <t xml:space="preserve">Base PMPM
</t>
    </r>
    <r>
      <rPr>
        <rFont val="Arial"/>
        <b/>
        <color rgb="FF000000"/>
        <sz val="9.0"/>
      </rPr>
      <t>Rate</t>
    </r>
  </si>
  <si>
    <r>
      <rPr>
        <rFont val="Arial"/>
        <b/>
        <color rgb="FF000000"/>
        <sz val="9.0"/>
      </rPr>
      <t xml:space="preserve">Enhanced PMPM
</t>
    </r>
    <r>
      <rPr>
        <rFont val="Arial"/>
        <b/>
        <color rgb="FF000000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</si>
  <si>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</si>
  <si>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Member Count</t>
    </r>
  </si>
  <si>
    <r>
      <rPr>
        <rFont val="Arial"/>
        <b/>
        <color rgb="FF000000"/>
        <sz val="9.0"/>
      </rPr>
      <t xml:space="preserve">Commission Based on
</t>
    </r>
    <r>
      <rPr>
        <rFont val="Arial"/>
        <b/>
        <color rgb="FF000000"/>
        <sz val="9.0"/>
      </rPr>
      <t>Rate</t>
    </r>
  </si>
  <si>
    <r>
      <rPr>
        <rFont val="Arial"/>
        <b/>
        <color theme="1"/>
        <sz val="9.0"/>
      </rPr>
      <t>Override</t>
    </r>
  </si>
  <si>
    <r>
      <rPr>
        <rFont val="Arial"/>
        <b/>
        <color rgb="FF000000"/>
        <sz val="9.0"/>
      </rPr>
      <t xml:space="preserve">Total Commission
</t>
    </r>
    <r>
      <rPr>
        <rFont val="Arial"/>
        <b/>
        <color rgb="FF000000"/>
        <sz val="9.0"/>
      </rPr>
      <t>Paid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</si>
  <si>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</si>
  <si>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Armantrout, Robert J.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</si>
  <si>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</si>
  <si>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</si>
  <si>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</si>
  <si>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</si>
  <si>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  $ 16.00</t>
    </r>
  </si>
  <si>
    <r>
      <rPr>
        <rFont val="Arial"/>
        <b/>
        <color theme="1"/>
        <sz val="9.0"/>
      </rPr>
      <t>Total for Writing Producer       21749481        Carney, Daniel                                                                                                                                                                                                                                       $ 16.00</t>
    </r>
  </si>
  <si>
    <t>Writing Producer                           8977234                                  Caltagirone, Ryan J</t>
  </si>
  <si>
    <r>
      <rPr>
        <rFont val="Arial"/>
        <b/>
        <color theme="1"/>
        <sz val="10.0"/>
      </rPr>
      <t>New Enrollment</t>
    </r>
  </si>
  <si>
    <r>
      <rPr>
        <rFont val="Arial"/>
        <b/>
        <color theme="1"/>
        <sz val="9.0"/>
      </rPr>
      <t>State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</si>
  <si>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</si>
  <si>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</si>
  <si>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</si>
  <si>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Effective Date</t>
    </r>
  </si>
  <si>
    <r>
      <rPr>
        <rFont val="Arial"/>
        <b/>
        <color theme="1"/>
        <sz val="9.0"/>
      </rPr>
      <t>Termination Date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</si>
  <si>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</si>
  <si>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Retro ?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</si>
  <si>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</si>
  <si>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% of Premium</t>
    </r>
  </si>
  <si>
    <r>
      <rPr>
        <rFont val="Arial"/>
        <b/>
        <color rgb="FF000000"/>
        <sz val="9.0"/>
      </rPr>
      <t xml:space="preserve">Commission
</t>
    </r>
    <r>
      <rPr>
        <rFont val="Arial"/>
        <b/>
        <color rgb="FF000000"/>
        <sz val="9.0"/>
      </rPr>
      <t>Based on Premium</t>
    </r>
  </si>
  <si>
    <r>
      <rPr>
        <rFont val="Arial"/>
        <b/>
        <color rgb="FF000000"/>
        <sz val="9.0"/>
      </rPr>
      <t xml:space="preserve">Base PMPM
</t>
    </r>
    <r>
      <rPr>
        <rFont val="Arial"/>
        <b/>
        <color rgb="FF000000"/>
        <sz val="9.0"/>
      </rPr>
      <t>Rate</t>
    </r>
  </si>
  <si>
    <r>
      <rPr>
        <rFont val="Arial"/>
        <b/>
        <color rgb="FF000000"/>
        <sz val="9.0"/>
      </rPr>
      <t xml:space="preserve">Enhanced PMPM
</t>
    </r>
    <r>
      <rPr>
        <rFont val="Arial"/>
        <b/>
        <color rgb="FF000000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</si>
  <si>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</si>
  <si>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Member Count</t>
    </r>
  </si>
  <si>
    <r>
      <rPr>
        <rFont val="Arial"/>
        <b/>
        <color rgb="FF000000"/>
        <sz val="9.0"/>
      </rPr>
      <t xml:space="preserve">Commission
</t>
    </r>
    <r>
      <rPr>
        <rFont val="Arial"/>
        <b/>
        <color rgb="FF000000"/>
        <sz val="9.0"/>
      </rPr>
      <t>Based on Rate</t>
    </r>
  </si>
  <si>
    <r>
      <rPr>
        <rFont val="Arial"/>
        <b/>
        <color theme="1"/>
        <sz val="9.0"/>
      </rPr>
      <t>Override</t>
    </r>
  </si>
  <si>
    <r>
      <rPr>
        <rFont val="Arial"/>
        <b/>
        <color rgb="FF000000"/>
        <sz val="9.0"/>
      </rPr>
      <t xml:space="preserve">Total
</t>
    </r>
    <r>
      <rPr>
        <rFont val="Arial"/>
        <b/>
        <color rgb="FF000000"/>
        <sz val="9.0"/>
      </rPr>
      <t>Commission Paid</t>
    </r>
  </si>
  <si>
    <r>
      <rPr>
        <rFont val="Arial MT"/>
        <color theme="1"/>
        <sz val="8.0"/>
      </rPr>
      <t>GA</t>
    </r>
  </si>
  <si>
    <r>
      <rPr>
        <rFont val="Arial MT"/>
        <color theme="1"/>
        <sz val="8.0"/>
      </rPr>
      <t>Hirner, Daniel</t>
    </r>
  </si>
  <si>
    <r>
      <rPr>
        <rFont val="Arial MT"/>
        <color theme="1"/>
        <sz val="8.0"/>
      </rPr>
      <t>Core Bronze HMO 7500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</si>
  <si>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</si>
  <si>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</si>
  <si>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</si>
  <si>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GA</t>
    </r>
  </si>
  <si>
    <r>
      <rPr>
        <rFont val="Arial MT"/>
        <color theme="1"/>
        <sz val="8.0"/>
      </rPr>
      <t>Walden, Michelle D.</t>
    </r>
  </si>
  <si>
    <r>
      <rPr>
        <rFont val="Arial MT"/>
        <color theme="1"/>
        <sz val="8.0"/>
      </rPr>
      <t>Core Bronze HMO 7500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</si>
  <si>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</si>
  <si>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</si>
  <si>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</si>
  <si>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GA</t>
    </r>
  </si>
  <si>
    <r>
      <rPr>
        <rFont val="Arial MT"/>
        <color theme="1"/>
        <sz val="8.0"/>
      </rPr>
      <t>Snyder, Tanya</t>
    </r>
  </si>
  <si>
    <r>
      <rPr>
        <rFont val="Arial MT"/>
        <color theme="1"/>
        <sz val="8.0"/>
      </rPr>
      <t>Core Bronze HMO 7500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</si>
  <si>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</si>
  <si>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</si>
  <si>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</si>
  <si>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GA</t>
    </r>
  </si>
  <si>
    <r>
      <rPr>
        <rFont val="Arial MT"/>
        <color theme="1"/>
        <sz val="8.0"/>
      </rPr>
      <t>Murphy, Melisa M.</t>
    </r>
  </si>
  <si>
    <r>
      <rPr>
        <rFont val="Arial MT"/>
        <color theme="1"/>
        <sz val="8.0"/>
      </rPr>
      <t>Low Premium Bronze HMO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</si>
  <si>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</si>
  <si>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</si>
  <si>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</si>
  <si>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</si>
  <si>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Rutherford, Melissa K.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</si>
  <si>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</si>
  <si>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</si>
  <si>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</si>
  <si>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</si>
  <si>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</si>
  <si>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Estelle, Meloney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</si>
  <si>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</si>
  <si>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</si>
  <si>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</si>
  <si>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</si>
  <si>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</si>
  <si>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Paramore, Brinda J.</t>
    </r>
  </si>
  <si>
    <r>
      <rPr>
        <rFont val="Arial MT"/>
        <color theme="1"/>
        <sz val="8.0"/>
      </rPr>
      <t>HDHP Preventive Silver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</si>
  <si>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</si>
  <si>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</si>
  <si>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</si>
  <si>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</si>
  <si>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Maxwell, Nancy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</si>
  <si>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</si>
  <si>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</si>
  <si>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</si>
  <si>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</si>
  <si>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OH</t>
    </r>
  </si>
  <si>
    <r>
      <rPr>
        <rFont val="Arial MT"/>
        <color theme="1"/>
        <sz val="8.0"/>
      </rPr>
      <t>Roy-Alexander, Dipali</t>
    </r>
  </si>
  <si>
    <r>
      <rPr>
        <rFont val="Arial MT"/>
        <color theme="1"/>
        <sz val="8.0"/>
      </rPr>
      <t>Healthy Heart Silver 5000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</si>
  <si>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</si>
  <si>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</si>
  <si>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</si>
  <si>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OH</t>
    </r>
  </si>
  <si>
    <r>
      <rPr>
        <rFont val="Arial MT"/>
        <color theme="1"/>
        <sz val="8.0"/>
      </rPr>
      <t>Pittenger, Debra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</si>
  <si>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</si>
  <si>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</si>
  <si>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</si>
  <si>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</si>
  <si>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New Enrollments:</t>
    </r>
  </si>
  <si>
    <r>
      <rPr>
        <rFont val="Arial"/>
        <b/>
        <color theme="1"/>
        <sz val="10.0"/>
      </rPr>
      <t>Renewals</t>
    </r>
  </si>
  <si>
    <r>
      <rPr>
        <rFont val="Arial"/>
        <b/>
        <color theme="1"/>
        <sz val="9.0"/>
      </rPr>
      <t>Effective</t>
    </r>
  </si>
  <si>
    <r>
      <rPr>
        <rFont val="Arial"/>
        <b/>
        <color theme="1"/>
        <sz val="9.0"/>
      </rPr>
      <t>Termination</t>
    </r>
  </si>
  <si>
    <r>
      <rPr>
        <rFont val="Arial"/>
        <b/>
        <color theme="1"/>
        <sz val="9.0"/>
      </rPr>
      <t>% of</t>
    </r>
  </si>
  <si>
    <r>
      <rPr>
        <rFont val="Arial"/>
        <b/>
        <color theme="1"/>
        <sz val="9.0"/>
      </rPr>
      <t>Commission Based on</t>
    </r>
  </si>
  <si>
    <r>
      <rPr>
        <rFont val="Arial"/>
        <b/>
        <color theme="1"/>
        <sz val="9.0"/>
      </rPr>
      <t>Base PMPM</t>
    </r>
  </si>
  <si>
    <r>
      <rPr>
        <rFont val="Arial"/>
        <b/>
        <color theme="1"/>
        <sz val="9.0"/>
      </rPr>
      <t>Enhanced PMPM</t>
    </r>
  </si>
  <si>
    <r>
      <rPr>
        <rFont val="Arial"/>
        <b/>
        <color theme="1"/>
        <sz val="9.0"/>
      </rPr>
      <t>Member</t>
    </r>
  </si>
  <si>
    <r>
      <rPr>
        <rFont val="Arial"/>
        <b/>
        <color theme="1"/>
        <sz val="9.0"/>
      </rPr>
      <t>Commission Based on</t>
    </r>
  </si>
  <si>
    <r>
      <rPr>
        <rFont val="Arial"/>
        <b/>
        <color theme="1"/>
        <sz val="9.0"/>
      </rPr>
      <t>Total Commission</t>
    </r>
  </si>
  <si>
    <r>
      <rPr>
        <rFont val="Arial"/>
        <b/>
        <color theme="1"/>
        <sz val="9.0"/>
      </rPr>
      <t>State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</si>
  <si>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</si>
  <si>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</si>
  <si>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</si>
  <si>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Date</t>
    </r>
  </si>
  <si>
    <r>
      <rPr>
        <rFont val="Arial"/>
        <b/>
        <color theme="1"/>
        <sz val="9.0"/>
      </rPr>
      <t>Date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</si>
  <si>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</si>
  <si>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Retro ?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</si>
  <si>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</si>
  <si>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</si>
  <si>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</si>
  <si>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</si>
  <si>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</si>
  <si>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</si>
  <si>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Count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</si>
  <si>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</si>
  <si>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Override</t>
    </r>
  </si>
  <si>
    <r>
      <rPr>
        <rFont val="Arial"/>
        <b/>
        <color theme="1"/>
        <sz val="9.0"/>
      </rPr>
      <t>Paid</t>
    </r>
  </si>
  <si>
    <r>
      <rPr>
        <rFont val="Arial MT"/>
        <color theme="1"/>
        <sz val="8.0"/>
      </rPr>
      <t>GA</t>
    </r>
  </si>
  <si>
    <r>
      <rPr>
        <rFont val="Arial MT"/>
        <color theme="1"/>
        <sz val="8.0"/>
      </rPr>
      <t>Coates, Frida</t>
    </r>
  </si>
  <si>
    <r>
      <rPr>
        <rFont val="Arial MT"/>
        <color theme="1"/>
        <sz val="8.0"/>
      </rPr>
      <t>Core Bronze HMO 7500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</si>
  <si>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</si>
  <si>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</si>
  <si>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</si>
  <si>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GA</t>
    </r>
  </si>
  <si>
    <r>
      <rPr>
        <rFont val="Arial MT"/>
        <color theme="1"/>
        <sz val="8.0"/>
      </rPr>
      <t>Crowe, Gary M.</t>
    </r>
  </si>
  <si>
    <r>
      <rPr>
        <rFont val="Arial MT"/>
        <color theme="1"/>
        <sz val="8.0"/>
      </rPr>
      <t>Core Bronze HMO 7500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</si>
  <si>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</si>
  <si>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</si>
  <si>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</si>
  <si>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GA</t>
    </r>
  </si>
  <si>
    <r>
      <rPr>
        <rFont val="Arial MT"/>
        <color theme="1"/>
        <sz val="8.0"/>
      </rPr>
      <t>Robles, Caroline</t>
    </r>
  </si>
  <si>
    <r>
      <rPr>
        <rFont val="Arial MT"/>
        <color theme="1"/>
        <sz val="8.0"/>
      </rPr>
      <t>Core Bronze HMO 7500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</si>
  <si>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</si>
  <si>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</si>
  <si>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</si>
  <si>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</si>
  <si>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Hartman, Jerry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</si>
  <si>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</si>
  <si>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</si>
  <si>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</si>
  <si>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</si>
  <si>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</si>
  <si>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Zollars, Samuel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</si>
  <si>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</si>
  <si>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</si>
  <si>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</si>
  <si>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</si>
  <si>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</si>
  <si>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Beach, Sherry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</si>
  <si>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</si>
  <si>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</si>
  <si>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</si>
  <si>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</si>
  <si>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</si>
  <si>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Kissel, Amy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</si>
  <si>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</si>
  <si>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</si>
  <si>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</si>
  <si>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</si>
  <si>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IN</t>
    </r>
  </si>
  <si>
    <r>
      <rPr>
        <rFont val="Arial MT"/>
        <color theme="1"/>
        <sz val="8.0"/>
      </rPr>
      <t>Kissel, Seth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</si>
  <si>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</si>
  <si>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</si>
  <si>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</si>
  <si>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</si>
  <si>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OH</t>
    </r>
  </si>
  <si>
    <r>
      <rPr>
        <rFont val="Arial MT"/>
        <color theme="1"/>
        <sz val="8.0"/>
      </rPr>
      <t>Dello, Jackie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</si>
  <si>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</si>
  <si>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</si>
  <si>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</si>
  <si>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</si>
  <si>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OH</t>
    </r>
  </si>
  <si>
    <r>
      <rPr>
        <rFont val="Arial MT"/>
        <color theme="1"/>
        <sz val="8.0"/>
      </rPr>
      <t>Mariner, Don J.</t>
    </r>
  </si>
  <si>
    <r>
      <rPr>
        <rFont val="Arial MT"/>
        <color theme="1"/>
        <sz val="8.0"/>
      </rPr>
      <t>Healthy Heart Silver 4600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</si>
  <si>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</si>
  <si>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</si>
  <si>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</si>
  <si>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OH</t>
    </r>
  </si>
  <si>
    <r>
      <rPr>
        <rFont val="Arial MT"/>
        <color theme="1"/>
        <sz val="8.0"/>
      </rPr>
      <t>Stevanus, Christopher</t>
    </r>
  </si>
  <si>
    <r>
      <rPr>
        <rFont val="Arial MT"/>
        <color theme="1"/>
        <sz val="8.0"/>
      </rPr>
      <t>Bronze 7500 $25 Generic</t>
    </r>
  </si>
  <si>
    <r>
      <rPr>
        <rFont val="Arial MT"/>
        <color theme="1"/>
        <sz val="8.0"/>
      </rPr>
      <t>03/2026</t>
    </r>
  </si>
  <si>
    <r>
      <rPr>
        <rFont val="Arial MT"/>
        <color theme="1"/>
        <sz val="8.0"/>
      </rPr>
      <t>N</t>
    </r>
  </si>
  <si>
    <r>
      <rPr>
        <rFont val="Arial MT"/>
        <color theme="1"/>
        <sz val="8.0"/>
      </rPr>
      <t>N</t>
    </r>
  </si>
  <si>
    <r>
      <rPr>
        <rFont val="Arial"/>
        <b/>
        <color theme="1"/>
        <sz val="9.0"/>
      </rPr>
      <t>Total for Renewals</t>
    </r>
  </si>
  <si>
    <r>
      <rPr>
        <rFont val="Arial"/>
        <b/>
        <color theme="1"/>
        <sz val="9.0"/>
      </rPr>
      <t>Total for Writing Producer</t>
    </r>
  </si>
  <si>
    <r>
      <rPr>
        <rFont val="Arial"/>
        <b/>
        <color theme="1"/>
        <sz val="9.0"/>
      </rPr>
      <t>Caltagirone, Ryan J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</si>
</sst>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\$0.00"/>
    <numFmt numFmtId="165" formatCode="\$#,##0.00"/>
    <numFmt numFmtId="166" formatCode="mm/dd/yyyy"/>
    <numFmt numFmtId="167" formatCode="\$\ #,##0.00"/>
    <numFmt numFmtId="168" formatCode="\$\ 0.00"/>
  </numFmts>
  <fonts count="9">
    <font>
      <sz val="10.0"/>
      <color rgb="FF000000"/>
      <name val="Times New Roman"/>
      <scheme val="minor"/>
    </font>
    <font>
      <b/>
      <sz val="10.0"/>
      <color theme="1"/>
      <name val="Arial"/>
    </font>
    <font/>
    <font>
      <sz val="10.0"/>
      <color rgb="FF000000"/>
      <name val="Times New Roman"/>
    </font>
    <font>
      <b/>
      <sz val="9.0"/>
      <color theme="1"/>
      <name val="Arial"/>
    </font>
    <font>
      <b/>
      <sz val="11.0"/>
      <color theme="1"/>
      <name val="Arial"/>
    </font>
    <font>
      <b/>
      <sz val="9.0"/>
      <color rgb="FF000000"/>
      <name val="Arial"/>
    </font>
    <font>
      <sz val="8.0"/>
      <color theme="1"/>
      <name val="Arial"/>
    </font>
    <font>
      <sz val="8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AA4EE"/>
        <bgColor rgb="FF5AA4EE"/>
      </patternFill>
    </fill>
    <fill>
      <patternFill patternType="solid">
        <fgColor rgb="FFCADACE"/>
        <bgColor rgb="FFCADACE"/>
      </patternFill>
    </fill>
    <fill>
      <patternFill patternType="solid">
        <fgColor rgb="FF92AA9B"/>
        <bgColor rgb="FF92AA9B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top style="thin">
        <color rgb="FF00000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righ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horizontal="center" shrinkToFit="0" vertical="top" wrapText="1"/>
    </xf>
    <xf borderId="0" fillId="0" fontId="6" numFmtId="164" xfId="0" applyAlignment="1" applyFont="1" applyNumberFormat="1">
      <alignment horizontal="right" shrinkToFit="1" vertical="top" wrapText="0"/>
    </xf>
    <xf borderId="4" fillId="3" fontId="4" numFmtId="0" xfId="0" applyAlignment="1" applyBorder="1" applyFill="1" applyFont="1">
      <alignment horizontal="left" shrinkToFit="0" vertical="top" wrapText="1"/>
    </xf>
    <xf borderId="4" fillId="3" fontId="6" numFmtId="165" xfId="0" applyAlignment="1" applyBorder="1" applyFont="1" applyNumberFormat="1">
      <alignment horizontal="right" shrinkToFit="1" vertical="top" wrapText="0"/>
    </xf>
    <xf borderId="4" fillId="3" fontId="6" numFmtId="164" xfId="0" applyAlignment="1" applyBorder="1" applyFont="1" applyNumberFormat="1">
      <alignment horizontal="right" shrinkToFit="1" vertical="top" wrapText="0"/>
    </xf>
    <xf borderId="5" fillId="0" fontId="6" numFmtId="164" xfId="0" applyAlignment="1" applyBorder="1" applyFont="1" applyNumberFormat="1">
      <alignment horizontal="right" shrinkToFit="1" vertical="top" wrapText="0"/>
    </xf>
    <xf borderId="6" fillId="0" fontId="6" numFmtId="165" xfId="0" applyAlignment="1" applyBorder="1" applyFont="1" applyNumberFormat="1">
      <alignment horizontal="right" shrinkToFit="1" vertical="top" wrapText="0"/>
    </xf>
    <xf borderId="0" fillId="0" fontId="6" numFmtId="165" xfId="0" applyAlignment="1" applyFont="1" applyNumberFormat="1">
      <alignment horizontal="right" shrinkToFit="1" vertical="top" wrapText="0"/>
    </xf>
    <xf borderId="1" fillId="2" fontId="1" numFmtId="0" xfId="0" applyAlignment="1" applyBorder="1" applyFont="1">
      <alignment horizontal="left" readingOrder="0" shrinkToFit="0" vertical="top" wrapText="1"/>
    </xf>
    <xf borderId="7" fillId="4" fontId="1" numFmtId="0" xfId="0" applyAlignment="1" applyBorder="1" applyFill="1" applyFont="1">
      <alignment horizontal="center" shrinkToFit="0" vertical="top" wrapText="1"/>
    </xf>
    <xf borderId="8" fillId="0" fontId="2" numFmtId="0" xfId="0" applyAlignment="1" applyBorder="1" applyFont="1">
      <alignment horizontal="left" vertical="top"/>
    </xf>
    <xf borderId="9" fillId="0" fontId="2" numFmtId="0" xfId="0" applyAlignment="1" applyBorder="1" applyFont="1">
      <alignment horizontal="left" vertical="top"/>
    </xf>
    <xf borderId="5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left" shrinkToFit="0" vertical="top" wrapText="1"/>
    </xf>
    <xf borderId="5" fillId="0" fontId="3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shrinkToFit="0" vertical="top" wrapText="1"/>
    </xf>
    <xf borderId="6" fillId="0" fontId="7" numFmtId="0" xfId="0" applyAlignment="1" applyBorder="1" applyFont="1">
      <alignment horizontal="center" shrinkToFit="0" vertical="top" wrapText="1"/>
    </xf>
    <xf borderId="6" fillId="0" fontId="8" numFmtId="1" xfId="0" applyAlignment="1" applyBorder="1" applyFont="1" applyNumberFormat="1">
      <alignment horizontal="center" shrinkToFit="1" vertical="top" wrapText="0"/>
    </xf>
    <xf borderId="6" fillId="0" fontId="7" numFmtId="0" xfId="0" applyAlignment="1" applyBorder="1" applyFont="1">
      <alignment horizontal="left" shrinkToFit="0" vertical="top" wrapText="1"/>
    </xf>
    <xf borderId="6" fillId="0" fontId="8" numFmtId="166" xfId="0" applyAlignment="1" applyBorder="1" applyFont="1" applyNumberFormat="1">
      <alignment horizontal="left" shrinkToFit="1" vertical="top" wrapText="0"/>
    </xf>
    <xf borderId="6" fillId="0" fontId="3" numFmtId="0" xfId="0" applyAlignment="1" applyBorder="1" applyFont="1">
      <alignment horizontal="left" shrinkToFit="0" vertical="center" wrapText="1"/>
    </xf>
    <xf borderId="6" fillId="0" fontId="8" numFmtId="167" xfId="0" applyAlignment="1" applyBorder="1" applyFont="1" applyNumberFormat="1">
      <alignment horizontal="left" shrinkToFit="1" vertical="top" wrapText="0"/>
    </xf>
    <xf borderId="6" fillId="0" fontId="8" numFmtId="10" xfId="0" applyAlignment="1" applyBorder="1" applyFont="1" applyNumberFormat="1">
      <alignment horizontal="left" shrinkToFit="1" vertical="top" wrapText="0"/>
    </xf>
    <xf borderId="6" fillId="0" fontId="8" numFmtId="168" xfId="0" applyAlignment="1" applyBorder="1" applyFont="1" applyNumberFormat="1">
      <alignment horizontal="left" shrinkToFit="1" vertical="top" wrapText="0"/>
    </xf>
    <xf borderId="6" fillId="0" fontId="8" numFmtId="168" xfId="0" applyAlignment="1" applyBorder="1" applyFont="1" applyNumberFormat="1">
      <alignment horizontal="center" shrinkToFit="1" vertical="top" wrapText="0"/>
    </xf>
    <xf borderId="6" fillId="0" fontId="8" numFmtId="4" xfId="0" applyAlignment="1" applyBorder="1" applyFont="1" applyNumberFormat="1">
      <alignment horizontal="right" shrinkToFit="1" vertical="top" wrapText="0"/>
    </xf>
    <xf borderId="0" fillId="0" fontId="3" numFmtId="0" xfId="0" applyAlignment="1" applyFont="1">
      <alignment horizontal="left" shrinkToFit="0" vertical="bottom" wrapText="1"/>
    </xf>
    <xf borderId="0" fillId="0" fontId="6" numFmtId="168" xfId="0" applyAlignment="1" applyFont="1" applyNumberFormat="1">
      <alignment horizontal="right" shrinkToFit="1" vertical="top" wrapText="0"/>
    </xf>
    <xf borderId="6" fillId="0" fontId="3" numFmtId="0" xfId="0" applyAlignment="1" applyBorder="1" applyFont="1">
      <alignment horizontal="left" shrinkToFit="0" vertical="bottom" wrapText="1"/>
    </xf>
    <xf borderId="4" fillId="3" fontId="7" numFmtId="0" xfId="0" applyAlignment="1" applyBorder="1" applyFont="1">
      <alignment horizontal="center" shrinkToFit="0" vertical="top" wrapText="1"/>
    </xf>
    <xf borderId="4" fillId="3" fontId="8" numFmtId="1" xfId="0" applyAlignment="1" applyBorder="1" applyFont="1" applyNumberFormat="1">
      <alignment horizontal="center" shrinkToFit="1" vertical="top" wrapText="0"/>
    </xf>
    <xf borderId="4" fillId="3" fontId="7" numFmtId="0" xfId="0" applyAlignment="1" applyBorder="1" applyFont="1">
      <alignment horizontal="left" shrinkToFit="0" vertical="top" wrapText="1"/>
    </xf>
    <xf borderId="4" fillId="3" fontId="8" numFmtId="166" xfId="0" applyAlignment="1" applyBorder="1" applyFont="1" applyNumberFormat="1">
      <alignment horizontal="center" shrinkToFit="1" vertical="top" wrapText="0"/>
    </xf>
    <xf borderId="4" fillId="3" fontId="3" numFmtId="0" xfId="0" applyAlignment="1" applyBorder="1" applyFont="1">
      <alignment horizontal="left" shrinkToFit="0" vertical="bottom" wrapText="1"/>
    </xf>
    <xf borderId="4" fillId="3" fontId="8" numFmtId="167" xfId="0" applyAlignment="1" applyBorder="1" applyFont="1" applyNumberFormat="1">
      <alignment horizontal="left" shrinkToFit="1" vertical="top" wrapText="0"/>
    </xf>
    <xf borderId="4" fillId="3" fontId="8" numFmtId="10" xfId="0" applyAlignment="1" applyBorder="1" applyFont="1" applyNumberFormat="1">
      <alignment horizontal="right" shrinkToFit="1" vertical="top" wrapText="0"/>
    </xf>
    <xf borderId="4" fillId="3" fontId="8" numFmtId="168" xfId="0" applyAlignment="1" applyBorder="1" applyFont="1" applyNumberFormat="1">
      <alignment horizontal="right" shrinkToFit="1" vertical="top" wrapText="0"/>
    </xf>
    <xf borderId="4" fillId="3" fontId="8" numFmtId="168" xfId="0" applyAlignment="1" applyBorder="1" applyFont="1" applyNumberFormat="1">
      <alignment horizontal="center" shrinkToFit="1" vertical="top" wrapText="0"/>
    </xf>
    <xf borderId="4" fillId="3" fontId="8" numFmtId="4" xfId="0" applyAlignment="1" applyBorder="1" applyFont="1" applyNumberFormat="1">
      <alignment horizontal="right" shrinkToFit="1" vertical="top" wrapText="0"/>
    </xf>
    <xf borderId="10" fillId="4" fontId="3" numFmtId="0" xfId="0" applyAlignment="1" applyBorder="1" applyFont="1">
      <alignment horizontal="left" shrinkToFit="0" vertical="bottom" wrapText="1"/>
    </xf>
    <xf borderId="10" fillId="4" fontId="1" numFmtId="0" xfId="0" applyAlignment="1" applyBorder="1" applyFont="1">
      <alignment horizontal="left" shrinkToFit="0" vertical="top" wrapText="1"/>
    </xf>
    <xf borderId="6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center" shrinkToFit="0" vertical="top" wrapText="1"/>
    </xf>
    <xf borderId="6" fillId="0" fontId="8" numFmtId="166" xfId="0" applyAlignment="1" applyBorder="1" applyFont="1" applyNumberFormat="1">
      <alignment horizontal="center" shrinkToFit="1" vertical="top" wrapText="0"/>
    </xf>
    <xf borderId="6" fillId="0" fontId="8" numFmtId="10" xfId="0" applyAlignment="1" applyBorder="1" applyFont="1" applyNumberFormat="1">
      <alignment horizontal="right" shrinkToFit="1" vertical="top" wrapText="0"/>
    </xf>
    <xf borderId="6" fillId="0" fontId="8" numFmtId="168" xfId="0" applyAlignment="1" applyBorder="1" applyFont="1" applyNumberFormat="1">
      <alignment horizontal="right" shrinkToFit="1" vertical="top" wrapText="0"/>
    </xf>
    <xf borderId="0" fillId="0" fontId="7" numFmtId="0" xfId="0" applyAlignment="1" applyFont="1">
      <alignment horizontal="center" shrinkToFit="0" vertical="top" wrapText="1"/>
    </xf>
    <xf borderId="0" fillId="0" fontId="8" numFmtId="1" xfId="0" applyAlignment="1" applyFont="1" applyNumberFormat="1">
      <alignment horizontal="center" shrinkToFit="1" vertical="top" wrapText="0"/>
    </xf>
    <xf borderId="0" fillId="0" fontId="7" numFmtId="0" xfId="0" applyAlignment="1" applyFont="1">
      <alignment horizontal="left" shrinkToFit="0" vertical="top" wrapText="1"/>
    </xf>
    <xf borderId="0" fillId="0" fontId="8" numFmtId="166" xfId="0" applyAlignment="1" applyFont="1" applyNumberFormat="1">
      <alignment horizontal="center" shrinkToFit="1" vertical="top" wrapText="0"/>
    </xf>
    <xf borderId="0" fillId="0" fontId="8" numFmtId="168" xfId="0" applyAlignment="1" applyFont="1" applyNumberFormat="1">
      <alignment horizontal="right" shrinkToFit="1" vertical="top" wrapText="0"/>
    </xf>
    <xf borderId="0" fillId="0" fontId="8" numFmtId="10" xfId="0" applyAlignment="1" applyFont="1" applyNumberFormat="1">
      <alignment horizontal="right" shrinkToFit="1" vertical="top" wrapText="0"/>
    </xf>
    <xf borderId="0" fillId="0" fontId="8" numFmtId="168" xfId="0" applyAlignment="1" applyFont="1" applyNumberFormat="1">
      <alignment horizontal="center" shrinkToFit="1" vertical="top" wrapText="0"/>
    </xf>
    <xf borderId="0" fillId="0" fontId="8" numFmtId="4" xfId="0" applyAlignment="1" applyFont="1" applyNumberFormat="1">
      <alignment horizontal="right" shrinkToFit="1" vertical="top" wrapText="0"/>
    </xf>
    <xf borderId="0" fillId="0" fontId="8" numFmtId="167" xfId="0" applyAlignment="1" applyFont="1" applyNumberFormat="1">
      <alignment horizontal="right" shrinkToFit="1" vertical="top" wrapText="0"/>
    </xf>
    <xf borderId="4" fillId="3" fontId="8" numFmtId="167" xfId="0" applyAlignment="1" applyBorder="1" applyFont="1" applyNumberFormat="1">
      <alignment horizontal="right" shrinkToFit="1" vertical="top" wrapText="0"/>
    </xf>
    <xf borderId="0" fillId="0" fontId="4" numFmtId="0" xfId="0" applyAlignment="1" applyFont="1">
      <alignment horizontal="center" shrinkToFit="0" vertical="top" wrapText="1"/>
    </xf>
    <xf borderId="5" fillId="0" fontId="2" numFmtId="0" xfId="0" applyAlignment="1" applyBorder="1" applyFont="1">
      <alignment horizontal="left" vertical="top"/>
    </xf>
    <xf borderId="0" fillId="0" fontId="8" numFmtId="1" xfId="0" applyAlignment="1" applyFont="1" applyNumberFormat="1">
      <alignment horizontal="left" shrinkToFit="1" vertical="top" wrapText="0"/>
    </xf>
    <xf borderId="0" fillId="0" fontId="7" numFmtId="0" xfId="0" applyAlignment="1" applyFont="1">
      <alignment horizontal="right" shrinkToFit="0" vertical="top" wrapText="1"/>
    </xf>
    <xf borderId="0" fillId="0" fontId="8" numFmtId="166" xfId="0" applyAlignment="1" applyFont="1" applyNumberFormat="1">
      <alignment horizontal="left" shrinkToFit="1" vertical="top" wrapText="0"/>
    </xf>
    <xf borderId="0" fillId="0" fontId="8" numFmtId="167" xfId="0" applyAlignment="1" applyFont="1" applyNumberFormat="1">
      <alignment horizontal="center" shrinkToFit="1" vertical="top" wrapText="0"/>
    </xf>
    <xf borderId="4" fillId="3" fontId="8" numFmtId="1" xfId="0" applyAlignment="1" applyBorder="1" applyFont="1" applyNumberFormat="1">
      <alignment horizontal="left" shrinkToFit="1" vertical="top" wrapText="0"/>
    </xf>
    <xf borderId="4" fillId="3" fontId="7" numFmtId="0" xfId="0" applyAlignment="1" applyBorder="1" applyFont="1">
      <alignment horizontal="right" shrinkToFit="0" vertical="top" wrapText="1"/>
    </xf>
    <xf borderId="1" fillId="3" fontId="8" numFmtId="166" xfId="0" applyAlignment="1" applyBorder="1" applyFont="1" applyNumberFormat="1">
      <alignment horizontal="left" shrinkToFit="1" vertical="top" wrapText="0"/>
    </xf>
    <xf borderId="4" fillId="3" fontId="8" numFmtId="167" xfId="0" applyAlignment="1" applyBorder="1" applyFont="1" applyNumberFormat="1">
      <alignment horizontal="center" shrinkToFit="1" vertical="top" wrapText="0"/>
    </xf>
    <xf borderId="0" fillId="0" fontId="4" numFmtId="0" xfId="0" applyAlignment="1" applyFont="1">
      <alignment horizontal="right" shrinkToFit="0" vertical="top" wrapText="1"/>
    </xf>
    <xf borderId="4" fillId="3" fontId="8" numFmtId="166" xfId="0" applyAlignment="1" applyBorder="1" applyFont="1" applyNumberFormat="1">
      <alignment horizontal="left" shrinkToFit="1" vertical="top" wrapText="0"/>
    </xf>
    <xf borderId="4" fillId="3" fontId="8" numFmtId="4" xfId="0" applyAlignment="1" applyBorder="1" applyFont="1" applyNumberFormat="1">
      <alignment horizontal="left" shrinkToFit="1" vertical="top" wrapText="0"/>
    </xf>
    <xf borderId="4" fillId="3" fontId="8" numFmtId="10" xfId="0" applyAlignment="1" applyBorder="1" applyFont="1" applyNumberFormat="1">
      <alignment horizontal="left" shrinkToFit="1" vertical="top" wrapText="0"/>
    </xf>
    <xf borderId="4" fillId="3" fontId="8" numFmtId="168" xfId="0" applyAlignment="1" applyBorder="1" applyFont="1" applyNumberFormat="1">
      <alignment horizontal="left" shrinkToFit="1" vertical="top" wrapText="0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top" wrapText="1"/>
    </xf>
    <xf borderId="6" fillId="0" fontId="8" numFmtId="4" xfId="0" applyAlignment="1" applyBorder="1" applyFont="1" applyNumberFormat="1">
      <alignment horizontal="left" shrinkToFit="1" vertical="top" wrapText="0"/>
    </xf>
    <xf borderId="7" fillId="4" fontId="3" numFmtId="0" xfId="0" applyAlignment="1" applyBorder="1" applyFont="1">
      <alignment horizontal="left" shrinkToFit="0" vertical="bottom" wrapText="1"/>
    </xf>
    <xf borderId="11" fillId="0" fontId="4" numFmtId="0" xfId="0" applyAlignment="1" applyBorder="1" applyFont="1">
      <alignment horizontal="center" shrinkToFit="0" vertical="bottom" wrapText="1"/>
    </xf>
    <xf borderId="11" fillId="0" fontId="4" numFmtId="0" xfId="0" applyAlignment="1" applyBorder="1" applyFont="1">
      <alignment horizontal="left" shrinkToFit="0" vertical="bottom" wrapText="1"/>
    </xf>
    <xf borderId="11" fillId="0" fontId="4" numFmtId="0" xfId="0" applyAlignment="1" applyBorder="1" applyFont="1">
      <alignment horizontal="left" shrinkToFit="0" vertical="center" wrapText="1"/>
    </xf>
    <xf borderId="11" fillId="0" fontId="4" numFmtId="0" xfId="0" applyAlignment="1" applyBorder="1" applyFont="1">
      <alignment horizontal="left" shrinkToFit="0" vertical="top" wrapText="1"/>
    </xf>
    <xf borderId="11" fillId="0" fontId="3" numFmtId="0" xfId="0" applyAlignment="1" applyBorder="1" applyFont="1">
      <alignment horizontal="left" shrinkToFit="0" vertical="top" wrapText="1"/>
    </xf>
    <xf borderId="11" fillId="0" fontId="3" numFmtId="0" xfId="0" applyAlignment="1" applyBorder="1" applyFont="1">
      <alignment horizontal="center" shrinkToFit="0" vertical="top" wrapText="1"/>
    </xf>
    <xf borderId="11" fillId="0" fontId="4" numFmtId="0" xfId="0" applyAlignment="1" applyBorder="1" applyFont="1">
      <alignment horizontal="center" shrinkToFit="0" vertical="top" wrapText="1"/>
    </xf>
    <xf borderId="6" fillId="0" fontId="2" numFmtId="0" xfId="0" applyAlignment="1" applyBorder="1" applyFont="1">
      <alignment horizontal="left" vertical="top"/>
    </xf>
    <xf borderId="1" fillId="3" fontId="7" numFmtId="0" xfId="0" applyAlignment="1" applyBorder="1" applyFont="1">
      <alignment horizontal="left" shrinkToFit="0" vertical="top" wrapText="1"/>
    </xf>
    <xf borderId="0" fillId="0" fontId="8" numFmtId="168" xfId="0" applyAlignment="1" applyFont="1" applyNumberFormat="1">
      <alignment horizontal="left" shrinkToFit="1" vertical="top" wrapText="0"/>
    </xf>
    <xf borderId="0" fillId="0" fontId="8" numFmtId="167" xfId="0" applyAlignment="1" applyFont="1" applyNumberFormat="1">
      <alignment horizontal="left" shrinkToFit="1" vertical="top" wrapText="0"/>
    </xf>
    <xf borderId="0" fillId="0" fontId="8" numFmtId="4" xfId="0" applyAlignment="1" applyFont="1" applyNumberFormat="1">
      <alignment horizontal="left" shrinkToFit="1" vertical="top" wrapText="0"/>
    </xf>
    <xf borderId="0" fillId="0" fontId="6" numFmtId="1" xfId="0" applyAlignment="1" applyFont="1" applyNumberFormat="1">
      <alignment horizontal="left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1162050</xdr:colOff>
      <xdr:row>1</xdr:row>
      <xdr:rowOff>619125</xdr:rowOff>
    </xdr:from>
    <xdr:ext cx="1076325" cy="38100"/>
    <xdr:sp>
      <xdr:nvSpPr>
        <xdr:cNvPr id="3" name="Shape 3"/>
        <xdr:cNvSpPr/>
      </xdr:nvSpPr>
      <xdr:spPr>
        <a:xfrm>
          <a:off x="4806250" y="3780000"/>
          <a:ext cx="1079500" cy="0"/>
        </a:xfrm>
        <a:custGeom>
          <a:rect b="b" l="l" r="r" t="t"/>
          <a:pathLst>
            <a:path extrusionOk="0" h="120000" w="1079500">
              <a:moveTo>
                <a:pt x="0" y="0"/>
              </a:moveTo>
              <a:lnTo>
                <a:pt x="1079500" y="0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86"/>
    <col customWidth="1" min="2" max="2" width="21.14"/>
    <col customWidth="1" min="3" max="3" width="21.86"/>
    <col customWidth="1" min="4" max="4" width="99.43"/>
    <col customWidth="1" min="5" max="5" width="2.0"/>
    <col customWidth="1" min="6" max="26" width="8.71"/>
  </cols>
  <sheetData>
    <row r="1" ht="15.0" customHeight="1">
      <c r="A1" s="1" t="s">
        <v>0</v>
      </c>
      <c r="B1" s="2"/>
      <c r="C1" s="2"/>
      <c r="D1" s="3"/>
    </row>
    <row r="2" ht="51.0" customHeight="1">
      <c r="A2" s="4" t="s">
        <v>1</v>
      </c>
      <c r="D2" s="5" t="s">
        <v>2</v>
      </c>
    </row>
    <row r="3" ht="12.75" customHeight="1">
      <c r="A3" s="6" t="s">
        <v>3</v>
      </c>
    </row>
    <row r="4" ht="12.75" customHeight="1">
      <c r="A4" s="6" t="s">
        <v>4</v>
      </c>
    </row>
    <row r="5" ht="15.75" customHeight="1">
      <c r="A5" s="7" t="s">
        <v>5</v>
      </c>
    </row>
    <row r="6" ht="12.75" customHeight="1">
      <c r="A6" s="6" t="s">
        <v>6</v>
      </c>
      <c r="B6" s="8">
        <v>0.0</v>
      </c>
    </row>
    <row r="7" ht="12.75" customHeight="1">
      <c r="A7" s="9" t="s">
        <v>7</v>
      </c>
      <c r="B7" s="10">
        <v>1748.09</v>
      </c>
    </row>
    <row r="8" ht="12.75" customHeight="1">
      <c r="A8" s="6" t="s">
        <v>8</v>
      </c>
      <c r="B8" s="8">
        <v>0.0</v>
      </c>
    </row>
    <row r="9" ht="12.75" customHeight="1">
      <c r="A9" s="9" t="s">
        <v>9</v>
      </c>
      <c r="B9" s="11">
        <v>0.0</v>
      </c>
    </row>
    <row r="10" ht="12.75" customHeight="1">
      <c r="A10" s="6" t="s">
        <v>10</v>
      </c>
      <c r="B10" s="12">
        <v>0.0</v>
      </c>
    </row>
    <row r="11" ht="17.25" customHeight="1">
      <c r="A11" s="6" t="s">
        <v>11</v>
      </c>
      <c r="B11" s="13">
        <v>1748.09</v>
      </c>
    </row>
    <row r="12" ht="18.0" customHeight="1">
      <c r="A12" s="6" t="s">
        <v>12</v>
      </c>
      <c r="B12" s="14">
        <v>1748.09</v>
      </c>
    </row>
    <row r="13" ht="12.75" customHeight="1">
      <c r="A13" s="6" t="s">
        <v>13</v>
      </c>
      <c r="B13" s="8">
        <v>0.0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A1:D1"/>
    <mergeCell ref="A2:C2"/>
    <mergeCell ref="D2:E2"/>
    <mergeCell ref="A3:E3"/>
    <mergeCell ref="A4:E4"/>
    <mergeCell ref="A5:E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3" width="12.71"/>
    <col customWidth="1" min="4" max="4" width="20.0"/>
    <col customWidth="1" min="5" max="5" width="24.43"/>
    <col customWidth="1" min="6" max="6" width="10.43"/>
    <col customWidth="1" min="7" max="7" width="13.29"/>
    <col customWidth="1" min="8" max="8" width="8.43"/>
    <col customWidth="1" min="9" max="9" width="8.86"/>
    <col customWidth="1" min="10" max="10" width="12.43"/>
    <col customWidth="1" min="11" max="11" width="10.71"/>
    <col customWidth="1" min="12" max="12" width="14.71"/>
    <col customWidth="1" min="13" max="13" width="8.14"/>
    <col customWidth="1" min="14" max="14" width="12.71"/>
    <col customWidth="1" min="15" max="15" width="9.43"/>
    <col customWidth="1" min="16" max="16" width="10.71"/>
    <col customWidth="1" min="17" max="17" width="14.71"/>
    <col customWidth="1" min="18" max="18" width="10.71"/>
    <col customWidth="1" min="19" max="19" width="14.71"/>
    <col customWidth="1" min="20" max="20" width="4.86"/>
    <col customWidth="1" min="21" max="27" width="8.71"/>
  </cols>
  <sheetData>
    <row r="1" ht="16.5" customHeight="1">
      <c r="A1" s="15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4.25" customHeight="1">
      <c r="A2" s="16" t="s">
        <v>15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8"/>
    </row>
    <row r="3" ht="30.75" customHeight="1">
      <c r="A3" s="19" t="s">
        <v>16</v>
      </c>
      <c r="B3" s="19" t="s">
        <v>17</v>
      </c>
      <c r="C3" s="19"/>
      <c r="D3" s="20" t="s">
        <v>18</v>
      </c>
      <c r="E3" s="20" t="s">
        <v>19</v>
      </c>
      <c r="F3" s="21" t="s">
        <v>20</v>
      </c>
      <c r="G3" s="21" t="s">
        <v>21</v>
      </c>
      <c r="H3" s="19" t="s">
        <v>22</v>
      </c>
      <c r="I3" s="19" t="s">
        <v>23</v>
      </c>
      <c r="J3" s="20" t="s">
        <v>24</v>
      </c>
      <c r="K3" s="21" t="s">
        <v>25</v>
      </c>
      <c r="L3" s="22" t="s">
        <v>26</v>
      </c>
      <c r="M3" s="23" t="s">
        <v>27</v>
      </c>
      <c r="N3" s="22" t="s">
        <v>28</v>
      </c>
      <c r="O3" s="19" t="s">
        <v>29</v>
      </c>
      <c r="P3" s="21" t="s">
        <v>30</v>
      </c>
      <c r="Q3" s="22" t="s">
        <v>31</v>
      </c>
      <c r="R3" s="19" t="s">
        <v>32</v>
      </c>
      <c r="S3" s="22" t="s">
        <v>33</v>
      </c>
    </row>
    <row r="4" ht="19.5" customHeight="1">
      <c r="A4" s="24" t="s">
        <v>34</v>
      </c>
      <c r="B4" s="25">
        <v>1.11593834E8</v>
      </c>
      <c r="C4" s="25" t="str">
        <f>concat(B4,5)</f>
        <v>1115938345</v>
      </c>
      <c r="D4" s="26" t="s">
        <v>35</v>
      </c>
      <c r="E4" s="26" t="s">
        <v>36</v>
      </c>
      <c r="F4" s="27">
        <v>46023.0</v>
      </c>
      <c r="G4" s="28"/>
      <c r="H4" s="24" t="s">
        <v>37</v>
      </c>
      <c r="I4" s="24" t="s">
        <v>38</v>
      </c>
      <c r="J4" s="29">
        <v>1118.15</v>
      </c>
      <c r="K4" s="30">
        <v>0.0</v>
      </c>
      <c r="L4" s="31">
        <v>0.0</v>
      </c>
      <c r="M4" s="31">
        <v>15.0</v>
      </c>
      <c r="N4" s="31">
        <v>0.0</v>
      </c>
      <c r="O4" s="32">
        <v>15.0</v>
      </c>
      <c r="P4" s="25">
        <v>1.0</v>
      </c>
      <c r="Q4" s="31">
        <v>15.0</v>
      </c>
      <c r="R4" s="24" t="s">
        <v>39</v>
      </c>
      <c r="S4" s="33">
        <v>15.0</v>
      </c>
    </row>
    <row r="5" ht="12.75" customHeight="1">
      <c r="A5" s="34"/>
      <c r="B5" s="34"/>
      <c r="C5" s="34"/>
      <c r="D5" s="34"/>
      <c r="E5" s="6" t="s">
        <v>40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5">
        <v>15.0</v>
      </c>
    </row>
    <row r="6" ht="12.75" customHeight="1">
      <c r="A6" s="6" t="s">
        <v>41</v>
      </c>
    </row>
    <row r="7" ht="16.5" customHeight="1">
      <c r="A7" s="15" t="s">
        <v>42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3"/>
    </row>
    <row r="8" ht="14.25" customHeight="1">
      <c r="A8" s="16" t="s">
        <v>43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8"/>
    </row>
    <row r="9" ht="30.75" customHeight="1">
      <c r="A9" s="19" t="s">
        <v>44</v>
      </c>
      <c r="B9" s="19" t="s">
        <v>45</v>
      </c>
      <c r="C9" s="19"/>
      <c r="D9" s="20" t="s">
        <v>46</v>
      </c>
      <c r="E9" s="20" t="s">
        <v>47</v>
      </c>
      <c r="F9" s="21" t="s">
        <v>48</v>
      </c>
      <c r="G9" s="21" t="s">
        <v>49</v>
      </c>
      <c r="H9" s="19" t="s">
        <v>50</v>
      </c>
      <c r="I9" s="19" t="s">
        <v>51</v>
      </c>
      <c r="J9" s="20" t="s">
        <v>52</v>
      </c>
      <c r="K9" s="21" t="s">
        <v>53</v>
      </c>
      <c r="L9" s="22" t="s">
        <v>54</v>
      </c>
      <c r="M9" s="23" t="s">
        <v>55</v>
      </c>
      <c r="N9" s="22" t="s">
        <v>56</v>
      </c>
      <c r="O9" s="19" t="s">
        <v>57</v>
      </c>
      <c r="P9" s="21" t="s">
        <v>58</v>
      </c>
      <c r="Q9" s="22" t="s">
        <v>59</v>
      </c>
      <c r="R9" s="19" t="s">
        <v>60</v>
      </c>
      <c r="S9" s="22" t="s">
        <v>61</v>
      </c>
    </row>
    <row r="10" ht="5.2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</row>
    <row r="11" ht="12.0" customHeight="1">
      <c r="A11" s="37" t="s">
        <v>62</v>
      </c>
      <c r="B11" s="38">
        <v>1.12977808E8</v>
      </c>
      <c r="C11" s="25" t="str">
        <f>concat(B11,5)</f>
        <v>1129778085</v>
      </c>
      <c r="D11" s="39" t="s">
        <v>63</v>
      </c>
      <c r="E11" s="39" t="s">
        <v>64</v>
      </c>
      <c r="F11" s="40">
        <v>46023.0</v>
      </c>
      <c r="G11" s="41"/>
      <c r="H11" s="37" t="s">
        <v>65</v>
      </c>
      <c r="I11" s="37" t="s">
        <v>66</v>
      </c>
      <c r="J11" s="42">
        <v>1104.7</v>
      </c>
      <c r="K11" s="43">
        <v>0.0</v>
      </c>
      <c r="L11" s="44">
        <v>0.0</v>
      </c>
      <c r="M11" s="45">
        <v>10.0</v>
      </c>
      <c r="N11" s="45">
        <v>0.0</v>
      </c>
      <c r="O11" s="45">
        <v>10.0</v>
      </c>
      <c r="P11" s="38">
        <v>1.0</v>
      </c>
      <c r="Q11" s="45">
        <v>10.0</v>
      </c>
      <c r="R11" s="37" t="s">
        <v>67</v>
      </c>
      <c r="S11" s="46">
        <v>10.0</v>
      </c>
    </row>
    <row r="12" ht="21.75" customHeight="1">
      <c r="A12" s="6" t="s">
        <v>68</v>
      </c>
    </row>
    <row r="13" ht="14.25" customHeight="1">
      <c r="A13" s="47"/>
      <c r="B13" s="47"/>
      <c r="C13" s="47"/>
      <c r="D13" s="47"/>
      <c r="E13" s="47"/>
      <c r="F13" s="47"/>
      <c r="G13" s="47"/>
      <c r="H13" s="47"/>
      <c r="I13" s="47"/>
      <c r="J13" s="48" t="s">
        <v>69</v>
      </c>
      <c r="K13" s="47"/>
      <c r="L13" s="47"/>
      <c r="M13" s="47"/>
      <c r="N13" s="47"/>
      <c r="O13" s="47"/>
      <c r="P13" s="47"/>
      <c r="Q13" s="47"/>
      <c r="R13" s="47"/>
      <c r="S13" s="47"/>
    </row>
    <row r="14" ht="25.5" customHeight="1">
      <c r="A14" s="28"/>
      <c r="B14" s="28"/>
      <c r="C14" s="28"/>
      <c r="D14" s="28"/>
      <c r="E14" s="28"/>
      <c r="F14" s="49" t="s">
        <v>70</v>
      </c>
      <c r="G14" s="49" t="s">
        <v>71</v>
      </c>
      <c r="H14" s="28"/>
      <c r="I14" s="28"/>
      <c r="J14" s="28"/>
      <c r="K14" s="50" t="s">
        <v>72</v>
      </c>
      <c r="L14" s="51" t="s">
        <v>73</v>
      </c>
      <c r="M14" s="51" t="s">
        <v>74</v>
      </c>
      <c r="N14" s="51" t="s">
        <v>75</v>
      </c>
      <c r="O14" s="28"/>
      <c r="P14" s="49" t="s">
        <v>76</v>
      </c>
      <c r="Q14" s="51" t="s">
        <v>77</v>
      </c>
      <c r="R14" s="28"/>
      <c r="S14" s="51" t="s">
        <v>78</v>
      </c>
    </row>
    <row r="15" ht="12.75" customHeight="1">
      <c r="A15" s="52" t="s">
        <v>79</v>
      </c>
      <c r="B15" s="52" t="s">
        <v>80</v>
      </c>
      <c r="C15" s="52"/>
      <c r="D15" s="21" t="s">
        <v>81</v>
      </c>
      <c r="E15" s="21" t="s">
        <v>82</v>
      </c>
      <c r="F15" s="52" t="s">
        <v>83</v>
      </c>
      <c r="G15" s="52" t="s">
        <v>84</v>
      </c>
      <c r="H15" s="52" t="s">
        <v>85</v>
      </c>
      <c r="I15" s="52" t="s">
        <v>86</v>
      </c>
      <c r="J15" s="21" t="s">
        <v>87</v>
      </c>
      <c r="K15" s="21" t="s">
        <v>88</v>
      </c>
      <c r="L15" s="21" t="s">
        <v>89</v>
      </c>
      <c r="M15" s="52" t="s">
        <v>90</v>
      </c>
      <c r="N15" s="52" t="s">
        <v>91</v>
      </c>
      <c r="O15" s="52" t="s">
        <v>92</v>
      </c>
      <c r="P15" s="52" t="s">
        <v>93</v>
      </c>
      <c r="Q15" s="52" t="s">
        <v>94</v>
      </c>
      <c r="R15" s="52" t="s">
        <v>95</v>
      </c>
      <c r="S15" s="52" t="s">
        <v>96</v>
      </c>
    </row>
    <row r="16" ht="19.5" customHeight="1">
      <c r="A16" s="24" t="s">
        <v>97</v>
      </c>
      <c r="B16" s="25">
        <v>1.10995709E8</v>
      </c>
      <c r="C16" s="25" t="str">
        <f>concat(B16,3)</f>
        <v>1109957093</v>
      </c>
      <c r="D16" s="26" t="s">
        <v>98</v>
      </c>
      <c r="E16" s="26" t="s">
        <v>99</v>
      </c>
      <c r="F16" s="53">
        <v>46023.0</v>
      </c>
      <c r="G16" s="28"/>
      <c r="H16" s="24" t="s">
        <v>100</v>
      </c>
      <c r="I16" s="24" t="s">
        <v>101</v>
      </c>
      <c r="J16" s="29">
        <v>2093.44</v>
      </c>
      <c r="K16" s="54">
        <v>0.0</v>
      </c>
      <c r="L16" s="55">
        <v>0.0</v>
      </c>
      <c r="M16" s="32">
        <v>21.0</v>
      </c>
      <c r="N16" s="32">
        <v>0.0</v>
      </c>
      <c r="O16" s="32">
        <v>21.0</v>
      </c>
      <c r="P16" s="25">
        <v>2.0</v>
      </c>
      <c r="Q16" s="32">
        <v>42.0</v>
      </c>
      <c r="R16" s="24" t="s">
        <v>102</v>
      </c>
      <c r="S16" s="33">
        <v>42.0</v>
      </c>
    </row>
    <row r="17" ht="12.75" customHeight="1">
      <c r="A17" s="34"/>
      <c r="B17" s="34"/>
      <c r="C17" s="34"/>
      <c r="D17" s="34"/>
      <c r="E17" s="6" t="s">
        <v>103</v>
      </c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5">
        <v>42.0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A1:S1"/>
    <mergeCell ref="A2:S2"/>
    <mergeCell ref="A6:T6"/>
    <mergeCell ref="A7:S7"/>
    <mergeCell ref="A8:S8"/>
    <mergeCell ref="A12:S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3" width="12.71"/>
    <col customWidth="1" min="4" max="4" width="20.0"/>
    <col customWidth="1" min="5" max="5" width="24.43"/>
    <col customWidth="1" min="6" max="6" width="10.43"/>
    <col customWidth="1" min="7" max="7" width="13.29"/>
    <col customWidth="1" min="8" max="8" width="8.43"/>
    <col customWidth="1" min="9" max="9" width="8.86"/>
    <col customWidth="1" min="10" max="10" width="12.43"/>
    <col customWidth="1" min="11" max="11" width="10.71"/>
    <col customWidth="1" min="12" max="12" width="14.71"/>
    <col customWidth="1" min="13" max="13" width="8.14"/>
    <col customWidth="1" min="14" max="14" width="12.71"/>
    <col customWidth="1" min="15" max="15" width="9.43"/>
    <col customWidth="1" min="16" max="16" width="10.86"/>
    <col customWidth="1" min="17" max="17" width="14.43"/>
    <col customWidth="1" min="18" max="18" width="10.86"/>
    <col customWidth="1" min="19" max="19" width="14.43"/>
    <col customWidth="1" min="20" max="20" width="4.86"/>
    <col customWidth="1" min="21" max="27" width="8.71"/>
  </cols>
  <sheetData>
    <row r="1" ht="12.75" customHeight="1">
      <c r="A1" s="6" t="s">
        <v>104</v>
      </c>
    </row>
    <row r="2" ht="16.5" customHeight="1">
      <c r="A2" s="15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ht="14.25" customHeight="1">
      <c r="A3" s="16" t="s">
        <v>106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8"/>
    </row>
    <row r="4" ht="30.75" customHeight="1">
      <c r="A4" s="19" t="s">
        <v>107</v>
      </c>
      <c r="B4" s="19" t="s">
        <v>108</v>
      </c>
      <c r="C4" s="19"/>
      <c r="D4" s="20" t="s">
        <v>109</v>
      </c>
      <c r="E4" s="20" t="s">
        <v>110</v>
      </c>
      <c r="F4" s="21" t="s">
        <v>111</v>
      </c>
      <c r="G4" s="21" t="s">
        <v>112</v>
      </c>
      <c r="H4" s="19" t="s">
        <v>113</v>
      </c>
      <c r="I4" s="19" t="s">
        <v>114</v>
      </c>
      <c r="J4" s="20" t="s">
        <v>115</v>
      </c>
      <c r="K4" s="21" t="s">
        <v>116</v>
      </c>
      <c r="L4" s="22" t="s">
        <v>117</v>
      </c>
      <c r="M4" s="23" t="s">
        <v>118</v>
      </c>
      <c r="N4" s="22" t="s">
        <v>119</v>
      </c>
      <c r="O4" s="19" t="s">
        <v>120</v>
      </c>
      <c r="P4" s="21" t="s">
        <v>121</v>
      </c>
      <c r="Q4" s="22" t="s">
        <v>122</v>
      </c>
      <c r="R4" s="19" t="s">
        <v>123</v>
      </c>
      <c r="S4" s="22" t="s">
        <v>124</v>
      </c>
    </row>
    <row r="5" ht="5.2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</row>
    <row r="6" ht="12.0" customHeight="1">
      <c r="A6" s="37" t="s">
        <v>125</v>
      </c>
      <c r="B6" s="38">
        <v>1.09548205E8</v>
      </c>
      <c r="C6" s="25" t="str">
        <f t="shared" ref="C6:C11" si="1">concat(B6,3)</f>
        <v>1095482053</v>
      </c>
      <c r="D6" s="39" t="s">
        <v>126</v>
      </c>
      <c r="E6" s="39" t="s">
        <v>127</v>
      </c>
      <c r="F6" s="40">
        <v>46023.0</v>
      </c>
      <c r="G6" s="41"/>
      <c r="H6" s="37" t="s">
        <v>128</v>
      </c>
      <c r="I6" s="37" t="s">
        <v>129</v>
      </c>
      <c r="J6" s="44">
        <v>453.56</v>
      </c>
      <c r="K6" s="43">
        <v>0.0</v>
      </c>
      <c r="L6" s="44">
        <v>0.0</v>
      </c>
      <c r="M6" s="45">
        <v>21.0</v>
      </c>
      <c r="N6" s="45">
        <v>0.0</v>
      </c>
      <c r="O6" s="45">
        <v>21.0</v>
      </c>
      <c r="P6" s="38">
        <v>1.0</v>
      </c>
      <c r="Q6" s="45">
        <v>21.0</v>
      </c>
      <c r="R6" s="37" t="s">
        <v>130</v>
      </c>
      <c r="S6" s="46">
        <v>21.0</v>
      </c>
    </row>
    <row r="7" ht="12.0" customHeight="1">
      <c r="A7" s="56" t="s">
        <v>131</v>
      </c>
      <c r="B7" s="57">
        <v>1.10527031E8</v>
      </c>
      <c r="C7" s="25" t="str">
        <f t="shared" si="1"/>
        <v>1105270313</v>
      </c>
      <c r="D7" s="58" t="s">
        <v>132</v>
      </c>
      <c r="E7" s="58" t="s">
        <v>133</v>
      </c>
      <c r="F7" s="59">
        <v>46023.0</v>
      </c>
      <c r="G7" s="34"/>
      <c r="H7" s="56" t="s">
        <v>134</v>
      </c>
      <c r="I7" s="56" t="s">
        <v>135</v>
      </c>
      <c r="J7" s="60">
        <v>488.45</v>
      </c>
      <c r="K7" s="61">
        <v>0.0</v>
      </c>
      <c r="L7" s="60">
        <v>0.0</v>
      </c>
      <c r="M7" s="62">
        <v>21.0</v>
      </c>
      <c r="N7" s="62">
        <v>0.0</v>
      </c>
      <c r="O7" s="62">
        <v>21.0</v>
      </c>
      <c r="P7" s="57">
        <v>1.0</v>
      </c>
      <c r="Q7" s="62">
        <v>21.0</v>
      </c>
      <c r="R7" s="56" t="s">
        <v>136</v>
      </c>
      <c r="S7" s="63">
        <v>21.0</v>
      </c>
    </row>
    <row r="8" ht="12.0" customHeight="1">
      <c r="A8" s="37" t="s">
        <v>137</v>
      </c>
      <c r="B8" s="38">
        <v>1.10640477E8</v>
      </c>
      <c r="C8" s="25" t="str">
        <f t="shared" si="1"/>
        <v>1106404773</v>
      </c>
      <c r="D8" s="39" t="s">
        <v>138</v>
      </c>
      <c r="E8" s="39" t="s">
        <v>139</v>
      </c>
      <c r="F8" s="40">
        <v>46023.0</v>
      </c>
      <c r="G8" s="41"/>
      <c r="H8" s="37" t="s">
        <v>140</v>
      </c>
      <c r="I8" s="37" t="s">
        <v>141</v>
      </c>
      <c r="J8" s="44">
        <v>782.2</v>
      </c>
      <c r="K8" s="43">
        <v>0.0</v>
      </c>
      <c r="L8" s="44">
        <v>0.0</v>
      </c>
      <c r="M8" s="45">
        <v>21.0</v>
      </c>
      <c r="N8" s="45">
        <v>0.0</v>
      </c>
      <c r="O8" s="45">
        <v>21.0</v>
      </c>
      <c r="P8" s="38">
        <v>1.0</v>
      </c>
      <c r="Q8" s="45">
        <v>21.0</v>
      </c>
      <c r="R8" s="37" t="s">
        <v>142</v>
      </c>
      <c r="S8" s="46">
        <v>21.0</v>
      </c>
    </row>
    <row r="9" ht="12.0" customHeight="1">
      <c r="A9" s="56" t="s">
        <v>143</v>
      </c>
      <c r="B9" s="57">
        <v>1.11045742E8</v>
      </c>
      <c r="C9" s="25" t="str">
        <f t="shared" si="1"/>
        <v>1110457423</v>
      </c>
      <c r="D9" s="58" t="s">
        <v>144</v>
      </c>
      <c r="E9" s="58" t="s">
        <v>145</v>
      </c>
      <c r="F9" s="59">
        <v>46023.0</v>
      </c>
      <c r="G9" s="34"/>
      <c r="H9" s="56" t="s">
        <v>146</v>
      </c>
      <c r="I9" s="56" t="s">
        <v>147</v>
      </c>
      <c r="J9" s="64">
        <v>1099.11</v>
      </c>
      <c r="K9" s="61">
        <v>0.0</v>
      </c>
      <c r="L9" s="60">
        <v>0.0</v>
      </c>
      <c r="M9" s="62">
        <v>21.0</v>
      </c>
      <c r="N9" s="62">
        <v>0.0</v>
      </c>
      <c r="O9" s="62">
        <v>21.0</v>
      </c>
      <c r="P9" s="57">
        <v>1.0</v>
      </c>
      <c r="Q9" s="62">
        <v>21.0</v>
      </c>
      <c r="R9" s="56" t="s">
        <v>148</v>
      </c>
      <c r="S9" s="63">
        <v>21.0</v>
      </c>
    </row>
    <row r="10" ht="12.0" customHeight="1">
      <c r="A10" s="37" t="s">
        <v>149</v>
      </c>
      <c r="B10" s="38">
        <v>1.11045799E8</v>
      </c>
      <c r="C10" s="25" t="str">
        <f t="shared" si="1"/>
        <v>1110457993</v>
      </c>
      <c r="D10" s="39" t="s">
        <v>150</v>
      </c>
      <c r="E10" s="39" t="s">
        <v>151</v>
      </c>
      <c r="F10" s="40">
        <v>46023.0</v>
      </c>
      <c r="G10" s="41"/>
      <c r="H10" s="37" t="s">
        <v>152</v>
      </c>
      <c r="I10" s="37" t="s">
        <v>153</v>
      </c>
      <c r="J10" s="65">
        <v>1081.52</v>
      </c>
      <c r="K10" s="43">
        <v>0.0</v>
      </c>
      <c r="L10" s="44">
        <v>0.0</v>
      </c>
      <c r="M10" s="45">
        <v>21.0</v>
      </c>
      <c r="N10" s="45">
        <v>0.0</v>
      </c>
      <c r="O10" s="45">
        <v>21.0</v>
      </c>
      <c r="P10" s="38">
        <v>1.0</v>
      </c>
      <c r="Q10" s="45">
        <v>21.0</v>
      </c>
      <c r="R10" s="37" t="s">
        <v>154</v>
      </c>
      <c r="S10" s="46">
        <v>21.0</v>
      </c>
    </row>
    <row r="11" ht="12.0" customHeight="1">
      <c r="A11" s="56" t="s">
        <v>155</v>
      </c>
      <c r="B11" s="57">
        <v>1.11082762E8</v>
      </c>
      <c r="C11" s="25" t="str">
        <f t="shared" si="1"/>
        <v>1110827623</v>
      </c>
      <c r="D11" s="58" t="s">
        <v>156</v>
      </c>
      <c r="E11" s="58" t="s">
        <v>157</v>
      </c>
      <c r="F11" s="59">
        <v>46023.0</v>
      </c>
      <c r="G11" s="34"/>
      <c r="H11" s="56" t="s">
        <v>158</v>
      </c>
      <c r="I11" s="56" t="s">
        <v>159</v>
      </c>
      <c r="J11" s="60">
        <v>953.66</v>
      </c>
      <c r="K11" s="61">
        <v>0.0</v>
      </c>
      <c r="L11" s="60">
        <v>0.0</v>
      </c>
      <c r="M11" s="62">
        <v>21.0</v>
      </c>
      <c r="N11" s="62">
        <v>0.0</v>
      </c>
      <c r="O11" s="62">
        <v>21.0</v>
      </c>
      <c r="P11" s="57">
        <v>1.0</v>
      </c>
      <c r="Q11" s="62">
        <v>21.0</v>
      </c>
      <c r="R11" s="56" t="s">
        <v>160</v>
      </c>
      <c r="S11" s="63">
        <v>21.0</v>
      </c>
    </row>
    <row r="12" ht="12.0" customHeight="1">
      <c r="A12" s="37" t="s">
        <v>161</v>
      </c>
      <c r="B12" s="38">
        <v>1.11827933E8</v>
      </c>
      <c r="C12" s="25" t="str">
        <f t="shared" ref="C12:C14" si="2">concat(B12,5)</f>
        <v>1118279335</v>
      </c>
      <c r="D12" s="39" t="s">
        <v>162</v>
      </c>
      <c r="E12" s="39" t="s">
        <v>163</v>
      </c>
      <c r="F12" s="40">
        <v>46023.0</v>
      </c>
      <c r="G12" s="41"/>
      <c r="H12" s="37" t="s">
        <v>164</v>
      </c>
      <c r="I12" s="37" t="s">
        <v>165</v>
      </c>
      <c r="J12" s="65">
        <v>2233.17</v>
      </c>
      <c r="K12" s="43">
        <v>0.0</v>
      </c>
      <c r="L12" s="44">
        <v>0.0</v>
      </c>
      <c r="M12" s="45">
        <v>10.0</v>
      </c>
      <c r="N12" s="45">
        <v>0.0</v>
      </c>
      <c r="O12" s="45">
        <v>10.0</v>
      </c>
      <c r="P12" s="38">
        <v>2.0</v>
      </c>
      <c r="Q12" s="45">
        <v>20.0</v>
      </c>
      <c r="R12" s="37" t="s">
        <v>166</v>
      </c>
      <c r="S12" s="46">
        <v>20.0</v>
      </c>
    </row>
    <row r="13" ht="12.0" customHeight="1">
      <c r="A13" s="56" t="s">
        <v>167</v>
      </c>
      <c r="B13" s="57">
        <v>1.11861842E8</v>
      </c>
      <c r="C13" s="25" t="str">
        <f t="shared" si="2"/>
        <v>1118618425</v>
      </c>
      <c r="D13" s="58" t="s">
        <v>168</v>
      </c>
      <c r="E13" s="58" t="s">
        <v>169</v>
      </c>
      <c r="F13" s="59">
        <v>46023.0</v>
      </c>
      <c r="G13" s="34"/>
      <c r="H13" s="56" t="s">
        <v>170</v>
      </c>
      <c r="I13" s="56" t="s">
        <v>171</v>
      </c>
      <c r="J13" s="64">
        <v>1219.29</v>
      </c>
      <c r="K13" s="61">
        <v>0.0</v>
      </c>
      <c r="L13" s="60">
        <v>0.0</v>
      </c>
      <c r="M13" s="62">
        <v>10.0</v>
      </c>
      <c r="N13" s="62">
        <v>0.0</v>
      </c>
      <c r="O13" s="62">
        <v>10.0</v>
      </c>
      <c r="P13" s="57">
        <v>1.0</v>
      </c>
      <c r="Q13" s="62">
        <v>10.0</v>
      </c>
      <c r="R13" s="56" t="s">
        <v>172</v>
      </c>
      <c r="S13" s="63">
        <v>10.0</v>
      </c>
    </row>
    <row r="14" ht="12.0" customHeight="1">
      <c r="A14" s="37" t="s">
        <v>173</v>
      </c>
      <c r="B14" s="38">
        <v>1.11898799E8</v>
      </c>
      <c r="C14" s="25" t="str">
        <f t="shared" si="2"/>
        <v>1118987995</v>
      </c>
      <c r="D14" s="39" t="s">
        <v>174</v>
      </c>
      <c r="E14" s="39" t="s">
        <v>175</v>
      </c>
      <c r="F14" s="40">
        <v>46023.0</v>
      </c>
      <c r="G14" s="41"/>
      <c r="H14" s="37" t="s">
        <v>176</v>
      </c>
      <c r="I14" s="37" t="s">
        <v>177</v>
      </c>
      <c r="J14" s="65">
        <v>1241.06</v>
      </c>
      <c r="K14" s="43">
        <v>0.0</v>
      </c>
      <c r="L14" s="44">
        <v>0.0</v>
      </c>
      <c r="M14" s="45">
        <v>10.0</v>
      </c>
      <c r="N14" s="45">
        <v>0.0</v>
      </c>
      <c r="O14" s="45">
        <v>10.0</v>
      </c>
      <c r="P14" s="38">
        <v>1.0</v>
      </c>
      <c r="Q14" s="45">
        <v>10.0</v>
      </c>
      <c r="R14" s="37" t="s">
        <v>178</v>
      </c>
      <c r="S14" s="46">
        <v>10.0</v>
      </c>
    </row>
    <row r="15" ht="12.0" customHeight="1">
      <c r="A15" s="56" t="s">
        <v>179</v>
      </c>
      <c r="B15" s="57">
        <v>1.12423912E8</v>
      </c>
      <c r="C15" s="25" t="str">
        <f>concat(B15,3)</f>
        <v>1124239123</v>
      </c>
      <c r="D15" s="58" t="s">
        <v>180</v>
      </c>
      <c r="E15" s="58" t="s">
        <v>181</v>
      </c>
      <c r="F15" s="59">
        <v>46023.0</v>
      </c>
      <c r="G15" s="34"/>
      <c r="H15" s="56" t="s">
        <v>182</v>
      </c>
      <c r="I15" s="56" t="s">
        <v>183</v>
      </c>
      <c r="J15" s="64">
        <v>2459.72</v>
      </c>
      <c r="K15" s="61">
        <v>0.0</v>
      </c>
      <c r="L15" s="60">
        <v>0.0</v>
      </c>
      <c r="M15" s="62">
        <v>21.0</v>
      </c>
      <c r="N15" s="62">
        <v>1.0</v>
      </c>
      <c r="O15" s="62">
        <v>22.0</v>
      </c>
      <c r="P15" s="57">
        <v>2.0</v>
      </c>
      <c r="Q15" s="62">
        <v>44.0</v>
      </c>
      <c r="R15" s="56" t="s">
        <v>184</v>
      </c>
      <c r="S15" s="63">
        <v>44.0</v>
      </c>
    </row>
    <row r="16" ht="12.0" customHeight="1">
      <c r="A16" s="37" t="s">
        <v>185</v>
      </c>
      <c r="B16" s="38">
        <v>1.12563562E8</v>
      </c>
      <c r="C16" s="25" t="str">
        <f>concat(B16,5)</f>
        <v>1125635625</v>
      </c>
      <c r="D16" s="39" t="s">
        <v>186</v>
      </c>
      <c r="E16" s="39" t="s">
        <v>187</v>
      </c>
      <c r="F16" s="40">
        <v>46023.0</v>
      </c>
      <c r="G16" s="41"/>
      <c r="H16" s="37" t="s">
        <v>188</v>
      </c>
      <c r="I16" s="37" t="s">
        <v>189</v>
      </c>
      <c r="J16" s="44">
        <v>966.95</v>
      </c>
      <c r="K16" s="43">
        <v>0.0</v>
      </c>
      <c r="L16" s="44">
        <v>0.0</v>
      </c>
      <c r="M16" s="45">
        <v>10.0</v>
      </c>
      <c r="N16" s="45">
        <v>0.0</v>
      </c>
      <c r="O16" s="45">
        <v>10.0</v>
      </c>
      <c r="P16" s="38">
        <v>1.0</v>
      </c>
      <c r="Q16" s="45">
        <v>10.0</v>
      </c>
      <c r="R16" s="37" t="s">
        <v>190</v>
      </c>
      <c r="S16" s="46">
        <v>10.0</v>
      </c>
    </row>
    <row r="17" ht="15.0" customHeight="1">
      <c r="A17" s="34"/>
      <c r="B17" s="34"/>
      <c r="C17" s="34"/>
      <c r="D17" s="34"/>
      <c r="E17" s="6" t="s">
        <v>191</v>
      </c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5">
        <v>220.0</v>
      </c>
    </row>
    <row r="18" ht="12.75" customHeight="1">
      <c r="A18" s="6" t="s">
        <v>192</v>
      </c>
    </row>
    <row r="19" ht="16.5" customHeight="1">
      <c r="A19" s="15" t="s">
        <v>193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"/>
    </row>
    <row r="20" ht="14.25" customHeight="1">
      <c r="A20" s="16" t="s">
        <v>194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8"/>
    </row>
    <row r="21" ht="12.75" customHeight="1">
      <c r="A21" s="34"/>
      <c r="L21" s="66" t="s">
        <v>195</v>
      </c>
      <c r="M21" s="66" t="s">
        <v>196</v>
      </c>
      <c r="N21" s="66" t="s">
        <v>197</v>
      </c>
      <c r="O21" s="34"/>
      <c r="P21" s="34"/>
      <c r="Q21" s="66" t="s">
        <v>198</v>
      </c>
      <c r="R21" s="34"/>
      <c r="S21" s="66" t="s">
        <v>199</v>
      </c>
    </row>
    <row r="22" ht="12.75" customHeight="1">
      <c r="A22" s="34"/>
      <c r="B22" s="34"/>
      <c r="C22" s="34"/>
      <c r="D22" s="34"/>
      <c r="E22" s="34"/>
      <c r="F22" s="6" t="s">
        <v>200</v>
      </c>
      <c r="H22" s="34"/>
      <c r="I22" s="34"/>
      <c r="J22" s="34"/>
      <c r="K22" s="66" t="s">
        <v>201</v>
      </c>
      <c r="L22" s="66" t="s">
        <v>202</v>
      </c>
      <c r="M22" s="66" t="s">
        <v>203</v>
      </c>
      <c r="N22" s="66" t="s">
        <v>204</v>
      </c>
      <c r="O22" s="34"/>
      <c r="P22" s="66" t="s">
        <v>205</v>
      </c>
      <c r="Q22" s="66" t="s">
        <v>206</v>
      </c>
      <c r="R22" s="34"/>
      <c r="S22" s="66" t="s">
        <v>207</v>
      </c>
    </row>
    <row r="23" ht="12.75" customHeight="1">
      <c r="A23" s="21" t="s">
        <v>208</v>
      </c>
      <c r="B23" s="21" t="s">
        <v>209</v>
      </c>
      <c r="C23" s="21"/>
      <c r="D23" s="21" t="s">
        <v>210</v>
      </c>
      <c r="E23" s="21" t="s">
        <v>211</v>
      </c>
      <c r="F23" s="21" t="s">
        <v>212</v>
      </c>
      <c r="G23" s="67"/>
      <c r="H23" s="21" t="s">
        <v>213</v>
      </c>
      <c r="I23" s="21" t="s">
        <v>214</v>
      </c>
      <c r="J23" s="21" t="s">
        <v>215</v>
      </c>
      <c r="K23" s="52" t="s">
        <v>216</v>
      </c>
      <c r="L23" s="52" t="s">
        <v>217</v>
      </c>
      <c r="M23" s="52" t="s">
        <v>218</v>
      </c>
      <c r="N23" s="52" t="s">
        <v>219</v>
      </c>
      <c r="O23" s="21" t="s">
        <v>220</v>
      </c>
      <c r="P23" s="52" t="s">
        <v>221</v>
      </c>
      <c r="Q23" s="52" t="s">
        <v>222</v>
      </c>
      <c r="R23" s="21" t="s">
        <v>223</v>
      </c>
      <c r="S23" s="52" t="s">
        <v>224</v>
      </c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F22:G22"/>
    <mergeCell ref="F23:G23"/>
    <mergeCell ref="A1:T1"/>
    <mergeCell ref="A2:S2"/>
    <mergeCell ref="A3:S3"/>
    <mergeCell ref="A18:T18"/>
    <mergeCell ref="A19:S19"/>
    <mergeCell ref="A20:S20"/>
    <mergeCell ref="A21:K2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3" width="12.71"/>
    <col customWidth="1" min="4" max="4" width="20.0"/>
    <col customWidth="1" min="5" max="5" width="24.43"/>
    <col customWidth="1" min="6" max="6" width="10.43"/>
    <col customWidth="1" min="7" max="7" width="13.29"/>
    <col customWidth="1" min="8" max="8" width="8.43"/>
    <col customWidth="1" min="9" max="9" width="8.86"/>
    <col customWidth="1" min="10" max="10" width="12.43"/>
    <col customWidth="1" min="11" max="11" width="10.71"/>
    <col customWidth="1" min="12" max="12" width="14.71"/>
    <col customWidth="1" min="13" max="13" width="8.14"/>
    <col customWidth="1" min="14" max="14" width="12.71"/>
    <col customWidth="1" min="15" max="15" width="9.43"/>
    <col customWidth="1" min="16" max="16" width="10.86"/>
    <col customWidth="1" min="17" max="17" width="14.43"/>
    <col customWidth="1" min="18" max="18" width="10.86"/>
    <col customWidth="1" min="19" max="19" width="14.43"/>
    <col customWidth="1" min="20" max="20" width="4.86"/>
    <col customWidth="1" min="21" max="27" width="8.71"/>
  </cols>
  <sheetData>
    <row r="1" ht="11.25" customHeight="1">
      <c r="A1" s="56" t="s">
        <v>225</v>
      </c>
      <c r="B1" s="68">
        <v>1.10103887E8</v>
      </c>
      <c r="C1" s="25" t="str">
        <f t="shared" ref="C1:C3" si="1">concat(B1,3)</f>
        <v>1101038873</v>
      </c>
      <c r="D1" s="58" t="s">
        <v>226</v>
      </c>
      <c r="E1" s="69" t="s">
        <v>227</v>
      </c>
      <c r="F1" s="70">
        <v>46023.0</v>
      </c>
      <c r="H1" s="56" t="s">
        <v>228</v>
      </c>
      <c r="I1" s="56" t="s">
        <v>229</v>
      </c>
      <c r="J1" s="71">
        <v>1970.84</v>
      </c>
      <c r="K1" s="61">
        <v>0.0</v>
      </c>
      <c r="L1" s="60">
        <v>0.0</v>
      </c>
      <c r="M1" s="62">
        <v>20.0</v>
      </c>
      <c r="N1" s="62">
        <v>0.0</v>
      </c>
      <c r="O1" s="62">
        <v>20.0</v>
      </c>
      <c r="P1" s="57">
        <v>1.0</v>
      </c>
      <c r="Q1" s="62">
        <v>20.0</v>
      </c>
      <c r="R1" s="56" t="s">
        <v>230</v>
      </c>
      <c r="S1" s="63">
        <v>20.0</v>
      </c>
    </row>
    <row r="2" ht="12.0" customHeight="1">
      <c r="A2" s="37" t="s">
        <v>231</v>
      </c>
      <c r="B2" s="72">
        <v>1.10809733E8</v>
      </c>
      <c r="C2" s="25" t="str">
        <f t="shared" si="1"/>
        <v>1108097333</v>
      </c>
      <c r="D2" s="39" t="s">
        <v>232</v>
      </c>
      <c r="E2" s="73" t="s">
        <v>233</v>
      </c>
      <c r="F2" s="74">
        <v>46023.0</v>
      </c>
      <c r="G2" s="3"/>
      <c r="H2" s="37" t="s">
        <v>234</v>
      </c>
      <c r="I2" s="37" t="s">
        <v>235</v>
      </c>
      <c r="J2" s="75">
        <v>1891.91</v>
      </c>
      <c r="K2" s="43">
        <v>0.0</v>
      </c>
      <c r="L2" s="44">
        <v>0.0</v>
      </c>
      <c r="M2" s="45">
        <v>20.0</v>
      </c>
      <c r="N2" s="45">
        <v>0.0</v>
      </c>
      <c r="O2" s="45">
        <v>20.0</v>
      </c>
      <c r="P2" s="38">
        <v>1.0</v>
      </c>
      <c r="Q2" s="45">
        <v>20.0</v>
      </c>
      <c r="R2" s="37" t="s">
        <v>236</v>
      </c>
      <c r="S2" s="46">
        <v>20.0</v>
      </c>
    </row>
    <row r="3" ht="14.25" customHeight="1">
      <c r="A3" s="56" t="s">
        <v>237</v>
      </c>
      <c r="B3" s="68">
        <v>1.12319621E8</v>
      </c>
      <c r="C3" s="25" t="str">
        <f t="shared" si="1"/>
        <v>1123196213</v>
      </c>
      <c r="D3" s="58" t="s">
        <v>238</v>
      </c>
      <c r="E3" s="69" t="s">
        <v>239</v>
      </c>
      <c r="F3" s="70">
        <v>46023.0</v>
      </c>
      <c r="H3" s="56" t="s">
        <v>240</v>
      </c>
      <c r="I3" s="56" t="s">
        <v>241</v>
      </c>
      <c r="J3" s="71">
        <v>3462.7</v>
      </c>
      <c r="K3" s="61">
        <v>0.0</v>
      </c>
      <c r="L3" s="60">
        <v>0.0</v>
      </c>
      <c r="M3" s="62">
        <v>20.0</v>
      </c>
      <c r="N3" s="62">
        <v>0.0</v>
      </c>
      <c r="O3" s="62">
        <v>20.0</v>
      </c>
      <c r="P3" s="57">
        <v>2.0</v>
      </c>
      <c r="Q3" s="62">
        <v>40.0</v>
      </c>
      <c r="R3" s="56" t="s">
        <v>242</v>
      </c>
      <c r="S3" s="63">
        <v>40.0</v>
      </c>
    </row>
    <row r="4" ht="12.75" customHeight="1">
      <c r="A4" s="34"/>
      <c r="B4" s="34"/>
      <c r="C4" s="34"/>
      <c r="D4" s="34"/>
      <c r="E4" s="76" t="s">
        <v>243</v>
      </c>
      <c r="F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>
        <v>80.0</v>
      </c>
    </row>
    <row r="5" ht="12.75" customHeight="1">
      <c r="A5" s="6" t="s">
        <v>244</v>
      </c>
    </row>
    <row r="6" ht="16.5" customHeight="1">
      <c r="A6" s="15" t="s">
        <v>245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</row>
    <row r="7" ht="14.25" customHeight="1">
      <c r="A7" s="16" t="s">
        <v>246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8"/>
    </row>
    <row r="8" ht="30.75" customHeight="1">
      <c r="A8" s="19" t="s">
        <v>247</v>
      </c>
      <c r="B8" s="19" t="s">
        <v>248</v>
      </c>
      <c r="C8" s="19"/>
      <c r="D8" s="20" t="s">
        <v>249</v>
      </c>
      <c r="E8" s="20" t="s">
        <v>250</v>
      </c>
      <c r="F8" s="21" t="s">
        <v>251</v>
      </c>
      <c r="G8" s="21" t="s">
        <v>252</v>
      </c>
      <c r="H8" s="19" t="s">
        <v>253</v>
      </c>
      <c r="I8" s="19" t="s">
        <v>254</v>
      </c>
      <c r="J8" s="20" t="s">
        <v>255</v>
      </c>
      <c r="K8" s="21" t="s">
        <v>256</v>
      </c>
      <c r="L8" s="22" t="s">
        <v>257</v>
      </c>
      <c r="M8" s="23" t="s">
        <v>258</v>
      </c>
      <c r="N8" s="22" t="s">
        <v>259</v>
      </c>
      <c r="O8" s="19" t="s">
        <v>260</v>
      </c>
      <c r="P8" s="21" t="s">
        <v>261</v>
      </c>
      <c r="Q8" s="22" t="s">
        <v>262</v>
      </c>
      <c r="R8" s="19" t="s">
        <v>263</v>
      </c>
      <c r="S8" s="22" t="s">
        <v>264</v>
      </c>
    </row>
    <row r="9" ht="5.2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</row>
    <row r="10" ht="12.0" customHeight="1">
      <c r="A10" s="37" t="s">
        <v>265</v>
      </c>
      <c r="B10" s="38">
        <v>1.1238137E8</v>
      </c>
      <c r="C10" s="25" t="str">
        <f>concat(B10,3)</f>
        <v>1123813703</v>
      </c>
      <c r="D10" s="39" t="s">
        <v>266</v>
      </c>
      <c r="E10" s="39" t="s">
        <v>267</v>
      </c>
      <c r="F10" s="77">
        <v>46023.0</v>
      </c>
      <c r="G10" s="41"/>
      <c r="H10" s="37" t="s">
        <v>268</v>
      </c>
      <c r="I10" s="37" t="s">
        <v>269</v>
      </c>
      <c r="J10" s="78">
        <v>543.53</v>
      </c>
      <c r="K10" s="79">
        <v>0.04</v>
      </c>
      <c r="L10" s="80">
        <v>21.74</v>
      </c>
      <c r="M10" s="80">
        <v>0.0</v>
      </c>
      <c r="N10" s="80">
        <v>0.0</v>
      </c>
      <c r="O10" s="45">
        <v>0.0</v>
      </c>
      <c r="P10" s="38">
        <v>1.0</v>
      </c>
      <c r="Q10" s="80">
        <v>0.0</v>
      </c>
      <c r="R10" s="37" t="s">
        <v>270</v>
      </c>
      <c r="S10" s="46">
        <v>21.74</v>
      </c>
    </row>
    <row r="11" ht="15.0" customHeight="1">
      <c r="A11" s="34"/>
      <c r="B11" s="34"/>
      <c r="C11" s="34"/>
      <c r="D11" s="34"/>
      <c r="E11" s="6" t="s">
        <v>271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5">
        <v>21.74</v>
      </c>
    </row>
    <row r="12" ht="12.75" customHeight="1">
      <c r="A12" s="6" t="s">
        <v>272</v>
      </c>
    </row>
    <row r="13" ht="16.5" customHeight="1">
      <c r="A13" s="15" t="s">
        <v>273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3"/>
    </row>
    <row r="14" ht="14.25" customHeight="1">
      <c r="A14" s="16" t="s">
        <v>274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8"/>
    </row>
    <row r="15" ht="25.5" customHeight="1">
      <c r="A15" s="81"/>
      <c r="F15" s="66" t="s">
        <v>275</v>
      </c>
      <c r="G15" s="66" t="s">
        <v>276</v>
      </c>
      <c r="H15" s="81"/>
      <c r="I15" s="81"/>
      <c r="J15" s="81"/>
      <c r="K15" s="6" t="s">
        <v>277</v>
      </c>
      <c r="L15" s="82" t="s">
        <v>278</v>
      </c>
      <c r="M15" s="4" t="s">
        <v>279</v>
      </c>
      <c r="N15" s="82" t="s">
        <v>280</v>
      </c>
      <c r="O15" s="81"/>
      <c r="P15" s="66" t="s">
        <v>281</v>
      </c>
      <c r="Q15" s="82" t="s">
        <v>282</v>
      </c>
      <c r="R15" s="81"/>
      <c r="S15" s="82" t="s">
        <v>283</v>
      </c>
    </row>
    <row r="16" ht="12.75" customHeight="1">
      <c r="A16" s="52" t="s">
        <v>284</v>
      </c>
      <c r="B16" s="52" t="s">
        <v>285</v>
      </c>
      <c r="C16" s="52"/>
      <c r="D16" s="21" t="s">
        <v>286</v>
      </c>
      <c r="E16" s="21" t="s">
        <v>287</v>
      </c>
      <c r="F16" s="52" t="s">
        <v>288</v>
      </c>
      <c r="G16" s="52" t="s">
        <v>289</v>
      </c>
      <c r="H16" s="52" t="s">
        <v>290</v>
      </c>
      <c r="I16" s="52" t="s">
        <v>291</v>
      </c>
      <c r="J16" s="21" t="s">
        <v>292</v>
      </c>
      <c r="K16" s="21" t="s">
        <v>293</v>
      </c>
      <c r="L16" s="21" t="s">
        <v>294</v>
      </c>
      <c r="M16" s="52" t="s">
        <v>295</v>
      </c>
      <c r="N16" s="52" t="s">
        <v>296</v>
      </c>
      <c r="O16" s="52" t="s">
        <v>297</v>
      </c>
      <c r="P16" s="52" t="s">
        <v>298</v>
      </c>
      <c r="Q16" s="52" t="s">
        <v>299</v>
      </c>
      <c r="R16" s="52" t="s">
        <v>300</v>
      </c>
      <c r="S16" s="52" t="s">
        <v>301</v>
      </c>
    </row>
    <row r="17" ht="16.5" customHeight="1">
      <c r="A17" s="24" t="s">
        <v>302</v>
      </c>
      <c r="B17" s="25">
        <v>1.1321493E8</v>
      </c>
      <c r="C17" s="25" t="str">
        <f>concat(B17,3)</f>
        <v>1132149303</v>
      </c>
      <c r="D17" s="26" t="s">
        <v>303</v>
      </c>
      <c r="E17" s="26" t="s">
        <v>304</v>
      </c>
      <c r="F17" s="53">
        <v>46054.0</v>
      </c>
      <c r="G17" s="28"/>
      <c r="H17" s="24" t="s">
        <v>305</v>
      </c>
      <c r="I17" s="24" t="s">
        <v>306</v>
      </c>
      <c r="J17" s="83">
        <v>1500.08</v>
      </c>
      <c r="K17" s="30">
        <v>0.04</v>
      </c>
      <c r="L17" s="31">
        <v>60.0</v>
      </c>
      <c r="M17" s="32">
        <v>0.0</v>
      </c>
      <c r="N17" s="32">
        <v>0.0</v>
      </c>
      <c r="O17" s="32">
        <v>0.0</v>
      </c>
      <c r="P17" s="25">
        <v>1.0</v>
      </c>
      <c r="Q17" s="32">
        <v>0.0</v>
      </c>
      <c r="R17" s="24" t="s">
        <v>307</v>
      </c>
      <c r="S17" s="83">
        <v>60.0</v>
      </c>
    </row>
    <row r="18" ht="12.75" customHeight="1">
      <c r="A18" s="6" t="s">
        <v>308</v>
      </c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">
    <mergeCell ref="A12:T12"/>
    <mergeCell ref="A13:S13"/>
    <mergeCell ref="A14:S14"/>
    <mergeCell ref="A15:E15"/>
    <mergeCell ref="A18:T18"/>
    <mergeCell ref="F1:G1"/>
    <mergeCell ref="F2:G2"/>
    <mergeCell ref="F3:G3"/>
    <mergeCell ref="F4:G4"/>
    <mergeCell ref="A5:T5"/>
    <mergeCell ref="A6:S6"/>
    <mergeCell ref="A7:S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3" width="12.71"/>
    <col customWidth="1" min="4" max="4" width="20.0"/>
    <col customWidth="1" min="5" max="5" width="24.43"/>
    <col customWidth="1" min="6" max="6" width="10.43"/>
    <col customWidth="1" min="7" max="7" width="13.29"/>
    <col customWidth="1" min="8" max="8" width="8.43"/>
    <col customWidth="1" min="9" max="9" width="8.86"/>
    <col customWidth="1" min="10" max="10" width="12.43"/>
    <col customWidth="1" min="11" max="11" width="10.71"/>
    <col customWidth="1" min="12" max="12" width="14.71"/>
    <col customWidth="1" min="13" max="13" width="8.14"/>
    <col customWidth="1" min="14" max="14" width="12.71"/>
    <col customWidth="1" min="15" max="15" width="9.43"/>
    <col customWidth="1" min="16" max="16" width="10.86"/>
    <col customWidth="1" min="17" max="17" width="14.43"/>
    <col customWidth="1" min="18" max="18" width="10.86"/>
    <col customWidth="1" min="19" max="19" width="14.43"/>
    <col customWidth="1" min="20" max="20" width="4.86"/>
    <col customWidth="1" min="21" max="27" width="8.71"/>
  </cols>
  <sheetData>
    <row r="1" ht="14.25" customHeight="1">
      <c r="A1" s="84"/>
      <c r="B1" s="17"/>
      <c r="C1" s="17"/>
      <c r="D1" s="17"/>
      <c r="E1" s="17"/>
      <c r="F1" s="17"/>
      <c r="G1" s="17"/>
      <c r="H1" s="17"/>
      <c r="I1" s="18"/>
      <c r="J1" s="48" t="s">
        <v>309</v>
      </c>
      <c r="K1" s="84"/>
      <c r="L1" s="17"/>
      <c r="M1" s="17"/>
      <c r="N1" s="17"/>
      <c r="O1" s="17"/>
      <c r="P1" s="17"/>
      <c r="Q1" s="17"/>
      <c r="R1" s="17"/>
      <c r="S1" s="18"/>
    </row>
    <row r="2" ht="38.25" customHeight="1">
      <c r="A2" s="85" t="s">
        <v>310</v>
      </c>
      <c r="B2" s="85" t="s">
        <v>311</v>
      </c>
      <c r="C2" s="85"/>
      <c r="D2" s="86" t="s">
        <v>312</v>
      </c>
      <c r="E2" s="86" t="s">
        <v>313</v>
      </c>
      <c r="F2" s="87" t="s">
        <v>314</v>
      </c>
      <c r="G2" s="87" t="s">
        <v>315</v>
      </c>
      <c r="H2" s="85" t="s">
        <v>316</v>
      </c>
      <c r="I2" s="85" t="s">
        <v>317</v>
      </c>
      <c r="J2" s="86" t="s">
        <v>318</v>
      </c>
      <c r="K2" s="87" t="s">
        <v>319</v>
      </c>
      <c r="L2" s="88" t="s">
        <v>320</v>
      </c>
      <c r="M2" s="89" t="s">
        <v>321</v>
      </c>
      <c r="N2" s="90" t="s">
        <v>322</v>
      </c>
      <c r="O2" s="85" t="s">
        <v>323</v>
      </c>
      <c r="P2" s="87" t="s">
        <v>324</v>
      </c>
      <c r="Q2" s="91" t="s">
        <v>325</v>
      </c>
      <c r="R2" s="85" t="s">
        <v>326</v>
      </c>
      <c r="S2" s="91" t="s">
        <v>327</v>
      </c>
    </row>
    <row r="3" ht="5.25" customHeight="1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4" ht="12.0" customHeight="1">
      <c r="A4" s="37" t="s">
        <v>328</v>
      </c>
      <c r="B4" s="38">
        <v>1.09377263E8</v>
      </c>
      <c r="C4" s="25" t="str">
        <f>concat(B4,5)</f>
        <v>1093772635</v>
      </c>
      <c r="D4" s="39" t="s">
        <v>329</v>
      </c>
      <c r="E4" s="39" t="s">
        <v>330</v>
      </c>
      <c r="F4" s="77">
        <v>46023.0</v>
      </c>
      <c r="G4" s="41"/>
      <c r="H4" s="37" t="s">
        <v>331</v>
      </c>
      <c r="I4" s="37" t="s">
        <v>332</v>
      </c>
      <c r="J4" s="42">
        <v>2065.67</v>
      </c>
      <c r="K4" s="79">
        <v>0.0</v>
      </c>
      <c r="L4" s="80">
        <v>0.0</v>
      </c>
      <c r="M4" s="80">
        <v>15.0</v>
      </c>
      <c r="N4" s="80">
        <v>0.0</v>
      </c>
      <c r="O4" s="45">
        <v>15.0</v>
      </c>
      <c r="P4" s="38">
        <v>5.0</v>
      </c>
      <c r="Q4" s="80">
        <v>75.0</v>
      </c>
      <c r="R4" s="37" t="s">
        <v>333</v>
      </c>
      <c r="S4" s="46">
        <v>75.0</v>
      </c>
    </row>
    <row r="5" ht="15.0" customHeight="1">
      <c r="A5" s="34"/>
      <c r="B5" s="34"/>
      <c r="C5" s="34"/>
      <c r="D5" s="34"/>
      <c r="E5" s="6" t="s">
        <v>334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5">
        <v>75.0</v>
      </c>
    </row>
    <row r="6" ht="12.75" customHeight="1">
      <c r="A6" s="6" t="s">
        <v>335</v>
      </c>
    </row>
    <row r="7" ht="16.5" customHeight="1">
      <c r="A7" s="15" t="s">
        <v>336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3"/>
    </row>
    <row r="8" ht="14.25" customHeight="1">
      <c r="A8" s="16" t="s">
        <v>337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8"/>
    </row>
    <row r="9" ht="30.75" customHeight="1">
      <c r="A9" s="19" t="s">
        <v>338</v>
      </c>
      <c r="B9" s="19" t="s">
        <v>339</v>
      </c>
      <c r="C9" s="19"/>
      <c r="D9" s="20" t="s">
        <v>340</v>
      </c>
      <c r="E9" s="20" t="s">
        <v>341</v>
      </c>
      <c r="F9" s="21" t="s">
        <v>342</v>
      </c>
      <c r="G9" s="21" t="s">
        <v>343</v>
      </c>
      <c r="H9" s="19" t="s">
        <v>344</v>
      </c>
      <c r="I9" s="19" t="s">
        <v>345</v>
      </c>
      <c r="J9" s="20" t="s">
        <v>346</v>
      </c>
      <c r="K9" s="21" t="s">
        <v>347</v>
      </c>
      <c r="L9" s="22" t="s">
        <v>348</v>
      </c>
      <c r="M9" s="23" t="s">
        <v>349</v>
      </c>
      <c r="N9" s="22" t="s">
        <v>350</v>
      </c>
      <c r="O9" s="19" t="s">
        <v>351</v>
      </c>
      <c r="P9" s="21" t="s">
        <v>352</v>
      </c>
      <c r="Q9" s="22" t="s">
        <v>353</v>
      </c>
      <c r="R9" s="19" t="s">
        <v>354</v>
      </c>
      <c r="S9" s="22" t="s">
        <v>355</v>
      </c>
    </row>
    <row r="10" ht="16.5" customHeight="1">
      <c r="A10" s="24" t="s">
        <v>356</v>
      </c>
      <c r="B10" s="25">
        <v>1.1321096E8</v>
      </c>
      <c r="C10" s="25" t="str">
        <f t="shared" ref="C10:C11" si="1">concat(B10,3)</f>
        <v>1132109603</v>
      </c>
      <c r="D10" s="26" t="s">
        <v>357</v>
      </c>
      <c r="E10" s="26" t="s">
        <v>358</v>
      </c>
      <c r="F10" s="53">
        <v>46054.0</v>
      </c>
      <c r="G10" s="28"/>
      <c r="H10" s="24" t="s">
        <v>359</v>
      </c>
      <c r="I10" s="24" t="s">
        <v>360</v>
      </c>
      <c r="J10" s="55">
        <v>950.88</v>
      </c>
      <c r="K10" s="54">
        <v>0.0</v>
      </c>
      <c r="L10" s="55">
        <v>0.0</v>
      </c>
      <c r="M10" s="32">
        <v>20.0</v>
      </c>
      <c r="N10" s="32">
        <v>0.0</v>
      </c>
      <c r="O10" s="32">
        <v>20.0</v>
      </c>
      <c r="P10" s="25">
        <v>1.0</v>
      </c>
      <c r="Q10" s="32">
        <v>20.0</v>
      </c>
      <c r="R10" s="24" t="s">
        <v>361</v>
      </c>
      <c r="S10" s="33">
        <v>20.0</v>
      </c>
    </row>
    <row r="11" ht="12.0" customHeight="1">
      <c r="A11" s="37" t="s">
        <v>362</v>
      </c>
      <c r="B11" s="38">
        <v>1.13239253E8</v>
      </c>
      <c r="C11" s="25" t="str">
        <f t="shared" si="1"/>
        <v>1132392533</v>
      </c>
      <c r="D11" s="39" t="s">
        <v>363</v>
      </c>
      <c r="E11" s="39" t="s">
        <v>364</v>
      </c>
      <c r="F11" s="40">
        <v>46054.0</v>
      </c>
      <c r="G11" s="41"/>
      <c r="H11" s="37" t="s">
        <v>365</v>
      </c>
      <c r="I11" s="37" t="s">
        <v>366</v>
      </c>
      <c r="J11" s="44">
        <v>954.27</v>
      </c>
      <c r="K11" s="43">
        <v>0.0</v>
      </c>
      <c r="L11" s="44">
        <v>0.0</v>
      </c>
      <c r="M11" s="45">
        <v>20.0</v>
      </c>
      <c r="N11" s="45">
        <v>0.0</v>
      </c>
      <c r="O11" s="45">
        <v>20.0</v>
      </c>
      <c r="P11" s="38">
        <v>1.0</v>
      </c>
      <c r="Q11" s="45">
        <v>20.0</v>
      </c>
      <c r="R11" s="37" t="s">
        <v>367</v>
      </c>
      <c r="S11" s="46">
        <v>20.0</v>
      </c>
    </row>
    <row r="12" ht="12.75" customHeight="1">
      <c r="A12" s="6" t="s">
        <v>368</v>
      </c>
    </row>
    <row r="13" ht="12.75" customHeight="1">
      <c r="A13" s="6" t="s">
        <v>369</v>
      </c>
    </row>
    <row r="14" ht="16.5" customHeight="1">
      <c r="A14" s="15" t="s">
        <v>370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3"/>
    </row>
    <row r="15" ht="14.25" customHeight="1">
      <c r="A15" s="16" t="s">
        <v>371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8"/>
    </row>
    <row r="16" ht="25.5" customHeight="1">
      <c r="A16" s="81"/>
      <c r="F16" s="6" t="s">
        <v>372</v>
      </c>
      <c r="H16" s="81"/>
      <c r="I16" s="81"/>
      <c r="J16" s="81"/>
      <c r="K16" s="6" t="s">
        <v>373</v>
      </c>
      <c r="L16" s="82" t="s">
        <v>374</v>
      </c>
      <c r="M16" s="4" t="s">
        <v>375</v>
      </c>
      <c r="N16" s="82" t="s">
        <v>376</v>
      </c>
      <c r="O16" s="81"/>
      <c r="P16" s="66" t="s">
        <v>377</v>
      </c>
      <c r="Q16" s="82" t="s">
        <v>378</v>
      </c>
      <c r="R16" s="81"/>
      <c r="S16" s="82" t="s">
        <v>379</v>
      </c>
    </row>
    <row r="17" ht="12.75" customHeight="1">
      <c r="A17" s="52" t="s">
        <v>380</v>
      </c>
      <c r="B17" s="52" t="s">
        <v>381</v>
      </c>
      <c r="C17" s="52"/>
      <c r="D17" s="21" t="s">
        <v>382</v>
      </c>
      <c r="E17" s="21" t="s">
        <v>383</v>
      </c>
      <c r="F17" s="21" t="s">
        <v>384</v>
      </c>
      <c r="G17" s="67"/>
      <c r="H17" s="52" t="s">
        <v>385</v>
      </c>
      <c r="I17" s="52" t="s">
        <v>386</v>
      </c>
      <c r="J17" s="21" t="s">
        <v>387</v>
      </c>
      <c r="K17" s="21" t="s">
        <v>388</v>
      </c>
      <c r="L17" s="21" t="s">
        <v>389</v>
      </c>
      <c r="M17" s="52" t="s">
        <v>390</v>
      </c>
      <c r="N17" s="52" t="s">
        <v>391</v>
      </c>
      <c r="O17" s="52" t="s">
        <v>392</v>
      </c>
      <c r="P17" s="52" t="s">
        <v>393</v>
      </c>
      <c r="Q17" s="52" t="s">
        <v>394</v>
      </c>
      <c r="R17" s="52" t="s">
        <v>395</v>
      </c>
      <c r="S17" s="52" t="s">
        <v>396</v>
      </c>
    </row>
    <row r="18" ht="16.5" customHeight="1">
      <c r="A18" s="24" t="s">
        <v>397</v>
      </c>
      <c r="B18" s="25">
        <v>1.12945646E8</v>
      </c>
      <c r="C18" s="25" t="str">
        <f>concat(B18,5)</f>
        <v>1129456465</v>
      </c>
      <c r="D18" s="26" t="s">
        <v>398</v>
      </c>
      <c r="E18" s="26" t="s">
        <v>399</v>
      </c>
      <c r="F18" s="27">
        <v>46023.0</v>
      </c>
      <c r="G18" s="92"/>
      <c r="H18" s="24" t="s">
        <v>400</v>
      </c>
      <c r="I18" s="24" t="s">
        <v>401</v>
      </c>
      <c r="J18" s="29">
        <v>1066.28</v>
      </c>
      <c r="K18" s="30">
        <v>0.0</v>
      </c>
      <c r="L18" s="31">
        <v>0.0</v>
      </c>
      <c r="M18" s="32">
        <v>15.0</v>
      </c>
      <c r="N18" s="32">
        <v>0.0</v>
      </c>
      <c r="O18" s="32">
        <v>15.0</v>
      </c>
      <c r="P18" s="25">
        <v>1.0</v>
      </c>
      <c r="Q18" s="32">
        <v>15.0</v>
      </c>
      <c r="R18" s="24" t="s">
        <v>402</v>
      </c>
      <c r="S18" s="83">
        <v>15.0</v>
      </c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">
    <mergeCell ref="A14:S14"/>
    <mergeCell ref="A15:S15"/>
    <mergeCell ref="A16:E16"/>
    <mergeCell ref="F16:G16"/>
    <mergeCell ref="F17:G17"/>
    <mergeCell ref="F18:G18"/>
    <mergeCell ref="A1:I1"/>
    <mergeCell ref="K1:S1"/>
    <mergeCell ref="A6:T6"/>
    <mergeCell ref="A7:S7"/>
    <mergeCell ref="A8:S8"/>
    <mergeCell ref="A12:T12"/>
    <mergeCell ref="A13:T1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3" width="12.71"/>
    <col customWidth="1" min="4" max="4" width="20.0"/>
    <col customWidth="1" min="5" max="5" width="24.43"/>
    <col customWidth="1" min="6" max="6" width="10.43"/>
    <col customWidth="1" min="7" max="7" width="13.29"/>
    <col customWidth="1" min="8" max="8" width="8.43"/>
    <col customWidth="1" min="9" max="9" width="8.86"/>
    <col customWidth="1" min="10" max="10" width="12.43"/>
    <col customWidth="1" min="11" max="11" width="10.71"/>
    <col customWidth="1" min="12" max="12" width="14.71"/>
    <col customWidth="1" min="13" max="13" width="8.14"/>
    <col customWidth="1" min="14" max="14" width="12.71"/>
    <col customWidth="1" min="15" max="15" width="9.43"/>
    <col customWidth="1" min="16" max="16" width="10.71"/>
    <col customWidth="1" min="17" max="17" width="14.71"/>
    <col customWidth="1" min="18" max="18" width="10.71"/>
    <col customWidth="1" min="19" max="19" width="14.71"/>
    <col customWidth="1" min="20" max="27" width="8.71"/>
  </cols>
  <sheetData>
    <row r="1" ht="12.0" customHeight="1">
      <c r="A1" s="37" t="s">
        <v>403</v>
      </c>
      <c r="B1" s="38">
        <v>1.12958461E8</v>
      </c>
      <c r="C1" s="25" t="str">
        <f t="shared" ref="C1:C6" si="1">concat(B1,5)</f>
        <v>1129584615</v>
      </c>
      <c r="D1" s="39" t="s">
        <v>404</v>
      </c>
      <c r="E1" s="39" t="s">
        <v>405</v>
      </c>
      <c r="F1" s="40">
        <v>46023.0</v>
      </c>
      <c r="G1" s="93" t="s">
        <v>406</v>
      </c>
      <c r="H1" s="3"/>
      <c r="I1" s="37" t="s">
        <v>407</v>
      </c>
      <c r="J1" s="42">
        <v>2210.35</v>
      </c>
      <c r="K1" s="43">
        <v>0.0</v>
      </c>
      <c r="L1" s="44">
        <v>0.0</v>
      </c>
      <c r="M1" s="45">
        <v>15.0</v>
      </c>
      <c r="N1" s="45">
        <v>0.0</v>
      </c>
      <c r="O1" s="45">
        <v>15.0</v>
      </c>
      <c r="P1" s="38">
        <v>2.0</v>
      </c>
      <c r="Q1" s="45">
        <v>30.0</v>
      </c>
      <c r="R1" s="37" t="s">
        <v>408</v>
      </c>
      <c r="S1" s="46">
        <v>30.0</v>
      </c>
    </row>
    <row r="2" ht="12.0" customHeight="1">
      <c r="A2" s="56" t="s">
        <v>409</v>
      </c>
      <c r="B2" s="57">
        <v>1.12958479E8</v>
      </c>
      <c r="C2" s="25" t="str">
        <f t="shared" si="1"/>
        <v>1129584795</v>
      </c>
      <c r="D2" s="58" t="s">
        <v>410</v>
      </c>
      <c r="E2" s="58" t="s">
        <v>411</v>
      </c>
      <c r="F2" s="59">
        <v>46023.0</v>
      </c>
      <c r="G2" s="58" t="s">
        <v>412</v>
      </c>
      <c r="I2" s="56" t="s">
        <v>413</v>
      </c>
      <c r="J2" s="94">
        <v>478.88</v>
      </c>
      <c r="K2" s="61">
        <v>0.0</v>
      </c>
      <c r="L2" s="60">
        <v>0.0</v>
      </c>
      <c r="M2" s="62">
        <v>15.0</v>
      </c>
      <c r="N2" s="62">
        <v>0.0</v>
      </c>
      <c r="O2" s="62">
        <v>15.0</v>
      </c>
      <c r="P2" s="57">
        <v>1.0</v>
      </c>
      <c r="Q2" s="62">
        <v>15.0</v>
      </c>
      <c r="R2" s="56" t="s">
        <v>414</v>
      </c>
      <c r="S2" s="63">
        <v>15.0</v>
      </c>
    </row>
    <row r="3" ht="12.0" customHeight="1">
      <c r="A3" s="37" t="s">
        <v>415</v>
      </c>
      <c r="B3" s="38">
        <v>1.13171521E8</v>
      </c>
      <c r="C3" s="25" t="str">
        <f t="shared" si="1"/>
        <v>1131715215</v>
      </c>
      <c r="D3" s="39" t="s">
        <v>416</v>
      </c>
      <c r="E3" s="39" t="s">
        <v>417</v>
      </c>
      <c r="F3" s="40">
        <v>46054.0</v>
      </c>
      <c r="G3" s="93" t="s">
        <v>418</v>
      </c>
      <c r="H3" s="3"/>
      <c r="I3" s="37" t="s">
        <v>419</v>
      </c>
      <c r="J3" s="42">
        <v>2334.05</v>
      </c>
      <c r="K3" s="43">
        <v>0.0</v>
      </c>
      <c r="L3" s="44">
        <v>0.0</v>
      </c>
      <c r="M3" s="45">
        <v>15.0</v>
      </c>
      <c r="N3" s="45">
        <v>0.0</v>
      </c>
      <c r="O3" s="45">
        <v>15.0</v>
      </c>
      <c r="P3" s="38">
        <v>3.0</v>
      </c>
      <c r="Q3" s="45">
        <v>45.0</v>
      </c>
      <c r="R3" s="37" t="s">
        <v>420</v>
      </c>
      <c r="S3" s="46">
        <v>45.0</v>
      </c>
    </row>
    <row r="4" ht="12.0" customHeight="1">
      <c r="A4" s="56" t="s">
        <v>421</v>
      </c>
      <c r="B4" s="57">
        <v>1.1320112E8</v>
      </c>
      <c r="C4" s="25" t="str">
        <f t="shared" si="1"/>
        <v>1132011205</v>
      </c>
      <c r="D4" s="58" t="s">
        <v>422</v>
      </c>
      <c r="E4" s="58" t="s">
        <v>423</v>
      </c>
      <c r="F4" s="59">
        <v>46054.0</v>
      </c>
      <c r="G4" s="58" t="s">
        <v>424</v>
      </c>
      <c r="I4" s="56" t="s">
        <v>425</v>
      </c>
      <c r="J4" s="95">
        <v>1138.38</v>
      </c>
      <c r="K4" s="61">
        <v>0.0</v>
      </c>
      <c r="L4" s="60">
        <v>0.0</v>
      </c>
      <c r="M4" s="62">
        <v>15.0</v>
      </c>
      <c r="N4" s="62">
        <v>0.0</v>
      </c>
      <c r="O4" s="62">
        <v>15.0</v>
      </c>
      <c r="P4" s="57">
        <v>1.0</v>
      </c>
      <c r="Q4" s="62">
        <v>15.0</v>
      </c>
      <c r="R4" s="56" t="s">
        <v>426</v>
      </c>
      <c r="S4" s="63">
        <v>15.0</v>
      </c>
    </row>
    <row r="5" ht="12.0" customHeight="1">
      <c r="A5" s="37" t="s">
        <v>427</v>
      </c>
      <c r="B5" s="38">
        <v>1.13202336E8</v>
      </c>
      <c r="C5" s="25" t="str">
        <f t="shared" si="1"/>
        <v>1132023365</v>
      </c>
      <c r="D5" s="39" t="s">
        <v>428</v>
      </c>
      <c r="E5" s="39" t="s">
        <v>429</v>
      </c>
      <c r="F5" s="40">
        <v>46023.0</v>
      </c>
      <c r="G5" s="93" t="s">
        <v>430</v>
      </c>
      <c r="H5" s="3"/>
      <c r="I5" s="37" t="s">
        <v>431</v>
      </c>
      <c r="J5" s="42">
        <v>1090.19</v>
      </c>
      <c r="K5" s="43">
        <v>0.0</v>
      </c>
      <c r="L5" s="44">
        <v>0.0</v>
      </c>
      <c r="M5" s="45">
        <v>15.0</v>
      </c>
      <c r="N5" s="45">
        <v>0.0</v>
      </c>
      <c r="O5" s="45">
        <v>15.0</v>
      </c>
      <c r="P5" s="38">
        <v>1.0</v>
      </c>
      <c r="Q5" s="45">
        <v>15.0</v>
      </c>
      <c r="R5" s="37" t="s">
        <v>432</v>
      </c>
      <c r="S5" s="46">
        <v>15.0</v>
      </c>
    </row>
    <row r="6" ht="12.0" customHeight="1">
      <c r="A6" s="56" t="s">
        <v>433</v>
      </c>
      <c r="B6" s="57">
        <v>1.13273092E8</v>
      </c>
      <c r="C6" s="25" t="str">
        <f t="shared" si="1"/>
        <v>1132730925</v>
      </c>
      <c r="D6" s="58" t="s">
        <v>434</v>
      </c>
      <c r="E6" s="58" t="s">
        <v>435</v>
      </c>
      <c r="F6" s="59">
        <v>46082.0</v>
      </c>
      <c r="G6" s="58" t="s">
        <v>436</v>
      </c>
      <c r="I6" s="56" t="s">
        <v>437</v>
      </c>
      <c r="J6" s="95">
        <v>1313.04</v>
      </c>
      <c r="K6" s="61">
        <v>0.0</v>
      </c>
      <c r="L6" s="60">
        <v>0.0</v>
      </c>
      <c r="M6" s="62">
        <v>15.0</v>
      </c>
      <c r="N6" s="62">
        <v>0.0</v>
      </c>
      <c r="O6" s="62">
        <v>15.0</v>
      </c>
      <c r="P6" s="57">
        <v>3.0</v>
      </c>
      <c r="Q6" s="62">
        <v>45.0</v>
      </c>
      <c r="R6" s="56" t="s">
        <v>438</v>
      </c>
      <c r="S6" s="63">
        <v>45.0</v>
      </c>
    </row>
    <row r="7" ht="21.75" customHeight="1">
      <c r="A7" s="6" t="s">
        <v>439</v>
      </c>
    </row>
    <row r="8" ht="14.25" customHeight="1">
      <c r="A8" s="47"/>
      <c r="B8" s="47"/>
      <c r="C8" s="47"/>
      <c r="D8" s="47"/>
      <c r="E8" s="47"/>
      <c r="F8" s="47"/>
      <c r="G8" s="47"/>
      <c r="H8" s="47"/>
      <c r="I8" s="47"/>
      <c r="J8" s="48" t="s">
        <v>440</v>
      </c>
      <c r="K8" s="47"/>
      <c r="L8" s="47"/>
      <c r="M8" s="47"/>
      <c r="N8" s="47"/>
      <c r="O8" s="47"/>
      <c r="P8" s="47"/>
      <c r="Q8" s="47"/>
      <c r="R8" s="47"/>
      <c r="S8" s="47"/>
    </row>
    <row r="9" ht="25.5" customHeight="1">
      <c r="A9" s="28"/>
      <c r="B9" s="28"/>
      <c r="C9" s="28"/>
      <c r="D9" s="28"/>
      <c r="E9" s="28"/>
      <c r="F9" s="49" t="s">
        <v>441</v>
      </c>
      <c r="G9" s="49" t="s">
        <v>442</v>
      </c>
      <c r="H9" s="28"/>
      <c r="I9" s="28"/>
      <c r="J9" s="28"/>
      <c r="K9" s="50" t="s">
        <v>443</v>
      </c>
      <c r="L9" s="51" t="s">
        <v>444</v>
      </c>
      <c r="M9" s="51" t="s">
        <v>445</v>
      </c>
      <c r="N9" s="51" t="s">
        <v>446</v>
      </c>
      <c r="O9" s="28"/>
      <c r="P9" s="49" t="s">
        <v>447</v>
      </c>
      <c r="Q9" s="51" t="s">
        <v>448</v>
      </c>
      <c r="R9" s="28"/>
      <c r="S9" s="51" t="s">
        <v>449</v>
      </c>
    </row>
    <row r="10" ht="12.75" customHeight="1">
      <c r="A10" s="52" t="s">
        <v>450</v>
      </c>
      <c r="B10" s="52" t="s">
        <v>451</v>
      </c>
      <c r="C10" s="52"/>
      <c r="D10" s="21" t="s">
        <v>452</v>
      </c>
      <c r="E10" s="21" t="s">
        <v>453</v>
      </c>
      <c r="F10" s="52" t="s">
        <v>454</v>
      </c>
      <c r="G10" s="52" t="s">
        <v>455</v>
      </c>
      <c r="H10" s="52" t="s">
        <v>456</v>
      </c>
      <c r="I10" s="52" t="s">
        <v>457</v>
      </c>
      <c r="J10" s="21" t="s">
        <v>458</v>
      </c>
      <c r="K10" s="21" t="s">
        <v>459</v>
      </c>
      <c r="L10" s="21" t="s">
        <v>460</v>
      </c>
      <c r="M10" s="52" t="s">
        <v>461</v>
      </c>
      <c r="N10" s="52" t="s">
        <v>462</v>
      </c>
      <c r="O10" s="52" t="s">
        <v>463</v>
      </c>
      <c r="P10" s="52" t="s">
        <v>464</v>
      </c>
      <c r="Q10" s="52" t="s">
        <v>465</v>
      </c>
      <c r="R10" s="52" t="s">
        <v>466</v>
      </c>
      <c r="S10" s="52" t="s">
        <v>467</v>
      </c>
    </row>
    <row r="11" ht="5.2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ht="12.0" customHeight="1">
      <c r="A12" s="37" t="s">
        <v>468</v>
      </c>
      <c r="B12" s="38">
        <v>1.09255892E8</v>
      </c>
      <c r="C12" s="25" t="str">
        <f t="shared" ref="C12:C31" si="2">concat(B12,5)</f>
        <v>1092558925</v>
      </c>
      <c r="D12" s="39" t="s">
        <v>469</v>
      </c>
      <c r="E12" s="39" t="s">
        <v>470</v>
      </c>
      <c r="F12" s="40">
        <v>46023.0</v>
      </c>
      <c r="G12" s="41"/>
      <c r="H12" s="37" t="s">
        <v>471</v>
      </c>
      <c r="I12" s="37" t="s">
        <v>472</v>
      </c>
      <c r="J12" s="42">
        <v>1656.34</v>
      </c>
      <c r="K12" s="43">
        <v>0.0</v>
      </c>
      <c r="L12" s="44">
        <v>0.0</v>
      </c>
      <c r="M12" s="45">
        <v>15.0</v>
      </c>
      <c r="N12" s="45">
        <v>0.0</v>
      </c>
      <c r="O12" s="45">
        <v>15.0</v>
      </c>
      <c r="P12" s="38">
        <v>2.0</v>
      </c>
      <c r="Q12" s="45">
        <v>30.0</v>
      </c>
      <c r="R12" s="37" t="s">
        <v>473</v>
      </c>
      <c r="S12" s="46">
        <v>30.0</v>
      </c>
    </row>
    <row r="13" ht="12.0" customHeight="1">
      <c r="A13" s="56" t="s">
        <v>474</v>
      </c>
      <c r="B13" s="57">
        <v>1.09327029E8</v>
      </c>
      <c r="C13" s="25" t="str">
        <f t="shared" si="2"/>
        <v>1093270295</v>
      </c>
      <c r="D13" s="58" t="s">
        <v>475</v>
      </c>
      <c r="E13" s="58" t="s">
        <v>476</v>
      </c>
      <c r="F13" s="59">
        <v>46023.0</v>
      </c>
      <c r="G13" s="34"/>
      <c r="H13" s="56" t="s">
        <v>477</v>
      </c>
      <c r="I13" s="56" t="s">
        <v>478</v>
      </c>
      <c r="J13" s="94">
        <v>854.72</v>
      </c>
      <c r="K13" s="61">
        <v>0.0</v>
      </c>
      <c r="L13" s="60">
        <v>0.0</v>
      </c>
      <c r="M13" s="62">
        <v>15.0</v>
      </c>
      <c r="N13" s="62">
        <v>0.0</v>
      </c>
      <c r="O13" s="62">
        <v>15.0</v>
      </c>
      <c r="P13" s="57">
        <v>1.0</v>
      </c>
      <c r="Q13" s="62">
        <v>15.0</v>
      </c>
      <c r="R13" s="56" t="s">
        <v>479</v>
      </c>
      <c r="S13" s="63">
        <v>15.0</v>
      </c>
    </row>
    <row r="14" ht="12.0" customHeight="1">
      <c r="A14" s="37" t="s">
        <v>480</v>
      </c>
      <c r="B14" s="38">
        <v>1.09405923E8</v>
      </c>
      <c r="C14" s="25" t="str">
        <f t="shared" si="2"/>
        <v>1094059235</v>
      </c>
      <c r="D14" s="39" t="s">
        <v>481</v>
      </c>
      <c r="E14" s="39" t="s">
        <v>482</v>
      </c>
      <c r="F14" s="40">
        <v>46023.0</v>
      </c>
      <c r="G14" s="41"/>
      <c r="H14" s="37" t="s">
        <v>483</v>
      </c>
      <c r="I14" s="37" t="s">
        <v>484</v>
      </c>
      <c r="J14" s="42">
        <v>1004.91</v>
      </c>
      <c r="K14" s="43">
        <v>0.0</v>
      </c>
      <c r="L14" s="44">
        <v>0.0</v>
      </c>
      <c r="M14" s="45">
        <v>15.0</v>
      </c>
      <c r="N14" s="45">
        <v>0.0</v>
      </c>
      <c r="O14" s="45">
        <v>15.0</v>
      </c>
      <c r="P14" s="38">
        <v>2.0</v>
      </c>
      <c r="Q14" s="45">
        <v>30.0</v>
      </c>
      <c r="R14" s="37" t="s">
        <v>485</v>
      </c>
      <c r="S14" s="46">
        <v>30.0</v>
      </c>
    </row>
    <row r="15" ht="12.0" customHeight="1">
      <c r="A15" s="56" t="s">
        <v>486</v>
      </c>
      <c r="B15" s="57">
        <v>1.09589791E8</v>
      </c>
      <c r="C15" s="25" t="str">
        <f t="shared" si="2"/>
        <v>1095897915</v>
      </c>
      <c r="D15" s="58" t="s">
        <v>487</v>
      </c>
      <c r="E15" s="58" t="s">
        <v>488</v>
      </c>
      <c r="F15" s="59">
        <v>46054.0</v>
      </c>
      <c r="G15" s="34"/>
      <c r="H15" s="56" t="s">
        <v>489</v>
      </c>
      <c r="I15" s="56" t="s">
        <v>490</v>
      </c>
      <c r="J15" s="94">
        <v>863.45</v>
      </c>
      <c r="K15" s="61">
        <v>0.0</v>
      </c>
      <c r="L15" s="60">
        <v>0.0</v>
      </c>
      <c r="M15" s="62">
        <v>15.0</v>
      </c>
      <c r="N15" s="62">
        <v>0.0</v>
      </c>
      <c r="O15" s="62">
        <v>15.0</v>
      </c>
      <c r="P15" s="57">
        <v>1.0</v>
      </c>
      <c r="Q15" s="62">
        <v>15.0</v>
      </c>
      <c r="R15" s="56" t="s">
        <v>491</v>
      </c>
      <c r="S15" s="63">
        <v>15.0</v>
      </c>
    </row>
    <row r="16" ht="12.0" customHeight="1">
      <c r="A16" s="37" t="s">
        <v>492</v>
      </c>
      <c r="B16" s="38">
        <v>1.10665953E8</v>
      </c>
      <c r="C16" s="25" t="str">
        <f t="shared" si="2"/>
        <v>1106659535</v>
      </c>
      <c r="D16" s="39" t="s">
        <v>493</v>
      </c>
      <c r="E16" s="39" t="s">
        <v>494</v>
      </c>
      <c r="F16" s="40">
        <v>46054.0</v>
      </c>
      <c r="G16" s="41"/>
      <c r="H16" s="37" t="s">
        <v>495</v>
      </c>
      <c r="I16" s="37" t="s">
        <v>496</v>
      </c>
      <c r="J16" s="80">
        <v>625.72</v>
      </c>
      <c r="K16" s="43">
        <v>0.0</v>
      </c>
      <c r="L16" s="44">
        <v>0.0</v>
      </c>
      <c r="M16" s="45">
        <v>15.0</v>
      </c>
      <c r="N16" s="45">
        <v>1.0</v>
      </c>
      <c r="O16" s="45">
        <v>16.0</v>
      </c>
      <c r="P16" s="38">
        <v>1.0</v>
      </c>
      <c r="Q16" s="45">
        <v>16.0</v>
      </c>
      <c r="R16" s="37" t="s">
        <v>497</v>
      </c>
      <c r="S16" s="46">
        <v>16.0</v>
      </c>
    </row>
    <row r="17" ht="12.0" customHeight="1">
      <c r="A17" s="56" t="s">
        <v>498</v>
      </c>
      <c r="B17" s="57">
        <v>1.10696019E8</v>
      </c>
      <c r="C17" s="25" t="str">
        <f t="shared" si="2"/>
        <v>1106960195</v>
      </c>
      <c r="D17" s="58" t="s">
        <v>499</v>
      </c>
      <c r="E17" s="58" t="s">
        <v>500</v>
      </c>
      <c r="F17" s="59">
        <v>46023.0</v>
      </c>
      <c r="G17" s="34"/>
      <c r="H17" s="56" t="s">
        <v>501</v>
      </c>
      <c r="I17" s="56" t="s">
        <v>502</v>
      </c>
      <c r="J17" s="94">
        <v>994.3</v>
      </c>
      <c r="K17" s="61">
        <v>0.0</v>
      </c>
      <c r="L17" s="60">
        <v>0.0</v>
      </c>
      <c r="M17" s="62">
        <v>15.0</v>
      </c>
      <c r="N17" s="62">
        <v>0.0</v>
      </c>
      <c r="O17" s="62">
        <v>15.0</v>
      </c>
      <c r="P17" s="57">
        <v>1.0</v>
      </c>
      <c r="Q17" s="62">
        <v>15.0</v>
      </c>
      <c r="R17" s="56" t="s">
        <v>503</v>
      </c>
      <c r="S17" s="63">
        <v>15.0</v>
      </c>
    </row>
    <row r="18" ht="12.0" customHeight="1">
      <c r="A18" s="37" t="s">
        <v>504</v>
      </c>
      <c r="B18" s="38">
        <v>1.10851077E8</v>
      </c>
      <c r="C18" s="25" t="str">
        <f t="shared" si="2"/>
        <v>1108510775</v>
      </c>
      <c r="D18" s="39" t="s">
        <v>505</v>
      </c>
      <c r="E18" s="39" t="s">
        <v>506</v>
      </c>
      <c r="F18" s="40">
        <v>46023.0</v>
      </c>
      <c r="G18" s="41"/>
      <c r="H18" s="37" t="s">
        <v>507</v>
      </c>
      <c r="I18" s="37" t="s">
        <v>508</v>
      </c>
      <c r="J18" s="42">
        <v>1556.54</v>
      </c>
      <c r="K18" s="43">
        <v>0.0</v>
      </c>
      <c r="L18" s="44">
        <v>0.0</v>
      </c>
      <c r="M18" s="45">
        <v>15.0</v>
      </c>
      <c r="N18" s="45">
        <v>0.0</v>
      </c>
      <c r="O18" s="45">
        <v>15.0</v>
      </c>
      <c r="P18" s="38">
        <v>3.0</v>
      </c>
      <c r="Q18" s="45">
        <v>45.0</v>
      </c>
      <c r="R18" s="37" t="s">
        <v>509</v>
      </c>
      <c r="S18" s="46">
        <v>45.0</v>
      </c>
    </row>
    <row r="19" ht="12.0" customHeight="1">
      <c r="A19" s="56" t="s">
        <v>510</v>
      </c>
      <c r="B19" s="57">
        <v>1.1113178E8</v>
      </c>
      <c r="C19" s="25" t="str">
        <f t="shared" si="2"/>
        <v>1111317805</v>
      </c>
      <c r="D19" s="58" t="s">
        <v>511</v>
      </c>
      <c r="E19" s="58" t="s">
        <v>512</v>
      </c>
      <c r="F19" s="59">
        <v>46023.0</v>
      </c>
      <c r="G19" s="34"/>
      <c r="H19" s="56" t="s">
        <v>513</v>
      </c>
      <c r="I19" s="56" t="s">
        <v>514</v>
      </c>
      <c r="J19" s="95">
        <v>1494.32</v>
      </c>
      <c r="K19" s="61">
        <v>0.0</v>
      </c>
      <c r="L19" s="60">
        <v>0.0</v>
      </c>
      <c r="M19" s="62">
        <v>15.0</v>
      </c>
      <c r="N19" s="62">
        <v>0.0</v>
      </c>
      <c r="O19" s="62">
        <v>15.0</v>
      </c>
      <c r="P19" s="57">
        <v>2.0</v>
      </c>
      <c r="Q19" s="62">
        <v>30.0</v>
      </c>
      <c r="R19" s="56" t="s">
        <v>515</v>
      </c>
      <c r="S19" s="63">
        <v>30.0</v>
      </c>
    </row>
    <row r="20" ht="12.0" customHeight="1">
      <c r="A20" s="37" t="s">
        <v>516</v>
      </c>
      <c r="B20" s="38">
        <v>1.11339206E8</v>
      </c>
      <c r="C20" s="25" t="str">
        <f t="shared" si="2"/>
        <v>1113392065</v>
      </c>
      <c r="D20" s="39" t="s">
        <v>517</v>
      </c>
      <c r="E20" s="39" t="s">
        <v>518</v>
      </c>
      <c r="F20" s="40">
        <v>46023.0</v>
      </c>
      <c r="G20" s="41"/>
      <c r="H20" s="37" t="s">
        <v>519</v>
      </c>
      <c r="I20" s="37" t="s">
        <v>520</v>
      </c>
      <c r="J20" s="80">
        <v>966.86</v>
      </c>
      <c r="K20" s="43">
        <v>0.0</v>
      </c>
      <c r="L20" s="44">
        <v>0.0</v>
      </c>
      <c r="M20" s="45">
        <v>15.0</v>
      </c>
      <c r="N20" s="45">
        <v>0.0</v>
      </c>
      <c r="O20" s="45">
        <v>15.0</v>
      </c>
      <c r="P20" s="38">
        <v>1.0</v>
      </c>
      <c r="Q20" s="45">
        <v>15.0</v>
      </c>
      <c r="R20" s="37" t="s">
        <v>521</v>
      </c>
      <c r="S20" s="46">
        <v>15.0</v>
      </c>
    </row>
    <row r="21" ht="12.0" customHeight="1">
      <c r="A21" s="56" t="s">
        <v>522</v>
      </c>
      <c r="B21" s="57">
        <v>1.11928637E8</v>
      </c>
      <c r="C21" s="25" t="str">
        <f t="shared" si="2"/>
        <v>1119286375</v>
      </c>
      <c r="D21" s="58" t="s">
        <v>523</v>
      </c>
      <c r="E21" s="58" t="s">
        <v>524</v>
      </c>
      <c r="F21" s="59">
        <v>46023.0</v>
      </c>
      <c r="G21" s="34"/>
      <c r="H21" s="56" t="s">
        <v>525</v>
      </c>
      <c r="I21" s="56" t="s">
        <v>526</v>
      </c>
      <c r="J21" s="95">
        <v>1358.69</v>
      </c>
      <c r="K21" s="61">
        <v>0.0</v>
      </c>
      <c r="L21" s="60">
        <v>0.0</v>
      </c>
      <c r="M21" s="62">
        <v>15.0</v>
      </c>
      <c r="N21" s="62">
        <v>0.0</v>
      </c>
      <c r="O21" s="62">
        <v>15.0</v>
      </c>
      <c r="P21" s="57">
        <v>1.0</v>
      </c>
      <c r="Q21" s="62">
        <v>15.0</v>
      </c>
      <c r="R21" s="56" t="s">
        <v>527</v>
      </c>
      <c r="S21" s="63">
        <v>15.0</v>
      </c>
    </row>
    <row r="22" ht="12.0" customHeight="1">
      <c r="A22" s="37" t="s">
        <v>528</v>
      </c>
      <c r="B22" s="38">
        <v>1.12041303E8</v>
      </c>
      <c r="C22" s="25" t="str">
        <f t="shared" si="2"/>
        <v>1120413035</v>
      </c>
      <c r="D22" s="39" t="s">
        <v>529</v>
      </c>
      <c r="E22" s="39" t="s">
        <v>530</v>
      </c>
      <c r="F22" s="40">
        <v>46023.0</v>
      </c>
      <c r="G22" s="41"/>
      <c r="H22" s="37" t="s">
        <v>531</v>
      </c>
      <c r="I22" s="37" t="s">
        <v>532</v>
      </c>
      <c r="J22" s="42">
        <v>1105.98</v>
      </c>
      <c r="K22" s="43">
        <v>0.0</v>
      </c>
      <c r="L22" s="44">
        <v>0.0</v>
      </c>
      <c r="M22" s="45">
        <v>15.0</v>
      </c>
      <c r="N22" s="45">
        <v>0.0</v>
      </c>
      <c r="O22" s="45">
        <v>15.0</v>
      </c>
      <c r="P22" s="38">
        <v>1.0</v>
      </c>
      <c r="Q22" s="45">
        <v>15.0</v>
      </c>
      <c r="R22" s="37" t="s">
        <v>533</v>
      </c>
      <c r="S22" s="46">
        <v>15.0</v>
      </c>
    </row>
    <row r="23" ht="12.0" customHeight="1">
      <c r="A23" s="56" t="s">
        <v>534</v>
      </c>
      <c r="B23" s="57">
        <v>1.12247781E8</v>
      </c>
      <c r="C23" s="25" t="str">
        <f t="shared" si="2"/>
        <v>1122477815</v>
      </c>
      <c r="D23" s="58" t="s">
        <v>535</v>
      </c>
      <c r="E23" s="58" t="s">
        <v>536</v>
      </c>
      <c r="F23" s="59">
        <v>46054.0</v>
      </c>
      <c r="G23" s="34"/>
      <c r="H23" s="56" t="s">
        <v>537</v>
      </c>
      <c r="I23" s="56" t="s">
        <v>538</v>
      </c>
      <c r="J23" s="94">
        <v>469.86</v>
      </c>
      <c r="K23" s="61">
        <v>0.0</v>
      </c>
      <c r="L23" s="60">
        <v>0.0</v>
      </c>
      <c r="M23" s="62">
        <v>15.0</v>
      </c>
      <c r="N23" s="62">
        <v>0.0</v>
      </c>
      <c r="O23" s="62">
        <v>15.0</v>
      </c>
      <c r="P23" s="57">
        <v>1.0</v>
      </c>
      <c r="Q23" s="62">
        <v>15.0</v>
      </c>
      <c r="R23" s="56" t="s">
        <v>539</v>
      </c>
      <c r="S23" s="63">
        <v>15.0</v>
      </c>
    </row>
    <row r="24" ht="12.0" customHeight="1">
      <c r="A24" s="37" t="s">
        <v>540</v>
      </c>
      <c r="B24" s="38">
        <v>1.12331941E8</v>
      </c>
      <c r="C24" s="25" t="str">
        <f t="shared" si="2"/>
        <v>1123319415</v>
      </c>
      <c r="D24" s="39" t="s">
        <v>541</v>
      </c>
      <c r="E24" s="39" t="s">
        <v>542</v>
      </c>
      <c r="F24" s="40">
        <v>46023.0</v>
      </c>
      <c r="G24" s="41"/>
      <c r="H24" s="37" t="s">
        <v>543</v>
      </c>
      <c r="I24" s="37" t="s">
        <v>544</v>
      </c>
      <c r="J24" s="80">
        <v>454.16</v>
      </c>
      <c r="K24" s="43">
        <v>0.0</v>
      </c>
      <c r="L24" s="44">
        <v>0.0</v>
      </c>
      <c r="M24" s="45">
        <v>15.0</v>
      </c>
      <c r="N24" s="45">
        <v>0.0</v>
      </c>
      <c r="O24" s="45">
        <v>15.0</v>
      </c>
      <c r="P24" s="38">
        <v>1.0</v>
      </c>
      <c r="Q24" s="45">
        <v>15.0</v>
      </c>
      <c r="R24" s="37" t="s">
        <v>545</v>
      </c>
      <c r="S24" s="46">
        <v>15.0</v>
      </c>
    </row>
    <row r="25" ht="12.0" customHeight="1">
      <c r="A25" s="56" t="s">
        <v>546</v>
      </c>
      <c r="B25" s="57">
        <v>1.12351334E8</v>
      </c>
      <c r="C25" s="25" t="str">
        <f t="shared" si="2"/>
        <v>1123513345</v>
      </c>
      <c r="D25" s="58" t="s">
        <v>547</v>
      </c>
      <c r="E25" s="58" t="s">
        <v>548</v>
      </c>
      <c r="F25" s="59">
        <v>46023.0</v>
      </c>
      <c r="G25" s="34"/>
      <c r="H25" s="56" t="s">
        <v>549</v>
      </c>
      <c r="I25" s="56" t="s">
        <v>550</v>
      </c>
      <c r="J25" s="95">
        <v>2240.32</v>
      </c>
      <c r="K25" s="61">
        <v>0.0</v>
      </c>
      <c r="L25" s="60">
        <v>0.0</v>
      </c>
      <c r="M25" s="62">
        <v>15.0</v>
      </c>
      <c r="N25" s="62">
        <v>0.0</v>
      </c>
      <c r="O25" s="62">
        <v>15.0</v>
      </c>
      <c r="P25" s="57">
        <v>2.0</v>
      </c>
      <c r="Q25" s="62">
        <v>30.0</v>
      </c>
      <c r="R25" s="56" t="s">
        <v>551</v>
      </c>
      <c r="S25" s="63">
        <v>30.0</v>
      </c>
    </row>
    <row r="26" ht="12.0" customHeight="1">
      <c r="A26" s="37" t="s">
        <v>552</v>
      </c>
      <c r="B26" s="38">
        <v>1.1236082E8</v>
      </c>
      <c r="C26" s="25" t="str">
        <f t="shared" si="2"/>
        <v>1123608205</v>
      </c>
      <c r="D26" s="39" t="s">
        <v>553</v>
      </c>
      <c r="E26" s="39" t="s">
        <v>554</v>
      </c>
      <c r="F26" s="40">
        <v>46023.0</v>
      </c>
      <c r="G26" s="41"/>
      <c r="H26" s="37" t="s">
        <v>555</v>
      </c>
      <c r="I26" s="37" t="s">
        <v>556</v>
      </c>
      <c r="J26" s="80">
        <v>857.77</v>
      </c>
      <c r="K26" s="43">
        <v>0.0</v>
      </c>
      <c r="L26" s="44">
        <v>0.0</v>
      </c>
      <c r="M26" s="45">
        <v>15.0</v>
      </c>
      <c r="N26" s="45">
        <v>0.0</v>
      </c>
      <c r="O26" s="45">
        <v>15.0</v>
      </c>
      <c r="P26" s="38">
        <v>1.0</v>
      </c>
      <c r="Q26" s="45">
        <v>15.0</v>
      </c>
      <c r="R26" s="37" t="s">
        <v>557</v>
      </c>
      <c r="S26" s="46">
        <v>15.0</v>
      </c>
    </row>
    <row r="27" ht="12.0" customHeight="1">
      <c r="A27" s="56" t="s">
        <v>558</v>
      </c>
      <c r="B27" s="57">
        <v>1.1250133E8</v>
      </c>
      <c r="C27" s="25" t="str">
        <f t="shared" si="2"/>
        <v>1125013305</v>
      </c>
      <c r="D27" s="58" t="s">
        <v>559</v>
      </c>
      <c r="E27" s="58" t="s">
        <v>560</v>
      </c>
      <c r="F27" s="59">
        <v>46023.0</v>
      </c>
      <c r="G27" s="34"/>
      <c r="H27" s="56" t="s">
        <v>561</v>
      </c>
      <c r="I27" s="56" t="s">
        <v>562</v>
      </c>
      <c r="J27" s="95">
        <v>1279.33</v>
      </c>
      <c r="K27" s="61">
        <v>0.0</v>
      </c>
      <c r="L27" s="60">
        <v>0.0</v>
      </c>
      <c r="M27" s="62">
        <v>15.0</v>
      </c>
      <c r="N27" s="62">
        <v>0.0</v>
      </c>
      <c r="O27" s="62">
        <v>15.0</v>
      </c>
      <c r="P27" s="57">
        <v>2.0</v>
      </c>
      <c r="Q27" s="62">
        <v>30.0</v>
      </c>
      <c r="R27" s="56" t="s">
        <v>563</v>
      </c>
      <c r="S27" s="63">
        <v>30.0</v>
      </c>
    </row>
    <row r="28" ht="12.0" customHeight="1">
      <c r="A28" s="37" t="s">
        <v>564</v>
      </c>
      <c r="B28" s="38">
        <v>1.12870011E8</v>
      </c>
      <c r="C28" s="25" t="str">
        <f t="shared" si="2"/>
        <v>1128700115</v>
      </c>
      <c r="D28" s="39" t="s">
        <v>565</v>
      </c>
      <c r="E28" s="39" t="s">
        <v>566</v>
      </c>
      <c r="F28" s="40">
        <v>46023.0</v>
      </c>
      <c r="G28" s="41"/>
      <c r="H28" s="37" t="s">
        <v>567</v>
      </c>
      <c r="I28" s="37" t="s">
        <v>568</v>
      </c>
      <c r="J28" s="42">
        <v>1395.24</v>
      </c>
      <c r="K28" s="43">
        <v>0.0</v>
      </c>
      <c r="L28" s="44">
        <v>0.0</v>
      </c>
      <c r="M28" s="45">
        <v>15.0</v>
      </c>
      <c r="N28" s="45">
        <v>0.0</v>
      </c>
      <c r="O28" s="45">
        <v>15.0</v>
      </c>
      <c r="P28" s="38">
        <v>1.0</v>
      </c>
      <c r="Q28" s="45">
        <v>15.0</v>
      </c>
      <c r="R28" s="37" t="s">
        <v>569</v>
      </c>
      <c r="S28" s="46">
        <v>15.0</v>
      </c>
    </row>
    <row r="29" ht="12.0" customHeight="1">
      <c r="A29" s="56" t="s">
        <v>570</v>
      </c>
      <c r="B29" s="57">
        <v>1.12876247E8</v>
      </c>
      <c r="C29" s="25" t="str">
        <f t="shared" si="2"/>
        <v>1128762475</v>
      </c>
      <c r="D29" s="58" t="s">
        <v>571</v>
      </c>
      <c r="E29" s="58" t="s">
        <v>572</v>
      </c>
      <c r="F29" s="59">
        <v>46023.0</v>
      </c>
      <c r="G29" s="34"/>
      <c r="H29" s="56" t="s">
        <v>573</v>
      </c>
      <c r="I29" s="56" t="s">
        <v>574</v>
      </c>
      <c r="J29" s="95">
        <v>1271.12</v>
      </c>
      <c r="K29" s="61">
        <v>0.0</v>
      </c>
      <c r="L29" s="60">
        <v>0.0</v>
      </c>
      <c r="M29" s="62">
        <v>15.0</v>
      </c>
      <c r="N29" s="62">
        <v>0.0</v>
      </c>
      <c r="O29" s="62">
        <v>15.0</v>
      </c>
      <c r="P29" s="57">
        <v>1.0</v>
      </c>
      <c r="Q29" s="62">
        <v>15.0</v>
      </c>
      <c r="R29" s="56" t="s">
        <v>575</v>
      </c>
      <c r="S29" s="63">
        <v>15.0</v>
      </c>
    </row>
    <row r="30" ht="12.0" customHeight="1">
      <c r="A30" s="37" t="s">
        <v>576</v>
      </c>
      <c r="B30" s="38">
        <v>1.12900372E8</v>
      </c>
      <c r="C30" s="25" t="str">
        <f t="shared" si="2"/>
        <v>1129003725</v>
      </c>
      <c r="D30" s="39" t="s">
        <v>577</v>
      </c>
      <c r="E30" s="39" t="s">
        <v>578</v>
      </c>
      <c r="F30" s="40">
        <v>46023.0</v>
      </c>
      <c r="G30" s="41"/>
      <c r="H30" s="37" t="s">
        <v>579</v>
      </c>
      <c r="I30" s="37" t="s">
        <v>580</v>
      </c>
      <c r="J30" s="42">
        <v>1090.19</v>
      </c>
      <c r="K30" s="43">
        <v>0.0</v>
      </c>
      <c r="L30" s="44">
        <v>0.0</v>
      </c>
      <c r="M30" s="45">
        <v>15.0</v>
      </c>
      <c r="N30" s="45">
        <v>0.0</v>
      </c>
      <c r="O30" s="45">
        <v>15.0</v>
      </c>
      <c r="P30" s="38">
        <v>1.0</v>
      </c>
      <c r="Q30" s="45">
        <v>15.0</v>
      </c>
      <c r="R30" s="37" t="s">
        <v>581</v>
      </c>
      <c r="S30" s="46">
        <v>15.0</v>
      </c>
    </row>
    <row r="31" ht="14.25" customHeight="1">
      <c r="A31" s="56" t="s">
        <v>582</v>
      </c>
      <c r="B31" s="57">
        <v>1.12941118E8</v>
      </c>
      <c r="C31" s="25" t="str">
        <f t="shared" si="2"/>
        <v>1129411185</v>
      </c>
      <c r="D31" s="58" t="s">
        <v>583</v>
      </c>
      <c r="E31" s="58" t="s">
        <v>584</v>
      </c>
      <c r="F31" s="59">
        <v>46023.0</v>
      </c>
      <c r="G31" s="34"/>
      <c r="H31" s="56" t="s">
        <v>585</v>
      </c>
      <c r="I31" s="56" t="s">
        <v>586</v>
      </c>
      <c r="J31" s="94">
        <v>933.49</v>
      </c>
      <c r="K31" s="61">
        <v>0.0</v>
      </c>
      <c r="L31" s="60">
        <v>0.0</v>
      </c>
      <c r="M31" s="62">
        <v>15.0</v>
      </c>
      <c r="N31" s="62">
        <v>0.0</v>
      </c>
      <c r="O31" s="62">
        <v>15.0</v>
      </c>
      <c r="P31" s="57">
        <v>1.0</v>
      </c>
      <c r="Q31" s="62">
        <v>15.0</v>
      </c>
      <c r="R31" s="56" t="s">
        <v>587</v>
      </c>
      <c r="S31" s="63">
        <v>15.0</v>
      </c>
    </row>
    <row r="32" ht="12.75" customHeight="1">
      <c r="A32" s="34"/>
      <c r="B32" s="34"/>
      <c r="C32" s="34"/>
      <c r="D32" s="34"/>
      <c r="E32" s="6" t="s">
        <v>588</v>
      </c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5">
        <v>406.0</v>
      </c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G1:H1"/>
    <mergeCell ref="G2:H2"/>
    <mergeCell ref="G3:H3"/>
    <mergeCell ref="G4:H4"/>
    <mergeCell ref="G5:H5"/>
    <mergeCell ref="G6:H6"/>
    <mergeCell ref="A7:S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3" width="12.71"/>
    <col customWidth="1" min="4" max="4" width="20.0"/>
    <col customWidth="1" min="5" max="5" width="11.43"/>
    <col customWidth="1" min="6" max="6" width="12.71"/>
    <col customWidth="1" min="7" max="7" width="10.43"/>
    <col customWidth="1" min="8" max="8" width="13.29"/>
    <col customWidth="1" min="9" max="9" width="8.43"/>
    <col customWidth="1" min="10" max="10" width="8.86"/>
    <col customWidth="1" min="11" max="11" width="12.43"/>
    <col customWidth="1" min="12" max="12" width="10.71"/>
    <col customWidth="1" min="13" max="13" width="14.71"/>
    <col customWidth="1" min="14" max="14" width="8.14"/>
    <col customWidth="1" min="15" max="15" width="12.71"/>
    <col customWidth="1" min="16" max="16" width="9.43"/>
    <col customWidth="1" min="17" max="17" width="10.71"/>
    <col customWidth="1" min="18" max="18" width="14.71"/>
    <col customWidth="1" min="19" max="19" width="10.71"/>
    <col customWidth="1" min="20" max="20" width="14.71"/>
    <col customWidth="1" min="21" max="21" width="4.86"/>
    <col customWidth="1" min="22" max="27" width="8.71"/>
  </cols>
  <sheetData>
    <row r="1" ht="12.75" customHeight="1">
      <c r="A1" s="6" t="s">
        <v>589</v>
      </c>
    </row>
    <row r="2" ht="16.5" customHeight="1">
      <c r="A2" s="15" t="s">
        <v>590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ht="14.25" customHeight="1">
      <c r="A3" s="16" t="s">
        <v>591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8"/>
    </row>
    <row r="4" ht="30.75" customHeight="1">
      <c r="A4" s="19" t="s">
        <v>592</v>
      </c>
      <c r="B4" s="19" t="s">
        <v>593</v>
      </c>
      <c r="C4" s="19"/>
      <c r="D4" s="20" t="s">
        <v>594</v>
      </c>
      <c r="E4" s="20" t="s">
        <v>595</v>
      </c>
      <c r="F4" s="67"/>
      <c r="G4" s="21" t="s">
        <v>596</v>
      </c>
      <c r="H4" s="21" t="s">
        <v>597</v>
      </c>
      <c r="I4" s="19" t="s">
        <v>598</v>
      </c>
      <c r="J4" s="19" t="s">
        <v>599</v>
      </c>
      <c r="K4" s="20" t="s">
        <v>600</v>
      </c>
      <c r="L4" s="21" t="s">
        <v>601</v>
      </c>
      <c r="M4" s="22" t="s">
        <v>602</v>
      </c>
      <c r="N4" s="23" t="s">
        <v>603</v>
      </c>
      <c r="O4" s="22" t="s">
        <v>604</v>
      </c>
      <c r="P4" s="19" t="s">
        <v>605</v>
      </c>
      <c r="Q4" s="21" t="s">
        <v>606</v>
      </c>
      <c r="R4" s="22" t="s">
        <v>607</v>
      </c>
      <c r="S4" s="19" t="s">
        <v>608</v>
      </c>
      <c r="T4" s="22" t="s">
        <v>609</v>
      </c>
    </row>
    <row r="5" ht="5.25" customHeight="1">
      <c r="A5" s="36"/>
      <c r="B5" s="36"/>
      <c r="C5" s="36"/>
      <c r="D5" s="36"/>
      <c r="E5" s="36"/>
      <c r="F5" s="92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</row>
    <row r="6" ht="12.0" customHeight="1">
      <c r="A6" s="37" t="s">
        <v>610</v>
      </c>
      <c r="B6" s="38">
        <v>1.13178497E8</v>
      </c>
      <c r="C6" s="25" t="str">
        <f>concat(B6,5)</f>
        <v>1131784975</v>
      </c>
      <c r="D6" s="39" t="s">
        <v>611</v>
      </c>
      <c r="E6" s="93" t="s">
        <v>612</v>
      </c>
      <c r="F6" s="3"/>
      <c r="G6" s="77">
        <v>46023.0</v>
      </c>
      <c r="H6" s="41"/>
      <c r="I6" s="37" t="s">
        <v>613</v>
      </c>
      <c r="J6" s="37" t="s">
        <v>614</v>
      </c>
      <c r="K6" s="80">
        <v>477.04</v>
      </c>
      <c r="L6" s="79">
        <v>0.0</v>
      </c>
      <c r="M6" s="80">
        <v>0.0</v>
      </c>
      <c r="N6" s="80">
        <v>15.0</v>
      </c>
      <c r="O6" s="80">
        <v>1.0</v>
      </c>
      <c r="P6" s="45">
        <v>16.0</v>
      </c>
      <c r="Q6" s="38">
        <v>1.0</v>
      </c>
      <c r="R6" s="80">
        <v>16.0</v>
      </c>
      <c r="S6" s="37" t="s">
        <v>615</v>
      </c>
      <c r="T6" s="80">
        <v>16.0</v>
      </c>
    </row>
    <row r="7" ht="12.75" customHeight="1">
      <c r="A7" s="6" t="s">
        <v>616</v>
      </c>
    </row>
    <row r="8" ht="12.75" customHeight="1">
      <c r="A8" s="6" t="s">
        <v>617</v>
      </c>
    </row>
    <row r="9" ht="16.5" customHeight="1">
      <c r="A9" s="15" t="s">
        <v>618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3"/>
    </row>
    <row r="10" ht="14.25" customHeight="1">
      <c r="A10" s="16" t="s">
        <v>619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8"/>
    </row>
    <row r="11" ht="30.75" customHeight="1">
      <c r="A11" s="19" t="s">
        <v>620</v>
      </c>
      <c r="B11" s="19" t="s">
        <v>621</v>
      </c>
      <c r="C11" s="19"/>
      <c r="D11" s="20" t="s">
        <v>622</v>
      </c>
      <c r="E11" s="20" t="s">
        <v>623</v>
      </c>
      <c r="F11" s="67"/>
      <c r="G11" s="21" t="s">
        <v>624</v>
      </c>
      <c r="H11" s="21" t="s">
        <v>625</v>
      </c>
      <c r="I11" s="19" t="s">
        <v>626</v>
      </c>
      <c r="J11" s="19" t="s">
        <v>627</v>
      </c>
      <c r="K11" s="20" t="s">
        <v>628</v>
      </c>
      <c r="L11" s="21" t="s">
        <v>629</v>
      </c>
      <c r="M11" s="22" t="s">
        <v>630</v>
      </c>
      <c r="N11" s="23" t="s">
        <v>631</v>
      </c>
      <c r="O11" s="22" t="s">
        <v>632</v>
      </c>
      <c r="P11" s="19" t="s">
        <v>633</v>
      </c>
      <c r="Q11" s="21" t="s">
        <v>634</v>
      </c>
      <c r="R11" s="22" t="s">
        <v>635</v>
      </c>
      <c r="S11" s="19" t="s">
        <v>636</v>
      </c>
      <c r="T11" s="22" t="s">
        <v>637</v>
      </c>
    </row>
    <row r="12" ht="16.5" customHeight="1">
      <c r="A12" s="24" t="s">
        <v>638</v>
      </c>
      <c r="B12" s="25">
        <v>1.12956116E8</v>
      </c>
      <c r="C12" s="25" t="str">
        <f t="shared" ref="C12:C15" si="1">concat(B12,3)</f>
        <v>1129561163</v>
      </c>
      <c r="D12" s="26" t="s">
        <v>639</v>
      </c>
      <c r="E12" s="26" t="s">
        <v>640</v>
      </c>
      <c r="F12" s="92"/>
      <c r="G12" s="53">
        <v>46023.0</v>
      </c>
      <c r="H12" s="28"/>
      <c r="I12" s="24" t="s">
        <v>641</v>
      </c>
      <c r="J12" s="24" t="s">
        <v>642</v>
      </c>
      <c r="K12" s="33">
        <v>1355.36</v>
      </c>
      <c r="L12" s="54">
        <v>0.04</v>
      </c>
      <c r="M12" s="55">
        <v>54.21</v>
      </c>
      <c r="N12" s="32">
        <v>0.0</v>
      </c>
      <c r="O12" s="32">
        <v>0.0</v>
      </c>
      <c r="P12" s="32">
        <v>0.0</v>
      </c>
      <c r="Q12" s="25">
        <v>1.0</v>
      </c>
      <c r="R12" s="32">
        <v>0.0</v>
      </c>
      <c r="S12" s="24" t="s">
        <v>643</v>
      </c>
      <c r="T12" s="33">
        <v>54.21</v>
      </c>
    </row>
    <row r="13" ht="12.0" customHeight="1">
      <c r="A13" s="37" t="s">
        <v>644</v>
      </c>
      <c r="B13" s="38">
        <v>1.12982699E8</v>
      </c>
      <c r="C13" s="25" t="str">
        <f t="shared" si="1"/>
        <v>1129826993</v>
      </c>
      <c r="D13" s="39" t="s">
        <v>645</v>
      </c>
      <c r="E13" s="93" t="s">
        <v>646</v>
      </c>
      <c r="F13" s="3"/>
      <c r="G13" s="40">
        <v>46023.0</v>
      </c>
      <c r="H13" s="77">
        <v>46112.0</v>
      </c>
      <c r="I13" s="37" t="s">
        <v>647</v>
      </c>
      <c r="J13" s="37" t="s">
        <v>648</v>
      </c>
      <c r="K13" s="46">
        <v>968.75</v>
      </c>
      <c r="L13" s="43">
        <v>0.04</v>
      </c>
      <c r="M13" s="44">
        <v>38.75</v>
      </c>
      <c r="N13" s="45">
        <v>0.0</v>
      </c>
      <c r="O13" s="45">
        <v>0.0</v>
      </c>
      <c r="P13" s="45">
        <v>0.0</v>
      </c>
      <c r="Q13" s="38">
        <v>1.0</v>
      </c>
      <c r="R13" s="45">
        <v>0.0</v>
      </c>
      <c r="S13" s="37" t="s">
        <v>649</v>
      </c>
      <c r="T13" s="46">
        <v>38.75</v>
      </c>
    </row>
    <row r="14" ht="12.0" customHeight="1">
      <c r="A14" s="56" t="s">
        <v>650</v>
      </c>
      <c r="B14" s="57">
        <v>1.12982708E8</v>
      </c>
      <c r="C14" s="25" t="str">
        <f t="shared" si="1"/>
        <v>1129827083</v>
      </c>
      <c r="D14" s="58" t="s">
        <v>651</v>
      </c>
      <c r="E14" s="58" t="s">
        <v>652</v>
      </c>
      <c r="G14" s="59">
        <v>46023.0</v>
      </c>
      <c r="H14" s="34"/>
      <c r="I14" s="56" t="s">
        <v>653</v>
      </c>
      <c r="J14" s="56" t="s">
        <v>654</v>
      </c>
      <c r="K14" s="63">
        <v>1500.08</v>
      </c>
      <c r="L14" s="61">
        <v>0.04</v>
      </c>
      <c r="M14" s="60">
        <v>60.0</v>
      </c>
      <c r="N14" s="62">
        <v>0.0</v>
      </c>
      <c r="O14" s="62">
        <v>0.0</v>
      </c>
      <c r="P14" s="62">
        <v>0.0</v>
      </c>
      <c r="Q14" s="57">
        <v>1.0</v>
      </c>
      <c r="R14" s="62">
        <v>0.0</v>
      </c>
      <c r="S14" s="56" t="s">
        <v>655</v>
      </c>
      <c r="T14" s="63">
        <v>60.0</v>
      </c>
    </row>
    <row r="15" ht="12.0" customHeight="1">
      <c r="A15" s="37" t="s">
        <v>656</v>
      </c>
      <c r="B15" s="38">
        <v>1.13187214E8</v>
      </c>
      <c r="C15" s="25" t="str">
        <f t="shared" si="1"/>
        <v>1131872143</v>
      </c>
      <c r="D15" s="39" t="s">
        <v>657</v>
      </c>
      <c r="E15" s="93" t="s">
        <v>658</v>
      </c>
      <c r="F15" s="3"/>
      <c r="G15" s="40">
        <v>46054.0</v>
      </c>
      <c r="H15" s="41"/>
      <c r="I15" s="37" t="s">
        <v>659</v>
      </c>
      <c r="J15" s="37" t="s">
        <v>660</v>
      </c>
      <c r="K15" s="46">
        <v>896.61</v>
      </c>
      <c r="L15" s="43">
        <v>0.04</v>
      </c>
      <c r="M15" s="44">
        <v>35.86</v>
      </c>
      <c r="N15" s="45">
        <v>0.0</v>
      </c>
      <c r="O15" s="45">
        <v>0.0</v>
      </c>
      <c r="P15" s="45">
        <v>0.0</v>
      </c>
      <c r="Q15" s="38">
        <v>2.0</v>
      </c>
      <c r="R15" s="45">
        <v>0.0</v>
      </c>
      <c r="S15" s="37" t="s">
        <v>661</v>
      </c>
      <c r="T15" s="46">
        <v>35.86</v>
      </c>
    </row>
    <row r="16" ht="12.0" customHeight="1">
      <c r="A16" s="56" t="s">
        <v>662</v>
      </c>
      <c r="B16" s="57">
        <v>1.12949073E8</v>
      </c>
      <c r="C16" s="25" t="str">
        <f t="shared" ref="C16:C19" si="2">concat(B16,5)</f>
        <v>1129490735</v>
      </c>
      <c r="D16" s="58" t="s">
        <v>663</v>
      </c>
      <c r="E16" s="58" t="s">
        <v>664</v>
      </c>
      <c r="G16" s="59">
        <v>46023.0</v>
      </c>
      <c r="H16" s="34"/>
      <c r="I16" s="56" t="s">
        <v>665</v>
      </c>
      <c r="J16" s="56" t="s">
        <v>666</v>
      </c>
      <c r="K16" s="60">
        <v>971.96</v>
      </c>
      <c r="L16" s="61">
        <v>0.0</v>
      </c>
      <c r="M16" s="60">
        <v>0.0</v>
      </c>
      <c r="N16" s="62">
        <v>15.0</v>
      </c>
      <c r="O16" s="62">
        <v>0.0</v>
      </c>
      <c r="P16" s="62">
        <v>15.0</v>
      </c>
      <c r="Q16" s="57">
        <v>1.0</v>
      </c>
      <c r="R16" s="62">
        <v>15.0</v>
      </c>
      <c r="S16" s="56" t="s">
        <v>667</v>
      </c>
      <c r="T16" s="63">
        <v>15.0</v>
      </c>
    </row>
    <row r="17" ht="12.0" customHeight="1">
      <c r="A17" s="37" t="s">
        <v>668</v>
      </c>
      <c r="B17" s="38">
        <v>1.12953723E8</v>
      </c>
      <c r="C17" s="25" t="str">
        <f t="shared" si="2"/>
        <v>1129537235</v>
      </c>
      <c r="D17" s="39" t="s">
        <v>669</v>
      </c>
      <c r="E17" s="93" t="s">
        <v>670</v>
      </c>
      <c r="F17" s="3"/>
      <c r="G17" s="40">
        <v>46023.0</v>
      </c>
      <c r="H17" s="41"/>
      <c r="I17" s="37" t="s">
        <v>671</v>
      </c>
      <c r="J17" s="37" t="s">
        <v>672</v>
      </c>
      <c r="K17" s="44">
        <v>397.56</v>
      </c>
      <c r="L17" s="43">
        <v>0.0</v>
      </c>
      <c r="M17" s="44">
        <v>0.0</v>
      </c>
      <c r="N17" s="45">
        <v>15.0</v>
      </c>
      <c r="O17" s="45">
        <v>0.0</v>
      </c>
      <c r="P17" s="45">
        <v>15.0</v>
      </c>
      <c r="Q17" s="38">
        <v>1.0</v>
      </c>
      <c r="R17" s="45">
        <v>15.0</v>
      </c>
      <c r="S17" s="37" t="s">
        <v>673</v>
      </c>
      <c r="T17" s="46">
        <v>15.0</v>
      </c>
    </row>
    <row r="18" ht="12.0" customHeight="1">
      <c r="A18" s="56" t="s">
        <v>674</v>
      </c>
      <c r="B18" s="57">
        <v>1.12956066E8</v>
      </c>
      <c r="C18" s="25" t="str">
        <f t="shared" si="2"/>
        <v>1129560665</v>
      </c>
      <c r="D18" s="58" t="s">
        <v>675</v>
      </c>
      <c r="E18" s="58" t="s">
        <v>676</v>
      </c>
      <c r="G18" s="59">
        <v>46023.0</v>
      </c>
      <c r="H18" s="34"/>
      <c r="I18" s="56" t="s">
        <v>677</v>
      </c>
      <c r="J18" s="56" t="s">
        <v>678</v>
      </c>
      <c r="K18" s="64">
        <v>1229.16</v>
      </c>
      <c r="L18" s="61">
        <v>0.0</v>
      </c>
      <c r="M18" s="60">
        <v>0.0</v>
      </c>
      <c r="N18" s="62">
        <v>15.0</v>
      </c>
      <c r="O18" s="62">
        <v>0.0</v>
      </c>
      <c r="P18" s="62">
        <v>15.0</v>
      </c>
      <c r="Q18" s="57">
        <v>1.0</v>
      </c>
      <c r="R18" s="62">
        <v>15.0</v>
      </c>
      <c r="S18" s="56" t="s">
        <v>679</v>
      </c>
      <c r="T18" s="63">
        <v>15.0</v>
      </c>
    </row>
    <row r="19" ht="12.0" customHeight="1">
      <c r="A19" s="37" t="s">
        <v>680</v>
      </c>
      <c r="B19" s="38">
        <v>1.13159408E8</v>
      </c>
      <c r="C19" s="25" t="str">
        <f t="shared" si="2"/>
        <v>1131594085</v>
      </c>
      <c r="D19" s="39" t="s">
        <v>681</v>
      </c>
      <c r="E19" s="93" t="s">
        <v>682</v>
      </c>
      <c r="F19" s="3"/>
      <c r="G19" s="40">
        <v>46023.0</v>
      </c>
      <c r="H19" s="41"/>
      <c r="I19" s="37" t="s">
        <v>683</v>
      </c>
      <c r="J19" s="37" t="s">
        <v>684</v>
      </c>
      <c r="K19" s="44">
        <v>877.42</v>
      </c>
      <c r="L19" s="43">
        <v>0.0</v>
      </c>
      <c r="M19" s="44">
        <v>0.0</v>
      </c>
      <c r="N19" s="45">
        <v>15.0</v>
      </c>
      <c r="O19" s="45">
        <v>0.0</v>
      </c>
      <c r="P19" s="45">
        <v>15.0</v>
      </c>
      <c r="Q19" s="38">
        <v>1.0</v>
      </c>
      <c r="R19" s="45">
        <v>15.0</v>
      </c>
      <c r="S19" s="37" t="s">
        <v>685</v>
      </c>
      <c r="T19" s="46">
        <v>15.0</v>
      </c>
    </row>
    <row r="20" ht="12.0" customHeight="1">
      <c r="A20" s="56" t="s">
        <v>686</v>
      </c>
      <c r="B20" s="57">
        <v>1.12905472E8</v>
      </c>
      <c r="C20" s="25" t="str">
        <f>concat(B20,3)</f>
        <v>1129054723</v>
      </c>
      <c r="D20" s="58" t="s">
        <v>687</v>
      </c>
      <c r="E20" s="58" t="s">
        <v>688</v>
      </c>
      <c r="G20" s="59">
        <v>46023.0</v>
      </c>
      <c r="H20" s="34"/>
      <c r="I20" s="56" t="s">
        <v>689</v>
      </c>
      <c r="J20" s="56" t="s">
        <v>690</v>
      </c>
      <c r="K20" s="64">
        <v>1587.71</v>
      </c>
      <c r="L20" s="61">
        <v>0.0</v>
      </c>
      <c r="M20" s="60">
        <v>0.0</v>
      </c>
      <c r="N20" s="62">
        <v>21.0</v>
      </c>
      <c r="O20" s="62">
        <v>0.0</v>
      </c>
      <c r="P20" s="62">
        <v>21.0</v>
      </c>
      <c r="Q20" s="57">
        <v>1.0</v>
      </c>
      <c r="R20" s="62">
        <v>21.0</v>
      </c>
      <c r="S20" s="56" t="s">
        <v>691</v>
      </c>
      <c r="T20" s="63">
        <v>21.0</v>
      </c>
    </row>
    <row r="21" ht="12.0" customHeight="1">
      <c r="A21" s="37" t="s">
        <v>692</v>
      </c>
      <c r="B21" s="38">
        <v>1.12980045E8</v>
      </c>
      <c r="C21" s="25" t="str">
        <f>concat(B21,5)</f>
        <v>1129800455</v>
      </c>
      <c r="D21" s="39" t="s">
        <v>693</v>
      </c>
      <c r="E21" s="93" t="s">
        <v>694</v>
      </c>
      <c r="F21" s="3"/>
      <c r="G21" s="40">
        <v>46023.0</v>
      </c>
      <c r="H21" s="41"/>
      <c r="I21" s="37" t="s">
        <v>695</v>
      </c>
      <c r="J21" s="37" t="s">
        <v>696</v>
      </c>
      <c r="K21" s="65">
        <v>1051.74</v>
      </c>
      <c r="L21" s="43">
        <v>0.0</v>
      </c>
      <c r="M21" s="44">
        <v>0.0</v>
      </c>
      <c r="N21" s="45">
        <v>10.0</v>
      </c>
      <c r="O21" s="45">
        <v>0.0</v>
      </c>
      <c r="P21" s="45">
        <v>10.0</v>
      </c>
      <c r="Q21" s="38">
        <v>1.0</v>
      </c>
      <c r="R21" s="45">
        <v>10.0</v>
      </c>
      <c r="S21" s="37" t="s">
        <v>697</v>
      </c>
      <c r="T21" s="46">
        <v>10.0</v>
      </c>
    </row>
    <row r="22" ht="16.5" customHeight="1">
      <c r="A22" s="81"/>
      <c r="E22" s="6" t="s">
        <v>698</v>
      </c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35">
        <v>279.82</v>
      </c>
    </row>
    <row r="23" ht="14.25" customHeight="1">
      <c r="A23" s="47"/>
      <c r="B23" s="47"/>
      <c r="C23" s="47"/>
      <c r="D23" s="47"/>
      <c r="E23" s="84"/>
      <c r="F23" s="18"/>
      <c r="G23" s="47"/>
      <c r="H23" s="47"/>
      <c r="I23" s="47"/>
      <c r="J23" s="47"/>
      <c r="K23" s="48" t="s">
        <v>699</v>
      </c>
      <c r="L23" s="47"/>
      <c r="M23" s="47"/>
      <c r="N23" s="47"/>
      <c r="O23" s="47"/>
      <c r="P23" s="47"/>
      <c r="Q23" s="47"/>
      <c r="R23" s="47"/>
      <c r="S23" s="47"/>
      <c r="T23" s="47"/>
    </row>
    <row r="24" ht="25.5" customHeight="1">
      <c r="A24" s="28"/>
      <c r="B24" s="28"/>
      <c r="C24" s="28"/>
      <c r="D24" s="28"/>
      <c r="E24" s="28"/>
      <c r="F24" s="92"/>
      <c r="G24" s="49" t="s">
        <v>700</v>
      </c>
      <c r="H24" s="49" t="s">
        <v>701</v>
      </c>
      <c r="I24" s="28"/>
      <c r="J24" s="28"/>
      <c r="K24" s="28"/>
      <c r="L24" s="50" t="s">
        <v>702</v>
      </c>
      <c r="M24" s="51" t="s">
        <v>703</v>
      </c>
      <c r="N24" s="51" t="s">
        <v>704</v>
      </c>
      <c r="O24" s="51" t="s">
        <v>705</v>
      </c>
      <c r="P24" s="28"/>
      <c r="Q24" s="49" t="s">
        <v>706</v>
      </c>
      <c r="R24" s="51" t="s">
        <v>707</v>
      </c>
      <c r="S24" s="28"/>
      <c r="T24" s="51" t="s">
        <v>708</v>
      </c>
    </row>
    <row r="25" ht="12.75" customHeight="1">
      <c r="A25" s="52" t="s">
        <v>709</v>
      </c>
      <c r="B25" s="52" t="s">
        <v>710</v>
      </c>
      <c r="C25" s="52"/>
      <c r="D25" s="21" t="s">
        <v>711</v>
      </c>
      <c r="E25" s="21" t="s">
        <v>712</v>
      </c>
      <c r="F25" s="67"/>
      <c r="G25" s="52" t="s">
        <v>713</v>
      </c>
      <c r="H25" s="52" t="s">
        <v>714</v>
      </c>
      <c r="I25" s="52" t="s">
        <v>715</v>
      </c>
      <c r="J25" s="52" t="s">
        <v>716</v>
      </c>
      <c r="K25" s="21" t="s">
        <v>717</v>
      </c>
      <c r="L25" s="21" t="s">
        <v>718</v>
      </c>
      <c r="M25" s="21" t="s">
        <v>719</v>
      </c>
      <c r="N25" s="52" t="s">
        <v>720</v>
      </c>
      <c r="O25" s="52" t="s">
        <v>721</v>
      </c>
      <c r="P25" s="52" t="s">
        <v>722</v>
      </c>
      <c r="Q25" s="52" t="s">
        <v>723</v>
      </c>
      <c r="R25" s="52" t="s">
        <v>724</v>
      </c>
      <c r="S25" s="52" t="s">
        <v>725</v>
      </c>
      <c r="T25" s="21" t="s">
        <v>726</v>
      </c>
    </row>
    <row r="26" ht="16.5" customHeight="1">
      <c r="A26" s="24" t="s">
        <v>727</v>
      </c>
      <c r="B26" s="25">
        <v>1.10661324E8</v>
      </c>
      <c r="C26" s="25" t="str">
        <f t="shared" ref="C26:C28" si="3">concat(B26,3)</f>
        <v>1106613243</v>
      </c>
      <c r="D26" s="26" t="s">
        <v>728</v>
      </c>
      <c r="E26" s="26" t="s">
        <v>729</v>
      </c>
      <c r="F26" s="92"/>
      <c r="G26" s="53">
        <v>46023.0</v>
      </c>
      <c r="H26" s="28"/>
      <c r="I26" s="24" t="s">
        <v>730</v>
      </c>
      <c r="J26" s="24" t="s">
        <v>731</v>
      </c>
      <c r="K26" s="83">
        <v>1810.7</v>
      </c>
      <c r="L26" s="54">
        <v>0.04</v>
      </c>
      <c r="M26" s="55">
        <v>72.43</v>
      </c>
      <c r="N26" s="32">
        <v>0.0</v>
      </c>
      <c r="O26" s="32">
        <v>0.0</v>
      </c>
      <c r="P26" s="32">
        <v>0.0</v>
      </c>
      <c r="Q26" s="25">
        <v>2.0</v>
      </c>
      <c r="R26" s="32">
        <v>0.0</v>
      </c>
      <c r="S26" s="24" t="s">
        <v>732</v>
      </c>
      <c r="T26" s="33">
        <v>72.43</v>
      </c>
    </row>
    <row r="27" ht="12.0" customHeight="1">
      <c r="A27" s="37" t="s">
        <v>733</v>
      </c>
      <c r="B27" s="38">
        <v>1.109877E8</v>
      </c>
      <c r="C27" s="25" t="str">
        <f t="shared" si="3"/>
        <v>1109877003</v>
      </c>
      <c r="D27" s="39" t="s">
        <v>734</v>
      </c>
      <c r="E27" s="93" t="s">
        <v>735</v>
      </c>
      <c r="F27" s="3"/>
      <c r="G27" s="40">
        <v>46023.0</v>
      </c>
      <c r="H27" s="41"/>
      <c r="I27" s="37" t="s">
        <v>736</v>
      </c>
      <c r="J27" s="37" t="s">
        <v>737</v>
      </c>
      <c r="K27" s="78">
        <v>1476.09</v>
      </c>
      <c r="L27" s="43">
        <v>0.04</v>
      </c>
      <c r="M27" s="44">
        <v>59.04</v>
      </c>
      <c r="N27" s="45">
        <v>0.0</v>
      </c>
      <c r="O27" s="45">
        <v>0.0</v>
      </c>
      <c r="P27" s="45">
        <v>0.0</v>
      </c>
      <c r="Q27" s="38">
        <v>1.0</v>
      </c>
      <c r="R27" s="45">
        <v>0.0</v>
      </c>
      <c r="S27" s="37" t="s">
        <v>738</v>
      </c>
      <c r="T27" s="46">
        <v>59.04</v>
      </c>
    </row>
    <row r="28" ht="12.0" customHeight="1">
      <c r="A28" s="56" t="s">
        <v>739</v>
      </c>
      <c r="B28" s="57">
        <v>1.11102853E8</v>
      </c>
      <c r="C28" s="25" t="str">
        <f t="shared" si="3"/>
        <v>1111028533</v>
      </c>
      <c r="D28" s="58" t="s">
        <v>740</v>
      </c>
      <c r="E28" s="58" t="s">
        <v>741</v>
      </c>
      <c r="G28" s="59">
        <v>46023.0</v>
      </c>
      <c r="H28" s="34"/>
      <c r="I28" s="56" t="s">
        <v>742</v>
      </c>
      <c r="J28" s="56" t="s">
        <v>743</v>
      </c>
      <c r="K28" s="96">
        <v>1001.54</v>
      </c>
      <c r="L28" s="61">
        <v>0.04</v>
      </c>
      <c r="M28" s="60">
        <v>40.06</v>
      </c>
      <c r="N28" s="62">
        <v>0.0</v>
      </c>
      <c r="O28" s="62">
        <v>0.0</v>
      </c>
      <c r="P28" s="62">
        <v>0.0</v>
      </c>
      <c r="Q28" s="57">
        <v>1.0</v>
      </c>
      <c r="R28" s="62">
        <v>0.0</v>
      </c>
      <c r="S28" s="56" t="s">
        <v>744</v>
      </c>
      <c r="T28" s="63">
        <v>40.06</v>
      </c>
    </row>
    <row r="29" ht="12.0" customHeight="1">
      <c r="A29" s="37" t="s">
        <v>745</v>
      </c>
      <c r="B29" s="38">
        <v>1.09263551E8</v>
      </c>
      <c r="C29" s="25" t="str">
        <f t="shared" ref="C29:C34" si="4">concat(B29,5)</f>
        <v>1092635515</v>
      </c>
      <c r="D29" s="39" t="s">
        <v>746</v>
      </c>
      <c r="E29" s="93" t="s">
        <v>747</v>
      </c>
      <c r="F29" s="3"/>
      <c r="G29" s="40">
        <v>46023.0</v>
      </c>
      <c r="H29" s="41"/>
      <c r="I29" s="37" t="s">
        <v>748</v>
      </c>
      <c r="J29" s="37" t="s">
        <v>749</v>
      </c>
      <c r="K29" s="42">
        <v>1128.27</v>
      </c>
      <c r="L29" s="43">
        <v>0.0</v>
      </c>
      <c r="M29" s="44">
        <v>0.0</v>
      </c>
      <c r="N29" s="45">
        <v>15.0</v>
      </c>
      <c r="O29" s="45">
        <v>0.0</v>
      </c>
      <c r="P29" s="45">
        <v>15.0</v>
      </c>
      <c r="Q29" s="38">
        <v>1.0</v>
      </c>
      <c r="R29" s="45">
        <v>15.0</v>
      </c>
      <c r="S29" s="37" t="s">
        <v>750</v>
      </c>
      <c r="T29" s="46">
        <v>15.0</v>
      </c>
    </row>
    <row r="30" ht="12.0" customHeight="1">
      <c r="A30" s="56" t="s">
        <v>751</v>
      </c>
      <c r="B30" s="57">
        <v>1.10913614E8</v>
      </c>
      <c r="C30" s="25" t="str">
        <f t="shared" si="4"/>
        <v>1109136145</v>
      </c>
      <c r="D30" s="58" t="s">
        <v>752</v>
      </c>
      <c r="E30" s="58" t="s">
        <v>753</v>
      </c>
      <c r="G30" s="59">
        <v>46023.0</v>
      </c>
      <c r="H30" s="34"/>
      <c r="I30" s="56" t="s">
        <v>754</v>
      </c>
      <c r="J30" s="56" t="s">
        <v>755</v>
      </c>
      <c r="K30" s="94">
        <v>992.67</v>
      </c>
      <c r="L30" s="61">
        <v>0.0</v>
      </c>
      <c r="M30" s="60">
        <v>0.0</v>
      </c>
      <c r="N30" s="62">
        <v>15.0</v>
      </c>
      <c r="O30" s="62">
        <v>0.0</v>
      </c>
      <c r="P30" s="62">
        <v>15.0</v>
      </c>
      <c r="Q30" s="57">
        <v>1.0</v>
      </c>
      <c r="R30" s="62">
        <v>15.0</v>
      </c>
      <c r="S30" s="56" t="s">
        <v>756</v>
      </c>
      <c r="T30" s="63">
        <v>15.0</v>
      </c>
    </row>
    <row r="31" ht="12.0" customHeight="1">
      <c r="A31" s="37" t="s">
        <v>757</v>
      </c>
      <c r="B31" s="38">
        <v>1.11828564E8</v>
      </c>
      <c r="C31" s="25" t="str">
        <f t="shared" si="4"/>
        <v>1118285645</v>
      </c>
      <c r="D31" s="39" t="s">
        <v>758</v>
      </c>
      <c r="E31" s="93" t="s">
        <v>759</v>
      </c>
      <c r="F31" s="3"/>
      <c r="G31" s="40">
        <v>46023.0</v>
      </c>
      <c r="H31" s="41"/>
      <c r="I31" s="37" t="s">
        <v>760</v>
      </c>
      <c r="J31" s="37" t="s">
        <v>761</v>
      </c>
      <c r="K31" s="42">
        <v>1030.68</v>
      </c>
      <c r="L31" s="43">
        <v>0.0</v>
      </c>
      <c r="M31" s="44">
        <v>0.0</v>
      </c>
      <c r="N31" s="45">
        <v>15.0</v>
      </c>
      <c r="O31" s="45">
        <v>0.0</v>
      </c>
      <c r="P31" s="45">
        <v>15.0</v>
      </c>
      <c r="Q31" s="38">
        <v>1.0</v>
      </c>
      <c r="R31" s="45">
        <v>15.0</v>
      </c>
      <c r="S31" s="37" t="s">
        <v>762</v>
      </c>
      <c r="T31" s="46">
        <v>15.0</v>
      </c>
    </row>
    <row r="32" ht="12.0" customHeight="1">
      <c r="A32" s="56" t="s">
        <v>763</v>
      </c>
      <c r="B32" s="57">
        <v>1.12555327E8</v>
      </c>
      <c r="C32" s="25" t="str">
        <f t="shared" si="4"/>
        <v>1125553275</v>
      </c>
      <c r="D32" s="58" t="s">
        <v>764</v>
      </c>
      <c r="E32" s="58" t="s">
        <v>765</v>
      </c>
      <c r="G32" s="59">
        <v>46023.0</v>
      </c>
      <c r="H32" s="34"/>
      <c r="I32" s="56" t="s">
        <v>766</v>
      </c>
      <c r="J32" s="56" t="s">
        <v>767</v>
      </c>
      <c r="K32" s="95">
        <v>1795.66</v>
      </c>
      <c r="L32" s="61">
        <v>0.0</v>
      </c>
      <c r="M32" s="60">
        <v>0.0</v>
      </c>
      <c r="N32" s="62">
        <v>15.0</v>
      </c>
      <c r="O32" s="62">
        <v>0.0</v>
      </c>
      <c r="P32" s="62">
        <v>15.0</v>
      </c>
      <c r="Q32" s="57">
        <v>2.0</v>
      </c>
      <c r="R32" s="62">
        <v>30.0</v>
      </c>
      <c r="S32" s="56" t="s">
        <v>768</v>
      </c>
      <c r="T32" s="63">
        <v>30.0</v>
      </c>
    </row>
    <row r="33" ht="12.0" customHeight="1">
      <c r="A33" s="37" t="s">
        <v>769</v>
      </c>
      <c r="B33" s="38">
        <v>1.12555365E8</v>
      </c>
      <c r="C33" s="25" t="str">
        <f t="shared" si="4"/>
        <v>1125553655</v>
      </c>
      <c r="D33" s="39" t="s">
        <v>770</v>
      </c>
      <c r="E33" s="93" t="s">
        <v>771</v>
      </c>
      <c r="F33" s="3"/>
      <c r="G33" s="40">
        <v>46023.0</v>
      </c>
      <c r="H33" s="41"/>
      <c r="I33" s="37" t="s">
        <v>772</v>
      </c>
      <c r="J33" s="37" t="s">
        <v>773</v>
      </c>
      <c r="K33" s="80">
        <v>365.91</v>
      </c>
      <c r="L33" s="43">
        <v>0.0</v>
      </c>
      <c r="M33" s="44">
        <v>0.0</v>
      </c>
      <c r="N33" s="45">
        <v>15.0</v>
      </c>
      <c r="O33" s="45">
        <v>0.0</v>
      </c>
      <c r="P33" s="45">
        <v>15.0</v>
      </c>
      <c r="Q33" s="38">
        <v>1.0</v>
      </c>
      <c r="R33" s="45">
        <v>15.0</v>
      </c>
      <c r="S33" s="37" t="s">
        <v>774</v>
      </c>
      <c r="T33" s="46">
        <v>15.0</v>
      </c>
    </row>
    <row r="34" ht="12.0" customHeight="1">
      <c r="A34" s="56" t="s">
        <v>775</v>
      </c>
      <c r="B34" s="57">
        <v>1.09839671E8</v>
      </c>
      <c r="C34" s="25" t="str">
        <f t="shared" si="4"/>
        <v>1098396715</v>
      </c>
      <c r="D34" s="58" t="s">
        <v>776</v>
      </c>
      <c r="E34" s="58" t="s">
        <v>777</v>
      </c>
      <c r="G34" s="59">
        <v>46023.0</v>
      </c>
      <c r="H34" s="34"/>
      <c r="I34" s="56" t="s">
        <v>778</v>
      </c>
      <c r="J34" s="56" t="s">
        <v>779</v>
      </c>
      <c r="K34" s="95">
        <v>1068.84</v>
      </c>
      <c r="L34" s="61">
        <v>0.0</v>
      </c>
      <c r="M34" s="60">
        <v>0.0</v>
      </c>
      <c r="N34" s="62">
        <v>10.0</v>
      </c>
      <c r="O34" s="62">
        <v>0.0</v>
      </c>
      <c r="P34" s="62">
        <v>10.0</v>
      </c>
      <c r="Q34" s="57">
        <v>1.0</v>
      </c>
      <c r="R34" s="62">
        <v>10.0</v>
      </c>
      <c r="S34" s="56" t="s">
        <v>780</v>
      </c>
      <c r="T34" s="63">
        <v>10.0</v>
      </c>
    </row>
    <row r="35" ht="12.0" customHeight="1">
      <c r="A35" s="37" t="s">
        <v>781</v>
      </c>
      <c r="B35" s="38">
        <v>1.10293235E8</v>
      </c>
      <c r="C35" s="25" t="str">
        <f>concat(B35,3)</f>
        <v>1102932353</v>
      </c>
      <c r="D35" s="39" t="s">
        <v>782</v>
      </c>
      <c r="E35" s="93" t="s">
        <v>783</v>
      </c>
      <c r="F35" s="3"/>
      <c r="G35" s="40">
        <v>46023.0</v>
      </c>
      <c r="H35" s="41"/>
      <c r="I35" s="37" t="s">
        <v>784</v>
      </c>
      <c r="J35" s="37" t="s">
        <v>785</v>
      </c>
      <c r="K35" s="42">
        <v>1217.36</v>
      </c>
      <c r="L35" s="43">
        <v>0.0</v>
      </c>
      <c r="M35" s="44">
        <v>0.0</v>
      </c>
      <c r="N35" s="45">
        <v>21.0</v>
      </c>
      <c r="O35" s="45">
        <v>0.0</v>
      </c>
      <c r="P35" s="45">
        <v>21.0</v>
      </c>
      <c r="Q35" s="38">
        <v>1.0</v>
      </c>
      <c r="R35" s="45">
        <v>21.0</v>
      </c>
      <c r="S35" s="37" t="s">
        <v>786</v>
      </c>
      <c r="T35" s="46">
        <v>21.0</v>
      </c>
    </row>
    <row r="36" ht="14.25" customHeight="1">
      <c r="A36" s="56" t="s">
        <v>787</v>
      </c>
      <c r="B36" s="57">
        <v>1.11849444E8</v>
      </c>
      <c r="C36" s="25" t="str">
        <f>concat(B36,5)</f>
        <v>1118494445</v>
      </c>
      <c r="D36" s="58" t="s">
        <v>788</v>
      </c>
      <c r="E36" s="58" t="s">
        <v>789</v>
      </c>
      <c r="G36" s="59">
        <v>46023.0</v>
      </c>
      <c r="H36" s="34"/>
      <c r="I36" s="56" t="s">
        <v>790</v>
      </c>
      <c r="J36" s="56" t="s">
        <v>791</v>
      </c>
      <c r="K36" s="94">
        <v>907.81</v>
      </c>
      <c r="L36" s="61">
        <v>0.0</v>
      </c>
      <c r="M36" s="60">
        <v>0.0</v>
      </c>
      <c r="N36" s="62">
        <v>10.0</v>
      </c>
      <c r="O36" s="62">
        <v>0.0</v>
      </c>
      <c r="P36" s="62">
        <v>10.0</v>
      </c>
      <c r="Q36" s="57">
        <v>1.0</v>
      </c>
      <c r="R36" s="62">
        <v>10.0</v>
      </c>
      <c r="S36" s="56" t="s">
        <v>792</v>
      </c>
      <c r="T36" s="63">
        <v>10.0</v>
      </c>
    </row>
    <row r="37" ht="19.5" customHeight="1">
      <c r="A37" s="81"/>
      <c r="B37" s="81"/>
      <c r="C37" s="81"/>
      <c r="D37" s="81"/>
      <c r="E37" s="6" t="s">
        <v>793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35">
        <v>302.53</v>
      </c>
    </row>
    <row r="38" ht="17.25" customHeight="1">
      <c r="A38" s="6" t="s">
        <v>794</v>
      </c>
      <c r="F38" s="97">
        <v>8977234.0</v>
      </c>
      <c r="G38" s="6" t="s">
        <v>795</v>
      </c>
      <c r="I38" s="35">
        <v>582.35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1">
    <mergeCell ref="A1:U1"/>
    <mergeCell ref="A2:T2"/>
    <mergeCell ref="A3:T3"/>
    <mergeCell ref="E4:F4"/>
    <mergeCell ref="E5:F5"/>
    <mergeCell ref="E6:F6"/>
    <mergeCell ref="A7:U7"/>
    <mergeCell ref="A8:U8"/>
    <mergeCell ref="A9:T9"/>
    <mergeCell ref="A10:T10"/>
    <mergeCell ref="E11:F11"/>
    <mergeCell ref="E12:F12"/>
    <mergeCell ref="E13:F13"/>
    <mergeCell ref="E14:F14"/>
    <mergeCell ref="A22:D22"/>
    <mergeCell ref="E22:G22"/>
    <mergeCell ref="E15:F15"/>
    <mergeCell ref="E16:F16"/>
    <mergeCell ref="E17:F17"/>
    <mergeCell ref="E18:F18"/>
    <mergeCell ref="E19:F19"/>
    <mergeCell ref="E20:F20"/>
    <mergeCell ref="E21:F21"/>
    <mergeCell ref="E23:F23"/>
    <mergeCell ref="E24:F24"/>
    <mergeCell ref="E25:F25"/>
    <mergeCell ref="E26:F26"/>
    <mergeCell ref="E27:F27"/>
    <mergeCell ref="E28:F28"/>
    <mergeCell ref="E29:F29"/>
    <mergeCell ref="E37:F37"/>
    <mergeCell ref="A38:E38"/>
    <mergeCell ref="G38:H38"/>
    <mergeCell ref="I38:T38"/>
    <mergeCell ref="E30:F30"/>
    <mergeCell ref="E31:F31"/>
    <mergeCell ref="E32:F32"/>
    <mergeCell ref="E33:F33"/>
    <mergeCell ref="E34:F34"/>
    <mergeCell ref="E35:F35"/>
    <mergeCell ref="E36:F3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2026-04-24T11:00:40Z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2026-04-08T00:00:00Z</vt:filetime>
  </property>
  <property fmtid="{D5CDD505-2E9C-101B-9397-08002B2CF9AE}" pid="4" name="Creator">
    <vt:lpwstr>JasperReports Library version 6.21.3-4a3078d20785ebe464f18037d738d12fc98c13cf</vt:lpwstr>
  </property>
  <property fmtid="{D5CDD505-2E9C-101B-9397-08002B2CF9AE}" pid="5" name="Producer">
    <vt:lpwstr>OpenPDF 2.0.5</vt:lpwstr>
  </property>
  <property fmtid="{D5CDD505-2E9C-101B-9397-08002B2CF9AE}" pid="6" name="LastSaved">
    <vt:filetime>2026-04-08T00:00:00Z</vt:filetime>
  </property>
</Properties>
</file>