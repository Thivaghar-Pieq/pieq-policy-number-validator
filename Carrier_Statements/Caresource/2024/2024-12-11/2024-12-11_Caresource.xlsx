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source/Caresource 12-11-24/"/>
    </mc:Choice>
  </mc:AlternateContent>
  <xr:revisionPtr revIDLastSave="0" documentId="13_ncr:1_{29443AED-17D1-E540-A981-71A519345728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2" i="2"/>
</calcChain>
</file>

<file path=xl/sharedStrings.xml><?xml version="1.0" encoding="utf-8"?>
<sst xmlns="http://schemas.openxmlformats.org/spreadsheetml/2006/main" count="592" uniqueCount="202">
  <si>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</si>
  <si>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$263.00
</t>
    </r>
    <r>
      <rPr>
        <sz val="9"/>
        <rFont val="Arial"/>
        <family val="2"/>
      </rPr>
      <t>$803.00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</si>
  <si>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</si>
  <si>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$1,066.00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</si>
  <si>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$1,066.00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</si>
  <si>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</si>
  <si>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</si>
  <si>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</si>
  <si>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</si>
  <si>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</si>
  <si>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</si>
  <si>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</si>
  <si>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</si>
  <si>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</si>
  <si>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</si>
  <si>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</si>
  <si>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</si>
  <si>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</si>
  <si>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</si>
  <si>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</si>
  <si>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   Date</t>
    </r>
  </si>
  <si>
    <r>
      <rPr>
        <b/>
        <sz val="9"/>
        <rFont val="Arial"/>
        <family val="2"/>
      </rPr>
      <t>Signed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</si>
  <si>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</si>
  <si>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Cycle Year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</si>
  <si>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</si>
  <si>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</si>
  <si>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</si>
  <si>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</si>
  <si>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Darrah, Barbara S.</t>
    </r>
  </si>
  <si>
    <r>
      <rPr>
        <sz val="8"/>
        <rFont val="Arial"/>
        <family val="2"/>
      </rPr>
      <t>CareSource Marketplace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</si>
  <si>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</si>
  <si>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12/2024</t>
    </r>
  </si>
  <si>
    <r>
      <rPr>
        <sz val="8"/>
        <rFont val="Arial"/>
        <family val="2"/>
      </rPr>
      <t>N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</si>
  <si>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</si>
  <si>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New Enrollments: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</si>
  <si>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</si>
  <si>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Product                          Policy State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</si>
  <si>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</si>
  <si>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CareSource Marketplace     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</si>
  <si>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</si>
  <si>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</si>
  <si>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b/>
        <sz val="9"/>
        <rFont val="Arial"/>
        <family val="2"/>
      </rPr>
      <t>Total for Renewals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</si>
  <si>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$ 140.00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</si>
  <si>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</si>
  <si>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</si>
  <si>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Signed</t>
    </r>
  </si>
  <si>
    <r>
      <rPr>
        <b/>
        <sz val="9"/>
        <rFont val="Arial"/>
        <family val="2"/>
      </rPr>
      <t>Cycle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</si>
  <si>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</si>
  <si>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</si>
  <si>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</si>
  <si>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Year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</si>
  <si>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</si>
  <si>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Amount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</si>
  <si>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</si>
  <si>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</si>
  <si>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</si>
  <si>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</si>
  <si>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</si>
  <si>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</si>
  <si>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Prescaro, Kimberly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</si>
  <si>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</si>
  <si>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$ 75.00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</si>
  <si>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</si>
  <si>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</si>
  <si>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</si>
  <si>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</si>
  <si>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</si>
  <si>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</si>
  <si>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sz val="8"/>
        <rFont val="Arial"/>
        <family val="2"/>
      </rPr>
      <t>Smoody, Christine</t>
    </r>
  </si>
  <si>
    <r>
      <rPr>
        <sz val="8"/>
        <rFont val="Arial"/>
        <family val="2"/>
      </rPr>
      <t>Blankenship, Brenda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</si>
  <si>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$ 159.00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</si>
  <si>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</si>
  <si>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</si>
  <si>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Wilkinson, Hewitt</t>
    </r>
  </si>
  <si>
    <r>
      <rPr>
        <sz val="8"/>
        <rFont val="Arial"/>
        <family val="2"/>
      </rPr>
      <t>KY</t>
    </r>
  </si>
  <si>
    <r>
      <rPr>
        <sz val="8"/>
        <rFont val="Arial"/>
        <family val="2"/>
      </rPr>
      <t>Staats, Christina</t>
    </r>
  </si>
  <si>
    <r>
      <rPr>
        <sz val="8"/>
        <rFont val="Arial"/>
        <family val="2"/>
      </rPr>
      <t>Engle, Forry</t>
    </r>
  </si>
  <si>
    <r>
      <rPr>
        <sz val="8"/>
        <rFont val="Arial"/>
        <family val="2"/>
      </rPr>
      <t>Macleod, Sheri L.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</si>
  <si>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</si>
  <si>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</si>
  <si>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</si>
  <si>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Wallis, Timmy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</si>
  <si>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</si>
  <si>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</si>
  <si>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</si>
  <si>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Bellner, Sandra K.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</si>
  <si>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</si>
  <si>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</si>
  <si>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Thompson, Lorraine</t>
    </r>
  </si>
  <si>
    <r>
      <rPr>
        <sz val="8"/>
        <rFont val="Arial"/>
        <family val="2"/>
      </rPr>
      <t>Graham, Teresa</t>
    </r>
  </si>
  <si>
    <r>
      <rPr>
        <sz val="8"/>
        <rFont val="Arial"/>
        <family val="2"/>
      </rPr>
      <t>Ackley, Suzie</t>
    </r>
  </si>
  <si>
    <r>
      <rPr>
        <sz val="8"/>
        <rFont val="Arial"/>
        <family val="2"/>
      </rPr>
      <t>Gaskill, Jacqueline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</si>
  <si>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</si>
  <si>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Mcintire, Matthew</t>
    </r>
  </si>
  <si>
    <r>
      <rPr>
        <sz val="8"/>
        <rFont val="Arial"/>
        <family val="2"/>
      </rPr>
      <t>Kline, Peggy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</si>
  <si>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$ 628.00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</si>
  <si>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$ 787.00</t>
    </r>
  </si>
  <si>
    <r>
      <rPr>
        <b/>
        <sz val="10"/>
        <rFont val="Arial"/>
        <family val="2"/>
      </rPr>
      <t>Writing Producer                           9213293                                  Portugal, Gary</t>
    </r>
  </si>
  <si>
    <r>
      <rPr>
        <sz val="8"/>
        <rFont val="Arial"/>
        <family val="2"/>
      </rPr>
      <t>Zackery, Tony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</si>
  <si>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$ 44.00</t>
    </r>
  </si>
  <si>
    <r>
      <rPr>
        <b/>
        <sz val="9"/>
        <rFont val="Arial"/>
        <family val="2"/>
      </rPr>
      <t>Total for Writing Producer       9213293        Portugal, Gary                                                                                                                                                    $ 44.00</t>
    </r>
  </si>
  <si>
    <t>N</t>
  </si>
  <si>
    <t>Member ID</t>
  </si>
  <si>
    <t>Name</t>
  </si>
  <si>
    <t>Product</t>
  </si>
  <si>
    <t>Policy State</t>
  </si>
  <si>
    <t>Effective Date</t>
  </si>
  <si>
    <t>Term   Date</t>
  </si>
  <si>
    <t>Period</t>
  </si>
  <si>
    <t>Retro ?</t>
  </si>
  <si>
    <t>Member Count</t>
  </si>
  <si>
    <t>Rate</t>
  </si>
  <si>
    <t>CareSource Marketplace</t>
  </si>
  <si>
    <t>WV</t>
  </si>
  <si>
    <t>12/2024</t>
  </si>
  <si>
    <t>IN</t>
  </si>
  <si>
    <t>OH</t>
  </si>
  <si>
    <t>KY</t>
  </si>
  <si>
    <t>GA</t>
  </si>
  <si>
    <r>
      <rPr>
        <sz val="11"/>
        <rFont val="Arial"/>
        <family val="2"/>
      </rPr>
      <t>Commission
Amount</t>
    </r>
  </si>
  <si>
    <t>Agent Name</t>
  </si>
  <si>
    <t>Agent ID</t>
  </si>
  <si>
    <t>Inskipt, Deborah Lee</t>
  </si>
  <si>
    <t>Mccorkle, Michelle</t>
  </si>
  <si>
    <t>Caltagirone, Katelenn Marie</t>
  </si>
  <si>
    <t>Caltagirone, Ryan J</t>
  </si>
  <si>
    <t>Portugal, Gary</t>
  </si>
  <si>
    <t>Darrah</t>
  </si>
  <si>
    <t>Barbara</t>
  </si>
  <si>
    <t>Stephan</t>
  </si>
  <si>
    <t>Alana</t>
  </si>
  <si>
    <t>Melvin</t>
  </si>
  <si>
    <t>Tanner</t>
  </si>
  <si>
    <t>Todd</t>
  </si>
  <si>
    <t>Henry</t>
  </si>
  <si>
    <t>Lori</t>
  </si>
  <si>
    <t>Thomas</t>
  </si>
  <si>
    <t>Kathleen</t>
  </si>
  <si>
    <t>Grindle</t>
  </si>
  <si>
    <t>Jeffrey</t>
  </si>
  <si>
    <t>Sefton</t>
  </si>
  <si>
    <t>Theresa</t>
  </si>
  <si>
    <t>Prescaro</t>
  </si>
  <si>
    <t>Kimberly</t>
  </si>
  <si>
    <t>Hartman</t>
  </si>
  <si>
    <t>Jerry</t>
  </si>
  <si>
    <t>Gale</t>
  </si>
  <si>
    <t>Nancy</t>
  </si>
  <si>
    <t>Stevanus</t>
  </si>
  <si>
    <t>Christopher</t>
  </si>
  <si>
    <t>Rosa</t>
  </si>
  <si>
    <t>Serrano</t>
  </si>
  <si>
    <t>Smoody</t>
  </si>
  <si>
    <t>Christine</t>
  </si>
  <si>
    <t>Blankenship</t>
  </si>
  <si>
    <t>Brenda</t>
  </si>
  <si>
    <t>Zumpella</t>
  </si>
  <si>
    <t>Denise</t>
  </si>
  <si>
    <t>Stubbins</t>
  </si>
  <si>
    <t>Donna</t>
  </si>
  <si>
    <t>Wilkinson</t>
  </si>
  <si>
    <t>Hewitt</t>
  </si>
  <si>
    <t>Staats</t>
  </si>
  <si>
    <t>Christina</t>
  </si>
  <si>
    <t>Engle</t>
  </si>
  <si>
    <t>Forry</t>
  </si>
  <si>
    <t>Macleod</t>
  </si>
  <si>
    <t>Sheri</t>
  </si>
  <si>
    <t>Coates</t>
  </si>
  <si>
    <t>Frida</t>
  </si>
  <si>
    <t>Zollars</t>
  </si>
  <si>
    <t>Samuel</t>
  </si>
  <si>
    <t>Wallis</t>
  </si>
  <si>
    <t>Timmy</t>
  </si>
  <si>
    <t>Crowe</t>
  </si>
  <si>
    <t>Gary</t>
  </si>
  <si>
    <t>Masterson</t>
  </si>
  <si>
    <t>Timothy</t>
  </si>
  <si>
    <t>Abel</t>
  </si>
  <si>
    <t>Lisa</t>
  </si>
  <si>
    <t>Bellner</t>
  </si>
  <si>
    <t>Sandra</t>
  </si>
  <si>
    <t>Robles</t>
  </si>
  <si>
    <t>Caroline</t>
  </si>
  <si>
    <t>Wuthrich</t>
  </si>
  <si>
    <t>Terry</t>
  </si>
  <si>
    <t>Thompson</t>
  </si>
  <si>
    <t>Lorraine</t>
  </si>
  <si>
    <t>Graham</t>
  </si>
  <si>
    <t>Teresa</t>
  </si>
  <si>
    <t>Ackley</t>
  </si>
  <si>
    <t>Suzie</t>
  </si>
  <si>
    <t>Gaskill</t>
  </si>
  <si>
    <t>Jacqueline</t>
  </si>
  <si>
    <t>Burkett</t>
  </si>
  <si>
    <t>Terri</t>
  </si>
  <si>
    <t>Mcintire</t>
  </si>
  <si>
    <t>Matthew</t>
  </si>
  <si>
    <t>Kline</t>
  </si>
  <si>
    <t>Peggy</t>
  </si>
  <si>
    <t>Zackery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</si>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</sst>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d/yyyy;@"/>
    <numFmt numFmtId="167" formatCode="\$\ 0.00"/>
  </numFmts>
  <fonts count="1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right" vertical="top" wrapText="1"/>
    </xf>
    <xf numFmtId="167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1" fontId="5" fillId="3" borderId="0" xfId="0" applyNumberFormat="1" applyFont="1" applyFill="1" applyAlignment="1">
      <alignment horizontal="left" vertical="top" shrinkToFit="1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0" fontId="6" fillId="3" borderId="0" xfId="0" applyFont="1" applyFill="1" applyAlignment="1">
      <alignment horizontal="right" vertical="top" wrapText="1"/>
    </xf>
    <xf numFmtId="167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167" fontId="4" fillId="0" borderId="0" xfId="0" applyNumberFormat="1" applyFont="1" applyAlignment="1">
      <alignment horizontal="right" vertical="top" shrinkToFit="1"/>
    </xf>
    <xf numFmtId="0" fontId="0" fillId="4" borderId="4" xfId="0" applyFill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right" vertical="top" wrapText="1"/>
    </xf>
    <xf numFmtId="1" fontId="5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right" vertical="top" wrapText="1"/>
    </xf>
    <xf numFmtId="167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166" fontId="5" fillId="0" borderId="1" xfId="0" applyNumberFormat="1" applyFont="1" applyBorder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0" fontId="6" fillId="3" borderId="0" xfId="0" applyFont="1" applyFill="1" applyAlignment="1">
      <alignment horizontal="left" vertical="top" wrapText="1" indent="1"/>
    </xf>
    <xf numFmtId="167" fontId="5" fillId="3" borderId="0" xfId="0" applyNumberFormat="1" applyFont="1" applyFill="1" applyAlignment="1">
      <alignment horizontal="left" vertical="top" indent="5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 indent="2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" fontId="5" fillId="3" borderId="0" xfId="0" applyNumberFormat="1" applyFont="1" applyFill="1" applyAlignment="1">
      <alignment horizontal="center" vertical="top" shrinkToFit="1"/>
    </xf>
    <xf numFmtId="0" fontId="2" fillId="0" borderId="0" xfId="0" applyFont="1" applyAlignment="1">
      <alignment horizontal="left" vertical="top" wrapText="1" inden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13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wrapText="1" indent="26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23"/>
    </xf>
    <xf numFmtId="0" fontId="1" fillId="2" borderId="0" xfId="0" applyFont="1" applyFill="1" applyAlignment="1">
      <alignment horizontal="left" vertical="top" wrapText="1" indent="1"/>
    </xf>
    <xf numFmtId="0" fontId="1" fillId="4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 indent="15"/>
    </xf>
    <xf numFmtId="0" fontId="9" fillId="0" borderId="0" xfId="0" applyFont="1" applyFill="1" applyBorder="1" applyAlignment="1">
      <alignment horizontal="left" vertical="top"/>
    </xf>
    <xf numFmtId="1" fontId="10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vertical="top" wrapText="1"/>
    </xf>
    <xf numFmtId="166" fontId="10" fillId="0" borderId="0" xfId="0" applyNumberFormat="1" applyFont="1" applyFill="1" applyBorder="1" applyAlignment="1">
      <alignment vertical="top" shrinkToFit="1"/>
    </xf>
    <xf numFmtId="1" fontId="10" fillId="0" borderId="0" xfId="0" applyNumberFormat="1" applyFont="1" applyFill="1" applyBorder="1" applyAlignment="1">
      <alignment vertical="top" shrinkToFit="1"/>
    </xf>
    <xf numFmtId="0" fontId="10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vertical="top"/>
    </xf>
    <xf numFmtId="14" fontId="10" fillId="0" borderId="0" xfId="0" applyNumberFormat="1" applyFont="1" applyFill="1" applyBorder="1" applyAlignment="1">
      <alignment vertical="top"/>
    </xf>
    <xf numFmtId="17" fontId="10" fillId="0" borderId="0" xfId="0" applyNumberFormat="1" applyFont="1" applyFill="1" applyBorder="1" applyAlignment="1">
      <alignment vertical="top"/>
    </xf>
    <xf numFmtId="0" fontId="11" fillId="0" borderId="0" xfId="0" applyFont="1" applyFill="1" applyBorder="1" applyAlignment="1">
      <alignment horizontal="left" vertical="top" wrapText="1"/>
    </xf>
    <xf numFmtId="166" fontId="10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wrapText="1"/>
    </xf>
    <xf numFmtId="0" fontId="10" fillId="0" borderId="0" xfId="0" applyNumberFormat="1" applyFont="1" applyFill="1" applyBorder="1" applyAlignment="1">
      <alignment vertical="top" shrinkToFit="1"/>
    </xf>
    <xf numFmtId="0" fontId="11" fillId="0" borderId="0" xfId="0" applyNumberFormat="1" applyFont="1" applyFill="1" applyBorder="1" applyAlignment="1">
      <alignment wrapText="1"/>
    </xf>
    <xf numFmtId="0" fontId="10" fillId="0" borderId="0" xfId="0" applyNumberFormat="1" applyFont="1" applyFill="1" applyBorder="1" applyAlignment="1">
      <alignment horizontal="right" vertical="top" shrinkToFit="1"/>
    </xf>
    <xf numFmtId="0" fontId="11" fillId="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431800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</xdr:row>
      <xdr:rowOff>63500</xdr:rowOff>
    </xdr:from>
    <xdr:ext cx="9678035" cy="15240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7734300"/>
          <a:ext cx="9678035" cy="152400"/>
          <a:chOff x="0" y="0"/>
          <a:chExt cx="9678035" cy="1524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9664700" cy="152400"/>
          </a:xfrm>
          <a:custGeom>
            <a:avLst/>
            <a:gdLst/>
            <a:ahLst/>
            <a:cxnLst/>
            <a:rect l="0" t="0" r="0" b="0"/>
            <a:pathLst>
              <a:path w="9664700" h="152400">
                <a:moveTo>
                  <a:pt x="8255000" y="0"/>
                </a:moveTo>
                <a:lnTo>
                  <a:pt x="8255000" y="0"/>
                </a:lnTo>
                <a:lnTo>
                  <a:pt x="0" y="0"/>
                </a:lnTo>
                <a:lnTo>
                  <a:pt x="0" y="152400"/>
                </a:lnTo>
                <a:lnTo>
                  <a:pt x="8255000" y="152400"/>
                </a:lnTo>
                <a:lnTo>
                  <a:pt x="8255000" y="0"/>
                </a:lnTo>
                <a:close/>
              </a:path>
              <a:path w="9664700" h="152400">
                <a:moveTo>
                  <a:pt x="8890000" y="0"/>
                </a:moveTo>
                <a:lnTo>
                  <a:pt x="8267700" y="0"/>
                </a:lnTo>
                <a:lnTo>
                  <a:pt x="8267700" y="152400"/>
                </a:lnTo>
                <a:lnTo>
                  <a:pt x="8890000" y="152400"/>
                </a:lnTo>
                <a:lnTo>
                  <a:pt x="8890000" y="0"/>
                </a:lnTo>
                <a:close/>
              </a:path>
              <a:path w="9664700" h="152400">
                <a:moveTo>
                  <a:pt x="9664700" y="0"/>
                </a:moveTo>
                <a:lnTo>
                  <a:pt x="8902700" y="0"/>
                </a:lnTo>
                <a:lnTo>
                  <a:pt x="8902700" y="152400"/>
                </a:lnTo>
                <a:lnTo>
                  <a:pt x="9664700" y="152400"/>
                </a:lnTo>
                <a:lnTo>
                  <a:pt x="9664700" y="0"/>
                </a:lnTo>
                <a:close/>
              </a:path>
            </a:pathLst>
          </a:custGeom>
          <a:solidFill>
            <a:srgbClr val="CADACE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21054"/>
            <a:ext cx="52133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111320863</a:t>
            </a:r>
          </a:p>
        </xdr:txBody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092200" y="21054"/>
            <a:ext cx="251333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Thomas</a:t>
            </a:r>
            <a:r>
              <a:rPr sz="800" b="0" spc="0">
                <a:latin typeface="Arial"/>
                <a:cs typeface="Arial"/>
              </a:rPr>
              <a:t>,</a:t>
            </a:r>
            <a:r>
              <a:rPr sz="800" b="0" spc="-5">
                <a:latin typeface="Arial"/>
                <a:cs typeface="Arial"/>
              </a:rPr>
              <a:t> Kathlee</a:t>
            </a:r>
            <a:r>
              <a:rPr sz="800" b="0" spc="0">
                <a:latin typeface="Arial"/>
                <a:cs typeface="Arial"/>
              </a:rPr>
              <a:t>n        </a:t>
            </a:r>
            <a:r>
              <a:rPr sz="800" b="0" spc="-90">
                <a:latin typeface="Arial"/>
                <a:cs typeface="Arial"/>
              </a:rPr>
              <a:t> </a:t>
            </a:r>
            <a:r>
              <a:rPr sz="800" b="0" spc="-5">
                <a:latin typeface="Arial"/>
                <a:cs typeface="Arial"/>
              </a:rPr>
              <a:t>CareSourc</a:t>
            </a:r>
            <a:r>
              <a:rPr sz="800" b="0" spc="0">
                <a:latin typeface="Arial"/>
                <a:cs typeface="Arial"/>
              </a:rPr>
              <a:t>e</a:t>
            </a:r>
            <a:r>
              <a:rPr sz="800" b="0" spc="-5">
                <a:latin typeface="Arial"/>
                <a:cs typeface="Arial"/>
              </a:rPr>
              <a:t> Marketplac</a:t>
            </a:r>
            <a:r>
              <a:rPr sz="800" b="0" spc="0">
                <a:latin typeface="Arial"/>
                <a:cs typeface="Arial"/>
              </a:rPr>
              <a:t>e    </a:t>
            </a:r>
            <a:r>
              <a:rPr sz="800" b="0" spc="40">
                <a:latin typeface="Arial"/>
                <a:cs typeface="Arial"/>
              </a:rPr>
              <a:t> </a:t>
            </a:r>
            <a:r>
              <a:rPr sz="800" b="0" spc="-5">
                <a:latin typeface="Arial"/>
                <a:cs typeface="Arial"/>
              </a:rPr>
              <a:t>WV</a:t>
            </a:r>
          </a:p>
        </xdr:txBody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565522" y="21054"/>
            <a:ext cx="1143635" cy="1314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 spc="-7" baseline="-10416">
                <a:latin typeface="Arial"/>
                <a:cs typeface="Arial"/>
              </a:rPr>
              <a:t>01/01/202</a:t>
            </a:r>
            <a:r>
              <a:rPr sz="1200" b="0" spc="0" baseline="-10416">
                <a:latin typeface="Arial"/>
                <a:cs typeface="Arial"/>
              </a:rPr>
              <a:t>4   </a:t>
            </a:r>
            <a:r>
              <a:rPr sz="1200" b="0" spc="7" baseline="-10416">
                <a:latin typeface="Arial"/>
                <a:cs typeface="Arial"/>
              </a:rPr>
              <a:t> </a:t>
            </a:r>
            <a:r>
              <a:rPr sz="800" b="0" spc="-5">
                <a:latin typeface="Arial"/>
                <a:cs typeface="Arial"/>
              </a:rPr>
              <a:t>12/31/2024</a:t>
            </a:r>
          </a:p>
        </xdr:txBody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6445884" y="21054"/>
            <a:ext cx="38036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12/2024</a:t>
            </a:r>
          </a:p>
        </xdr:txBody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7507096" y="21054"/>
            <a:ext cx="8636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7985506" y="21054"/>
            <a:ext cx="6921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840943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20.00</a:t>
            </a:r>
          </a:p>
        </xdr:txBody>
      </xdr:sp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932599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20.00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431800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1CB1EE1-695D-1546-BE57-21A579379617}"/>
            </a:ext>
          </a:extLst>
        </xdr:cNvPr>
        <xdr:cNvSpPr/>
      </xdr:nvSpPr>
      <xdr:spPr>
        <a:xfrm>
          <a:off x="7708900" y="102870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opLeftCell="A6" workbookViewId="0">
      <selection activeCell="A6" sqref="A1:XFD1048576"/>
    </sheetView>
  </sheetViews>
  <sheetFormatPr baseColWidth="10" defaultColWidth="9" defaultRowHeight="13" x14ac:dyDescent="0.15"/>
  <cols>
    <col min="1" max="1" width="15.19921875" customWidth="1"/>
    <col min="2" max="2" width="22" customWidth="1"/>
    <col min="3" max="3" width="2.19921875" customWidth="1"/>
    <col min="4" max="4" width="22" customWidth="1"/>
    <col min="5" max="5" width="8" customWidth="1"/>
    <col min="6" max="6" width="9.3984375" customWidth="1"/>
    <col min="7" max="7" width="14" customWidth="1"/>
    <col min="8" max="8" width="5.796875" customWidth="1"/>
    <col min="9" max="10" width="8" customWidth="1"/>
    <col min="11" max="11" width="10.3984375" customWidth="1"/>
    <col min="12" max="12" width="8" customWidth="1"/>
    <col min="13" max="13" width="2.19921875" customWidth="1"/>
    <col min="14" max="14" width="5.796875" customWidth="1"/>
    <col min="15" max="15" width="1.19921875" customWidth="1"/>
    <col min="16" max="16" width="9.3984375" customWidth="1"/>
    <col min="17" max="17" width="10.3984375" customWidth="1"/>
    <col min="18" max="18" width="14" customWidth="1"/>
    <col min="19" max="19" width="2.19921875" customWidth="1"/>
  </cols>
  <sheetData>
    <row r="1" spans="1:19" ht="14.5" customHeight="1" x14ac:dyDescent="0.1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1"/>
    </row>
    <row r="2" spans="1:19" ht="20.5" customHeight="1" x14ac:dyDescent="0.1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 t="s">
        <v>1</v>
      </c>
      <c r="O2" s="48"/>
      <c r="P2" s="48"/>
      <c r="Q2" s="48"/>
      <c r="R2" s="48"/>
      <c r="S2" s="48"/>
    </row>
    <row r="3" spans="1:19" ht="34.5" customHeight="1" x14ac:dyDescent="0.15">
      <c r="A3" s="49" t="s">
        <v>2</v>
      </c>
      <c r="B3" s="49"/>
      <c r="C3" s="49"/>
      <c r="D3" s="49"/>
      <c r="E3" s="49"/>
      <c r="F3" s="47"/>
      <c r="G3" s="47"/>
      <c r="H3" s="47"/>
      <c r="I3" s="47"/>
      <c r="J3" s="47"/>
      <c r="K3" s="47"/>
      <c r="L3" s="47"/>
      <c r="M3" s="47"/>
      <c r="N3" s="48"/>
      <c r="O3" s="48"/>
      <c r="P3" s="48"/>
      <c r="Q3" s="48"/>
      <c r="R3" s="48"/>
      <c r="S3" s="48"/>
    </row>
    <row r="4" spans="1:19" ht="5.25" customHeight="1" x14ac:dyDescent="0.15">
      <c r="A4" s="49"/>
      <c r="B4" s="49"/>
      <c r="C4" s="49"/>
      <c r="D4" s="49"/>
      <c r="E4" s="4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"/>
    </row>
    <row r="5" spans="1:19" ht="20.5" customHeight="1" x14ac:dyDescent="0.15">
      <c r="A5" s="47"/>
      <c r="B5" s="47"/>
      <c r="C5" s="47"/>
      <c r="D5" s="47"/>
      <c r="E5" s="47"/>
      <c r="F5" s="51" t="s">
        <v>3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1:19" ht="31" customHeight="1" x14ac:dyDescent="0.15">
      <c r="A6" s="52" t="s">
        <v>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spans="1:19" ht="43.5" customHeight="1" x14ac:dyDescent="0.15">
      <c r="A7" s="53" t="s">
        <v>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</row>
    <row r="8" spans="1:19" ht="13" customHeight="1" x14ac:dyDescent="0.15">
      <c r="A8" s="50"/>
      <c r="B8" s="50"/>
      <c r="C8" s="51" t="s">
        <v>6</v>
      </c>
      <c r="D8" s="51"/>
      <c r="E8" s="51"/>
      <c r="F8" s="51"/>
      <c r="G8" s="51"/>
      <c r="H8" s="51"/>
      <c r="I8" s="54">
        <v>0</v>
      </c>
      <c r="J8" s="54"/>
      <c r="K8" s="54"/>
      <c r="L8" s="54"/>
      <c r="M8" s="54"/>
      <c r="N8" s="54"/>
      <c r="O8" s="54"/>
      <c r="P8" s="50"/>
      <c r="Q8" s="50"/>
      <c r="R8" s="50"/>
      <c r="S8" s="1"/>
    </row>
    <row r="9" spans="1:19" ht="13" customHeight="1" x14ac:dyDescent="0.15">
      <c r="A9" s="50"/>
      <c r="B9" s="50"/>
      <c r="C9" s="55" t="s">
        <v>7</v>
      </c>
      <c r="D9" s="55"/>
      <c r="E9" s="55"/>
      <c r="F9" s="55"/>
      <c r="G9" s="55"/>
      <c r="H9" s="55"/>
      <c r="I9" s="56">
        <v>1066</v>
      </c>
      <c r="J9" s="56"/>
      <c r="K9" s="56"/>
      <c r="L9" s="56"/>
      <c r="M9" s="56"/>
      <c r="N9" s="56"/>
      <c r="O9" s="56"/>
      <c r="P9" s="50"/>
      <c r="Q9" s="50"/>
      <c r="R9" s="50"/>
      <c r="S9" s="1"/>
    </row>
    <row r="10" spans="1:19" ht="13" customHeight="1" x14ac:dyDescent="0.15">
      <c r="A10" s="50"/>
      <c r="B10" s="50"/>
      <c r="C10" s="51" t="s">
        <v>8</v>
      </c>
      <c r="D10" s="51"/>
      <c r="E10" s="51"/>
      <c r="F10" s="51"/>
      <c r="G10" s="51"/>
      <c r="H10" s="51"/>
      <c r="I10" s="54">
        <v>0</v>
      </c>
      <c r="J10" s="54"/>
      <c r="K10" s="54"/>
      <c r="L10" s="54"/>
      <c r="M10" s="54"/>
      <c r="N10" s="54"/>
      <c r="O10" s="54"/>
      <c r="P10" s="50"/>
      <c r="Q10" s="50"/>
      <c r="R10" s="50"/>
      <c r="S10" s="1"/>
    </row>
    <row r="11" spans="1:19" ht="13" customHeight="1" x14ac:dyDescent="0.15">
      <c r="A11" s="50"/>
      <c r="B11" s="50"/>
      <c r="C11" s="55" t="s">
        <v>9</v>
      </c>
      <c r="D11" s="55"/>
      <c r="E11" s="55"/>
      <c r="F11" s="55"/>
      <c r="G11" s="55"/>
      <c r="H11" s="55"/>
      <c r="I11" s="57">
        <v>0</v>
      </c>
      <c r="J11" s="57"/>
      <c r="K11" s="57"/>
      <c r="L11" s="57"/>
      <c r="M11" s="57"/>
      <c r="N11" s="57"/>
      <c r="O11" s="57"/>
      <c r="P11" s="50"/>
      <c r="Q11" s="50"/>
      <c r="R11" s="50"/>
      <c r="S11" s="1"/>
    </row>
    <row r="12" spans="1:19" ht="17" customHeight="1" x14ac:dyDescent="0.15">
      <c r="A12" s="50"/>
      <c r="B12" s="50"/>
      <c r="C12" s="51" t="s">
        <v>10</v>
      </c>
      <c r="D12" s="51"/>
      <c r="E12" s="51"/>
      <c r="F12" s="51"/>
      <c r="G12" s="51"/>
      <c r="H12" s="51"/>
      <c r="I12" s="58">
        <v>1066</v>
      </c>
      <c r="J12" s="58"/>
      <c r="K12" s="58"/>
      <c r="L12" s="58"/>
      <c r="M12" s="58"/>
      <c r="N12" s="58"/>
      <c r="O12" s="58"/>
      <c r="P12" s="50"/>
      <c r="Q12" s="50"/>
      <c r="R12" s="50"/>
      <c r="S12" s="1"/>
    </row>
    <row r="13" spans="1:19" ht="18" customHeight="1" x14ac:dyDescent="0.15">
      <c r="A13" s="50"/>
      <c r="B13" s="50"/>
      <c r="C13" s="51" t="s">
        <v>11</v>
      </c>
      <c r="D13" s="51"/>
      <c r="E13" s="51"/>
      <c r="F13" s="51"/>
      <c r="G13" s="51"/>
      <c r="H13" s="51"/>
      <c r="I13" s="59">
        <v>1066</v>
      </c>
      <c r="J13" s="59"/>
      <c r="K13" s="59"/>
      <c r="L13" s="59"/>
      <c r="M13" s="59"/>
      <c r="N13" s="59"/>
      <c r="O13" s="59"/>
      <c r="P13" s="50"/>
      <c r="Q13" s="50"/>
      <c r="R13" s="50"/>
      <c r="S13" s="1"/>
    </row>
    <row r="14" spans="1:19" ht="13.25" customHeight="1" x14ac:dyDescent="0.15">
      <c r="A14" s="50"/>
      <c r="B14" s="50"/>
      <c r="C14" s="51" t="s">
        <v>12</v>
      </c>
      <c r="D14" s="51"/>
      <c r="E14" s="51"/>
      <c r="F14" s="51"/>
      <c r="G14" s="51"/>
      <c r="H14" s="51"/>
      <c r="I14" s="54">
        <v>0</v>
      </c>
      <c r="J14" s="54"/>
      <c r="K14" s="54"/>
      <c r="L14" s="54"/>
      <c r="M14" s="54"/>
      <c r="N14" s="54"/>
      <c r="O14" s="54"/>
      <c r="P14" s="50"/>
      <c r="Q14" s="50"/>
      <c r="R14" s="50"/>
      <c r="S14" s="1"/>
    </row>
    <row r="15" spans="1:19" ht="16.5" customHeight="1" x14ac:dyDescent="0.15">
      <c r="A15" s="60" t="s">
        <v>13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1"/>
    </row>
    <row r="16" spans="1:19" ht="14.25" customHeight="1" x14ac:dyDescent="0.15">
      <c r="A16" s="61" t="s">
        <v>14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1"/>
    </row>
    <row r="17" spans="1:19" ht="25.5" customHeight="1" x14ac:dyDescent="0.15">
      <c r="A17" s="3" t="s">
        <v>15</v>
      </c>
      <c r="B17" s="62" t="s">
        <v>16</v>
      </c>
      <c r="C17" s="62"/>
      <c r="D17" s="3" t="s">
        <v>17</v>
      </c>
      <c r="E17" s="63" t="s">
        <v>18</v>
      </c>
      <c r="F17" s="63"/>
      <c r="G17" s="4" t="s">
        <v>19</v>
      </c>
      <c r="H17" s="64" t="s">
        <v>20</v>
      </c>
      <c r="I17" s="64"/>
      <c r="J17" s="6" t="s">
        <v>21</v>
      </c>
      <c r="K17" s="3" t="s">
        <v>22</v>
      </c>
      <c r="L17" s="6" t="s">
        <v>23</v>
      </c>
      <c r="M17" s="65" t="s">
        <v>24</v>
      </c>
      <c r="N17" s="65"/>
      <c r="O17" s="66" t="s">
        <v>25</v>
      </c>
      <c r="P17" s="66"/>
      <c r="Q17" s="7" t="s">
        <v>26</v>
      </c>
      <c r="R17" s="8" t="s">
        <v>27</v>
      </c>
      <c r="S17" s="2"/>
    </row>
    <row r="18" spans="1:19" ht="17" customHeight="1" x14ac:dyDescent="0.15">
      <c r="A18" s="9">
        <v>111922060</v>
      </c>
      <c r="B18" s="67" t="s">
        <v>28</v>
      </c>
      <c r="C18" s="67"/>
      <c r="D18" s="10" t="s">
        <v>29</v>
      </c>
      <c r="E18" s="68" t="s">
        <v>30</v>
      </c>
      <c r="F18" s="68"/>
      <c r="G18" s="11">
        <v>45316</v>
      </c>
      <c r="H18" s="69">
        <v>45657</v>
      </c>
      <c r="I18" s="69"/>
      <c r="J18" s="12"/>
      <c r="K18" s="13" t="s">
        <v>31</v>
      </c>
      <c r="L18" s="12"/>
      <c r="M18" s="70" t="s">
        <v>32</v>
      </c>
      <c r="N18" s="70"/>
      <c r="O18" s="71">
        <v>1</v>
      </c>
      <c r="P18" s="71"/>
      <c r="Q18" s="14">
        <v>20</v>
      </c>
      <c r="R18" s="15">
        <v>20</v>
      </c>
      <c r="S18" s="2"/>
    </row>
    <row r="19" spans="1:19" ht="12" customHeight="1" x14ac:dyDescent="0.15">
      <c r="A19" s="16">
        <v>112319621</v>
      </c>
      <c r="B19" s="72" t="s">
        <v>33</v>
      </c>
      <c r="C19" s="72"/>
      <c r="D19" s="17" t="s">
        <v>29</v>
      </c>
      <c r="E19" s="73" t="s">
        <v>30</v>
      </c>
      <c r="F19" s="73"/>
      <c r="G19" s="18">
        <v>45597</v>
      </c>
      <c r="H19" s="74">
        <v>45657</v>
      </c>
      <c r="I19" s="74"/>
      <c r="J19" s="19"/>
      <c r="K19" s="20" t="s">
        <v>31</v>
      </c>
      <c r="L19" s="19"/>
      <c r="M19" s="75" t="s">
        <v>32</v>
      </c>
      <c r="N19" s="75"/>
      <c r="O19" s="76">
        <v>2</v>
      </c>
      <c r="P19" s="76"/>
      <c r="Q19" s="21">
        <v>20</v>
      </c>
      <c r="R19" s="22">
        <v>40</v>
      </c>
      <c r="S19" s="1"/>
    </row>
    <row r="20" spans="1:19" ht="22" customHeight="1" x14ac:dyDescent="0.15">
      <c r="A20" s="2"/>
      <c r="B20" s="47"/>
      <c r="C20" s="47"/>
      <c r="D20" s="77" t="s">
        <v>34</v>
      </c>
      <c r="E20" s="77"/>
      <c r="F20" s="77"/>
      <c r="G20" s="2"/>
      <c r="H20" s="47"/>
      <c r="I20" s="47"/>
      <c r="J20" s="2"/>
      <c r="K20" s="2"/>
      <c r="L20" s="2"/>
      <c r="M20" s="47"/>
      <c r="N20" s="47"/>
      <c r="O20" s="47"/>
      <c r="P20" s="47"/>
      <c r="Q20" s="2"/>
      <c r="R20" s="23">
        <v>60</v>
      </c>
      <c r="S20" s="2"/>
    </row>
    <row r="21" spans="1:19" ht="14.25" customHeight="1" x14ac:dyDescent="0.15">
      <c r="A21" s="24"/>
      <c r="B21" s="78"/>
      <c r="C21" s="78"/>
      <c r="D21" s="78"/>
      <c r="E21" s="78"/>
      <c r="F21" s="78"/>
      <c r="G21" s="79" t="s">
        <v>35</v>
      </c>
      <c r="H21" s="79"/>
      <c r="I21" s="79"/>
      <c r="J21" s="24"/>
      <c r="K21" s="24"/>
      <c r="L21" s="24"/>
      <c r="M21" s="78"/>
      <c r="N21" s="78"/>
      <c r="O21" s="78"/>
      <c r="P21" s="78"/>
      <c r="Q21" s="24"/>
      <c r="R21" s="24"/>
      <c r="S21" s="1"/>
    </row>
    <row r="22" spans="1:19" ht="25.5" customHeight="1" x14ac:dyDescent="0.15">
      <c r="A22" s="25" t="s">
        <v>15</v>
      </c>
      <c r="B22" s="80" t="s">
        <v>16</v>
      </c>
      <c r="C22" s="80"/>
      <c r="D22" s="81" t="s">
        <v>36</v>
      </c>
      <c r="E22" s="81"/>
      <c r="F22" s="81"/>
      <c r="G22" s="26" t="s">
        <v>19</v>
      </c>
      <c r="H22" s="82" t="s">
        <v>20</v>
      </c>
      <c r="I22" s="82"/>
      <c r="J22" s="27" t="s">
        <v>21</v>
      </c>
      <c r="K22" s="25" t="s">
        <v>22</v>
      </c>
      <c r="L22" s="27" t="s">
        <v>23</v>
      </c>
      <c r="M22" s="83" t="s">
        <v>24</v>
      </c>
      <c r="N22" s="83"/>
      <c r="O22" s="84" t="s">
        <v>25</v>
      </c>
      <c r="P22" s="84"/>
      <c r="Q22" s="28" t="s">
        <v>26</v>
      </c>
      <c r="R22" s="29" t="s">
        <v>27</v>
      </c>
      <c r="S22" s="2"/>
    </row>
    <row r="23" spans="1:19" ht="17" customHeight="1" x14ac:dyDescent="0.15">
      <c r="A23" s="9">
        <v>110700972</v>
      </c>
      <c r="B23" s="67" t="s">
        <v>37</v>
      </c>
      <c r="C23" s="67"/>
      <c r="D23" s="68" t="s">
        <v>38</v>
      </c>
      <c r="E23" s="68"/>
      <c r="F23" s="68"/>
      <c r="G23" s="11">
        <v>45474</v>
      </c>
      <c r="H23" s="69">
        <v>45657</v>
      </c>
      <c r="I23" s="69"/>
      <c r="J23" s="12"/>
      <c r="K23" s="13" t="s">
        <v>31</v>
      </c>
      <c r="L23" s="12"/>
      <c r="M23" s="70" t="s">
        <v>32</v>
      </c>
      <c r="N23" s="70"/>
      <c r="O23" s="71">
        <v>1</v>
      </c>
      <c r="P23" s="71"/>
      <c r="Q23" s="14">
        <v>20</v>
      </c>
      <c r="R23" s="15">
        <v>20</v>
      </c>
      <c r="S23" s="2"/>
    </row>
    <row r="24" spans="1:19" ht="12" customHeight="1" x14ac:dyDescent="0.15">
      <c r="A24" s="16">
        <v>110701159</v>
      </c>
      <c r="B24" s="72" t="s">
        <v>39</v>
      </c>
      <c r="C24" s="72"/>
      <c r="D24" s="73" t="s">
        <v>38</v>
      </c>
      <c r="E24" s="73"/>
      <c r="F24" s="73"/>
      <c r="G24" s="18">
        <v>45474</v>
      </c>
      <c r="H24" s="74">
        <v>45657</v>
      </c>
      <c r="I24" s="74"/>
      <c r="J24" s="19"/>
      <c r="K24" s="20" t="s">
        <v>31</v>
      </c>
      <c r="L24" s="19"/>
      <c r="M24" s="75" t="s">
        <v>32</v>
      </c>
      <c r="N24" s="75"/>
      <c r="O24" s="76">
        <v>2</v>
      </c>
      <c r="P24" s="76"/>
      <c r="Q24" s="21">
        <v>20</v>
      </c>
      <c r="R24" s="22">
        <v>40</v>
      </c>
      <c r="S24" s="1"/>
    </row>
    <row r="25" spans="1:19" ht="14" customHeight="1" x14ac:dyDescent="0.15">
      <c r="A25" s="30">
        <v>110809733</v>
      </c>
      <c r="B25" s="85" t="s">
        <v>40</v>
      </c>
      <c r="C25" s="85"/>
      <c r="D25" s="86" t="s">
        <v>38</v>
      </c>
      <c r="E25" s="86"/>
      <c r="F25" s="86"/>
      <c r="G25" s="32">
        <v>45474</v>
      </c>
      <c r="H25" s="87">
        <v>45657</v>
      </c>
      <c r="I25" s="87"/>
      <c r="J25" s="1"/>
      <c r="K25" s="33" t="s">
        <v>31</v>
      </c>
      <c r="L25" s="1"/>
      <c r="M25" s="88" t="s">
        <v>32</v>
      </c>
      <c r="N25" s="88"/>
      <c r="O25" s="89">
        <v>1</v>
      </c>
      <c r="P25" s="89"/>
      <c r="Q25" s="34">
        <v>20</v>
      </c>
      <c r="R25" s="35">
        <v>20</v>
      </c>
      <c r="S25" s="1"/>
    </row>
    <row r="26" spans="1:19" ht="28.5" customHeight="1" x14ac:dyDescent="0.15">
      <c r="A26" s="2"/>
      <c r="B26" s="47"/>
      <c r="C26" s="47"/>
      <c r="D26" s="90" t="s">
        <v>41</v>
      </c>
      <c r="E26" s="90"/>
      <c r="F26" s="90"/>
      <c r="G26" s="2"/>
      <c r="H26" s="47"/>
      <c r="I26" s="47"/>
      <c r="J26" s="2"/>
      <c r="K26" s="2"/>
      <c r="L26" s="2"/>
      <c r="M26" s="47"/>
      <c r="N26" s="47"/>
      <c r="O26" s="47"/>
      <c r="P26" s="47"/>
      <c r="Q26" s="2"/>
      <c r="R26" s="23">
        <v>80</v>
      </c>
      <c r="S26" s="2"/>
    </row>
    <row r="27" spans="1:19" ht="64.5" customHeight="1" x14ac:dyDescent="0.15">
      <c r="A27" s="91" t="s">
        <v>42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</row>
    <row r="28" spans="1:19" ht="17" customHeight="1" x14ac:dyDescent="0.15">
      <c r="A28" s="60" t="s">
        <v>43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"/>
    </row>
    <row r="29" spans="1:19" ht="14.25" customHeight="1" x14ac:dyDescent="0.15">
      <c r="A29" s="61" t="s">
        <v>35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1"/>
    </row>
    <row r="30" spans="1:19" ht="14" customHeight="1" x14ac:dyDescent="0.15">
      <c r="A30" s="50"/>
      <c r="B30" s="50"/>
      <c r="C30" s="50"/>
      <c r="D30" s="50"/>
      <c r="E30" s="50"/>
      <c r="F30" s="50"/>
      <c r="G30" s="36" t="s">
        <v>44</v>
      </c>
      <c r="H30" s="92" t="s">
        <v>20</v>
      </c>
      <c r="I30" s="92"/>
      <c r="J30" s="36" t="s">
        <v>45</v>
      </c>
      <c r="K30" s="1"/>
      <c r="L30" s="36" t="s">
        <v>46</v>
      </c>
      <c r="M30" s="50"/>
      <c r="N30" s="50"/>
      <c r="O30" s="92" t="s">
        <v>47</v>
      </c>
      <c r="P30" s="92"/>
      <c r="Q30" s="1"/>
      <c r="R30" s="37" t="s">
        <v>48</v>
      </c>
      <c r="S30" s="1"/>
    </row>
    <row r="31" spans="1:19" ht="12.75" customHeight="1" x14ac:dyDescent="0.15">
      <c r="A31" s="6" t="s">
        <v>15</v>
      </c>
      <c r="B31" s="93" t="s">
        <v>16</v>
      </c>
      <c r="C31" s="93"/>
      <c r="D31" s="6" t="s">
        <v>17</v>
      </c>
      <c r="E31" s="66" t="s">
        <v>18</v>
      </c>
      <c r="F31" s="66"/>
      <c r="G31" s="5" t="s">
        <v>49</v>
      </c>
      <c r="H31" s="94"/>
      <c r="I31" s="94"/>
      <c r="J31" s="5" t="s">
        <v>49</v>
      </c>
      <c r="K31" s="6" t="s">
        <v>22</v>
      </c>
      <c r="L31" s="5" t="s">
        <v>50</v>
      </c>
      <c r="M31" s="64" t="s">
        <v>24</v>
      </c>
      <c r="N31" s="64"/>
      <c r="O31" s="64" t="s">
        <v>51</v>
      </c>
      <c r="P31" s="64"/>
      <c r="Q31" s="5" t="s">
        <v>26</v>
      </c>
      <c r="R31" s="38" t="s">
        <v>52</v>
      </c>
      <c r="S31" s="2"/>
    </row>
    <row r="32" spans="1:19" ht="38.25" customHeight="1" x14ac:dyDescent="0.15">
      <c r="A32" s="95" t="s">
        <v>53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</row>
    <row r="33" spans="1:19" ht="64.5" customHeight="1" x14ac:dyDescent="0.15">
      <c r="A33" s="91" t="s">
        <v>54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</row>
    <row r="34" spans="1:19" ht="17" customHeight="1" x14ac:dyDescent="0.15">
      <c r="A34" s="60" t="s">
        <v>55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"/>
    </row>
    <row r="35" spans="1:19" ht="14.25" customHeight="1" x14ac:dyDescent="0.15">
      <c r="A35" s="61" t="s">
        <v>35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1"/>
    </row>
    <row r="36" spans="1:19" ht="25.5" customHeight="1" x14ac:dyDescent="0.15">
      <c r="A36" s="3" t="s">
        <v>15</v>
      </c>
      <c r="B36" s="62" t="s">
        <v>16</v>
      </c>
      <c r="C36" s="62"/>
      <c r="D36" s="3" t="s">
        <v>17</v>
      </c>
      <c r="E36" s="63" t="s">
        <v>18</v>
      </c>
      <c r="F36" s="63"/>
      <c r="G36" s="4" t="s">
        <v>19</v>
      </c>
      <c r="H36" s="64" t="s">
        <v>20</v>
      </c>
      <c r="I36" s="64"/>
      <c r="J36" s="6" t="s">
        <v>21</v>
      </c>
      <c r="K36" s="3" t="s">
        <v>22</v>
      </c>
      <c r="L36" s="6" t="s">
        <v>23</v>
      </c>
      <c r="M36" s="65" t="s">
        <v>24</v>
      </c>
      <c r="N36" s="65"/>
      <c r="O36" s="66" t="s">
        <v>25</v>
      </c>
      <c r="P36" s="66"/>
      <c r="Q36" s="7" t="s">
        <v>26</v>
      </c>
      <c r="R36" s="8" t="s">
        <v>27</v>
      </c>
      <c r="S36" s="2"/>
    </row>
    <row r="37" spans="1:19" ht="17" customHeight="1" x14ac:dyDescent="0.15">
      <c r="A37" s="9">
        <v>111034361</v>
      </c>
      <c r="B37" s="67" t="s">
        <v>56</v>
      </c>
      <c r="C37" s="67"/>
      <c r="D37" s="10" t="s">
        <v>29</v>
      </c>
      <c r="E37" s="68" t="s">
        <v>57</v>
      </c>
      <c r="F37" s="68"/>
      <c r="G37" s="39">
        <v>45292</v>
      </c>
      <c r="H37" s="69">
        <v>45657</v>
      </c>
      <c r="I37" s="69"/>
      <c r="J37" s="12"/>
      <c r="K37" s="13" t="s">
        <v>31</v>
      </c>
      <c r="L37" s="12"/>
      <c r="M37" s="70" t="s">
        <v>32</v>
      </c>
      <c r="N37" s="70"/>
      <c r="O37" s="71">
        <v>1</v>
      </c>
      <c r="P37" s="71"/>
      <c r="Q37" s="14">
        <v>25</v>
      </c>
      <c r="R37" s="15">
        <v>25</v>
      </c>
      <c r="S37" s="2"/>
    </row>
    <row r="38" spans="1:19" ht="12" customHeight="1" x14ac:dyDescent="0.15">
      <c r="A38" s="16">
        <v>111183328</v>
      </c>
      <c r="B38" s="72" t="s">
        <v>58</v>
      </c>
      <c r="C38" s="72"/>
      <c r="D38" s="17" t="s">
        <v>29</v>
      </c>
      <c r="E38" s="73" t="s">
        <v>57</v>
      </c>
      <c r="F38" s="73"/>
      <c r="G38" s="40">
        <v>45292</v>
      </c>
      <c r="H38" s="74">
        <v>45657</v>
      </c>
      <c r="I38" s="74"/>
      <c r="J38" s="19"/>
      <c r="K38" s="20" t="s">
        <v>31</v>
      </c>
      <c r="L38" s="19"/>
      <c r="M38" s="75" t="s">
        <v>32</v>
      </c>
      <c r="N38" s="75"/>
      <c r="O38" s="76">
        <v>1</v>
      </c>
      <c r="P38" s="76"/>
      <c r="Q38" s="21">
        <v>25</v>
      </c>
      <c r="R38" s="22">
        <v>25</v>
      </c>
      <c r="S38" s="1"/>
    </row>
    <row r="39" spans="1:19" ht="17.5" customHeight="1" x14ac:dyDescent="0.15">
      <c r="A39" s="30">
        <v>111241629</v>
      </c>
      <c r="B39" s="85" t="s">
        <v>59</v>
      </c>
      <c r="C39" s="85"/>
      <c r="D39" s="31" t="s">
        <v>29</v>
      </c>
      <c r="E39" s="86" t="s">
        <v>57</v>
      </c>
      <c r="F39" s="86"/>
      <c r="G39" s="41">
        <v>45292</v>
      </c>
      <c r="H39" s="87">
        <v>45657</v>
      </c>
      <c r="I39" s="87"/>
      <c r="J39" s="2"/>
      <c r="K39" s="33" t="s">
        <v>31</v>
      </c>
      <c r="L39" s="2"/>
      <c r="M39" s="88" t="s">
        <v>32</v>
      </c>
      <c r="N39" s="88"/>
      <c r="O39" s="89">
        <v>1</v>
      </c>
      <c r="P39" s="89"/>
      <c r="Q39" s="34">
        <v>25</v>
      </c>
      <c r="R39" s="35">
        <v>25</v>
      </c>
      <c r="S39" s="2"/>
    </row>
    <row r="40" spans="1:19" ht="25" customHeight="1" x14ac:dyDescent="0.15">
      <c r="A40" s="96" t="s">
        <v>60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</row>
    <row r="41" spans="1:19" ht="64.5" customHeight="1" x14ac:dyDescent="0.15">
      <c r="A41" s="97" t="s">
        <v>61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</row>
    <row r="42" spans="1:19" ht="17" customHeight="1" x14ac:dyDescent="0.15">
      <c r="A42" s="60" t="s">
        <v>62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2"/>
    </row>
    <row r="43" spans="1:19" ht="14.25" customHeight="1" x14ac:dyDescent="0.15">
      <c r="A43" s="61" t="s">
        <v>14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1"/>
    </row>
    <row r="44" spans="1:19" ht="25.5" customHeight="1" x14ac:dyDescent="0.15">
      <c r="A44" s="3" t="s">
        <v>15</v>
      </c>
      <c r="B44" s="62" t="s">
        <v>16</v>
      </c>
      <c r="C44" s="62"/>
      <c r="D44" s="3" t="s">
        <v>17</v>
      </c>
      <c r="E44" s="63" t="s">
        <v>18</v>
      </c>
      <c r="F44" s="63"/>
      <c r="G44" s="4" t="s">
        <v>19</v>
      </c>
      <c r="H44" s="64" t="s">
        <v>20</v>
      </c>
      <c r="I44" s="64"/>
      <c r="J44" s="6" t="s">
        <v>21</v>
      </c>
      <c r="K44" s="3" t="s">
        <v>22</v>
      </c>
      <c r="L44" s="6" t="s">
        <v>23</v>
      </c>
      <c r="M44" s="65" t="s">
        <v>24</v>
      </c>
      <c r="N44" s="65"/>
      <c r="O44" s="66" t="s">
        <v>25</v>
      </c>
      <c r="P44" s="66"/>
      <c r="Q44" s="7" t="s">
        <v>26</v>
      </c>
      <c r="R44" s="8" t="s">
        <v>27</v>
      </c>
      <c r="S44" s="2"/>
    </row>
    <row r="45" spans="1:19" ht="5.25" customHeight="1" x14ac:dyDescent="0.15">
      <c r="A45" s="42"/>
      <c r="B45" s="98"/>
      <c r="C45" s="98"/>
      <c r="D45" s="42"/>
      <c r="E45" s="98"/>
      <c r="F45" s="98"/>
      <c r="G45" s="42"/>
      <c r="H45" s="98"/>
      <c r="I45" s="98"/>
      <c r="J45" s="42"/>
      <c r="K45" s="42"/>
      <c r="L45" s="42"/>
      <c r="M45" s="98"/>
      <c r="N45" s="98"/>
      <c r="O45" s="98"/>
      <c r="P45" s="98"/>
      <c r="Q45" s="42"/>
      <c r="R45" s="42"/>
      <c r="S45" s="1"/>
    </row>
    <row r="46" spans="1:19" ht="12" customHeight="1" x14ac:dyDescent="0.15">
      <c r="A46" s="16">
        <v>109263551</v>
      </c>
      <c r="B46" s="72" t="s">
        <v>63</v>
      </c>
      <c r="C46" s="72"/>
      <c r="D46" s="17" t="s">
        <v>29</v>
      </c>
      <c r="E46" s="73" t="s">
        <v>57</v>
      </c>
      <c r="F46" s="73"/>
      <c r="G46" s="40">
        <v>45292</v>
      </c>
      <c r="H46" s="74">
        <v>45657</v>
      </c>
      <c r="I46" s="74"/>
      <c r="J46" s="19"/>
      <c r="K46" s="20" t="s">
        <v>31</v>
      </c>
      <c r="L46" s="19"/>
      <c r="M46" s="75" t="s">
        <v>32</v>
      </c>
      <c r="N46" s="75"/>
      <c r="O46" s="76">
        <v>2</v>
      </c>
      <c r="P46" s="76"/>
      <c r="Q46" s="21">
        <v>25</v>
      </c>
      <c r="R46" s="22">
        <v>50</v>
      </c>
      <c r="S46" s="1"/>
    </row>
    <row r="47" spans="1:19" ht="12" customHeight="1" x14ac:dyDescent="0.15">
      <c r="A47" s="30">
        <v>111786407</v>
      </c>
      <c r="B47" s="85" t="s">
        <v>64</v>
      </c>
      <c r="C47" s="85"/>
      <c r="D47" s="31" t="s">
        <v>29</v>
      </c>
      <c r="E47" s="86" t="s">
        <v>65</v>
      </c>
      <c r="F47" s="86"/>
      <c r="G47" s="41">
        <v>45292</v>
      </c>
      <c r="H47" s="87">
        <v>45657</v>
      </c>
      <c r="I47" s="87"/>
      <c r="J47" s="1"/>
      <c r="K47" s="33" t="s">
        <v>31</v>
      </c>
      <c r="L47" s="1"/>
      <c r="M47" s="88" t="s">
        <v>32</v>
      </c>
      <c r="N47" s="88"/>
      <c r="O47" s="89">
        <v>1</v>
      </c>
      <c r="P47" s="89"/>
      <c r="Q47" s="34">
        <v>21</v>
      </c>
      <c r="R47" s="35">
        <v>21</v>
      </c>
      <c r="S47" s="1"/>
    </row>
    <row r="48" spans="1:19" ht="12" customHeight="1" x14ac:dyDescent="0.15">
      <c r="A48" s="16">
        <v>111849444</v>
      </c>
      <c r="B48" s="72" t="s">
        <v>66</v>
      </c>
      <c r="C48" s="72"/>
      <c r="D48" s="17" t="s">
        <v>29</v>
      </c>
      <c r="E48" s="73" t="s">
        <v>65</v>
      </c>
      <c r="F48" s="73"/>
      <c r="G48" s="40">
        <v>45292</v>
      </c>
      <c r="H48" s="74">
        <v>45657</v>
      </c>
      <c r="I48" s="74"/>
      <c r="J48" s="19"/>
      <c r="K48" s="20" t="s">
        <v>31</v>
      </c>
      <c r="L48" s="19"/>
      <c r="M48" s="75" t="s">
        <v>32</v>
      </c>
      <c r="N48" s="75"/>
      <c r="O48" s="76">
        <v>1</v>
      </c>
      <c r="P48" s="76"/>
      <c r="Q48" s="21">
        <v>21</v>
      </c>
      <c r="R48" s="22">
        <v>21</v>
      </c>
      <c r="S48" s="1"/>
    </row>
    <row r="49" spans="1:19" ht="12" customHeight="1" x14ac:dyDescent="0.15">
      <c r="A49" s="30">
        <v>111876534</v>
      </c>
      <c r="B49" s="85" t="s">
        <v>67</v>
      </c>
      <c r="C49" s="85"/>
      <c r="D49" s="31" t="s">
        <v>29</v>
      </c>
      <c r="E49" s="86" t="s">
        <v>65</v>
      </c>
      <c r="F49" s="86"/>
      <c r="G49" s="41">
        <v>45292</v>
      </c>
      <c r="H49" s="87">
        <v>45657</v>
      </c>
      <c r="I49" s="87"/>
      <c r="J49" s="1"/>
      <c r="K49" s="33" t="s">
        <v>31</v>
      </c>
      <c r="L49" s="1"/>
      <c r="M49" s="88" t="s">
        <v>32</v>
      </c>
      <c r="N49" s="88"/>
      <c r="O49" s="89">
        <v>1</v>
      </c>
      <c r="P49" s="89"/>
      <c r="Q49" s="34">
        <v>21</v>
      </c>
      <c r="R49" s="35">
        <v>21</v>
      </c>
      <c r="S49" s="1"/>
    </row>
    <row r="50" spans="1:19" ht="12" customHeight="1" x14ac:dyDescent="0.15">
      <c r="A50" s="16">
        <v>112007452</v>
      </c>
      <c r="B50" s="72" t="s">
        <v>68</v>
      </c>
      <c r="C50" s="72"/>
      <c r="D50" s="17" t="s">
        <v>29</v>
      </c>
      <c r="E50" s="73" t="s">
        <v>65</v>
      </c>
      <c r="F50" s="73"/>
      <c r="G50" s="40">
        <v>45413</v>
      </c>
      <c r="H50" s="74">
        <v>45657</v>
      </c>
      <c r="I50" s="74"/>
      <c r="J50" s="19"/>
      <c r="K50" s="20" t="s">
        <v>31</v>
      </c>
      <c r="L50" s="19"/>
      <c r="M50" s="75" t="s">
        <v>32</v>
      </c>
      <c r="N50" s="75"/>
      <c r="O50" s="76">
        <v>1</v>
      </c>
      <c r="P50" s="76"/>
      <c r="Q50" s="21">
        <v>21</v>
      </c>
      <c r="R50" s="22">
        <v>21</v>
      </c>
      <c r="S50" s="1"/>
    </row>
    <row r="51" spans="1:19" ht="17.5" customHeight="1" x14ac:dyDescent="0.15">
      <c r="A51" s="30">
        <v>112234254</v>
      </c>
      <c r="B51" s="85" t="s">
        <v>69</v>
      </c>
      <c r="C51" s="85"/>
      <c r="D51" s="31" t="s">
        <v>29</v>
      </c>
      <c r="E51" s="86" t="s">
        <v>57</v>
      </c>
      <c r="F51" s="86"/>
      <c r="G51" s="41">
        <v>45536</v>
      </c>
      <c r="H51" s="87">
        <v>45657</v>
      </c>
      <c r="I51" s="87"/>
      <c r="J51" s="2"/>
      <c r="K51" s="33" t="s">
        <v>31</v>
      </c>
      <c r="L51" s="2"/>
      <c r="M51" s="88" t="s">
        <v>32</v>
      </c>
      <c r="N51" s="88"/>
      <c r="O51" s="89">
        <v>1</v>
      </c>
      <c r="P51" s="89"/>
      <c r="Q51" s="34">
        <v>25</v>
      </c>
      <c r="R51" s="35">
        <v>25</v>
      </c>
      <c r="S51" s="2"/>
    </row>
    <row r="52" spans="1:19" ht="12.75" customHeight="1" x14ac:dyDescent="0.15">
      <c r="A52" s="99" t="s">
        <v>70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1:19" ht="14.25" customHeight="1" x14ac:dyDescent="0.15">
      <c r="A53" s="78"/>
      <c r="B53" s="78"/>
      <c r="C53" s="78"/>
      <c r="D53" s="78"/>
      <c r="E53" s="78"/>
      <c r="F53" s="78"/>
      <c r="G53" s="79" t="s">
        <v>35</v>
      </c>
      <c r="H53" s="79"/>
      <c r="I53" s="79"/>
      <c r="J53" s="78"/>
      <c r="K53" s="78"/>
      <c r="L53" s="78"/>
      <c r="M53" s="78"/>
      <c r="N53" s="78"/>
      <c r="O53" s="78"/>
      <c r="P53" s="78"/>
      <c r="Q53" s="78"/>
      <c r="R53" s="78"/>
      <c r="S53" s="1"/>
    </row>
    <row r="54" spans="1:19" ht="25.5" customHeight="1" x14ac:dyDescent="0.15">
      <c r="A54" s="25" t="s">
        <v>15</v>
      </c>
      <c r="B54" s="80" t="s">
        <v>16</v>
      </c>
      <c r="C54" s="80"/>
      <c r="D54" s="25" t="s">
        <v>17</v>
      </c>
      <c r="E54" s="81" t="s">
        <v>18</v>
      </c>
      <c r="F54" s="81"/>
      <c r="G54" s="26" t="s">
        <v>19</v>
      </c>
      <c r="H54" s="82" t="s">
        <v>20</v>
      </c>
      <c r="I54" s="82"/>
      <c r="J54" s="27" t="s">
        <v>21</v>
      </c>
      <c r="K54" s="25" t="s">
        <v>22</v>
      </c>
      <c r="L54" s="27" t="s">
        <v>23</v>
      </c>
      <c r="M54" s="83" t="s">
        <v>24</v>
      </c>
      <c r="N54" s="83"/>
      <c r="O54" s="84" t="s">
        <v>25</v>
      </c>
      <c r="P54" s="84"/>
      <c r="Q54" s="28" t="s">
        <v>26</v>
      </c>
      <c r="R54" s="29" t="s">
        <v>27</v>
      </c>
      <c r="S54" s="2"/>
    </row>
    <row r="55" spans="1:19" ht="5.25" customHeight="1" x14ac:dyDescent="0.15">
      <c r="A55" s="42"/>
      <c r="B55" s="98"/>
      <c r="C55" s="98"/>
      <c r="D55" s="42"/>
      <c r="E55" s="98"/>
      <c r="F55" s="98"/>
      <c r="G55" s="42"/>
      <c r="H55" s="98"/>
      <c r="I55" s="98"/>
      <c r="J55" s="42"/>
      <c r="K55" s="42"/>
      <c r="L55" s="42"/>
      <c r="M55" s="98"/>
      <c r="N55" s="98"/>
      <c r="O55" s="98"/>
      <c r="P55" s="98"/>
      <c r="Q55" s="42"/>
      <c r="R55" s="42"/>
      <c r="S55" s="1"/>
    </row>
    <row r="56" spans="1:19" ht="12" customHeight="1" x14ac:dyDescent="0.15">
      <c r="A56" s="16">
        <v>109376890</v>
      </c>
      <c r="B56" s="72" t="s">
        <v>71</v>
      </c>
      <c r="C56" s="72"/>
      <c r="D56" s="17" t="s">
        <v>29</v>
      </c>
      <c r="E56" s="73" t="s">
        <v>65</v>
      </c>
      <c r="F56" s="73"/>
      <c r="G56" s="40">
        <v>45292</v>
      </c>
      <c r="H56" s="74">
        <v>45657</v>
      </c>
      <c r="I56" s="74"/>
      <c r="J56" s="19"/>
      <c r="K56" s="20" t="s">
        <v>31</v>
      </c>
      <c r="L56" s="19"/>
      <c r="M56" s="75" t="s">
        <v>32</v>
      </c>
      <c r="N56" s="75"/>
      <c r="O56" s="76">
        <v>1</v>
      </c>
      <c r="P56" s="76"/>
      <c r="Q56" s="21">
        <v>21</v>
      </c>
      <c r="R56" s="22">
        <v>21</v>
      </c>
      <c r="S56" s="1"/>
    </row>
    <row r="57" spans="1:19" ht="12" customHeight="1" x14ac:dyDescent="0.15">
      <c r="A57" s="30">
        <v>109408841</v>
      </c>
      <c r="B57" s="85" t="s">
        <v>72</v>
      </c>
      <c r="C57" s="85"/>
      <c r="D57" s="31" t="s">
        <v>29</v>
      </c>
      <c r="E57" s="86" t="s">
        <v>65</v>
      </c>
      <c r="F57" s="86"/>
      <c r="G57" s="41">
        <v>45292</v>
      </c>
      <c r="H57" s="87">
        <v>45657</v>
      </c>
      <c r="I57" s="87"/>
      <c r="J57" s="1"/>
      <c r="K57" s="33" t="s">
        <v>31</v>
      </c>
      <c r="L57" s="1"/>
      <c r="M57" s="88" t="s">
        <v>32</v>
      </c>
      <c r="N57" s="88"/>
      <c r="O57" s="89">
        <v>1</v>
      </c>
      <c r="P57" s="89"/>
      <c r="Q57" s="34">
        <v>21</v>
      </c>
      <c r="R57" s="35">
        <v>21</v>
      </c>
      <c r="S57" s="1"/>
    </row>
    <row r="58" spans="1:19" ht="12" customHeight="1" x14ac:dyDescent="0.15">
      <c r="A58" s="16">
        <v>109412356</v>
      </c>
      <c r="B58" s="72" t="s">
        <v>73</v>
      </c>
      <c r="C58" s="72"/>
      <c r="D58" s="17" t="s">
        <v>29</v>
      </c>
      <c r="E58" s="73" t="s">
        <v>74</v>
      </c>
      <c r="F58" s="73"/>
      <c r="G58" s="40">
        <v>45292</v>
      </c>
      <c r="H58" s="74">
        <v>45657</v>
      </c>
      <c r="I58" s="74"/>
      <c r="J58" s="19"/>
      <c r="K58" s="20" t="s">
        <v>31</v>
      </c>
      <c r="L58" s="19"/>
      <c r="M58" s="75" t="s">
        <v>32</v>
      </c>
      <c r="N58" s="75"/>
      <c r="O58" s="76">
        <v>3</v>
      </c>
      <c r="P58" s="76"/>
      <c r="Q58" s="21">
        <v>22</v>
      </c>
      <c r="R58" s="22">
        <v>66</v>
      </c>
      <c r="S58" s="1"/>
    </row>
    <row r="59" spans="1:19" ht="12" customHeight="1" x14ac:dyDescent="0.15">
      <c r="A59" s="30">
        <v>109984175</v>
      </c>
      <c r="B59" s="85" t="s">
        <v>75</v>
      </c>
      <c r="C59" s="85"/>
      <c r="D59" s="31" t="s">
        <v>29</v>
      </c>
      <c r="E59" s="86" t="s">
        <v>65</v>
      </c>
      <c r="F59" s="86"/>
      <c r="G59" s="41">
        <v>45292</v>
      </c>
      <c r="H59" s="87">
        <v>45657</v>
      </c>
      <c r="I59" s="87"/>
      <c r="J59" s="1"/>
      <c r="K59" s="33" t="s">
        <v>31</v>
      </c>
      <c r="L59" s="1"/>
      <c r="M59" s="88" t="s">
        <v>32</v>
      </c>
      <c r="N59" s="88"/>
      <c r="O59" s="89">
        <v>1</v>
      </c>
      <c r="P59" s="89"/>
      <c r="Q59" s="34">
        <v>21</v>
      </c>
      <c r="R59" s="35">
        <v>21</v>
      </c>
      <c r="S59" s="1"/>
    </row>
    <row r="60" spans="1:19" ht="12" customHeight="1" x14ac:dyDescent="0.15">
      <c r="A60" s="16">
        <v>110447345</v>
      </c>
      <c r="B60" s="72" t="s">
        <v>76</v>
      </c>
      <c r="C60" s="72"/>
      <c r="D60" s="17" t="s">
        <v>29</v>
      </c>
      <c r="E60" s="73" t="s">
        <v>74</v>
      </c>
      <c r="F60" s="73"/>
      <c r="G60" s="40">
        <v>45292</v>
      </c>
      <c r="H60" s="74">
        <v>45657</v>
      </c>
      <c r="I60" s="74"/>
      <c r="J60" s="19"/>
      <c r="K60" s="20" t="s">
        <v>31</v>
      </c>
      <c r="L60" s="19"/>
      <c r="M60" s="75" t="s">
        <v>32</v>
      </c>
      <c r="N60" s="75"/>
      <c r="O60" s="76">
        <v>1</v>
      </c>
      <c r="P60" s="76"/>
      <c r="Q60" s="21">
        <v>22</v>
      </c>
      <c r="R60" s="22">
        <v>22</v>
      </c>
      <c r="S60" s="1"/>
    </row>
    <row r="61" spans="1:19" ht="12" customHeight="1" x14ac:dyDescent="0.15">
      <c r="A61" s="30">
        <v>110654739</v>
      </c>
      <c r="B61" s="85" t="s">
        <v>77</v>
      </c>
      <c r="C61" s="85"/>
      <c r="D61" s="31" t="s">
        <v>29</v>
      </c>
      <c r="E61" s="86" t="s">
        <v>57</v>
      </c>
      <c r="F61" s="86"/>
      <c r="G61" s="41">
        <v>45292</v>
      </c>
      <c r="H61" s="87">
        <v>45657</v>
      </c>
      <c r="I61" s="87"/>
      <c r="J61" s="1"/>
      <c r="K61" s="33" t="s">
        <v>31</v>
      </c>
      <c r="L61" s="1"/>
      <c r="M61" s="88" t="s">
        <v>32</v>
      </c>
      <c r="N61" s="88"/>
      <c r="O61" s="89">
        <v>1</v>
      </c>
      <c r="P61" s="89"/>
      <c r="Q61" s="34">
        <v>25</v>
      </c>
      <c r="R61" s="35">
        <v>25</v>
      </c>
      <c r="S61" s="1"/>
    </row>
    <row r="62" spans="1:19" ht="12" customHeight="1" x14ac:dyDescent="0.15">
      <c r="A62" s="16">
        <v>110661324</v>
      </c>
      <c r="B62" s="72" t="s">
        <v>78</v>
      </c>
      <c r="C62" s="72"/>
      <c r="D62" s="17" t="s">
        <v>29</v>
      </c>
      <c r="E62" s="73" t="s">
        <v>79</v>
      </c>
      <c r="F62" s="73"/>
      <c r="G62" s="40">
        <v>45292</v>
      </c>
      <c r="H62" s="74">
        <v>45657</v>
      </c>
      <c r="I62" s="74"/>
      <c r="J62" s="19"/>
      <c r="K62" s="20" t="s">
        <v>31</v>
      </c>
      <c r="L62" s="19"/>
      <c r="M62" s="75" t="s">
        <v>32</v>
      </c>
      <c r="N62" s="75"/>
      <c r="O62" s="76">
        <v>2</v>
      </c>
      <c r="P62" s="76"/>
      <c r="Q62" s="21">
        <v>22</v>
      </c>
      <c r="R62" s="22">
        <v>44</v>
      </c>
      <c r="S62" s="1"/>
    </row>
    <row r="63" spans="1:19" ht="12" customHeight="1" x14ac:dyDescent="0.15">
      <c r="A63" s="30">
        <v>110913614</v>
      </c>
      <c r="B63" s="85" t="s">
        <v>80</v>
      </c>
      <c r="C63" s="85"/>
      <c r="D63" s="31" t="s">
        <v>29</v>
      </c>
      <c r="E63" s="86" t="s">
        <v>57</v>
      </c>
      <c r="F63" s="86"/>
      <c r="G63" s="41">
        <v>45292</v>
      </c>
      <c r="H63" s="87">
        <v>45657</v>
      </c>
      <c r="I63" s="87"/>
      <c r="J63" s="1"/>
      <c r="K63" s="33" t="s">
        <v>31</v>
      </c>
      <c r="L63" s="1"/>
      <c r="M63" s="88" t="s">
        <v>32</v>
      </c>
      <c r="N63" s="88"/>
      <c r="O63" s="89">
        <v>1</v>
      </c>
      <c r="P63" s="89"/>
      <c r="Q63" s="34">
        <v>25</v>
      </c>
      <c r="R63" s="35">
        <v>25</v>
      </c>
      <c r="S63" s="1"/>
    </row>
    <row r="64" spans="1:19" ht="12" customHeight="1" x14ac:dyDescent="0.15">
      <c r="A64" s="16">
        <v>110950229</v>
      </c>
      <c r="B64" s="72" t="s">
        <v>81</v>
      </c>
      <c r="C64" s="72"/>
      <c r="D64" s="17" t="s">
        <v>29</v>
      </c>
      <c r="E64" s="73" t="s">
        <v>57</v>
      </c>
      <c r="F64" s="73"/>
      <c r="G64" s="40">
        <v>45292</v>
      </c>
      <c r="H64" s="74">
        <v>45657</v>
      </c>
      <c r="I64" s="74"/>
      <c r="J64" s="19"/>
      <c r="K64" s="20" t="s">
        <v>31</v>
      </c>
      <c r="L64" s="19"/>
      <c r="M64" s="75" t="s">
        <v>32</v>
      </c>
      <c r="N64" s="75"/>
      <c r="O64" s="76">
        <v>1</v>
      </c>
      <c r="P64" s="76"/>
      <c r="Q64" s="21">
        <v>25</v>
      </c>
      <c r="R64" s="22">
        <v>25</v>
      </c>
      <c r="S64" s="1"/>
    </row>
    <row r="65" spans="1:19" ht="12" customHeight="1" x14ac:dyDescent="0.15">
      <c r="A65" s="30">
        <v>110987700</v>
      </c>
      <c r="B65" s="85" t="s">
        <v>82</v>
      </c>
      <c r="C65" s="85"/>
      <c r="D65" s="31" t="s">
        <v>29</v>
      </c>
      <c r="E65" s="86" t="s">
        <v>79</v>
      </c>
      <c r="F65" s="86"/>
      <c r="G65" s="41">
        <v>45292</v>
      </c>
      <c r="H65" s="87">
        <v>45657</v>
      </c>
      <c r="I65" s="87"/>
      <c r="J65" s="1"/>
      <c r="K65" s="33" t="s">
        <v>31</v>
      </c>
      <c r="L65" s="1"/>
      <c r="M65" s="88" t="s">
        <v>32</v>
      </c>
      <c r="N65" s="88"/>
      <c r="O65" s="89">
        <v>1</v>
      </c>
      <c r="P65" s="89"/>
      <c r="Q65" s="34">
        <v>22</v>
      </c>
      <c r="R65" s="35">
        <v>22</v>
      </c>
      <c r="S65" s="1"/>
    </row>
    <row r="66" spans="1:19" ht="12" customHeight="1" x14ac:dyDescent="0.15">
      <c r="A66" s="16">
        <v>111057159</v>
      </c>
      <c r="B66" s="72" t="s">
        <v>83</v>
      </c>
      <c r="C66" s="72"/>
      <c r="D66" s="17" t="s">
        <v>29</v>
      </c>
      <c r="E66" s="73" t="s">
        <v>57</v>
      </c>
      <c r="F66" s="73"/>
      <c r="G66" s="40">
        <v>45292</v>
      </c>
      <c r="H66" s="74">
        <v>45657</v>
      </c>
      <c r="I66" s="74"/>
      <c r="J66" s="19"/>
      <c r="K66" s="20" t="s">
        <v>31</v>
      </c>
      <c r="L66" s="19"/>
      <c r="M66" s="75" t="s">
        <v>32</v>
      </c>
      <c r="N66" s="75"/>
      <c r="O66" s="76">
        <v>1</v>
      </c>
      <c r="P66" s="76"/>
      <c r="Q66" s="21">
        <v>25</v>
      </c>
      <c r="R66" s="22">
        <v>25</v>
      </c>
      <c r="S66" s="1"/>
    </row>
    <row r="67" spans="1:19" ht="12" customHeight="1" x14ac:dyDescent="0.15">
      <c r="A67" s="30">
        <v>111059989</v>
      </c>
      <c r="B67" s="85" t="s">
        <v>84</v>
      </c>
      <c r="C67" s="85"/>
      <c r="D67" s="31" t="s">
        <v>29</v>
      </c>
      <c r="E67" s="86" t="s">
        <v>57</v>
      </c>
      <c r="F67" s="86"/>
      <c r="G67" s="41">
        <v>45292</v>
      </c>
      <c r="H67" s="87">
        <v>45657</v>
      </c>
      <c r="I67" s="87"/>
      <c r="J67" s="1"/>
      <c r="K67" s="33" t="s">
        <v>31</v>
      </c>
      <c r="L67" s="1"/>
      <c r="M67" s="88" t="s">
        <v>32</v>
      </c>
      <c r="N67" s="88"/>
      <c r="O67" s="89">
        <v>1</v>
      </c>
      <c r="P67" s="89"/>
      <c r="Q67" s="34">
        <v>25</v>
      </c>
      <c r="R67" s="35">
        <v>25</v>
      </c>
      <c r="S67" s="1"/>
    </row>
    <row r="68" spans="1:19" ht="12" customHeight="1" x14ac:dyDescent="0.15">
      <c r="A68" s="16">
        <v>111075907</v>
      </c>
      <c r="B68" s="72" t="s">
        <v>85</v>
      </c>
      <c r="C68" s="72"/>
      <c r="D68" s="17" t="s">
        <v>29</v>
      </c>
      <c r="E68" s="73" t="s">
        <v>65</v>
      </c>
      <c r="F68" s="73"/>
      <c r="G68" s="40">
        <v>45292</v>
      </c>
      <c r="H68" s="74">
        <v>45657</v>
      </c>
      <c r="I68" s="74"/>
      <c r="J68" s="19"/>
      <c r="K68" s="20" t="s">
        <v>31</v>
      </c>
      <c r="L68" s="19"/>
      <c r="M68" s="75" t="s">
        <v>32</v>
      </c>
      <c r="N68" s="75"/>
      <c r="O68" s="76">
        <v>1</v>
      </c>
      <c r="P68" s="76"/>
      <c r="Q68" s="21">
        <v>22</v>
      </c>
      <c r="R68" s="22">
        <v>22</v>
      </c>
      <c r="S68" s="1"/>
    </row>
    <row r="69" spans="1:19" ht="12" customHeight="1" x14ac:dyDescent="0.15">
      <c r="A69" s="30">
        <v>111102853</v>
      </c>
      <c r="B69" s="85" t="s">
        <v>86</v>
      </c>
      <c r="C69" s="85"/>
      <c r="D69" s="31" t="s">
        <v>29</v>
      </c>
      <c r="E69" s="86" t="s">
        <v>79</v>
      </c>
      <c r="F69" s="86"/>
      <c r="G69" s="41">
        <v>45292</v>
      </c>
      <c r="H69" s="87">
        <v>45657</v>
      </c>
      <c r="I69" s="87"/>
      <c r="J69" s="1"/>
      <c r="K69" s="33" t="s">
        <v>31</v>
      </c>
      <c r="L69" s="1"/>
      <c r="M69" s="88" t="s">
        <v>32</v>
      </c>
      <c r="N69" s="88"/>
      <c r="O69" s="89">
        <v>1</v>
      </c>
      <c r="P69" s="89"/>
      <c r="Q69" s="34">
        <v>22</v>
      </c>
      <c r="R69" s="35">
        <v>22</v>
      </c>
      <c r="S69" s="1"/>
    </row>
    <row r="70" spans="1:19" ht="12" customHeight="1" x14ac:dyDescent="0.15">
      <c r="A70" s="16">
        <v>111110447</v>
      </c>
      <c r="B70" s="72" t="s">
        <v>87</v>
      </c>
      <c r="C70" s="72"/>
      <c r="D70" s="17" t="s">
        <v>29</v>
      </c>
      <c r="E70" s="73" t="s">
        <v>57</v>
      </c>
      <c r="F70" s="73"/>
      <c r="G70" s="40">
        <v>45292</v>
      </c>
      <c r="H70" s="74">
        <v>45657</v>
      </c>
      <c r="I70" s="74"/>
      <c r="J70" s="19"/>
      <c r="K70" s="20" t="s">
        <v>31</v>
      </c>
      <c r="L70" s="19"/>
      <c r="M70" s="75" t="s">
        <v>32</v>
      </c>
      <c r="N70" s="75"/>
      <c r="O70" s="76">
        <v>2</v>
      </c>
      <c r="P70" s="76"/>
      <c r="Q70" s="21">
        <v>25</v>
      </c>
      <c r="R70" s="22">
        <v>50</v>
      </c>
      <c r="S70" s="1"/>
    </row>
    <row r="71" spans="1:19" ht="12" customHeight="1" x14ac:dyDescent="0.15">
      <c r="A71" s="30">
        <v>111198736</v>
      </c>
      <c r="B71" s="85" t="s">
        <v>88</v>
      </c>
      <c r="C71" s="85"/>
      <c r="D71" s="31" t="s">
        <v>29</v>
      </c>
      <c r="E71" s="86" t="s">
        <v>57</v>
      </c>
      <c r="F71" s="86"/>
      <c r="G71" s="41">
        <v>45292</v>
      </c>
      <c r="H71" s="87">
        <v>45657</v>
      </c>
      <c r="I71" s="87"/>
      <c r="J71" s="1"/>
      <c r="K71" s="33" t="s">
        <v>31</v>
      </c>
      <c r="L71" s="1"/>
      <c r="M71" s="88" t="s">
        <v>32</v>
      </c>
      <c r="N71" s="88"/>
      <c r="O71" s="89">
        <v>1</v>
      </c>
      <c r="P71" s="89"/>
      <c r="Q71" s="34">
        <v>25</v>
      </c>
      <c r="R71" s="35">
        <v>25</v>
      </c>
      <c r="S71" s="1"/>
    </row>
    <row r="72" spans="1:19" ht="12" customHeight="1" x14ac:dyDescent="0.15">
      <c r="A72" s="16">
        <v>111296248</v>
      </c>
      <c r="B72" s="72" t="s">
        <v>89</v>
      </c>
      <c r="C72" s="72"/>
      <c r="D72" s="17" t="s">
        <v>29</v>
      </c>
      <c r="E72" s="73" t="s">
        <v>65</v>
      </c>
      <c r="F72" s="73"/>
      <c r="G72" s="40">
        <v>45292</v>
      </c>
      <c r="H72" s="74">
        <v>45657</v>
      </c>
      <c r="I72" s="74"/>
      <c r="J72" s="19"/>
      <c r="K72" s="20" t="s">
        <v>31</v>
      </c>
      <c r="L72" s="19"/>
      <c r="M72" s="75" t="s">
        <v>32</v>
      </c>
      <c r="N72" s="75"/>
      <c r="O72" s="76">
        <v>1</v>
      </c>
      <c r="P72" s="76"/>
      <c r="Q72" s="21">
        <v>21</v>
      </c>
      <c r="R72" s="22">
        <v>21</v>
      </c>
      <c r="S72" s="1"/>
    </row>
    <row r="73" spans="1:19" ht="12" customHeight="1" x14ac:dyDescent="0.15">
      <c r="A73" s="30">
        <v>111343704</v>
      </c>
      <c r="B73" s="85" t="s">
        <v>90</v>
      </c>
      <c r="C73" s="85"/>
      <c r="D73" s="31" t="s">
        <v>29</v>
      </c>
      <c r="E73" s="86" t="s">
        <v>65</v>
      </c>
      <c r="F73" s="86"/>
      <c r="G73" s="41">
        <v>45292</v>
      </c>
      <c r="H73" s="87">
        <v>45657</v>
      </c>
      <c r="I73" s="87"/>
      <c r="J73" s="1"/>
      <c r="K73" s="33" t="s">
        <v>31</v>
      </c>
      <c r="L73" s="1"/>
      <c r="M73" s="88" t="s">
        <v>32</v>
      </c>
      <c r="N73" s="88"/>
      <c r="O73" s="89">
        <v>1</v>
      </c>
      <c r="P73" s="89"/>
      <c r="Q73" s="34">
        <v>21</v>
      </c>
      <c r="R73" s="35">
        <v>21</v>
      </c>
      <c r="S73" s="1"/>
    </row>
    <row r="74" spans="1:19" ht="12" customHeight="1" x14ac:dyDescent="0.15">
      <c r="A74" s="16">
        <v>111357198</v>
      </c>
      <c r="B74" s="72" t="s">
        <v>91</v>
      </c>
      <c r="C74" s="72"/>
      <c r="D74" s="17" t="s">
        <v>29</v>
      </c>
      <c r="E74" s="73" t="s">
        <v>57</v>
      </c>
      <c r="F74" s="73"/>
      <c r="G74" s="40">
        <v>45292</v>
      </c>
      <c r="H74" s="74">
        <v>45657</v>
      </c>
      <c r="I74" s="74"/>
      <c r="J74" s="19"/>
      <c r="K74" s="20" t="s">
        <v>31</v>
      </c>
      <c r="L74" s="19"/>
      <c r="M74" s="75" t="s">
        <v>32</v>
      </c>
      <c r="N74" s="75"/>
      <c r="O74" s="76">
        <v>1</v>
      </c>
      <c r="P74" s="76"/>
      <c r="Q74" s="21">
        <v>25</v>
      </c>
      <c r="R74" s="22">
        <v>25</v>
      </c>
      <c r="S74" s="1"/>
    </row>
    <row r="75" spans="1:19" ht="12" customHeight="1" x14ac:dyDescent="0.15">
      <c r="A75" s="30">
        <v>111593834</v>
      </c>
      <c r="B75" s="85" t="s">
        <v>92</v>
      </c>
      <c r="C75" s="85"/>
      <c r="D75" s="31" t="s">
        <v>29</v>
      </c>
      <c r="E75" s="86" t="s">
        <v>57</v>
      </c>
      <c r="F75" s="86"/>
      <c r="G75" s="41">
        <v>45292</v>
      </c>
      <c r="H75" s="87">
        <v>45657</v>
      </c>
      <c r="I75" s="87"/>
      <c r="J75" s="1"/>
      <c r="K75" s="33" t="s">
        <v>31</v>
      </c>
      <c r="L75" s="1"/>
      <c r="M75" s="88" t="s">
        <v>32</v>
      </c>
      <c r="N75" s="88"/>
      <c r="O75" s="89">
        <v>1</v>
      </c>
      <c r="P75" s="89"/>
      <c r="Q75" s="34">
        <v>25</v>
      </c>
      <c r="R75" s="35">
        <v>25</v>
      </c>
      <c r="S75" s="1"/>
    </row>
    <row r="76" spans="1:19" ht="12" customHeight="1" x14ac:dyDescent="0.15">
      <c r="A76" s="16">
        <v>111810281</v>
      </c>
      <c r="B76" s="72" t="s">
        <v>93</v>
      </c>
      <c r="C76" s="72"/>
      <c r="D76" s="17" t="s">
        <v>29</v>
      </c>
      <c r="E76" s="73" t="s">
        <v>57</v>
      </c>
      <c r="F76" s="73"/>
      <c r="G76" s="40">
        <v>45292</v>
      </c>
      <c r="H76" s="74">
        <v>45657</v>
      </c>
      <c r="I76" s="74"/>
      <c r="J76" s="19"/>
      <c r="K76" s="20" t="s">
        <v>31</v>
      </c>
      <c r="L76" s="19"/>
      <c r="M76" s="75" t="s">
        <v>32</v>
      </c>
      <c r="N76" s="75"/>
      <c r="O76" s="76">
        <v>1</v>
      </c>
      <c r="P76" s="76"/>
      <c r="Q76" s="21">
        <v>25</v>
      </c>
      <c r="R76" s="22">
        <v>25</v>
      </c>
      <c r="S76" s="1"/>
    </row>
    <row r="77" spans="1:19" ht="17.5" customHeight="1" x14ac:dyDescent="0.15">
      <c r="A77" s="30">
        <v>105070784</v>
      </c>
      <c r="B77" s="85" t="s">
        <v>94</v>
      </c>
      <c r="C77" s="85"/>
      <c r="D77" s="31" t="s">
        <v>29</v>
      </c>
      <c r="E77" s="86" t="s">
        <v>57</v>
      </c>
      <c r="F77" s="86"/>
      <c r="G77" s="41">
        <v>45505</v>
      </c>
      <c r="H77" s="87">
        <v>45657</v>
      </c>
      <c r="I77" s="87"/>
      <c r="J77" s="2"/>
      <c r="K77" s="33" t="s">
        <v>31</v>
      </c>
      <c r="L77" s="2"/>
      <c r="M77" s="88" t="s">
        <v>32</v>
      </c>
      <c r="N77" s="88"/>
      <c r="O77" s="89">
        <v>2</v>
      </c>
      <c r="P77" s="89"/>
      <c r="Q77" s="34">
        <v>25</v>
      </c>
      <c r="R77" s="35">
        <v>50</v>
      </c>
      <c r="S77" s="2"/>
    </row>
    <row r="78" spans="1:19" ht="25" customHeight="1" x14ac:dyDescent="0.15">
      <c r="A78" s="96" t="s">
        <v>95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 spans="1:19" ht="64.5" customHeight="1" x14ac:dyDescent="0.15">
      <c r="A79" s="91" t="s">
        <v>96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spans="1:19" ht="16.5" customHeight="1" x14ac:dyDescent="0.15">
      <c r="A80" s="100" t="s">
        <v>97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"/>
    </row>
    <row r="81" spans="1:19" ht="14.25" customHeight="1" x14ac:dyDescent="0.15">
      <c r="A81" s="101" t="s">
        <v>14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"/>
    </row>
    <row r="82" spans="1:19" ht="25.5" customHeight="1" x14ac:dyDescent="0.15">
      <c r="A82" s="3" t="s">
        <v>15</v>
      </c>
      <c r="B82" s="62" t="s">
        <v>16</v>
      </c>
      <c r="C82" s="62"/>
      <c r="D82" s="3" t="s">
        <v>17</v>
      </c>
      <c r="E82" s="63" t="s">
        <v>18</v>
      </c>
      <c r="F82" s="63"/>
      <c r="G82" s="4" t="s">
        <v>19</v>
      </c>
      <c r="H82" s="64" t="s">
        <v>20</v>
      </c>
      <c r="I82" s="64"/>
      <c r="J82" s="6" t="s">
        <v>21</v>
      </c>
      <c r="K82" s="3" t="s">
        <v>22</v>
      </c>
      <c r="L82" s="6" t="s">
        <v>23</v>
      </c>
      <c r="M82" s="65" t="s">
        <v>24</v>
      </c>
      <c r="N82" s="65"/>
      <c r="O82" s="66" t="s">
        <v>25</v>
      </c>
      <c r="P82" s="66"/>
      <c r="Q82" s="7" t="s">
        <v>26</v>
      </c>
      <c r="R82" s="8" t="s">
        <v>27</v>
      </c>
      <c r="S82" s="2"/>
    </row>
    <row r="83" spans="1:19" ht="5.25" customHeight="1" x14ac:dyDescent="0.15">
      <c r="A83" s="42"/>
      <c r="B83" s="98"/>
      <c r="C83" s="98"/>
      <c r="D83" s="42"/>
      <c r="E83" s="98"/>
      <c r="F83" s="98"/>
      <c r="G83" s="42"/>
      <c r="H83" s="98"/>
      <c r="I83" s="98"/>
      <c r="J83" s="42"/>
      <c r="K83" s="42"/>
      <c r="L83" s="42"/>
      <c r="M83" s="98"/>
      <c r="N83" s="98"/>
      <c r="O83" s="98"/>
      <c r="P83" s="98"/>
      <c r="Q83" s="42"/>
      <c r="R83" s="42"/>
      <c r="S83" s="1"/>
    </row>
    <row r="84" spans="1:19" ht="12.5" customHeight="1" x14ac:dyDescent="0.15">
      <c r="A84" s="16">
        <v>111849278</v>
      </c>
      <c r="B84" s="72" t="s">
        <v>98</v>
      </c>
      <c r="C84" s="72"/>
      <c r="D84" s="17" t="s">
        <v>29</v>
      </c>
      <c r="E84" s="73" t="s">
        <v>79</v>
      </c>
      <c r="F84" s="73"/>
      <c r="G84" s="43">
        <v>45292</v>
      </c>
      <c r="H84" s="74">
        <v>45657</v>
      </c>
      <c r="I84" s="74"/>
      <c r="J84" s="19"/>
      <c r="K84" s="44" t="s">
        <v>31</v>
      </c>
      <c r="L84" s="19"/>
      <c r="M84" s="75" t="s">
        <v>32</v>
      </c>
      <c r="N84" s="75"/>
      <c r="O84" s="76">
        <v>2</v>
      </c>
      <c r="P84" s="76"/>
      <c r="Q84" s="21">
        <v>22</v>
      </c>
      <c r="R84" s="45">
        <v>44</v>
      </c>
      <c r="S84" s="1"/>
    </row>
    <row r="85" spans="1:19" ht="30" customHeight="1" x14ac:dyDescent="0.15">
      <c r="A85" s="99" t="s">
        <v>99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</row>
    <row r="86" spans="1:19" ht="12.75" customHeight="1" x14ac:dyDescent="0.15">
      <c r="A86" s="102" t="s">
        <v>100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</row>
  </sheetData>
  <mergeCells count="323">
    <mergeCell ref="B84:C84"/>
    <mergeCell ref="E84:F84"/>
    <mergeCell ref="H84:I84"/>
    <mergeCell ref="M84:N84"/>
    <mergeCell ref="O84:P84"/>
    <mergeCell ref="A85:S85"/>
    <mergeCell ref="A86:S86"/>
    <mergeCell ref="B82:C82"/>
    <mergeCell ref="E82:F82"/>
    <mergeCell ref="H82:I82"/>
    <mergeCell ref="M82:N82"/>
    <mergeCell ref="O82:P82"/>
    <mergeCell ref="B83:C83"/>
    <mergeCell ref="E83:F83"/>
    <mergeCell ref="H83:I83"/>
    <mergeCell ref="M83:N83"/>
    <mergeCell ref="O83:P83"/>
    <mergeCell ref="B77:C77"/>
    <mergeCell ref="E77:F77"/>
    <mergeCell ref="H77:I77"/>
    <mergeCell ref="M77:N77"/>
    <mergeCell ref="O77:P77"/>
    <mergeCell ref="A78:S78"/>
    <mergeCell ref="A79:S79"/>
    <mergeCell ref="A80:R80"/>
    <mergeCell ref="A81:R81"/>
    <mergeCell ref="B75:C75"/>
    <mergeCell ref="E75:F75"/>
    <mergeCell ref="H75:I75"/>
    <mergeCell ref="M75:N75"/>
    <mergeCell ref="O75:P75"/>
    <mergeCell ref="B76:C76"/>
    <mergeCell ref="E76:F76"/>
    <mergeCell ref="H76:I76"/>
    <mergeCell ref="M76:N76"/>
    <mergeCell ref="O76:P76"/>
    <mergeCell ref="B73:C73"/>
    <mergeCell ref="E73:F73"/>
    <mergeCell ref="H73:I73"/>
    <mergeCell ref="M73:N73"/>
    <mergeCell ref="O73:P73"/>
    <mergeCell ref="B74:C74"/>
    <mergeCell ref="E74:F74"/>
    <mergeCell ref="H74:I74"/>
    <mergeCell ref="M74:N74"/>
    <mergeCell ref="O74:P74"/>
    <mergeCell ref="B71:C71"/>
    <mergeCell ref="E71:F71"/>
    <mergeCell ref="H71:I71"/>
    <mergeCell ref="M71:N71"/>
    <mergeCell ref="O71:P71"/>
    <mergeCell ref="B72:C72"/>
    <mergeCell ref="E72:F72"/>
    <mergeCell ref="H72:I72"/>
    <mergeCell ref="M72:N72"/>
    <mergeCell ref="O72:P72"/>
    <mergeCell ref="B69:C69"/>
    <mergeCell ref="E69:F69"/>
    <mergeCell ref="H69:I69"/>
    <mergeCell ref="M69:N69"/>
    <mergeCell ref="O69:P69"/>
    <mergeCell ref="B70:C70"/>
    <mergeCell ref="E70:F70"/>
    <mergeCell ref="H70:I70"/>
    <mergeCell ref="M70:N70"/>
    <mergeCell ref="O70:P70"/>
    <mergeCell ref="B67:C67"/>
    <mergeCell ref="E67:F67"/>
    <mergeCell ref="H67:I67"/>
    <mergeCell ref="M67:N67"/>
    <mergeCell ref="O67:P67"/>
    <mergeCell ref="B68:C68"/>
    <mergeCell ref="E68:F68"/>
    <mergeCell ref="H68:I68"/>
    <mergeCell ref="M68:N68"/>
    <mergeCell ref="O68:P68"/>
    <mergeCell ref="B65:C65"/>
    <mergeCell ref="E65:F65"/>
    <mergeCell ref="H65:I65"/>
    <mergeCell ref="M65:N65"/>
    <mergeCell ref="O65:P65"/>
    <mergeCell ref="B66:C66"/>
    <mergeCell ref="E66:F66"/>
    <mergeCell ref="H66:I66"/>
    <mergeCell ref="M66:N66"/>
    <mergeCell ref="O66:P66"/>
    <mergeCell ref="B63:C63"/>
    <mergeCell ref="E63:F63"/>
    <mergeCell ref="H63:I63"/>
    <mergeCell ref="M63:N63"/>
    <mergeCell ref="O63:P63"/>
    <mergeCell ref="B64:C64"/>
    <mergeCell ref="E64:F64"/>
    <mergeCell ref="H64:I64"/>
    <mergeCell ref="M64:N64"/>
    <mergeCell ref="O64:P64"/>
    <mergeCell ref="B61:C61"/>
    <mergeCell ref="E61:F61"/>
    <mergeCell ref="H61:I61"/>
    <mergeCell ref="M61:N61"/>
    <mergeCell ref="O61:P61"/>
    <mergeCell ref="B62:C62"/>
    <mergeCell ref="E62:F62"/>
    <mergeCell ref="H62:I62"/>
    <mergeCell ref="M62:N62"/>
    <mergeCell ref="O62:P62"/>
    <mergeCell ref="B59:C59"/>
    <mergeCell ref="E59:F59"/>
    <mergeCell ref="H59:I59"/>
    <mergeCell ref="M59:N59"/>
    <mergeCell ref="O59:P59"/>
    <mergeCell ref="B60:C60"/>
    <mergeCell ref="E60:F60"/>
    <mergeCell ref="H60:I60"/>
    <mergeCell ref="M60:N60"/>
    <mergeCell ref="O60:P60"/>
    <mergeCell ref="B57:C57"/>
    <mergeCell ref="E57:F57"/>
    <mergeCell ref="H57:I57"/>
    <mergeCell ref="M57:N57"/>
    <mergeCell ref="O57:P57"/>
    <mergeCell ref="B58:C58"/>
    <mergeCell ref="E58:F58"/>
    <mergeCell ref="H58:I58"/>
    <mergeCell ref="M58:N58"/>
    <mergeCell ref="O58:P58"/>
    <mergeCell ref="B55:C55"/>
    <mergeCell ref="E55:F55"/>
    <mergeCell ref="H55:I55"/>
    <mergeCell ref="M55:N55"/>
    <mergeCell ref="O55:P55"/>
    <mergeCell ref="B56:C56"/>
    <mergeCell ref="E56:F56"/>
    <mergeCell ref="H56:I56"/>
    <mergeCell ref="M56:N56"/>
    <mergeCell ref="O56:P56"/>
    <mergeCell ref="A52:S52"/>
    <mergeCell ref="A53:F53"/>
    <mergeCell ref="G53:I53"/>
    <mergeCell ref="J53:R53"/>
    <mergeCell ref="B54:C54"/>
    <mergeCell ref="E54:F54"/>
    <mergeCell ref="H54:I54"/>
    <mergeCell ref="M54:N54"/>
    <mergeCell ref="O54:P54"/>
    <mergeCell ref="B50:C50"/>
    <mergeCell ref="E50:F50"/>
    <mergeCell ref="H50:I50"/>
    <mergeCell ref="M50:N50"/>
    <mergeCell ref="O50:P50"/>
    <mergeCell ref="B51:C51"/>
    <mergeCell ref="E51:F51"/>
    <mergeCell ref="H51:I51"/>
    <mergeCell ref="M51:N51"/>
    <mergeCell ref="O51:P51"/>
    <mergeCell ref="B48:C48"/>
    <mergeCell ref="E48:F48"/>
    <mergeCell ref="H48:I48"/>
    <mergeCell ref="M48:N48"/>
    <mergeCell ref="O48:P48"/>
    <mergeCell ref="B49:C49"/>
    <mergeCell ref="E49:F49"/>
    <mergeCell ref="H49:I49"/>
    <mergeCell ref="M49:N49"/>
    <mergeCell ref="O49:P49"/>
    <mergeCell ref="B46:C46"/>
    <mergeCell ref="E46:F46"/>
    <mergeCell ref="H46:I46"/>
    <mergeCell ref="M46:N46"/>
    <mergeCell ref="O46:P46"/>
    <mergeCell ref="B47:C47"/>
    <mergeCell ref="E47:F47"/>
    <mergeCell ref="H47:I47"/>
    <mergeCell ref="M47:N47"/>
    <mergeCell ref="O47:P47"/>
    <mergeCell ref="B44:C44"/>
    <mergeCell ref="E44:F44"/>
    <mergeCell ref="H44:I44"/>
    <mergeCell ref="M44:N44"/>
    <mergeCell ref="O44:P44"/>
    <mergeCell ref="B45:C45"/>
    <mergeCell ref="E45:F45"/>
    <mergeCell ref="H45:I45"/>
    <mergeCell ref="M45:N45"/>
    <mergeCell ref="O45:P45"/>
    <mergeCell ref="B39:C39"/>
    <mergeCell ref="E39:F39"/>
    <mergeCell ref="H39:I39"/>
    <mergeCell ref="M39:N39"/>
    <mergeCell ref="O39:P39"/>
    <mergeCell ref="A40:S40"/>
    <mergeCell ref="A41:S41"/>
    <mergeCell ref="A42:R42"/>
    <mergeCell ref="A43:R43"/>
    <mergeCell ref="B37:C37"/>
    <mergeCell ref="E37:F37"/>
    <mergeCell ref="H37:I37"/>
    <mergeCell ref="M37:N37"/>
    <mergeCell ref="O37:P37"/>
    <mergeCell ref="B38:C38"/>
    <mergeCell ref="E38:F38"/>
    <mergeCell ref="H38:I38"/>
    <mergeCell ref="M38:N38"/>
    <mergeCell ref="O38:P38"/>
    <mergeCell ref="A32:S32"/>
    <mergeCell ref="A33:S33"/>
    <mergeCell ref="A34:R34"/>
    <mergeCell ref="A35:R35"/>
    <mergeCell ref="B36:C36"/>
    <mergeCell ref="E36:F36"/>
    <mergeCell ref="H36:I36"/>
    <mergeCell ref="M36:N36"/>
    <mergeCell ref="O36:P36"/>
    <mergeCell ref="A27:S27"/>
    <mergeCell ref="A28:R28"/>
    <mergeCell ref="A29:R29"/>
    <mergeCell ref="A30:F30"/>
    <mergeCell ref="H30:I30"/>
    <mergeCell ref="M30:N30"/>
    <mergeCell ref="O30:P30"/>
    <mergeCell ref="B31:C31"/>
    <mergeCell ref="E31:F31"/>
    <mergeCell ref="H31:I31"/>
    <mergeCell ref="M31:N31"/>
    <mergeCell ref="O31:P31"/>
    <mergeCell ref="B25:C25"/>
    <mergeCell ref="D25:F25"/>
    <mergeCell ref="H25:I25"/>
    <mergeCell ref="M25:N25"/>
    <mergeCell ref="O25:P25"/>
    <mergeCell ref="B26:C26"/>
    <mergeCell ref="D26:F26"/>
    <mergeCell ref="H26:I26"/>
    <mergeCell ref="M26:N26"/>
    <mergeCell ref="O26:P26"/>
    <mergeCell ref="B23:C23"/>
    <mergeCell ref="D23:F23"/>
    <mergeCell ref="H23:I23"/>
    <mergeCell ref="M23:N23"/>
    <mergeCell ref="O23:P23"/>
    <mergeCell ref="B24:C24"/>
    <mergeCell ref="D24:F24"/>
    <mergeCell ref="H24:I24"/>
    <mergeCell ref="M24:N24"/>
    <mergeCell ref="O24:P24"/>
    <mergeCell ref="B21:C21"/>
    <mergeCell ref="D21:F21"/>
    <mergeCell ref="G21:I21"/>
    <mergeCell ref="M21:N21"/>
    <mergeCell ref="O21:P21"/>
    <mergeCell ref="B22:C22"/>
    <mergeCell ref="D22:F22"/>
    <mergeCell ref="H22:I22"/>
    <mergeCell ref="M22:N22"/>
    <mergeCell ref="O22:P22"/>
    <mergeCell ref="B19:C19"/>
    <mergeCell ref="E19:F19"/>
    <mergeCell ref="H19:I19"/>
    <mergeCell ref="M19:N19"/>
    <mergeCell ref="O19:P19"/>
    <mergeCell ref="B20:C20"/>
    <mergeCell ref="D20:F20"/>
    <mergeCell ref="H20:I20"/>
    <mergeCell ref="M20:N20"/>
    <mergeCell ref="O20:P20"/>
    <mergeCell ref="A15:R15"/>
    <mergeCell ref="A16:R16"/>
    <mergeCell ref="B17:C17"/>
    <mergeCell ref="E17:F17"/>
    <mergeCell ref="H17:I17"/>
    <mergeCell ref="M17:N17"/>
    <mergeCell ref="O17:P17"/>
    <mergeCell ref="B18:C18"/>
    <mergeCell ref="E18:F18"/>
    <mergeCell ref="H18:I18"/>
    <mergeCell ref="M18:N18"/>
    <mergeCell ref="O18:P18"/>
    <mergeCell ref="A12:B12"/>
    <mergeCell ref="C12:H12"/>
    <mergeCell ref="I12:O12"/>
    <mergeCell ref="P12:R12"/>
    <mergeCell ref="A13:B13"/>
    <mergeCell ref="C13:H13"/>
    <mergeCell ref="I13:O13"/>
    <mergeCell ref="P13:R13"/>
    <mergeCell ref="A14:B14"/>
    <mergeCell ref="C14:H14"/>
    <mergeCell ref="I14:O14"/>
    <mergeCell ref="P14:R14"/>
    <mergeCell ref="A9:B9"/>
    <mergeCell ref="C9:H9"/>
    <mergeCell ref="I9:O9"/>
    <mergeCell ref="P9:R9"/>
    <mergeCell ref="A10:B10"/>
    <mergeCell ref="C10:H10"/>
    <mergeCell ref="I10:O10"/>
    <mergeCell ref="P10:R10"/>
    <mergeCell ref="A11:B11"/>
    <mergeCell ref="C11:H11"/>
    <mergeCell ref="I11:O11"/>
    <mergeCell ref="P11:R11"/>
    <mergeCell ref="A5:B5"/>
    <mergeCell ref="C5:E5"/>
    <mergeCell ref="F5:S5"/>
    <mergeCell ref="A6:S6"/>
    <mergeCell ref="A7:S7"/>
    <mergeCell ref="A8:B8"/>
    <mergeCell ref="C8:H8"/>
    <mergeCell ref="I8:O8"/>
    <mergeCell ref="P8:R8"/>
    <mergeCell ref="A1:R1"/>
    <mergeCell ref="A2:B2"/>
    <mergeCell ref="C2:E2"/>
    <mergeCell ref="F2:H2"/>
    <mergeCell ref="I2:M2"/>
    <mergeCell ref="N2:S3"/>
    <mergeCell ref="A3:E4"/>
    <mergeCell ref="F3:H3"/>
    <mergeCell ref="I3:M3"/>
    <mergeCell ref="F4:H4"/>
    <mergeCell ref="I4:M4"/>
    <mergeCell ref="N4:O4"/>
    <mergeCell ref="P4:R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B59A-8C99-4B4B-86F1-E3245807C25D}">
  <dimension ref="A1:O43"/>
  <sheetViews>
    <sheetView tabSelected="1" topLeftCell="F1" workbookViewId="0">
      <selection activeCell="N2" sqref="N2:N39"/>
    </sheetView>
  </sheetViews>
  <sheetFormatPr baseColWidth="10" defaultColWidth="9" defaultRowHeight="14" x14ac:dyDescent="0.15"/>
  <cols>
    <col min="1" max="2" width="41.796875" style="103" bestFit="1" customWidth="1"/>
    <col min="3" max="3" width="41.796875" style="103" customWidth="1"/>
    <col min="4" max="4" width="24.796875" style="103" bestFit="1" customWidth="1"/>
    <col min="5" max="6" width="24.796875" style="103" customWidth="1"/>
    <col min="7" max="7" width="33" style="103" bestFit="1" customWidth="1"/>
    <col min="8" max="8" width="13.796875" style="103" bestFit="1" customWidth="1"/>
    <col min="9" max="9" width="16" style="103" bestFit="1" customWidth="1"/>
    <col min="10" max="10" width="13.3984375" style="103" bestFit="1" customWidth="1"/>
    <col min="11" max="12" width="9.19921875" style="103" bestFit="1" customWidth="1"/>
    <col min="13" max="13" width="17.19921875" style="103" bestFit="1" customWidth="1"/>
    <col min="14" max="14" width="8.59765625" style="103" bestFit="1" customWidth="1"/>
    <col min="15" max="15" width="13.3984375" style="103" bestFit="1" customWidth="1"/>
    <col min="16" max="16384" width="9" style="103"/>
  </cols>
  <sheetData>
    <row r="1" spans="1:15" ht="30" x14ac:dyDescent="0.15">
      <c r="A1" s="117" t="s">
        <v>102</v>
      </c>
      <c r="B1" s="118" t="s">
        <v>121</v>
      </c>
      <c r="C1" s="118" t="s">
        <v>120</v>
      </c>
      <c r="D1" s="118" t="s">
        <v>103</v>
      </c>
      <c r="E1" s="118"/>
      <c r="F1" s="118"/>
      <c r="G1" s="118" t="s">
        <v>104</v>
      </c>
      <c r="H1" s="118" t="s">
        <v>105</v>
      </c>
      <c r="I1" s="105" t="s">
        <v>106</v>
      </c>
      <c r="J1" s="105" t="s">
        <v>107</v>
      </c>
      <c r="K1" s="118" t="s">
        <v>108</v>
      </c>
      <c r="L1" s="118" t="s">
        <v>109</v>
      </c>
      <c r="M1" s="105" t="s">
        <v>110</v>
      </c>
      <c r="N1" s="118" t="s">
        <v>111</v>
      </c>
      <c r="O1" s="116" t="s">
        <v>119</v>
      </c>
    </row>
    <row r="2" spans="1:15" ht="15" x14ac:dyDescent="0.15">
      <c r="A2" s="104">
        <v>111922060</v>
      </c>
      <c r="B2" s="105">
        <v>17528908</v>
      </c>
      <c r="C2" s="105" t="s">
        <v>122</v>
      </c>
      <c r="D2" s="105" t="s">
        <v>127</v>
      </c>
      <c r="E2" s="105" t="s">
        <v>128</v>
      </c>
      <c r="F2" s="105" t="str">
        <f>CONCATENATE(E2, " ", D2)</f>
        <v>Barbara Darrah</v>
      </c>
      <c r="G2" s="105" t="s">
        <v>112</v>
      </c>
      <c r="H2" s="105" t="s">
        <v>113</v>
      </c>
      <c r="I2" s="106">
        <v>45316</v>
      </c>
      <c r="J2" s="106">
        <v>45657</v>
      </c>
      <c r="K2" s="105" t="s">
        <v>114</v>
      </c>
      <c r="L2" s="105" t="s">
        <v>101</v>
      </c>
      <c r="M2" s="107">
        <v>1</v>
      </c>
      <c r="N2" s="122">
        <v>20</v>
      </c>
      <c r="O2" s="120">
        <v>20</v>
      </c>
    </row>
    <row r="3" spans="1:15" ht="15" x14ac:dyDescent="0.15">
      <c r="A3" s="104">
        <v>112319621</v>
      </c>
      <c r="B3" s="105">
        <v>17528908</v>
      </c>
      <c r="C3" s="105" t="s">
        <v>122</v>
      </c>
      <c r="D3" s="105" t="s">
        <v>129</v>
      </c>
      <c r="E3" s="105" t="s">
        <v>130</v>
      </c>
      <c r="F3" s="105" t="str">
        <f t="shared" ref="F3:F39" si="0">CONCATENATE(E3, " ", D3)</f>
        <v>Alana Stephan</v>
      </c>
      <c r="G3" s="105" t="s">
        <v>112</v>
      </c>
      <c r="H3" s="105" t="s">
        <v>113</v>
      </c>
      <c r="I3" s="106">
        <v>45597</v>
      </c>
      <c r="J3" s="106">
        <v>45657</v>
      </c>
      <c r="K3" s="105" t="s">
        <v>114</v>
      </c>
      <c r="L3" s="105" t="s">
        <v>101</v>
      </c>
      <c r="M3" s="107">
        <v>2</v>
      </c>
      <c r="N3" s="122">
        <v>20</v>
      </c>
      <c r="O3" s="120">
        <v>40</v>
      </c>
    </row>
    <row r="4" spans="1:15" ht="15" x14ac:dyDescent="0.15">
      <c r="A4" s="104">
        <v>110700972</v>
      </c>
      <c r="B4" s="105">
        <v>17528908</v>
      </c>
      <c r="C4" s="105" t="s">
        <v>122</v>
      </c>
      <c r="D4" s="105" t="s">
        <v>131</v>
      </c>
      <c r="E4" s="105" t="s">
        <v>132</v>
      </c>
      <c r="F4" s="105" t="str">
        <f t="shared" si="0"/>
        <v>Tanner Melvin</v>
      </c>
      <c r="G4" s="105" t="s">
        <v>112</v>
      </c>
      <c r="H4" s="105" t="s">
        <v>113</v>
      </c>
      <c r="I4" s="106">
        <v>45474</v>
      </c>
      <c r="J4" s="106">
        <v>45657</v>
      </c>
      <c r="K4" s="105" t="s">
        <v>114</v>
      </c>
      <c r="L4" s="105" t="s">
        <v>101</v>
      </c>
      <c r="M4" s="107">
        <v>1</v>
      </c>
      <c r="N4" s="122">
        <v>20</v>
      </c>
      <c r="O4" s="120">
        <v>20</v>
      </c>
    </row>
    <row r="5" spans="1:15" ht="15" x14ac:dyDescent="0.15">
      <c r="A5" s="104">
        <v>110701159</v>
      </c>
      <c r="B5" s="105">
        <v>17528908</v>
      </c>
      <c r="C5" s="105" t="s">
        <v>122</v>
      </c>
      <c r="D5" s="105" t="s">
        <v>131</v>
      </c>
      <c r="E5" s="105" t="s">
        <v>133</v>
      </c>
      <c r="F5" s="105" t="str">
        <f t="shared" si="0"/>
        <v>Todd Melvin</v>
      </c>
      <c r="G5" s="105" t="s">
        <v>112</v>
      </c>
      <c r="H5" s="105" t="s">
        <v>113</v>
      </c>
      <c r="I5" s="106">
        <v>45474</v>
      </c>
      <c r="J5" s="106">
        <v>45657</v>
      </c>
      <c r="K5" s="105" t="s">
        <v>114</v>
      </c>
      <c r="L5" s="105" t="s">
        <v>101</v>
      </c>
      <c r="M5" s="107">
        <v>2</v>
      </c>
      <c r="N5" s="122">
        <v>20</v>
      </c>
      <c r="O5" s="120">
        <v>40</v>
      </c>
    </row>
    <row r="6" spans="1:15" ht="15" x14ac:dyDescent="0.15">
      <c r="A6" s="104">
        <v>110809733</v>
      </c>
      <c r="B6" s="105">
        <v>17528908</v>
      </c>
      <c r="C6" s="105" t="s">
        <v>122</v>
      </c>
      <c r="D6" s="105" t="s">
        <v>134</v>
      </c>
      <c r="E6" s="105" t="s">
        <v>135</v>
      </c>
      <c r="F6" s="105" t="str">
        <f t="shared" si="0"/>
        <v>Lori Henry</v>
      </c>
      <c r="G6" s="105" t="s">
        <v>112</v>
      </c>
      <c r="H6" s="105" t="s">
        <v>113</v>
      </c>
      <c r="I6" s="106">
        <v>45474</v>
      </c>
      <c r="J6" s="106">
        <v>45657</v>
      </c>
      <c r="K6" s="105" t="s">
        <v>114</v>
      </c>
      <c r="L6" s="105" t="s">
        <v>101</v>
      </c>
      <c r="M6" s="107">
        <v>1</v>
      </c>
      <c r="N6" s="122">
        <v>20</v>
      </c>
      <c r="O6" s="120">
        <v>20</v>
      </c>
    </row>
    <row r="7" spans="1:15" ht="15" x14ac:dyDescent="0.15">
      <c r="A7" s="108">
        <v>111320863</v>
      </c>
      <c r="B7" s="105">
        <v>18710070</v>
      </c>
      <c r="C7" s="105" t="s">
        <v>123</v>
      </c>
      <c r="D7" s="109" t="s">
        <v>136</v>
      </c>
      <c r="E7" s="109" t="s">
        <v>137</v>
      </c>
      <c r="F7" s="105" t="str">
        <f t="shared" si="0"/>
        <v>Kathleen Thomas</v>
      </c>
      <c r="G7" s="105" t="s">
        <v>112</v>
      </c>
      <c r="H7" s="105" t="s">
        <v>113</v>
      </c>
      <c r="I7" s="106">
        <v>45292</v>
      </c>
      <c r="J7" s="110">
        <v>45657</v>
      </c>
      <c r="K7" s="111">
        <v>45627</v>
      </c>
      <c r="L7" s="119" t="s">
        <v>101</v>
      </c>
      <c r="M7" s="119">
        <v>1</v>
      </c>
      <c r="N7" s="123">
        <v>20</v>
      </c>
      <c r="O7" s="121">
        <v>20</v>
      </c>
    </row>
    <row r="8" spans="1:15" ht="15" x14ac:dyDescent="0.15">
      <c r="A8" s="104">
        <v>111034361</v>
      </c>
      <c r="B8" s="105">
        <v>20436896</v>
      </c>
      <c r="C8" s="105" t="s">
        <v>124</v>
      </c>
      <c r="D8" s="105" t="s">
        <v>138</v>
      </c>
      <c r="E8" s="105" t="s">
        <v>139</v>
      </c>
      <c r="F8" s="105" t="str">
        <f t="shared" si="0"/>
        <v>Jeffrey Grindle</v>
      </c>
      <c r="G8" s="105" t="s">
        <v>112</v>
      </c>
      <c r="H8" s="105" t="s">
        <v>115</v>
      </c>
      <c r="I8" s="106">
        <v>45292</v>
      </c>
      <c r="J8" s="106">
        <v>45657</v>
      </c>
      <c r="K8" s="105" t="s">
        <v>114</v>
      </c>
      <c r="L8" s="105" t="s">
        <v>101</v>
      </c>
      <c r="M8" s="107">
        <v>1</v>
      </c>
      <c r="N8" s="122">
        <v>25</v>
      </c>
      <c r="O8" s="120">
        <v>25</v>
      </c>
    </row>
    <row r="9" spans="1:15" ht="15" x14ac:dyDescent="0.15">
      <c r="A9" s="104">
        <v>111183328</v>
      </c>
      <c r="B9" s="105">
        <v>20436896</v>
      </c>
      <c r="C9" s="105" t="s">
        <v>124</v>
      </c>
      <c r="D9" s="105" t="s">
        <v>140</v>
      </c>
      <c r="E9" s="105" t="s">
        <v>141</v>
      </c>
      <c r="F9" s="105" t="str">
        <f t="shared" si="0"/>
        <v>Theresa Sefton</v>
      </c>
      <c r="G9" s="105" t="s">
        <v>112</v>
      </c>
      <c r="H9" s="105" t="s">
        <v>115</v>
      </c>
      <c r="I9" s="106">
        <v>45292</v>
      </c>
      <c r="J9" s="106">
        <v>45657</v>
      </c>
      <c r="K9" s="105" t="s">
        <v>114</v>
      </c>
      <c r="L9" s="105" t="s">
        <v>101</v>
      </c>
      <c r="M9" s="107">
        <v>1</v>
      </c>
      <c r="N9" s="122">
        <v>25</v>
      </c>
      <c r="O9" s="120">
        <v>25</v>
      </c>
    </row>
    <row r="10" spans="1:15" ht="15" x14ac:dyDescent="0.15">
      <c r="A10" s="104">
        <v>111241629</v>
      </c>
      <c r="B10" s="105">
        <v>20436896</v>
      </c>
      <c r="C10" s="105" t="s">
        <v>124</v>
      </c>
      <c r="D10" s="105" t="s">
        <v>142</v>
      </c>
      <c r="E10" s="105" t="s">
        <v>143</v>
      </c>
      <c r="F10" s="105" t="str">
        <f t="shared" si="0"/>
        <v>Kimberly Prescaro</v>
      </c>
      <c r="G10" s="105" t="s">
        <v>112</v>
      </c>
      <c r="H10" s="105" t="s">
        <v>115</v>
      </c>
      <c r="I10" s="106">
        <v>45292</v>
      </c>
      <c r="J10" s="106">
        <v>45657</v>
      </c>
      <c r="K10" s="105" t="s">
        <v>114</v>
      </c>
      <c r="L10" s="105" t="s">
        <v>101</v>
      </c>
      <c r="M10" s="107">
        <v>1</v>
      </c>
      <c r="N10" s="122">
        <v>25</v>
      </c>
      <c r="O10" s="120">
        <v>25</v>
      </c>
    </row>
    <row r="11" spans="1:15" ht="15" x14ac:dyDescent="0.15">
      <c r="A11" s="104">
        <v>109263551</v>
      </c>
      <c r="B11" s="105">
        <v>8977234</v>
      </c>
      <c r="C11" s="105" t="s">
        <v>125</v>
      </c>
      <c r="D11" s="105" t="s">
        <v>144</v>
      </c>
      <c r="E11" s="105" t="s">
        <v>145</v>
      </c>
      <c r="F11" s="105" t="str">
        <f t="shared" si="0"/>
        <v>Jerry Hartman</v>
      </c>
      <c r="G11" s="112" t="s">
        <v>112</v>
      </c>
      <c r="H11" s="105" t="s">
        <v>115</v>
      </c>
      <c r="I11" s="113">
        <v>45292</v>
      </c>
      <c r="J11" s="106">
        <v>45657</v>
      </c>
      <c r="K11" s="114" t="s">
        <v>114</v>
      </c>
      <c r="L11" s="105" t="s">
        <v>101</v>
      </c>
      <c r="M11" s="107">
        <v>2</v>
      </c>
      <c r="N11" s="122">
        <v>25</v>
      </c>
      <c r="O11" s="122">
        <v>50</v>
      </c>
    </row>
    <row r="12" spans="1:15" ht="15" x14ac:dyDescent="0.15">
      <c r="A12" s="104">
        <v>111786407</v>
      </c>
      <c r="B12" s="105">
        <v>8977234</v>
      </c>
      <c r="C12" s="105" t="s">
        <v>125</v>
      </c>
      <c r="D12" s="105" t="s">
        <v>146</v>
      </c>
      <c r="E12" s="105" t="s">
        <v>147</v>
      </c>
      <c r="F12" s="105" t="str">
        <f t="shared" si="0"/>
        <v>Nancy Gale</v>
      </c>
      <c r="G12" s="112" t="s">
        <v>112</v>
      </c>
      <c r="H12" s="105" t="s">
        <v>116</v>
      </c>
      <c r="I12" s="113">
        <v>45292</v>
      </c>
      <c r="J12" s="106">
        <v>45657</v>
      </c>
      <c r="K12" s="114" t="s">
        <v>114</v>
      </c>
      <c r="L12" s="105" t="s">
        <v>101</v>
      </c>
      <c r="M12" s="107">
        <v>1</v>
      </c>
      <c r="N12" s="122">
        <v>21</v>
      </c>
      <c r="O12" s="122">
        <v>21</v>
      </c>
    </row>
    <row r="13" spans="1:15" ht="15" x14ac:dyDescent="0.15">
      <c r="A13" s="104">
        <v>111849444</v>
      </c>
      <c r="B13" s="105">
        <v>8977234</v>
      </c>
      <c r="C13" s="105" t="s">
        <v>125</v>
      </c>
      <c r="D13" s="105" t="s">
        <v>148</v>
      </c>
      <c r="E13" s="105" t="s">
        <v>149</v>
      </c>
      <c r="F13" s="105" t="str">
        <f t="shared" si="0"/>
        <v>Christopher Stevanus</v>
      </c>
      <c r="G13" s="105" t="s">
        <v>112</v>
      </c>
      <c r="H13" s="105" t="s">
        <v>116</v>
      </c>
      <c r="I13" s="106">
        <v>45292</v>
      </c>
      <c r="J13" s="106">
        <v>45657</v>
      </c>
      <c r="K13" s="105" t="s">
        <v>114</v>
      </c>
      <c r="L13" s="105" t="s">
        <v>101</v>
      </c>
      <c r="M13" s="107">
        <v>1</v>
      </c>
      <c r="N13" s="122">
        <v>21</v>
      </c>
      <c r="O13" s="120">
        <v>21</v>
      </c>
    </row>
    <row r="14" spans="1:15" ht="15" x14ac:dyDescent="0.15">
      <c r="A14" s="104">
        <v>111876534</v>
      </c>
      <c r="B14" s="105">
        <v>8977234</v>
      </c>
      <c r="C14" s="105" t="s">
        <v>125</v>
      </c>
      <c r="D14" s="105" t="s">
        <v>150</v>
      </c>
      <c r="E14" s="105" t="s">
        <v>151</v>
      </c>
      <c r="F14" s="105" t="str">
        <f t="shared" si="0"/>
        <v>Serrano Rosa</v>
      </c>
      <c r="G14" s="105" t="s">
        <v>112</v>
      </c>
      <c r="H14" s="105" t="s">
        <v>116</v>
      </c>
      <c r="I14" s="106">
        <v>45292</v>
      </c>
      <c r="J14" s="106">
        <v>45657</v>
      </c>
      <c r="K14" s="105" t="s">
        <v>114</v>
      </c>
      <c r="L14" s="105" t="s">
        <v>101</v>
      </c>
      <c r="M14" s="107">
        <v>1</v>
      </c>
      <c r="N14" s="122">
        <v>21</v>
      </c>
      <c r="O14" s="120">
        <v>21</v>
      </c>
    </row>
    <row r="15" spans="1:15" ht="15" x14ac:dyDescent="0.15">
      <c r="A15" s="104">
        <v>112007452</v>
      </c>
      <c r="B15" s="105">
        <v>8977234</v>
      </c>
      <c r="C15" s="105" t="s">
        <v>125</v>
      </c>
      <c r="D15" s="105" t="s">
        <v>152</v>
      </c>
      <c r="E15" s="105" t="s">
        <v>153</v>
      </c>
      <c r="F15" s="105" t="str">
        <f t="shared" si="0"/>
        <v>Christine Smoody</v>
      </c>
      <c r="G15" s="112" t="s">
        <v>112</v>
      </c>
      <c r="H15" s="105" t="s">
        <v>116</v>
      </c>
      <c r="I15" s="113">
        <v>45413</v>
      </c>
      <c r="J15" s="106">
        <v>45657</v>
      </c>
      <c r="K15" s="114" t="s">
        <v>114</v>
      </c>
      <c r="L15" s="105" t="s">
        <v>101</v>
      </c>
      <c r="M15" s="107">
        <v>1</v>
      </c>
      <c r="N15" s="122">
        <v>21</v>
      </c>
      <c r="O15" s="122">
        <v>21</v>
      </c>
    </row>
    <row r="16" spans="1:15" ht="15" x14ac:dyDescent="0.15">
      <c r="A16" s="104">
        <v>112234254</v>
      </c>
      <c r="B16" s="105">
        <v>8977234</v>
      </c>
      <c r="C16" s="105" t="s">
        <v>125</v>
      </c>
      <c r="D16" s="105" t="s">
        <v>154</v>
      </c>
      <c r="E16" s="105" t="s">
        <v>155</v>
      </c>
      <c r="F16" s="105" t="str">
        <f t="shared" si="0"/>
        <v>Brenda Blankenship</v>
      </c>
      <c r="G16" s="112" t="s">
        <v>112</v>
      </c>
      <c r="H16" s="105" t="s">
        <v>115</v>
      </c>
      <c r="I16" s="113">
        <v>45536</v>
      </c>
      <c r="J16" s="106">
        <v>45657</v>
      </c>
      <c r="K16" s="114" t="s">
        <v>114</v>
      </c>
      <c r="L16" s="105" t="s">
        <v>101</v>
      </c>
      <c r="M16" s="107">
        <v>1</v>
      </c>
      <c r="N16" s="122">
        <v>25</v>
      </c>
      <c r="O16" s="122">
        <v>25</v>
      </c>
    </row>
    <row r="17" spans="1:15" ht="15" x14ac:dyDescent="0.15">
      <c r="A17" s="104">
        <v>109376890</v>
      </c>
      <c r="B17" s="105">
        <v>8977234</v>
      </c>
      <c r="C17" s="105" t="s">
        <v>125</v>
      </c>
      <c r="D17" s="105" t="s">
        <v>156</v>
      </c>
      <c r="E17" s="105" t="s">
        <v>157</v>
      </c>
      <c r="F17" s="105" t="str">
        <f t="shared" si="0"/>
        <v>Denise Zumpella</v>
      </c>
      <c r="G17" s="105" t="s">
        <v>112</v>
      </c>
      <c r="H17" s="105" t="s">
        <v>116</v>
      </c>
      <c r="I17" s="106">
        <v>45292</v>
      </c>
      <c r="J17" s="106">
        <v>45657</v>
      </c>
      <c r="K17" s="105" t="s">
        <v>114</v>
      </c>
      <c r="L17" s="105" t="s">
        <v>101</v>
      </c>
      <c r="M17" s="107">
        <v>1</v>
      </c>
      <c r="N17" s="122">
        <v>21</v>
      </c>
      <c r="O17" s="120">
        <v>21</v>
      </c>
    </row>
    <row r="18" spans="1:15" ht="15" x14ac:dyDescent="0.15">
      <c r="A18" s="104">
        <v>109408841</v>
      </c>
      <c r="B18" s="105">
        <v>8977234</v>
      </c>
      <c r="C18" s="105" t="s">
        <v>125</v>
      </c>
      <c r="D18" s="105" t="s">
        <v>158</v>
      </c>
      <c r="E18" s="105" t="s">
        <v>159</v>
      </c>
      <c r="F18" s="105" t="str">
        <f t="shared" si="0"/>
        <v>Donna Stubbins</v>
      </c>
      <c r="G18" s="112" t="s">
        <v>112</v>
      </c>
      <c r="H18" s="105" t="s">
        <v>116</v>
      </c>
      <c r="I18" s="113">
        <v>45292</v>
      </c>
      <c r="J18" s="106">
        <v>45657</v>
      </c>
      <c r="K18" s="114" t="s">
        <v>114</v>
      </c>
      <c r="L18" s="105" t="s">
        <v>101</v>
      </c>
      <c r="M18" s="107">
        <v>1</v>
      </c>
      <c r="N18" s="122">
        <v>21</v>
      </c>
      <c r="O18" s="122">
        <v>21</v>
      </c>
    </row>
    <row r="19" spans="1:15" ht="15" x14ac:dyDescent="0.15">
      <c r="A19" s="104">
        <v>109412356</v>
      </c>
      <c r="B19" s="105">
        <v>8977234</v>
      </c>
      <c r="C19" s="105" t="s">
        <v>125</v>
      </c>
      <c r="D19" s="105" t="s">
        <v>160</v>
      </c>
      <c r="E19" s="105" t="s">
        <v>161</v>
      </c>
      <c r="F19" s="105" t="str">
        <f t="shared" si="0"/>
        <v>Hewitt Wilkinson</v>
      </c>
      <c r="G19" s="112" t="s">
        <v>112</v>
      </c>
      <c r="H19" s="105" t="s">
        <v>117</v>
      </c>
      <c r="I19" s="113">
        <v>45292</v>
      </c>
      <c r="J19" s="106">
        <v>45657</v>
      </c>
      <c r="K19" s="114" t="s">
        <v>114</v>
      </c>
      <c r="L19" s="105" t="s">
        <v>101</v>
      </c>
      <c r="M19" s="107">
        <v>3</v>
      </c>
      <c r="N19" s="122">
        <v>22</v>
      </c>
      <c r="O19" s="122">
        <v>66</v>
      </c>
    </row>
    <row r="20" spans="1:15" ht="15" x14ac:dyDescent="0.15">
      <c r="A20" s="104">
        <v>109984175</v>
      </c>
      <c r="B20" s="105">
        <v>8977234</v>
      </c>
      <c r="C20" s="105" t="s">
        <v>125</v>
      </c>
      <c r="D20" s="105" t="s">
        <v>162</v>
      </c>
      <c r="E20" s="105" t="s">
        <v>163</v>
      </c>
      <c r="F20" s="105" t="str">
        <f t="shared" si="0"/>
        <v>Christina Staats</v>
      </c>
      <c r="G20" s="105" t="s">
        <v>112</v>
      </c>
      <c r="H20" s="105" t="s">
        <v>116</v>
      </c>
      <c r="I20" s="106">
        <v>45292</v>
      </c>
      <c r="J20" s="106">
        <v>45657</v>
      </c>
      <c r="K20" s="105" t="s">
        <v>114</v>
      </c>
      <c r="L20" s="105" t="s">
        <v>101</v>
      </c>
      <c r="M20" s="107">
        <v>1</v>
      </c>
      <c r="N20" s="122">
        <v>21</v>
      </c>
      <c r="O20" s="120">
        <v>21</v>
      </c>
    </row>
    <row r="21" spans="1:15" ht="15" x14ac:dyDescent="0.15">
      <c r="A21" s="104">
        <v>110447345</v>
      </c>
      <c r="B21" s="105">
        <v>8977234</v>
      </c>
      <c r="C21" s="105" t="s">
        <v>125</v>
      </c>
      <c r="D21" s="105" t="s">
        <v>164</v>
      </c>
      <c r="E21" s="105" t="s">
        <v>165</v>
      </c>
      <c r="F21" s="105" t="str">
        <f t="shared" si="0"/>
        <v>Forry Engle</v>
      </c>
      <c r="G21" s="105" t="s">
        <v>112</v>
      </c>
      <c r="H21" s="105" t="s">
        <v>117</v>
      </c>
      <c r="I21" s="106">
        <v>45292</v>
      </c>
      <c r="J21" s="106">
        <v>45657</v>
      </c>
      <c r="K21" s="105" t="s">
        <v>114</v>
      </c>
      <c r="L21" s="105" t="s">
        <v>101</v>
      </c>
      <c r="M21" s="107">
        <v>1</v>
      </c>
      <c r="N21" s="122">
        <v>22</v>
      </c>
      <c r="O21" s="120">
        <v>22</v>
      </c>
    </row>
    <row r="22" spans="1:15" ht="15" x14ac:dyDescent="0.15">
      <c r="A22" s="104">
        <v>110654739</v>
      </c>
      <c r="B22" s="105">
        <v>8977234</v>
      </c>
      <c r="C22" s="105" t="s">
        <v>125</v>
      </c>
      <c r="D22" s="105" t="s">
        <v>166</v>
      </c>
      <c r="E22" s="105" t="s">
        <v>167</v>
      </c>
      <c r="F22" s="105" t="str">
        <f t="shared" si="0"/>
        <v>Sheri Macleod</v>
      </c>
      <c r="G22" s="112" t="s">
        <v>112</v>
      </c>
      <c r="H22" s="105" t="s">
        <v>115</v>
      </c>
      <c r="I22" s="113">
        <v>45292</v>
      </c>
      <c r="J22" s="106">
        <v>45657</v>
      </c>
      <c r="K22" s="114" t="s">
        <v>114</v>
      </c>
      <c r="L22" s="105" t="s">
        <v>101</v>
      </c>
      <c r="M22" s="107">
        <v>1</v>
      </c>
      <c r="N22" s="122">
        <v>25</v>
      </c>
      <c r="O22" s="122">
        <v>25</v>
      </c>
    </row>
    <row r="23" spans="1:15" ht="15" x14ac:dyDescent="0.15">
      <c r="A23" s="104">
        <v>110661324</v>
      </c>
      <c r="B23" s="105">
        <v>8977234</v>
      </c>
      <c r="C23" s="105" t="s">
        <v>125</v>
      </c>
      <c r="D23" s="105" t="s">
        <v>168</v>
      </c>
      <c r="E23" s="105" t="s">
        <v>169</v>
      </c>
      <c r="F23" s="105" t="str">
        <f t="shared" si="0"/>
        <v>Frida Coates</v>
      </c>
      <c r="G23" s="112" t="s">
        <v>112</v>
      </c>
      <c r="H23" s="105" t="s">
        <v>118</v>
      </c>
      <c r="I23" s="113">
        <v>45292</v>
      </c>
      <c r="J23" s="106">
        <v>45657</v>
      </c>
      <c r="K23" s="114" t="s">
        <v>114</v>
      </c>
      <c r="L23" s="105" t="s">
        <v>101</v>
      </c>
      <c r="M23" s="107">
        <v>2</v>
      </c>
      <c r="N23" s="122">
        <v>22</v>
      </c>
      <c r="O23" s="122">
        <v>44</v>
      </c>
    </row>
    <row r="24" spans="1:15" ht="15" x14ac:dyDescent="0.15">
      <c r="A24" s="104">
        <v>110913614</v>
      </c>
      <c r="B24" s="105">
        <v>8977234</v>
      </c>
      <c r="C24" s="105" t="s">
        <v>125</v>
      </c>
      <c r="D24" s="105" t="s">
        <v>170</v>
      </c>
      <c r="E24" s="105" t="s">
        <v>171</v>
      </c>
      <c r="F24" s="105" t="str">
        <f t="shared" si="0"/>
        <v>Samuel Zollars</v>
      </c>
      <c r="G24" s="112" t="s">
        <v>112</v>
      </c>
      <c r="H24" s="105" t="s">
        <v>115</v>
      </c>
      <c r="I24" s="113">
        <v>45292</v>
      </c>
      <c r="J24" s="106">
        <v>45657</v>
      </c>
      <c r="K24" s="114" t="s">
        <v>114</v>
      </c>
      <c r="L24" s="105" t="s">
        <v>101</v>
      </c>
      <c r="M24" s="107">
        <v>1</v>
      </c>
      <c r="N24" s="122">
        <v>25</v>
      </c>
      <c r="O24" s="122">
        <v>25</v>
      </c>
    </row>
    <row r="25" spans="1:15" ht="15" x14ac:dyDescent="0.15">
      <c r="A25" s="104">
        <v>110950229</v>
      </c>
      <c r="B25" s="105">
        <v>8977234</v>
      </c>
      <c r="C25" s="105" t="s">
        <v>125</v>
      </c>
      <c r="D25" s="105" t="s">
        <v>172</v>
      </c>
      <c r="E25" s="105" t="s">
        <v>173</v>
      </c>
      <c r="F25" s="105" t="str">
        <f t="shared" si="0"/>
        <v>Timmy Wallis</v>
      </c>
      <c r="G25" s="112" t="s">
        <v>112</v>
      </c>
      <c r="H25" s="105" t="s">
        <v>115</v>
      </c>
      <c r="I25" s="113">
        <v>45292</v>
      </c>
      <c r="J25" s="106">
        <v>45657</v>
      </c>
      <c r="K25" s="114" t="s">
        <v>114</v>
      </c>
      <c r="L25" s="105" t="s">
        <v>101</v>
      </c>
      <c r="M25" s="107">
        <v>1</v>
      </c>
      <c r="N25" s="122">
        <v>25</v>
      </c>
      <c r="O25" s="122">
        <v>25</v>
      </c>
    </row>
    <row r="26" spans="1:15" ht="15" x14ac:dyDescent="0.15">
      <c r="A26" s="104">
        <v>110987700</v>
      </c>
      <c r="B26" s="105">
        <v>8977234</v>
      </c>
      <c r="C26" s="105" t="s">
        <v>125</v>
      </c>
      <c r="D26" s="105" t="s">
        <v>174</v>
      </c>
      <c r="E26" s="105" t="s">
        <v>175</v>
      </c>
      <c r="F26" s="105" t="str">
        <f t="shared" si="0"/>
        <v>Gary Crowe</v>
      </c>
      <c r="G26" s="112" t="s">
        <v>112</v>
      </c>
      <c r="H26" s="105" t="s">
        <v>118</v>
      </c>
      <c r="I26" s="113">
        <v>45292</v>
      </c>
      <c r="J26" s="106">
        <v>45657</v>
      </c>
      <c r="K26" s="114" t="s">
        <v>114</v>
      </c>
      <c r="L26" s="105" t="s">
        <v>101</v>
      </c>
      <c r="M26" s="107">
        <v>1</v>
      </c>
      <c r="N26" s="122">
        <v>22</v>
      </c>
      <c r="O26" s="122">
        <v>22</v>
      </c>
    </row>
    <row r="27" spans="1:15" ht="15" x14ac:dyDescent="0.15">
      <c r="A27" s="104">
        <v>111057159</v>
      </c>
      <c r="B27" s="105">
        <v>8977234</v>
      </c>
      <c r="C27" s="105" t="s">
        <v>125</v>
      </c>
      <c r="D27" s="105" t="s">
        <v>176</v>
      </c>
      <c r="E27" s="105" t="s">
        <v>177</v>
      </c>
      <c r="F27" s="105" t="str">
        <f t="shared" si="0"/>
        <v>Timothy Masterson</v>
      </c>
      <c r="G27" s="112" t="s">
        <v>112</v>
      </c>
      <c r="H27" s="105" t="s">
        <v>115</v>
      </c>
      <c r="I27" s="113">
        <v>45292</v>
      </c>
      <c r="J27" s="106">
        <v>45657</v>
      </c>
      <c r="K27" s="114" t="s">
        <v>114</v>
      </c>
      <c r="L27" s="105" t="s">
        <v>101</v>
      </c>
      <c r="M27" s="107">
        <v>1</v>
      </c>
      <c r="N27" s="122">
        <v>25</v>
      </c>
      <c r="O27" s="122">
        <v>25</v>
      </c>
    </row>
    <row r="28" spans="1:15" ht="15" x14ac:dyDescent="0.15">
      <c r="A28" s="104">
        <v>111059989</v>
      </c>
      <c r="B28" s="105">
        <v>8977234</v>
      </c>
      <c r="C28" s="105" t="s">
        <v>125</v>
      </c>
      <c r="D28" s="105" t="s">
        <v>178</v>
      </c>
      <c r="E28" s="105" t="s">
        <v>179</v>
      </c>
      <c r="F28" s="105" t="str">
        <f t="shared" si="0"/>
        <v>Lisa Abel</v>
      </c>
      <c r="G28" s="112" t="s">
        <v>112</v>
      </c>
      <c r="H28" s="105" t="s">
        <v>115</v>
      </c>
      <c r="I28" s="113">
        <v>45292</v>
      </c>
      <c r="J28" s="106">
        <v>45657</v>
      </c>
      <c r="K28" s="114" t="s">
        <v>114</v>
      </c>
      <c r="L28" s="105" t="s">
        <v>101</v>
      </c>
      <c r="M28" s="107">
        <v>1</v>
      </c>
      <c r="N28" s="122">
        <v>25</v>
      </c>
      <c r="O28" s="122">
        <v>25</v>
      </c>
    </row>
    <row r="29" spans="1:15" ht="15" x14ac:dyDescent="0.15">
      <c r="A29" s="104">
        <v>111075907</v>
      </c>
      <c r="B29" s="105">
        <v>8977234</v>
      </c>
      <c r="C29" s="105" t="s">
        <v>125</v>
      </c>
      <c r="D29" s="105" t="s">
        <v>180</v>
      </c>
      <c r="E29" s="105" t="s">
        <v>181</v>
      </c>
      <c r="F29" s="105" t="str">
        <f t="shared" si="0"/>
        <v>Sandra Bellner</v>
      </c>
      <c r="G29" s="112" t="s">
        <v>112</v>
      </c>
      <c r="H29" s="105" t="s">
        <v>116</v>
      </c>
      <c r="I29" s="113">
        <v>45292</v>
      </c>
      <c r="J29" s="106">
        <v>45657</v>
      </c>
      <c r="K29" s="114" t="s">
        <v>114</v>
      </c>
      <c r="L29" s="105" t="s">
        <v>101</v>
      </c>
      <c r="M29" s="107">
        <v>1</v>
      </c>
      <c r="N29" s="122">
        <v>22</v>
      </c>
      <c r="O29" s="122">
        <v>22</v>
      </c>
    </row>
    <row r="30" spans="1:15" ht="15" x14ac:dyDescent="0.15">
      <c r="A30" s="104">
        <v>111102853</v>
      </c>
      <c r="B30" s="105">
        <v>8977234</v>
      </c>
      <c r="C30" s="105" t="s">
        <v>125</v>
      </c>
      <c r="D30" s="105" t="s">
        <v>182</v>
      </c>
      <c r="E30" s="105" t="s">
        <v>183</v>
      </c>
      <c r="F30" s="105" t="str">
        <f t="shared" si="0"/>
        <v>Caroline Robles</v>
      </c>
      <c r="G30" s="105" t="s">
        <v>112</v>
      </c>
      <c r="H30" s="105" t="s">
        <v>118</v>
      </c>
      <c r="I30" s="106">
        <v>45292</v>
      </c>
      <c r="J30" s="106">
        <v>45657</v>
      </c>
      <c r="K30" s="105" t="s">
        <v>114</v>
      </c>
      <c r="L30" s="105" t="s">
        <v>101</v>
      </c>
      <c r="M30" s="107">
        <v>1</v>
      </c>
      <c r="N30" s="122">
        <v>22</v>
      </c>
      <c r="O30" s="120">
        <v>22</v>
      </c>
    </row>
    <row r="31" spans="1:15" ht="15" x14ac:dyDescent="0.15">
      <c r="A31" s="104">
        <v>111110447</v>
      </c>
      <c r="B31" s="105">
        <v>8977234</v>
      </c>
      <c r="C31" s="105" t="s">
        <v>125</v>
      </c>
      <c r="D31" s="105" t="s">
        <v>184</v>
      </c>
      <c r="E31" s="105" t="s">
        <v>185</v>
      </c>
      <c r="F31" s="105" t="str">
        <f t="shared" si="0"/>
        <v>Terry Wuthrich</v>
      </c>
      <c r="G31" s="105" t="s">
        <v>112</v>
      </c>
      <c r="H31" s="105" t="s">
        <v>115</v>
      </c>
      <c r="I31" s="106">
        <v>45292</v>
      </c>
      <c r="J31" s="106">
        <v>45657</v>
      </c>
      <c r="K31" s="105" t="s">
        <v>114</v>
      </c>
      <c r="L31" s="105" t="s">
        <v>101</v>
      </c>
      <c r="M31" s="107">
        <v>2</v>
      </c>
      <c r="N31" s="122">
        <v>25</v>
      </c>
      <c r="O31" s="120">
        <v>50</v>
      </c>
    </row>
    <row r="32" spans="1:15" ht="15" x14ac:dyDescent="0.15">
      <c r="A32" s="104">
        <v>111198736</v>
      </c>
      <c r="B32" s="105">
        <v>8977234</v>
      </c>
      <c r="C32" s="105" t="s">
        <v>125</v>
      </c>
      <c r="D32" s="105" t="s">
        <v>186</v>
      </c>
      <c r="E32" s="105" t="s">
        <v>187</v>
      </c>
      <c r="F32" s="105" t="str">
        <f t="shared" si="0"/>
        <v>Lorraine Thompson</v>
      </c>
      <c r="G32" s="112" t="s">
        <v>112</v>
      </c>
      <c r="H32" s="105" t="s">
        <v>115</v>
      </c>
      <c r="I32" s="113">
        <v>45292</v>
      </c>
      <c r="J32" s="106">
        <v>45657</v>
      </c>
      <c r="K32" s="114" t="s">
        <v>114</v>
      </c>
      <c r="L32" s="105" t="s">
        <v>101</v>
      </c>
      <c r="M32" s="107">
        <v>1</v>
      </c>
      <c r="N32" s="122">
        <v>25</v>
      </c>
      <c r="O32" s="122">
        <v>25</v>
      </c>
    </row>
    <row r="33" spans="1:15" ht="15" x14ac:dyDescent="0.15">
      <c r="A33" s="104">
        <v>111296248</v>
      </c>
      <c r="B33" s="105">
        <v>8977234</v>
      </c>
      <c r="C33" s="105" t="s">
        <v>125</v>
      </c>
      <c r="D33" s="105" t="s">
        <v>188</v>
      </c>
      <c r="E33" s="105" t="s">
        <v>189</v>
      </c>
      <c r="F33" s="105" t="str">
        <f t="shared" si="0"/>
        <v>Teresa Graham</v>
      </c>
      <c r="G33" s="112" t="s">
        <v>112</v>
      </c>
      <c r="H33" s="105" t="s">
        <v>116</v>
      </c>
      <c r="I33" s="113">
        <v>45292</v>
      </c>
      <c r="J33" s="106">
        <v>45657</v>
      </c>
      <c r="K33" s="114" t="s">
        <v>114</v>
      </c>
      <c r="L33" s="105" t="s">
        <v>101</v>
      </c>
      <c r="M33" s="107">
        <v>1</v>
      </c>
      <c r="N33" s="122">
        <v>21</v>
      </c>
      <c r="O33" s="122">
        <v>21</v>
      </c>
    </row>
    <row r="34" spans="1:15" ht="15" x14ac:dyDescent="0.15">
      <c r="A34" s="104">
        <v>111343704</v>
      </c>
      <c r="B34" s="105">
        <v>8977234</v>
      </c>
      <c r="C34" s="105" t="s">
        <v>125</v>
      </c>
      <c r="D34" s="105" t="s">
        <v>190</v>
      </c>
      <c r="E34" s="105" t="s">
        <v>191</v>
      </c>
      <c r="F34" s="105" t="str">
        <f t="shared" si="0"/>
        <v>Suzie Ackley</v>
      </c>
      <c r="G34" s="112" t="s">
        <v>112</v>
      </c>
      <c r="H34" s="105" t="s">
        <v>116</v>
      </c>
      <c r="I34" s="113">
        <v>45292</v>
      </c>
      <c r="J34" s="106">
        <v>45657</v>
      </c>
      <c r="K34" s="114" t="s">
        <v>114</v>
      </c>
      <c r="L34" s="105" t="s">
        <v>101</v>
      </c>
      <c r="M34" s="107">
        <v>1</v>
      </c>
      <c r="N34" s="122">
        <v>21</v>
      </c>
      <c r="O34" s="122">
        <v>21</v>
      </c>
    </row>
    <row r="35" spans="1:15" ht="15" x14ac:dyDescent="0.15">
      <c r="A35" s="104">
        <v>111357198</v>
      </c>
      <c r="B35" s="105">
        <v>8977234</v>
      </c>
      <c r="C35" s="105" t="s">
        <v>125</v>
      </c>
      <c r="D35" s="105" t="s">
        <v>192</v>
      </c>
      <c r="E35" s="105" t="s">
        <v>193</v>
      </c>
      <c r="F35" s="105" t="str">
        <f t="shared" si="0"/>
        <v>Jacqueline Gaskill</v>
      </c>
      <c r="G35" s="112" t="s">
        <v>112</v>
      </c>
      <c r="H35" s="105" t="s">
        <v>115</v>
      </c>
      <c r="I35" s="113">
        <v>45292</v>
      </c>
      <c r="J35" s="106">
        <v>45657</v>
      </c>
      <c r="K35" s="114" t="s">
        <v>114</v>
      </c>
      <c r="L35" s="105" t="s">
        <v>101</v>
      </c>
      <c r="M35" s="107">
        <v>1</v>
      </c>
      <c r="N35" s="122">
        <v>25</v>
      </c>
      <c r="O35" s="122">
        <v>25</v>
      </c>
    </row>
    <row r="36" spans="1:15" ht="15" x14ac:dyDescent="0.15">
      <c r="A36" s="104">
        <v>111593834</v>
      </c>
      <c r="B36" s="105">
        <v>8977234</v>
      </c>
      <c r="C36" s="105" t="s">
        <v>125</v>
      </c>
      <c r="D36" s="105" t="s">
        <v>194</v>
      </c>
      <c r="E36" s="105" t="s">
        <v>195</v>
      </c>
      <c r="F36" s="105" t="str">
        <f t="shared" si="0"/>
        <v>Terri Burkett</v>
      </c>
      <c r="G36" s="112" t="s">
        <v>112</v>
      </c>
      <c r="H36" s="105" t="s">
        <v>115</v>
      </c>
      <c r="I36" s="113">
        <v>45292</v>
      </c>
      <c r="J36" s="106">
        <v>45657</v>
      </c>
      <c r="K36" s="114" t="s">
        <v>114</v>
      </c>
      <c r="L36" s="105" t="s">
        <v>101</v>
      </c>
      <c r="M36" s="107">
        <v>1</v>
      </c>
      <c r="N36" s="122">
        <v>25</v>
      </c>
      <c r="O36" s="122">
        <v>25</v>
      </c>
    </row>
    <row r="37" spans="1:15" ht="15" x14ac:dyDescent="0.15">
      <c r="A37" s="104">
        <v>111810281</v>
      </c>
      <c r="B37" s="105">
        <v>8977234</v>
      </c>
      <c r="C37" s="105" t="s">
        <v>125</v>
      </c>
      <c r="D37" s="105" t="s">
        <v>196</v>
      </c>
      <c r="E37" s="105" t="s">
        <v>197</v>
      </c>
      <c r="F37" s="105" t="str">
        <f t="shared" si="0"/>
        <v>Matthew Mcintire</v>
      </c>
      <c r="G37" s="112" t="s">
        <v>112</v>
      </c>
      <c r="H37" s="105" t="s">
        <v>115</v>
      </c>
      <c r="I37" s="113">
        <v>45292</v>
      </c>
      <c r="J37" s="106">
        <v>45657</v>
      </c>
      <c r="K37" s="114" t="s">
        <v>114</v>
      </c>
      <c r="L37" s="105" t="s">
        <v>101</v>
      </c>
      <c r="M37" s="107">
        <v>1</v>
      </c>
      <c r="N37" s="122">
        <v>25</v>
      </c>
      <c r="O37" s="122">
        <v>25</v>
      </c>
    </row>
    <row r="38" spans="1:15" ht="15" x14ac:dyDescent="0.15">
      <c r="A38" s="104">
        <v>105070784</v>
      </c>
      <c r="B38" s="105">
        <v>8977234</v>
      </c>
      <c r="C38" s="105" t="s">
        <v>125</v>
      </c>
      <c r="D38" s="105" t="s">
        <v>198</v>
      </c>
      <c r="E38" s="105" t="s">
        <v>199</v>
      </c>
      <c r="F38" s="105" t="str">
        <f t="shared" si="0"/>
        <v>Peggy Kline</v>
      </c>
      <c r="G38" s="112" t="s">
        <v>112</v>
      </c>
      <c r="H38" s="105" t="s">
        <v>115</v>
      </c>
      <c r="I38" s="113">
        <v>45505</v>
      </c>
      <c r="J38" s="106">
        <v>45657</v>
      </c>
      <c r="K38" s="114" t="s">
        <v>114</v>
      </c>
      <c r="L38" s="105" t="s">
        <v>101</v>
      </c>
      <c r="M38" s="107">
        <v>2</v>
      </c>
      <c r="N38" s="122">
        <v>25</v>
      </c>
      <c r="O38" s="122">
        <v>50</v>
      </c>
    </row>
    <row r="39" spans="1:15" ht="15" x14ac:dyDescent="0.15">
      <c r="A39" s="104">
        <v>111849278</v>
      </c>
      <c r="B39" s="105">
        <v>9213293</v>
      </c>
      <c r="C39" s="105" t="s">
        <v>126</v>
      </c>
      <c r="D39" s="105" t="s">
        <v>200</v>
      </c>
      <c r="E39" s="105" t="s">
        <v>201</v>
      </c>
      <c r="F39" s="105" t="str">
        <f t="shared" si="0"/>
        <v>Tony Zackery</v>
      </c>
      <c r="G39" s="105" t="s">
        <v>112</v>
      </c>
      <c r="H39" s="105" t="s">
        <v>118</v>
      </c>
      <c r="I39" s="106">
        <v>45292</v>
      </c>
      <c r="J39" s="106">
        <v>45657</v>
      </c>
      <c r="K39" s="105" t="s">
        <v>114</v>
      </c>
      <c r="L39" s="105" t="s">
        <v>101</v>
      </c>
      <c r="M39" s="107">
        <v>2</v>
      </c>
      <c r="N39" s="122">
        <v>22</v>
      </c>
      <c r="O39" s="120">
        <v>44</v>
      </c>
    </row>
    <row r="40" spans="1:15" x14ac:dyDescent="0.15"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</row>
    <row r="42" spans="1:15" x14ac:dyDescent="0.15"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</row>
    <row r="43" spans="1:15" x14ac:dyDescent="0.15"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2024-12-27T17:22:44Z</dcterms:created>
  <dcterms:modified xsi:type="dcterms:W3CDTF">2024-12-27T21:33:06Z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2024-12-11T00:00:00Z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Producer">
    <vt:lpwstr>OpenPDF 1.3.34</vt:lpwstr>
  </property>
  <property fmtid="{D5CDD505-2E9C-101B-9397-08002B2CF9AE}" pid="5" name="LastSaved">
    <vt:filetime>2024-12-11T00:00:00Z</vt:filetime>
  </property>
</Properties>
</file>