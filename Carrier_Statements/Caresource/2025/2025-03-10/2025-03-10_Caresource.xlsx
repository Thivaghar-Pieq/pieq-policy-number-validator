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source\2025\caresource 3-10-25\"/>
    </mc:Choice>
  </mc:AlternateContent>
  <xr:revisionPtr revIDLastSave="0" documentId="13_ncr:1_{863C39B1-1D46-472A-9C7E-31B648B2B00F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Table 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2" i="2"/>
</calcChain>
</file>

<file path=xl/sharedStrings.xml><?xml version="1.0" encoding="utf-8"?>
<sst xmlns="http://schemas.openxmlformats.org/spreadsheetml/2006/main" count="486" uniqueCount="170">
  <si>
    <r>
      <rPr>
        <b/>
        <sz val="10"/>
        <rFont val="Arial"/>
        <family val="2"/>
      </rPr>
      <t>SUMMARY</t>
    </r>
  </si>
  <si>
    <r>
      <rPr>
        <b/>
        <sz val="9"/>
        <rFont val="Arial"/>
        <family val="2"/>
      </rPr>
      <t xml:space="preserve">Amount
</t>
    </r>
    <r>
      <rPr>
        <sz val="9"/>
        <rFont val="Arial"/>
        <family val="2"/>
      </rPr>
      <t xml:space="preserve">$90.00
</t>
    </r>
    <r>
      <rPr>
        <sz val="9"/>
        <rFont val="Arial"/>
        <family val="2"/>
      </rPr>
      <t>$711.17</t>
    </r>
  </si>
  <si>
    <r>
      <rPr>
        <b/>
        <sz val="9"/>
        <rFont val="Arial"/>
        <family val="2"/>
      </rPr>
      <t xml:space="preserve">Payable Regular Commissions:
</t>
    </r>
    <r>
      <rPr>
        <sz val="9"/>
        <rFont val="Arial"/>
        <family val="2"/>
      </rPr>
      <t>New Enrollment Commissions Renewal Commissions</t>
    </r>
  </si>
  <si>
    <r>
      <rPr>
        <b/>
        <sz val="9"/>
        <rFont val="Arial"/>
        <family val="2"/>
      </rPr>
      <t>Regular Commissions Sub-Totals:                                                      $801.17</t>
    </r>
  </si>
  <si>
    <r>
      <rPr>
        <b/>
        <sz val="9"/>
        <rFont val="Arial"/>
        <family val="2"/>
      </rPr>
      <t xml:space="preserve">Total Commissions:                                                                                                   </t>
    </r>
    <r>
      <rPr>
        <b/>
        <vertAlign val="subscript"/>
        <sz val="9"/>
        <rFont val="Arial"/>
        <family val="2"/>
      </rPr>
      <t>$801.17</t>
    </r>
  </si>
  <si>
    <r>
      <rPr>
        <b/>
        <sz val="11"/>
        <rFont val="Arial"/>
        <family val="2"/>
      </rPr>
      <t>SUMMARY TOTALS</t>
    </r>
  </si>
  <si>
    <r>
      <rPr>
        <b/>
        <sz val="9"/>
        <rFont val="Arial"/>
        <family val="2"/>
      </rPr>
      <t>Beginning Balance Forward:</t>
    </r>
  </si>
  <si>
    <r>
      <rPr>
        <b/>
        <sz val="9"/>
        <rFont val="Arial"/>
        <family val="2"/>
      </rPr>
      <t>Commission Activity:</t>
    </r>
  </si>
  <si>
    <r>
      <rPr>
        <b/>
        <sz val="9"/>
        <rFont val="Arial"/>
        <family val="2"/>
      </rPr>
      <t>Bonuses:</t>
    </r>
  </si>
  <si>
    <r>
      <rPr>
        <b/>
        <sz val="9"/>
        <rFont val="Arial"/>
        <family val="2"/>
      </rPr>
      <t>Manual Adjustments:</t>
    </r>
  </si>
  <si>
    <r>
      <rPr>
        <b/>
        <sz val="9"/>
        <rFont val="Arial"/>
        <family val="2"/>
      </rPr>
      <t>Total Commissions:</t>
    </r>
  </si>
  <si>
    <r>
      <rPr>
        <b/>
        <sz val="9"/>
        <rFont val="Arial"/>
        <family val="2"/>
      </rPr>
      <t>Amount to Pay:</t>
    </r>
  </si>
  <si>
    <r>
      <rPr>
        <b/>
        <sz val="9"/>
        <rFont val="Arial"/>
        <family val="2"/>
      </rPr>
      <t>Ending Balance Forward:</t>
    </r>
  </si>
  <si>
    <r>
      <rPr>
        <b/>
        <sz val="10"/>
        <rFont val="Arial"/>
        <family val="2"/>
      </rPr>
      <t>Writing Producer                           17528908                                Inskipt, Deborah Lee</t>
    </r>
  </si>
  <si>
    <r>
      <rPr>
        <b/>
        <sz val="10"/>
        <rFont val="Arial"/>
        <family val="2"/>
      </rPr>
      <t>New Enrollment</t>
    </r>
  </si>
  <si>
    <r>
      <rPr>
        <b/>
        <sz val="9"/>
        <rFont val="Arial"/>
        <family val="2"/>
      </rPr>
      <t>Member ID</t>
    </r>
  </si>
  <si>
    <r>
      <rPr>
        <b/>
        <sz val="9"/>
        <rFont val="Arial"/>
        <family val="2"/>
      </rPr>
      <t>Name</t>
    </r>
  </si>
  <si>
    <r>
      <rPr>
        <b/>
        <sz val="9"/>
        <rFont val="Arial"/>
        <family val="2"/>
      </rPr>
      <t>Product</t>
    </r>
  </si>
  <si>
    <r>
      <rPr>
        <b/>
        <sz val="9"/>
        <rFont val="Arial"/>
        <family val="2"/>
      </rPr>
      <t xml:space="preserve">Effective
</t>
    </r>
    <r>
      <rPr>
        <b/>
        <sz val="9"/>
        <rFont val="Arial"/>
        <family val="2"/>
      </rPr>
      <t>State        Date</t>
    </r>
  </si>
  <si>
    <r>
      <rPr>
        <b/>
        <sz val="9"/>
        <rFont val="Arial"/>
        <family val="2"/>
      </rPr>
      <t>Termination Date</t>
    </r>
  </si>
  <si>
    <r>
      <rPr>
        <b/>
        <sz val="9"/>
        <rFont val="Arial"/>
        <family val="2"/>
      </rPr>
      <t>Period</t>
    </r>
  </si>
  <si>
    <r>
      <rPr>
        <b/>
        <sz val="9"/>
        <rFont val="Arial"/>
        <family val="2"/>
      </rPr>
      <t>Retro ?</t>
    </r>
  </si>
  <si>
    <r>
      <rPr>
        <b/>
        <sz val="9"/>
        <rFont val="Arial"/>
        <family val="2"/>
      </rPr>
      <t>Premium</t>
    </r>
  </si>
  <si>
    <r>
      <rPr>
        <b/>
        <sz val="9"/>
        <rFont val="Arial"/>
        <family val="2"/>
      </rPr>
      <t>% of Premium</t>
    </r>
  </si>
  <si>
    <r>
      <rPr>
        <b/>
        <sz val="9"/>
        <rFont val="Arial"/>
        <family val="2"/>
      </rPr>
      <t>Commission Based on Premium</t>
    </r>
  </si>
  <si>
    <r>
      <rPr>
        <b/>
        <sz val="9"/>
        <rFont val="Arial"/>
        <family val="2"/>
      </rPr>
      <t xml:space="preserve">Base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</si>
  <si>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 xml:space="preserve">Enhanced PMPM
</t>
    </r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</si>
  <si>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Rate</t>
    </r>
  </si>
  <si>
    <r>
      <rPr>
        <b/>
        <sz val="9"/>
        <rFont val="Arial"/>
        <family val="2"/>
      </rPr>
      <t>Member Count</t>
    </r>
  </si>
  <si>
    <r>
      <rPr>
        <b/>
        <sz val="9"/>
        <rFont val="Arial"/>
        <family val="2"/>
      </rPr>
      <t>Commission Based on Rate</t>
    </r>
  </si>
  <si>
    <r>
      <rPr>
        <b/>
        <sz val="9"/>
        <rFont val="Arial"/>
        <family val="2"/>
      </rPr>
      <t>Override</t>
    </r>
  </si>
  <si>
    <r>
      <rPr>
        <b/>
        <sz val="9"/>
        <rFont val="Arial"/>
        <family val="2"/>
      </rPr>
      <t>Total Commission Paid</t>
    </r>
  </si>
  <si>
    <r>
      <rPr>
        <sz val="8"/>
        <rFont val="Arial"/>
        <family val="2"/>
      </rPr>
      <t>Williams, Carla</t>
    </r>
  </si>
  <si>
    <r>
      <rPr>
        <sz val="8"/>
        <rFont val="Arial"/>
        <family val="2"/>
      </rPr>
      <t>Low Premium Silver 6000</t>
    </r>
  </si>
  <si>
    <r>
      <rPr>
        <vertAlign val="superscript"/>
        <sz val="8"/>
        <rFont val="Arial"/>
        <family val="2"/>
      </rPr>
      <t xml:space="preserve">OH       </t>
    </r>
    <r>
      <rPr>
        <sz val="8"/>
        <rFont val="Arial"/>
        <family val="2"/>
      </rPr>
      <t>01/01/2025</t>
    </r>
  </si>
  <si>
    <r>
      <rPr>
        <sz val="8"/>
        <rFont val="Arial"/>
        <family val="2"/>
      </rPr>
      <t>03/2025</t>
    </r>
  </si>
  <si>
    <r>
      <rPr>
        <sz val="8"/>
        <rFont val="Arial"/>
        <family val="2"/>
      </rPr>
      <t>N</t>
    </r>
  </si>
  <si>
    <r>
      <rPr>
        <b/>
        <sz val="9"/>
        <rFont val="Arial"/>
        <family val="2"/>
      </rPr>
      <t>Total for New Enrollments:                                                                                                                                                                                                                                                                  $ 21.00</t>
    </r>
  </si>
  <si>
    <r>
      <rPr>
        <b/>
        <sz val="10"/>
        <rFont val="Arial"/>
        <family val="2"/>
      </rPr>
      <t>Renewals</t>
    </r>
  </si>
  <si>
    <r>
      <rPr>
        <b/>
        <sz val="9"/>
        <rFont val="Arial"/>
        <family val="2"/>
      </rPr>
      <t>Effective</t>
    </r>
  </si>
  <si>
    <r>
      <rPr>
        <b/>
        <sz val="9"/>
        <rFont val="Arial"/>
        <family val="2"/>
      </rPr>
      <t>Termination</t>
    </r>
  </si>
  <si>
    <r>
      <rPr>
        <b/>
        <sz val="9"/>
        <rFont val="Arial"/>
        <family val="2"/>
      </rPr>
      <t>% of</t>
    </r>
  </si>
  <si>
    <r>
      <rPr>
        <b/>
        <sz val="9"/>
        <rFont val="Arial"/>
        <family val="2"/>
      </rPr>
      <t>Commission Based on</t>
    </r>
  </si>
  <si>
    <r>
      <rPr>
        <b/>
        <sz val="9"/>
        <rFont val="Arial"/>
        <family val="2"/>
      </rPr>
      <t>Base PMPM</t>
    </r>
  </si>
  <si>
    <r>
      <rPr>
        <b/>
        <sz val="9"/>
        <rFont val="Arial"/>
        <family val="2"/>
      </rPr>
      <t>Enhanced PMPM</t>
    </r>
  </si>
  <si>
    <r>
      <rPr>
        <b/>
        <sz val="9"/>
        <rFont val="Arial"/>
        <family val="2"/>
      </rPr>
      <t>Member</t>
    </r>
  </si>
  <si>
    <r>
      <rPr>
        <b/>
        <sz val="9"/>
        <rFont val="Arial"/>
        <family val="2"/>
      </rPr>
      <t>Total Commission</t>
    </r>
  </si>
  <si>
    <r>
      <rPr>
        <b/>
        <sz val="9"/>
        <rFont val="Arial"/>
        <family val="2"/>
      </rPr>
      <t>State</t>
    </r>
  </si>
  <si>
    <r>
      <rPr>
        <b/>
        <sz val="9"/>
        <rFont val="Arial"/>
        <family val="2"/>
      </rPr>
      <t>Date</t>
    </r>
  </si>
  <si>
    <r>
      <rPr>
        <b/>
        <sz val="9"/>
        <rFont val="Arial"/>
        <family val="2"/>
      </rPr>
      <t>Count</t>
    </r>
  </si>
  <si>
    <r>
      <rPr>
        <b/>
        <sz val="9"/>
        <rFont val="Arial"/>
        <family val="2"/>
      </rPr>
      <t>Paid</t>
    </r>
  </si>
  <si>
    <r>
      <rPr>
        <sz val="8"/>
        <rFont val="Arial"/>
        <family val="2"/>
      </rPr>
      <t>Bumgardner, Larry</t>
    </r>
  </si>
  <si>
    <r>
      <rPr>
        <sz val="8"/>
        <rFont val="Arial"/>
        <family val="2"/>
      </rPr>
      <t>Bronze First 7500 $25</t>
    </r>
  </si>
  <si>
    <r>
      <rPr>
        <sz val="8"/>
        <rFont val="Arial"/>
        <family val="2"/>
      </rPr>
      <t>OH</t>
    </r>
  </si>
  <si>
    <r>
      <rPr>
        <sz val="8"/>
        <rFont val="Arial"/>
        <family val="2"/>
      </rPr>
      <t>Melvin, Tanner A.</t>
    </r>
  </si>
  <si>
    <r>
      <rPr>
        <sz val="8"/>
        <rFont val="Arial"/>
        <family val="2"/>
      </rPr>
      <t>Low Premium Silver 1000</t>
    </r>
  </si>
  <si>
    <r>
      <rPr>
        <sz val="8"/>
        <rFont val="Arial"/>
        <family val="2"/>
      </rPr>
      <t>WV</t>
    </r>
  </si>
  <si>
    <r>
      <rPr>
        <sz val="8"/>
        <rFont val="Arial"/>
        <family val="2"/>
      </rPr>
      <t>Melvin, Todd</t>
    </r>
  </si>
  <si>
    <r>
      <rPr>
        <sz val="8"/>
        <rFont val="Arial"/>
        <family val="2"/>
      </rPr>
      <t>Henry, Lori</t>
    </r>
  </si>
  <si>
    <r>
      <rPr>
        <sz val="8"/>
        <rFont val="Arial"/>
        <family val="2"/>
      </rPr>
      <t>Stephan, Alana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</si>
  <si>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$ 141.00</t>
    </r>
  </si>
  <si>
    <r>
      <rPr>
        <b/>
        <sz val="9"/>
        <rFont val="Arial"/>
        <family val="2"/>
      </rPr>
      <t>Total for Writing Producer       17528908        Inskipt, Deborah Lee                                                                                                                                                                                                                                $ 162.00</t>
    </r>
  </si>
  <si>
    <r>
      <rPr>
        <b/>
        <sz val="10"/>
        <rFont val="Arial"/>
        <family val="2"/>
      </rPr>
      <t>Writing Producer                           18710070                                Mccorkle, Michelle</t>
    </r>
  </si>
  <si>
    <r>
      <rPr>
        <sz val="8"/>
        <rFont val="Arial"/>
        <family val="2"/>
      </rPr>
      <t>Thomas, Kathleen</t>
    </r>
  </si>
  <si>
    <r>
      <rPr>
        <sz val="8"/>
        <rFont val="Arial"/>
        <family val="2"/>
      </rPr>
      <t>Low Premium Silver 500 $0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</si>
  <si>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</si>
  <si>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9"/>
        <rFont val="Arial"/>
        <family val="2"/>
      </rPr>
      <t>Total for Writing Producer       18710070        Mccorkle, Michelle                                                                                                                                                                                                                                    $ 20.00</t>
    </r>
  </si>
  <si>
    <r>
      <rPr>
        <b/>
        <sz val="10"/>
        <rFont val="Arial"/>
        <family val="2"/>
      </rPr>
      <t>Writing Producer                           20436896                                Caltagirone, Katelenn Marie</t>
    </r>
  </si>
  <si>
    <r>
      <rPr>
        <b/>
        <sz val="9"/>
        <rFont val="Arial"/>
        <family val="2"/>
      </rPr>
      <t>Effective Date</t>
    </r>
  </si>
  <si>
    <r>
      <rPr>
        <sz val="8"/>
        <rFont val="Arial"/>
        <family val="2"/>
      </rPr>
      <t>Grindle, Jeffrey</t>
    </r>
  </si>
  <si>
    <r>
      <rPr>
        <sz val="8"/>
        <rFont val="Arial"/>
        <family val="2"/>
      </rPr>
      <t>IN</t>
    </r>
  </si>
  <si>
    <r>
      <rPr>
        <sz val="8"/>
        <rFont val="Arial"/>
        <family val="2"/>
      </rPr>
      <t>Sefton, Theresa</t>
    </r>
  </si>
  <si>
    <r>
      <rPr>
        <sz val="8"/>
        <rFont val="Arial"/>
        <family val="2"/>
      </rPr>
      <t>Silver 500 $10 Generic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</si>
  <si>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  $ 48.00</t>
    </r>
  </si>
  <si>
    <r>
      <rPr>
        <b/>
        <sz val="9"/>
        <rFont val="Arial"/>
        <family val="2"/>
      </rPr>
      <t>Total for Writing Producer       20436896        Caltagirone, Katelenn Marie                                                                                                                                                                                                                            $ 48.00</t>
    </r>
  </si>
  <si>
    <r>
      <rPr>
        <b/>
        <sz val="10"/>
        <rFont val="Arial"/>
        <family val="2"/>
      </rPr>
      <t>Writing Producer                           8977234                                  Caltagirone, Ryan J</t>
    </r>
  </si>
  <si>
    <r>
      <rPr>
        <b/>
        <sz val="9"/>
        <rFont val="Arial"/>
        <family val="2"/>
      </rPr>
      <t xml:space="preserve">Effective
</t>
    </r>
    <r>
      <rPr>
        <b/>
        <sz val="9"/>
        <rFont val="Arial"/>
        <family val="2"/>
      </rPr>
      <t>Product                             State        Date</t>
    </r>
  </si>
  <si>
    <r>
      <rPr>
        <sz val="8"/>
        <rFont val="Arial"/>
        <family val="2"/>
      </rPr>
      <t>Binns, Connie</t>
    </r>
  </si>
  <si>
    <r>
      <rPr>
        <sz val="8"/>
        <rFont val="Arial"/>
        <family val="2"/>
      </rPr>
      <t xml:space="preserve">Low Premium Silver 1000         OH       </t>
    </r>
    <r>
      <rPr>
        <vertAlign val="subscript"/>
        <sz val="8"/>
        <rFont val="Arial"/>
        <family val="2"/>
      </rPr>
      <t>01/01/2025</t>
    </r>
  </si>
  <si>
    <r>
      <rPr>
        <sz val="8"/>
        <rFont val="Arial"/>
        <family val="2"/>
      </rPr>
      <t>Morr, Kylee</t>
    </r>
  </si>
  <si>
    <r>
      <rPr>
        <sz val="8"/>
        <rFont val="Arial"/>
        <family val="2"/>
      </rPr>
      <t xml:space="preserve">Low Premium Silver 1000          IN        </t>
    </r>
    <r>
      <rPr>
        <vertAlign val="subscript"/>
        <sz val="8"/>
        <rFont val="Arial"/>
        <family val="2"/>
      </rPr>
      <t>02/01/2025</t>
    </r>
  </si>
  <si>
    <r>
      <rPr>
        <b/>
        <sz val="9"/>
        <rFont val="Arial"/>
        <family val="2"/>
      </rPr>
      <t>Total for New Enrollments:</t>
    </r>
  </si>
  <si>
    <r>
      <rPr>
        <b/>
        <sz val="9"/>
        <rFont val="Arial"/>
        <family val="2"/>
      </rPr>
      <t>Product                             State        Date</t>
    </r>
  </si>
  <si>
    <r>
      <rPr>
        <sz val="8"/>
        <rFont val="Arial"/>
        <family val="2"/>
      </rPr>
      <t>Hartman, Jerry</t>
    </r>
  </si>
  <si>
    <r>
      <rPr>
        <sz val="8"/>
        <rFont val="Arial"/>
        <family val="2"/>
      </rPr>
      <t>Silver 5000 $20 Generic</t>
    </r>
  </si>
  <si>
    <r>
      <rPr>
        <sz val="8"/>
        <rFont val="Arial"/>
        <family val="2"/>
      </rPr>
      <t>Zumpella, Denise</t>
    </r>
  </si>
  <si>
    <r>
      <rPr>
        <sz val="8"/>
        <rFont val="Arial"/>
        <family val="2"/>
      </rPr>
      <t>Stubbins, Donna</t>
    </r>
  </si>
  <si>
    <r>
      <rPr>
        <sz val="8"/>
        <rFont val="Arial"/>
        <family val="2"/>
      </rPr>
      <t>Dello, Jackie</t>
    </r>
  </si>
  <si>
    <r>
      <rPr>
        <sz val="8"/>
        <rFont val="Arial"/>
        <family val="2"/>
      </rPr>
      <t>Coates, Frida</t>
    </r>
  </si>
  <si>
    <r>
      <rPr>
        <sz val="8"/>
        <rFont val="Arial"/>
        <family val="2"/>
      </rPr>
      <t>GA</t>
    </r>
  </si>
  <si>
    <r>
      <rPr>
        <sz val="8"/>
        <rFont val="Arial"/>
        <family val="2"/>
      </rPr>
      <t>Zollars, Samuel</t>
    </r>
  </si>
  <si>
    <r>
      <rPr>
        <sz val="8"/>
        <rFont val="Arial"/>
        <family val="2"/>
      </rPr>
      <t>Crowe, Gary M.</t>
    </r>
  </si>
  <si>
    <r>
      <rPr>
        <sz val="8"/>
        <rFont val="Arial"/>
        <family val="2"/>
      </rPr>
      <t>Masterson, Timothy</t>
    </r>
  </si>
  <si>
    <r>
      <rPr>
        <sz val="8"/>
        <rFont val="Arial"/>
        <family val="2"/>
      </rPr>
      <t>Silver 3000 $20 Generic</t>
    </r>
  </si>
  <si>
    <r>
      <rPr>
        <sz val="8"/>
        <rFont val="Arial"/>
        <family val="2"/>
      </rPr>
      <t>Abel, Lisa</t>
    </r>
  </si>
  <si>
    <r>
      <rPr>
        <sz val="8"/>
        <rFont val="Arial"/>
        <family val="2"/>
      </rPr>
      <t>Robles, Caroline</t>
    </r>
  </si>
  <si>
    <r>
      <rPr>
        <sz val="8"/>
        <rFont val="Arial"/>
        <family val="2"/>
      </rPr>
      <t>Wuthrich, Terry</t>
    </r>
  </si>
  <si>
    <r>
      <rPr>
        <sz val="8"/>
        <rFont val="Arial"/>
        <family val="2"/>
      </rPr>
      <t>Prescaro, Kimberly</t>
    </r>
  </si>
  <si>
    <r>
      <rPr>
        <sz val="8"/>
        <rFont val="Arial"/>
        <family val="2"/>
      </rPr>
      <t>Burkett, Terri</t>
    </r>
  </si>
  <si>
    <r>
      <rPr>
        <sz val="8"/>
        <rFont val="Arial"/>
        <family val="2"/>
      </rPr>
      <t>Gale, Nancy</t>
    </r>
  </si>
  <si>
    <r>
      <rPr>
        <sz val="8"/>
        <rFont val="Arial"/>
        <family val="2"/>
      </rPr>
      <t>Beach, Sherry</t>
    </r>
  </si>
  <si>
    <r>
      <rPr>
        <sz val="8"/>
        <rFont val="Arial"/>
        <family val="2"/>
      </rPr>
      <t>Stevanus, Christopher</t>
    </r>
  </si>
  <si>
    <r>
      <rPr>
        <sz val="8"/>
        <rFont val="Arial"/>
        <family val="2"/>
      </rPr>
      <t>Rosa Serrano,</t>
    </r>
  </si>
  <si>
    <r>
      <rPr>
        <b/>
        <sz val="9"/>
        <rFont val="Arial"/>
        <family val="2"/>
      </rPr>
      <t>Total for Renewals                                                                                                                                                                                                                                                                       $ 502.17</t>
    </r>
  </si>
  <si>
    <r>
      <rPr>
        <b/>
        <sz val="9"/>
        <rFont val="Arial"/>
        <family val="2"/>
      </rPr>
      <t>Total for Writing Producer       8977234        Caltagirone, Ryan J                                                                                                                                                                                                                                  $ 571.17</t>
    </r>
  </si>
  <si>
    <t>Deborah Inskipt</t>
  </si>
  <si>
    <t>Michelle Mccorkle</t>
  </si>
  <si>
    <t>Katelenn Caltagirone</t>
  </si>
  <si>
    <t>Ryan Caltagirone</t>
  </si>
  <si>
    <t>Member ID</t>
  </si>
  <si>
    <t>Name</t>
  </si>
  <si>
    <t>Product</t>
  </si>
  <si>
    <r>
      <rPr>
        <b/>
        <sz val="9"/>
        <rFont val="Arial"/>
        <family val="2"/>
      </rPr>
      <t>Effective
State        Date</t>
    </r>
  </si>
  <si>
    <t>Period</t>
  </si>
  <si>
    <t>Premium</t>
  </si>
  <si>
    <t>% of Premium</t>
  </si>
  <si>
    <t>Commission Based on Premium</t>
  </si>
  <si>
    <r>
      <rPr>
        <b/>
        <sz val="9"/>
        <rFont val="Arial"/>
        <family val="2"/>
      </rPr>
      <t>Base PMPM
Rate</t>
    </r>
  </si>
  <si>
    <r>
      <rPr>
        <b/>
        <sz val="9"/>
        <rFont val="Arial"/>
        <family val="2"/>
      </rPr>
      <t>Enhanced PMPM
Rate</t>
    </r>
  </si>
  <si>
    <t>Rate</t>
  </si>
  <si>
    <t>Member Count</t>
  </si>
  <si>
    <t>Commission Based on Rate</t>
  </si>
  <si>
    <t>Total Commission Paid</t>
  </si>
  <si>
    <t>Williams, Carla</t>
  </si>
  <si>
    <t>Low Premium Silver 6000</t>
  </si>
  <si>
    <t>Bumgardner, Larry</t>
  </si>
  <si>
    <t>Bronze First 7500 $25</t>
  </si>
  <si>
    <t>OH</t>
  </si>
  <si>
    <t>Low Premium Silver 1000</t>
  </si>
  <si>
    <t>WV</t>
  </si>
  <si>
    <t>Melvin, Todd</t>
  </si>
  <si>
    <t>Henry, Lori</t>
  </si>
  <si>
    <t>Stephan, Alana</t>
  </si>
  <si>
    <t>Thomas, Kathleen</t>
  </si>
  <si>
    <t>Low Premium Silver 500 $0</t>
  </si>
  <si>
    <t>Grindle, Jeffrey</t>
  </si>
  <si>
    <t>IN</t>
  </si>
  <si>
    <t>Sefton, Theresa</t>
  </si>
  <si>
    <t>Silver 500 $10 Generic</t>
  </si>
  <si>
    <t>Binns, Connie</t>
  </si>
  <si>
    <r>
      <t xml:space="preserve">Low Premium Silver 1000         OH       </t>
    </r>
    <r>
      <rPr>
        <vertAlign val="subscript"/>
        <sz val="8"/>
        <rFont val="Arial"/>
        <family val="2"/>
      </rPr>
      <t>01/01/2025</t>
    </r>
  </si>
  <si>
    <t>Morr, Kylee</t>
  </si>
  <si>
    <r>
      <t xml:space="preserve">Low Premium Silver 1000          IN        </t>
    </r>
    <r>
      <rPr>
        <vertAlign val="subscript"/>
        <sz val="8"/>
        <rFont val="Arial"/>
        <family val="2"/>
      </rPr>
      <t>02/01/2025</t>
    </r>
  </si>
  <si>
    <t>Hartman, Jerry</t>
  </si>
  <si>
    <t>Silver 5000 $20 Generic</t>
  </si>
  <si>
    <t>Zumpella, Denise</t>
  </si>
  <si>
    <t>Stubbins, Donna</t>
  </si>
  <si>
    <t>Dello, Jackie</t>
  </si>
  <si>
    <t>Coates, Frida</t>
  </si>
  <si>
    <t>GA</t>
  </si>
  <si>
    <t>Zollars, Samuel</t>
  </si>
  <si>
    <t>Masterson, Timothy</t>
  </si>
  <si>
    <t>Silver 3000 $20 Generic</t>
  </si>
  <si>
    <t>Abel, Lisa</t>
  </si>
  <si>
    <t>Robles, Caroline</t>
  </si>
  <si>
    <t>Wuthrich, Terry</t>
  </si>
  <si>
    <t>Prescaro, Kimberly</t>
  </si>
  <si>
    <t>Burkett, Terri</t>
  </si>
  <si>
    <t>Gale, Nancy</t>
  </si>
  <si>
    <t>Beach, Sherry</t>
  </si>
  <si>
    <t>Stevanus, Christopher</t>
  </si>
  <si>
    <t>Rosa Serrano,</t>
  </si>
  <si>
    <t>Caresource 2025 - GA</t>
  </si>
  <si>
    <t>Caresource - WV</t>
  </si>
  <si>
    <t>Caresource - OH</t>
  </si>
  <si>
    <t>Caresource - OS</t>
  </si>
  <si>
    <t>Caresource - IN, NC</t>
  </si>
  <si>
    <t>[PMPM=2]</t>
  </si>
  <si>
    <t>Crowe, Gary</t>
  </si>
  <si>
    <t>Melvin, Tanner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</si>
</sst>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0.00"/>
    <numFmt numFmtId="165" formatCode="\$\ #,##0.00"/>
    <numFmt numFmtId="166" formatCode="\$\ 0.00"/>
    <numFmt numFmtId="167" formatCode="mm/dd/yyyy;@"/>
  </numFmts>
  <fonts count="12" x14ac:knownFonts="1">
    <font>
      <sz val="10"/>
      <color rgb="FF000000"/>
      <name val="Times New Roman"/>
      <charset val="204"/>
    </font>
    <font>
      <b/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vertAlign val="subscript"/>
      <sz val="9"/>
      <name val="Arial"/>
      <family val="2"/>
    </font>
    <font>
      <vertAlign val="superscript"/>
      <sz val="8"/>
      <name val="Arial"/>
      <family val="2"/>
    </font>
    <font>
      <vertAlign val="subscript"/>
      <sz val="8"/>
      <name val="Arial"/>
      <family val="2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5AA4EE"/>
      </patternFill>
    </fill>
    <fill>
      <patternFill patternType="solid">
        <fgColor rgb="FFCADACE"/>
      </patternFill>
    </fill>
    <fill>
      <patternFill patternType="solid">
        <fgColor rgb="FF92AA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center" vertical="top" wrapText="1"/>
    </xf>
    <xf numFmtId="165" fontId="5" fillId="0" borderId="1" xfId="0" applyNumberFormat="1" applyFont="1" applyBorder="1" applyAlignment="1">
      <alignment horizontal="left" vertical="top" indent="1" shrinkToFit="1"/>
    </xf>
    <xf numFmtId="10" fontId="5" fillId="0" borderId="1" xfId="0" applyNumberFormat="1" applyFont="1" applyBorder="1" applyAlignment="1">
      <alignment horizontal="right" vertical="top" shrinkToFit="1"/>
    </xf>
    <xf numFmtId="166" fontId="5" fillId="0" borderId="1" xfId="0" applyNumberFormat="1" applyFont="1" applyBorder="1" applyAlignment="1">
      <alignment horizontal="right" vertical="top" shrinkToFit="1"/>
    </xf>
    <xf numFmtId="166" fontId="5" fillId="0" borderId="1" xfId="0" applyNumberFormat="1" applyFont="1" applyBorder="1" applyAlignment="1">
      <alignment horizontal="center" vertical="top" shrinkToFit="1"/>
    </xf>
    <xf numFmtId="0" fontId="0" fillId="4" borderId="4" xfId="0" applyFill="1" applyBorder="1" applyAlignment="1">
      <alignment horizontal="left" wrapText="1"/>
    </xf>
    <xf numFmtId="0" fontId="1" fillId="4" borderId="4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 indent="3"/>
    </xf>
    <xf numFmtId="0" fontId="0" fillId="0" borderId="1" xfId="0" applyBorder="1" applyAlignment="1">
      <alignment horizontal="left" wrapText="1"/>
    </xf>
    <xf numFmtId="1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left" wrapText="1"/>
    </xf>
    <xf numFmtId="166" fontId="5" fillId="3" borderId="0" xfId="0" applyNumberFormat="1" applyFont="1" applyFill="1" applyAlignment="1">
      <alignment horizontal="left" vertical="top" indent="2" shrinkToFit="1"/>
    </xf>
    <xf numFmtId="10" fontId="5" fillId="3" borderId="0" xfId="0" applyNumberFormat="1" applyFont="1" applyFill="1" applyAlignment="1">
      <alignment horizontal="right" vertical="top" shrinkToFit="1"/>
    </xf>
    <xf numFmtId="166" fontId="5" fillId="3" borderId="0" xfId="0" applyNumberFormat="1" applyFont="1" applyFill="1" applyAlignment="1">
      <alignment horizontal="right" vertical="top" shrinkToFit="1"/>
    </xf>
    <xf numFmtId="166" fontId="5" fillId="3" borderId="0" xfId="0" applyNumberFormat="1" applyFont="1" applyFill="1" applyAlignment="1">
      <alignment horizontal="center" vertical="top" shrinkToFit="1"/>
    </xf>
    <xf numFmtId="1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left" vertical="top" indent="2" shrinkToFit="1"/>
    </xf>
    <xf numFmtId="10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right" vertical="top" shrinkToFit="1"/>
    </xf>
    <xf numFmtId="166" fontId="5" fillId="0" borderId="0" xfId="0" applyNumberFormat="1" applyFont="1" applyAlignment="1">
      <alignment horizontal="center" vertical="top" shrinkToFit="1"/>
    </xf>
    <xf numFmtId="165" fontId="5" fillId="3" borderId="0" xfId="0" applyNumberFormat="1" applyFont="1" applyFill="1" applyAlignment="1">
      <alignment horizontal="left" vertical="top" indent="1" shrinkToFit="1"/>
    </xf>
    <xf numFmtId="165" fontId="5" fillId="0" borderId="0" xfId="0" applyNumberFormat="1" applyFont="1" applyAlignment="1">
      <alignment horizontal="left" vertical="top" indent="1" shrinkToFi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166" fontId="4" fillId="0" borderId="0" xfId="0" applyNumberFormat="1" applyFont="1" applyAlignment="1">
      <alignment horizontal="right" vertical="top" shrinkToFit="1"/>
    </xf>
    <xf numFmtId="1" fontId="5" fillId="3" borderId="0" xfId="0" applyNumberFormat="1" applyFont="1" applyFill="1" applyAlignment="1">
      <alignment horizontal="left" vertical="top" shrinkToFit="1"/>
    </xf>
    <xf numFmtId="165" fontId="5" fillId="3" borderId="0" xfId="0" applyNumberFormat="1" applyFont="1" applyFill="1" applyAlignment="1">
      <alignment horizontal="center" vertical="top" shrinkToFit="1"/>
    </xf>
    <xf numFmtId="1" fontId="5" fillId="0" borderId="0" xfId="0" applyNumberFormat="1" applyFont="1" applyAlignment="1">
      <alignment horizontal="left" vertical="top" shrinkToFit="1"/>
    </xf>
    <xf numFmtId="165" fontId="5" fillId="0" borderId="0" xfId="0" applyNumberFormat="1" applyFont="1" applyAlignment="1">
      <alignment horizontal="center" vertical="top" shrinkToFi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17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 indent="33"/>
    </xf>
    <xf numFmtId="0" fontId="3" fillId="0" borderId="0" xfId="0" applyFont="1" applyAlignment="1">
      <alignment horizontal="left" vertical="center" wrapText="1" indent="44"/>
    </xf>
    <xf numFmtId="164" fontId="4" fillId="0" borderId="0" xfId="0" applyNumberFormat="1" applyFont="1" applyAlignment="1">
      <alignment horizontal="right" vertical="top" shrinkToFit="1"/>
    </xf>
    <xf numFmtId="0" fontId="2" fillId="3" borderId="0" xfId="0" applyFont="1" applyFill="1" applyAlignment="1">
      <alignment horizontal="left" vertical="top" wrapText="1"/>
    </xf>
    <xf numFmtId="164" fontId="4" fillId="3" borderId="0" xfId="0" applyNumberFormat="1" applyFont="1" applyFill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0" fontId="1" fillId="2" borderId="2" xfId="0" applyFont="1" applyFill="1" applyBorder="1" applyAlignment="1">
      <alignment horizontal="left" vertical="top" wrapText="1" indent="1"/>
    </xf>
    <xf numFmtId="0" fontId="1" fillId="4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left" wrapText="1"/>
    </xf>
    <xf numFmtId="0" fontId="0" fillId="0" borderId="4" xfId="0" applyBorder="1" applyAlignment="1">
      <alignment horizontal="left" vertical="center" wrapText="1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6" fillId="0" borderId="1" xfId="0" applyFont="1" applyBorder="1" applyAlignment="1">
      <alignment horizontal="center" vertical="top" wrapText="1"/>
    </xf>
    <xf numFmtId="166" fontId="5" fillId="0" borderId="1" xfId="0" applyNumberFormat="1" applyFont="1" applyBorder="1" applyAlignment="1">
      <alignment horizontal="right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left" vertical="top" wrapText="1" indent="23"/>
    </xf>
    <xf numFmtId="0" fontId="0" fillId="4" borderId="4" xfId="0" applyFill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wrapText="1"/>
    </xf>
    <xf numFmtId="0" fontId="6" fillId="3" borderId="0" xfId="0" applyFont="1" applyFill="1" applyAlignment="1">
      <alignment horizontal="left" vertical="top" wrapText="1"/>
    </xf>
    <xf numFmtId="167" fontId="5" fillId="3" borderId="0" xfId="0" applyNumberFormat="1" applyFont="1" applyFill="1" applyAlignment="1">
      <alignment horizontal="center" vertical="top" shrinkToFit="1"/>
    </xf>
    <xf numFmtId="0" fontId="6" fillId="3" borderId="0" xfId="0" applyFont="1" applyFill="1" applyAlignment="1">
      <alignment horizontal="center" vertical="top" wrapText="1"/>
    </xf>
    <xf numFmtId="166" fontId="5" fillId="3" borderId="0" xfId="0" applyNumberFormat="1" applyFont="1" applyFill="1" applyAlignment="1">
      <alignment horizontal="right" vertical="top" shrinkToFit="1"/>
    </xf>
    <xf numFmtId="1" fontId="5" fillId="3" borderId="0" xfId="0" applyNumberFormat="1" applyFont="1" applyFill="1" applyAlignment="1">
      <alignment horizontal="center" vertical="top" shrinkToFit="1"/>
    </xf>
    <xf numFmtId="0" fontId="6" fillId="0" borderId="0" xfId="0" applyFont="1" applyAlignment="1">
      <alignment horizontal="left" vertical="top" wrapText="1"/>
    </xf>
    <xf numFmtId="167" fontId="5" fillId="0" borderId="0" xfId="0" applyNumberFormat="1" applyFont="1" applyAlignment="1">
      <alignment horizontal="center" vertical="top" shrinkToFit="1"/>
    </xf>
    <xf numFmtId="0" fontId="6" fillId="0" borderId="0" xfId="0" applyFont="1" applyAlignment="1">
      <alignment horizontal="center" vertical="top" wrapText="1"/>
    </xf>
    <xf numFmtId="166" fontId="5" fillId="0" borderId="0" xfId="0" applyNumberFormat="1" applyFont="1" applyAlignment="1">
      <alignment horizontal="right" vertical="top" shrinkToFit="1"/>
    </xf>
    <xf numFmtId="1" fontId="5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vertical="top" wrapText="1" indent="26"/>
    </xf>
    <xf numFmtId="0" fontId="2" fillId="0" borderId="0" xfId="0" applyFont="1" applyAlignment="1">
      <alignment horizontal="left" vertical="top" wrapText="1" indent="13"/>
    </xf>
    <xf numFmtId="0" fontId="2" fillId="0" borderId="0" xfId="0" applyFont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top" shrinkToFit="1"/>
    </xf>
    <xf numFmtId="0" fontId="2" fillId="0" borderId="0" xfId="0" applyFont="1" applyAlignment="1">
      <alignment horizontal="left" wrapText="1" indent="13"/>
    </xf>
    <xf numFmtId="0" fontId="2" fillId="0" borderId="0" xfId="0" applyFont="1" applyAlignment="1">
      <alignment horizontal="left" vertical="top" wrapText="1" indent="11"/>
    </xf>
    <xf numFmtId="0" fontId="2" fillId="0" borderId="0" xfId="0" applyFont="1" applyAlignment="1">
      <alignment horizontal="left" vertical="top" wrapText="1" indent="5"/>
    </xf>
    <xf numFmtId="0" fontId="2" fillId="0" borderId="1" xfId="0" applyFont="1" applyBorder="1" applyAlignment="1">
      <alignment horizontal="right" vertical="center" wrapText="1"/>
    </xf>
    <xf numFmtId="0" fontId="6" fillId="3" borderId="0" xfId="0" applyFont="1" applyFill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2" fillId="0" borderId="0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wrapText="1"/>
    </xf>
    <xf numFmtId="1" fontId="6" fillId="0" borderId="0" xfId="0" applyNumberFormat="1" applyFont="1" applyFill="1" applyBorder="1" applyAlignment="1">
      <alignment horizontal="left" vertical="top" shrinkToFit="1"/>
    </xf>
    <xf numFmtId="0" fontId="2" fillId="0" borderId="0" xfId="0" applyFont="1" applyFill="1" applyBorder="1" applyAlignment="1">
      <alignment horizontal="left" vertical="top" wrapText="1"/>
    </xf>
    <xf numFmtId="165" fontId="6" fillId="0" borderId="0" xfId="0" applyNumberFormat="1" applyFont="1" applyFill="1" applyBorder="1" applyAlignment="1">
      <alignment horizontal="left" vertical="top" shrinkToFit="1"/>
    </xf>
    <xf numFmtId="10" fontId="6" fillId="0" borderId="0" xfId="0" applyNumberFormat="1" applyFont="1" applyFill="1" applyBorder="1" applyAlignment="1">
      <alignment horizontal="left" vertical="top" shrinkToFit="1"/>
    </xf>
    <xf numFmtId="166" fontId="6" fillId="0" borderId="0" xfId="0" applyNumberFormat="1" applyFont="1" applyFill="1" applyBorder="1" applyAlignment="1">
      <alignment horizontal="left" vertical="top" shrinkToFit="1"/>
    </xf>
    <xf numFmtId="167" fontId="6" fillId="0" borderId="0" xfId="0" applyNumberFormat="1" applyFont="1" applyFill="1" applyBorder="1" applyAlignment="1">
      <alignment horizontal="left" vertical="top" shrinkToFit="1"/>
    </xf>
    <xf numFmtId="14" fontId="6" fillId="0" borderId="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241300</xdr:colOff>
      <xdr:row>4</xdr:row>
      <xdr:rowOff>101600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241300</xdr:colOff>
      <xdr:row>0</xdr:row>
      <xdr:rowOff>0</xdr:rowOff>
    </xdr:from>
    <xdr:ext cx="10795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301F633C-81DF-439A-817B-6A8E7F3B398B}"/>
            </a:ext>
          </a:extLst>
        </xdr:cNvPr>
        <xdr:cNvSpPr/>
      </xdr:nvSpPr>
      <xdr:spPr>
        <a:xfrm>
          <a:off x="6975475" y="1044575"/>
          <a:ext cx="1079500" cy="0"/>
        </a:xfrm>
        <a:custGeom>
          <a:avLst/>
          <a:gdLst/>
          <a:ahLst/>
          <a:cxnLst/>
          <a:rect l="0" t="0" r="0" b="0"/>
          <a:pathLst>
            <a:path w="1079500">
              <a:moveTo>
                <a:pt x="0" y="0"/>
              </a:moveTo>
              <a:lnTo>
                <a:pt x="107950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"/>
  <sheetViews>
    <sheetView workbookViewId="0">
      <selection sqref="A1:XFD1048576"/>
    </sheetView>
  </sheetViews>
  <sheetFormatPr defaultRowHeight="12.75" x14ac:dyDescent="0.2"/>
  <cols>
    <col min="1" max="1" width="11.5" customWidth="1"/>
    <col min="2" max="2" width="20.83203125" customWidth="1"/>
    <col min="3" max="3" width="4.6640625" customWidth="1"/>
    <col min="4" max="4" width="18.6640625" customWidth="1"/>
    <col min="5" max="5" width="8" customWidth="1"/>
    <col min="6" max="7" width="5.83203125" customWidth="1"/>
    <col min="8" max="8" width="12.6640625" customWidth="1"/>
    <col min="9" max="9" width="8" customWidth="1"/>
    <col min="10" max="10" width="3.33203125" customWidth="1"/>
    <col min="11" max="11" width="5.83203125" customWidth="1"/>
    <col min="12" max="12" width="12.6640625" customWidth="1"/>
    <col min="13" max="13" width="10.5" customWidth="1"/>
    <col min="14" max="14" width="5.83203125" customWidth="1"/>
    <col min="15" max="15" width="8" customWidth="1"/>
    <col min="16" max="16" width="1.1640625" customWidth="1"/>
    <col min="17" max="17" width="8" customWidth="1"/>
    <col min="18" max="18" width="12.6640625" customWidth="1"/>
    <col min="19" max="19" width="9.33203125" customWidth="1"/>
    <col min="20" max="20" width="2.1640625" customWidth="1"/>
    <col min="21" max="21" width="9.33203125" customWidth="1"/>
    <col min="22" max="22" width="14" customWidth="1"/>
    <col min="23" max="23" width="10.5" customWidth="1"/>
    <col min="24" max="24" width="15.1640625" customWidth="1"/>
    <col min="25" max="25" width="4.6640625" customWidth="1"/>
  </cols>
  <sheetData>
    <row r="1" spans="1:25" ht="14.45" customHeight="1" x14ac:dyDescent="0.2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2"/>
      <c r="V1" s="52"/>
      <c r="W1" s="52"/>
      <c r="X1" s="52"/>
      <c r="Y1" s="52"/>
    </row>
    <row r="2" spans="1:25" ht="20.45" customHeight="1" x14ac:dyDescent="0.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4" t="s">
        <v>1</v>
      </c>
      <c r="P2" s="54"/>
      <c r="Q2" s="54"/>
      <c r="R2" s="54"/>
      <c r="S2" s="54"/>
      <c r="T2" s="54"/>
      <c r="U2" s="54"/>
      <c r="V2" s="54"/>
      <c r="W2" s="54"/>
      <c r="X2" s="54"/>
      <c r="Y2" s="54"/>
    </row>
    <row r="3" spans="1:25" ht="34.5" customHeight="1" x14ac:dyDescent="0.2">
      <c r="A3" s="55" t="s">
        <v>2</v>
      </c>
      <c r="B3" s="55"/>
      <c r="C3" s="55"/>
      <c r="D3" s="55"/>
      <c r="E3" s="55"/>
      <c r="F3" s="55"/>
      <c r="G3" s="53"/>
      <c r="H3" s="53"/>
      <c r="I3" s="53"/>
      <c r="J3" s="53"/>
      <c r="K3" s="53"/>
      <c r="L3" s="53"/>
      <c r="M3" s="53"/>
      <c r="N3" s="53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</row>
    <row r="4" spans="1:25" ht="5.25" customHeight="1" x14ac:dyDescent="0.2">
      <c r="A4" s="55"/>
      <c r="B4" s="55"/>
      <c r="C4" s="55"/>
      <c r="D4" s="55"/>
      <c r="E4" s="55"/>
      <c r="F4" s="55"/>
      <c r="G4" s="52"/>
      <c r="H4" s="52"/>
      <c r="I4" s="52"/>
      <c r="J4" s="52"/>
      <c r="K4" s="52"/>
      <c r="L4" s="52"/>
      <c r="M4" s="52"/>
      <c r="N4" s="52"/>
      <c r="O4" s="1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spans="1:25" ht="20.45" customHeight="1" x14ac:dyDescent="0.2">
      <c r="A5" s="53"/>
      <c r="B5" s="53"/>
      <c r="C5" s="53"/>
      <c r="D5" s="53"/>
      <c r="E5" s="53"/>
      <c r="F5" s="53"/>
      <c r="G5" s="56" t="s">
        <v>3</v>
      </c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</row>
    <row r="6" spans="1:25" ht="30.95" customHeight="1" x14ac:dyDescent="0.2">
      <c r="A6" s="57" t="s">
        <v>4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</row>
    <row r="7" spans="1:25" ht="43.5" customHeight="1" x14ac:dyDescent="0.2">
      <c r="A7" s="58" t="s">
        <v>5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</row>
    <row r="8" spans="1:25" ht="12.95" customHeight="1" x14ac:dyDescent="0.2">
      <c r="A8" s="52"/>
      <c r="B8" s="52"/>
      <c r="C8" s="52"/>
      <c r="D8" s="56" t="s">
        <v>6</v>
      </c>
      <c r="E8" s="56"/>
      <c r="F8" s="56"/>
      <c r="G8" s="56"/>
      <c r="H8" s="56"/>
      <c r="I8" s="56"/>
      <c r="J8" s="56"/>
      <c r="K8" s="59">
        <v>0</v>
      </c>
      <c r="L8" s="59"/>
      <c r="M8" s="59"/>
      <c r="N8" s="59"/>
      <c r="O8" s="59"/>
      <c r="P8" s="52"/>
      <c r="Q8" s="52"/>
      <c r="R8" s="52"/>
      <c r="S8" s="52"/>
      <c r="T8" s="52"/>
      <c r="U8" s="52"/>
      <c r="V8" s="52"/>
      <c r="W8" s="52"/>
      <c r="X8" s="52"/>
      <c r="Y8" s="52"/>
    </row>
    <row r="9" spans="1:25" ht="12.95" customHeight="1" x14ac:dyDescent="0.2">
      <c r="A9" s="52"/>
      <c r="B9" s="52"/>
      <c r="C9" s="52"/>
      <c r="D9" s="60" t="s">
        <v>7</v>
      </c>
      <c r="E9" s="60"/>
      <c r="F9" s="60"/>
      <c r="G9" s="60"/>
      <c r="H9" s="60"/>
      <c r="I9" s="60"/>
      <c r="J9" s="60"/>
      <c r="K9" s="61">
        <v>801.17</v>
      </c>
      <c r="L9" s="61"/>
      <c r="M9" s="61"/>
      <c r="N9" s="61"/>
      <c r="O9" s="61"/>
      <c r="P9" s="52"/>
      <c r="Q9" s="52"/>
      <c r="R9" s="52"/>
      <c r="S9" s="52"/>
      <c r="T9" s="52"/>
      <c r="U9" s="52"/>
      <c r="V9" s="52"/>
      <c r="W9" s="52"/>
      <c r="X9" s="52"/>
      <c r="Y9" s="52"/>
    </row>
    <row r="10" spans="1:25" ht="12.95" customHeight="1" x14ac:dyDescent="0.2">
      <c r="A10" s="52"/>
      <c r="B10" s="52"/>
      <c r="C10" s="52"/>
      <c r="D10" s="56" t="s">
        <v>8</v>
      </c>
      <c r="E10" s="56"/>
      <c r="F10" s="56"/>
      <c r="G10" s="56"/>
      <c r="H10" s="56"/>
      <c r="I10" s="56"/>
      <c r="J10" s="56"/>
      <c r="K10" s="59">
        <v>0</v>
      </c>
      <c r="L10" s="59"/>
      <c r="M10" s="59"/>
      <c r="N10" s="59"/>
      <c r="O10" s="59"/>
      <c r="P10" s="52"/>
      <c r="Q10" s="52"/>
      <c r="R10" s="52"/>
      <c r="S10" s="52"/>
      <c r="T10" s="52"/>
      <c r="U10" s="52"/>
      <c r="V10" s="52"/>
      <c r="W10" s="52"/>
      <c r="X10" s="52"/>
      <c r="Y10" s="52"/>
    </row>
    <row r="11" spans="1:25" ht="12.95" customHeight="1" x14ac:dyDescent="0.2">
      <c r="A11" s="52"/>
      <c r="B11" s="52"/>
      <c r="C11" s="52"/>
      <c r="D11" s="60" t="s">
        <v>9</v>
      </c>
      <c r="E11" s="60"/>
      <c r="F11" s="60"/>
      <c r="G11" s="60"/>
      <c r="H11" s="60"/>
      <c r="I11" s="60"/>
      <c r="J11" s="60"/>
      <c r="K11" s="61">
        <v>0</v>
      </c>
      <c r="L11" s="61"/>
      <c r="M11" s="61"/>
      <c r="N11" s="61"/>
      <c r="O11" s="61"/>
      <c r="P11" s="52"/>
      <c r="Q11" s="52"/>
      <c r="R11" s="52"/>
      <c r="S11" s="52"/>
      <c r="T11" s="52"/>
      <c r="U11" s="52"/>
      <c r="V11" s="52"/>
      <c r="W11" s="52"/>
      <c r="X11" s="52"/>
      <c r="Y11" s="52"/>
    </row>
    <row r="12" spans="1:25" ht="17.100000000000001" customHeight="1" x14ac:dyDescent="0.2">
      <c r="A12" s="52"/>
      <c r="B12" s="52"/>
      <c r="C12" s="52"/>
      <c r="D12" s="56" t="s">
        <v>10</v>
      </c>
      <c r="E12" s="56"/>
      <c r="F12" s="56"/>
      <c r="G12" s="56"/>
      <c r="H12" s="56"/>
      <c r="I12" s="56"/>
      <c r="J12" s="56"/>
      <c r="K12" s="62">
        <v>801.17</v>
      </c>
      <c r="L12" s="62"/>
      <c r="M12" s="62"/>
      <c r="N12" s="62"/>
      <c r="O12" s="6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 spans="1:25" ht="18" customHeight="1" x14ac:dyDescent="0.2">
      <c r="A13" s="52"/>
      <c r="B13" s="52"/>
      <c r="C13" s="52"/>
      <c r="D13" s="56" t="s">
        <v>11</v>
      </c>
      <c r="E13" s="56"/>
      <c r="F13" s="56"/>
      <c r="G13" s="56"/>
      <c r="H13" s="56"/>
      <c r="I13" s="56"/>
      <c r="J13" s="56"/>
      <c r="K13" s="59">
        <v>801.17</v>
      </c>
      <c r="L13" s="59"/>
      <c r="M13" s="59"/>
      <c r="N13" s="59"/>
      <c r="O13" s="59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5" ht="13.35" customHeight="1" x14ac:dyDescent="0.2">
      <c r="A14" s="52"/>
      <c r="B14" s="52"/>
      <c r="C14" s="52"/>
      <c r="D14" s="56" t="s">
        <v>12</v>
      </c>
      <c r="E14" s="56"/>
      <c r="F14" s="56"/>
      <c r="G14" s="56"/>
      <c r="H14" s="56"/>
      <c r="I14" s="56"/>
      <c r="J14" s="56"/>
      <c r="K14" s="59">
        <v>0</v>
      </c>
      <c r="L14" s="59"/>
      <c r="M14" s="59"/>
      <c r="N14" s="59"/>
      <c r="O14" s="59"/>
      <c r="P14" s="52"/>
      <c r="Q14" s="52"/>
      <c r="R14" s="52"/>
      <c r="S14" s="52"/>
      <c r="T14" s="52"/>
      <c r="U14" s="52"/>
      <c r="V14" s="52"/>
      <c r="W14" s="52"/>
      <c r="X14" s="52"/>
      <c r="Y14" s="52"/>
    </row>
    <row r="15" spans="1:25" ht="16.5" customHeight="1" x14ac:dyDescent="0.2">
      <c r="A15" s="63" t="s">
        <v>13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1"/>
    </row>
    <row r="16" spans="1:25" ht="14.25" customHeight="1" x14ac:dyDescent="0.2">
      <c r="A16" s="64" t="s">
        <v>14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1"/>
    </row>
    <row r="17" spans="1:25" ht="38.25" customHeight="1" x14ac:dyDescent="0.2">
      <c r="A17" s="5" t="s">
        <v>15</v>
      </c>
      <c r="B17" s="6" t="s">
        <v>16</v>
      </c>
      <c r="C17" s="65" t="s">
        <v>17</v>
      </c>
      <c r="D17" s="65"/>
      <c r="E17" s="66" t="s">
        <v>18</v>
      </c>
      <c r="F17" s="66"/>
      <c r="G17" s="66"/>
      <c r="H17" s="7" t="s">
        <v>19</v>
      </c>
      <c r="I17" s="5" t="s">
        <v>20</v>
      </c>
      <c r="J17" s="67" t="s">
        <v>21</v>
      </c>
      <c r="K17" s="67"/>
      <c r="L17" s="6" t="s">
        <v>22</v>
      </c>
      <c r="M17" s="7" t="s">
        <v>23</v>
      </c>
      <c r="N17" s="68" t="s">
        <v>24</v>
      </c>
      <c r="O17" s="68"/>
      <c r="P17" s="68"/>
      <c r="Q17" s="9" t="s">
        <v>25</v>
      </c>
      <c r="R17" s="10" t="s">
        <v>26</v>
      </c>
      <c r="S17" s="5" t="s">
        <v>27</v>
      </c>
      <c r="T17" s="69" t="s">
        <v>28</v>
      </c>
      <c r="U17" s="69"/>
      <c r="V17" s="11" t="s">
        <v>29</v>
      </c>
      <c r="W17" s="5" t="s">
        <v>30</v>
      </c>
      <c r="X17" s="11" t="s">
        <v>31</v>
      </c>
      <c r="Y17" s="3"/>
    </row>
    <row r="18" spans="1:25" ht="17.100000000000001" customHeight="1" x14ac:dyDescent="0.2">
      <c r="A18" s="12">
        <v>112399968</v>
      </c>
      <c r="B18" s="13" t="s">
        <v>32</v>
      </c>
      <c r="C18" s="70" t="s">
        <v>33</v>
      </c>
      <c r="D18" s="70"/>
      <c r="E18" s="71" t="s">
        <v>34</v>
      </c>
      <c r="F18" s="71"/>
      <c r="G18" s="71"/>
      <c r="H18" s="14"/>
      <c r="I18" s="15" t="s">
        <v>35</v>
      </c>
      <c r="J18" s="72" t="s">
        <v>36</v>
      </c>
      <c r="K18" s="72"/>
      <c r="L18" s="16">
        <v>1008.63</v>
      </c>
      <c r="M18" s="17">
        <v>0</v>
      </c>
      <c r="N18" s="73">
        <v>0</v>
      </c>
      <c r="O18" s="73"/>
      <c r="P18" s="73"/>
      <c r="Q18" s="19">
        <v>21</v>
      </c>
      <c r="R18" s="19">
        <v>0</v>
      </c>
      <c r="S18" s="19">
        <v>21</v>
      </c>
      <c r="T18" s="74">
        <v>1</v>
      </c>
      <c r="U18" s="74"/>
      <c r="V18" s="19">
        <v>21</v>
      </c>
      <c r="W18" s="15" t="s">
        <v>36</v>
      </c>
      <c r="X18" s="18">
        <v>21</v>
      </c>
      <c r="Y18" s="2"/>
    </row>
    <row r="19" spans="1:25" ht="21.95" customHeight="1" x14ac:dyDescent="0.2">
      <c r="A19" s="75" t="s">
        <v>37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2"/>
    </row>
    <row r="20" spans="1:25" ht="14.25" customHeight="1" x14ac:dyDescent="0.2">
      <c r="A20" s="20"/>
      <c r="B20" s="20"/>
      <c r="C20" s="76"/>
      <c r="D20" s="76"/>
      <c r="E20" s="20"/>
      <c r="F20" s="76"/>
      <c r="G20" s="76"/>
      <c r="H20" s="20"/>
      <c r="I20" s="20"/>
      <c r="J20" s="76"/>
      <c r="K20" s="76"/>
      <c r="L20" s="21" t="s">
        <v>38</v>
      </c>
      <c r="M20" s="20"/>
      <c r="N20" s="76"/>
      <c r="O20" s="76"/>
      <c r="P20" s="76"/>
      <c r="Q20" s="20"/>
      <c r="R20" s="20"/>
      <c r="S20" s="20"/>
      <c r="T20" s="76"/>
      <c r="U20" s="76"/>
      <c r="V20" s="20"/>
      <c r="W20" s="20"/>
      <c r="X20" s="20"/>
      <c r="Y20" s="1"/>
    </row>
    <row r="21" spans="1:25" ht="25.5" customHeight="1" x14ac:dyDescent="0.2">
      <c r="A21" s="14"/>
      <c r="B21" s="14"/>
      <c r="C21" s="77"/>
      <c r="D21" s="77"/>
      <c r="E21" s="14"/>
      <c r="F21" s="78" t="s">
        <v>39</v>
      </c>
      <c r="G21" s="78"/>
      <c r="H21" s="22" t="s">
        <v>40</v>
      </c>
      <c r="I21" s="14"/>
      <c r="J21" s="77"/>
      <c r="K21" s="77"/>
      <c r="L21" s="14"/>
      <c r="M21" s="23" t="s">
        <v>41</v>
      </c>
      <c r="N21" s="79" t="s">
        <v>42</v>
      </c>
      <c r="O21" s="79"/>
      <c r="P21" s="79"/>
      <c r="Q21" s="24" t="s">
        <v>43</v>
      </c>
      <c r="R21" s="24" t="s">
        <v>44</v>
      </c>
      <c r="S21" s="14"/>
      <c r="T21" s="78" t="s">
        <v>45</v>
      </c>
      <c r="U21" s="78"/>
      <c r="V21" s="24" t="s">
        <v>42</v>
      </c>
      <c r="W21" s="14"/>
      <c r="X21" s="24" t="s">
        <v>46</v>
      </c>
      <c r="Y21" s="2"/>
    </row>
    <row r="22" spans="1:25" ht="12.75" customHeight="1" x14ac:dyDescent="0.2">
      <c r="A22" s="11" t="s">
        <v>15</v>
      </c>
      <c r="B22" s="8" t="s">
        <v>16</v>
      </c>
      <c r="C22" s="68" t="s">
        <v>17</v>
      </c>
      <c r="D22" s="68"/>
      <c r="E22" s="11" t="s">
        <v>47</v>
      </c>
      <c r="F22" s="80" t="s">
        <v>48</v>
      </c>
      <c r="G22" s="80"/>
      <c r="H22" s="11" t="s">
        <v>48</v>
      </c>
      <c r="I22" s="11" t="s">
        <v>20</v>
      </c>
      <c r="J22" s="80" t="s">
        <v>21</v>
      </c>
      <c r="K22" s="80"/>
      <c r="L22" s="8" t="s">
        <v>22</v>
      </c>
      <c r="M22" s="8" t="s">
        <v>22</v>
      </c>
      <c r="N22" s="81" t="s">
        <v>22</v>
      </c>
      <c r="O22" s="81"/>
      <c r="P22" s="81"/>
      <c r="Q22" s="11" t="s">
        <v>27</v>
      </c>
      <c r="R22" s="11" t="s">
        <v>27</v>
      </c>
      <c r="S22" s="11" t="s">
        <v>27</v>
      </c>
      <c r="T22" s="80" t="s">
        <v>49</v>
      </c>
      <c r="U22" s="80"/>
      <c r="V22" s="11" t="s">
        <v>27</v>
      </c>
      <c r="W22" s="11" t="s">
        <v>30</v>
      </c>
      <c r="X22" s="25" t="s">
        <v>50</v>
      </c>
      <c r="Y22" s="2"/>
    </row>
    <row r="23" spans="1:25" ht="5.25" customHeight="1" x14ac:dyDescent="0.2">
      <c r="A23" s="26"/>
      <c r="B23" s="26"/>
      <c r="C23" s="82"/>
      <c r="D23" s="82"/>
      <c r="E23" s="26"/>
      <c r="F23" s="82"/>
      <c r="G23" s="82"/>
      <c r="H23" s="26"/>
      <c r="I23" s="26"/>
      <c r="J23" s="82"/>
      <c r="K23" s="82"/>
      <c r="L23" s="26"/>
      <c r="M23" s="26"/>
      <c r="N23" s="82"/>
      <c r="O23" s="82"/>
      <c r="P23" s="82"/>
      <c r="Q23" s="26"/>
      <c r="R23" s="26"/>
      <c r="S23" s="26"/>
      <c r="T23" s="82"/>
      <c r="U23" s="82"/>
      <c r="V23" s="26"/>
      <c r="W23" s="26"/>
      <c r="X23" s="26"/>
      <c r="Y23" s="1"/>
    </row>
    <row r="24" spans="1:25" ht="12" customHeight="1" x14ac:dyDescent="0.2">
      <c r="A24" s="27">
        <v>106737758</v>
      </c>
      <c r="B24" s="28" t="s">
        <v>51</v>
      </c>
      <c r="C24" s="83" t="s">
        <v>52</v>
      </c>
      <c r="D24" s="83"/>
      <c r="E24" s="29" t="s">
        <v>53</v>
      </c>
      <c r="F24" s="84">
        <v>45658</v>
      </c>
      <c r="G24" s="84"/>
      <c r="H24" s="30"/>
      <c r="I24" s="29" t="s">
        <v>35</v>
      </c>
      <c r="J24" s="85" t="s">
        <v>36</v>
      </c>
      <c r="K24" s="85"/>
      <c r="L24" s="31">
        <v>669.22</v>
      </c>
      <c r="M24" s="32">
        <v>0</v>
      </c>
      <c r="N24" s="86">
        <v>0</v>
      </c>
      <c r="O24" s="86"/>
      <c r="P24" s="86"/>
      <c r="Q24" s="34">
        <v>21</v>
      </c>
      <c r="R24" s="34">
        <v>0</v>
      </c>
      <c r="S24" s="34">
        <v>21</v>
      </c>
      <c r="T24" s="87">
        <v>1</v>
      </c>
      <c r="U24" s="87"/>
      <c r="V24" s="34">
        <v>21</v>
      </c>
      <c r="W24" s="29" t="s">
        <v>36</v>
      </c>
      <c r="X24" s="33">
        <v>21</v>
      </c>
      <c r="Y24" s="1"/>
    </row>
    <row r="25" spans="1:25" ht="12" customHeight="1" x14ac:dyDescent="0.2">
      <c r="A25" s="35">
        <v>110700972</v>
      </c>
      <c r="B25" s="36" t="s">
        <v>54</v>
      </c>
      <c r="C25" s="88" t="s">
        <v>55</v>
      </c>
      <c r="D25" s="88"/>
      <c r="E25" s="37" t="s">
        <v>56</v>
      </c>
      <c r="F25" s="89">
        <v>45658</v>
      </c>
      <c r="G25" s="89"/>
      <c r="H25" s="1"/>
      <c r="I25" s="37" t="s">
        <v>35</v>
      </c>
      <c r="J25" s="90" t="s">
        <v>36</v>
      </c>
      <c r="K25" s="90"/>
      <c r="L25" s="38">
        <v>808.72</v>
      </c>
      <c r="M25" s="39">
        <v>0</v>
      </c>
      <c r="N25" s="91">
        <v>0</v>
      </c>
      <c r="O25" s="91"/>
      <c r="P25" s="91"/>
      <c r="Q25" s="41">
        <v>20</v>
      </c>
      <c r="R25" s="41">
        <v>0</v>
      </c>
      <c r="S25" s="41">
        <v>20</v>
      </c>
      <c r="T25" s="92">
        <v>1</v>
      </c>
      <c r="U25" s="92"/>
      <c r="V25" s="41">
        <v>20</v>
      </c>
      <c r="W25" s="37" t="s">
        <v>36</v>
      </c>
      <c r="X25" s="40">
        <v>20</v>
      </c>
      <c r="Y25" s="1"/>
    </row>
    <row r="26" spans="1:25" ht="12" customHeight="1" x14ac:dyDescent="0.2">
      <c r="A26" s="27">
        <v>110701159</v>
      </c>
      <c r="B26" s="28" t="s">
        <v>57</v>
      </c>
      <c r="C26" s="83" t="s">
        <v>55</v>
      </c>
      <c r="D26" s="83"/>
      <c r="E26" s="29" t="s">
        <v>56</v>
      </c>
      <c r="F26" s="84">
        <v>45658</v>
      </c>
      <c r="G26" s="84"/>
      <c r="H26" s="30"/>
      <c r="I26" s="29" t="s">
        <v>35</v>
      </c>
      <c r="J26" s="85" t="s">
        <v>36</v>
      </c>
      <c r="K26" s="85"/>
      <c r="L26" s="42">
        <v>3867.62</v>
      </c>
      <c r="M26" s="32">
        <v>0</v>
      </c>
      <c r="N26" s="86">
        <v>0</v>
      </c>
      <c r="O26" s="86"/>
      <c r="P26" s="86"/>
      <c r="Q26" s="34">
        <v>20</v>
      </c>
      <c r="R26" s="34">
        <v>0</v>
      </c>
      <c r="S26" s="34">
        <v>20</v>
      </c>
      <c r="T26" s="87">
        <v>2</v>
      </c>
      <c r="U26" s="87"/>
      <c r="V26" s="34">
        <v>40</v>
      </c>
      <c r="W26" s="29" t="s">
        <v>36</v>
      </c>
      <c r="X26" s="33">
        <v>40</v>
      </c>
      <c r="Y26" s="1"/>
    </row>
    <row r="27" spans="1:25" ht="12" customHeight="1" x14ac:dyDescent="0.2">
      <c r="A27" s="35">
        <v>110809733</v>
      </c>
      <c r="B27" s="36" t="s">
        <v>58</v>
      </c>
      <c r="C27" s="88" t="s">
        <v>55</v>
      </c>
      <c r="D27" s="88"/>
      <c r="E27" s="37" t="s">
        <v>56</v>
      </c>
      <c r="F27" s="89">
        <v>45658</v>
      </c>
      <c r="G27" s="89"/>
      <c r="H27" s="1"/>
      <c r="I27" s="37" t="s">
        <v>35</v>
      </c>
      <c r="J27" s="90" t="s">
        <v>36</v>
      </c>
      <c r="K27" s="90"/>
      <c r="L27" s="43">
        <v>1588.94</v>
      </c>
      <c r="M27" s="39">
        <v>0</v>
      </c>
      <c r="N27" s="91">
        <v>0</v>
      </c>
      <c r="O27" s="91"/>
      <c r="P27" s="91"/>
      <c r="Q27" s="41">
        <v>20</v>
      </c>
      <c r="R27" s="41">
        <v>0</v>
      </c>
      <c r="S27" s="41">
        <v>20</v>
      </c>
      <c r="T27" s="92">
        <v>1</v>
      </c>
      <c r="U27" s="92"/>
      <c r="V27" s="41">
        <v>20</v>
      </c>
      <c r="W27" s="37" t="s">
        <v>36</v>
      </c>
      <c r="X27" s="40">
        <v>20</v>
      </c>
      <c r="Y27" s="1"/>
    </row>
    <row r="28" spans="1:25" ht="12.6" customHeight="1" x14ac:dyDescent="0.2">
      <c r="A28" s="27">
        <v>112319621</v>
      </c>
      <c r="B28" s="28" t="s">
        <v>59</v>
      </c>
      <c r="C28" s="83" t="s">
        <v>55</v>
      </c>
      <c r="D28" s="83"/>
      <c r="E28" s="29" t="s">
        <v>56</v>
      </c>
      <c r="F28" s="84">
        <v>45658</v>
      </c>
      <c r="G28" s="84"/>
      <c r="H28" s="30"/>
      <c r="I28" s="29" t="s">
        <v>35</v>
      </c>
      <c r="J28" s="85" t="s">
        <v>36</v>
      </c>
      <c r="K28" s="85"/>
      <c r="L28" s="42">
        <v>2907.12</v>
      </c>
      <c r="M28" s="32">
        <v>0</v>
      </c>
      <c r="N28" s="86">
        <v>0</v>
      </c>
      <c r="O28" s="86"/>
      <c r="P28" s="86"/>
      <c r="Q28" s="34">
        <v>20</v>
      </c>
      <c r="R28" s="34">
        <v>0</v>
      </c>
      <c r="S28" s="34">
        <v>20</v>
      </c>
      <c r="T28" s="87">
        <v>2</v>
      </c>
      <c r="U28" s="87"/>
      <c r="V28" s="34">
        <v>40</v>
      </c>
      <c r="W28" s="29" t="s">
        <v>36</v>
      </c>
      <c r="X28" s="33">
        <v>40</v>
      </c>
      <c r="Y28" s="1"/>
    </row>
    <row r="29" spans="1:25" ht="30" customHeight="1" x14ac:dyDescent="0.2">
      <c r="A29" s="93" t="s">
        <v>60</v>
      </c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</row>
    <row r="30" spans="1:25" ht="64.5" customHeight="1" x14ac:dyDescent="0.2">
      <c r="A30" s="94" t="s">
        <v>61</v>
      </c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</row>
    <row r="31" spans="1:25" ht="17.100000000000001" customHeight="1" x14ac:dyDescent="0.2">
      <c r="A31" s="63" t="s">
        <v>62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2"/>
    </row>
    <row r="32" spans="1:25" ht="14.25" customHeight="1" x14ac:dyDescent="0.2">
      <c r="A32" s="64" t="s">
        <v>38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1"/>
    </row>
    <row r="33" spans="1:25" ht="25.5" customHeight="1" x14ac:dyDescent="0.2">
      <c r="A33" s="53"/>
      <c r="B33" s="53"/>
      <c r="C33" s="53"/>
      <c r="D33" s="53"/>
      <c r="E33" s="53"/>
      <c r="F33" s="95" t="s">
        <v>39</v>
      </c>
      <c r="G33" s="95"/>
      <c r="H33" s="44" t="s">
        <v>40</v>
      </c>
      <c r="I33" s="2"/>
      <c r="J33" s="53"/>
      <c r="K33" s="53"/>
      <c r="L33" s="2"/>
      <c r="M33" s="45" t="s">
        <v>41</v>
      </c>
      <c r="N33" s="56" t="s">
        <v>42</v>
      </c>
      <c r="O33" s="56"/>
      <c r="P33" s="56"/>
      <c r="Q33" s="4" t="s">
        <v>43</v>
      </c>
      <c r="R33" s="4" t="s">
        <v>44</v>
      </c>
      <c r="S33" s="2"/>
      <c r="T33" s="95" t="s">
        <v>45</v>
      </c>
      <c r="U33" s="95"/>
      <c r="V33" s="4" t="s">
        <v>42</v>
      </c>
      <c r="W33" s="2"/>
      <c r="X33" s="4" t="s">
        <v>46</v>
      </c>
      <c r="Y33" s="2"/>
    </row>
    <row r="34" spans="1:25" ht="12.75" customHeight="1" x14ac:dyDescent="0.2">
      <c r="A34" s="11" t="s">
        <v>15</v>
      </c>
      <c r="B34" s="8" t="s">
        <v>16</v>
      </c>
      <c r="C34" s="68" t="s">
        <v>17</v>
      </c>
      <c r="D34" s="68"/>
      <c r="E34" s="11" t="s">
        <v>47</v>
      </c>
      <c r="F34" s="80" t="s">
        <v>48</v>
      </c>
      <c r="G34" s="80"/>
      <c r="H34" s="11" t="s">
        <v>48</v>
      </c>
      <c r="I34" s="11" t="s">
        <v>20</v>
      </c>
      <c r="J34" s="80" t="s">
        <v>21</v>
      </c>
      <c r="K34" s="80"/>
      <c r="L34" s="8" t="s">
        <v>22</v>
      </c>
      <c r="M34" s="8" t="s">
        <v>22</v>
      </c>
      <c r="N34" s="81" t="s">
        <v>22</v>
      </c>
      <c r="O34" s="81"/>
      <c r="P34" s="81"/>
      <c r="Q34" s="11" t="s">
        <v>27</v>
      </c>
      <c r="R34" s="11" t="s">
        <v>27</v>
      </c>
      <c r="S34" s="11" t="s">
        <v>27</v>
      </c>
      <c r="T34" s="80" t="s">
        <v>49</v>
      </c>
      <c r="U34" s="80"/>
      <c r="V34" s="11" t="s">
        <v>27</v>
      </c>
      <c r="W34" s="11" t="s">
        <v>30</v>
      </c>
      <c r="X34" s="25" t="s">
        <v>50</v>
      </c>
      <c r="Y34" s="2"/>
    </row>
    <row r="35" spans="1:25" ht="22.5" customHeight="1" x14ac:dyDescent="0.2">
      <c r="A35" s="12">
        <v>111320863</v>
      </c>
      <c r="B35" s="13" t="s">
        <v>63</v>
      </c>
      <c r="C35" s="70" t="s">
        <v>64</v>
      </c>
      <c r="D35" s="70"/>
      <c r="E35" s="15" t="s">
        <v>56</v>
      </c>
      <c r="F35" s="96">
        <v>45658</v>
      </c>
      <c r="G35" s="96"/>
      <c r="H35" s="14"/>
      <c r="I35" s="15" t="s">
        <v>35</v>
      </c>
      <c r="J35" s="72" t="s">
        <v>36</v>
      </c>
      <c r="K35" s="72"/>
      <c r="L35" s="16">
        <v>1905.74</v>
      </c>
      <c r="M35" s="17">
        <v>0</v>
      </c>
      <c r="N35" s="73">
        <v>0</v>
      </c>
      <c r="O35" s="73"/>
      <c r="P35" s="73"/>
      <c r="Q35" s="19">
        <v>20</v>
      </c>
      <c r="R35" s="19">
        <v>0</v>
      </c>
      <c r="S35" s="19">
        <v>20</v>
      </c>
      <c r="T35" s="74">
        <v>1</v>
      </c>
      <c r="U35" s="74"/>
      <c r="V35" s="19">
        <v>20</v>
      </c>
      <c r="W35" s="15" t="s">
        <v>36</v>
      </c>
      <c r="X35" s="18">
        <v>20</v>
      </c>
      <c r="Y35" s="2"/>
    </row>
    <row r="36" spans="1:25" ht="12.75" customHeight="1" x14ac:dyDescent="0.2">
      <c r="A36" s="93" t="s">
        <v>65</v>
      </c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</row>
    <row r="37" spans="1:25" ht="203.45" customHeight="1" x14ac:dyDescent="0.2">
      <c r="A37" s="97" t="s">
        <v>66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</row>
    <row r="38" spans="1:25" ht="17.100000000000001" customHeight="1" x14ac:dyDescent="0.2">
      <c r="A38" s="63" t="s">
        <v>67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2"/>
    </row>
    <row r="39" spans="1:25" ht="14.25" customHeight="1" x14ac:dyDescent="0.2">
      <c r="A39" s="64" t="s">
        <v>38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1"/>
    </row>
    <row r="40" spans="1:25" ht="38.25" customHeight="1" x14ac:dyDescent="0.2">
      <c r="A40" s="5" t="s">
        <v>15</v>
      </c>
      <c r="B40" s="6" t="s">
        <v>16</v>
      </c>
      <c r="C40" s="65" t="s">
        <v>17</v>
      </c>
      <c r="D40" s="65"/>
      <c r="E40" s="5" t="s">
        <v>47</v>
      </c>
      <c r="F40" s="69" t="s">
        <v>68</v>
      </c>
      <c r="G40" s="69"/>
      <c r="H40" s="7" t="s">
        <v>19</v>
      </c>
      <c r="I40" s="5" t="s">
        <v>20</v>
      </c>
      <c r="J40" s="67" t="s">
        <v>21</v>
      </c>
      <c r="K40" s="67"/>
      <c r="L40" s="6" t="s">
        <v>22</v>
      </c>
      <c r="M40" s="7" t="s">
        <v>23</v>
      </c>
      <c r="N40" s="68" t="s">
        <v>24</v>
      </c>
      <c r="O40" s="68"/>
      <c r="P40" s="68"/>
      <c r="Q40" s="9" t="s">
        <v>25</v>
      </c>
      <c r="R40" s="10" t="s">
        <v>26</v>
      </c>
      <c r="S40" s="5" t="s">
        <v>27</v>
      </c>
      <c r="T40" s="69" t="s">
        <v>28</v>
      </c>
      <c r="U40" s="69"/>
      <c r="V40" s="11" t="s">
        <v>29</v>
      </c>
      <c r="W40" s="5" t="s">
        <v>30</v>
      </c>
      <c r="X40" s="11" t="s">
        <v>31</v>
      </c>
      <c r="Y40" s="3"/>
    </row>
    <row r="41" spans="1:25" ht="5.25" customHeight="1" x14ac:dyDescent="0.2">
      <c r="A41" s="26"/>
      <c r="B41" s="26"/>
      <c r="C41" s="82"/>
      <c r="D41" s="82"/>
      <c r="E41" s="26"/>
      <c r="F41" s="82"/>
      <c r="G41" s="82"/>
      <c r="H41" s="26"/>
      <c r="I41" s="26"/>
      <c r="J41" s="82"/>
      <c r="K41" s="82"/>
      <c r="L41" s="26"/>
      <c r="M41" s="26"/>
      <c r="N41" s="82"/>
      <c r="O41" s="82"/>
      <c r="P41" s="82"/>
      <c r="Q41" s="26"/>
      <c r="R41" s="26"/>
      <c r="S41" s="26"/>
      <c r="T41" s="82"/>
      <c r="U41" s="82"/>
      <c r="V41" s="26"/>
      <c r="W41" s="26"/>
      <c r="X41" s="26"/>
      <c r="Y41" s="1"/>
    </row>
    <row r="42" spans="1:25" ht="12" customHeight="1" x14ac:dyDescent="0.2">
      <c r="A42" s="27">
        <v>111034361</v>
      </c>
      <c r="B42" s="28" t="s">
        <v>69</v>
      </c>
      <c r="C42" s="83" t="s">
        <v>64</v>
      </c>
      <c r="D42" s="83"/>
      <c r="E42" s="29" t="s">
        <v>70</v>
      </c>
      <c r="F42" s="84">
        <v>45658</v>
      </c>
      <c r="G42" s="84"/>
      <c r="H42" s="30"/>
      <c r="I42" s="29" t="s">
        <v>35</v>
      </c>
      <c r="J42" s="85" t="s">
        <v>36</v>
      </c>
      <c r="K42" s="85"/>
      <c r="L42" s="42">
        <v>1128.1500000000001</v>
      </c>
      <c r="M42" s="32">
        <v>0</v>
      </c>
      <c r="N42" s="86">
        <v>0</v>
      </c>
      <c r="O42" s="86"/>
      <c r="P42" s="86"/>
      <c r="Q42" s="34">
        <v>24</v>
      </c>
      <c r="R42" s="34">
        <v>0</v>
      </c>
      <c r="S42" s="34">
        <v>24</v>
      </c>
      <c r="T42" s="87">
        <v>1</v>
      </c>
      <c r="U42" s="87"/>
      <c r="V42" s="34">
        <v>24</v>
      </c>
      <c r="W42" s="29" t="s">
        <v>36</v>
      </c>
      <c r="X42" s="33">
        <v>24</v>
      </c>
      <c r="Y42" s="1"/>
    </row>
    <row r="43" spans="1:25" ht="17.45" customHeight="1" x14ac:dyDescent="0.2">
      <c r="A43" s="35">
        <v>111183328</v>
      </c>
      <c r="B43" s="36" t="s">
        <v>71</v>
      </c>
      <c r="C43" s="88" t="s">
        <v>72</v>
      </c>
      <c r="D43" s="88"/>
      <c r="E43" s="37" t="s">
        <v>70</v>
      </c>
      <c r="F43" s="89">
        <v>45658</v>
      </c>
      <c r="G43" s="89"/>
      <c r="H43" s="2"/>
      <c r="I43" s="37" t="s">
        <v>35</v>
      </c>
      <c r="J43" s="90" t="s">
        <v>36</v>
      </c>
      <c r="K43" s="90"/>
      <c r="L43" s="43">
        <v>1030.9000000000001</v>
      </c>
      <c r="M43" s="39">
        <v>0</v>
      </c>
      <c r="N43" s="91">
        <v>0</v>
      </c>
      <c r="O43" s="91"/>
      <c r="P43" s="91"/>
      <c r="Q43" s="41">
        <v>24</v>
      </c>
      <c r="R43" s="41">
        <v>0</v>
      </c>
      <c r="S43" s="41">
        <v>24</v>
      </c>
      <c r="T43" s="92">
        <v>1</v>
      </c>
      <c r="U43" s="92"/>
      <c r="V43" s="41">
        <v>24</v>
      </c>
      <c r="W43" s="37" t="s">
        <v>36</v>
      </c>
      <c r="X43" s="40">
        <v>24</v>
      </c>
      <c r="Y43" s="2"/>
    </row>
    <row r="44" spans="1:25" ht="24.95" customHeight="1" x14ac:dyDescent="0.2">
      <c r="A44" s="93" t="s">
        <v>73</v>
      </c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</row>
    <row r="45" spans="1:25" ht="64.5" customHeight="1" x14ac:dyDescent="0.2">
      <c r="A45" s="98" t="s">
        <v>74</v>
      </c>
      <c r="B45" s="98"/>
      <c r="C45" s="98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</row>
    <row r="46" spans="1:25" ht="17.100000000000001" customHeight="1" x14ac:dyDescent="0.2">
      <c r="A46" s="63" t="s">
        <v>75</v>
      </c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2"/>
    </row>
    <row r="47" spans="1:25" ht="14.25" customHeight="1" x14ac:dyDescent="0.2">
      <c r="A47" s="64" t="s">
        <v>14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1"/>
    </row>
    <row r="48" spans="1:25" ht="38.25" customHeight="1" x14ac:dyDescent="0.2">
      <c r="A48" s="5" t="s">
        <v>15</v>
      </c>
      <c r="B48" s="6" t="s">
        <v>16</v>
      </c>
      <c r="C48" s="66" t="s">
        <v>76</v>
      </c>
      <c r="D48" s="66"/>
      <c r="E48" s="66"/>
      <c r="F48" s="66"/>
      <c r="G48" s="66"/>
      <c r="H48" s="7" t="s">
        <v>19</v>
      </c>
      <c r="I48" s="5" t="s">
        <v>20</v>
      </c>
      <c r="J48" s="67" t="s">
        <v>21</v>
      </c>
      <c r="K48" s="67"/>
      <c r="L48" s="6" t="s">
        <v>22</v>
      </c>
      <c r="M48" s="7" t="s">
        <v>23</v>
      </c>
      <c r="N48" s="68" t="s">
        <v>24</v>
      </c>
      <c r="O48" s="68"/>
      <c r="P48" s="68"/>
      <c r="Q48" s="9" t="s">
        <v>25</v>
      </c>
      <c r="R48" s="10" t="s">
        <v>26</v>
      </c>
      <c r="S48" s="5" t="s">
        <v>27</v>
      </c>
      <c r="T48" s="69" t="s">
        <v>28</v>
      </c>
      <c r="U48" s="69"/>
      <c r="V48" s="11" t="s">
        <v>29</v>
      </c>
      <c r="W48" s="5" t="s">
        <v>30</v>
      </c>
      <c r="X48" s="11" t="s">
        <v>31</v>
      </c>
      <c r="Y48" s="3"/>
    </row>
    <row r="49" spans="1:25" ht="5.25" customHeight="1" x14ac:dyDescent="0.2">
      <c r="A49" s="26"/>
      <c r="B49" s="26"/>
      <c r="C49" s="82"/>
      <c r="D49" s="82"/>
      <c r="E49" s="82"/>
      <c r="F49" s="82"/>
      <c r="G49" s="82"/>
      <c r="H49" s="26"/>
      <c r="I49" s="26"/>
      <c r="J49" s="82"/>
      <c r="K49" s="82"/>
      <c r="L49" s="26"/>
      <c r="M49" s="26"/>
      <c r="N49" s="82"/>
      <c r="O49" s="82"/>
      <c r="P49" s="82"/>
      <c r="Q49" s="26"/>
      <c r="R49" s="26"/>
      <c r="S49" s="26"/>
      <c r="T49" s="82"/>
      <c r="U49" s="82"/>
      <c r="V49" s="26"/>
      <c r="W49" s="26"/>
      <c r="X49" s="26"/>
      <c r="Y49" s="1"/>
    </row>
    <row r="50" spans="1:25" ht="12" customHeight="1" x14ac:dyDescent="0.2">
      <c r="A50" s="27">
        <v>112342893</v>
      </c>
      <c r="B50" s="28" t="s">
        <v>77</v>
      </c>
      <c r="C50" s="83" t="s">
        <v>78</v>
      </c>
      <c r="D50" s="83"/>
      <c r="E50" s="83"/>
      <c r="F50" s="83"/>
      <c r="G50" s="83"/>
      <c r="H50" s="30"/>
      <c r="I50" s="29" t="s">
        <v>35</v>
      </c>
      <c r="J50" s="85" t="s">
        <v>36</v>
      </c>
      <c r="K50" s="85"/>
      <c r="L50" s="31">
        <v>928.13</v>
      </c>
      <c r="M50" s="32">
        <v>0</v>
      </c>
      <c r="N50" s="86">
        <v>0</v>
      </c>
      <c r="O50" s="86"/>
      <c r="P50" s="86"/>
      <c r="Q50" s="34">
        <v>21</v>
      </c>
      <c r="R50" s="34">
        <v>0</v>
      </c>
      <c r="S50" s="34">
        <v>21</v>
      </c>
      <c r="T50" s="87">
        <v>1</v>
      </c>
      <c r="U50" s="87"/>
      <c r="V50" s="34">
        <v>21</v>
      </c>
      <c r="W50" s="29" t="s">
        <v>36</v>
      </c>
      <c r="X50" s="33">
        <v>21</v>
      </c>
      <c r="Y50" s="1"/>
    </row>
    <row r="51" spans="1:25" ht="14.1" customHeight="1" x14ac:dyDescent="0.2">
      <c r="A51" s="35">
        <v>112407726</v>
      </c>
      <c r="B51" s="36" t="s">
        <v>79</v>
      </c>
      <c r="C51" s="88" t="s">
        <v>80</v>
      </c>
      <c r="D51" s="88"/>
      <c r="E51" s="88"/>
      <c r="F51" s="88"/>
      <c r="G51" s="88"/>
      <c r="H51" s="1"/>
      <c r="I51" s="37" t="s">
        <v>35</v>
      </c>
      <c r="J51" s="90" t="s">
        <v>36</v>
      </c>
      <c r="K51" s="90"/>
      <c r="L51" s="38">
        <v>800.87</v>
      </c>
      <c r="M51" s="39">
        <v>0</v>
      </c>
      <c r="N51" s="91">
        <v>0</v>
      </c>
      <c r="O51" s="91"/>
      <c r="P51" s="91"/>
      <c r="Q51" s="41">
        <v>24</v>
      </c>
      <c r="R51" s="41">
        <v>0</v>
      </c>
      <c r="S51" s="41">
        <v>24</v>
      </c>
      <c r="T51" s="92">
        <v>2</v>
      </c>
      <c r="U51" s="92"/>
      <c r="V51" s="41">
        <v>48</v>
      </c>
      <c r="W51" s="37" t="s">
        <v>36</v>
      </c>
      <c r="X51" s="40">
        <v>48</v>
      </c>
      <c r="Y51" s="1"/>
    </row>
    <row r="52" spans="1:25" ht="20.100000000000001" customHeight="1" x14ac:dyDescent="0.2">
      <c r="A52" s="2"/>
      <c r="B52" s="2"/>
      <c r="C52" s="99" t="s">
        <v>81</v>
      </c>
      <c r="D52" s="99"/>
      <c r="E52" s="99"/>
      <c r="F52" s="99"/>
      <c r="G52" s="99"/>
      <c r="H52" s="2"/>
      <c r="I52" s="2"/>
      <c r="J52" s="53"/>
      <c r="K52" s="53"/>
      <c r="L52" s="2"/>
      <c r="M52" s="2"/>
      <c r="N52" s="53"/>
      <c r="O52" s="53"/>
      <c r="P52" s="53"/>
      <c r="Q52" s="2"/>
      <c r="R52" s="2"/>
      <c r="S52" s="2"/>
      <c r="T52" s="53"/>
      <c r="U52" s="53"/>
      <c r="V52" s="2"/>
      <c r="W52" s="2"/>
      <c r="X52" s="46">
        <v>69</v>
      </c>
      <c r="Y52" s="2"/>
    </row>
    <row r="53" spans="1:25" ht="14.25" customHeight="1" x14ac:dyDescent="0.2">
      <c r="A53" s="20"/>
      <c r="B53" s="20"/>
      <c r="C53" s="76"/>
      <c r="D53" s="76"/>
      <c r="E53" s="76"/>
      <c r="F53" s="76"/>
      <c r="G53" s="76"/>
      <c r="H53" s="20"/>
      <c r="I53" s="20"/>
      <c r="J53" s="76"/>
      <c r="K53" s="76"/>
      <c r="L53" s="21" t="s">
        <v>38</v>
      </c>
      <c r="M53" s="20"/>
      <c r="N53" s="76"/>
      <c r="O53" s="76"/>
      <c r="P53" s="76"/>
      <c r="Q53" s="20"/>
      <c r="R53" s="20"/>
      <c r="S53" s="20"/>
      <c r="T53" s="76"/>
      <c r="U53" s="76"/>
      <c r="V53" s="20"/>
      <c r="W53" s="20"/>
      <c r="X53" s="20"/>
      <c r="Y53" s="1"/>
    </row>
    <row r="54" spans="1:25" ht="25.5" customHeight="1" x14ac:dyDescent="0.2">
      <c r="A54" s="14"/>
      <c r="B54" s="14"/>
      <c r="C54" s="100" t="s">
        <v>39</v>
      </c>
      <c r="D54" s="100"/>
      <c r="E54" s="100"/>
      <c r="F54" s="100"/>
      <c r="G54" s="100"/>
      <c r="H54" s="22" t="s">
        <v>40</v>
      </c>
      <c r="I54" s="14"/>
      <c r="J54" s="77"/>
      <c r="K54" s="77"/>
      <c r="L54" s="14"/>
      <c r="M54" s="23" t="s">
        <v>41</v>
      </c>
      <c r="N54" s="79" t="s">
        <v>42</v>
      </c>
      <c r="O54" s="79"/>
      <c r="P54" s="79"/>
      <c r="Q54" s="24" t="s">
        <v>43</v>
      </c>
      <c r="R54" s="24" t="s">
        <v>44</v>
      </c>
      <c r="S54" s="14"/>
      <c r="T54" s="78" t="s">
        <v>45</v>
      </c>
      <c r="U54" s="78"/>
      <c r="V54" s="24" t="s">
        <v>42</v>
      </c>
      <c r="W54" s="14"/>
      <c r="X54" s="24" t="s">
        <v>46</v>
      </c>
      <c r="Y54" s="2"/>
    </row>
    <row r="55" spans="1:25" ht="12.75" customHeight="1" x14ac:dyDescent="0.2">
      <c r="A55" s="11" t="s">
        <v>15</v>
      </c>
      <c r="B55" s="8" t="s">
        <v>16</v>
      </c>
      <c r="C55" s="68" t="s">
        <v>82</v>
      </c>
      <c r="D55" s="68"/>
      <c r="E55" s="68"/>
      <c r="F55" s="68"/>
      <c r="G55" s="68"/>
      <c r="H55" s="11" t="s">
        <v>48</v>
      </c>
      <c r="I55" s="11" t="s">
        <v>20</v>
      </c>
      <c r="J55" s="80" t="s">
        <v>21</v>
      </c>
      <c r="K55" s="80"/>
      <c r="L55" s="8" t="s">
        <v>22</v>
      </c>
      <c r="M55" s="8" t="s">
        <v>22</v>
      </c>
      <c r="N55" s="81" t="s">
        <v>22</v>
      </c>
      <c r="O55" s="81"/>
      <c r="P55" s="81"/>
      <c r="Q55" s="11" t="s">
        <v>27</v>
      </c>
      <c r="R55" s="11" t="s">
        <v>27</v>
      </c>
      <c r="S55" s="11" t="s">
        <v>27</v>
      </c>
      <c r="T55" s="80" t="s">
        <v>49</v>
      </c>
      <c r="U55" s="80"/>
      <c r="V55" s="11" t="s">
        <v>27</v>
      </c>
      <c r="W55" s="11" t="s">
        <v>30</v>
      </c>
      <c r="X55" s="25" t="s">
        <v>50</v>
      </c>
      <c r="Y55" s="2"/>
    </row>
    <row r="56" spans="1:25" ht="11.45" customHeight="1" x14ac:dyDescent="0.2">
      <c r="A56" s="47">
        <v>109263551</v>
      </c>
      <c r="B56" s="28" t="s">
        <v>83</v>
      </c>
      <c r="C56" s="83" t="s">
        <v>84</v>
      </c>
      <c r="D56" s="83"/>
      <c r="E56" s="29" t="s">
        <v>70</v>
      </c>
      <c r="F56" s="84">
        <v>45658</v>
      </c>
      <c r="G56" s="84"/>
      <c r="H56" s="101" t="s">
        <v>35</v>
      </c>
      <c r="I56" s="101"/>
      <c r="J56" s="85" t="s">
        <v>36</v>
      </c>
      <c r="K56" s="85"/>
      <c r="L56" s="48">
        <v>2045.31</v>
      </c>
      <c r="M56" s="32">
        <v>0</v>
      </c>
      <c r="N56" s="86">
        <v>0</v>
      </c>
      <c r="O56" s="86"/>
      <c r="P56" s="86"/>
      <c r="Q56" s="34">
        <v>24</v>
      </c>
      <c r="R56" s="34">
        <v>0</v>
      </c>
      <c r="S56" s="34">
        <v>24</v>
      </c>
      <c r="T56" s="87">
        <v>2</v>
      </c>
      <c r="U56" s="87"/>
      <c r="V56" s="34">
        <v>48</v>
      </c>
      <c r="W56" s="29" t="s">
        <v>36</v>
      </c>
      <c r="X56" s="33">
        <v>48</v>
      </c>
      <c r="Y56" s="1"/>
    </row>
    <row r="57" spans="1:25" ht="12" customHeight="1" x14ac:dyDescent="0.2">
      <c r="A57" s="49">
        <v>109376890</v>
      </c>
      <c r="B57" s="36" t="s">
        <v>85</v>
      </c>
      <c r="C57" s="88" t="s">
        <v>52</v>
      </c>
      <c r="D57" s="88"/>
      <c r="E57" s="37" t="s">
        <v>53</v>
      </c>
      <c r="F57" s="89">
        <v>45658</v>
      </c>
      <c r="G57" s="89"/>
      <c r="H57" s="102" t="s">
        <v>35</v>
      </c>
      <c r="I57" s="102"/>
      <c r="J57" s="90" t="s">
        <v>36</v>
      </c>
      <c r="K57" s="90"/>
      <c r="L57" s="50">
        <v>1156.82</v>
      </c>
      <c r="M57" s="39">
        <v>0</v>
      </c>
      <c r="N57" s="91">
        <v>0</v>
      </c>
      <c r="O57" s="91"/>
      <c r="P57" s="91"/>
      <c r="Q57" s="41">
        <v>21</v>
      </c>
      <c r="R57" s="41">
        <v>0</v>
      </c>
      <c r="S57" s="41">
        <v>21</v>
      </c>
      <c r="T57" s="92">
        <v>1</v>
      </c>
      <c r="U57" s="92"/>
      <c r="V57" s="41">
        <v>21</v>
      </c>
      <c r="W57" s="37" t="s">
        <v>36</v>
      </c>
      <c r="X57" s="40">
        <v>21</v>
      </c>
      <c r="Y57" s="1"/>
    </row>
    <row r="58" spans="1:25" ht="12" customHeight="1" x14ac:dyDescent="0.2">
      <c r="A58" s="47">
        <v>109408841</v>
      </c>
      <c r="B58" s="28" t="s">
        <v>86</v>
      </c>
      <c r="C58" s="83" t="s">
        <v>52</v>
      </c>
      <c r="D58" s="83"/>
      <c r="E58" s="29" t="s">
        <v>53</v>
      </c>
      <c r="F58" s="84">
        <v>45658</v>
      </c>
      <c r="G58" s="84"/>
      <c r="H58" s="101" t="s">
        <v>35</v>
      </c>
      <c r="I58" s="101"/>
      <c r="J58" s="85" t="s">
        <v>36</v>
      </c>
      <c r="K58" s="85"/>
      <c r="L58" s="34">
        <v>809.07</v>
      </c>
      <c r="M58" s="32">
        <v>0</v>
      </c>
      <c r="N58" s="86">
        <v>0</v>
      </c>
      <c r="O58" s="86"/>
      <c r="P58" s="86"/>
      <c r="Q58" s="34">
        <v>21</v>
      </c>
      <c r="R58" s="34">
        <v>0</v>
      </c>
      <c r="S58" s="34">
        <v>21</v>
      </c>
      <c r="T58" s="87">
        <v>1</v>
      </c>
      <c r="U58" s="87"/>
      <c r="V58" s="34">
        <v>21</v>
      </c>
      <c r="W58" s="29" t="s">
        <v>36</v>
      </c>
      <c r="X58" s="33">
        <v>21</v>
      </c>
      <c r="Y58" s="1"/>
    </row>
    <row r="59" spans="1:25" ht="12" customHeight="1" x14ac:dyDescent="0.2">
      <c r="A59" s="49">
        <v>109839671</v>
      </c>
      <c r="B59" s="36" t="s">
        <v>87</v>
      </c>
      <c r="C59" s="88" t="s">
        <v>52</v>
      </c>
      <c r="D59" s="88"/>
      <c r="E59" s="37" t="s">
        <v>53</v>
      </c>
      <c r="F59" s="89">
        <v>45658</v>
      </c>
      <c r="G59" s="89"/>
      <c r="H59" s="102" t="s">
        <v>35</v>
      </c>
      <c r="I59" s="102"/>
      <c r="J59" s="90" t="s">
        <v>36</v>
      </c>
      <c r="K59" s="90"/>
      <c r="L59" s="41">
        <v>885.1</v>
      </c>
      <c r="M59" s="39">
        <v>0</v>
      </c>
      <c r="N59" s="91">
        <v>0</v>
      </c>
      <c r="O59" s="91"/>
      <c r="P59" s="91"/>
      <c r="Q59" s="41">
        <v>21</v>
      </c>
      <c r="R59" s="41">
        <v>0</v>
      </c>
      <c r="S59" s="41">
        <v>21</v>
      </c>
      <c r="T59" s="92">
        <v>1</v>
      </c>
      <c r="U59" s="92"/>
      <c r="V59" s="41">
        <v>21</v>
      </c>
      <c r="W59" s="37" t="s">
        <v>36</v>
      </c>
      <c r="X59" s="40">
        <v>21</v>
      </c>
      <c r="Y59" s="1"/>
    </row>
    <row r="60" spans="1:25" ht="12" customHeight="1" x14ac:dyDescent="0.2">
      <c r="A60" s="47">
        <v>110661324</v>
      </c>
      <c r="B60" s="28" t="s">
        <v>88</v>
      </c>
      <c r="C60" s="83" t="s">
        <v>52</v>
      </c>
      <c r="D60" s="83"/>
      <c r="E60" s="29" t="s">
        <v>89</v>
      </c>
      <c r="F60" s="84">
        <v>45658</v>
      </c>
      <c r="G60" s="84"/>
      <c r="H60" s="101" t="s">
        <v>35</v>
      </c>
      <c r="I60" s="101"/>
      <c r="J60" s="85" t="s">
        <v>36</v>
      </c>
      <c r="K60" s="85"/>
      <c r="L60" s="48">
        <v>1458.59</v>
      </c>
      <c r="M60" s="32">
        <v>0.04</v>
      </c>
      <c r="N60" s="86">
        <v>58.34</v>
      </c>
      <c r="O60" s="86"/>
      <c r="P60" s="86"/>
      <c r="Q60" s="34">
        <v>0</v>
      </c>
      <c r="R60" s="34">
        <v>0</v>
      </c>
      <c r="S60" s="34">
        <v>0</v>
      </c>
      <c r="T60" s="87">
        <v>2</v>
      </c>
      <c r="U60" s="87"/>
      <c r="V60" s="34">
        <v>0</v>
      </c>
      <c r="W60" s="29" t="s">
        <v>36</v>
      </c>
      <c r="X60" s="33">
        <v>58.34</v>
      </c>
      <c r="Y60" s="1"/>
    </row>
    <row r="61" spans="1:25" ht="12" customHeight="1" x14ac:dyDescent="0.2">
      <c r="A61" s="49">
        <v>110913614</v>
      </c>
      <c r="B61" s="36" t="s">
        <v>90</v>
      </c>
      <c r="C61" s="88" t="s">
        <v>33</v>
      </c>
      <c r="D61" s="88"/>
      <c r="E61" s="37" t="s">
        <v>70</v>
      </c>
      <c r="F61" s="89">
        <v>45658</v>
      </c>
      <c r="G61" s="89"/>
      <c r="H61" s="102" t="s">
        <v>35</v>
      </c>
      <c r="I61" s="102"/>
      <c r="J61" s="90" t="s">
        <v>36</v>
      </c>
      <c r="K61" s="90"/>
      <c r="L61" s="41">
        <v>815.39</v>
      </c>
      <c r="M61" s="39">
        <v>0</v>
      </c>
      <c r="N61" s="91">
        <v>0</v>
      </c>
      <c r="O61" s="91"/>
      <c r="P61" s="91"/>
      <c r="Q61" s="41">
        <v>24</v>
      </c>
      <c r="R61" s="41">
        <v>0</v>
      </c>
      <c r="S61" s="41">
        <v>24</v>
      </c>
      <c r="T61" s="92">
        <v>1</v>
      </c>
      <c r="U61" s="92"/>
      <c r="V61" s="41">
        <v>24</v>
      </c>
      <c r="W61" s="37" t="s">
        <v>36</v>
      </c>
      <c r="X61" s="40">
        <v>24</v>
      </c>
      <c r="Y61" s="1"/>
    </row>
    <row r="62" spans="1:25" ht="12" customHeight="1" x14ac:dyDescent="0.2">
      <c r="A62" s="47">
        <v>110987700</v>
      </c>
      <c r="B62" s="28" t="s">
        <v>91</v>
      </c>
      <c r="C62" s="83" t="s">
        <v>52</v>
      </c>
      <c r="D62" s="83"/>
      <c r="E62" s="29" t="s">
        <v>89</v>
      </c>
      <c r="F62" s="84">
        <v>45658</v>
      </c>
      <c r="G62" s="84"/>
      <c r="H62" s="101" t="s">
        <v>35</v>
      </c>
      <c r="I62" s="101"/>
      <c r="J62" s="85" t="s">
        <v>36</v>
      </c>
      <c r="K62" s="85"/>
      <c r="L62" s="48">
        <v>1108.54</v>
      </c>
      <c r="M62" s="32">
        <v>0.04</v>
      </c>
      <c r="N62" s="86">
        <v>44.34</v>
      </c>
      <c r="O62" s="86"/>
      <c r="P62" s="86"/>
      <c r="Q62" s="34">
        <v>0</v>
      </c>
      <c r="R62" s="34">
        <v>0</v>
      </c>
      <c r="S62" s="34">
        <v>0</v>
      </c>
      <c r="T62" s="87">
        <v>1</v>
      </c>
      <c r="U62" s="87"/>
      <c r="V62" s="34">
        <v>0</v>
      </c>
      <c r="W62" s="29" t="s">
        <v>36</v>
      </c>
      <c r="X62" s="33">
        <v>44.34</v>
      </c>
      <c r="Y62" s="1"/>
    </row>
    <row r="63" spans="1:25" ht="12" customHeight="1" x14ac:dyDescent="0.2">
      <c r="A63" s="49">
        <v>111057159</v>
      </c>
      <c r="B63" s="36" t="s">
        <v>92</v>
      </c>
      <c r="C63" s="88" t="s">
        <v>93</v>
      </c>
      <c r="D63" s="88"/>
      <c r="E63" s="37" t="s">
        <v>70</v>
      </c>
      <c r="F63" s="89">
        <v>45658</v>
      </c>
      <c r="G63" s="89"/>
      <c r="H63" s="102" t="s">
        <v>35</v>
      </c>
      <c r="I63" s="102"/>
      <c r="J63" s="90" t="s">
        <v>36</v>
      </c>
      <c r="K63" s="90"/>
      <c r="L63" s="41">
        <v>747.08</v>
      </c>
      <c r="M63" s="39">
        <v>0</v>
      </c>
      <c r="N63" s="91">
        <v>0</v>
      </c>
      <c r="O63" s="91"/>
      <c r="P63" s="91"/>
      <c r="Q63" s="41">
        <v>25</v>
      </c>
      <c r="R63" s="41">
        <v>0</v>
      </c>
      <c r="S63" s="41">
        <v>25</v>
      </c>
      <c r="T63" s="92">
        <v>1</v>
      </c>
      <c r="U63" s="92"/>
      <c r="V63" s="41">
        <v>25</v>
      </c>
      <c r="W63" s="37" t="s">
        <v>36</v>
      </c>
      <c r="X63" s="40">
        <v>25</v>
      </c>
      <c r="Y63" s="1"/>
    </row>
    <row r="64" spans="1:25" ht="12" customHeight="1" x14ac:dyDescent="0.2">
      <c r="A64" s="47">
        <v>111059989</v>
      </c>
      <c r="B64" s="28" t="s">
        <v>94</v>
      </c>
      <c r="C64" s="83" t="s">
        <v>33</v>
      </c>
      <c r="D64" s="83"/>
      <c r="E64" s="29" t="s">
        <v>70</v>
      </c>
      <c r="F64" s="84">
        <v>45658</v>
      </c>
      <c r="G64" s="84"/>
      <c r="H64" s="101" t="s">
        <v>35</v>
      </c>
      <c r="I64" s="101"/>
      <c r="J64" s="85" t="s">
        <v>36</v>
      </c>
      <c r="K64" s="85"/>
      <c r="L64" s="34">
        <v>901.31</v>
      </c>
      <c r="M64" s="32">
        <v>0</v>
      </c>
      <c r="N64" s="86">
        <v>0</v>
      </c>
      <c r="O64" s="86"/>
      <c r="P64" s="86"/>
      <c r="Q64" s="34">
        <v>24</v>
      </c>
      <c r="R64" s="34">
        <v>0</v>
      </c>
      <c r="S64" s="34">
        <v>24</v>
      </c>
      <c r="T64" s="87">
        <v>1</v>
      </c>
      <c r="U64" s="87"/>
      <c r="V64" s="34">
        <v>24</v>
      </c>
      <c r="W64" s="29" t="s">
        <v>36</v>
      </c>
      <c r="X64" s="33">
        <v>24</v>
      </c>
      <c r="Y64" s="1"/>
    </row>
    <row r="65" spans="1:25" ht="12" customHeight="1" x14ac:dyDescent="0.2">
      <c r="A65" s="49">
        <v>111102853</v>
      </c>
      <c r="B65" s="36" t="s">
        <v>95</v>
      </c>
      <c r="C65" s="88" t="s">
        <v>52</v>
      </c>
      <c r="D65" s="88"/>
      <c r="E65" s="37" t="s">
        <v>89</v>
      </c>
      <c r="F65" s="89">
        <v>45658</v>
      </c>
      <c r="G65" s="89"/>
      <c r="H65" s="102" t="s">
        <v>35</v>
      </c>
      <c r="I65" s="102"/>
      <c r="J65" s="90" t="s">
        <v>36</v>
      </c>
      <c r="K65" s="90"/>
      <c r="L65" s="41">
        <v>787.13</v>
      </c>
      <c r="M65" s="39">
        <v>0.04</v>
      </c>
      <c r="N65" s="91">
        <v>31.49</v>
      </c>
      <c r="O65" s="91"/>
      <c r="P65" s="91"/>
      <c r="Q65" s="41">
        <v>0</v>
      </c>
      <c r="R65" s="41">
        <v>0</v>
      </c>
      <c r="S65" s="41">
        <v>0</v>
      </c>
      <c r="T65" s="92">
        <v>1</v>
      </c>
      <c r="U65" s="92"/>
      <c r="V65" s="41">
        <v>0</v>
      </c>
      <c r="W65" s="37" t="s">
        <v>36</v>
      </c>
      <c r="X65" s="40">
        <v>31.49</v>
      </c>
      <c r="Y65" s="1"/>
    </row>
    <row r="66" spans="1:25" ht="12" customHeight="1" x14ac:dyDescent="0.2">
      <c r="A66" s="47">
        <v>111110447</v>
      </c>
      <c r="B66" s="28" t="s">
        <v>96</v>
      </c>
      <c r="C66" s="83" t="s">
        <v>52</v>
      </c>
      <c r="D66" s="83"/>
      <c r="E66" s="29" t="s">
        <v>70</v>
      </c>
      <c r="F66" s="84">
        <v>45658</v>
      </c>
      <c r="G66" s="84"/>
      <c r="H66" s="101" t="s">
        <v>35</v>
      </c>
      <c r="I66" s="101"/>
      <c r="J66" s="85" t="s">
        <v>36</v>
      </c>
      <c r="K66" s="85"/>
      <c r="L66" s="48">
        <v>1862.6</v>
      </c>
      <c r="M66" s="32">
        <v>0</v>
      </c>
      <c r="N66" s="86">
        <v>0</v>
      </c>
      <c r="O66" s="86"/>
      <c r="P66" s="86"/>
      <c r="Q66" s="34">
        <v>24</v>
      </c>
      <c r="R66" s="34">
        <v>0</v>
      </c>
      <c r="S66" s="34">
        <v>24</v>
      </c>
      <c r="T66" s="87">
        <v>2</v>
      </c>
      <c r="U66" s="87"/>
      <c r="V66" s="34">
        <v>48</v>
      </c>
      <c r="W66" s="29" t="s">
        <v>36</v>
      </c>
      <c r="X66" s="33">
        <v>48</v>
      </c>
      <c r="Y66" s="1"/>
    </row>
    <row r="67" spans="1:25" ht="12" customHeight="1" x14ac:dyDescent="0.2">
      <c r="A67" s="49">
        <v>111241629</v>
      </c>
      <c r="B67" s="36" t="s">
        <v>97</v>
      </c>
      <c r="C67" s="88" t="s">
        <v>55</v>
      </c>
      <c r="D67" s="88"/>
      <c r="E67" s="37" t="s">
        <v>70</v>
      </c>
      <c r="F67" s="89">
        <v>45658</v>
      </c>
      <c r="G67" s="89"/>
      <c r="H67" s="102" t="s">
        <v>35</v>
      </c>
      <c r="I67" s="102"/>
      <c r="J67" s="90" t="s">
        <v>36</v>
      </c>
      <c r="K67" s="90"/>
      <c r="L67" s="41">
        <v>885.9</v>
      </c>
      <c r="M67" s="39">
        <v>0</v>
      </c>
      <c r="N67" s="91">
        <v>0</v>
      </c>
      <c r="O67" s="91"/>
      <c r="P67" s="91"/>
      <c r="Q67" s="41">
        <v>25</v>
      </c>
      <c r="R67" s="41">
        <v>0</v>
      </c>
      <c r="S67" s="41">
        <v>25</v>
      </c>
      <c r="T67" s="92">
        <v>1</v>
      </c>
      <c r="U67" s="92"/>
      <c r="V67" s="41">
        <v>25</v>
      </c>
      <c r="W67" s="37" t="s">
        <v>36</v>
      </c>
      <c r="X67" s="40">
        <v>25</v>
      </c>
      <c r="Y67" s="1"/>
    </row>
    <row r="68" spans="1:25" ht="12" customHeight="1" x14ac:dyDescent="0.2">
      <c r="A68" s="47">
        <v>111593834</v>
      </c>
      <c r="B68" s="28" t="s">
        <v>98</v>
      </c>
      <c r="C68" s="83" t="s">
        <v>55</v>
      </c>
      <c r="D68" s="83"/>
      <c r="E68" s="29" t="s">
        <v>70</v>
      </c>
      <c r="F68" s="84">
        <v>45658</v>
      </c>
      <c r="G68" s="84"/>
      <c r="H68" s="101" t="s">
        <v>35</v>
      </c>
      <c r="I68" s="101"/>
      <c r="J68" s="85" t="s">
        <v>36</v>
      </c>
      <c r="K68" s="85"/>
      <c r="L68" s="34">
        <v>949.64</v>
      </c>
      <c r="M68" s="32">
        <v>0</v>
      </c>
      <c r="N68" s="86">
        <v>0</v>
      </c>
      <c r="O68" s="86"/>
      <c r="P68" s="86"/>
      <c r="Q68" s="34">
        <v>24</v>
      </c>
      <c r="R68" s="34">
        <v>0</v>
      </c>
      <c r="S68" s="34">
        <v>24</v>
      </c>
      <c r="T68" s="87">
        <v>1</v>
      </c>
      <c r="U68" s="87"/>
      <c r="V68" s="34">
        <v>24</v>
      </c>
      <c r="W68" s="29" t="s">
        <v>36</v>
      </c>
      <c r="X68" s="33">
        <v>24</v>
      </c>
      <c r="Y68" s="1"/>
    </row>
    <row r="69" spans="1:25" ht="12" customHeight="1" x14ac:dyDescent="0.2">
      <c r="A69" s="49">
        <v>111786407</v>
      </c>
      <c r="B69" s="36" t="s">
        <v>99</v>
      </c>
      <c r="C69" s="88" t="s">
        <v>52</v>
      </c>
      <c r="D69" s="88"/>
      <c r="E69" s="37" t="s">
        <v>53</v>
      </c>
      <c r="F69" s="89">
        <v>45658</v>
      </c>
      <c r="G69" s="89"/>
      <c r="H69" s="102" t="s">
        <v>35</v>
      </c>
      <c r="I69" s="102"/>
      <c r="J69" s="90" t="s">
        <v>36</v>
      </c>
      <c r="K69" s="90"/>
      <c r="L69" s="41">
        <v>899.5</v>
      </c>
      <c r="M69" s="39">
        <v>0</v>
      </c>
      <c r="N69" s="91">
        <v>0</v>
      </c>
      <c r="O69" s="91"/>
      <c r="P69" s="91"/>
      <c r="Q69" s="41">
        <v>21</v>
      </c>
      <c r="R69" s="41">
        <v>0</v>
      </c>
      <c r="S69" s="41">
        <v>21</v>
      </c>
      <c r="T69" s="92">
        <v>1</v>
      </c>
      <c r="U69" s="92"/>
      <c r="V69" s="41">
        <v>21</v>
      </c>
      <c r="W69" s="37" t="s">
        <v>36</v>
      </c>
      <c r="X69" s="40">
        <v>21</v>
      </c>
      <c r="Y69" s="1"/>
    </row>
    <row r="70" spans="1:25" ht="12" customHeight="1" x14ac:dyDescent="0.2">
      <c r="A70" s="47">
        <v>111828564</v>
      </c>
      <c r="B70" s="28" t="s">
        <v>100</v>
      </c>
      <c r="C70" s="83" t="s">
        <v>52</v>
      </c>
      <c r="D70" s="83"/>
      <c r="E70" s="29" t="s">
        <v>70</v>
      </c>
      <c r="F70" s="84">
        <v>45658</v>
      </c>
      <c r="G70" s="84"/>
      <c r="H70" s="101" t="s">
        <v>35</v>
      </c>
      <c r="I70" s="101"/>
      <c r="J70" s="85" t="s">
        <v>36</v>
      </c>
      <c r="K70" s="85"/>
      <c r="L70" s="34">
        <v>932.93</v>
      </c>
      <c r="M70" s="32">
        <v>0</v>
      </c>
      <c r="N70" s="86">
        <v>0</v>
      </c>
      <c r="O70" s="86"/>
      <c r="P70" s="86"/>
      <c r="Q70" s="34">
        <v>24</v>
      </c>
      <c r="R70" s="34">
        <v>0</v>
      </c>
      <c r="S70" s="34">
        <v>24</v>
      </c>
      <c r="T70" s="87">
        <v>1</v>
      </c>
      <c r="U70" s="87"/>
      <c r="V70" s="34">
        <v>24</v>
      </c>
      <c r="W70" s="29" t="s">
        <v>36</v>
      </c>
      <c r="X70" s="33">
        <v>24</v>
      </c>
      <c r="Y70" s="1"/>
    </row>
    <row r="71" spans="1:25" ht="12" customHeight="1" x14ac:dyDescent="0.2">
      <c r="A71" s="49">
        <v>111849444</v>
      </c>
      <c r="B71" s="36" t="s">
        <v>101</v>
      </c>
      <c r="C71" s="88" t="s">
        <v>52</v>
      </c>
      <c r="D71" s="88"/>
      <c r="E71" s="37" t="s">
        <v>53</v>
      </c>
      <c r="F71" s="89">
        <v>45658</v>
      </c>
      <c r="G71" s="89"/>
      <c r="H71" s="102" t="s">
        <v>35</v>
      </c>
      <c r="I71" s="102"/>
      <c r="J71" s="90" t="s">
        <v>36</v>
      </c>
      <c r="K71" s="90"/>
      <c r="L71" s="41">
        <v>730.69</v>
      </c>
      <c r="M71" s="39">
        <v>0</v>
      </c>
      <c r="N71" s="91">
        <v>0</v>
      </c>
      <c r="O71" s="91"/>
      <c r="P71" s="91"/>
      <c r="Q71" s="41">
        <v>21</v>
      </c>
      <c r="R71" s="41">
        <v>0</v>
      </c>
      <c r="S71" s="41">
        <v>21</v>
      </c>
      <c r="T71" s="92">
        <v>1</v>
      </c>
      <c r="U71" s="92"/>
      <c r="V71" s="41">
        <v>21</v>
      </c>
      <c r="W71" s="37" t="s">
        <v>36</v>
      </c>
      <c r="X71" s="40">
        <v>21</v>
      </c>
      <c r="Y71" s="1"/>
    </row>
    <row r="72" spans="1:25" ht="12.6" customHeight="1" x14ac:dyDescent="0.2">
      <c r="A72" s="47">
        <v>111876534</v>
      </c>
      <c r="B72" s="28" t="s">
        <v>102</v>
      </c>
      <c r="C72" s="83" t="s">
        <v>52</v>
      </c>
      <c r="D72" s="83"/>
      <c r="E72" s="29" t="s">
        <v>53</v>
      </c>
      <c r="F72" s="84">
        <v>45689</v>
      </c>
      <c r="G72" s="84"/>
      <c r="H72" s="101" t="s">
        <v>35</v>
      </c>
      <c r="I72" s="101"/>
      <c r="J72" s="85" t="s">
        <v>36</v>
      </c>
      <c r="K72" s="85"/>
      <c r="L72" s="34">
        <v>899.5</v>
      </c>
      <c r="M72" s="32">
        <v>0</v>
      </c>
      <c r="N72" s="86">
        <v>0</v>
      </c>
      <c r="O72" s="86"/>
      <c r="P72" s="86"/>
      <c r="Q72" s="34">
        <v>21</v>
      </c>
      <c r="R72" s="34">
        <v>0</v>
      </c>
      <c r="S72" s="34">
        <v>21</v>
      </c>
      <c r="T72" s="87">
        <v>1</v>
      </c>
      <c r="U72" s="87"/>
      <c r="V72" s="34">
        <v>21</v>
      </c>
      <c r="W72" s="29" t="s">
        <v>36</v>
      </c>
      <c r="X72" s="33">
        <v>21</v>
      </c>
      <c r="Y72" s="1"/>
    </row>
    <row r="73" spans="1:25" ht="30" customHeight="1" x14ac:dyDescent="0.2">
      <c r="A73" s="93" t="s">
        <v>103</v>
      </c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</row>
    <row r="74" spans="1:25" ht="12.75" customHeight="1" x14ac:dyDescent="0.2">
      <c r="A74" s="94" t="s">
        <v>104</v>
      </c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</row>
  </sheetData>
  <mergeCells count="295">
    <mergeCell ref="C72:D72"/>
    <mergeCell ref="F72:G72"/>
    <mergeCell ref="H72:I72"/>
    <mergeCell ref="J72:K72"/>
    <mergeCell ref="N72:P72"/>
    <mergeCell ref="T72:U72"/>
    <mergeCell ref="A73:Y73"/>
    <mergeCell ref="A74:Y74"/>
    <mergeCell ref="C70:D70"/>
    <mergeCell ref="F70:G70"/>
    <mergeCell ref="H70:I70"/>
    <mergeCell ref="J70:K70"/>
    <mergeCell ref="N70:P70"/>
    <mergeCell ref="T70:U70"/>
    <mergeCell ref="C71:D71"/>
    <mergeCell ref="F71:G71"/>
    <mergeCell ref="H71:I71"/>
    <mergeCell ref="J71:K71"/>
    <mergeCell ref="N71:P71"/>
    <mergeCell ref="T71:U71"/>
    <mergeCell ref="C68:D68"/>
    <mergeCell ref="F68:G68"/>
    <mergeCell ref="H68:I68"/>
    <mergeCell ref="J68:K68"/>
    <mergeCell ref="N68:P68"/>
    <mergeCell ref="T68:U68"/>
    <mergeCell ref="C69:D69"/>
    <mergeCell ref="F69:G69"/>
    <mergeCell ref="H69:I69"/>
    <mergeCell ref="J69:K69"/>
    <mergeCell ref="N69:P69"/>
    <mergeCell ref="T69:U69"/>
    <mergeCell ref="C66:D66"/>
    <mergeCell ref="F66:G66"/>
    <mergeCell ref="H66:I66"/>
    <mergeCell ref="J66:K66"/>
    <mergeCell ref="N66:P66"/>
    <mergeCell ref="T66:U66"/>
    <mergeCell ref="C67:D67"/>
    <mergeCell ref="F67:G67"/>
    <mergeCell ref="H67:I67"/>
    <mergeCell ref="J67:K67"/>
    <mergeCell ref="N67:P67"/>
    <mergeCell ref="T67:U67"/>
    <mergeCell ref="C64:D64"/>
    <mergeCell ref="F64:G64"/>
    <mergeCell ref="H64:I64"/>
    <mergeCell ref="J64:K64"/>
    <mergeCell ref="N64:P64"/>
    <mergeCell ref="T64:U64"/>
    <mergeCell ref="C65:D65"/>
    <mergeCell ref="F65:G65"/>
    <mergeCell ref="H65:I65"/>
    <mergeCell ref="J65:K65"/>
    <mergeCell ref="N65:P65"/>
    <mergeCell ref="T65:U65"/>
    <mergeCell ref="C62:D62"/>
    <mergeCell ref="F62:G62"/>
    <mergeCell ref="H62:I62"/>
    <mergeCell ref="J62:K62"/>
    <mergeCell ref="N62:P62"/>
    <mergeCell ref="T62:U62"/>
    <mergeCell ref="C63:D63"/>
    <mergeCell ref="F63:G63"/>
    <mergeCell ref="H63:I63"/>
    <mergeCell ref="J63:K63"/>
    <mergeCell ref="N63:P63"/>
    <mergeCell ref="T63:U63"/>
    <mergeCell ref="C60:D60"/>
    <mergeCell ref="F60:G60"/>
    <mergeCell ref="H60:I60"/>
    <mergeCell ref="J60:K60"/>
    <mergeCell ref="N60:P60"/>
    <mergeCell ref="T60:U60"/>
    <mergeCell ref="C61:D61"/>
    <mergeCell ref="F61:G61"/>
    <mergeCell ref="H61:I61"/>
    <mergeCell ref="J61:K61"/>
    <mergeCell ref="N61:P61"/>
    <mergeCell ref="T61:U61"/>
    <mergeCell ref="C58:D58"/>
    <mergeCell ref="F58:G58"/>
    <mergeCell ref="H58:I58"/>
    <mergeCell ref="J58:K58"/>
    <mergeCell ref="N58:P58"/>
    <mergeCell ref="T58:U58"/>
    <mergeCell ref="C59:D59"/>
    <mergeCell ref="F59:G59"/>
    <mergeCell ref="H59:I59"/>
    <mergeCell ref="J59:K59"/>
    <mergeCell ref="N59:P59"/>
    <mergeCell ref="T59:U59"/>
    <mergeCell ref="C56:D56"/>
    <mergeCell ref="F56:G56"/>
    <mergeCell ref="H56:I56"/>
    <mergeCell ref="J56:K56"/>
    <mergeCell ref="N56:P56"/>
    <mergeCell ref="T56:U56"/>
    <mergeCell ref="C57:D57"/>
    <mergeCell ref="F57:G57"/>
    <mergeCell ref="H57:I57"/>
    <mergeCell ref="J57:K57"/>
    <mergeCell ref="N57:P57"/>
    <mergeCell ref="T57:U57"/>
    <mergeCell ref="C53:G53"/>
    <mergeCell ref="J53:K53"/>
    <mergeCell ref="N53:P53"/>
    <mergeCell ref="T53:U53"/>
    <mergeCell ref="C54:G54"/>
    <mergeCell ref="J54:K54"/>
    <mergeCell ref="N54:P54"/>
    <mergeCell ref="T54:U54"/>
    <mergeCell ref="C55:G55"/>
    <mergeCell ref="J55:K55"/>
    <mergeCell ref="N55:P55"/>
    <mergeCell ref="T55:U55"/>
    <mergeCell ref="C50:G50"/>
    <mergeCell ref="J50:K50"/>
    <mergeCell ref="N50:P50"/>
    <mergeCell ref="T50:U50"/>
    <mergeCell ref="C51:G51"/>
    <mergeCell ref="J51:K51"/>
    <mergeCell ref="N51:P51"/>
    <mergeCell ref="T51:U51"/>
    <mergeCell ref="C52:G52"/>
    <mergeCell ref="J52:K52"/>
    <mergeCell ref="N52:P52"/>
    <mergeCell ref="T52:U52"/>
    <mergeCell ref="A44:Y44"/>
    <mergeCell ref="A45:Y45"/>
    <mergeCell ref="A46:X46"/>
    <mergeCell ref="A47:X47"/>
    <mergeCell ref="C48:G48"/>
    <mergeCell ref="J48:K48"/>
    <mergeCell ref="N48:P48"/>
    <mergeCell ref="T48:U48"/>
    <mergeCell ref="C49:G49"/>
    <mergeCell ref="J49:K49"/>
    <mergeCell ref="N49:P49"/>
    <mergeCell ref="T49:U49"/>
    <mergeCell ref="C42:D42"/>
    <mergeCell ref="F42:G42"/>
    <mergeCell ref="J42:K42"/>
    <mergeCell ref="N42:P42"/>
    <mergeCell ref="T42:U42"/>
    <mergeCell ref="C43:D43"/>
    <mergeCell ref="F43:G43"/>
    <mergeCell ref="J43:K43"/>
    <mergeCell ref="N43:P43"/>
    <mergeCell ref="T43:U43"/>
    <mergeCell ref="C40:D40"/>
    <mergeCell ref="F40:G40"/>
    <mergeCell ref="J40:K40"/>
    <mergeCell ref="N40:P40"/>
    <mergeCell ref="T40:U40"/>
    <mergeCell ref="C41:D41"/>
    <mergeCell ref="F41:G41"/>
    <mergeCell ref="J41:K41"/>
    <mergeCell ref="N41:P41"/>
    <mergeCell ref="T41:U41"/>
    <mergeCell ref="C35:D35"/>
    <mergeCell ref="F35:G35"/>
    <mergeCell ref="J35:K35"/>
    <mergeCell ref="N35:P35"/>
    <mergeCell ref="T35:U35"/>
    <mergeCell ref="A36:Y36"/>
    <mergeCell ref="A37:Y37"/>
    <mergeCell ref="A38:X38"/>
    <mergeCell ref="A39:X39"/>
    <mergeCell ref="A33:E33"/>
    <mergeCell ref="F33:G33"/>
    <mergeCell ref="J33:K33"/>
    <mergeCell ref="N33:P33"/>
    <mergeCell ref="T33:U33"/>
    <mergeCell ref="C34:D34"/>
    <mergeCell ref="F34:G34"/>
    <mergeCell ref="J34:K34"/>
    <mergeCell ref="N34:P34"/>
    <mergeCell ref="T34:U34"/>
    <mergeCell ref="C28:D28"/>
    <mergeCell ref="F28:G28"/>
    <mergeCell ref="J28:K28"/>
    <mergeCell ref="N28:P28"/>
    <mergeCell ref="T28:U28"/>
    <mergeCell ref="A29:Y29"/>
    <mergeCell ref="A30:Y30"/>
    <mergeCell ref="A31:X31"/>
    <mergeCell ref="A32:X32"/>
    <mergeCell ref="C26:D26"/>
    <mergeCell ref="F26:G26"/>
    <mergeCell ref="J26:K26"/>
    <mergeCell ref="N26:P26"/>
    <mergeCell ref="T26:U26"/>
    <mergeCell ref="C27:D27"/>
    <mergeCell ref="F27:G27"/>
    <mergeCell ref="J27:K27"/>
    <mergeCell ref="N27:P27"/>
    <mergeCell ref="T27:U27"/>
    <mergeCell ref="C24:D24"/>
    <mergeCell ref="F24:G24"/>
    <mergeCell ref="J24:K24"/>
    <mergeCell ref="N24:P24"/>
    <mergeCell ref="T24:U24"/>
    <mergeCell ref="C25:D25"/>
    <mergeCell ref="F25:G25"/>
    <mergeCell ref="J25:K25"/>
    <mergeCell ref="N25:P25"/>
    <mergeCell ref="T25:U25"/>
    <mergeCell ref="C22:D22"/>
    <mergeCell ref="F22:G22"/>
    <mergeCell ref="J22:K22"/>
    <mergeCell ref="N22:P22"/>
    <mergeCell ref="T22:U22"/>
    <mergeCell ref="C23:D23"/>
    <mergeCell ref="F23:G23"/>
    <mergeCell ref="J23:K23"/>
    <mergeCell ref="N23:P23"/>
    <mergeCell ref="T23:U23"/>
    <mergeCell ref="A19:X19"/>
    <mergeCell ref="C20:D20"/>
    <mergeCell ref="F20:G20"/>
    <mergeCell ref="J20:K20"/>
    <mergeCell ref="N20:P20"/>
    <mergeCell ref="T20:U20"/>
    <mergeCell ref="C21:D21"/>
    <mergeCell ref="F21:G21"/>
    <mergeCell ref="J21:K21"/>
    <mergeCell ref="N21:P21"/>
    <mergeCell ref="T21:U21"/>
    <mergeCell ref="A15:X15"/>
    <mergeCell ref="A16:X16"/>
    <mergeCell ref="C17:D17"/>
    <mergeCell ref="E17:G17"/>
    <mergeCell ref="J17:K17"/>
    <mergeCell ref="N17:P17"/>
    <mergeCell ref="T17:U17"/>
    <mergeCell ref="C18:D18"/>
    <mergeCell ref="E18:G18"/>
    <mergeCell ref="J18:K18"/>
    <mergeCell ref="N18:P18"/>
    <mergeCell ref="T18:U18"/>
    <mergeCell ref="A13:C13"/>
    <mergeCell ref="D13:J13"/>
    <mergeCell ref="K13:O13"/>
    <mergeCell ref="P13:T13"/>
    <mergeCell ref="U13:Y13"/>
    <mergeCell ref="A14:C14"/>
    <mergeCell ref="D14:J14"/>
    <mergeCell ref="K14:O14"/>
    <mergeCell ref="P14:T14"/>
    <mergeCell ref="U14:Y14"/>
    <mergeCell ref="A11:C11"/>
    <mergeCell ref="D11:J11"/>
    <mergeCell ref="K11:O11"/>
    <mergeCell ref="P11:T11"/>
    <mergeCell ref="U11:Y11"/>
    <mergeCell ref="A12:C12"/>
    <mergeCell ref="D12:J12"/>
    <mergeCell ref="K12:O12"/>
    <mergeCell ref="P12:T12"/>
    <mergeCell ref="U12:Y12"/>
    <mergeCell ref="A9:C9"/>
    <mergeCell ref="D9:J9"/>
    <mergeCell ref="K9:O9"/>
    <mergeCell ref="P9:T9"/>
    <mergeCell ref="U9:Y9"/>
    <mergeCell ref="A10:C10"/>
    <mergeCell ref="D10:J10"/>
    <mergeCell ref="K10:O10"/>
    <mergeCell ref="P10:T10"/>
    <mergeCell ref="U10:Y10"/>
    <mergeCell ref="A5:C5"/>
    <mergeCell ref="D5:F5"/>
    <mergeCell ref="G5:Y5"/>
    <mergeCell ref="A6:Y6"/>
    <mergeCell ref="A7:Y7"/>
    <mergeCell ref="A8:C8"/>
    <mergeCell ref="D8:J8"/>
    <mergeCell ref="K8:O8"/>
    <mergeCell ref="P8:T8"/>
    <mergeCell ref="U8:Y8"/>
    <mergeCell ref="A1:T1"/>
    <mergeCell ref="U1:Y1"/>
    <mergeCell ref="A2:C2"/>
    <mergeCell ref="D2:F2"/>
    <mergeCell ref="G2:J2"/>
    <mergeCell ref="K2:N2"/>
    <mergeCell ref="O2:Y3"/>
    <mergeCell ref="A3:F4"/>
    <mergeCell ref="G3:J3"/>
    <mergeCell ref="K3:N3"/>
    <mergeCell ref="G4:J4"/>
    <mergeCell ref="K4:N4"/>
    <mergeCell ref="P4:T4"/>
    <mergeCell ref="U4:Y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85210-AFB5-4D8D-B06B-D79C0040842F}">
  <dimension ref="A1:S29"/>
  <sheetViews>
    <sheetView tabSelected="1" workbookViewId="0">
      <selection activeCell="N2" sqref="N2:N29"/>
    </sheetView>
  </sheetViews>
  <sheetFormatPr defaultRowHeight="15" customHeight="1" x14ac:dyDescent="0.2"/>
  <cols>
    <col min="1" max="1" width="11.33203125" style="106" bestFit="1" customWidth="1"/>
    <col min="2" max="2" width="11.1640625" style="106" bestFit="1" customWidth="1"/>
    <col min="3" max="3" width="19.5" style="106" bestFit="1" customWidth="1"/>
    <col min="4" max="4" width="28.83203125" style="106" bestFit="1" customWidth="1"/>
    <col min="5" max="5" width="14.33203125" style="106" bestFit="1" customWidth="1"/>
    <col min="6" max="6" width="10.1640625" style="106" bestFit="1" customWidth="1"/>
    <col min="7" max="7" width="8.1640625" style="106" bestFit="1" customWidth="1"/>
    <col min="8" max="8" width="9.83203125" style="106" bestFit="1" customWidth="1"/>
    <col min="9" max="9" width="14.33203125" style="106" bestFit="1" customWidth="1"/>
    <col min="10" max="10" width="32.33203125" style="106" bestFit="1" customWidth="1"/>
    <col min="11" max="11" width="7.1640625" style="106" bestFit="1" customWidth="1"/>
    <col min="12" max="12" width="10.5" style="106" bestFit="1" customWidth="1"/>
    <col min="13" max="13" width="7.1640625" style="106" bestFit="1" customWidth="1"/>
    <col min="14" max="14" width="15.1640625" style="106" bestFit="1" customWidth="1"/>
    <col min="15" max="15" width="27.83203125" style="106" bestFit="1" customWidth="1"/>
    <col min="16" max="16" width="23.33203125" style="106" bestFit="1" customWidth="1"/>
    <col min="17" max="17" width="20.1640625" style="106" bestFit="1" customWidth="1"/>
    <col min="18" max="18" width="9.1640625" style="106" bestFit="1" customWidth="1"/>
    <col min="19" max="16384" width="9.33203125" style="106"/>
  </cols>
  <sheetData>
    <row r="1" spans="1:19" ht="15" customHeight="1" x14ac:dyDescent="0.2">
      <c r="A1" s="103" t="s">
        <v>109</v>
      </c>
      <c r="B1" s="103"/>
      <c r="C1" s="103" t="s">
        <v>110</v>
      </c>
      <c r="D1" s="103" t="s">
        <v>111</v>
      </c>
      <c r="E1" s="108" t="s">
        <v>112</v>
      </c>
      <c r="F1" s="108"/>
      <c r="G1" s="103" t="s">
        <v>113</v>
      </c>
      <c r="H1" s="103" t="s">
        <v>114</v>
      </c>
      <c r="I1" s="104" t="s">
        <v>115</v>
      </c>
      <c r="J1" s="111" t="s">
        <v>116</v>
      </c>
      <c r="K1" s="105" t="s">
        <v>117</v>
      </c>
      <c r="L1" s="105" t="s">
        <v>118</v>
      </c>
      <c r="M1" s="103" t="s">
        <v>119</v>
      </c>
      <c r="N1" s="104" t="s">
        <v>120</v>
      </c>
      <c r="O1" s="111" t="s">
        <v>121</v>
      </c>
      <c r="P1" s="111" t="s">
        <v>122</v>
      </c>
      <c r="Q1" s="105"/>
    </row>
    <row r="2" spans="1:19" ht="15" customHeight="1" x14ac:dyDescent="0.2">
      <c r="A2" s="110">
        <v>110661324</v>
      </c>
      <c r="B2" s="110" t="str">
        <f>CONCATENATE(A2,3)</f>
        <v>1106613243</v>
      </c>
      <c r="C2" s="107" t="s">
        <v>148</v>
      </c>
      <c r="D2" s="107" t="s">
        <v>126</v>
      </c>
      <c r="E2" s="107" t="s">
        <v>149</v>
      </c>
      <c r="F2" s="115">
        <v>45658</v>
      </c>
      <c r="G2" s="116">
        <v>45717</v>
      </c>
      <c r="H2" s="112">
        <v>1458.59</v>
      </c>
      <c r="I2" s="113">
        <v>0.04</v>
      </c>
      <c r="J2" s="114">
        <v>58.34</v>
      </c>
      <c r="K2" s="114">
        <v>0</v>
      </c>
      <c r="L2" s="114">
        <v>0</v>
      </c>
      <c r="M2" s="114">
        <v>0</v>
      </c>
      <c r="N2" s="110"/>
      <c r="O2" s="114">
        <v>0</v>
      </c>
      <c r="P2" s="114">
        <v>58.34</v>
      </c>
      <c r="Q2" s="109" t="s">
        <v>108</v>
      </c>
      <c r="R2" s="106">
        <v>8977234</v>
      </c>
      <c r="S2" s="106" t="s">
        <v>162</v>
      </c>
    </row>
    <row r="3" spans="1:19" ht="15" customHeight="1" x14ac:dyDescent="0.2">
      <c r="A3" s="110">
        <v>110987700</v>
      </c>
      <c r="B3" s="110" t="str">
        <f t="shared" ref="B3:B29" si="0">CONCATENATE(A3,3)</f>
        <v>1109877003</v>
      </c>
      <c r="C3" s="107" t="s">
        <v>168</v>
      </c>
      <c r="D3" s="107" t="s">
        <v>126</v>
      </c>
      <c r="E3" s="107" t="s">
        <v>149</v>
      </c>
      <c r="F3" s="115">
        <v>45658</v>
      </c>
      <c r="G3" s="116">
        <v>45717</v>
      </c>
      <c r="H3" s="112">
        <v>1108.54</v>
      </c>
      <c r="I3" s="113">
        <v>0.04</v>
      </c>
      <c r="J3" s="114">
        <v>44.34</v>
      </c>
      <c r="K3" s="114">
        <v>0</v>
      </c>
      <c r="L3" s="114">
        <v>0</v>
      </c>
      <c r="M3" s="114">
        <v>0</v>
      </c>
      <c r="N3" s="110"/>
      <c r="O3" s="114">
        <v>0</v>
      </c>
      <c r="P3" s="114">
        <v>44.34</v>
      </c>
      <c r="Q3" s="109" t="s">
        <v>108</v>
      </c>
      <c r="R3" s="106">
        <v>8977234</v>
      </c>
      <c r="S3" s="106" t="s">
        <v>162</v>
      </c>
    </row>
    <row r="4" spans="1:19" ht="15" customHeight="1" x14ac:dyDescent="0.2">
      <c r="A4" s="110">
        <v>111102853</v>
      </c>
      <c r="B4" s="110" t="str">
        <f t="shared" si="0"/>
        <v>1111028533</v>
      </c>
      <c r="C4" s="107" t="s">
        <v>154</v>
      </c>
      <c r="D4" s="107" t="s">
        <v>126</v>
      </c>
      <c r="E4" s="107" t="s">
        <v>149</v>
      </c>
      <c r="F4" s="115">
        <v>45658</v>
      </c>
      <c r="G4" s="116">
        <v>45717</v>
      </c>
      <c r="H4" s="114">
        <v>787.13</v>
      </c>
      <c r="I4" s="113">
        <v>0.04</v>
      </c>
      <c r="J4" s="114">
        <v>31.49</v>
      </c>
      <c r="K4" s="114">
        <v>0</v>
      </c>
      <c r="L4" s="114">
        <v>0</v>
      </c>
      <c r="M4" s="114">
        <v>0</v>
      </c>
      <c r="N4" s="110"/>
      <c r="O4" s="114">
        <v>0</v>
      </c>
      <c r="P4" s="114">
        <v>31.49</v>
      </c>
      <c r="Q4" s="109" t="s">
        <v>108</v>
      </c>
      <c r="R4" s="106">
        <v>8977234</v>
      </c>
      <c r="S4" s="106" t="s">
        <v>162</v>
      </c>
    </row>
    <row r="5" spans="1:19" ht="15" customHeight="1" x14ac:dyDescent="0.2">
      <c r="A5" s="110">
        <v>110700972</v>
      </c>
      <c r="B5" s="110" t="str">
        <f t="shared" si="0"/>
        <v>1107009723</v>
      </c>
      <c r="C5" s="107" t="s">
        <v>169</v>
      </c>
      <c r="D5" s="107" t="s">
        <v>128</v>
      </c>
      <c r="E5" s="107" t="s">
        <v>129</v>
      </c>
      <c r="F5" s="115">
        <v>45658</v>
      </c>
      <c r="G5" s="116">
        <v>45717</v>
      </c>
      <c r="H5" s="114">
        <v>1</v>
      </c>
      <c r="I5" s="113">
        <v>0</v>
      </c>
      <c r="J5" s="114">
        <v>0</v>
      </c>
      <c r="K5" s="114">
        <v>20</v>
      </c>
      <c r="L5" s="114">
        <v>0</v>
      </c>
      <c r="M5" s="114">
        <v>20</v>
      </c>
      <c r="N5" s="110"/>
      <c r="O5" s="114">
        <v>20</v>
      </c>
      <c r="P5" s="114">
        <v>20</v>
      </c>
      <c r="Q5" s="108" t="s">
        <v>105</v>
      </c>
      <c r="R5" s="106">
        <v>17528908</v>
      </c>
      <c r="S5" s="106" t="s">
        <v>163</v>
      </c>
    </row>
    <row r="6" spans="1:19" ht="15" customHeight="1" x14ac:dyDescent="0.2">
      <c r="A6" s="110">
        <v>110809733</v>
      </c>
      <c r="B6" s="110" t="str">
        <f t="shared" si="0"/>
        <v>1108097333</v>
      </c>
      <c r="C6" s="107" t="s">
        <v>131</v>
      </c>
      <c r="D6" s="107" t="s">
        <v>128</v>
      </c>
      <c r="E6" s="107" t="s">
        <v>129</v>
      </c>
      <c r="F6" s="115">
        <v>45658</v>
      </c>
      <c r="G6" s="116">
        <v>45717</v>
      </c>
      <c r="H6" s="114">
        <v>1</v>
      </c>
      <c r="I6" s="113">
        <v>0</v>
      </c>
      <c r="J6" s="114">
        <v>0</v>
      </c>
      <c r="K6" s="114">
        <v>20</v>
      </c>
      <c r="L6" s="114">
        <v>0</v>
      </c>
      <c r="M6" s="114">
        <v>20</v>
      </c>
      <c r="N6" s="110"/>
      <c r="O6" s="114">
        <v>20</v>
      </c>
      <c r="P6" s="114">
        <v>20</v>
      </c>
      <c r="Q6" s="108" t="s">
        <v>105</v>
      </c>
      <c r="R6" s="106">
        <v>17528908</v>
      </c>
      <c r="S6" s="106" t="s">
        <v>163</v>
      </c>
    </row>
    <row r="7" spans="1:19" ht="15" customHeight="1" x14ac:dyDescent="0.2">
      <c r="A7" s="110">
        <v>111320863</v>
      </c>
      <c r="B7" s="110" t="str">
        <f t="shared" si="0"/>
        <v>1113208633</v>
      </c>
      <c r="C7" s="107" t="s">
        <v>133</v>
      </c>
      <c r="D7" s="107" t="s">
        <v>134</v>
      </c>
      <c r="E7" s="107" t="s">
        <v>129</v>
      </c>
      <c r="F7" s="115">
        <v>45658</v>
      </c>
      <c r="G7" s="116">
        <v>45717</v>
      </c>
      <c r="H7" s="114">
        <v>1</v>
      </c>
      <c r="I7" s="113">
        <v>0</v>
      </c>
      <c r="J7" s="114">
        <v>0</v>
      </c>
      <c r="K7" s="114">
        <v>20</v>
      </c>
      <c r="L7" s="114">
        <v>0</v>
      </c>
      <c r="M7" s="114">
        <v>20</v>
      </c>
      <c r="N7" s="110"/>
      <c r="O7" s="114">
        <v>20</v>
      </c>
      <c r="P7" s="114">
        <v>20</v>
      </c>
      <c r="Q7" s="108" t="s">
        <v>106</v>
      </c>
      <c r="R7" s="106">
        <v>18710070</v>
      </c>
      <c r="S7" s="106" t="s">
        <v>163</v>
      </c>
    </row>
    <row r="8" spans="1:19" ht="15" customHeight="1" x14ac:dyDescent="0.2">
      <c r="A8" s="110">
        <v>112399968</v>
      </c>
      <c r="B8" s="110" t="str">
        <f t="shared" si="0"/>
        <v>1123999683</v>
      </c>
      <c r="C8" s="107" t="s">
        <v>123</v>
      </c>
      <c r="D8" s="107" t="s">
        <v>124</v>
      </c>
      <c r="E8" s="105" t="s">
        <v>34</v>
      </c>
      <c r="F8" s="115">
        <v>45658</v>
      </c>
      <c r="G8" s="116">
        <v>45717</v>
      </c>
      <c r="H8" s="114">
        <v>1</v>
      </c>
      <c r="I8" s="113">
        <v>0</v>
      </c>
      <c r="J8" s="114">
        <v>0</v>
      </c>
      <c r="K8" s="114">
        <v>21</v>
      </c>
      <c r="L8" s="114">
        <v>0</v>
      </c>
      <c r="M8" s="114">
        <v>21</v>
      </c>
      <c r="N8" s="110"/>
      <c r="O8" s="114">
        <v>21</v>
      </c>
      <c r="P8" s="114">
        <v>21</v>
      </c>
      <c r="Q8" s="108" t="s">
        <v>105</v>
      </c>
      <c r="R8" s="106">
        <v>17528908</v>
      </c>
      <c r="S8" s="106" t="s">
        <v>164</v>
      </c>
    </row>
    <row r="9" spans="1:19" ht="15" customHeight="1" x14ac:dyDescent="0.2">
      <c r="A9" s="110">
        <v>106737758</v>
      </c>
      <c r="B9" s="110" t="str">
        <f t="shared" si="0"/>
        <v>1067377583</v>
      </c>
      <c r="C9" s="107" t="s">
        <v>125</v>
      </c>
      <c r="D9" s="107" t="s">
        <v>126</v>
      </c>
      <c r="E9" s="107" t="s">
        <v>127</v>
      </c>
      <c r="F9" s="115">
        <v>45658</v>
      </c>
      <c r="G9" s="116">
        <v>45717</v>
      </c>
      <c r="H9" s="114">
        <v>1</v>
      </c>
      <c r="I9" s="113">
        <v>0</v>
      </c>
      <c r="J9" s="114">
        <v>0</v>
      </c>
      <c r="K9" s="114">
        <v>21</v>
      </c>
      <c r="L9" s="114">
        <v>0</v>
      </c>
      <c r="M9" s="114">
        <v>21</v>
      </c>
      <c r="N9" s="110"/>
      <c r="O9" s="114">
        <v>21</v>
      </c>
      <c r="P9" s="114">
        <v>21</v>
      </c>
      <c r="Q9" s="108" t="s">
        <v>105</v>
      </c>
      <c r="R9" s="106">
        <v>17528908</v>
      </c>
      <c r="S9" s="106" t="s">
        <v>164</v>
      </c>
    </row>
    <row r="10" spans="1:19" ht="15" customHeight="1" x14ac:dyDescent="0.2">
      <c r="A10" s="110">
        <v>112342893</v>
      </c>
      <c r="B10" s="110" t="str">
        <f t="shared" si="0"/>
        <v>1123428933</v>
      </c>
      <c r="C10" s="107" t="s">
        <v>139</v>
      </c>
      <c r="D10" s="107" t="s">
        <v>140</v>
      </c>
      <c r="E10" s="107"/>
      <c r="F10" s="115">
        <v>45658</v>
      </c>
      <c r="G10" s="116">
        <v>45717</v>
      </c>
      <c r="H10" s="114">
        <v>1</v>
      </c>
      <c r="I10" s="113">
        <v>0</v>
      </c>
      <c r="J10" s="114">
        <v>0</v>
      </c>
      <c r="K10" s="114">
        <v>21</v>
      </c>
      <c r="L10" s="114">
        <v>0</v>
      </c>
      <c r="M10" s="114">
        <v>21</v>
      </c>
      <c r="N10" s="110"/>
      <c r="O10" s="114">
        <v>21</v>
      </c>
      <c r="P10" s="114">
        <v>21</v>
      </c>
      <c r="Q10" s="109" t="s">
        <v>108</v>
      </c>
      <c r="R10" s="106">
        <v>8977234</v>
      </c>
      <c r="S10" s="106" t="s">
        <v>164</v>
      </c>
    </row>
    <row r="11" spans="1:19" ht="15" customHeight="1" x14ac:dyDescent="0.2">
      <c r="A11" s="110">
        <v>109376890</v>
      </c>
      <c r="B11" s="110" t="str">
        <f t="shared" si="0"/>
        <v>1093768903</v>
      </c>
      <c r="C11" s="107" t="s">
        <v>145</v>
      </c>
      <c r="D11" s="107" t="s">
        <v>126</v>
      </c>
      <c r="E11" s="107" t="s">
        <v>127</v>
      </c>
      <c r="F11" s="115">
        <v>45658</v>
      </c>
      <c r="G11" s="116">
        <v>45717</v>
      </c>
      <c r="H11" s="114">
        <v>1</v>
      </c>
      <c r="I11" s="113">
        <v>0</v>
      </c>
      <c r="J11" s="114">
        <v>0</v>
      </c>
      <c r="K11" s="114">
        <v>21</v>
      </c>
      <c r="L11" s="114">
        <v>0</v>
      </c>
      <c r="M11" s="114">
        <v>21</v>
      </c>
      <c r="N11" s="110"/>
      <c r="O11" s="114">
        <v>21</v>
      </c>
      <c r="P11" s="114">
        <v>21</v>
      </c>
      <c r="Q11" s="109" t="s">
        <v>108</v>
      </c>
      <c r="R11" s="106">
        <v>8977234</v>
      </c>
      <c r="S11" s="106" t="s">
        <v>164</v>
      </c>
    </row>
    <row r="12" spans="1:19" ht="15" customHeight="1" x14ac:dyDescent="0.2">
      <c r="A12" s="110">
        <v>109408841</v>
      </c>
      <c r="B12" s="110" t="str">
        <f t="shared" si="0"/>
        <v>1094088413</v>
      </c>
      <c r="C12" s="107" t="s">
        <v>146</v>
      </c>
      <c r="D12" s="107" t="s">
        <v>126</v>
      </c>
      <c r="E12" s="107" t="s">
        <v>127</v>
      </c>
      <c r="F12" s="115">
        <v>45658</v>
      </c>
      <c r="G12" s="116">
        <v>45717</v>
      </c>
      <c r="H12" s="114">
        <v>1</v>
      </c>
      <c r="I12" s="113">
        <v>0</v>
      </c>
      <c r="J12" s="114">
        <v>0</v>
      </c>
      <c r="K12" s="114">
        <v>21</v>
      </c>
      <c r="L12" s="114">
        <v>0</v>
      </c>
      <c r="M12" s="114">
        <v>21</v>
      </c>
      <c r="N12" s="110"/>
      <c r="O12" s="114">
        <v>21</v>
      </c>
      <c r="P12" s="114">
        <v>21</v>
      </c>
      <c r="Q12" s="109" t="s">
        <v>108</v>
      </c>
      <c r="R12" s="106">
        <v>8977234</v>
      </c>
      <c r="S12" s="106" t="s">
        <v>164</v>
      </c>
    </row>
    <row r="13" spans="1:19" ht="15" customHeight="1" x14ac:dyDescent="0.2">
      <c r="A13" s="110">
        <v>109839671</v>
      </c>
      <c r="B13" s="110" t="str">
        <f t="shared" si="0"/>
        <v>1098396713</v>
      </c>
      <c r="C13" s="107" t="s">
        <v>147</v>
      </c>
      <c r="D13" s="107" t="s">
        <v>126</v>
      </c>
      <c r="E13" s="107" t="s">
        <v>127</v>
      </c>
      <c r="F13" s="115">
        <v>45658</v>
      </c>
      <c r="G13" s="116">
        <v>45717</v>
      </c>
      <c r="H13" s="114">
        <v>1</v>
      </c>
      <c r="I13" s="113">
        <v>0</v>
      </c>
      <c r="J13" s="114">
        <v>0</v>
      </c>
      <c r="K13" s="114">
        <v>21</v>
      </c>
      <c r="L13" s="114">
        <v>0</v>
      </c>
      <c r="M13" s="114">
        <v>21</v>
      </c>
      <c r="N13" s="110"/>
      <c r="O13" s="114">
        <v>21</v>
      </c>
      <c r="P13" s="114">
        <v>21</v>
      </c>
      <c r="Q13" s="109" t="s">
        <v>108</v>
      </c>
      <c r="R13" s="106">
        <v>8977234</v>
      </c>
      <c r="S13" s="106" t="s">
        <v>164</v>
      </c>
    </row>
    <row r="14" spans="1:19" ht="15" customHeight="1" x14ac:dyDescent="0.2">
      <c r="A14" s="110">
        <v>111786407</v>
      </c>
      <c r="B14" s="110" t="str">
        <f t="shared" si="0"/>
        <v>1117864073</v>
      </c>
      <c r="C14" s="107" t="s">
        <v>158</v>
      </c>
      <c r="D14" s="107" t="s">
        <v>126</v>
      </c>
      <c r="E14" s="107" t="s">
        <v>127</v>
      </c>
      <c r="F14" s="115">
        <v>45658</v>
      </c>
      <c r="G14" s="116">
        <v>45717</v>
      </c>
      <c r="H14" s="114">
        <v>1</v>
      </c>
      <c r="I14" s="113">
        <v>0</v>
      </c>
      <c r="J14" s="114">
        <v>0</v>
      </c>
      <c r="K14" s="114">
        <v>21</v>
      </c>
      <c r="L14" s="114">
        <v>0</v>
      </c>
      <c r="M14" s="114">
        <v>21</v>
      </c>
      <c r="N14" s="110"/>
      <c r="O14" s="114">
        <v>21</v>
      </c>
      <c r="P14" s="114">
        <v>21</v>
      </c>
      <c r="Q14" s="109" t="s">
        <v>108</v>
      </c>
      <c r="R14" s="106">
        <v>8977234</v>
      </c>
      <c r="S14" s="106" t="s">
        <v>164</v>
      </c>
    </row>
    <row r="15" spans="1:19" ht="15" customHeight="1" x14ac:dyDescent="0.2">
      <c r="A15" s="110">
        <v>111849444</v>
      </c>
      <c r="B15" s="110" t="str">
        <f t="shared" si="0"/>
        <v>1118494443</v>
      </c>
      <c r="C15" s="107" t="s">
        <v>160</v>
      </c>
      <c r="D15" s="107" t="s">
        <v>126</v>
      </c>
      <c r="E15" s="107" t="s">
        <v>127</v>
      </c>
      <c r="F15" s="115">
        <v>45658</v>
      </c>
      <c r="G15" s="116">
        <v>45717</v>
      </c>
      <c r="H15" s="114">
        <v>1</v>
      </c>
      <c r="I15" s="113">
        <v>0</v>
      </c>
      <c r="J15" s="114">
        <v>0</v>
      </c>
      <c r="K15" s="114">
        <v>21</v>
      </c>
      <c r="L15" s="114">
        <v>0</v>
      </c>
      <c r="M15" s="114">
        <v>21</v>
      </c>
      <c r="N15" s="110"/>
      <c r="O15" s="114">
        <v>21</v>
      </c>
      <c r="P15" s="114">
        <v>21</v>
      </c>
      <c r="Q15" s="109" t="s">
        <v>108</v>
      </c>
      <c r="R15" s="106">
        <v>8977234</v>
      </c>
      <c r="S15" s="106" t="s">
        <v>164</v>
      </c>
    </row>
    <row r="16" spans="1:19" ht="15" customHeight="1" x14ac:dyDescent="0.2">
      <c r="A16" s="110">
        <v>111876534</v>
      </c>
      <c r="B16" s="110" t="str">
        <f t="shared" si="0"/>
        <v>1118765343</v>
      </c>
      <c r="C16" s="107" t="s">
        <v>161</v>
      </c>
      <c r="D16" s="107" t="s">
        <v>126</v>
      </c>
      <c r="E16" s="107" t="s">
        <v>127</v>
      </c>
      <c r="F16" s="115">
        <v>45689</v>
      </c>
      <c r="G16" s="116">
        <v>45717</v>
      </c>
      <c r="H16" s="114">
        <v>1</v>
      </c>
      <c r="I16" s="113">
        <v>0</v>
      </c>
      <c r="J16" s="114">
        <v>0</v>
      </c>
      <c r="K16" s="114">
        <v>21</v>
      </c>
      <c r="L16" s="114">
        <v>0</v>
      </c>
      <c r="M16" s="114">
        <v>21</v>
      </c>
      <c r="N16" s="110"/>
      <c r="O16" s="114">
        <v>21</v>
      </c>
      <c r="P16" s="114">
        <v>21</v>
      </c>
      <c r="Q16" s="109" t="s">
        <v>108</v>
      </c>
      <c r="R16" s="106">
        <v>8977234</v>
      </c>
      <c r="S16" s="106" t="s">
        <v>164</v>
      </c>
    </row>
    <row r="17" spans="1:19" ht="15" customHeight="1" x14ac:dyDescent="0.2">
      <c r="A17" s="110">
        <v>111034361</v>
      </c>
      <c r="B17" s="110" t="str">
        <f t="shared" si="0"/>
        <v>1110343613</v>
      </c>
      <c r="C17" s="107" t="s">
        <v>135</v>
      </c>
      <c r="D17" s="107" t="s">
        <v>134</v>
      </c>
      <c r="E17" s="107" t="s">
        <v>136</v>
      </c>
      <c r="F17" s="115">
        <v>45658</v>
      </c>
      <c r="G17" s="116">
        <v>45717</v>
      </c>
      <c r="H17" s="114">
        <v>1</v>
      </c>
      <c r="I17" s="113">
        <v>0</v>
      </c>
      <c r="J17" s="114">
        <v>0</v>
      </c>
      <c r="K17" s="114">
        <v>24</v>
      </c>
      <c r="L17" s="114">
        <v>0</v>
      </c>
      <c r="M17" s="114">
        <v>24</v>
      </c>
      <c r="N17" s="110"/>
      <c r="O17" s="114">
        <v>24</v>
      </c>
      <c r="P17" s="114">
        <v>24</v>
      </c>
      <c r="Q17" s="109" t="s">
        <v>107</v>
      </c>
      <c r="R17" s="106">
        <v>20436896</v>
      </c>
      <c r="S17" s="106" t="s">
        <v>165</v>
      </c>
    </row>
    <row r="18" spans="1:19" ht="15" customHeight="1" x14ac:dyDescent="0.2">
      <c r="A18" s="110">
        <v>111183328</v>
      </c>
      <c r="B18" s="110" t="str">
        <f t="shared" si="0"/>
        <v>1111833283</v>
      </c>
      <c r="C18" s="107" t="s">
        <v>137</v>
      </c>
      <c r="D18" s="107" t="s">
        <v>138</v>
      </c>
      <c r="E18" s="107" t="s">
        <v>136</v>
      </c>
      <c r="F18" s="115">
        <v>45658</v>
      </c>
      <c r="G18" s="116">
        <v>45717</v>
      </c>
      <c r="H18" s="114">
        <v>1</v>
      </c>
      <c r="I18" s="113">
        <v>0</v>
      </c>
      <c r="J18" s="114">
        <v>0</v>
      </c>
      <c r="K18" s="114">
        <v>24</v>
      </c>
      <c r="L18" s="114">
        <v>0</v>
      </c>
      <c r="M18" s="114">
        <v>24</v>
      </c>
      <c r="N18" s="110"/>
      <c r="O18" s="114">
        <v>24</v>
      </c>
      <c r="P18" s="114">
        <v>24</v>
      </c>
      <c r="Q18" s="109" t="s">
        <v>107</v>
      </c>
      <c r="R18" s="106">
        <v>20436896</v>
      </c>
      <c r="S18" s="106" t="s">
        <v>165</v>
      </c>
    </row>
    <row r="19" spans="1:19" ht="15" customHeight="1" x14ac:dyDescent="0.2">
      <c r="A19" s="110">
        <v>110913614</v>
      </c>
      <c r="B19" s="110" t="str">
        <f t="shared" si="0"/>
        <v>1109136143</v>
      </c>
      <c r="C19" s="107" t="s">
        <v>150</v>
      </c>
      <c r="D19" s="107" t="s">
        <v>124</v>
      </c>
      <c r="E19" s="107" t="s">
        <v>136</v>
      </c>
      <c r="F19" s="115">
        <v>45658</v>
      </c>
      <c r="G19" s="116">
        <v>45717</v>
      </c>
      <c r="H19" s="114">
        <v>1</v>
      </c>
      <c r="I19" s="113">
        <v>0</v>
      </c>
      <c r="J19" s="114">
        <v>0</v>
      </c>
      <c r="K19" s="114">
        <v>24</v>
      </c>
      <c r="L19" s="114">
        <v>0</v>
      </c>
      <c r="M19" s="114">
        <v>24</v>
      </c>
      <c r="N19" s="110"/>
      <c r="O19" s="114">
        <v>24</v>
      </c>
      <c r="P19" s="114">
        <v>24</v>
      </c>
      <c r="Q19" s="109" t="s">
        <v>108</v>
      </c>
      <c r="R19" s="106">
        <v>8977234</v>
      </c>
      <c r="S19" s="106" t="s">
        <v>165</v>
      </c>
    </row>
    <row r="20" spans="1:19" ht="15" customHeight="1" x14ac:dyDescent="0.2">
      <c r="A20" s="110">
        <v>111059989</v>
      </c>
      <c r="B20" s="110" t="str">
        <f t="shared" si="0"/>
        <v>1110599893</v>
      </c>
      <c r="C20" s="107" t="s">
        <v>153</v>
      </c>
      <c r="D20" s="107" t="s">
        <v>124</v>
      </c>
      <c r="E20" s="107" t="s">
        <v>136</v>
      </c>
      <c r="F20" s="115">
        <v>45658</v>
      </c>
      <c r="G20" s="116">
        <v>45717</v>
      </c>
      <c r="H20" s="114">
        <v>1</v>
      </c>
      <c r="I20" s="113">
        <v>0</v>
      </c>
      <c r="J20" s="114">
        <v>0</v>
      </c>
      <c r="K20" s="114">
        <v>24</v>
      </c>
      <c r="L20" s="114">
        <v>0</v>
      </c>
      <c r="M20" s="114">
        <v>24</v>
      </c>
      <c r="N20" s="110"/>
      <c r="O20" s="114">
        <v>24</v>
      </c>
      <c r="P20" s="114">
        <v>24</v>
      </c>
      <c r="Q20" s="109" t="s">
        <v>108</v>
      </c>
      <c r="R20" s="106">
        <v>8977234</v>
      </c>
      <c r="S20" s="106" t="s">
        <v>165</v>
      </c>
    </row>
    <row r="21" spans="1:19" ht="15" customHeight="1" x14ac:dyDescent="0.2">
      <c r="A21" s="110">
        <v>111593834</v>
      </c>
      <c r="B21" s="110" t="str">
        <f t="shared" si="0"/>
        <v>1115938343</v>
      </c>
      <c r="C21" s="107" t="s">
        <v>157</v>
      </c>
      <c r="D21" s="107" t="s">
        <v>128</v>
      </c>
      <c r="E21" s="107" t="s">
        <v>136</v>
      </c>
      <c r="F21" s="115">
        <v>45658</v>
      </c>
      <c r="G21" s="116">
        <v>45717</v>
      </c>
      <c r="H21" s="114">
        <v>1</v>
      </c>
      <c r="I21" s="113">
        <v>0</v>
      </c>
      <c r="J21" s="114">
        <v>0</v>
      </c>
      <c r="K21" s="114">
        <v>24</v>
      </c>
      <c r="L21" s="114">
        <v>0</v>
      </c>
      <c r="M21" s="114">
        <v>24</v>
      </c>
      <c r="N21" s="110"/>
      <c r="O21" s="114">
        <v>24</v>
      </c>
      <c r="P21" s="114">
        <v>24</v>
      </c>
      <c r="Q21" s="109" t="s">
        <v>108</v>
      </c>
      <c r="R21" s="106">
        <v>8977234</v>
      </c>
      <c r="S21" s="106" t="s">
        <v>165</v>
      </c>
    </row>
    <row r="22" spans="1:19" ht="15" customHeight="1" x14ac:dyDescent="0.2">
      <c r="A22" s="110">
        <v>111828564</v>
      </c>
      <c r="B22" s="110" t="str">
        <f t="shared" si="0"/>
        <v>1118285643</v>
      </c>
      <c r="C22" s="107" t="s">
        <v>159</v>
      </c>
      <c r="D22" s="107" t="s">
        <v>126</v>
      </c>
      <c r="E22" s="107" t="s">
        <v>136</v>
      </c>
      <c r="F22" s="115">
        <v>45658</v>
      </c>
      <c r="G22" s="116">
        <v>45717</v>
      </c>
      <c r="H22" s="114">
        <v>1</v>
      </c>
      <c r="I22" s="113">
        <v>0</v>
      </c>
      <c r="J22" s="114">
        <v>0</v>
      </c>
      <c r="K22" s="114">
        <v>24</v>
      </c>
      <c r="L22" s="114">
        <v>0</v>
      </c>
      <c r="M22" s="114">
        <v>24</v>
      </c>
      <c r="N22" s="110"/>
      <c r="O22" s="114">
        <v>24</v>
      </c>
      <c r="P22" s="114">
        <v>24</v>
      </c>
      <c r="Q22" s="109" t="s">
        <v>108</v>
      </c>
      <c r="R22" s="106">
        <v>8977234</v>
      </c>
      <c r="S22" s="106" t="s">
        <v>165</v>
      </c>
    </row>
    <row r="23" spans="1:19" ht="15" customHeight="1" x14ac:dyDescent="0.2">
      <c r="A23" s="110">
        <v>111057159</v>
      </c>
      <c r="B23" s="110" t="str">
        <f t="shared" si="0"/>
        <v>1110571593</v>
      </c>
      <c r="C23" s="107" t="s">
        <v>151</v>
      </c>
      <c r="D23" s="107" t="s">
        <v>152</v>
      </c>
      <c r="E23" s="107" t="s">
        <v>136</v>
      </c>
      <c r="F23" s="115">
        <v>45658</v>
      </c>
      <c r="G23" s="116">
        <v>45717</v>
      </c>
      <c r="H23" s="114">
        <v>1</v>
      </c>
      <c r="I23" s="113">
        <v>0</v>
      </c>
      <c r="J23" s="114">
        <v>0</v>
      </c>
      <c r="K23" s="114">
        <v>25</v>
      </c>
      <c r="L23" s="114">
        <v>0</v>
      </c>
      <c r="M23" s="114">
        <v>25</v>
      </c>
      <c r="N23" s="110"/>
      <c r="O23" s="114">
        <v>25</v>
      </c>
      <c r="P23" s="114">
        <v>25</v>
      </c>
      <c r="Q23" s="109" t="s">
        <v>108</v>
      </c>
      <c r="R23" s="106">
        <v>8977234</v>
      </c>
      <c r="S23" s="106" t="s">
        <v>165</v>
      </c>
    </row>
    <row r="24" spans="1:19" ht="15" customHeight="1" x14ac:dyDescent="0.2">
      <c r="A24" s="110">
        <v>111241629</v>
      </c>
      <c r="B24" s="110" t="str">
        <f t="shared" si="0"/>
        <v>1112416293</v>
      </c>
      <c r="C24" s="107" t="s">
        <v>156</v>
      </c>
      <c r="D24" s="107" t="s">
        <v>128</v>
      </c>
      <c r="E24" s="107" t="s">
        <v>136</v>
      </c>
      <c r="F24" s="115">
        <v>45658</v>
      </c>
      <c r="G24" s="116">
        <v>45717</v>
      </c>
      <c r="H24" s="114">
        <v>1</v>
      </c>
      <c r="I24" s="113">
        <v>0</v>
      </c>
      <c r="J24" s="114">
        <v>0</v>
      </c>
      <c r="K24" s="114">
        <v>25</v>
      </c>
      <c r="L24" s="114">
        <v>0</v>
      </c>
      <c r="M24" s="114">
        <v>25</v>
      </c>
      <c r="N24" s="110"/>
      <c r="O24" s="114">
        <v>25</v>
      </c>
      <c r="P24" s="114">
        <v>25</v>
      </c>
      <c r="Q24" s="109" t="s">
        <v>108</v>
      </c>
      <c r="R24" s="106">
        <v>8977234</v>
      </c>
      <c r="S24" s="106" t="s">
        <v>166</v>
      </c>
    </row>
    <row r="25" spans="1:19" ht="15" customHeight="1" x14ac:dyDescent="0.2">
      <c r="A25" s="110">
        <v>110701159</v>
      </c>
      <c r="B25" s="110" t="str">
        <f t="shared" si="0"/>
        <v>1107011593</v>
      </c>
      <c r="C25" s="107" t="s">
        <v>130</v>
      </c>
      <c r="D25" s="107" t="s">
        <v>128</v>
      </c>
      <c r="E25" s="107" t="s">
        <v>129</v>
      </c>
      <c r="F25" s="115">
        <v>45658</v>
      </c>
      <c r="G25" s="116">
        <v>45717</v>
      </c>
      <c r="H25" s="114">
        <v>1</v>
      </c>
      <c r="I25" s="113">
        <v>0</v>
      </c>
      <c r="J25" s="114">
        <v>0</v>
      </c>
      <c r="K25" s="114">
        <v>20</v>
      </c>
      <c r="L25" s="114">
        <v>0</v>
      </c>
      <c r="M25" s="114">
        <v>20</v>
      </c>
      <c r="N25" s="110" t="s">
        <v>167</v>
      </c>
      <c r="O25" s="114">
        <v>40</v>
      </c>
      <c r="P25" s="114">
        <v>40</v>
      </c>
      <c r="Q25" s="108" t="s">
        <v>105</v>
      </c>
      <c r="R25" s="106">
        <v>17528908</v>
      </c>
      <c r="S25" s="106" t="s">
        <v>163</v>
      </c>
    </row>
    <row r="26" spans="1:19" ht="15" customHeight="1" x14ac:dyDescent="0.2">
      <c r="A26" s="110">
        <v>112319621</v>
      </c>
      <c r="B26" s="110" t="str">
        <f t="shared" si="0"/>
        <v>1123196213</v>
      </c>
      <c r="C26" s="107" t="s">
        <v>132</v>
      </c>
      <c r="D26" s="107" t="s">
        <v>128</v>
      </c>
      <c r="E26" s="107" t="s">
        <v>129</v>
      </c>
      <c r="F26" s="115">
        <v>45658</v>
      </c>
      <c r="G26" s="116">
        <v>45717</v>
      </c>
      <c r="H26" s="114">
        <v>1</v>
      </c>
      <c r="I26" s="113">
        <v>0</v>
      </c>
      <c r="J26" s="114">
        <v>0</v>
      </c>
      <c r="K26" s="114">
        <v>20</v>
      </c>
      <c r="L26" s="114">
        <v>0</v>
      </c>
      <c r="M26" s="114">
        <v>20</v>
      </c>
      <c r="N26" s="110" t="s">
        <v>167</v>
      </c>
      <c r="O26" s="114">
        <v>40</v>
      </c>
      <c r="P26" s="114">
        <v>40</v>
      </c>
      <c r="Q26" s="108" t="s">
        <v>105</v>
      </c>
      <c r="R26" s="106">
        <v>17528908</v>
      </c>
      <c r="S26" s="106" t="s">
        <v>163</v>
      </c>
    </row>
    <row r="27" spans="1:19" ht="15" customHeight="1" x14ac:dyDescent="0.2">
      <c r="A27" s="110">
        <v>112407726</v>
      </c>
      <c r="B27" s="110" t="str">
        <f t="shared" si="0"/>
        <v>1124077263</v>
      </c>
      <c r="C27" s="107" t="s">
        <v>141</v>
      </c>
      <c r="D27" s="107" t="s">
        <v>142</v>
      </c>
      <c r="E27" s="107"/>
      <c r="F27" s="115">
        <v>45658</v>
      </c>
      <c r="G27" s="116">
        <v>45717</v>
      </c>
      <c r="H27" s="114">
        <v>1</v>
      </c>
      <c r="I27" s="113">
        <v>0</v>
      </c>
      <c r="J27" s="114">
        <v>0</v>
      </c>
      <c r="K27" s="114">
        <v>24</v>
      </c>
      <c r="L27" s="114">
        <v>0</v>
      </c>
      <c r="M27" s="114">
        <v>24</v>
      </c>
      <c r="N27" s="110" t="s">
        <v>167</v>
      </c>
      <c r="O27" s="114">
        <v>48</v>
      </c>
      <c r="P27" s="114">
        <v>48</v>
      </c>
      <c r="Q27" s="109" t="s">
        <v>108</v>
      </c>
      <c r="R27" s="106">
        <v>8977234</v>
      </c>
      <c r="S27" s="106" t="s">
        <v>165</v>
      </c>
    </row>
    <row r="28" spans="1:19" ht="15" customHeight="1" x14ac:dyDescent="0.2">
      <c r="A28" s="110">
        <v>109263551</v>
      </c>
      <c r="B28" s="110" t="str">
        <f t="shared" si="0"/>
        <v>1092635513</v>
      </c>
      <c r="C28" s="107" t="s">
        <v>143</v>
      </c>
      <c r="D28" s="107" t="s">
        <v>144</v>
      </c>
      <c r="E28" s="107" t="s">
        <v>136</v>
      </c>
      <c r="F28" s="115">
        <v>45658</v>
      </c>
      <c r="G28" s="116">
        <v>45717</v>
      </c>
      <c r="H28" s="114">
        <v>1</v>
      </c>
      <c r="I28" s="113">
        <v>0</v>
      </c>
      <c r="J28" s="114">
        <v>0</v>
      </c>
      <c r="K28" s="114">
        <v>24</v>
      </c>
      <c r="L28" s="114">
        <v>0</v>
      </c>
      <c r="M28" s="114">
        <v>24</v>
      </c>
      <c r="N28" s="110" t="s">
        <v>167</v>
      </c>
      <c r="O28" s="114">
        <v>48</v>
      </c>
      <c r="P28" s="114">
        <v>48</v>
      </c>
      <c r="Q28" s="109" t="s">
        <v>108</v>
      </c>
      <c r="R28" s="106">
        <v>8977234</v>
      </c>
      <c r="S28" s="106" t="s">
        <v>165</v>
      </c>
    </row>
    <row r="29" spans="1:19" ht="15" customHeight="1" x14ac:dyDescent="0.2">
      <c r="A29" s="110">
        <v>111110447</v>
      </c>
      <c r="B29" s="110" t="str">
        <f t="shared" si="0"/>
        <v>1111104473</v>
      </c>
      <c r="C29" s="107" t="s">
        <v>155</v>
      </c>
      <c r="D29" s="107" t="s">
        <v>126</v>
      </c>
      <c r="E29" s="107" t="s">
        <v>136</v>
      </c>
      <c r="F29" s="115">
        <v>45658</v>
      </c>
      <c r="G29" s="116">
        <v>45717</v>
      </c>
      <c r="H29" s="114">
        <v>1</v>
      </c>
      <c r="I29" s="113">
        <v>0</v>
      </c>
      <c r="J29" s="114">
        <v>0</v>
      </c>
      <c r="K29" s="114">
        <v>24</v>
      </c>
      <c r="L29" s="114">
        <v>0</v>
      </c>
      <c r="M29" s="114">
        <v>24</v>
      </c>
      <c r="N29" s="110" t="s">
        <v>167</v>
      </c>
      <c r="O29" s="114">
        <v>48</v>
      </c>
      <c r="P29" s="114">
        <v>48</v>
      </c>
      <c r="Q29" s="109" t="s">
        <v>108</v>
      </c>
      <c r="R29" s="106">
        <v>8977234</v>
      </c>
      <c r="S29" s="106" t="s">
        <v>165</v>
      </c>
    </row>
  </sheetData>
  <sortState xmlns:xlrd2="http://schemas.microsoft.com/office/spreadsheetml/2017/richdata2" ref="A2:AA29">
    <sortCondition ref="O2:O2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Cabel, Denisse Raeka</cp:lastModifiedBy>
  <dcterms:created xsi:type="dcterms:W3CDTF">2025-03-26T18:42:18Z</dcterms:created>
  <dcterms:modified xsi:type="dcterms:W3CDTF">2025-03-31T20:21:08Z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2025-03-10T00:00:00Z</vt:filetime>
  </property>
  <property fmtid="{D5CDD505-2E9C-101B-9397-08002B2CF9AE}" pid="3" name="Creator">
    <vt:lpwstr>JasperReports Library version 6.21.3-4a3078d20785ebe464f18037d738d12fc98c13cf</vt:lpwstr>
  </property>
  <property fmtid="{D5CDD505-2E9C-101B-9397-08002B2CF9AE}" pid="4" name="Producer">
    <vt:lpwstr>OpenPDF 1.3.34</vt:lpwstr>
  </property>
  <property fmtid="{D5CDD505-2E9C-101B-9397-08002B2CF9AE}" pid="5" name="LastSaved">
    <vt:filetime>2025-03-10T00:00:00Z</vt:filetime>
  </property>
</Properties>
</file>