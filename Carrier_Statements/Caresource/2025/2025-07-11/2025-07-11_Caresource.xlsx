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Yf6QDFLR6TmdubB4pNoLDzKxN2/AU9w0L7HUKi1ZbxQ="/>
    </ext>
  </extLst>
</workbook>
</file>

<file path=xl/sharedStrings.xml><?xml version="1.0" encoding="utf-8"?>
<sst xmlns="http://schemas.openxmlformats.org/spreadsheetml/2006/main" count="493" uniqueCount="391">
  <si>
    <r>
      <rPr>
        <rFont val="Arial"/>
        <b/>
        <color theme="1"/>
        <sz val="10.0"/>
      </rPr>
      <t>SUMMARY</t>
    </r>
  </si>
  <si>
    <r>
      <rPr>
        <rFont val="Arial"/>
        <b/>
        <color rgb="FF000000"/>
        <sz val="9.0"/>
      </rPr>
      <t xml:space="preserve">Amount
</t>
    </r>
    <r>
      <rPr>
        <rFont val="Arial"/>
        <color rgb="FF000000"/>
        <sz val="9.0"/>
      </rPr>
      <t xml:space="preserve">$213.00
</t>
    </r>
    <r>
      <rPr>
        <rFont val="Arial"/>
        <color rgb="FF000000"/>
        <sz val="9.0"/>
      </rPr>
      <t>$618.17</t>
    </r>
  </si>
  <si>
    <r>
      <rPr>
        <rFont val="Arial"/>
        <b/>
        <color rgb="FF000000"/>
        <sz val="9.0"/>
      </rPr>
      <t xml:space="preserve">Payable Regular Commissions:
</t>
    </r>
    <r>
      <rPr>
        <rFont val="Arial"/>
        <color rgb="FF000000"/>
        <sz val="9.0"/>
      </rPr>
      <t>New Enrollment Commissions Renewal Commissions</t>
    </r>
  </si>
  <si>
    <r>
      <rPr>
        <rFont val="Arial"/>
        <b/>
        <color theme="1"/>
        <sz val="9.0"/>
      </rPr>
      <t>Regular Commissions Sub-Totals:                                                      $831.17</t>
    </r>
  </si>
  <si>
    <r>
      <rPr>
        <rFont val="Arial"/>
        <b/>
        <color theme="1"/>
        <sz val="9.0"/>
      </rPr>
      <t xml:space="preserve">Total Commissions:                                                                                                   </t>
    </r>
    <r>
      <rPr>
        <rFont val="Arial"/>
        <b/>
        <color theme="1"/>
        <sz val="9.0"/>
        <vertAlign val="subscript"/>
      </rPr>
      <t>$831.17</t>
    </r>
  </si>
  <si>
    <r>
      <rPr>
        <rFont val="Arial"/>
        <b/>
        <color theme="1"/>
        <sz val="11.0"/>
      </rPr>
      <t>SUMMARY TOTALS</t>
    </r>
  </si>
  <si>
    <r>
      <rPr>
        <rFont val="Arial"/>
        <b/>
        <color theme="1"/>
        <sz val="9.0"/>
      </rPr>
      <t>Beginning Balance Forward:</t>
    </r>
  </si>
  <si>
    <r>
      <rPr>
        <rFont val="Arial"/>
        <b/>
        <color theme="1"/>
        <sz val="9.0"/>
      </rPr>
      <t>Commission Activity:</t>
    </r>
  </si>
  <si>
    <r>
      <rPr>
        <rFont val="Arial"/>
        <b/>
        <color theme="1"/>
        <sz val="9.0"/>
      </rPr>
      <t>Bonuses:</t>
    </r>
  </si>
  <si>
    <r>
      <rPr>
        <rFont val="Arial"/>
        <b/>
        <color theme="1"/>
        <sz val="9.0"/>
      </rPr>
      <t>Manual Adjustments:</t>
    </r>
  </si>
  <si>
    <r>
      <rPr>
        <rFont val="Arial"/>
        <b/>
        <color theme="1"/>
        <sz val="9.0"/>
      </rPr>
      <t>Total Commissions:</t>
    </r>
  </si>
  <si>
    <r>
      <rPr>
        <rFont val="Arial"/>
        <b/>
        <color theme="1"/>
        <sz val="9.0"/>
      </rPr>
      <t>Amount to Pay:</t>
    </r>
  </si>
  <si>
    <r>
      <rPr>
        <rFont val="Arial"/>
        <b/>
        <color theme="1"/>
        <sz val="9.0"/>
      </rPr>
      <t>Ending Balance Forward:</t>
    </r>
  </si>
  <si>
    <r>
      <rPr>
        <rFont val="Arial"/>
        <b/>
        <color theme="1"/>
        <sz val="10.0"/>
      </rPr>
      <t>Writing Producer                           17528908                                Inskipt, Deborah Lee</t>
    </r>
  </si>
  <si>
    <r>
      <rPr>
        <rFont val="Arial"/>
        <b/>
        <color theme="1"/>
        <sz val="10.0"/>
      </rPr>
      <t>Renewals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</si>
  <si>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</si>
  <si>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</si>
  <si>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</si>
  <si>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State</t>
    </r>
  </si>
  <si>
    <r>
      <rPr>
        <rFont val="Arial"/>
        <b/>
        <color theme="1"/>
        <sz val="9.0"/>
      </rPr>
      <t>Effective Date</t>
    </r>
  </si>
  <si>
    <r>
      <rPr>
        <rFont val="Arial"/>
        <b/>
        <color theme="1"/>
        <sz val="9.0"/>
      </rPr>
      <t>Termination Date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</si>
  <si>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</si>
  <si>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Retro ?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</si>
  <si>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</si>
  <si>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% of Premium</t>
    </r>
  </si>
  <si>
    <r>
      <rPr>
        <rFont val="Arial"/>
        <b/>
        <color theme="1"/>
        <sz val="9.0"/>
      </rPr>
      <t>Commission Based on Premium</t>
    </r>
  </si>
  <si>
    <r>
      <rPr>
        <rFont val="Arial"/>
        <b/>
        <color rgb="FF000000"/>
        <sz val="9.0"/>
      </rPr>
      <t xml:space="preserve">Base PMPM
</t>
    </r>
    <r>
      <rPr>
        <rFont val="Arial"/>
        <b/>
        <color rgb="FF000000"/>
        <sz val="9.0"/>
      </rPr>
      <t>Rate</t>
    </r>
  </si>
  <si>
    <r>
      <rPr>
        <rFont val="Arial"/>
        <b/>
        <color rgb="FF000000"/>
        <sz val="9.0"/>
      </rPr>
      <t xml:space="preserve">Enhanced PMPM
</t>
    </r>
    <r>
      <rPr>
        <rFont val="Arial"/>
        <b/>
        <color rgb="FF000000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</si>
  <si>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</si>
  <si>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Member Count</t>
    </r>
  </si>
  <si>
    <r>
      <rPr>
        <rFont val="Arial"/>
        <b/>
        <color theme="1"/>
        <sz val="9.0"/>
      </rPr>
      <t>Commission Based on Rate</t>
    </r>
  </si>
  <si>
    <r>
      <rPr>
        <rFont val="Arial"/>
        <b/>
        <color theme="1"/>
        <sz val="9.0"/>
      </rPr>
      <t>Override</t>
    </r>
  </si>
  <si>
    <r>
      <rPr>
        <rFont val="Arial"/>
        <b/>
        <color theme="1"/>
        <sz val="9.0"/>
      </rPr>
      <t>Total Commission Paid</t>
    </r>
  </si>
  <si>
    <r>
      <rPr>
        <rFont val="Arial"/>
        <color theme="1"/>
        <sz val="8.0"/>
      </rPr>
      <t>Bumgardner, Larry</t>
    </r>
  </si>
  <si>
    <r>
      <rPr>
        <rFont val="Arial"/>
        <color theme="1"/>
        <sz val="8.0"/>
      </rPr>
      <t>Bronze First 7500 $25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</si>
  <si>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</si>
  <si>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</si>
  <si>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</si>
  <si>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</si>
  <si>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Melvin, Tanner A.</t>
    </r>
  </si>
  <si>
    <r>
      <rPr>
        <rFont val="Arial"/>
        <color theme="1"/>
        <sz val="8.0"/>
      </rPr>
      <t>Low Premium Silver 6000</t>
    </r>
  </si>
  <si>
    <r>
      <rPr>
        <rFont val="Arial"/>
        <color theme="1"/>
        <sz val="8.0"/>
      </rPr>
      <t>WV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</si>
  <si>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</si>
  <si>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</si>
  <si>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</si>
  <si>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Melvin, Todd</t>
    </r>
  </si>
  <si>
    <r>
      <rPr>
        <rFont val="Arial"/>
        <color theme="1"/>
        <sz val="8.0"/>
      </rPr>
      <t>Low Premium Silver 6000</t>
    </r>
  </si>
  <si>
    <r>
      <rPr>
        <rFont val="Arial"/>
        <color theme="1"/>
        <sz val="8.0"/>
      </rPr>
      <t>WV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</si>
  <si>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</si>
  <si>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</si>
  <si>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</si>
  <si>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Henry, Lori</t>
    </r>
  </si>
  <si>
    <r>
      <rPr>
        <rFont val="Arial"/>
        <color theme="1"/>
        <sz val="8.0"/>
      </rPr>
      <t>Low Premium Silver 1000</t>
    </r>
  </si>
  <si>
    <r>
      <rPr>
        <rFont val="Arial"/>
        <color theme="1"/>
        <sz val="8.0"/>
      </rPr>
      <t>WV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</si>
  <si>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</si>
  <si>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</si>
  <si>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</si>
  <si>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Stephan, Alana</t>
    </r>
  </si>
  <si>
    <r>
      <rPr>
        <rFont val="Arial"/>
        <color theme="1"/>
        <sz val="8.0"/>
      </rPr>
      <t>Low Premium Silver 1000</t>
    </r>
  </si>
  <si>
    <r>
      <rPr>
        <rFont val="Arial"/>
        <color theme="1"/>
        <sz val="8.0"/>
      </rPr>
      <t>WV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</si>
  <si>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</si>
  <si>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</si>
  <si>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</si>
  <si>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b/>
        <color theme="1"/>
        <sz val="9.0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$ 141.00</t>
    </r>
  </si>
  <si>
    <r>
      <rPr>
        <rFont val="Arial"/>
        <b/>
        <color theme="1"/>
        <sz val="9.0"/>
      </rPr>
      <t>Total for Writing Producer       17528908        Inskipt, Deborah Lee                                                                                                                                                                                                                                $ 141.00</t>
    </r>
  </si>
  <si>
    <r>
      <rPr>
        <rFont val="Arial"/>
        <b/>
        <color theme="1"/>
        <sz val="10.0"/>
      </rPr>
      <t>Writing Producer                           18710070                                Mccorkle, Michelle</t>
    </r>
  </si>
  <si>
    <r>
      <rPr>
        <rFont val="Arial"/>
        <b/>
        <color theme="1"/>
        <sz val="10.0"/>
      </rPr>
      <t>Renewals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</si>
  <si>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</si>
  <si>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</si>
  <si>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</si>
  <si>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State</t>
    </r>
  </si>
  <si>
    <r>
      <rPr>
        <rFont val="Arial"/>
        <b/>
        <color theme="1"/>
        <sz val="9.0"/>
      </rPr>
      <t>Effective Date</t>
    </r>
  </si>
  <si>
    <r>
      <rPr>
        <rFont val="Arial"/>
        <b/>
        <color theme="1"/>
        <sz val="9.0"/>
      </rPr>
      <t>Termination Date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</si>
  <si>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</si>
  <si>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Retro ?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</si>
  <si>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</si>
  <si>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% of Premium</t>
    </r>
  </si>
  <si>
    <r>
      <rPr>
        <rFont val="Arial"/>
        <b/>
        <color theme="1"/>
        <sz val="9.0"/>
      </rPr>
      <t>Commission Based on Premium</t>
    </r>
  </si>
  <si>
    <r>
      <rPr>
        <rFont val="Arial"/>
        <b/>
        <color rgb="FF000000"/>
        <sz val="9.0"/>
      </rPr>
      <t xml:space="preserve">Base PMPM
</t>
    </r>
    <r>
      <rPr>
        <rFont val="Arial"/>
        <b/>
        <color rgb="FF000000"/>
        <sz val="9.0"/>
      </rPr>
      <t>Rate</t>
    </r>
  </si>
  <si>
    <r>
      <rPr>
        <rFont val="Arial"/>
        <b/>
        <color rgb="FF000000"/>
        <sz val="9.0"/>
      </rPr>
      <t xml:space="preserve">Enhanced PMPM
</t>
    </r>
    <r>
      <rPr>
        <rFont val="Arial"/>
        <b/>
        <color rgb="FF000000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</si>
  <si>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</si>
  <si>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Member Count</t>
    </r>
  </si>
  <si>
    <r>
      <rPr>
        <rFont val="Arial"/>
        <b/>
        <color theme="1"/>
        <sz val="9.0"/>
      </rPr>
      <t>Commission Based on Rate</t>
    </r>
  </si>
  <si>
    <r>
      <rPr>
        <rFont val="Arial"/>
        <b/>
        <color theme="1"/>
        <sz val="9.0"/>
      </rPr>
      <t>Override</t>
    </r>
  </si>
  <si>
    <r>
      <rPr>
        <rFont val="Arial"/>
        <b/>
        <color theme="1"/>
        <sz val="9.0"/>
      </rPr>
      <t>Total Commission Paid</t>
    </r>
  </si>
  <si>
    <r>
      <rPr>
        <rFont val="Arial"/>
        <color theme="1"/>
        <sz val="8.0"/>
      </rPr>
      <t>Thomas, Kathleen</t>
    </r>
  </si>
  <si>
    <r>
      <rPr>
        <rFont val="Arial"/>
        <color theme="1"/>
        <sz val="8.0"/>
      </rPr>
      <t>Low Premium Silver 500 $0</t>
    </r>
  </si>
  <si>
    <r>
      <rPr>
        <rFont val="Arial"/>
        <color theme="1"/>
        <sz val="8.0"/>
      </rPr>
      <t>WV</t>
    </r>
  </si>
  <si>
    <r>
      <rPr>
        <rFont val="Arial"/>
        <color theme="1"/>
        <sz val="8.0"/>
      </rPr>
      <t>05/2025</t>
    </r>
  </si>
  <si>
    <r>
      <rPr>
        <rFont val="Arial"/>
        <color theme="1"/>
        <sz val="8.0"/>
      </rPr>
      <t>Y</t>
    </r>
  </si>
  <si>
    <r>
      <rPr>
        <rFont val="Arial"/>
        <color rgb="FFCC0000"/>
        <sz val="8.0"/>
      </rPr>
      <t>N</t>
    </r>
  </si>
  <si>
    <r>
      <rPr>
        <rFont val="Arial"/>
        <color theme="1"/>
        <sz val="8.0"/>
      </rPr>
      <t>Thomas, Kathleen</t>
    </r>
  </si>
  <si>
    <r>
      <rPr>
        <rFont val="Arial"/>
        <color theme="1"/>
        <sz val="8.0"/>
      </rPr>
      <t>Low Premium Silver 500 $0</t>
    </r>
  </si>
  <si>
    <r>
      <rPr>
        <rFont val="Arial"/>
        <color theme="1"/>
        <sz val="8.0"/>
      </rPr>
      <t>WV</t>
    </r>
  </si>
  <si>
    <r>
      <rPr>
        <rFont val="Arial"/>
        <color theme="1"/>
        <sz val="8.0"/>
      </rPr>
      <t>06/2025</t>
    </r>
  </si>
  <si>
    <r>
      <rPr>
        <rFont val="Arial"/>
        <color theme="1"/>
        <sz val="8.0"/>
      </rPr>
      <t>Y</t>
    </r>
  </si>
  <si>
    <r>
      <rPr>
        <rFont val="Arial"/>
        <color rgb="FFCC0000"/>
        <sz val="8.0"/>
      </rPr>
      <t>N</t>
    </r>
  </si>
  <si>
    <r>
      <rPr>
        <rFont val="Arial"/>
        <b/>
        <color theme="1"/>
        <sz val="9.0"/>
      </rPr>
      <t xml:space="preserve"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rgb="FFCC0000"/>
        <sz val="9.0"/>
      </rPr>
      <t>-$ 40.00</t>
    </r>
  </si>
  <si>
    <r>
      <rPr>
        <rFont val="Arial"/>
        <b/>
        <color theme="1"/>
        <sz val="9.0"/>
      </rPr>
      <t xml:space="preserve">Total for Writing Producer       18710070        Mccorkle, Michelle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rgb="FFCC0000"/>
        <sz val="9.0"/>
      </rPr>
      <t>-$ 40.00</t>
    </r>
  </si>
  <si>
    <r>
      <rPr>
        <rFont val="Arial"/>
        <b/>
        <color theme="1"/>
        <sz val="10.0"/>
      </rPr>
      <t>Writing Producer                           19681796                                Taugner, Christian</t>
    </r>
  </si>
  <si>
    <r>
      <rPr>
        <rFont val="Arial"/>
        <b/>
        <color theme="1"/>
        <sz val="10.0"/>
      </rPr>
      <t>Renewals</t>
    </r>
  </si>
  <si>
    <r>
      <rPr>
        <rFont val="Arial"/>
        <b/>
        <color theme="1"/>
        <sz val="9.0"/>
      </rPr>
      <t>Effective</t>
    </r>
  </si>
  <si>
    <r>
      <rPr>
        <rFont val="Arial"/>
        <b/>
        <color theme="1"/>
        <sz val="9.0"/>
      </rPr>
      <t>Termination</t>
    </r>
  </si>
  <si>
    <r>
      <rPr>
        <rFont val="Arial"/>
        <b/>
        <color theme="1"/>
        <sz val="9.0"/>
      </rPr>
      <t>% of</t>
    </r>
  </si>
  <si>
    <r>
      <rPr>
        <rFont val="Arial"/>
        <b/>
        <color theme="1"/>
        <sz val="9.0"/>
      </rPr>
      <t>Commission Based on</t>
    </r>
  </si>
  <si>
    <r>
      <rPr>
        <rFont val="Arial"/>
        <b/>
        <color theme="1"/>
        <sz val="9.0"/>
      </rPr>
      <t>Base PMPM</t>
    </r>
  </si>
  <si>
    <r>
      <rPr>
        <rFont val="Arial"/>
        <b/>
        <color theme="1"/>
        <sz val="9.0"/>
      </rPr>
      <t>Enhanced PMPM</t>
    </r>
  </si>
  <si>
    <r>
      <rPr>
        <rFont val="Arial"/>
        <b/>
        <color theme="1"/>
        <sz val="9.0"/>
      </rPr>
      <t>Member</t>
    </r>
  </si>
  <si>
    <r>
      <rPr>
        <rFont val="Arial"/>
        <b/>
        <color theme="1"/>
        <sz val="9.0"/>
      </rPr>
      <t>Commission Based on</t>
    </r>
  </si>
  <si>
    <r>
      <rPr>
        <rFont val="Arial"/>
        <b/>
        <color theme="1"/>
        <sz val="9.0"/>
      </rPr>
      <t>Total Commission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</si>
  <si>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</si>
  <si>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</si>
  <si>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</si>
  <si>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State</t>
    </r>
  </si>
  <si>
    <r>
      <rPr>
        <rFont val="Arial"/>
        <b/>
        <color theme="1"/>
        <sz val="9.0"/>
      </rPr>
      <t>Date</t>
    </r>
  </si>
  <si>
    <r>
      <rPr>
        <rFont val="Arial"/>
        <b/>
        <color theme="1"/>
        <sz val="9.0"/>
      </rPr>
      <t>Date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</si>
  <si>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</si>
  <si>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Retro ?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</si>
  <si>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</si>
  <si>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</si>
  <si>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</si>
  <si>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</si>
  <si>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</si>
  <si>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</si>
  <si>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Count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</si>
  <si>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</si>
  <si>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Override</t>
    </r>
  </si>
  <si>
    <r>
      <rPr>
        <rFont val="Arial"/>
        <b/>
        <color theme="1"/>
        <sz val="9.0"/>
      </rPr>
      <t>Paid</t>
    </r>
  </si>
  <si>
    <r>
      <rPr>
        <rFont val="Arial"/>
        <color theme="1"/>
        <sz val="8.0"/>
      </rPr>
      <t>Smith, Cynthia A.</t>
    </r>
  </si>
  <si>
    <r>
      <rPr>
        <rFont val="Arial"/>
        <color theme="1"/>
        <sz val="8.0"/>
      </rPr>
      <t>CGHC Bronze Standard</t>
    </r>
  </si>
  <si>
    <r>
      <rPr>
        <rFont val="Arial"/>
        <color theme="1"/>
        <sz val="8.0"/>
      </rPr>
      <t>WI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</si>
  <si>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</si>
  <si>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</si>
  <si>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</si>
  <si>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Charles, Billy D.</t>
    </r>
  </si>
  <si>
    <r>
      <rPr>
        <rFont val="Arial"/>
        <color theme="1"/>
        <sz val="8.0"/>
      </rPr>
      <t>CGHC Bronze $9200 ($40</t>
    </r>
  </si>
  <si>
    <r>
      <rPr>
        <rFont val="Arial"/>
        <color theme="1"/>
        <sz val="8.0"/>
      </rPr>
      <t>WI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</si>
  <si>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</si>
  <si>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</si>
  <si>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</si>
  <si>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Balk, Brooke E.</t>
    </r>
  </si>
  <si>
    <r>
      <rPr>
        <rFont val="Arial"/>
        <color theme="1"/>
        <sz val="8.0"/>
      </rPr>
      <t>CGHC Catastrophic $9200</t>
    </r>
  </si>
  <si>
    <r>
      <rPr>
        <rFont val="Arial"/>
        <color theme="1"/>
        <sz val="8.0"/>
      </rPr>
      <t>WI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</si>
  <si>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</si>
  <si>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</si>
  <si>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</si>
  <si>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b/>
        <color theme="1"/>
        <sz val="9.0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  $ 60.00</t>
    </r>
  </si>
  <si>
    <r>
      <rPr>
        <rFont val="Arial"/>
        <b/>
        <color theme="1"/>
        <sz val="9.0"/>
      </rPr>
      <t>Total for Writing Producer       19681796        Taugner, Christian                                                                                                                                                                                                                                    $ 60.00</t>
    </r>
  </si>
  <si>
    <r>
      <rPr>
        <rFont val="Arial"/>
        <b/>
        <color theme="1"/>
        <sz val="10.0"/>
      </rPr>
      <t>Writing Producer                           8977234                                  Caltagirone, Ryan J</t>
    </r>
  </si>
  <si>
    <r>
      <rPr>
        <rFont val="Arial"/>
        <b/>
        <color theme="1"/>
        <sz val="10.0"/>
      </rPr>
      <t>New Enrollment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</si>
  <si>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</si>
  <si>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</si>
  <si>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</si>
  <si>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State</t>
    </r>
  </si>
  <si>
    <r>
      <rPr>
        <rFont val="Arial"/>
        <b/>
        <color theme="1"/>
        <sz val="9.0"/>
      </rPr>
      <t>Effective Date</t>
    </r>
  </si>
  <si>
    <r>
      <rPr>
        <rFont val="Arial"/>
        <b/>
        <color theme="1"/>
        <sz val="9.0"/>
      </rPr>
      <t>Termination Date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</si>
  <si>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</si>
  <si>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Retro ?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</si>
  <si>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</si>
  <si>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% of Premium</t>
    </r>
  </si>
  <si>
    <r>
      <rPr>
        <rFont val="Arial"/>
        <b/>
        <color theme="1"/>
        <sz val="9.0"/>
      </rPr>
      <t>Commission Based on Premium</t>
    </r>
  </si>
  <si>
    <r>
      <rPr>
        <rFont val="Arial"/>
        <b/>
        <color rgb="FF000000"/>
        <sz val="9.0"/>
      </rPr>
      <t xml:space="preserve">Base PMPM
</t>
    </r>
    <r>
      <rPr>
        <rFont val="Arial"/>
        <b/>
        <color rgb="FF000000"/>
        <sz val="9.0"/>
      </rPr>
      <t>Rate</t>
    </r>
  </si>
  <si>
    <r>
      <rPr>
        <rFont val="Arial"/>
        <b/>
        <color rgb="FF000000"/>
        <sz val="9.0"/>
      </rPr>
      <t xml:space="preserve">Enhanced PMPM
</t>
    </r>
    <r>
      <rPr>
        <rFont val="Arial"/>
        <b/>
        <color rgb="FF000000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</si>
  <si>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</si>
  <si>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Member Count</t>
    </r>
  </si>
  <si>
    <r>
      <rPr>
        <rFont val="Arial"/>
        <b/>
        <color theme="1"/>
        <sz val="9.0"/>
      </rPr>
      <t>Commission Based on Rate</t>
    </r>
  </si>
  <si>
    <r>
      <rPr>
        <rFont val="Arial"/>
        <b/>
        <color theme="1"/>
        <sz val="9.0"/>
      </rPr>
      <t>Override</t>
    </r>
  </si>
  <si>
    <r>
      <rPr>
        <rFont val="Arial"/>
        <b/>
        <color theme="1"/>
        <sz val="9.0"/>
      </rPr>
      <t>Total Commission Paid</t>
    </r>
  </si>
  <si>
    <r>
      <rPr>
        <rFont val="Arial"/>
        <color theme="1"/>
        <sz val="8.0"/>
      </rPr>
      <t>Binns, Connie</t>
    </r>
  </si>
  <si>
    <r>
      <rPr>
        <rFont val="Arial"/>
        <color theme="1"/>
        <sz val="8.0"/>
      </rPr>
      <t>Low Premium Silver 1000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</si>
  <si>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</si>
  <si>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</si>
  <si>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</si>
  <si>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</si>
  <si>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Morr, Kylee</t>
    </r>
  </si>
  <si>
    <r>
      <rPr>
        <rFont val="Arial"/>
        <color theme="1"/>
        <sz val="8.0"/>
      </rPr>
      <t>Low Premium Silver 1000</t>
    </r>
  </si>
  <si>
    <r>
      <rPr>
        <rFont val="Arial"/>
        <color theme="1"/>
        <sz val="8.0"/>
      </rPr>
      <t>IN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</si>
  <si>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</si>
  <si>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</si>
  <si>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</si>
  <si>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Kissel, Gavin</t>
    </r>
  </si>
  <si>
    <r>
      <rPr>
        <rFont val="Arial"/>
        <color theme="1"/>
        <sz val="8.0"/>
      </rPr>
      <t>HSA Eligible Bronze 6000</t>
    </r>
  </si>
  <si>
    <r>
      <rPr>
        <rFont val="Arial"/>
        <color theme="1"/>
        <sz val="8.0"/>
      </rPr>
      <t>IN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</si>
  <si>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</si>
  <si>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</si>
  <si>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</si>
  <si>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Kissel, Amy</t>
    </r>
  </si>
  <si>
    <r>
      <rPr>
        <rFont val="Arial"/>
        <color theme="1"/>
        <sz val="8.0"/>
      </rPr>
      <t>Bronze First 7500 $25</t>
    </r>
  </si>
  <si>
    <r>
      <rPr>
        <rFont val="Arial"/>
        <color theme="1"/>
        <sz val="8.0"/>
      </rPr>
      <t>IN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</si>
  <si>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</si>
  <si>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</si>
  <si>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</si>
  <si>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Kissel, Seth</t>
    </r>
  </si>
  <si>
    <r>
      <rPr>
        <rFont val="Arial"/>
        <color theme="1"/>
        <sz val="8.0"/>
      </rPr>
      <t>Bronze First 7500 $25</t>
    </r>
  </si>
  <si>
    <r>
      <rPr>
        <rFont val="Arial"/>
        <color theme="1"/>
        <sz val="8.0"/>
      </rPr>
      <t>IN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</si>
  <si>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</si>
  <si>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</si>
  <si>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</si>
  <si>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b/>
        <color theme="1"/>
        <sz val="9.0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$ 213.00</t>
    </r>
  </si>
  <si>
    <r>
      <rPr>
        <rFont val="Arial"/>
        <b/>
        <color theme="1"/>
        <sz val="10.0"/>
      </rPr>
      <t>Renewals</t>
    </r>
  </si>
  <si>
    <r>
      <rPr>
        <rFont val="Arial"/>
        <b/>
        <color theme="1"/>
        <sz val="9.0"/>
      </rPr>
      <t>Effective</t>
    </r>
  </si>
  <si>
    <r>
      <rPr>
        <rFont val="Arial"/>
        <b/>
        <color theme="1"/>
        <sz val="9.0"/>
      </rPr>
      <t>Termination</t>
    </r>
  </si>
  <si>
    <r>
      <rPr>
        <rFont val="Arial"/>
        <b/>
        <color theme="1"/>
        <sz val="9.0"/>
      </rPr>
      <t>% of</t>
    </r>
  </si>
  <si>
    <r>
      <rPr>
        <rFont val="Arial"/>
        <b/>
        <color theme="1"/>
        <sz val="9.0"/>
      </rPr>
      <t>Commission Based on</t>
    </r>
  </si>
  <si>
    <r>
      <rPr>
        <rFont val="Arial"/>
        <b/>
        <color theme="1"/>
        <sz val="9.0"/>
      </rPr>
      <t>Base PMPM</t>
    </r>
  </si>
  <si>
    <r>
      <rPr>
        <rFont val="Arial"/>
        <b/>
        <color theme="1"/>
        <sz val="9.0"/>
      </rPr>
      <t>Enhanced PMPM</t>
    </r>
  </si>
  <si>
    <r>
      <rPr>
        <rFont val="Arial"/>
        <b/>
        <color theme="1"/>
        <sz val="9.0"/>
      </rPr>
      <t>Member</t>
    </r>
  </si>
  <si>
    <r>
      <rPr>
        <rFont val="Arial"/>
        <b/>
        <color theme="1"/>
        <sz val="9.0"/>
      </rPr>
      <t>Commission Based on</t>
    </r>
  </si>
  <si>
    <r>
      <rPr>
        <rFont val="Arial"/>
        <b/>
        <color theme="1"/>
        <sz val="9.0"/>
      </rPr>
      <t>Total Commission</t>
    </r>
  </si>
  <si>
    <r>
      <rPr>
        <rFont val="Arial"/>
        <b/>
        <color theme="1"/>
        <sz val="9.0"/>
      </rPr>
      <t>Member ID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</si>
  <si>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</si>
  <si>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Product</t>
    </r>
  </si>
  <si>
    <r>
      <rPr>
        <rFont val="Arial"/>
        <b/>
        <color theme="1"/>
        <sz val="9.0"/>
      </rPr>
      <t>State</t>
    </r>
  </si>
  <si>
    <r>
      <rPr>
        <rFont val="Arial"/>
        <b/>
        <color theme="1"/>
        <sz val="9.0"/>
      </rPr>
      <t>Date</t>
    </r>
  </si>
  <si>
    <r>
      <rPr>
        <rFont val="Arial"/>
        <b/>
        <color theme="1"/>
        <sz val="9.0"/>
      </rPr>
      <t>Date</t>
    </r>
  </si>
  <si>
    <r>
      <rPr>
        <rFont val="Arial"/>
        <b/>
        <color theme="1"/>
        <sz val="9.0"/>
      </rPr>
      <t>Period</t>
    </r>
  </si>
  <si>
    <r>
      <rPr>
        <rFont val="Arial"/>
        <b/>
        <color theme="1"/>
        <sz val="9.0"/>
      </rPr>
      <t>Retro ?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</si>
  <si>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</si>
  <si>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</si>
  <si>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Premium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</si>
  <si>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</si>
  <si>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</si>
  <si>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</si>
  <si>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Count</t>
    </r>
  </si>
  <si>
    <r>
      <rPr>
        <rFont val="Arial"/>
        <b/>
        <color theme="1"/>
        <sz val="9.0"/>
      </rPr>
      <t>Rate</t>
    </r>
  </si>
  <si>
    <r>
      <rPr>
        <rFont val="Arial"/>
        <b/>
        <color theme="1"/>
        <sz val="9.0"/>
      </rPr>
      <t>Override</t>
    </r>
  </si>
  <si>
    <r>
      <rPr>
        <rFont val="Arial"/>
        <b/>
        <color theme="1"/>
        <sz val="9.0"/>
      </rPr>
      <t>Paid</t>
    </r>
  </si>
  <si>
    <r>
      <rPr>
        <rFont val="Arial"/>
        <color theme="1"/>
        <sz val="8.0"/>
      </rPr>
      <t>Hartman, Jerry</t>
    </r>
  </si>
  <si>
    <r>
      <rPr>
        <rFont val="Arial"/>
        <color theme="1"/>
        <sz val="8.0"/>
      </rPr>
      <t>Silver 5000 $20 Generic</t>
    </r>
  </si>
  <si>
    <r>
      <rPr>
        <rFont val="Arial"/>
        <color theme="1"/>
        <sz val="8.0"/>
      </rPr>
      <t>IN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</si>
  <si>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</si>
  <si>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</si>
  <si>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</si>
  <si>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Zumpella, Denise</t>
    </r>
  </si>
  <si>
    <r>
      <rPr>
        <rFont val="Arial"/>
        <color theme="1"/>
        <sz val="8.0"/>
      </rPr>
      <t>Bronze First 7500 $25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</si>
  <si>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</si>
  <si>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</si>
  <si>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</si>
  <si>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</si>
  <si>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Stubbins, Donna</t>
    </r>
  </si>
  <si>
    <r>
      <rPr>
        <rFont val="Arial"/>
        <color theme="1"/>
        <sz val="8.0"/>
      </rPr>
      <t>Bronze First 7500 $25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</si>
  <si>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</si>
  <si>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</si>
  <si>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</si>
  <si>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</si>
  <si>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Dello, Jackie</t>
    </r>
  </si>
  <si>
    <r>
      <rPr>
        <rFont val="Arial"/>
        <color theme="1"/>
        <sz val="8.0"/>
      </rPr>
      <t>Bronze First 7500 $25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</si>
  <si>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</si>
  <si>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</si>
  <si>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</si>
  <si>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</si>
  <si>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Coates, Frida</t>
    </r>
  </si>
  <si>
    <r>
      <rPr>
        <rFont val="Arial"/>
        <color theme="1"/>
        <sz val="8.0"/>
      </rPr>
      <t>Bronze First 7500 $25</t>
    </r>
  </si>
  <si>
    <r>
      <rPr>
        <rFont val="Arial"/>
        <color theme="1"/>
        <sz val="8.0"/>
      </rPr>
      <t>GA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</si>
  <si>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</si>
  <si>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</si>
  <si>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</si>
  <si>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Zollars, Samuel</t>
    </r>
  </si>
  <si>
    <r>
      <rPr>
        <rFont val="Arial"/>
        <color theme="1"/>
        <sz val="8.0"/>
      </rPr>
      <t>Low Premium Silver 6000</t>
    </r>
  </si>
  <si>
    <r>
      <rPr>
        <rFont val="Arial"/>
        <color theme="1"/>
        <sz val="8.0"/>
      </rPr>
      <t>IN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</si>
  <si>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</si>
  <si>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</si>
  <si>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</si>
  <si>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Crowe, Gary M.</t>
    </r>
  </si>
  <si>
    <r>
      <rPr>
        <rFont val="Arial"/>
        <color theme="1"/>
        <sz val="8.0"/>
      </rPr>
      <t>Bronze First 7500 $25</t>
    </r>
  </si>
  <si>
    <r>
      <rPr>
        <rFont val="Arial"/>
        <color theme="1"/>
        <sz val="8.0"/>
      </rPr>
      <t>GA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</si>
  <si>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</si>
  <si>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</si>
  <si>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</si>
  <si>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Masterson, Timothy</t>
    </r>
  </si>
  <si>
    <r>
      <rPr>
        <rFont val="Arial"/>
        <color theme="1"/>
        <sz val="8.0"/>
      </rPr>
      <t>Silver 3000 $20 Generic</t>
    </r>
  </si>
  <si>
    <r>
      <rPr>
        <rFont val="Arial"/>
        <color theme="1"/>
        <sz val="8.0"/>
      </rPr>
      <t>IN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</si>
  <si>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</si>
  <si>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</si>
  <si>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</si>
  <si>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Robles, Caroline</t>
    </r>
  </si>
  <si>
    <r>
      <rPr>
        <rFont val="Arial"/>
        <color theme="1"/>
        <sz val="8.0"/>
      </rPr>
      <t>Bronze First 7500 $25</t>
    </r>
  </si>
  <si>
    <r>
      <rPr>
        <rFont val="Arial"/>
        <color theme="1"/>
        <sz val="8.0"/>
      </rPr>
      <t>GA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</si>
  <si>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</si>
  <si>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</si>
  <si>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</si>
  <si>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Wuthrich, Terry</t>
    </r>
  </si>
  <si>
    <r>
      <rPr>
        <rFont val="Arial"/>
        <color theme="1"/>
        <sz val="8.0"/>
      </rPr>
      <t>Bronze First 7500 $25</t>
    </r>
  </si>
  <si>
    <r>
      <rPr>
        <rFont val="Arial"/>
        <color theme="1"/>
        <sz val="8.0"/>
      </rPr>
      <t>IN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</si>
  <si>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</si>
  <si>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</si>
  <si>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</si>
  <si>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Prescaro, Kimberly</t>
    </r>
  </si>
  <si>
    <r>
      <rPr>
        <rFont val="Arial"/>
        <color theme="1"/>
        <sz val="8.0"/>
      </rPr>
      <t>Low Premium Silver 1000</t>
    </r>
  </si>
  <si>
    <r>
      <rPr>
        <rFont val="Arial"/>
        <color theme="1"/>
        <sz val="8.0"/>
      </rPr>
      <t>IN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</si>
  <si>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</si>
  <si>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</si>
  <si>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</si>
  <si>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Burkett, Terri</t>
    </r>
  </si>
  <si>
    <r>
      <rPr>
        <rFont val="Arial"/>
        <color theme="1"/>
        <sz val="8.0"/>
      </rPr>
      <t>Low Premium Silver 1000</t>
    </r>
  </si>
  <si>
    <r>
      <rPr>
        <rFont val="Arial"/>
        <color theme="1"/>
        <sz val="8.0"/>
      </rPr>
      <t>IN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</si>
  <si>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</si>
  <si>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</si>
  <si>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</si>
  <si>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Gale, Nancy</t>
    </r>
  </si>
  <si>
    <r>
      <rPr>
        <rFont val="Arial"/>
        <color theme="1"/>
        <sz val="8.0"/>
      </rPr>
      <t>Bronze First 7500 $25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</si>
  <si>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</si>
  <si>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</si>
  <si>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</si>
  <si>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</si>
  <si>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Beach, Sherry</t>
    </r>
  </si>
  <si>
    <r>
      <rPr>
        <rFont val="Arial"/>
        <color theme="1"/>
        <sz val="8.0"/>
      </rPr>
      <t>Bronze First 7500 $25</t>
    </r>
  </si>
  <si>
    <r>
      <rPr>
        <rFont val="Arial"/>
        <color theme="1"/>
        <sz val="8.0"/>
      </rPr>
      <t>IN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</si>
  <si>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</si>
  <si>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</si>
  <si>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</si>
  <si>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Stevanus, Christopher</t>
    </r>
  </si>
  <si>
    <r>
      <rPr>
        <rFont val="Arial"/>
        <color theme="1"/>
        <sz val="8.0"/>
      </rPr>
      <t>Bronze First 7500 $25</t>
    </r>
  </si>
  <si>
    <r>
      <rPr>
        <rFont val="Arial"/>
        <color theme="1"/>
        <sz val="8.0"/>
      </rPr>
      <t>OH</t>
    </r>
  </si>
  <si>
    <r>
      <rPr>
        <rFont val="Arial"/>
        <color theme="1"/>
        <sz val="8.0"/>
      </rPr>
      <t>07/2025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</si>
  <si>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</si>
  <si>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N</t>
    </r>
  </si>
  <si>
    <r>
      <rPr>
        <rFont val="Arial"/>
        <b/>
        <color theme="1"/>
        <sz val="9.0"/>
      </rPr>
      <t>Total for Renewals</t>
    </r>
  </si>
  <si>
    <r>
      <rPr>
        <rFont val="Arial"/>
        <b/>
        <color theme="1"/>
        <sz val="9.0"/>
      </rPr>
      <t>Total for Writing Producer</t>
    </r>
  </si>
  <si>
    <r>
      <rPr>
        <rFont val="Arial"/>
        <b/>
        <color theme="1"/>
        <sz val="9.0"/>
      </rPr>
      <t>Caltagirone, Ryan J</t>
    </r>
  </si>
  <si>
    <t>Member ID</t>
  </si>
  <si>
    <t>Name</t>
  </si>
  <si>
    <t>Product</t>
  </si>
  <si>
    <t>State</t>
  </si>
  <si>
    <t>Effective Date</t>
  </si>
  <si>
    <t>Termination Date</t>
  </si>
  <si>
    <t>Period</t>
  </si>
  <si>
    <t>Premium</t>
  </si>
  <si>
    <t>% of Premium</t>
  </si>
  <si>
    <t>Commission Based on Premium</t>
  </si>
  <si>
    <r>
      <rPr>
        <rFont val="Arial"/>
        <color rgb="FF000000"/>
        <sz val="9.0"/>
      </rPr>
      <t>Base PMPM
Rate</t>
    </r>
  </si>
  <si>
    <r>
      <rPr>
        <rFont val="Arial"/>
        <color rgb="FF000000"/>
        <sz val="9.0"/>
      </rPr>
      <t>Enhanced PMPM
Rate</t>
    </r>
  </si>
  <si>
    <t>Rate</t>
  </si>
  <si>
    <t>Member Count</t>
  </si>
  <si>
    <t>Commission Based on Rate</t>
  </si>
  <si>
    <t>Total Commission Paid</t>
  </si>
  <si>
    <t>Coates, Frida</t>
  </si>
  <si>
    <t>Bronze First 7500 $25</t>
  </si>
  <si>
    <t>GA</t>
  </si>
  <si>
    <t>Caltagirone, Ryan J</t>
  </si>
  <si>
    <t>Caresource 2025 - GA</t>
  </si>
  <si>
    <t>Crowe, Gary M.</t>
  </si>
  <si>
    <t>Robles, Caroline</t>
  </si>
  <si>
    <t>Smith, Cynthia A.</t>
  </si>
  <si>
    <t>CGHC Bronze Standard</t>
  </si>
  <si>
    <t>WI</t>
  </si>
  <si>
    <t>Taugner, Christian</t>
  </si>
  <si>
    <t>Caresource - WV</t>
  </si>
  <si>
    <t>Charles, Billy D.</t>
  </si>
  <si>
    <t>CGHC Bronze $9200 ($40</t>
  </si>
  <si>
    <t>Balk, Brooke E.</t>
  </si>
  <si>
    <t>CGHC Catastrophic $9200</t>
  </si>
  <si>
    <t>Melvin, Tanner A.</t>
  </si>
  <si>
    <t>Low Premium Silver 6000</t>
  </si>
  <si>
    <t>WV</t>
  </si>
  <si>
    <t>Inskipt, Deborah Lee</t>
  </si>
  <si>
    <t>Melvin, Todd</t>
  </si>
  <si>
    <t>[PMPM=2]</t>
  </si>
  <si>
    <t>Henry, Lori</t>
  </si>
  <si>
    <t>Low Premium Silver 1000</t>
  </si>
  <si>
    <t>Stephan, Alana</t>
  </si>
  <si>
    <t>Thomas, Kathleen</t>
  </si>
  <si>
    <t>Low Premium Silver 500 $0</t>
  </si>
  <si>
    <t>Mccorkle, Michelle</t>
  </si>
  <si>
    <t>Bumgardner, Larry</t>
  </si>
  <si>
    <t>OH</t>
  </si>
  <si>
    <t>Caresource - OH</t>
  </si>
  <si>
    <t>Binns, Connie</t>
  </si>
  <si>
    <t>Zumpella, Denise</t>
  </si>
  <si>
    <t>Stubbins, Donna</t>
  </si>
  <si>
    <t>Dello, Jackie</t>
  </si>
  <si>
    <t>Gale, Nancy</t>
  </si>
  <si>
    <t>Stevanus, Christopher</t>
  </si>
  <si>
    <t>Morr, Kylee</t>
  </si>
  <si>
    <t>IN</t>
  </si>
  <si>
    <t>Caresource - OS</t>
  </si>
  <si>
    <t>Kissel, Gavin</t>
  </si>
  <si>
    <t>HSA Eligible Bronze 6000</t>
  </si>
  <si>
    <t>[PMPM=3]</t>
  </si>
  <si>
    <t>Kissel, Amy</t>
  </si>
  <si>
    <t>Kissel, Seth</t>
  </si>
  <si>
    <t>Hartman, Jerry</t>
  </si>
  <si>
    <t>Silver 5000 $20 Generic</t>
  </si>
  <si>
    <t>Zollars, Samuel</t>
  </si>
  <si>
    <t>Wuthrich, Terry</t>
  </si>
  <si>
    <t>Burkett, Terri</t>
  </si>
  <si>
    <t>Beach, Sherry</t>
  </si>
  <si>
    <t>Masterson, Timothy</t>
  </si>
  <si>
    <t>Silver 3000 $20 Generic</t>
  </si>
  <si>
    <t>Caresource - IN, NC</t>
  </si>
  <si>
    <t>Prescaro, Kimberly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</si>
</sst>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$0.00"/>
    <numFmt numFmtId="165" formatCode="mm/dd/yyyy"/>
    <numFmt numFmtId="166" formatCode="\$\ 0.00"/>
    <numFmt numFmtId="167" formatCode="\$\ #,##0.00"/>
  </numFmts>
  <fonts count="12">
    <font>
      <sz val="10.0"/>
      <color rgb="FF000000"/>
      <name val="Times New Roman"/>
      <scheme val="minor"/>
    </font>
    <font>
      <b/>
      <sz val="10.0"/>
      <color theme="1"/>
      <name val="Arial"/>
    </font>
    <font/>
    <font>
      <sz val="10.0"/>
      <color rgb="FF000000"/>
      <name val="Times New Roman"/>
    </font>
    <font>
      <b/>
      <sz val="9.0"/>
      <color theme="1"/>
      <name val="Arial"/>
    </font>
    <font>
      <b/>
      <sz val="11.0"/>
      <color theme="1"/>
      <name val="Arial"/>
    </font>
    <font>
      <b/>
      <sz val="9.0"/>
      <color rgb="FF000000"/>
      <name val="Arial"/>
    </font>
    <font>
      <sz val="8.0"/>
      <color rgb="FF000000"/>
      <name val="Arial"/>
    </font>
    <font>
      <sz val="8.0"/>
      <color theme="1"/>
      <name val="Arial"/>
    </font>
    <font>
      <sz val="8.0"/>
      <color rgb="FFCC0000"/>
      <name val="Arial"/>
    </font>
    <font>
      <sz val="9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AA4EE"/>
        <bgColor rgb="FF5AA4EE"/>
      </patternFill>
    </fill>
    <fill>
      <patternFill patternType="solid">
        <fgColor rgb="FFCADACE"/>
        <bgColor rgb="FFCADACE"/>
      </patternFill>
    </fill>
    <fill>
      <patternFill patternType="solid">
        <fgColor rgb="FF92AA9B"/>
        <bgColor rgb="FF92AA9B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top style="thin">
        <color rgb="FF000000"/>
      </top>
    </border>
    <border>
      <left/>
      <top/>
      <bottom style="thin">
        <color rgb="FFFFFFFF"/>
      </bottom>
    </border>
    <border>
      <top/>
      <bottom style="thin">
        <color rgb="FFFFFFFF"/>
      </bottom>
    </border>
    <border>
      <right/>
      <top/>
      <bottom style="thin">
        <color rgb="FFFFFFFF"/>
      </bottom>
    </border>
    <border>
      <left/>
      <top style="thin">
        <color rgb="FFFFFFFF"/>
      </top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right/>
      <top style="thin">
        <color rgb="FFFFFFFF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0" fillId="0" fontId="3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164" xfId="0" applyAlignment="1" applyFont="1" applyNumberFormat="1">
      <alignment horizontal="right" shrinkToFit="1" vertical="top" wrapText="0"/>
    </xf>
    <xf borderId="1" fillId="3" fontId="4" numFmtId="0" xfId="0" applyAlignment="1" applyBorder="1" applyFill="1" applyFont="1">
      <alignment horizontal="left" shrinkToFit="0" vertical="top" wrapText="1"/>
    </xf>
    <xf borderId="1" fillId="3" fontId="6" numFmtId="164" xfId="0" applyAlignment="1" applyBorder="1" applyFont="1" applyNumberFormat="1">
      <alignment horizontal="right" shrinkToFit="1" vertical="top" wrapText="0"/>
    </xf>
    <xf borderId="4" fillId="0" fontId="6" numFmtId="164" xfId="0" applyAlignment="1" applyBorder="1" applyFont="1" applyNumberFormat="1">
      <alignment horizontal="right" shrinkToFit="1" vertical="top" wrapText="0"/>
    </xf>
    <xf borderId="4" fillId="0" fontId="2" numFmtId="0" xfId="0" applyAlignment="1" applyBorder="1" applyFont="1">
      <alignment horizontal="left" vertical="top"/>
    </xf>
    <xf borderId="5" fillId="2" fontId="1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vertical="top"/>
    </xf>
    <xf borderId="7" fillId="0" fontId="2" numFmtId="0" xfId="0" applyAlignment="1" applyBorder="1" applyFont="1">
      <alignment horizontal="left" vertical="top"/>
    </xf>
    <xf borderId="8" fillId="4" fontId="1" numFmtId="0" xfId="0" applyAlignment="1" applyBorder="1" applyFill="1" applyFont="1">
      <alignment horizontal="center" shrinkToFit="0" vertical="top" wrapText="1"/>
    </xf>
    <xf borderId="9" fillId="0" fontId="2" numFmtId="0" xfId="0" applyAlignment="1" applyBorder="1" applyFont="1">
      <alignment horizontal="left" vertical="top"/>
    </xf>
    <xf borderId="10" fillId="0" fontId="2" numFmtId="0" xfId="0" applyAlignment="1" applyBorder="1" applyFont="1">
      <alignment horizontal="left" vertical="top"/>
    </xf>
    <xf borderId="11" fillId="0" fontId="4" numFmtId="0" xfId="0" applyAlignment="1" applyBorder="1" applyFont="1">
      <alignment horizontal="center" shrinkToFit="0" vertical="bottom" wrapText="1"/>
    </xf>
    <xf borderId="11" fillId="0" fontId="4" numFmtId="0" xfId="0" applyAlignment="1" applyBorder="1" applyFont="1">
      <alignment horizontal="left" shrinkToFit="0" vertical="bottom" wrapText="1"/>
    </xf>
    <xf borderId="11" fillId="0" fontId="2" numFmtId="0" xfId="0" applyAlignment="1" applyBorder="1" applyFont="1">
      <alignment horizontal="left" vertical="top"/>
    </xf>
    <xf borderId="11" fillId="0" fontId="4" numFmtId="0" xfId="0" applyAlignment="1" applyBorder="1" applyFont="1">
      <alignment horizontal="left" shrinkToFit="0" vertical="center" wrapText="1"/>
    </xf>
    <xf borderId="11" fillId="0" fontId="4" numFmtId="0" xfId="0" applyAlignment="1" applyBorder="1" applyFont="1">
      <alignment horizontal="left" shrinkToFit="0" vertical="top" wrapText="1"/>
    </xf>
    <xf borderId="11" fillId="0" fontId="3" numFmtId="0" xfId="0" applyAlignment="1" applyBorder="1" applyFont="1">
      <alignment horizontal="left" shrinkToFit="0" vertical="top" wrapText="1"/>
    </xf>
    <xf borderId="11" fillId="0" fontId="3" numFmtId="0" xfId="0" applyAlignment="1" applyBorder="1" applyFont="1">
      <alignment horizontal="center" shrinkToFit="0" vertical="top" wrapText="1"/>
    </xf>
    <xf borderId="11" fillId="0" fontId="4" numFmtId="0" xfId="0" applyAlignment="1" applyBorder="1" applyFont="1">
      <alignment horizontal="center" shrinkToFit="0" vertical="top" wrapText="1"/>
    </xf>
    <xf borderId="4" fillId="0" fontId="7" numFmtId="1" xfId="0" applyAlignment="1" applyBorder="1" applyFont="1" applyNumberFormat="1">
      <alignment horizontal="center" shrinkToFit="1" vertical="top" wrapText="0"/>
    </xf>
    <xf borderId="4" fillId="0" fontId="8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center" shrinkToFit="0" vertical="top" wrapText="1"/>
    </xf>
    <xf borderId="4" fillId="0" fontId="7" numFmtId="165" xfId="0" applyAlignment="1" applyBorder="1" applyFont="1" applyNumberFormat="1">
      <alignment horizontal="center" shrinkToFit="1" vertical="top" wrapText="0"/>
    </xf>
    <xf borderId="4" fillId="0" fontId="3" numFmtId="0" xfId="0" applyAlignment="1" applyBorder="1" applyFont="1">
      <alignment horizontal="left" shrinkToFit="0" vertical="center" wrapText="1"/>
    </xf>
    <xf borderId="4" fillId="0" fontId="7" numFmtId="166" xfId="0" applyAlignment="1" applyBorder="1" applyFont="1" applyNumberFormat="1">
      <alignment horizontal="right" shrinkToFit="1" vertical="top" wrapText="0"/>
    </xf>
    <xf borderId="4" fillId="0" fontId="7" numFmtId="10" xfId="0" applyAlignment="1" applyBorder="1" applyFont="1" applyNumberFormat="1">
      <alignment horizontal="right" shrinkToFit="1" vertical="top" wrapText="0"/>
    </xf>
    <xf borderId="4" fillId="0" fontId="7" numFmtId="166" xfId="0" applyAlignment="1" applyBorder="1" applyFont="1" applyNumberFormat="1">
      <alignment horizontal="center" shrinkToFit="1" vertical="top" wrapText="0"/>
    </xf>
    <xf borderId="12" fillId="3" fontId="7" numFmtId="1" xfId="0" applyAlignment="1" applyBorder="1" applyFont="1" applyNumberFormat="1">
      <alignment horizontal="center" shrinkToFit="1" vertical="top" wrapText="0"/>
    </xf>
    <xf borderId="12" fillId="3" fontId="8" numFmtId="0" xfId="0" applyAlignment="1" applyBorder="1" applyFont="1">
      <alignment horizontal="left" shrinkToFit="0" vertical="top" wrapText="1"/>
    </xf>
    <xf borderId="1" fillId="3" fontId="8" numFmtId="0" xfId="0" applyAlignment="1" applyBorder="1" applyFont="1">
      <alignment horizontal="left" shrinkToFit="0" vertical="top" wrapText="1"/>
    </xf>
    <xf borderId="12" fillId="3" fontId="8" numFmtId="0" xfId="0" applyAlignment="1" applyBorder="1" applyFont="1">
      <alignment horizontal="center" shrinkToFit="0" vertical="top" wrapText="1"/>
    </xf>
    <xf borderId="1" fillId="3" fontId="7" numFmtId="165" xfId="0" applyAlignment="1" applyBorder="1" applyFont="1" applyNumberFormat="1">
      <alignment horizontal="center" shrinkToFit="1" vertical="top" wrapText="0"/>
    </xf>
    <xf borderId="12" fillId="3" fontId="3" numFmtId="0" xfId="0" applyAlignment="1" applyBorder="1" applyFont="1">
      <alignment horizontal="left" shrinkToFit="0" vertical="bottom" wrapText="1"/>
    </xf>
    <xf borderId="1" fillId="3" fontId="8" numFmtId="0" xfId="0" applyAlignment="1" applyBorder="1" applyFont="1">
      <alignment horizontal="center" shrinkToFit="0" vertical="top" wrapText="1"/>
    </xf>
    <xf borderId="12" fillId="3" fontId="7" numFmtId="166" xfId="0" applyAlignment="1" applyBorder="1" applyFont="1" applyNumberFormat="1">
      <alignment horizontal="right" shrinkToFit="1" vertical="top" wrapText="0"/>
    </xf>
    <xf borderId="12" fillId="3" fontId="7" numFmtId="10" xfId="0" applyAlignment="1" applyBorder="1" applyFont="1" applyNumberFormat="1">
      <alignment horizontal="right" shrinkToFit="1" vertical="top" wrapText="0"/>
    </xf>
    <xf borderId="1" fillId="3" fontId="7" numFmtId="166" xfId="0" applyAlignment="1" applyBorder="1" applyFont="1" applyNumberFormat="1">
      <alignment horizontal="right" shrinkToFit="1" vertical="top" wrapText="0"/>
    </xf>
    <xf borderId="12" fillId="3" fontId="7" numFmtId="166" xfId="0" applyAlignment="1" applyBorder="1" applyFont="1" applyNumberFormat="1">
      <alignment horizontal="center" shrinkToFit="1" vertical="top" wrapText="0"/>
    </xf>
    <xf borderId="1" fillId="3" fontId="7" numFmtId="1" xfId="0" applyAlignment="1" applyBorder="1" applyFont="1" applyNumberFormat="1">
      <alignment horizontal="center" shrinkToFit="1" vertical="top" wrapText="0"/>
    </xf>
    <xf borderId="0" fillId="0" fontId="7" numFmtId="1" xfId="0" applyAlignment="1" applyFont="1" applyNumberFormat="1">
      <alignment horizontal="center" shrinkToFit="1" vertical="top" wrapText="0"/>
    </xf>
    <xf borderId="0" fillId="0" fontId="8" numFmtId="0" xfId="0" applyAlignment="1" applyFont="1">
      <alignment horizontal="left" shrinkToFit="0" vertical="top" wrapText="1"/>
    </xf>
    <xf borderId="0" fillId="0" fontId="8" numFmtId="0" xfId="0" applyAlignment="1" applyFont="1">
      <alignment horizontal="center" shrinkToFit="0" vertical="top" wrapText="1"/>
    </xf>
    <xf borderId="0" fillId="0" fontId="7" numFmtId="165" xfId="0" applyAlignment="1" applyFont="1" applyNumberFormat="1">
      <alignment horizontal="center" shrinkToFit="1" vertical="top" wrapText="0"/>
    </xf>
    <xf borderId="0" fillId="0" fontId="7" numFmtId="167" xfId="0" applyAlignment="1" applyFont="1" applyNumberFormat="1">
      <alignment horizontal="right" shrinkToFit="1" vertical="top" wrapText="0"/>
    </xf>
    <xf borderId="0" fillId="0" fontId="7" numFmtId="10" xfId="0" applyAlignment="1" applyFont="1" applyNumberFormat="1">
      <alignment horizontal="right" shrinkToFit="1" vertical="top" wrapText="0"/>
    </xf>
    <xf borderId="0" fillId="0" fontId="7" numFmtId="166" xfId="0" applyAlignment="1" applyFont="1" applyNumberFormat="1">
      <alignment horizontal="right" shrinkToFit="1" vertical="top" wrapText="0"/>
    </xf>
    <xf borderId="0" fillId="0" fontId="7" numFmtId="166" xfId="0" applyAlignment="1" applyFont="1" applyNumberFormat="1">
      <alignment horizontal="center" shrinkToFit="1" vertical="top" wrapText="0"/>
    </xf>
    <xf borderId="12" fillId="3" fontId="7" numFmtId="167" xfId="0" applyAlignment="1" applyBorder="1" applyFont="1" applyNumberFormat="1">
      <alignment horizontal="right" shrinkToFit="1" vertical="top" wrapText="0"/>
    </xf>
    <xf borderId="4" fillId="0" fontId="3" numFmtId="0" xfId="0" applyAlignment="1" applyBorder="1" applyFont="1">
      <alignment horizontal="left" shrinkToFit="0" vertical="bottom" wrapText="1"/>
    </xf>
    <xf borderId="12" fillId="3" fontId="7" numFmtId="165" xfId="0" applyAlignment="1" applyBorder="1" applyFont="1" applyNumberFormat="1">
      <alignment horizontal="center" shrinkToFit="1" vertical="top" wrapText="0"/>
    </xf>
    <xf borderId="12" fillId="3" fontId="9" numFmtId="167" xfId="0" applyAlignment="1" applyBorder="1" applyFont="1" applyNumberFormat="1">
      <alignment horizontal="right" shrinkToFit="1" vertical="top" wrapText="0"/>
    </xf>
    <xf borderId="12" fillId="3" fontId="9" numFmtId="10" xfId="0" applyAlignment="1" applyBorder="1" applyFont="1" applyNumberFormat="1">
      <alignment horizontal="right" shrinkToFit="1" vertical="top" wrapText="0"/>
    </xf>
    <xf borderId="1" fillId="3" fontId="9" numFmtId="166" xfId="0" applyAlignment="1" applyBorder="1" applyFont="1" applyNumberFormat="1">
      <alignment horizontal="right" shrinkToFit="1" vertical="top" wrapText="0"/>
    </xf>
    <xf borderId="12" fillId="3" fontId="9" numFmtId="166" xfId="0" applyAlignment="1" applyBorder="1" applyFont="1" applyNumberFormat="1">
      <alignment horizontal="center" shrinkToFit="1" vertical="top" wrapText="0"/>
    </xf>
    <xf borderId="1" fillId="3" fontId="9" numFmtId="1" xfId="0" applyAlignment="1" applyBorder="1" applyFont="1" applyNumberFormat="1">
      <alignment horizontal="center" shrinkToFit="1" vertical="top" wrapText="0"/>
    </xf>
    <xf borderId="12" fillId="3" fontId="9" numFmtId="166" xfId="0" applyAlignment="1" applyBorder="1" applyFont="1" applyNumberFormat="1">
      <alignment horizontal="right" shrinkToFit="1" vertical="top" wrapText="0"/>
    </xf>
    <xf borderId="0" fillId="0" fontId="9" numFmtId="167" xfId="0" applyAlignment="1" applyFont="1" applyNumberFormat="1">
      <alignment horizontal="right" shrinkToFit="1" vertical="top" wrapText="0"/>
    </xf>
    <xf borderId="0" fillId="0" fontId="9" numFmtId="10" xfId="0" applyAlignment="1" applyFont="1" applyNumberFormat="1">
      <alignment horizontal="right" shrinkToFit="1" vertical="top" wrapText="0"/>
    </xf>
    <xf borderId="0" fillId="0" fontId="9" numFmtId="166" xfId="0" applyAlignment="1" applyFont="1" applyNumberFormat="1">
      <alignment horizontal="right" shrinkToFit="1" vertical="top" wrapText="0"/>
    </xf>
    <xf borderId="0" fillId="0" fontId="9" numFmtId="166" xfId="0" applyAlignment="1" applyFont="1" applyNumberFormat="1">
      <alignment horizontal="center" shrinkToFit="1" vertical="top" wrapText="0"/>
    </xf>
    <xf borderId="0" fillId="0" fontId="9" numFmtId="1" xfId="0" applyAlignment="1" applyFont="1" applyNumberFormat="1">
      <alignment horizontal="center" shrinkToFit="1" vertical="top" wrapText="0"/>
    </xf>
    <xf borderId="1" fillId="2" fontId="1" numFmtId="0" xfId="0" applyAlignment="1" applyBorder="1" applyFont="1">
      <alignment horizontal="left" shrinkToFit="0" vertical="top" wrapText="1"/>
    </xf>
    <xf borderId="13" fillId="4" fontId="3" numFmtId="0" xfId="0" applyAlignment="1" applyBorder="1" applyFont="1">
      <alignment horizontal="left" shrinkToFit="0" vertical="bottom" wrapText="1"/>
    </xf>
    <xf borderId="14" fillId="0" fontId="2" numFmtId="0" xfId="0" applyAlignment="1" applyBorder="1" applyFont="1">
      <alignment horizontal="left" vertical="top"/>
    </xf>
    <xf borderId="15" fillId="0" fontId="2" numFmtId="0" xfId="0" applyAlignment="1" applyBorder="1" applyFont="1">
      <alignment horizontal="left" vertical="top"/>
    </xf>
    <xf borderId="16" fillId="4" fontId="1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12" fillId="3" fontId="7" numFmtId="167" xfId="0" applyAlignment="1" applyBorder="1" applyFont="1" applyNumberFormat="1">
      <alignment horizontal="left" shrinkToFit="1" vertical="top" wrapText="0"/>
    </xf>
    <xf borderId="0" fillId="0" fontId="7" numFmtId="166" xfId="0" applyAlignment="1" applyFont="1" applyNumberFormat="1">
      <alignment horizontal="left" shrinkToFit="1" vertical="top" wrapText="0"/>
    </xf>
    <xf borderId="12" fillId="3" fontId="7" numFmtId="166" xfId="0" applyAlignment="1" applyBorder="1" applyFont="1" applyNumberFormat="1">
      <alignment horizontal="left" shrinkToFit="1" vertical="top" wrapText="0"/>
    </xf>
    <xf borderId="13" fillId="4" fontId="1" numFmtId="0" xfId="0" applyAlignment="1" applyBorder="1" applyFont="1">
      <alignment horizontal="center" shrinkToFit="0" vertical="top" wrapText="1"/>
    </xf>
    <xf borderId="4" fillId="0" fontId="7" numFmtId="166" xfId="0" applyAlignment="1" applyBorder="1" applyFont="1" applyNumberFormat="1">
      <alignment horizontal="left" shrinkToFit="1" vertical="top" wrapText="0"/>
    </xf>
    <xf borderId="16" fillId="4" fontId="3" numFmtId="0" xfId="0" applyAlignment="1" applyBorder="1" applyFont="1">
      <alignment horizontal="left" shrinkToFit="0" vertical="bottom" wrapText="1"/>
    </xf>
    <xf borderId="0" fillId="0" fontId="7" numFmtId="167" xfId="0" applyAlignment="1" applyFont="1" applyNumberFormat="1">
      <alignment horizontal="left" shrinkToFit="1" vertical="top" wrapText="0"/>
    </xf>
    <xf borderId="12" fillId="3" fontId="7" numFmtId="1" xfId="0" applyAlignment="1" applyBorder="1" applyFont="1" applyNumberFormat="1">
      <alignment horizontal="left" shrinkToFit="1" vertical="top" wrapText="0"/>
    </xf>
    <xf borderId="1" fillId="3" fontId="7" numFmtId="165" xfId="0" applyAlignment="1" applyBorder="1" applyFont="1" applyNumberFormat="1">
      <alignment horizontal="left" shrinkToFit="1" vertical="top" wrapText="0"/>
    </xf>
    <xf borderId="12" fillId="3" fontId="7" numFmtId="167" xfId="0" applyAlignment="1" applyBorder="1" applyFont="1" applyNumberFormat="1">
      <alignment horizontal="center" shrinkToFit="1" vertical="top" wrapText="0"/>
    </xf>
    <xf borderId="0" fillId="0" fontId="7" numFmtId="1" xfId="0" applyAlignment="1" applyFont="1" applyNumberFormat="1">
      <alignment horizontal="left" shrinkToFit="1" vertical="top" wrapText="0"/>
    </xf>
    <xf borderId="0" fillId="0" fontId="7" numFmtId="165" xfId="0" applyAlignment="1" applyFont="1" applyNumberFormat="1">
      <alignment horizontal="left" shrinkToFit="1" vertical="top" wrapText="0"/>
    </xf>
    <xf borderId="0" fillId="0" fontId="7" numFmtId="167" xfId="0" applyAlignment="1" applyFont="1" applyNumberFormat="1">
      <alignment horizontal="center" shrinkToFit="1" vertical="top" wrapText="0"/>
    </xf>
    <xf borderId="0" fillId="0" fontId="6" numFmtId="166" xfId="0" applyAlignment="1" applyFont="1" applyNumberFormat="1">
      <alignment horizontal="right" shrinkToFit="1" vertical="top" wrapText="0"/>
    </xf>
    <xf borderId="0" fillId="0" fontId="6" numFmtId="1" xfId="0" applyAlignment="1" applyFont="1" applyNumberFormat="1">
      <alignment horizontal="left" shrinkToFit="1" vertical="top" wrapText="0"/>
    </xf>
    <xf borderId="0" fillId="0" fontId="10" numFmtId="0" xfId="0" applyAlignment="1" applyFont="1">
      <alignment horizontal="left" shrinkToFit="0" vertical="bottom" wrapText="1"/>
    </xf>
    <xf borderId="0" fillId="0" fontId="10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vertical="top"/>
    </xf>
    <xf borderId="0" fillId="0" fontId="8" numFmtId="14" xfId="0" applyAlignment="1" applyFont="1" applyNumberFormat="1">
      <alignment horizontal="left" shrinkToFit="0" vertical="top" wrapText="1"/>
    </xf>
    <xf borderId="0" fillId="0" fontId="7" numFmtId="10" xfId="0" applyAlignment="1" applyFont="1" applyNumberFormat="1">
      <alignment horizontal="left" shrinkToFit="1" vertical="top" wrapText="0"/>
    </xf>
    <xf borderId="0" fillId="0" fontId="11" numFmtId="0" xfId="0" applyAlignment="1" applyFont="1">
      <alignment horizontal="left" shrinkToFit="0" vertical="top" wrapText="1"/>
    </xf>
    <xf borderId="0" fillId="0" fontId="9" numFmtId="166" xfId="0" applyAlignment="1" applyFont="1" applyNumberFormat="1">
      <alignment horizontal="left" shrinkToFit="1" vertical="top" wrapText="0"/>
    </xf>
    <xf borderId="0" fillId="0" fontId="9" numFmtId="10" xfId="0" applyAlignment="1" applyFont="1" applyNumberFormat="1">
      <alignment horizontal="left" shrinkToFit="1" vertical="top" wrapText="0"/>
    </xf>
    <xf borderId="0" fillId="0" fontId="9" numFmtId="1" xfId="0" applyAlignment="1" applyFont="1" applyNumberFormat="1">
      <alignment horizontal="left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238125</xdr:colOff>
      <xdr:row>4</xdr:row>
      <xdr:rowOff>76200</xdr:rowOff>
    </xdr:from>
    <xdr:ext cx="1076325" cy="38100"/>
    <xdr:sp>
      <xdr:nvSpPr>
        <xdr:cNvPr id="3" name="Shape 3"/>
        <xdr:cNvSpPr/>
      </xdr:nvSpPr>
      <xdr:spPr>
        <a:xfrm>
          <a:off x="4806250" y="3780000"/>
          <a:ext cx="1079500" cy="0"/>
        </a:xfrm>
        <a:custGeom>
          <a:rect b="b" l="l" r="r" t="t"/>
          <a:pathLst>
            <a:path extrusionOk="0" h="120000" w="1079500">
              <a:moveTo>
                <a:pt x="0" y="0"/>
              </a:moveTo>
              <a:lnTo>
                <a:pt x="1079500" y="0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238125</xdr:colOff>
      <xdr:row>0</xdr:row>
      <xdr:rowOff>-19050</xdr:rowOff>
    </xdr:from>
    <xdr:ext cx="1076325" cy="38100"/>
    <xdr:sp>
      <xdr:nvSpPr>
        <xdr:cNvPr id="3" name="Shape 3"/>
        <xdr:cNvSpPr/>
      </xdr:nvSpPr>
      <xdr:spPr>
        <a:xfrm>
          <a:off x="4806250" y="3780000"/>
          <a:ext cx="1079500" cy="0"/>
        </a:xfrm>
        <a:custGeom>
          <a:rect b="b" l="l" r="r" t="t"/>
          <a:pathLst>
            <a:path extrusionOk="0" h="120000" w="1079500">
              <a:moveTo>
                <a:pt x="0" y="0"/>
              </a:moveTo>
              <a:lnTo>
                <a:pt x="1079500" y="0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0.86"/>
    <col customWidth="1" min="3" max="3" width="4.71"/>
    <col customWidth="1" min="4" max="4" width="16.14"/>
    <col customWidth="1" min="5" max="5" width="20.29"/>
    <col customWidth="1" min="6" max="6" width="9.29"/>
    <col customWidth="1" min="7" max="7" width="4.71"/>
    <col customWidth="1" min="8" max="8" width="5.86"/>
    <col customWidth="1" min="9" max="9" width="12.71"/>
    <col customWidth="1" min="10" max="10" width="8.0"/>
    <col customWidth="1" min="11" max="11" width="3.29"/>
    <col customWidth="1" min="12" max="12" width="5.86"/>
    <col customWidth="1" min="13" max="13" width="12.71"/>
    <col customWidth="1" min="14" max="14" width="10.43"/>
    <col customWidth="1" min="15" max="15" width="5.86"/>
    <col customWidth="1" min="16" max="16" width="8.0"/>
    <col customWidth="1" min="17" max="17" width="1.14"/>
    <col customWidth="1" min="18" max="18" width="8.0"/>
    <col customWidth="1" min="19" max="19" width="12.71"/>
    <col customWidth="1" min="20" max="20" width="9.29"/>
    <col customWidth="1" min="21" max="21" width="2.14"/>
    <col customWidth="1" min="22" max="22" width="9.29"/>
    <col customWidth="1" min="23" max="23" width="14.0"/>
    <col customWidth="1" min="24" max="24" width="10.43"/>
    <col customWidth="1" min="25" max="25" width="15.14"/>
    <col customWidth="1" min="26" max="26" width="4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</row>
    <row r="2" ht="20.25" customHeight="1">
      <c r="A2" s="5"/>
      <c r="D2" s="5"/>
      <c r="H2" s="5"/>
      <c r="L2" s="5"/>
      <c r="P2" s="6" t="s">
        <v>1</v>
      </c>
    </row>
    <row r="3" ht="34.5" customHeight="1">
      <c r="A3" s="6" t="s">
        <v>2</v>
      </c>
      <c r="H3" s="5"/>
      <c r="L3" s="5"/>
    </row>
    <row r="4" ht="5.25" customHeight="1">
      <c r="H4" s="4"/>
      <c r="L4" s="4"/>
      <c r="P4" s="4"/>
      <c r="Q4" s="4"/>
      <c r="V4" s="4"/>
    </row>
    <row r="5" ht="20.25" customHeight="1">
      <c r="A5" s="5"/>
      <c r="D5" s="5"/>
      <c r="H5" s="7" t="s">
        <v>3</v>
      </c>
    </row>
    <row r="6" ht="30.75" customHeight="1">
      <c r="A6" s="8" t="s">
        <v>4</v>
      </c>
    </row>
    <row r="7" ht="43.5" customHeight="1">
      <c r="A7" s="9" t="s">
        <v>5</v>
      </c>
    </row>
    <row r="8" ht="12.75" customHeight="1">
      <c r="A8" s="4"/>
      <c r="D8" s="7" t="s">
        <v>6</v>
      </c>
      <c r="L8" s="10">
        <v>0.0</v>
      </c>
      <c r="Q8" s="4"/>
      <c r="V8" s="4"/>
    </row>
    <row r="9" ht="12.75" customHeight="1">
      <c r="A9" s="4"/>
      <c r="D9" s="11" t="s">
        <v>7</v>
      </c>
      <c r="E9" s="2"/>
      <c r="F9" s="2"/>
      <c r="G9" s="2"/>
      <c r="H9" s="2"/>
      <c r="I9" s="2"/>
      <c r="J9" s="2"/>
      <c r="K9" s="3"/>
      <c r="L9" s="12">
        <v>831.17</v>
      </c>
      <c r="M9" s="2"/>
      <c r="N9" s="2"/>
      <c r="O9" s="2"/>
      <c r="P9" s="3"/>
      <c r="Q9" s="4"/>
      <c r="V9" s="4"/>
    </row>
    <row r="10" ht="12.75" customHeight="1">
      <c r="A10" s="4"/>
      <c r="D10" s="7" t="s">
        <v>8</v>
      </c>
      <c r="L10" s="10">
        <v>0.0</v>
      </c>
      <c r="Q10" s="4"/>
      <c r="V10" s="4"/>
    </row>
    <row r="11" ht="12.75" customHeight="1">
      <c r="A11" s="4"/>
      <c r="D11" s="11" t="s">
        <v>9</v>
      </c>
      <c r="E11" s="2"/>
      <c r="F11" s="2"/>
      <c r="G11" s="2"/>
      <c r="H11" s="2"/>
      <c r="I11" s="2"/>
      <c r="J11" s="2"/>
      <c r="K11" s="3"/>
      <c r="L11" s="12">
        <v>0.0</v>
      </c>
      <c r="M11" s="2"/>
      <c r="N11" s="2"/>
      <c r="O11" s="2"/>
      <c r="P11" s="3"/>
      <c r="Q11" s="4"/>
      <c r="V11" s="4"/>
    </row>
    <row r="12" ht="16.5" customHeight="1">
      <c r="A12" s="4"/>
      <c r="D12" s="7" t="s">
        <v>10</v>
      </c>
      <c r="L12" s="13">
        <v>831.17</v>
      </c>
      <c r="M12" s="14"/>
      <c r="N12" s="14"/>
      <c r="O12" s="14"/>
      <c r="P12" s="14"/>
      <c r="Q12" s="4"/>
      <c r="V12" s="4"/>
    </row>
    <row r="13" ht="18.0" customHeight="1">
      <c r="A13" s="4"/>
      <c r="D13" s="7" t="s">
        <v>11</v>
      </c>
      <c r="L13" s="10">
        <v>831.17</v>
      </c>
      <c r="Q13" s="4"/>
      <c r="V13" s="4"/>
    </row>
    <row r="14" ht="12.75" customHeight="1">
      <c r="A14" s="4"/>
      <c r="D14" s="7" t="s">
        <v>12</v>
      </c>
      <c r="L14" s="10">
        <v>0.0</v>
      </c>
      <c r="Q14" s="4"/>
      <c r="V14" s="4"/>
    </row>
    <row r="15" ht="16.5" customHeight="1">
      <c r="A15" s="15" t="s">
        <v>13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7"/>
      <c r="Z15" s="4"/>
    </row>
    <row r="16" ht="14.25" customHeight="1">
      <c r="A16" s="18" t="s">
        <v>14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20"/>
      <c r="Z16" s="4"/>
    </row>
    <row r="17" ht="38.25" customHeight="1">
      <c r="A17" s="21" t="s">
        <v>15</v>
      </c>
      <c r="B17" s="22" t="s">
        <v>16</v>
      </c>
      <c r="C17" s="22" t="s">
        <v>17</v>
      </c>
      <c r="D17" s="23"/>
      <c r="E17" s="23"/>
      <c r="F17" s="21" t="s">
        <v>18</v>
      </c>
      <c r="G17" s="24" t="s">
        <v>19</v>
      </c>
      <c r="H17" s="23"/>
      <c r="I17" s="24" t="s">
        <v>20</v>
      </c>
      <c r="J17" s="21" t="s">
        <v>21</v>
      </c>
      <c r="K17" s="21" t="s">
        <v>22</v>
      </c>
      <c r="L17" s="23"/>
      <c r="M17" s="22" t="s">
        <v>23</v>
      </c>
      <c r="N17" s="24" t="s">
        <v>24</v>
      </c>
      <c r="O17" s="25" t="s">
        <v>25</v>
      </c>
      <c r="P17" s="23"/>
      <c r="Q17" s="23"/>
      <c r="R17" s="26" t="s">
        <v>26</v>
      </c>
      <c r="S17" s="27" t="s">
        <v>27</v>
      </c>
      <c r="T17" s="21" t="s">
        <v>28</v>
      </c>
      <c r="U17" s="24" t="s">
        <v>29</v>
      </c>
      <c r="V17" s="23"/>
      <c r="W17" s="28" t="s">
        <v>30</v>
      </c>
      <c r="X17" s="21" t="s">
        <v>31</v>
      </c>
      <c r="Y17" s="28" t="s">
        <v>32</v>
      </c>
      <c r="Z17" s="6"/>
    </row>
    <row r="18" ht="16.5" customHeight="1">
      <c r="A18" s="29">
        <v>1.06737758E8</v>
      </c>
      <c r="B18" s="30" t="s">
        <v>33</v>
      </c>
      <c r="C18" s="30" t="s">
        <v>34</v>
      </c>
      <c r="D18" s="14"/>
      <c r="E18" s="14"/>
      <c r="F18" s="31" t="s">
        <v>35</v>
      </c>
      <c r="G18" s="32">
        <v>45658.0</v>
      </c>
      <c r="H18" s="14"/>
      <c r="I18" s="33"/>
      <c r="J18" s="31" t="s">
        <v>36</v>
      </c>
      <c r="K18" s="31" t="s">
        <v>37</v>
      </c>
      <c r="L18" s="14"/>
      <c r="M18" s="34">
        <v>669.22</v>
      </c>
      <c r="N18" s="35">
        <v>0.0</v>
      </c>
      <c r="O18" s="34">
        <v>0.0</v>
      </c>
      <c r="P18" s="14"/>
      <c r="Q18" s="14"/>
      <c r="R18" s="36">
        <v>21.0</v>
      </c>
      <c r="S18" s="36">
        <v>0.0</v>
      </c>
      <c r="T18" s="36">
        <v>21.0</v>
      </c>
      <c r="U18" s="29">
        <v>1.0</v>
      </c>
      <c r="V18" s="14"/>
      <c r="W18" s="36">
        <v>21.0</v>
      </c>
      <c r="X18" s="31" t="s">
        <v>38</v>
      </c>
      <c r="Y18" s="34">
        <v>21.0</v>
      </c>
      <c r="Z18" s="5"/>
    </row>
    <row r="19" ht="12.0" customHeight="1">
      <c r="A19" s="37">
        <v>1.10700972E8</v>
      </c>
      <c r="B19" s="38" t="s">
        <v>39</v>
      </c>
      <c r="C19" s="39" t="s">
        <v>40</v>
      </c>
      <c r="D19" s="2"/>
      <c r="E19" s="3"/>
      <c r="F19" s="40" t="s">
        <v>41</v>
      </c>
      <c r="G19" s="41">
        <v>45658.0</v>
      </c>
      <c r="H19" s="3"/>
      <c r="I19" s="42"/>
      <c r="J19" s="40" t="s">
        <v>42</v>
      </c>
      <c r="K19" s="43" t="s">
        <v>43</v>
      </c>
      <c r="L19" s="3"/>
      <c r="M19" s="44">
        <v>808.72</v>
      </c>
      <c r="N19" s="45">
        <v>0.0</v>
      </c>
      <c r="O19" s="46">
        <v>0.0</v>
      </c>
      <c r="P19" s="2"/>
      <c r="Q19" s="3"/>
      <c r="R19" s="47">
        <v>20.0</v>
      </c>
      <c r="S19" s="47">
        <v>0.0</v>
      </c>
      <c r="T19" s="47">
        <v>20.0</v>
      </c>
      <c r="U19" s="48">
        <v>1.0</v>
      </c>
      <c r="V19" s="3"/>
      <c r="W19" s="47">
        <v>20.0</v>
      </c>
      <c r="X19" s="40" t="s">
        <v>44</v>
      </c>
      <c r="Y19" s="44">
        <v>20.0</v>
      </c>
      <c r="Z19" s="4"/>
    </row>
    <row r="20" ht="12.0" customHeight="1">
      <c r="A20" s="49">
        <v>1.10701159E8</v>
      </c>
      <c r="B20" s="50" t="s">
        <v>45</v>
      </c>
      <c r="C20" s="50" t="s">
        <v>46</v>
      </c>
      <c r="F20" s="51" t="s">
        <v>47</v>
      </c>
      <c r="G20" s="52">
        <v>45658.0</v>
      </c>
      <c r="I20" s="4"/>
      <c r="J20" s="51" t="s">
        <v>48</v>
      </c>
      <c r="K20" s="51" t="s">
        <v>49</v>
      </c>
      <c r="M20" s="53">
        <v>3867.62</v>
      </c>
      <c r="N20" s="54">
        <v>0.0</v>
      </c>
      <c r="O20" s="55">
        <v>0.0</v>
      </c>
      <c r="R20" s="56">
        <v>20.0</v>
      </c>
      <c r="S20" s="56">
        <v>0.0</v>
      </c>
      <c r="T20" s="56">
        <v>20.0</v>
      </c>
      <c r="U20" s="49">
        <v>2.0</v>
      </c>
      <c r="W20" s="56">
        <v>40.0</v>
      </c>
      <c r="X20" s="51" t="s">
        <v>50</v>
      </c>
      <c r="Y20" s="55">
        <v>40.0</v>
      </c>
      <c r="Z20" s="4"/>
    </row>
    <row r="21" ht="12.0" customHeight="1">
      <c r="A21" s="37">
        <v>1.10809733E8</v>
      </c>
      <c r="B21" s="38" t="s">
        <v>51</v>
      </c>
      <c r="C21" s="39" t="s">
        <v>52</v>
      </c>
      <c r="D21" s="2"/>
      <c r="E21" s="3"/>
      <c r="F21" s="40" t="s">
        <v>53</v>
      </c>
      <c r="G21" s="41">
        <v>45658.0</v>
      </c>
      <c r="H21" s="3"/>
      <c r="I21" s="42"/>
      <c r="J21" s="40" t="s">
        <v>54</v>
      </c>
      <c r="K21" s="43" t="s">
        <v>55</v>
      </c>
      <c r="L21" s="3"/>
      <c r="M21" s="57">
        <v>1588.94</v>
      </c>
      <c r="N21" s="45">
        <v>0.0</v>
      </c>
      <c r="O21" s="46">
        <v>0.0</v>
      </c>
      <c r="P21" s="2"/>
      <c r="Q21" s="3"/>
      <c r="R21" s="47">
        <v>20.0</v>
      </c>
      <c r="S21" s="47">
        <v>0.0</v>
      </c>
      <c r="T21" s="47">
        <v>20.0</v>
      </c>
      <c r="U21" s="48">
        <v>1.0</v>
      </c>
      <c r="V21" s="3"/>
      <c r="W21" s="47">
        <v>20.0</v>
      </c>
      <c r="X21" s="40" t="s">
        <v>56</v>
      </c>
      <c r="Y21" s="44">
        <v>20.0</v>
      </c>
      <c r="Z21" s="4"/>
    </row>
    <row r="22" ht="17.25" customHeight="1">
      <c r="A22" s="49">
        <v>1.12319621E8</v>
      </c>
      <c r="B22" s="50" t="s">
        <v>57</v>
      </c>
      <c r="C22" s="50" t="s">
        <v>58</v>
      </c>
      <c r="F22" s="51" t="s">
        <v>59</v>
      </c>
      <c r="G22" s="52">
        <v>45658.0</v>
      </c>
      <c r="I22" s="5"/>
      <c r="J22" s="51" t="s">
        <v>60</v>
      </c>
      <c r="K22" s="51" t="s">
        <v>61</v>
      </c>
      <c r="M22" s="53">
        <v>2907.12</v>
      </c>
      <c r="N22" s="54">
        <v>0.0</v>
      </c>
      <c r="O22" s="55">
        <v>0.0</v>
      </c>
      <c r="R22" s="56">
        <v>20.0</v>
      </c>
      <c r="S22" s="56">
        <v>0.0</v>
      </c>
      <c r="T22" s="56">
        <v>20.0</v>
      </c>
      <c r="U22" s="49">
        <v>2.0</v>
      </c>
      <c r="W22" s="56">
        <v>40.0</v>
      </c>
      <c r="X22" s="51" t="s">
        <v>62</v>
      </c>
      <c r="Y22" s="55">
        <v>40.0</v>
      </c>
      <c r="Z22" s="5"/>
    </row>
    <row r="23" ht="24.75" customHeight="1">
      <c r="A23" s="7" t="s">
        <v>63</v>
      </c>
    </row>
    <row r="24" ht="64.5" customHeight="1">
      <c r="A24" s="7" t="s">
        <v>64</v>
      </c>
    </row>
    <row r="25" ht="16.5" customHeight="1">
      <c r="A25" s="15" t="s">
        <v>65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7"/>
      <c r="Z25" s="5"/>
    </row>
    <row r="26" ht="14.25" customHeight="1">
      <c r="A26" s="18" t="s">
        <v>66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20"/>
      <c r="Z26" s="4"/>
    </row>
    <row r="27" ht="38.25" customHeight="1">
      <c r="A27" s="21" t="s">
        <v>67</v>
      </c>
      <c r="B27" s="22" t="s">
        <v>68</v>
      </c>
      <c r="C27" s="22" t="s">
        <v>69</v>
      </c>
      <c r="D27" s="23"/>
      <c r="E27" s="23"/>
      <c r="F27" s="21" t="s">
        <v>70</v>
      </c>
      <c r="G27" s="24" t="s">
        <v>71</v>
      </c>
      <c r="H27" s="23"/>
      <c r="I27" s="24" t="s">
        <v>72</v>
      </c>
      <c r="J27" s="21" t="s">
        <v>73</v>
      </c>
      <c r="K27" s="21" t="s">
        <v>74</v>
      </c>
      <c r="L27" s="23"/>
      <c r="M27" s="22" t="s">
        <v>75</v>
      </c>
      <c r="N27" s="24" t="s">
        <v>76</v>
      </c>
      <c r="O27" s="25" t="s">
        <v>77</v>
      </c>
      <c r="P27" s="23"/>
      <c r="Q27" s="23"/>
      <c r="R27" s="26" t="s">
        <v>78</v>
      </c>
      <c r="S27" s="27" t="s">
        <v>79</v>
      </c>
      <c r="T27" s="21" t="s">
        <v>80</v>
      </c>
      <c r="U27" s="24" t="s">
        <v>81</v>
      </c>
      <c r="V27" s="23"/>
      <c r="W27" s="28" t="s">
        <v>82</v>
      </c>
      <c r="X27" s="21" t="s">
        <v>83</v>
      </c>
      <c r="Y27" s="28" t="s">
        <v>84</v>
      </c>
      <c r="Z27" s="6"/>
    </row>
    <row r="28" ht="5.25" customHeight="1">
      <c r="A28" s="58"/>
      <c r="B28" s="58"/>
      <c r="C28" s="58"/>
      <c r="D28" s="14"/>
      <c r="E28" s="14"/>
      <c r="F28" s="58"/>
      <c r="G28" s="58"/>
      <c r="H28" s="14"/>
      <c r="I28" s="58"/>
      <c r="J28" s="58"/>
      <c r="K28" s="58"/>
      <c r="L28" s="14"/>
      <c r="M28" s="58"/>
      <c r="N28" s="58"/>
      <c r="O28" s="58"/>
      <c r="P28" s="14"/>
      <c r="Q28" s="14"/>
      <c r="R28" s="58"/>
      <c r="S28" s="58"/>
      <c r="T28" s="58"/>
      <c r="U28" s="58"/>
      <c r="V28" s="14"/>
      <c r="W28" s="58"/>
      <c r="X28" s="58"/>
      <c r="Y28" s="58"/>
      <c r="Z28" s="4"/>
    </row>
    <row r="29" ht="12.0" customHeight="1">
      <c r="A29" s="37">
        <v>1.11320863E8</v>
      </c>
      <c r="B29" s="38" t="s">
        <v>85</v>
      </c>
      <c r="C29" s="39" t="s">
        <v>86</v>
      </c>
      <c r="D29" s="2"/>
      <c r="E29" s="3"/>
      <c r="F29" s="40" t="s">
        <v>87</v>
      </c>
      <c r="G29" s="41">
        <v>45658.0</v>
      </c>
      <c r="H29" s="3"/>
      <c r="I29" s="59">
        <v>45777.0</v>
      </c>
      <c r="J29" s="40" t="s">
        <v>88</v>
      </c>
      <c r="K29" s="43" t="s">
        <v>89</v>
      </c>
      <c r="L29" s="3"/>
      <c r="M29" s="60">
        <v>1905.74</v>
      </c>
      <c r="N29" s="61">
        <v>0.0</v>
      </c>
      <c r="O29" s="62">
        <v>0.0</v>
      </c>
      <c r="P29" s="2"/>
      <c r="Q29" s="3"/>
      <c r="R29" s="63">
        <v>20.0</v>
      </c>
      <c r="S29" s="63">
        <v>0.0</v>
      </c>
      <c r="T29" s="63">
        <v>20.0</v>
      </c>
      <c r="U29" s="64">
        <v>-1.0</v>
      </c>
      <c r="V29" s="3"/>
      <c r="W29" s="63">
        <v>20.0</v>
      </c>
      <c r="X29" s="40" t="s">
        <v>90</v>
      </c>
      <c r="Y29" s="65">
        <v>-20.0</v>
      </c>
      <c r="Z29" s="4"/>
    </row>
    <row r="30" ht="17.25" customHeight="1">
      <c r="A30" s="49">
        <v>1.11320863E8</v>
      </c>
      <c r="B30" s="50" t="s">
        <v>91</v>
      </c>
      <c r="C30" s="50" t="s">
        <v>92</v>
      </c>
      <c r="F30" s="51" t="s">
        <v>93</v>
      </c>
      <c r="G30" s="52">
        <v>45658.0</v>
      </c>
      <c r="I30" s="52">
        <v>45777.0</v>
      </c>
      <c r="J30" s="51" t="s">
        <v>94</v>
      </c>
      <c r="K30" s="51" t="s">
        <v>95</v>
      </c>
      <c r="M30" s="66">
        <v>1905.74</v>
      </c>
      <c r="N30" s="67">
        <v>0.0</v>
      </c>
      <c r="O30" s="68">
        <v>0.0</v>
      </c>
      <c r="R30" s="69">
        <v>20.0</v>
      </c>
      <c r="S30" s="69">
        <v>0.0</v>
      </c>
      <c r="T30" s="69">
        <v>20.0</v>
      </c>
      <c r="U30" s="70">
        <v>-1.0</v>
      </c>
      <c r="W30" s="69">
        <v>20.0</v>
      </c>
      <c r="X30" s="51" t="s">
        <v>96</v>
      </c>
      <c r="Y30" s="68">
        <v>-20.0</v>
      </c>
      <c r="Z30" s="5"/>
    </row>
    <row r="31" ht="24.75" customHeight="1">
      <c r="A31" s="7" t="s">
        <v>97</v>
      </c>
    </row>
    <row r="32" ht="64.5" customHeight="1">
      <c r="A32" s="7" t="s">
        <v>98</v>
      </c>
    </row>
    <row r="33" ht="16.5" customHeight="1">
      <c r="A33" s="71" t="s">
        <v>99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3"/>
      <c r="Z33" s="4"/>
    </row>
    <row r="34" ht="14.25" customHeight="1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4"/>
      <c r="M34" s="75" t="s">
        <v>100</v>
      </c>
      <c r="N34" s="72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4"/>
      <c r="Z34" s="4"/>
    </row>
    <row r="35" ht="25.5" customHeight="1">
      <c r="A35" s="33"/>
      <c r="B35" s="33"/>
      <c r="C35" s="33"/>
      <c r="D35" s="14"/>
      <c r="E35" s="14"/>
      <c r="F35" s="33"/>
      <c r="G35" s="76" t="s">
        <v>101</v>
      </c>
      <c r="H35" s="14"/>
      <c r="I35" s="76" t="s">
        <v>102</v>
      </c>
      <c r="J35" s="33"/>
      <c r="K35" s="33"/>
      <c r="L35" s="14"/>
      <c r="M35" s="33"/>
      <c r="N35" s="77" t="s">
        <v>103</v>
      </c>
      <c r="O35" s="78" t="s">
        <v>104</v>
      </c>
      <c r="P35" s="14"/>
      <c r="Q35" s="14"/>
      <c r="R35" s="78" t="s">
        <v>105</v>
      </c>
      <c r="S35" s="78" t="s">
        <v>106</v>
      </c>
      <c r="T35" s="33"/>
      <c r="U35" s="76" t="s">
        <v>107</v>
      </c>
      <c r="V35" s="14"/>
      <c r="W35" s="78" t="s">
        <v>108</v>
      </c>
      <c r="X35" s="33"/>
      <c r="Y35" s="78" t="s">
        <v>109</v>
      </c>
      <c r="Z35" s="5"/>
    </row>
    <row r="36" ht="12.75" customHeight="1">
      <c r="A36" s="28" t="s">
        <v>110</v>
      </c>
      <c r="B36" s="25" t="s">
        <v>111</v>
      </c>
      <c r="C36" s="25" t="s">
        <v>112</v>
      </c>
      <c r="D36" s="23"/>
      <c r="E36" s="23"/>
      <c r="F36" s="28" t="s">
        <v>113</v>
      </c>
      <c r="G36" s="28" t="s">
        <v>114</v>
      </c>
      <c r="H36" s="23"/>
      <c r="I36" s="28" t="s">
        <v>115</v>
      </c>
      <c r="J36" s="28" t="s">
        <v>116</v>
      </c>
      <c r="K36" s="28" t="s">
        <v>117</v>
      </c>
      <c r="L36" s="23"/>
      <c r="M36" s="25" t="s">
        <v>118</v>
      </c>
      <c r="N36" s="25" t="s">
        <v>119</v>
      </c>
      <c r="O36" s="25" t="s">
        <v>120</v>
      </c>
      <c r="P36" s="23"/>
      <c r="Q36" s="23"/>
      <c r="R36" s="28" t="s">
        <v>121</v>
      </c>
      <c r="S36" s="28" t="s">
        <v>122</v>
      </c>
      <c r="T36" s="28" t="s">
        <v>123</v>
      </c>
      <c r="U36" s="28" t="s">
        <v>124</v>
      </c>
      <c r="V36" s="23"/>
      <c r="W36" s="28" t="s">
        <v>125</v>
      </c>
      <c r="X36" s="28" t="s">
        <v>126</v>
      </c>
      <c r="Y36" s="25" t="s">
        <v>127</v>
      </c>
      <c r="Z36" s="5"/>
    </row>
    <row r="37" ht="5.25" customHeight="1">
      <c r="A37" s="58"/>
      <c r="B37" s="58"/>
      <c r="C37" s="58"/>
      <c r="D37" s="14"/>
      <c r="E37" s="14"/>
      <c r="F37" s="58"/>
      <c r="G37" s="58"/>
      <c r="H37" s="14"/>
      <c r="I37" s="58"/>
      <c r="J37" s="58"/>
      <c r="K37" s="58"/>
      <c r="L37" s="14"/>
      <c r="M37" s="58"/>
      <c r="N37" s="58"/>
      <c r="O37" s="58"/>
      <c r="P37" s="14"/>
      <c r="Q37" s="14"/>
      <c r="R37" s="58"/>
      <c r="S37" s="58"/>
      <c r="T37" s="58"/>
      <c r="U37" s="58"/>
      <c r="V37" s="14"/>
      <c r="W37" s="58"/>
      <c r="X37" s="58"/>
      <c r="Y37" s="58"/>
      <c r="Z37" s="4"/>
    </row>
    <row r="38" ht="12.0" customHeight="1">
      <c r="A38" s="37">
        <v>1.12169555E8</v>
      </c>
      <c r="B38" s="38" t="s">
        <v>128</v>
      </c>
      <c r="C38" s="39" t="s">
        <v>129</v>
      </c>
      <c r="D38" s="2"/>
      <c r="E38" s="3"/>
      <c r="F38" s="40" t="s">
        <v>130</v>
      </c>
      <c r="G38" s="41">
        <v>45658.0</v>
      </c>
      <c r="H38" s="3"/>
      <c r="I38" s="59">
        <v>46022.0</v>
      </c>
      <c r="J38" s="40" t="s">
        <v>131</v>
      </c>
      <c r="K38" s="43" t="s">
        <v>132</v>
      </c>
      <c r="L38" s="3"/>
      <c r="M38" s="79">
        <v>1036.31</v>
      </c>
      <c r="N38" s="45">
        <v>0.0</v>
      </c>
      <c r="O38" s="46">
        <v>0.0</v>
      </c>
      <c r="P38" s="2"/>
      <c r="Q38" s="3"/>
      <c r="R38" s="47">
        <v>20.0</v>
      </c>
      <c r="S38" s="47">
        <v>0.0</v>
      </c>
      <c r="T38" s="47">
        <v>20.0</v>
      </c>
      <c r="U38" s="48">
        <v>1.0</v>
      </c>
      <c r="V38" s="3"/>
      <c r="W38" s="47">
        <v>20.0</v>
      </c>
      <c r="X38" s="40" t="s">
        <v>133</v>
      </c>
      <c r="Y38" s="44">
        <v>20.0</v>
      </c>
      <c r="Z38" s="4"/>
    </row>
    <row r="39" ht="12.0" customHeight="1">
      <c r="A39" s="49">
        <v>1.12180553E8</v>
      </c>
      <c r="B39" s="50" t="s">
        <v>134</v>
      </c>
      <c r="C39" s="50" t="s">
        <v>135</v>
      </c>
      <c r="F39" s="51" t="s">
        <v>136</v>
      </c>
      <c r="G39" s="52">
        <v>45658.0</v>
      </c>
      <c r="I39" s="52">
        <v>46022.0</v>
      </c>
      <c r="J39" s="51" t="s">
        <v>137</v>
      </c>
      <c r="K39" s="51" t="s">
        <v>138</v>
      </c>
      <c r="M39" s="80">
        <v>773.7</v>
      </c>
      <c r="N39" s="54">
        <v>0.0</v>
      </c>
      <c r="O39" s="55">
        <v>0.0</v>
      </c>
      <c r="R39" s="56">
        <v>20.0</v>
      </c>
      <c r="S39" s="56">
        <v>0.0</v>
      </c>
      <c r="T39" s="56">
        <v>20.0</v>
      </c>
      <c r="U39" s="49">
        <v>1.0</v>
      </c>
      <c r="W39" s="56">
        <v>20.0</v>
      </c>
      <c r="X39" s="51" t="s">
        <v>139</v>
      </c>
      <c r="Y39" s="55">
        <v>20.0</v>
      </c>
      <c r="Z39" s="4"/>
    </row>
    <row r="40" ht="12.0" customHeight="1">
      <c r="A40" s="37">
        <v>1.12212429E8</v>
      </c>
      <c r="B40" s="38" t="s">
        <v>140</v>
      </c>
      <c r="C40" s="39" t="s">
        <v>141</v>
      </c>
      <c r="D40" s="2"/>
      <c r="E40" s="3"/>
      <c r="F40" s="40" t="s">
        <v>142</v>
      </c>
      <c r="G40" s="41">
        <v>45809.0</v>
      </c>
      <c r="H40" s="3"/>
      <c r="I40" s="59">
        <v>46022.0</v>
      </c>
      <c r="J40" s="40" t="s">
        <v>143</v>
      </c>
      <c r="K40" s="43" t="s">
        <v>144</v>
      </c>
      <c r="L40" s="3"/>
      <c r="M40" s="81">
        <v>232.94</v>
      </c>
      <c r="N40" s="45">
        <v>0.0</v>
      </c>
      <c r="O40" s="46">
        <v>0.0</v>
      </c>
      <c r="P40" s="2"/>
      <c r="Q40" s="3"/>
      <c r="R40" s="47">
        <v>20.0</v>
      </c>
      <c r="S40" s="47">
        <v>0.0</v>
      </c>
      <c r="T40" s="47">
        <v>20.0</v>
      </c>
      <c r="U40" s="48">
        <v>1.0</v>
      </c>
      <c r="V40" s="3"/>
      <c r="W40" s="47">
        <v>20.0</v>
      </c>
      <c r="X40" s="40" t="s">
        <v>145</v>
      </c>
      <c r="Y40" s="44">
        <v>20.0</v>
      </c>
      <c r="Z40" s="4"/>
    </row>
    <row r="41" ht="30.0" customHeight="1">
      <c r="A41" s="7" t="s">
        <v>146</v>
      </c>
    </row>
    <row r="42" ht="64.5" customHeight="1">
      <c r="A42" s="7" t="s">
        <v>147</v>
      </c>
    </row>
    <row r="43" ht="18.0" customHeight="1">
      <c r="A43" s="71" t="s">
        <v>148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3"/>
      <c r="Z43" s="5"/>
    </row>
    <row r="44" ht="14.25" customHeight="1">
      <c r="A44" s="82" t="s">
        <v>149</v>
      </c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4"/>
      <c r="Z44" s="4"/>
    </row>
    <row r="45" ht="38.25" customHeight="1">
      <c r="A45" s="21" t="s">
        <v>150</v>
      </c>
      <c r="B45" s="22" t="s">
        <v>151</v>
      </c>
      <c r="C45" s="22" t="s">
        <v>152</v>
      </c>
      <c r="D45" s="23"/>
      <c r="E45" s="23"/>
      <c r="F45" s="21" t="s">
        <v>153</v>
      </c>
      <c r="G45" s="24" t="s">
        <v>154</v>
      </c>
      <c r="H45" s="23"/>
      <c r="I45" s="24" t="s">
        <v>155</v>
      </c>
      <c r="J45" s="21" t="s">
        <v>156</v>
      </c>
      <c r="K45" s="21" t="s">
        <v>157</v>
      </c>
      <c r="L45" s="23"/>
      <c r="M45" s="22" t="s">
        <v>158</v>
      </c>
      <c r="N45" s="24" t="s">
        <v>159</v>
      </c>
      <c r="O45" s="25" t="s">
        <v>160</v>
      </c>
      <c r="P45" s="23"/>
      <c r="Q45" s="23"/>
      <c r="R45" s="26" t="s">
        <v>161</v>
      </c>
      <c r="S45" s="27" t="s">
        <v>162</v>
      </c>
      <c r="T45" s="21" t="s">
        <v>163</v>
      </c>
      <c r="U45" s="24" t="s">
        <v>164</v>
      </c>
      <c r="V45" s="23"/>
      <c r="W45" s="28" t="s">
        <v>165</v>
      </c>
      <c r="X45" s="21" t="s">
        <v>166</v>
      </c>
      <c r="Y45" s="28" t="s">
        <v>167</v>
      </c>
      <c r="Z45" s="6"/>
    </row>
    <row r="46" ht="16.5" customHeight="1">
      <c r="A46" s="29">
        <v>1.12342893E8</v>
      </c>
      <c r="B46" s="30" t="s">
        <v>168</v>
      </c>
      <c r="C46" s="30" t="s">
        <v>169</v>
      </c>
      <c r="D46" s="14"/>
      <c r="E46" s="14"/>
      <c r="F46" s="31" t="s">
        <v>170</v>
      </c>
      <c r="G46" s="32">
        <v>45658.0</v>
      </c>
      <c r="H46" s="14"/>
      <c r="I46" s="33"/>
      <c r="J46" s="31" t="s">
        <v>171</v>
      </c>
      <c r="K46" s="31" t="s">
        <v>172</v>
      </c>
      <c r="L46" s="14"/>
      <c r="M46" s="83">
        <v>928.13</v>
      </c>
      <c r="N46" s="35">
        <v>0.0</v>
      </c>
      <c r="O46" s="34">
        <v>0.0</v>
      </c>
      <c r="P46" s="14"/>
      <c r="Q46" s="14"/>
      <c r="R46" s="36">
        <v>21.0</v>
      </c>
      <c r="S46" s="36">
        <v>0.0</v>
      </c>
      <c r="T46" s="36">
        <v>21.0</v>
      </c>
      <c r="U46" s="29">
        <v>1.0</v>
      </c>
      <c r="V46" s="14"/>
      <c r="W46" s="36">
        <v>21.0</v>
      </c>
      <c r="X46" s="31" t="s">
        <v>173</v>
      </c>
      <c r="Y46" s="34">
        <v>21.0</v>
      </c>
      <c r="Z46" s="5"/>
    </row>
    <row r="47" ht="12.0" customHeight="1">
      <c r="A47" s="37">
        <v>1.12407726E8</v>
      </c>
      <c r="B47" s="38" t="s">
        <v>174</v>
      </c>
      <c r="C47" s="39" t="s">
        <v>175</v>
      </c>
      <c r="D47" s="2"/>
      <c r="E47" s="3"/>
      <c r="F47" s="40" t="s">
        <v>176</v>
      </c>
      <c r="G47" s="41">
        <v>45689.0</v>
      </c>
      <c r="H47" s="3"/>
      <c r="I47" s="42"/>
      <c r="J47" s="40" t="s">
        <v>177</v>
      </c>
      <c r="K47" s="43" t="s">
        <v>178</v>
      </c>
      <c r="L47" s="3"/>
      <c r="M47" s="81">
        <v>800.87</v>
      </c>
      <c r="N47" s="45">
        <v>0.0</v>
      </c>
      <c r="O47" s="46">
        <v>0.0</v>
      </c>
      <c r="P47" s="2"/>
      <c r="Q47" s="3"/>
      <c r="R47" s="47">
        <v>24.0</v>
      </c>
      <c r="S47" s="47">
        <v>0.0</v>
      </c>
      <c r="T47" s="47">
        <v>24.0</v>
      </c>
      <c r="U47" s="48">
        <v>2.0</v>
      </c>
      <c r="V47" s="3"/>
      <c r="W47" s="47">
        <v>48.0</v>
      </c>
      <c r="X47" s="40" t="s">
        <v>179</v>
      </c>
      <c r="Y47" s="44">
        <v>48.0</v>
      </c>
      <c r="Z47" s="4"/>
    </row>
    <row r="48" ht="12.0" customHeight="1">
      <c r="A48" s="49">
        <v>1.12514281E8</v>
      </c>
      <c r="B48" s="50" t="s">
        <v>180</v>
      </c>
      <c r="C48" s="50" t="s">
        <v>181</v>
      </c>
      <c r="F48" s="51" t="s">
        <v>182</v>
      </c>
      <c r="G48" s="52">
        <v>45778.0</v>
      </c>
      <c r="I48" s="4"/>
      <c r="J48" s="51" t="s">
        <v>183</v>
      </c>
      <c r="K48" s="51" t="s">
        <v>184</v>
      </c>
      <c r="M48" s="80">
        <v>882.46</v>
      </c>
      <c r="N48" s="54">
        <v>0.0</v>
      </c>
      <c r="O48" s="55">
        <v>0.0</v>
      </c>
      <c r="R48" s="56">
        <v>24.0</v>
      </c>
      <c r="S48" s="56">
        <v>0.0</v>
      </c>
      <c r="T48" s="56">
        <v>24.0</v>
      </c>
      <c r="U48" s="49">
        <v>3.0</v>
      </c>
      <c r="W48" s="56">
        <v>72.0</v>
      </c>
      <c r="X48" s="51" t="s">
        <v>185</v>
      </c>
      <c r="Y48" s="55">
        <v>72.0</v>
      </c>
      <c r="Z48" s="4"/>
    </row>
    <row r="49" ht="12.0" customHeight="1">
      <c r="A49" s="37">
        <v>1.12555327E8</v>
      </c>
      <c r="B49" s="38" t="s">
        <v>186</v>
      </c>
      <c r="C49" s="39" t="s">
        <v>187</v>
      </c>
      <c r="D49" s="2"/>
      <c r="E49" s="3"/>
      <c r="F49" s="40" t="s">
        <v>188</v>
      </c>
      <c r="G49" s="41">
        <v>45809.0</v>
      </c>
      <c r="H49" s="3"/>
      <c r="I49" s="42"/>
      <c r="J49" s="40" t="s">
        <v>189</v>
      </c>
      <c r="K49" s="43" t="s">
        <v>190</v>
      </c>
      <c r="L49" s="3"/>
      <c r="M49" s="79">
        <v>1415.31</v>
      </c>
      <c r="N49" s="45">
        <v>0.0</v>
      </c>
      <c r="O49" s="46">
        <v>0.0</v>
      </c>
      <c r="P49" s="2"/>
      <c r="Q49" s="3"/>
      <c r="R49" s="47">
        <v>24.0</v>
      </c>
      <c r="S49" s="47">
        <v>0.0</v>
      </c>
      <c r="T49" s="47">
        <v>24.0</v>
      </c>
      <c r="U49" s="48">
        <v>2.0</v>
      </c>
      <c r="V49" s="3"/>
      <c r="W49" s="47">
        <v>48.0</v>
      </c>
      <c r="X49" s="40" t="s">
        <v>191</v>
      </c>
      <c r="Y49" s="44">
        <v>48.0</v>
      </c>
      <c r="Z49" s="4"/>
    </row>
    <row r="50" ht="12.0" customHeight="1">
      <c r="A50" s="49">
        <v>1.12555365E8</v>
      </c>
      <c r="B50" s="50" t="s">
        <v>192</v>
      </c>
      <c r="C50" s="50" t="s">
        <v>193</v>
      </c>
      <c r="F50" s="51" t="s">
        <v>194</v>
      </c>
      <c r="G50" s="52">
        <v>45809.0</v>
      </c>
      <c r="I50" s="4"/>
      <c r="J50" s="51" t="s">
        <v>195</v>
      </c>
      <c r="K50" s="51" t="s">
        <v>196</v>
      </c>
      <c r="M50" s="80">
        <v>281.79</v>
      </c>
      <c r="N50" s="54">
        <v>0.0</v>
      </c>
      <c r="O50" s="55">
        <v>0.0</v>
      </c>
      <c r="R50" s="56">
        <v>24.0</v>
      </c>
      <c r="S50" s="56">
        <v>0.0</v>
      </c>
      <c r="T50" s="56">
        <v>24.0</v>
      </c>
      <c r="U50" s="49">
        <v>1.0</v>
      </c>
      <c r="W50" s="56">
        <v>24.0</v>
      </c>
      <c r="X50" s="51" t="s">
        <v>197</v>
      </c>
      <c r="Y50" s="55">
        <v>24.0</v>
      </c>
      <c r="Z50" s="4"/>
    </row>
    <row r="51" ht="21.75" customHeight="1">
      <c r="A51" s="7" t="s">
        <v>198</v>
      </c>
      <c r="Z51" s="5"/>
    </row>
    <row r="52" ht="14.25" customHeight="1">
      <c r="A52" s="84"/>
      <c r="B52" s="84"/>
      <c r="C52" s="72"/>
      <c r="D52" s="73"/>
      <c r="E52" s="74"/>
      <c r="F52" s="84"/>
      <c r="G52" s="72"/>
      <c r="H52" s="74"/>
      <c r="I52" s="84"/>
      <c r="J52" s="84"/>
      <c r="K52" s="72"/>
      <c r="L52" s="74"/>
      <c r="M52" s="75" t="s">
        <v>199</v>
      </c>
      <c r="N52" s="84"/>
      <c r="O52" s="72"/>
      <c r="P52" s="73"/>
      <c r="Q52" s="74"/>
      <c r="R52" s="84"/>
      <c r="S52" s="84"/>
      <c r="T52" s="84"/>
      <c r="U52" s="72"/>
      <c r="V52" s="74"/>
      <c r="W52" s="84"/>
      <c r="X52" s="84"/>
      <c r="Y52" s="84"/>
      <c r="Z52" s="4"/>
    </row>
    <row r="53" ht="25.5" customHeight="1">
      <c r="A53" s="33"/>
      <c r="B53" s="33"/>
      <c r="C53" s="33"/>
      <c r="D53" s="14"/>
      <c r="E53" s="14"/>
      <c r="F53" s="33"/>
      <c r="G53" s="76" t="s">
        <v>200</v>
      </c>
      <c r="H53" s="14"/>
      <c r="I53" s="76" t="s">
        <v>201</v>
      </c>
      <c r="J53" s="33"/>
      <c r="K53" s="33"/>
      <c r="L53" s="14"/>
      <c r="M53" s="33"/>
      <c r="N53" s="77" t="s">
        <v>202</v>
      </c>
      <c r="O53" s="78" t="s">
        <v>203</v>
      </c>
      <c r="P53" s="14"/>
      <c r="Q53" s="14"/>
      <c r="R53" s="78" t="s">
        <v>204</v>
      </c>
      <c r="S53" s="78" t="s">
        <v>205</v>
      </c>
      <c r="T53" s="33"/>
      <c r="U53" s="76" t="s">
        <v>206</v>
      </c>
      <c r="V53" s="14"/>
      <c r="W53" s="78" t="s">
        <v>207</v>
      </c>
      <c r="X53" s="33"/>
      <c r="Y53" s="78" t="s">
        <v>208</v>
      </c>
      <c r="Z53" s="5"/>
    </row>
    <row r="54" ht="12.75" customHeight="1">
      <c r="A54" s="28" t="s">
        <v>209</v>
      </c>
      <c r="B54" s="25" t="s">
        <v>210</v>
      </c>
      <c r="C54" s="25" t="s">
        <v>211</v>
      </c>
      <c r="D54" s="23"/>
      <c r="E54" s="23"/>
      <c r="F54" s="28" t="s">
        <v>212</v>
      </c>
      <c r="G54" s="28" t="s">
        <v>213</v>
      </c>
      <c r="H54" s="23"/>
      <c r="I54" s="28" t="s">
        <v>214</v>
      </c>
      <c r="J54" s="28" t="s">
        <v>215</v>
      </c>
      <c r="K54" s="28" t="s">
        <v>216</v>
      </c>
      <c r="L54" s="23"/>
      <c r="M54" s="25" t="s">
        <v>217</v>
      </c>
      <c r="N54" s="25" t="s">
        <v>218</v>
      </c>
      <c r="O54" s="25" t="s">
        <v>219</v>
      </c>
      <c r="P54" s="23"/>
      <c r="Q54" s="23"/>
      <c r="R54" s="28" t="s">
        <v>220</v>
      </c>
      <c r="S54" s="28" t="s">
        <v>221</v>
      </c>
      <c r="T54" s="28" t="s">
        <v>222</v>
      </c>
      <c r="U54" s="28" t="s">
        <v>223</v>
      </c>
      <c r="V54" s="23"/>
      <c r="W54" s="28" t="s">
        <v>224</v>
      </c>
      <c r="X54" s="28" t="s">
        <v>225</v>
      </c>
      <c r="Y54" s="25" t="s">
        <v>226</v>
      </c>
      <c r="Z54" s="5"/>
    </row>
    <row r="55" ht="5.25" customHeight="1">
      <c r="A55" s="58"/>
      <c r="B55" s="58"/>
      <c r="C55" s="58"/>
      <c r="D55" s="14"/>
      <c r="E55" s="14"/>
      <c r="F55" s="58"/>
      <c r="G55" s="58"/>
      <c r="H55" s="14"/>
      <c r="I55" s="58"/>
      <c r="J55" s="58"/>
      <c r="K55" s="58"/>
      <c r="L55" s="14"/>
      <c r="M55" s="58"/>
      <c r="N55" s="58"/>
      <c r="O55" s="58"/>
      <c r="P55" s="14"/>
      <c r="Q55" s="14"/>
      <c r="R55" s="58"/>
      <c r="S55" s="58"/>
      <c r="T55" s="58"/>
      <c r="U55" s="58"/>
      <c r="V55" s="14"/>
      <c r="W55" s="58"/>
      <c r="X55" s="58"/>
      <c r="Y55" s="58"/>
      <c r="Z55" s="4"/>
    </row>
    <row r="56" ht="12.0" customHeight="1">
      <c r="A56" s="37">
        <v>1.09263551E8</v>
      </c>
      <c r="B56" s="38" t="s">
        <v>227</v>
      </c>
      <c r="C56" s="39" t="s">
        <v>228</v>
      </c>
      <c r="D56" s="2"/>
      <c r="E56" s="3"/>
      <c r="F56" s="40" t="s">
        <v>229</v>
      </c>
      <c r="G56" s="41">
        <v>45658.0</v>
      </c>
      <c r="H56" s="3"/>
      <c r="I56" s="42"/>
      <c r="J56" s="40" t="s">
        <v>230</v>
      </c>
      <c r="K56" s="43" t="s">
        <v>231</v>
      </c>
      <c r="L56" s="3"/>
      <c r="M56" s="79">
        <v>2045.31</v>
      </c>
      <c r="N56" s="45">
        <v>0.0</v>
      </c>
      <c r="O56" s="46">
        <v>0.0</v>
      </c>
      <c r="P56" s="2"/>
      <c r="Q56" s="3"/>
      <c r="R56" s="47">
        <v>24.0</v>
      </c>
      <c r="S56" s="47">
        <v>0.0</v>
      </c>
      <c r="T56" s="47">
        <v>24.0</v>
      </c>
      <c r="U56" s="48">
        <v>2.0</v>
      </c>
      <c r="V56" s="3"/>
      <c r="W56" s="47">
        <v>48.0</v>
      </c>
      <c r="X56" s="40" t="s">
        <v>232</v>
      </c>
      <c r="Y56" s="44">
        <v>48.0</v>
      </c>
      <c r="Z56" s="4"/>
    </row>
    <row r="57" ht="12.0" customHeight="1">
      <c r="A57" s="49">
        <v>1.0937689E8</v>
      </c>
      <c r="B57" s="50" t="s">
        <v>233</v>
      </c>
      <c r="C57" s="50" t="s">
        <v>234</v>
      </c>
      <c r="F57" s="51" t="s">
        <v>235</v>
      </c>
      <c r="G57" s="52">
        <v>45658.0</v>
      </c>
      <c r="I57" s="4"/>
      <c r="J57" s="51" t="s">
        <v>236</v>
      </c>
      <c r="K57" s="51" t="s">
        <v>237</v>
      </c>
      <c r="M57" s="85">
        <v>1156.82</v>
      </c>
      <c r="N57" s="54">
        <v>0.0</v>
      </c>
      <c r="O57" s="55">
        <v>0.0</v>
      </c>
      <c r="R57" s="56">
        <v>21.0</v>
      </c>
      <c r="S57" s="56">
        <v>0.0</v>
      </c>
      <c r="T57" s="56">
        <v>21.0</v>
      </c>
      <c r="U57" s="49">
        <v>1.0</v>
      </c>
      <c r="W57" s="56">
        <v>21.0</v>
      </c>
      <c r="X57" s="51" t="s">
        <v>238</v>
      </c>
      <c r="Y57" s="55">
        <v>21.0</v>
      </c>
      <c r="Z57" s="4"/>
    </row>
    <row r="58" ht="12.0" customHeight="1">
      <c r="A58" s="37">
        <v>1.09408841E8</v>
      </c>
      <c r="B58" s="38" t="s">
        <v>239</v>
      </c>
      <c r="C58" s="39" t="s">
        <v>240</v>
      </c>
      <c r="D58" s="2"/>
      <c r="E58" s="3"/>
      <c r="F58" s="40" t="s">
        <v>241</v>
      </c>
      <c r="G58" s="41">
        <v>45658.0</v>
      </c>
      <c r="H58" s="3"/>
      <c r="I58" s="42"/>
      <c r="J58" s="40" t="s">
        <v>242</v>
      </c>
      <c r="K58" s="43" t="s">
        <v>243</v>
      </c>
      <c r="L58" s="3"/>
      <c r="M58" s="81">
        <v>809.07</v>
      </c>
      <c r="N58" s="45">
        <v>0.0</v>
      </c>
      <c r="O58" s="46">
        <v>0.0</v>
      </c>
      <c r="P58" s="2"/>
      <c r="Q58" s="3"/>
      <c r="R58" s="47">
        <v>21.0</v>
      </c>
      <c r="S58" s="47">
        <v>0.0</v>
      </c>
      <c r="T58" s="47">
        <v>21.0</v>
      </c>
      <c r="U58" s="48">
        <v>1.0</v>
      </c>
      <c r="V58" s="3"/>
      <c r="W58" s="47">
        <v>21.0</v>
      </c>
      <c r="X58" s="40" t="s">
        <v>244</v>
      </c>
      <c r="Y58" s="44">
        <v>21.0</v>
      </c>
      <c r="Z58" s="4"/>
    </row>
    <row r="59" ht="12.0" customHeight="1">
      <c r="A59" s="49">
        <v>1.09839671E8</v>
      </c>
      <c r="B59" s="50" t="s">
        <v>245</v>
      </c>
      <c r="C59" s="50" t="s">
        <v>246</v>
      </c>
      <c r="F59" s="51" t="s">
        <v>247</v>
      </c>
      <c r="G59" s="52">
        <v>45658.0</v>
      </c>
      <c r="I59" s="4"/>
      <c r="J59" s="51" t="s">
        <v>248</v>
      </c>
      <c r="K59" s="51" t="s">
        <v>249</v>
      </c>
      <c r="M59" s="80">
        <v>885.1</v>
      </c>
      <c r="N59" s="54">
        <v>0.0</v>
      </c>
      <c r="O59" s="55">
        <v>0.0</v>
      </c>
      <c r="R59" s="56">
        <v>21.0</v>
      </c>
      <c r="S59" s="56">
        <v>0.0</v>
      </c>
      <c r="T59" s="56">
        <v>21.0</v>
      </c>
      <c r="U59" s="49">
        <v>1.0</v>
      </c>
      <c r="W59" s="56">
        <v>21.0</v>
      </c>
      <c r="X59" s="51" t="s">
        <v>250</v>
      </c>
      <c r="Y59" s="55">
        <v>21.0</v>
      </c>
      <c r="Z59" s="4"/>
    </row>
    <row r="60" ht="12.0" customHeight="1">
      <c r="A60" s="86">
        <v>1.10661324E8</v>
      </c>
      <c r="B60" s="38" t="s">
        <v>251</v>
      </c>
      <c r="C60" s="39" t="s">
        <v>252</v>
      </c>
      <c r="D60" s="3"/>
      <c r="E60" s="39" t="s">
        <v>253</v>
      </c>
      <c r="F60" s="3"/>
      <c r="G60" s="87">
        <v>45658.0</v>
      </c>
      <c r="H60" s="2"/>
      <c r="I60" s="3"/>
      <c r="J60" s="40" t="s">
        <v>254</v>
      </c>
      <c r="K60" s="43" t="s">
        <v>255</v>
      </c>
      <c r="L60" s="3"/>
      <c r="M60" s="88">
        <v>1458.59</v>
      </c>
      <c r="N60" s="45">
        <v>0.04</v>
      </c>
      <c r="O60" s="46">
        <v>58.34</v>
      </c>
      <c r="P60" s="2"/>
      <c r="Q60" s="3"/>
      <c r="R60" s="47">
        <v>0.0</v>
      </c>
      <c r="S60" s="47">
        <v>0.0</v>
      </c>
      <c r="T60" s="47">
        <v>0.0</v>
      </c>
      <c r="U60" s="48">
        <v>2.0</v>
      </c>
      <c r="V60" s="3"/>
      <c r="W60" s="47">
        <v>0.0</v>
      </c>
      <c r="X60" s="40" t="s">
        <v>256</v>
      </c>
      <c r="Y60" s="44">
        <v>58.34</v>
      </c>
    </row>
    <row r="61" ht="12.0" customHeight="1">
      <c r="A61" s="89">
        <v>1.10913614E8</v>
      </c>
      <c r="B61" s="50" t="s">
        <v>257</v>
      </c>
      <c r="C61" s="50" t="s">
        <v>258</v>
      </c>
      <c r="E61" s="51" t="s">
        <v>259</v>
      </c>
      <c r="G61" s="90">
        <v>45658.0</v>
      </c>
      <c r="J61" s="51" t="s">
        <v>260</v>
      </c>
      <c r="K61" s="51" t="s">
        <v>261</v>
      </c>
      <c r="M61" s="56">
        <v>815.39</v>
      </c>
      <c r="N61" s="54">
        <v>0.0</v>
      </c>
      <c r="O61" s="55">
        <v>0.0</v>
      </c>
      <c r="R61" s="56">
        <v>24.0</v>
      </c>
      <c r="S61" s="56">
        <v>0.0</v>
      </c>
      <c r="T61" s="56">
        <v>24.0</v>
      </c>
      <c r="U61" s="49">
        <v>1.0</v>
      </c>
      <c r="W61" s="56">
        <v>24.0</v>
      </c>
      <c r="X61" s="51" t="s">
        <v>262</v>
      </c>
      <c r="Y61" s="55">
        <v>24.0</v>
      </c>
    </row>
    <row r="62" ht="12.0" customHeight="1">
      <c r="A62" s="86">
        <v>1.109877E8</v>
      </c>
      <c r="B62" s="38" t="s">
        <v>263</v>
      </c>
      <c r="C62" s="39" t="s">
        <v>264</v>
      </c>
      <c r="D62" s="3"/>
      <c r="E62" s="39" t="s">
        <v>265</v>
      </c>
      <c r="F62" s="3"/>
      <c r="G62" s="87">
        <v>45658.0</v>
      </c>
      <c r="H62" s="2"/>
      <c r="I62" s="3"/>
      <c r="J62" s="40" t="s">
        <v>266</v>
      </c>
      <c r="K62" s="43" t="s">
        <v>267</v>
      </c>
      <c r="L62" s="3"/>
      <c r="M62" s="88">
        <v>1108.54</v>
      </c>
      <c r="N62" s="45">
        <v>0.04</v>
      </c>
      <c r="O62" s="46">
        <v>44.34</v>
      </c>
      <c r="P62" s="2"/>
      <c r="Q62" s="3"/>
      <c r="R62" s="47">
        <v>0.0</v>
      </c>
      <c r="S62" s="47">
        <v>0.0</v>
      </c>
      <c r="T62" s="47">
        <v>0.0</v>
      </c>
      <c r="U62" s="48">
        <v>1.0</v>
      </c>
      <c r="V62" s="3"/>
      <c r="W62" s="47">
        <v>0.0</v>
      </c>
      <c r="X62" s="40" t="s">
        <v>268</v>
      </c>
      <c r="Y62" s="44">
        <v>44.34</v>
      </c>
    </row>
    <row r="63" ht="12.0" customHeight="1">
      <c r="A63" s="89">
        <v>1.11057159E8</v>
      </c>
      <c r="B63" s="50" t="s">
        <v>269</v>
      </c>
      <c r="C63" s="50" t="s">
        <v>270</v>
      </c>
      <c r="E63" s="51" t="s">
        <v>271</v>
      </c>
      <c r="G63" s="90">
        <v>45658.0</v>
      </c>
      <c r="J63" s="51" t="s">
        <v>272</v>
      </c>
      <c r="K63" s="51" t="s">
        <v>273</v>
      </c>
      <c r="M63" s="56">
        <v>747.08</v>
      </c>
      <c r="N63" s="54">
        <v>0.0</v>
      </c>
      <c r="O63" s="55">
        <v>0.0</v>
      </c>
      <c r="R63" s="56">
        <v>25.0</v>
      </c>
      <c r="S63" s="56">
        <v>0.0</v>
      </c>
      <c r="T63" s="56">
        <v>25.0</v>
      </c>
      <c r="U63" s="49">
        <v>1.0</v>
      </c>
      <c r="W63" s="56">
        <v>25.0</v>
      </c>
      <c r="X63" s="51" t="s">
        <v>274</v>
      </c>
      <c r="Y63" s="55">
        <v>25.0</v>
      </c>
    </row>
    <row r="64" ht="12.0" customHeight="1">
      <c r="A64" s="86">
        <v>1.11102853E8</v>
      </c>
      <c r="B64" s="38" t="s">
        <v>275</v>
      </c>
      <c r="C64" s="39" t="s">
        <v>276</v>
      </c>
      <c r="D64" s="3"/>
      <c r="E64" s="39" t="s">
        <v>277</v>
      </c>
      <c r="F64" s="3"/>
      <c r="G64" s="87">
        <v>45658.0</v>
      </c>
      <c r="H64" s="2"/>
      <c r="I64" s="3"/>
      <c r="J64" s="40" t="s">
        <v>278</v>
      </c>
      <c r="K64" s="43" t="s">
        <v>279</v>
      </c>
      <c r="L64" s="3"/>
      <c r="M64" s="47">
        <v>787.13</v>
      </c>
      <c r="N64" s="45">
        <v>0.04</v>
      </c>
      <c r="O64" s="46">
        <v>31.49</v>
      </c>
      <c r="P64" s="2"/>
      <c r="Q64" s="3"/>
      <c r="R64" s="47">
        <v>0.0</v>
      </c>
      <c r="S64" s="47">
        <v>0.0</v>
      </c>
      <c r="T64" s="47">
        <v>0.0</v>
      </c>
      <c r="U64" s="48">
        <v>1.0</v>
      </c>
      <c r="V64" s="3"/>
      <c r="W64" s="47">
        <v>0.0</v>
      </c>
      <c r="X64" s="40" t="s">
        <v>280</v>
      </c>
      <c r="Y64" s="44">
        <v>31.49</v>
      </c>
    </row>
    <row r="65" ht="12.0" customHeight="1">
      <c r="A65" s="89">
        <v>1.11110447E8</v>
      </c>
      <c r="B65" s="50" t="s">
        <v>281</v>
      </c>
      <c r="C65" s="50" t="s">
        <v>282</v>
      </c>
      <c r="E65" s="51" t="s">
        <v>283</v>
      </c>
      <c r="G65" s="90">
        <v>45658.0</v>
      </c>
      <c r="J65" s="51" t="s">
        <v>284</v>
      </c>
      <c r="K65" s="51" t="s">
        <v>285</v>
      </c>
      <c r="M65" s="91">
        <v>1862.6</v>
      </c>
      <c r="N65" s="54">
        <v>0.0</v>
      </c>
      <c r="O65" s="55">
        <v>0.0</v>
      </c>
      <c r="R65" s="56">
        <v>24.0</v>
      </c>
      <c r="S65" s="56">
        <v>0.0</v>
      </c>
      <c r="T65" s="56">
        <v>24.0</v>
      </c>
      <c r="U65" s="49">
        <v>2.0</v>
      </c>
      <c r="W65" s="56">
        <v>48.0</v>
      </c>
      <c r="X65" s="51" t="s">
        <v>286</v>
      </c>
      <c r="Y65" s="55">
        <v>48.0</v>
      </c>
    </row>
    <row r="66" ht="12.0" customHeight="1">
      <c r="A66" s="86">
        <v>1.11241629E8</v>
      </c>
      <c r="B66" s="38" t="s">
        <v>287</v>
      </c>
      <c r="C66" s="39" t="s">
        <v>288</v>
      </c>
      <c r="D66" s="3"/>
      <c r="E66" s="43" t="s">
        <v>289</v>
      </c>
      <c r="F66" s="3"/>
      <c r="G66" s="87">
        <v>45658.0</v>
      </c>
      <c r="H66" s="2"/>
      <c r="I66" s="3"/>
      <c r="J66" s="40" t="s">
        <v>290</v>
      </c>
      <c r="K66" s="43" t="s">
        <v>291</v>
      </c>
      <c r="L66" s="3"/>
      <c r="M66" s="47">
        <v>885.9</v>
      </c>
      <c r="N66" s="45">
        <v>0.0</v>
      </c>
      <c r="O66" s="46">
        <v>0.0</v>
      </c>
      <c r="P66" s="2"/>
      <c r="Q66" s="3"/>
      <c r="R66" s="47">
        <v>25.0</v>
      </c>
      <c r="S66" s="47">
        <v>0.0</v>
      </c>
      <c r="T66" s="47">
        <v>25.0</v>
      </c>
      <c r="U66" s="48">
        <v>1.0</v>
      </c>
      <c r="V66" s="3"/>
      <c r="W66" s="47">
        <v>25.0</v>
      </c>
      <c r="X66" s="40" t="s">
        <v>292</v>
      </c>
      <c r="Y66" s="44">
        <v>25.0</v>
      </c>
    </row>
    <row r="67" ht="12.0" customHeight="1">
      <c r="A67" s="89">
        <v>1.11593834E8</v>
      </c>
      <c r="B67" s="50" t="s">
        <v>293</v>
      </c>
      <c r="C67" s="50" t="s">
        <v>294</v>
      </c>
      <c r="E67" s="51" t="s">
        <v>295</v>
      </c>
      <c r="G67" s="90">
        <v>45658.0</v>
      </c>
      <c r="J67" s="51" t="s">
        <v>296</v>
      </c>
      <c r="K67" s="51" t="s">
        <v>297</v>
      </c>
      <c r="M67" s="56">
        <v>949.64</v>
      </c>
      <c r="N67" s="54">
        <v>0.0</v>
      </c>
      <c r="O67" s="55">
        <v>0.0</v>
      </c>
      <c r="R67" s="56">
        <v>24.0</v>
      </c>
      <c r="S67" s="56">
        <v>0.0</v>
      </c>
      <c r="T67" s="56">
        <v>24.0</v>
      </c>
      <c r="U67" s="49">
        <v>1.0</v>
      </c>
      <c r="W67" s="56">
        <v>24.0</v>
      </c>
      <c r="X67" s="51" t="s">
        <v>298</v>
      </c>
      <c r="Y67" s="55">
        <v>24.0</v>
      </c>
    </row>
    <row r="68" ht="12.0" customHeight="1">
      <c r="A68" s="86">
        <v>1.11786407E8</v>
      </c>
      <c r="B68" s="38" t="s">
        <v>299</v>
      </c>
      <c r="C68" s="39" t="s">
        <v>300</v>
      </c>
      <c r="D68" s="3"/>
      <c r="E68" s="39" t="s">
        <v>301</v>
      </c>
      <c r="F68" s="3"/>
      <c r="G68" s="87">
        <v>45658.0</v>
      </c>
      <c r="H68" s="2"/>
      <c r="I68" s="3"/>
      <c r="J68" s="40" t="s">
        <v>302</v>
      </c>
      <c r="K68" s="43" t="s">
        <v>303</v>
      </c>
      <c r="L68" s="3"/>
      <c r="M68" s="47">
        <v>899.5</v>
      </c>
      <c r="N68" s="45">
        <v>0.0</v>
      </c>
      <c r="O68" s="46">
        <v>0.0</v>
      </c>
      <c r="P68" s="2"/>
      <c r="Q68" s="3"/>
      <c r="R68" s="47">
        <v>21.0</v>
      </c>
      <c r="S68" s="47">
        <v>0.0</v>
      </c>
      <c r="T68" s="47">
        <v>21.0</v>
      </c>
      <c r="U68" s="48">
        <v>1.0</v>
      </c>
      <c r="V68" s="3"/>
      <c r="W68" s="47">
        <v>21.0</v>
      </c>
      <c r="X68" s="40" t="s">
        <v>304</v>
      </c>
      <c r="Y68" s="44">
        <v>21.0</v>
      </c>
    </row>
    <row r="69" ht="12.0" customHeight="1">
      <c r="A69" s="89">
        <v>1.11828564E8</v>
      </c>
      <c r="B69" s="50" t="s">
        <v>305</v>
      </c>
      <c r="C69" s="50" t="s">
        <v>306</v>
      </c>
      <c r="E69" s="51" t="s">
        <v>307</v>
      </c>
      <c r="G69" s="90">
        <v>45658.0</v>
      </c>
      <c r="J69" s="51" t="s">
        <v>308</v>
      </c>
      <c r="K69" s="51" t="s">
        <v>309</v>
      </c>
      <c r="M69" s="56">
        <v>932.93</v>
      </c>
      <c r="N69" s="54">
        <v>0.0</v>
      </c>
      <c r="O69" s="55">
        <v>0.0</v>
      </c>
      <c r="R69" s="56">
        <v>24.0</v>
      </c>
      <c r="S69" s="56">
        <v>0.0</v>
      </c>
      <c r="T69" s="56">
        <v>24.0</v>
      </c>
      <c r="U69" s="49">
        <v>1.0</v>
      </c>
      <c r="W69" s="56">
        <v>24.0</v>
      </c>
      <c r="X69" s="51" t="s">
        <v>310</v>
      </c>
      <c r="Y69" s="55">
        <v>24.0</v>
      </c>
    </row>
    <row r="70" ht="12.0" customHeight="1">
      <c r="A70" s="86">
        <v>1.11849444E8</v>
      </c>
      <c r="B70" s="38" t="s">
        <v>311</v>
      </c>
      <c r="C70" s="39" t="s">
        <v>312</v>
      </c>
      <c r="D70" s="3"/>
      <c r="E70" s="39" t="s">
        <v>313</v>
      </c>
      <c r="F70" s="3"/>
      <c r="G70" s="87">
        <v>45658.0</v>
      </c>
      <c r="H70" s="2"/>
      <c r="I70" s="3"/>
      <c r="J70" s="40" t="s">
        <v>314</v>
      </c>
      <c r="K70" s="43" t="s">
        <v>315</v>
      </c>
      <c r="L70" s="3"/>
      <c r="M70" s="47">
        <v>730.69</v>
      </c>
      <c r="N70" s="45">
        <v>0.0</v>
      </c>
      <c r="O70" s="46">
        <v>0.0</v>
      </c>
      <c r="P70" s="2"/>
      <c r="Q70" s="3"/>
      <c r="R70" s="47">
        <v>21.0</v>
      </c>
      <c r="S70" s="47">
        <v>0.0</v>
      </c>
      <c r="T70" s="47">
        <v>21.0</v>
      </c>
      <c r="U70" s="48">
        <v>1.0</v>
      </c>
      <c r="V70" s="3"/>
      <c r="W70" s="47">
        <v>21.0</v>
      </c>
      <c r="X70" s="40" t="s">
        <v>316</v>
      </c>
      <c r="Y70" s="44">
        <v>21.0</v>
      </c>
    </row>
    <row r="71" ht="21.75" customHeight="1">
      <c r="A71" s="5"/>
      <c r="B71" s="5"/>
      <c r="C71" s="7" t="s">
        <v>317</v>
      </c>
      <c r="G71" s="5"/>
      <c r="J71" s="5"/>
      <c r="K71" s="5"/>
      <c r="M71" s="5"/>
      <c r="N71" s="5"/>
      <c r="O71" s="5"/>
      <c r="R71" s="5"/>
      <c r="S71" s="5"/>
      <c r="T71" s="5"/>
      <c r="U71" s="5"/>
      <c r="W71" s="5"/>
      <c r="X71" s="5"/>
      <c r="Y71" s="92">
        <v>457.17</v>
      </c>
    </row>
    <row r="72" ht="18.0" customHeight="1">
      <c r="A72" s="5"/>
      <c r="B72" s="7" t="s">
        <v>318</v>
      </c>
      <c r="E72" s="93">
        <v>8977234.0</v>
      </c>
      <c r="G72" s="7" t="s">
        <v>319</v>
      </c>
      <c r="J72" s="5"/>
      <c r="K72" s="5"/>
      <c r="M72" s="5"/>
      <c r="N72" s="5"/>
      <c r="O72" s="5"/>
      <c r="R72" s="5"/>
      <c r="S72" s="5"/>
      <c r="T72" s="5"/>
      <c r="U72" s="5"/>
      <c r="W72" s="5"/>
      <c r="X72" s="5"/>
      <c r="Y72" s="92">
        <v>670.17</v>
      </c>
    </row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97">
    <mergeCell ref="C56:E56"/>
    <mergeCell ref="C57:E57"/>
    <mergeCell ref="C58:E58"/>
    <mergeCell ref="C59:E59"/>
    <mergeCell ref="C60:D60"/>
    <mergeCell ref="E60:F60"/>
    <mergeCell ref="E61:F61"/>
    <mergeCell ref="C68:D68"/>
    <mergeCell ref="C69:D69"/>
    <mergeCell ref="C70:D70"/>
    <mergeCell ref="C61:D61"/>
    <mergeCell ref="C62:D62"/>
    <mergeCell ref="C63:D63"/>
    <mergeCell ref="C64:D64"/>
    <mergeCell ref="C65:D65"/>
    <mergeCell ref="C66:D66"/>
    <mergeCell ref="C67:D67"/>
    <mergeCell ref="E69:F69"/>
    <mergeCell ref="E70:F70"/>
    <mergeCell ref="C71:F71"/>
    <mergeCell ref="E62:F62"/>
    <mergeCell ref="E63:F63"/>
    <mergeCell ref="E64:F64"/>
    <mergeCell ref="E65:F65"/>
    <mergeCell ref="E66:F66"/>
    <mergeCell ref="E67:F67"/>
    <mergeCell ref="E68:F68"/>
    <mergeCell ref="G62:I62"/>
    <mergeCell ref="G63:I63"/>
    <mergeCell ref="G64:I64"/>
    <mergeCell ref="K64:L64"/>
    <mergeCell ref="G65:I65"/>
    <mergeCell ref="K65:L65"/>
    <mergeCell ref="K66:L66"/>
    <mergeCell ref="K70:L70"/>
    <mergeCell ref="K71:L71"/>
    <mergeCell ref="G66:I66"/>
    <mergeCell ref="G67:I67"/>
    <mergeCell ref="G68:I68"/>
    <mergeCell ref="G69:I69"/>
    <mergeCell ref="K69:L69"/>
    <mergeCell ref="G70:I70"/>
    <mergeCell ref="G71:I71"/>
    <mergeCell ref="G46:H46"/>
    <mergeCell ref="G47:H47"/>
    <mergeCell ref="C40:E40"/>
    <mergeCell ref="C45:E45"/>
    <mergeCell ref="G45:H45"/>
    <mergeCell ref="K45:L45"/>
    <mergeCell ref="C46:E46"/>
    <mergeCell ref="K46:L46"/>
    <mergeCell ref="K47:L47"/>
    <mergeCell ref="G52:H52"/>
    <mergeCell ref="K52:L52"/>
    <mergeCell ref="C49:E49"/>
    <mergeCell ref="G49:H49"/>
    <mergeCell ref="K49:L49"/>
    <mergeCell ref="C50:E50"/>
    <mergeCell ref="G50:H50"/>
    <mergeCell ref="K50:L50"/>
    <mergeCell ref="C52:E52"/>
    <mergeCell ref="C53:E53"/>
    <mergeCell ref="G53:H53"/>
    <mergeCell ref="K53:L53"/>
    <mergeCell ref="C54:E54"/>
    <mergeCell ref="G54:H54"/>
    <mergeCell ref="C55:E55"/>
    <mergeCell ref="K56:L56"/>
    <mergeCell ref="G55:H55"/>
    <mergeCell ref="G56:H56"/>
    <mergeCell ref="G57:H57"/>
    <mergeCell ref="G58:H58"/>
    <mergeCell ref="G59:H59"/>
    <mergeCell ref="G60:I60"/>
    <mergeCell ref="G61:I61"/>
    <mergeCell ref="K67:L67"/>
    <mergeCell ref="K68:L68"/>
    <mergeCell ref="Q10:U10"/>
    <mergeCell ref="V10:Z10"/>
    <mergeCell ref="Q11:U11"/>
    <mergeCell ref="V11:Z11"/>
    <mergeCell ref="Q12:U12"/>
    <mergeCell ref="V12:Z12"/>
    <mergeCell ref="D10:K10"/>
    <mergeCell ref="L10:P10"/>
    <mergeCell ref="A11:C11"/>
    <mergeCell ref="D11:K11"/>
    <mergeCell ref="L11:P11"/>
    <mergeCell ref="D12:K12"/>
    <mergeCell ref="L12:P12"/>
    <mergeCell ref="H2:K2"/>
    <mergeCell ref="H3:K3"/>
    <mergeCell ref="A1:U1"/>
    <mergeCell ref="V1:Z1"/>
    <mergeCell ref="A2:C2"/>
    <mergeCell ref="D2:G2"/>
    <mergeCell ref="L2:O2"/>
    <mergeCell ref="P2:Z3"/>
    <mergeCell ref="L3:O3"/>
    <mergeCell ref="A3:G4"/>
    <mergeCell ref="H4:K4"/>
    <mergeCell ref="L4:O4"/>
    <mergeCell ref="Q4:U4"/>
    <mergeCell ref="V4:Z4"/>
    <mergeCell ref="A5:C5"/>
    <mergeCell ref="D5:G5"/>
    <mergeCell ref="H5:Z5"/>
    <mergeCell ref="A6:Z6"/>
    <mergeCell ref="A7:Z7"/>
    <mergeCell ref="D8:K8"/>
    <mergeCell ref="L8:P8"/>
    <mergeCell ref="Q8:U8"/>
    <mergeCell ref="V8:Z8"/>
    <mergeCell ref="A8:C8"/>
    <mergeCell ref="A9:C9"/>
    <mergeCell ref="D9:K9"/>
    <mergeCell ref="L9:P9"/>
    <mergeCell ref="Q9:U9"/>
    <mergeCell ref="V9:Z9"/>
    <mergeCell ref="A10:C10"/>
    <mergeCell ref="D13:K13"/>
    <mergeCell ref="L13:P13"/>
    <mergeCell ref="Q13:U13"/>
    <mergeCell ref="V13:Z13"/>
    <mergeCell ref="L14:P14"/>
    <mergeCell ref="Q14:U14"/>
    <mergeCell ref="V14:Z14"/>
    <mergeCell ref="K17:L17"/>
    <mergeCell ref="K18:L18"/>
    <mergeCell ref="C22:E22"/>
    <mergeCell ref="A23:Z23"/>
    <mergeCell ref="A24:Z24"/>
    <mergeCell ref="A25:Y25"/>
    <mergeCell ref="A26:Y26"/>
    <mergeCell ref="C27:E27"/>
    <mergeCell ref="G27:H27"/>
    <mergeCell ref="U27:V27"/>
    <mergeCell ref="O28:Q28"/>
    <mergeCell ref="O29:Q29"/>
    <mergeCell ref="K27:L27"/>
    <mergeCell ref="O27:Q27"/>
    <mergeCell ref="C28:E28"/>
    <mergeCell ref="K28:L28"/>
    <mergeCell ref="U28:V28"/>
    <mergeCell ref="C29:E29"/>
    <mergeCell ref="K29:L29"/>
    <mergeCell ref="U29:V29"/>
    <mergeCell ref="D14:K14"/>
    <mergeCell ref="A15:Y15"/>
    <mergeCell ref="A16:Y16"/>
    <mergeCell ref="O17:Q17"/>
    <mergeCell ref="U17:V17"/>
    <mergeCell ref="O18:Q18"/>
    <mergeCell ref="U18:V18"/>
    <mergeCell ref="G18:H18"/>
    <mergeCell ref="G19:H19"/>
    <mergeCell ref="K19:L19"/>
    <mergeCell ref="O19:Q19"/>
    <mergeCell ref="U19:V19"/>
    <mergeCell ref="C20:E20"/>
    <mergeCell ref="G20:H20"/>
    <mergeCell ref="K20:L20"/>
    <mergeCell ref="O20:Q20"/>
    <mergeCell ref="U20:V20"/>
    <mergeCell ref="A12:C12"/>
    <mergeCell ref="A13:C13"/>
    <mergeCell ref="A14:C14"/>
    <mergeCell ref="C17:E17"/>
    <mergeCell ref="G17:H17"/>
    <mergeCell ref="C18:E18"/>
    <mergeCell ref="C19:E19"/>
    <mergeCell ref="O21:Q21"/>
    <mergeCell ref="O22:Q22"/>
    <mergeCell ref="C21:E21"/>
    <mergeCell ref="G21:H21"/>
    <mergeCell ref="K21:L21"/>
    <mergeCell ref="U21:V21"/>
    <mergeCell ref="G22:H22"/>
    <mergeCell ref="K22:L22"/>
    <mergeCell ref="U22:V22"/>
    <mergeCell ref="G28:H28"/>
    <mergeCell ref="G29:H29"/>
    <mergeCell ref="C30:E30"/>
    <mergeCell ref="G30:H30"/>
    <mergeCell ref="K30:L30"/>
    <mergeCell ref="O30:Q30"/>
    <mergeCell ref="U30:V30"/>
    <mergeCell ref="O45:Q45"/>
    <mergeCell ref="U45:V45"/>
    <mergeCell ref="O46:Q46"/>
    <mergeCell ref="U46:V46"/>
    <mergeCell ref="O47:Q47"/>
    <mergeCell ref="U47:V47"/>
    <mergeCell ref="U48:V48"/>
    <mergeCell ref="U53:V53"/>
    <mergeCell ref="U54:V54"/>
    <mergeCell ref="O48:Q48"/>
    <mergeCell ref="O49:Q49"/>
    <mergeCell ref="O50:Q50"/>
    <mergeCell ref="O52:Q52"/>
    <mergeCell ref="U52:V52"/>
    <mergeCell ref="O53:Q53"/>
    <mergeCell ref="O54:Q54"/>
    <mergeCell ref="O55:Q55"/>
    <mergeCell ref="U55:V55"/>
    <mergeCell ref="O56:Q56"/>
    <mergeCell ref="U56:V56"/>
    <mergeCell ref="O57:Q57"/>
    <mergeCell ref="U57:V57"/>
    <mergeCell ref="U58:V58"/>
    <mergeCell ref="O65:Q65"/>
    <mergeCell ref="O66:Q66"/>
    <mergeCell ref="O67:Q67"/>
    <mergeCell ref="O68:Q68"/>
    <mergeCell ref="O69:Q69"/>
    <mergeCell ref="O70:Q70"/>
    <mergeCell ref="O71:Q71"/>
    <mergeCell ref="O72:Q72"/>
    <mergeCell ref="O58:Q58"/>
    <mergeCell ref="O59:Q59"/>
    <mergeCell ref="O60:Q60"/>
    <mergeCell ref="O61:Q61"/>
    <mergeCell ref="O62:Q62"/>
    <mergeCell ref="O63:Q63"/>
    <mergeCell ref="O64:Q64"/>
    <mergeCell ref="U66:V66"/>
    <mergeCell ref="U67:V67"/>
    <mergeCell ref="U68:V68"/>
    <mergeCell ref="U69:V69"/>
    <mergeCell ref="U70:V70"/>
    <mergeCell ref="U71:V71"/>
    <mergeCell ref="U72:V72"/>
    <mergeCell ref="U59:V59"/>
    <mergeCell ref="U60:V60"/>
    <mergeCell ref="U61:V61"/>
    <mergeCell ref="U62:V62"/>
    <mergeCell ref="U63:V63"/>
    <mergeCell ref="U64:V64"/>
    <mergeCell ref="U65:V65"/>
    <mergeCell ref="A31:Z31"/>
    <mergeCell ref="A32:Z32"/>
    <mergeCell ref="A33:Y33"/>
    <mergeCell ref="A34:L34"/>
    <mergeCell ref="N34:Y34"/>
    <mergeCell ref="C35:E35"/>
    <mergeCell ref="G35:H35"/>
    <mergeCell ref="U35:V35"/>
    <mergeCell ref="O36:Q36"/>
    <mergeCell ref="O37:Q37"/>
    <mergeCell ref="O38:Q38"/>
    <mergeCell ref="U38:V38"/>
    <mergeCell ref="O39:Q39"/>
    <mergeCell ref="U39:V39"/>
    <mergeCell ref="O40:Q40"/>
    <mergeCell ref="U40:V40"/>
    <mergeCell ref="K35:L35"/>
    <mergeCell ref="O35:Q35"/>
    <mergeCell ref="C36:E36"/>
    <mergeCell ref="K36:L36"/>
    <mergeCell ref="U36:V36"/>
    <mergeCell ref="C37:E37"/>
    <mergeCell ref="K37:L37"/>
    <mergeCell ref="U37:V37"/>
    <mergeCell ref="G36:H36"/>
    <mergeCell ref="G37:H37"/>
    <mergeCell ref="C38:E38"/>
    <mergeCell ref="G38:H38"/>
    <mergeCell ref="K38:L38"/>
    <mergeCell ref="G39:H39"/>
    <mergeCell ref="K39:L39"/>
    <mergeCell ref="C39:E39"/>
    <mergeCell ref="G40:H40"/>
    <mergeCell ref="K40:L40"/>
    <mergeCell ref="A41:Z41"/>
    <mergeCell ref="A42:Z42"/>
    <mergeCell ref="A43:Y43"/>
    <mergeCell ref="A44:Y44"/>
    <mergeCell ref="C47:E47"/>
    <mergeCell ref="C48:E48"/>
    <mergeCell ref="G48:H48"/>
    <mergeCell ref="K48:L48"/>
    <mergeCell ref="U49:V49"/>
    <mergeCell ref="U50:V50"/>
    <mergeCell ref="A51:Y51"/>
    <mergeCell ref="K62:L62"/>
    <mergeCell ref="K63:L63"/>
    <mergeCell ref="B72:D72"/>
    <mergeCell ref="E72:F72"/>
    <mergeCell ref="G72:I72"/>
    <mergeCell ref="K72:L72"/>
    <mergeCell ref="K54:L54"/>
    <mergeCell ref="K55:L55"/>
    <mergeCell ref="K57:L57"/>
    <mergeCell ref="K58:L58"/>
    <mergeCell ref="K59:L59"/>
    <mergeCell ref="K60:L60"/>
    <mergeCell ref="K61:L6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20.86"/>
    <col customWidth="1" min="4" max="4" width="23.43"/>
    <col customWidth="1" min="5" max="5" width="9.29"/>
    <col customWidth="1" min="6" max="6" width="13.71"/>
    <col customWidth="1" min="7" max="7" width="12.71"/>
    <col customWidth="1" min="8" max="8" width="8.14"/>
    <col customWidth="1" min="9" max="9" width="12.71"/>
    <col customWidth="1" min="10" max="10" width="10.43"/>
    <col customWidth="1" min="11" max="11" width="12.86"/>
    <col customWidth="1" min="12" max="12" width="8.0"/>
    <col customWidth="1" min="13" max="13" width="12.71"/>
    <col customWidth="1" min="14" max="14" width="9.29"/>
    <col customWidth="1" min="15" max="15" width="14.86"/>
    <col customWidth="1" min="16" max="16" width="14.0"/>
    <col customWidth="1" min="17" max="17" width="15.14"/>
    <col customWidth="1" min="18" max="18" width="10.43"/>
    <col customWidth="1" min="19" max="19" width="23.43"/>
    <col customWidth="1" min="20" max="20" width="9.29"/>
    <col customWidth="1" min="21" max="26" width="8.71"/>
  </cols>
  <sheetData>
    <row r="1" ht="15.0" customHeight="1">
      <c r="A1" s="94" t="s">
        <v>320</v>
      </c>
      <c r="B1" s="94"/>
      <c r="C1" s="94" t="s">
        <v>321</v>
      </c>
      <c r="D1" s="94" t="s">
        <v>322</v>
      </c>
      <c r="E1" s="94" t="s">
        <v>323</v>
      </c>
      <c r="F1" s="95" t="s">
        <v>324</v>
      </c>
      <c r="G1" s="95" t="s">
        <v>325</v>
      </c>
      <c r="H1" s="94" t="s">
        <v>326</v>
      </c>
      <c r="I1" s="94" t="s">
        <v>327</v>
      </c>
      <c r="J1" s="95" t="s">
        <v>328</v>
      </c>
      <c r="K1" s="96" t="s">
        <v>329</v>
      </c>
      <c r="L1" s="6" t="s">
        <v>330</v>
      </c>
      <c r="M1" s="6" t="s">
        <v>331</v>
      </c>
      <c r="N1" s="94" t="s">
        <v>332</v>
      </c>
      <c r="O1" s="95" t="s">
        <v>333</v>
      </c>
      <c r="P1" s="96" t="s">
        <v>334</v>
      </c>
      <c r="Q1" s="96" t="s">
        <v>335</v>
      </c>
      <c r="R1" s="6"/>
      <c r="S1" s="97"/>
      <c r="T1" s="97"/>
      <c r="U1" s="97"/>
      <c r="V1" s="97"/>
      <c r="W1" s="97"/>
      <c r="X1" s="97"/>
      <c r="Y1" s="97"/>
      <c r="Z1" s="97"/>
    </row>
    <row r="2" ht="15.0" customHeight="1">
      <c r="A2" s="89">
        <v>1.10661324E8</v>
      </c>
      <c r="B2" s="89" t="str">
        <f t="shared" ref="B2:B31" si="1">CONCATENATE(A2,3)</f>
        <v>1106613243</v>
      </c>
      <c r="C2" s="50" t="s">
        <v>336</v>
      </c>
      <c r="D2" s="50" t="s">
        <v>337</v>
      </c>
      <c r="E2" s="50" t="s">
        <v>338</v>
      </c>
      <c r="F2" s="90">
        <v>45658.0</v>
      </c>
      <c r="G2" s="90"/>
      <c r="H2" s="98">
        <v>45839.0</v>
      </c>
      <c r="I2" s="85">
        <v>1458.59</v>
      </c>
      <c r="J2" s="99">
        <v>0.04</v>
      </c>
      <c r="K2" s="80">
        <v>58.34</v>
      </c>
      <c r="L2" s="80">
        <v>0.0</v>
      </c>
      <c r="M2" s="80">
        <v>0.0</v>
      </c>
      <c r="N2" s="80">
        <v>0.0</v>
      </c>
      <c r="O2" s="89"/>
      <c r="P2" s="80">
        <v>0.0</v>
      </c>
      <c r="Q2" s="80">
        <v>58.34</v>
      </c>
      <c r="R2" s="100">
        <v>8977234.0</v>
      </c>
      <c r="S2" s="100" t="s">
        <v>339</v>
      </c>
      <c r="T2" s="97" t="s">
        <v>340</v>
      </c>
      <c r="U2" s="97"/>
      <c r="V2" s="97"/>
      <c r="W2" s="97"/>
      <c r="X2" s="97"/>
      <c r="Y2" s="97"/>
      <c r="Z2" s="97"/>
    </row>
    <row r="3" ht="15.0" customHeight="1">
      <c r="A3" s="89">
        <v>1.109877E8</v>
      </c>
      <c r="B3" s="89" t="str">
        <f t="shared" si="1"/>
        <v>1109877003</v>
      </c>
      <c r="C3" s="50" t="s">
        <v>341</v>
      </c>
      <c r="D3" s="50" t="s">
        <v>337</v>
      </c>
      <c r="E3" s="50" t="s">
        <v>338</v>
      </c>
      <c r="F3" s="90">
        <v>45658.0</v>
      </c>
      <c r="G3" s="90"/>
      <c r="H3" s="98">
        <v>45839.0</v>
      </c>
      <c r="I3" s="85">
        <v>1108.54</v>
      </c>
      <c r="J3" s="99">
        <v>0.04</v>
      </c>
      <c r="K3" s="80">
        <v>44.34</v>
      </c>
      <c r="L3" s="80">
        <v>0.0</v>
      </c>
      <c r="M3" s="80">
        <v>0.0</v>
      </c>
      <c r="N3" s="80">
        <v>0.0</v>
      </c>
      <c r="O3" s="89"/>
      <c r="P3" s="80">
        <v>0.0</v>
      </c>
      <c r="Q3" s="80">
        <v>44.34</v>
      </c>
      <c r="R3" s="100">
        <v>8977234.0</v>
      </c>
      <c r="S3" s="100" t="s">
        <v>339</v>
      </c>
      <c r="T3" s="97" t="s">
        <v>340</v>
      </c>
      <c r="U3" s="97"/>
      <c r="V3" s="97"/>
      <c r="W3" s="97"/>
      <c r="X3" s="97"/>
      <c r="Y3" s="97"/>
      <c r="Z3" s="97"/>
    </row>
    <row r="4" ht="15.0" customHeight="1">
      <c r="A4" s="89">
        <v>1.11102853E8</v>
      </c>
      <c r="B4" s="89" t="str">
        <f t="shared" si="1"/>
        <v>1111028533</v>
      </c>
      <c r="C4" s="50" t="s">
        <v>342</v>
      </c>
      <c r="D4" s="50" t="s">
        <v>337</v>
      </c>
      <c r="E4" s="50" t="s">
        <v>338</v>
      </c>
      <c r="F4" s="90">
        <v>45658.0</v>
      </c>
      <c r="G4" s="90"/>
      <c r="H4" s="98">
        <v>45839.0</v>
      </c>
      <c r="I4" s="80">
        <v>787.13</v>
      </c>
      <c r="J4" s="99">
        <v>0.04</v>
      </c>
      <c r="K4" s="80">
        <v>31.49</v>
      </c>
      <c r="L4" s="80">
        <v>0.0</v>
      </c>
      <c r="M4" s="80">
        <v>0.0</v>
      </c>
      <c r="N4" s="80">
        <v>0.0</v>
      </c>
      <c r="O4" s="89"/>
      <c r="P4" s="80">
        <v>0.0</v>
      </c>
      <c r="Q4" s="80">
        <v>31.49</v>
      </c>
      <c r="R4" s="100">
        <v>8977234.0</v>
      </c>
      <c r="S4" s="100" t="s">
        <v>339</v>
      </c>
      <c r="T4" s="97" t="s">
        <v>340</v>
      </c>
      <c r="U4" s="97"/>
      <c r="V4" s="97"/>
      <c r="W4" s="97"/>
      <c r="X4" s="97"/>
      <c r="Y4" s="97"/>
      <c r="Z4" s="97"/>
    </row>
    <row r="5" ht="15.0" customHeight="1">
      <c r="A5" s="89">
        <v>1.12169555E8</v>
      </c>
      <c r="B5" s="89" t="str">
        <f t="shared" si="1"/>
        <v>1121695553</v>
      </c>
      <c r="C5" s="50" t="s">
        <v>343</v>
      </c>
      <c r="D5" s="50" t="s">
        <v>344</v>
      </c>
      <c r="E5" s="50" t="s">
        <v>345</v>
      </c>
      <c r="F5" s="90">
        <v>45658.0</v>
      </c>
      <c r="G5" s="90">
        <v>46022.0</v>
      </c>
      <c r="H5" s="98">
        <v>45839.0</v>
      </c>
      <c r="I5" s="80">
        <v>1.0</v>
      </c>
      <c r="J5" s="99">
        <v>0.0</v>
      </c>
      <c r="K5" s="80">
        <v>1.0</v>
      </c>
      <c r="L5" s="80">
        <v>20.0</v>
      </c>
      <c r="M5" s="80">
        <v>0.0</v>
      </c>
      <c r="N5" s="80">
        <v>20.0</v>
      </c>
      <c r="O5" s="89"/>
      <c r="P5" s="80">
        <v>20.0</v>
      </c>
      <c r="Q5" s="80">
        <v>20.0</v>
      </c>
      <c r="R5" s="100">
        <v>1.9681796E7</v>
      </c>
      <c r="S5" s="100" t="s">
        <v>346</v>
      </c>
      <c r="T5" s="97" t="s">
        <v>347</v>
      </c>
      <c r="U5" s="97"/>
      <c r="V5" s="97"/>
      <c r="W5" s="97"/>
      <c r="X5" s="97"/>
      <c r="Y5" s="97"/>
      <c r="Z5" s="97"/>
    </row>
    <row r="6" ht="15.0" customHeight="1">
      <c r="A6" s="89">
        <v>1.12180553E8</v>
      </c>
      <c r="B6" s="89" t="str">
        <f t="shared" si="1"/>
        <v>1121805533</v>
      </c>
      <c r="C6" s="50" t="s">
        <v>348</v>
      </c>
      <c r="D6" s="50" t="s">
        <v>349</v>
      </c>
      <c r="E6" s="50" t="s">
        <v>345</v>
      </c>
      <c r="F6" s="90">
        <v>45658.0</v>
      </c>
      <c r="G6" s="90">
        <v>46022.0</v>
      </c>
      <c r="H6" s="98">
        <v>45839.0</v>
      </c>
      <c r="I6" s="80">
        <v>1.0</v>
      </c>
      <c r="J6" s="99">
        <v>0.0</v>
      </c>
      <c r="K6" s="80">
        <v>1.0</v>
      </c>
      <c r="L6" s="80">
        <v>20.0</v>
      </c>
      <c r="M6" s="80">
        <v>0.0</v>
      </c>
      <c r="N6" s="80">
        <v>20.0</v>
      </c>
      <c r="O6" s="89"/>
      <c r="P6" s="80">
        <v>20.0</v>
      </c>
      <c r="Q6" s="80">
        <v>20.0</v>
      </c>
      <c r="R6" s="100">
        <v>1.9681796E7</v>
      </c>
      <c r="S6" s="100" t="s">
        <v>346</v>
      </c>
      <c r="T6" s="97" t="s">
        <v>347</v>
      </c>
      <c r="U6" s="97"/>
      <c r="V6" s="97"/>
      <c r="W6" s="97"/>
      <c r="X6" s="97"/>
      <c r="Y6" s="97"/>
      <c r="Z6" s="97"/>
    </row>
    <row r="7" ht="15.0" customHeight="1">
      <c r="A7" s="89">
        <v>1.12212429E8</v>
      </c>
      <c r="B7" s="89" t="str">
        <f t="shared" si="1"/>
        <v>1122124293</v>
      </c>
      <c r="C7" s="50" t="s">
        <v>350</v>
      </c>
      <c r="D7" s="50" t="s">
        <v>351</v>
      </c>
      <c r="E7" s="50" t="s">
        <v>345</v>
      </c>
      <c r="F7" s="90">
        <v>45809.0</v>
      </c>
      <c r="G7" s="90">
        <v>46022.0</v>
      </c>
      <c r="H7" s="98">
        <v>45839.0</v>
      </c>
      <c r="I7" s="80">
        <v>1.0</v>
      </c>
      <c r="J7" s="99">
        <v>0.0</v>
      </c>
      <c r="K7" s="80">
        <v>1.0</v>
      </c>
      <c r="L7" s="80">
        <v>20.0</v>
      </c>
      <c r="M7" s="80">
        <v>0.0</v>
      </c>
      <c r="N7" s="80">
        <v>20.0</v>
      </c>
      <c r="O7" s="89"/>
      <c r="P7" s="80">
        <v>20.0</v>
      </c>
      <c r="Q7" s="80">
        <v>20.0</v>
      </c>
      <c r="R7" s="100">
        <v>1.9681796E7</v>
      </c>
      <c r="S7" s="100" t="s">
        <v>346</v>
      </c>
      <c r="T7" s="97" t="s">
        <v>347</v>
      </c>
      <c r="U7" s="97"/>
      <c r="V7" s="97"/>
      <c r="W7" s="97"/>
      <c r="X7" s="97"/>
      <c r="Y7" s="97"/>
      <c r="Z7" s="97"/>
    </row>
    <row r="8" ht="15.0" customHeight="1">
      <c r="A8" s="89">
        <v>1.10700972E8</v>
      </c>
      <c r="B8" s="89" t="str">
        <f t="shared" si="1"/>
        <v>1107009723</v>
      </c>
      <c r="C8" s="50" t="s">
        <v>352</v>
      </c>
      <c r="D8" s="50" t="s">
        <v>353</v>
      </c>
      <c r="E8" s="50" t="s">
        <v>354</v>
      </c>
      <c r="F8" s="90">
        <v>45658.0</v>
      </c>
      <c r="G8" s="4"/>
      <c r="H8" s="98">
        <v>45839.0</v>
      </c>
      <c r="I8" s="80">
        <v>1.0</v>
      </c>
      <c r="J8" s="99">
        <v>0.0</v>
      </c>
      <c r="K8" s="80">
        <v>1.0</v>
      </c>
      <c r="L8" s="80">
        <v>20.0</v>
      </c>
      <c r="M8" s="80">
        <v>0.0</v>
      </c>
      <c r="N8" s="80">
        <v>20.0</v>
      </c>
      <c r="O8" s="89"/>
      <c r="P8" s="80">
        <v>20.0</v>
      </c>
      <c r="Q8" s="80">
        <v>20.0</v>
      </c>
      <c r="R8" s="100">
        <v>1.7528908E7</v>
      </c>
      <c r="S8" s="100" t="s">
        <v>355</v>
      </c>
      <c r="T8" s="97" t="s">
        <v>347</v>
      </c>
      <c r="U8" s="97"/>
      <c r="V8" s="97"/>
      <c r="W8" s="97"/>
      <c r="X8" s="97"/>
      <c r="Y8" s="97"/>
      <c r="Z8" s="97"/>
    </row>
    <row r="9" ht="15.0" customHeight="1">
      <c r="A9" s="89">
        <v>1.10701159E8</v>
      </c>
      <c r="B9" s="89" t="str">
        <f t="shared" si="1"/>
        <v>1107011593</v>
      </c>
      <c r="C9" s="50" t="s">
        <v>356</v>
      </c>
      <c r="D9" s="50" t="s">
        <v>353</v>
      </c>
      <c r="E9" s="50" t="s">
        <v>354</v>
      </c>
      <c r="F9" s="90">
        <v>45658.0</v>
      </c>
      <c r="G9" s="4"/>
      <c r="H9" s="98">
        <v>45839.0</v>
      </c>
      <c r="I9" s="80">
        <v>1.0</v>
      </c>
      <c r="J9" s="99">
        <v>0.0</v>
      </c>
      <c r="K9" s="80">
        <v>1.0</v>
      </c>
      <c r="L9" s="80">
        <v>20.0</v>
      </c>
      <c r="M9" s="80">
        <v>0.0</v>
      </c>
      <c r="N9" s="80">
        <v>20.0</v>
      </c>
      <c r="O9" s="89" t="s">
        <v>357</v>
      </c>
      <c r="P9" s="80">
        <v>40.0</v>
      </c>
      <c r="Q9" s="80">
        <v>40.0</v>
      </c>
      <c r="R9" s="100">
        <v>1.7528908E7</v>
      </c>
      <c r="S9" s="100" t="s">
        <v>355</v>
      </c>
      <c r="T9" s="97" t="s">
        <v>347</v>
      </c>
      <c r="U9" s="97"/>
      <c r="V9" s="97"/>
      <c r="W9" s="97"/>
      <c r="X9" s="97"/>
      <c r="Y9" s="97"/>
      <c r="Z9" s="97"/>
    </row>
    <row r="10" ht="15.0" customHeight="1">
      <c r="A10" s="89">
        <v>1.10809733E8</v>
      </c>
      <c r="B10" s="89" t="str">
        <f t="shared" si="1"/>
        <v>1108097333</v>
      </c>
      <c r="C10" s="50" t="s">
        <v>358</v>
      </c>
      <c r="D10" s="50" t="s">
        <v>359</v>
      </c>
      <c r="E10" s="50" t="s">
        <v>354</v>
      </c>
      <c r="F10" s="90">
        <v>45658.0</v>
      </c>
      <c r="G10" s="4"/>
      <c r="H10" s="98">
        <v>45839.0</v>
      </c>
      <c r="I10" s="80">
        <v>1.0</v>
      </c>
      <c r="J10" s="99">
        <v>0.0</v>
      </c>
      <c r="K10" s="80">
        <v>1.0</v>
      </c>
      <c r="L10" s="80">
        <v>20.0</v>
      </c>
      <c r="M10" s="80">
        <v>0.0</v>
      </c>
      <c r="N10" s="80">
        <v>20.0</v>
      </c>
      <c r="O10" s="89"/>
      <c r="P10" s="80">
        <v>20.0</v>
      </c>
      <c r="Q10" s="80">
        <v>20.0</v>
      </c>
      <c r="R10" s="100">
        <v>1.7528908E7</v>
      </c>
      <c r="S10" s="100" t="s">
        <v>355</v>
      </c>
      <c r="T10" s="97" t="s">
        <v>347</v>
      </c>
      <c r="U10" s="97"/>
      <c r="V10" s="97"/>
      <c r="W10" s="97"/>
      <c r="X10" s="97"/>
      <c r="Y10" s="97"/>
      <c r="Z10" s="97"/>
    </row>
    <row r="11" ht="15.0" customHeight="1">
      <c r="A11" s="89">
        <v>1.12319621E8</v>
      </c>
      <c r="B11" s="89" t="str">
        <f t="shared" si="1"/>
        <v>1123196213</v>
      </c>
      <c r="C11" s="50" t="s">
        <v>360</v>
      </c>
      <c r="D11" s="50" t="s">
        <v>359</v>
      </c>
      <c r="E11" s="50" t="s">
        <v>354</v>
      </c>
      <c r="F11" s="90">
        <v>45658.0</v>
      </c>
      <c r="G11" s="5"/>
      <c r="H11" s="98">
        <v>45839.0</v>
      </c>
      <c r="I11" s="80">
        <v>1.0</v>
      </c>
      <c r="J11" s="99">
        <v>0.0</v>
      </c>
      <c r="K11" s="80">
        <v>1.0</v>
      </c>
      <c r="L11" s="80">
        <v>20.0</v>
      </c>
      <c r="M11" s="80">
        <v>0.0</v>
      </c>
      <c r="N11" s="80">
        <v>20.0</v>
      </c>
      <c r="O11" s="89" t="s">
        <v>357</v>
      </c>
      <c r="P11" s="80">
        <v>40.0</v>
      </c>
      <c r="Q11" s="80">
        <v>40.0</v>
      </c>
      <c r="R11" s="100">
        <v>1.7528908E7</v>
      </c>
      <c r="S11" s="100" t="s">
        <v>355</v>
      </c>
      <c r="T11" s="97" t="s">
        <v>347</v>
      </c>
      <c r="U11" s="97"/>
      <c r="V11" s="97"/>
      <c r="W11" s="97"/>
      <c r="X11" s="97"/>
      <c r="Y11" s="97"/>
      <c r="Z11" s="97"/>
    </row>
    <row r="12" ht="15.0" customHeight="1">
      <c r="A12" s="89">
        <v>1.11320863E8</v>
      </c>
      <c r="B12" s="89" t="str">
        <f t="shared" si="1"/>
        <v>1113208633</v>
      </c>
      <c r="C12" s="50" t="s">
        <v>361</v>
      </c>
      <c r="D12" s="50" t="s">
        <v>362</v>
      </c>
      <c r="E12" s="50" t="s">
        <v>354</v>
      </c>
      <c r="F12" s="90">
        <v>45658.0</v>
      </c>
      <c r="G12" s="90">
        <v>45777.0</v>
      </c>
      <c r="H12" s="98">
        <v>45778.0</v>
      </c>
      <c r="I12" s="101">
        <v>-1.0</v>
      </c>
      <c r="J12" s="102">
        <v>0.0</v>
      </c>
      <c r="K12" s="101">
        <v>-1.0</v>
      </c>
      <c r="L12" s="101">
        <v>20.0</v>
      </c>
      <c r="M12" s="101">
        <v>0.0</v>
      </c>
      <c r="N12" s="101">
        <v>20.0</v>
      </c>
      <c r="O12" s="103"/>
      <c r="P12" s="101">
        <v>20.0</v>
      </c>
      <c r="Q12" s="101">
        <v>-20.0</v>
      </c>
      <c r="R12" s="100">
        <v>1.871007E7</v>
      </c>
      <c r="S12" s="100" t="s">
        <v>363</v>
      </c>
      <c r="T12" s="97" t="s">
        <v>347</v>
      </c>
      <c r="U12" s="97"/>
      <c r="V12" s="97"/>
      <c r="W12" s="97"/>
      <c r="X12" s="97"/>
      <c r="Y12" s="97"/>
      <c r="Z12" s="97"/>
    </row>
    <row r="13" ht="15.0" customHeight="1">
      <c r="A13" s="89">
        <v>1.11320863E8</v>
      </c>
      <c r="B13" s="89" t="str">
        <f t="shared" si="1"/>
        <v>1113208633</v>
      </c>
      <c r="C13" s="50" t="s">
        <v>361</v>
      </c>
      <c r="D13" s="50" t="s">
        <v>362</v>
      </c>
      <c r="E13" s="50" t="s">
        <v>354</v>
      </c>
      <c r="F13" s="90">
        <v>45658.0</v>
      </c>
      <c r="G13" s="90">
        <v>45777.0</v>
      </c>
      <c r="H13" s="98">
        <v>45809.0</v>
      </c>
      <c r="I13" s="101">
        <v>-1.0</v>
      </c>
      <c r="J13" s="102">
        <v>0.0</v>
      </c>
      <c r="K13" s="101">
        <v>-1.0</v>
      </c>
      <c r="L13" s="101">
        <v>20.0</v>
      </c>
      <c r="M13" s="101">
        <v>0.0</v>
      </c>
      <c r="N13" s="101">
        <v>20.0</v>
      </c>
      <c r="O13" s="103"/>
      <c r="P13" s="101">
        <v>20.0</v>
      </c>
      <c r="Q13" s="101">
        <v>-20.0</v>
      </c>
      <c r="R13" s="100">
        <v>1.871007E7</v>
      </c>
      <c r="S13" s="100" t="s">
        <v>363</v>
      </c>
      <c r="T13" s="97" t="s">
        <v>347</v>
      </c>
      <c r="U13" s="97"/>
      <c r="V13" s="97"/>
      <c r="W13" s="97"/>
      <c r="X13" s="97"/>
      <c r="Y13" s="97"/>
      <c r="Z13" s="97"/>
    </row>
    <row r="14" ht="15.0" customHeight="1">
      <c r="A14" s="89">
        <v>1.06737758E8</v>
      </c>
      <c r="B14" s="89" t="str">
        <f t="shared" si="1"/>
        <v>1067377583</v>
      </c>
      <c r="C14" s="50" t="s">
        <v>364</v>
      </c>
      <c r="D14" s="50" t="s">
        <v>337</v>
      </c>
      <c r="E14" s="50" t="s">
        <v>365</v>
      </c>
      <c r="F14" s="90">
        <v>45658.0</v>
      </c>
      <c r="G14" s="5"/>
      <c r="H14" s="98">
        <v>45839.0</v>
      </c>
      <c r="I14" s="80">
        <v>1.0</v>
      </c>
      <c r="J14" s="99">
        <v>0.0</v>
      </c>
      <c r="K14" s="80">
        <v>1.0</v>
      </c>
      <c r="L14" s="80">
        <v>21.0</v>
      </c>
      <c r="M14" s="80">
        <v>0.0</v>
      </c>
      <c r="N14" s="80">
        <v>21.0</v>
      </c>
      <c r="O14" s="89"/>
      <c r="P14" s="80">
        <v>21.0</v>
      </c>
      <c r="Q14" s="80">
        <v>21.0</v>
      </c>
      <c r="R14" s="100">
        <v>1.7528908E7</v>
      </c>
      <c r="S14" s="100" t="s">
        <v>355</v>
      </c>
      <c r="T14" s="97" t="s">
        <v>366</v>
      </c>
      <c r="U14" s="97"/>
      <c r="V14" s="97"/>
      <c r="W14" s="97"/>
      <c r="X14" s="97"/>
      <c r="Y14" s="97"/>
      <c r="Z14" s="97"/>
    </row>
    <row r="15" ht="15.0" customHeight="1">
      <c r="A15" s="89">
        <v>1.12342893E8</v>
      </c>
      <c r="B15" s="89" t="str">
        <f t="shared" si="1"/>
        <v>1123428933</v>
      </c>
      <c r="C15" s="50" t="s">
        <v>367</v>
      </c>
      <c r="D15" s="50" t="s">
        <v>359</v>
      </c>
      <c r="E15" s="50" t="s">
        <v>365</v>
      </c>
      <c r="F15" s="90">
        <v>45658.0</v>
      </c>
      <c r="G15" s="5"/>
      <c r="H15" s="98">
        <v>45839.0</v>
      </c>
      <c r="I15" s="80">
        <v>1.0</v>
      </c>
      <c r="J15" s="99">
        <v>0.0</v>
      </c>
      <c r="K15" s="80">
        <v>1.0</v>
      </c>
      <c r="L15" s="80">
        <v>21.0</v>
      </c>
      <c r="M15" s="80">
        <v>0.0</v>
      </c>
      <c r="N15" s="80">
        <v>21.0</v>
      </c>
      <c r="O15" s="89"/>
      <c r="P15" s="80">
        <v>21.0</v>
      </c>
      <c r="Q15" s="80">
        <v>21.0</v>
      </c>
      <c r="R15" s="100">
        <v>8977234.0</v>
      </c>
      <c r="S15" s="100" t="s">
        <v>339</v>
      </c>
      <c r="T15" s="97" t="s">
        <v>366</v>
      </c>
      <c r="U15" s="97"/>
      <c r="V15" s="97"/>
      <c r="W15" s="97"/>
      <c r="X15" s="97"/>
      <c r="Y15" s="97"/>
      <c r="Z15" s="97"/>
    </row>
    <row r="16" ht="15.0" customHeight="1">
      <c r="A16" s="89">
        <v>1.0937689E8</v>
      </c>
      <c r="B16" s="89" t="str">
        <f t="shared" si="1"/>
        <v>1093768903</v>
      </c>
      <c r="C16" s="50" t="s">
        <v>368</v>
      </c>
      <c r="D16" s="50" t="s">
        <v>337</v>
      </c>
      <c r="E16" s="50" t="s">
        <v>365</v>
      </c>
      <c r="F16" s="90">
        <v>45658.0</v>
      </c>
      <c r="G16" s="4"/>
      <c r="H16" s="98">
        <v>45839.0</v>
      </c>
      <c r="I16" s="80">
        <v>1.0</v>
      </c>
      <c r="J16" s="99">
        <v>0.0</v>
      </c>
      <c r="K16" s="80">
        <v>1.0</v>
      </c>
      <c r="L16" s="80">
        <v>21.0</v>
      </c>
      <c r="M16" s="80">
        <v>0.0</v>
      </c>
      <c r="N16" s="80">
        <v>21.0</v>
      </c>
      <c r="O16" s="89"/>
      <c r="P16" s="80">
        <v>21.0</v>
      </c>
      <c r="Q16" s="80">
        <v>21.0</v>
      </c>
      <c r="R16" s="100">
        <v>8977234.0</v>
      </c>
      <c r="S16" s="100" t="s">
        <v>339</v>
      </c>
      <c r="T16" s="97" t="s">
        <v>366</v>
      </c>
      <c r="U16" s="97"/>
      <c r="V16" s="97"/>
      <c r="W16" s="97"/>
      <c r="X16" s="97"/>
      <c r="Y16" s="97"/>
      <c r="Z16" s="97"/>
    </row>
    <row r="17" ht="15.0" customHeight="1">
      <c r="A17" s="89">
        <v>1.09408841E8</v>
      </c>
      <c r="B17" s="89" t="str">
        <f t="shared" si="1"/>
        <v>1094088413</v>
      </c>
      <c r="C17" s="50" t="s">
        <v>369</v>
      </c>
      <c r="D17" s="50" t="s">
        <v>337</v>
      </c>
      <c r="E17" s="50" t="s">
        <v>365</v>
      </c>
      <c r="F17" s="90">
        <v>45658.0</v>
      </c>
      <c r="G17" s="4"/>
      <c r="H17" s="98">
        <v>45839.0</v>
      </c>
      <c r="I17" s="80">
        <v>1.0</v>
      </c>
      <c r="J17" s="99">
        <v>0.0</v>
      </c>
      <c r="K17" s="80">
        <v>1.0</v>
      </c>
      <c r="L17" s="80">
        <v>21.0</v>
      </c>
      <c r="M17" s="80">
        <v>0.0</v>
      </c>
      <c r="N17" s="80">
        <v>21.0</v>
      </c>
      <c r="O17" s="89"/>
      <c r="P17" s="80">
        <v>21.0</v>
      </c>
      <c r="Q17" s="80">
        <v>21.0</v>
      </c>
      <c r="R17" s="100">
        <v>8977234.0</v>
      </c>
      <c r="S17" s="100" t="s">
        <v>339</v>
      </c>
      <c r="T17" s="97" t="s">
        <v>366</v>
      </c>
      <c r="U17" s="97"/>
      <c r="V17" s="97"/>
      <c r="W17" s="97"/>
      <c r="X17" s="97"/>
      <c r="Y17" s="97"/>
      <c r="Z17" s="97"/>
    </row>
    <row r="18" ht="15.0" customHeight="1">
      <c r="A18" s="89">
        <v>1.09839671E8</v>
      </c>
      <c r="B18" s="89" t="str">
        <f t="shared" si="1"/>
        <v>1098396713</v>
      </c>
      <c r="C18" s="50" t="s">
        <v>370</v>
      </c>
      <c r="D18" s="50" t="s">
        <v>337</v>
      </c>
      <c r="E18" s="50" t="s">
        <v>365</v>
      </c>
      <c r="F18" s="90">
        <v>45658.0</v>
      </c>
      <c r="G18" s="4"/>
      <c r="H18" s="98">
        <v>45839.0</v>
      </c>
      <c r="I18" s="80">
        <v>1.0</v>
      </c>
      <c r="J18" s="99">
        <v>0.0</v>
      </c>
      <c r="K18" s="80">
        <v>1.0</v>
      </c>
      <c r="L18" s="80">
        <v>21.0</v>
      </c>
      <c r="M18" s="80">
        <v>0.0</v>
      </c>
      <c r="N18" s="80">
        <v>21.0</v>
      </c>
      <c r="O18" s="89"/>
      <c r="P18" s="80">
        <v>21.0</v>
      </c>
      <c r="Q18" s="80">
        <v>21.0</v>
      </c>
      <c r="R18" s="100">
        <v>8977234.0</v>
      </c>
      <c r="S18" s="100" t="s">
        <v>339</v>
      </c>
      <c r="T18" s="97" t="s">
        <v>366</v>
      </c>
      <c r="U18" s="97"/>
      <c r="V18" s="97"/>
      <c r="W18" s="97"/>
      <c r="X18" s="97"/>
      <c r="Y18" s="97"/>
      <c r="Z18" s="97"/>
    </row>
    <row r="19" ht="15.0" customHeight="1">
      <c r="A19" s="89">
        <v>1.11786407E8</v>
      </c>
      <c r="B19" s="89" t="str">
        <f t="shared" si="1"/>
        <v>1117864073</v>
      </c>
      <c r="C19" s="50" t="s">
        <v>371</v>
      </c>
      <c r="D19" s="50" t="s">
        <v>337</v>
      </c>
      <c r="E19" s="50" t="s">
        <v>365</v>
      </c>
      <c r="F19" s="90">
        <v>45658.0</v>
      </c>
      <c r="G19" s="90"/>
      <c r="H19" s="98">
        <v>45839.0</v>
      </c>
      <c r="I19" s="80">
        <v>1.0</v>
      </c>
      <c r="J19" s="99">
        <v>0.0</v>
      </c>
      <c r="K19" s="80">
        <v>1.0</v>
      </c>
      <c r="L19" s="80">
        <v>21.0</v>
      </c>
      <c r="M19" s="80">
        <v>0.0</v>
      </c>
      <c r="N19" s="80">
        <v>21.0</v>
      </c>
      <c r="O19" s="89"/>
      <c r="P19" s="80">
        <v>21.0</v>
      </c>
      <c r="Q19" s="80">
        <v>21.0</v>
      </c>
      <c r="R19" s="100">
        <v>8977234.0</v>
      </c>
      <c r="S19" s="100" t="s">
        <v>339</v>
      </c>
      <c r="T19" s="97" t="s">
        <v>366</v>
      </c>
      <c r="U19" s="97"/>
      <c r="V19" s="97"/>
      <c r="W19" s="97"/>
      <c r="X19" s="97"/>
      <c r="Y19" s="97"/>
      <c r="Z19" s="97"/>
    </row>
    <row r="20" ht="15.0" customHeight="1">
      <c r="A20" s="89">
        <v>1.11849444E8</v>
      </c>
      <c r="B20" s="89" t="str">
        <f t="shared" si="1"/>
        <v>1118494443</v>
      </c>
      <c r="C20" s="50" t="s">
        <v>372</v>
      </c>
      <c r="D20" s="50" t="s">
        <v>337</v>
      </c>
      <c r="E20" s="50" t="s">
        <v>365</v>
      </c>
      <c r="F20" s="90">
        <v>45658.0</v>
      </c>
      <c r="G20" s="90"/>
      <c r="H20" s="98">
        <v>45839.0</v>
      </c>
      <c r="I20" s="80">
        <v>1.0</v>
      </c>
      <c r="J20" s="99">
        <v>0.0</v>
      </c>
      <c r="K20" s="80">
        <v>1.0</v>
      </c>
      <c r="L20" s="80">
        <v>21.0</v>
      </c>
      <c r="M20" s="80">
        <v>0.0</v>
      </c>
      <c r="N20" s="80">
        <v>21.0</v>
      </c>
      <c r="O20" s="89"/>
      <c r="P20" s="80">
        <v>21.0</v>
      </c>
      <c r="Q20" s="80">
        <v>21.0</v>
      </c>
      <c r="R20" s="100">
        <v>8977234.0</v>
      </c>
      <c r="S20" s="100" t="s">
        <v>339</v>
      </c>
      <c r="T20" s="97" t="s">
        <v>366</v>
      </c>
      <c r="U20" s="97"/>
      <c r="V20" s="97"/>
      <c r="W20" s="97"/>
      <c r="X20" s="97"/>
      <c r="Y20" s="97"/>
      <c r="Z20" s="97"/>
    </row>
    <row r="21" ht="15.0" customHeight="1">
      <c r="A21" s="89">
        <v>1.12407726E8</v>
      </c>
      <c r="B21" s="89" t="str">
        <f t="shared" si="1"/>
        <v>1124077263</v>
      </c>
      <c r="C21" s="50" t="s">
        <v>373</v>
      </c>
      <c r="D21" s="50" t="s">
        <v>359</v>
      </c>
      <c r="E21" s="50" t="s">
        <v>374</v>
      </c>
      <c r="F21" s="90">
        <v>45689.0</v>
      </c>
      <c r="G21" s="4"/>
      <c r="H21" s="98">
        <v>45839.0</v>
      </c>
      <c r="I21" s="80">
        <v>1.0</v>
      </c>
      <c r="J21" s="99">
        <v>0.0</v>
      </c>
      <c r="K21" s="80">
        <v>1.0</v>
      </c>
      <c r="L21" s="80">
        <v>24.0</v>
      </c>
      <c r="M21" s="80">
        <v>0.0</v>
      </c>
      <c r="N21" s="80">
        <v>24.0</v>
      </c>
      <c r="O21" s="89" t="s">
        <v>357</v>
      </c>
      <c r="P21" s="80">
        <v>48.0</v>
      </c>
      <c r="Q21" s="80">
        <v>48.0</v>
      </c>
      <c r="R21" s="100">
        <v>8977234.0</v>
      </c>
      <c r="S21" s="100" t="s">
        <v>339</v>
      </c>
      <c r="T21" s="97" t="s">
        <v>375</v>
      </c>
      <c r="U21" s="97"/>
      <c r="V21" s="97"/>
      <c r="W21" s="97"/>
      <c r="X21" s="97"/>
      <c r="Y21" s="97"/>
      <c r="Z21" s="97"/>
    </row>
    <row r="22" ht="15.0" customHeight="1">
      <c r="A22" s="89">
        <v>1.12514281E8</v>
      </c>
      <c r="B22" s="89" t="str">
        <f t="shared" si="1"/>
        <v>1125142813</v>
      </c>
      <c r="C22" s="50" t="s">
        <v>376</v>
      </c>
      <c r="D22" s="50" t="s">
        <v>377</v>
      </c>
      <c r="E22" s="50" t="s">
        <v>374</v>
      </c>
      <c r="F22" s="90">
        <v>45778.0</v>
      </c>
      <c r="G22" s="4"/>
      <c r="H22" s="98">
        <v>45839.0</v>
      </c>
      <c r="I22" s="80">
        <v>1.0</v>
      </c>
      <c r="J22" s="99">
        <v>0.0</v>
      </c>
      <c r="K22" s="80">
        <v>1.0</v>
      </c>
      <c r="L22" s="80">
        <v>24.0</v>
      </c>
      <c r="M22" s="80">
        <v>0.0</v>
      </c>
      <c r="N22" s="80">
        <v>24.0</v>
      </c>
      <c r="O22" s="89" t="s">
        <v>378</v>
      </c>
      <c r="P22" s="80">
        <v>72.0</v>
      </c>
      <c r="Q22" s="80">
        <v>72.0</v>
      </c>
      <c r="R22" s="100">
        <v>8977234.0</v>
      </c>
      <c r="S22" s="100" t="s">
        <v>339</v>
      </c>
      <c r="T22" s="97" t="s">
        <v>375</v>
      </c>
      <c r="U22" s="97"/>
      <c r="V22" s="97"/>
      <c r="W22" s="97"/>
      <c r="X22" s="97"/>
      <c r="Y22" s="97"/>
      <c r="Z22" s="97"/>
    </row>
    <row r="23" ht="15.0" customHeight="1">
      <c r="A23" s="89">
        <v>1.12555327E8</v>
      </c>
      <c r="B23" s="89" t="str">
        <f t="shared" si="1"/>
        <v>1125553273</v>
      </c>
      <c r="C23" s="50" t="s">
        <v>379</v>
      </c>
      <c r="D23" s="50" t="s">
        <v>337</v>
      </c>
      <c r="E23" s="50" t="s">
        <v>374</v>
      </c>
      <c r="F23" s="90">
        <v>45809.0</v>
      </c>
      <c r="G23" s="4"/>
      <c r="H23" s="98">
        <v>45839.0</v>
      </c>
      <c r="I23" s="80">
        <v>1.0</v>
      </c>
      <c r="J23" s="99">
        <v>0.0</v>
      </c>
      <c r="K23" s="80">
        <v>1.0</v>
      </c>
      <c r="L23" s="80">
        <v>24.0</v>
      </c>
      <c r="M23" s="80">
        <v>0.0</v>
      </c>
      <c r="N23" s="80">
        <v>24.0</v>
      </c>
      <c r="O23" s="89" t="s">
        <v>357</v>
      </c>
      <c r="P23" s="80">
        <v>48.0</v>
      </c>
      <c r="Q23" s="80">
        <v>48.0</v>
      </c>
      <c r="R23" s="100">
        <v>8977234.0</v>
      </c>
      <c r="S23" s="100" t="s">
        <v>339</v>
      </c>
      <c r="T23" s="97" t="s">
        <v>375</v>
      </c>
      <c r="U23" s="97"/>
      <c r="V23" s="97"/>
      <c r="W23" s="97"/>
      <c r="X23" s="97"/>
      <c r="Y23" s="97"/>
      <c r="Z23" s="97"/>
    </row>
    <row r="24" ht="15.0" customHeight="1">
      <c r="A24" s="89">
        <v>1.12555365E8</v>
      </c>
      <c r="B24" s="89" t="str">
        <f t="shared" si="1"/>
        <v>1125553653</v>
      </c>
      <c r="C24" s="50" t="s">
        <v>380</v>
      </c>
      <c r="D24" s="50" t="s">
        <v>337</v>
      </c>
      <c r="E24" s="50" t="s">
        <v>374</v>
      </c>
      <c r="F24" s="90">
        <v>45809.0</v>
      </c>
      <c r="G24" s="4"/>
      <c r="H24" s="98">
        <v>45839.0</v>
      </c>
      <c r="I24" s="80">
        <v>1.0</v>
      </c>
      <c r="J24" s="99">
        <v>0.0</v>
      </c>
      <c r="K24" s="80">
        <v>1.0</v>
      </c>
      <c r="L24" s="80">
        <v>24.0</v>
      </c>
      <c r="M24" s="80">
        <v>0.0</v>
      </c>
      <c r="N24" s="80">
        <v>24.0</v>
      </c>
      <c r="O24" s="89"/>
      <c r="P24" s="80">
        <v>24.0</v>
      </c>
      <c r="Q24" s="80">
        <v>24.0</v>
      </c>
      <c r="R24" s="100">
        <v>8977234.0</v>
      </c>
      <c r="S24" s="100" t="s">
        <v>339</v>
      </c>
      <c r="T24" s="97" t="s">
        <v>375</v>
      </c>
      <c r="U24" s="97"/>
      <c r="V24" s="97"/>
      <c r="W24" s="97"/>
      <c r="X24" s="97"/>
      <c r="Y24" s="97"/>
      <c r="Z24" s="97"/>
    </row>
    <row r="25" ht="15.0" customHeight="1">
      <c r="A25" s="89">
        <v>1.09263551E8</v>
      </c>
      <c r="B25" s="89" t="str">
        <f t="shared" si="1"/>
        <v>1092635513</v>
      </c>
      <c r="C25" s="50" t="s">
        <v>381</v>
      </c>
      <c r="D25" s="50" t="s">
        <v>382</v>
      </c>
      <c r="E25" s="50" t="s">
        <v>374</v>
      </c>
      <c r="F25" s="90">
        <v>45658.0</v>
      </c>
      <c r="G25" s="4"/>
      <c r="H25" s="98">
        <v>45839.0</v>
      </c>
      <c r="I25" s="80">
        <v>1.0</v>
      </c>
      <c r="J25" s="99">
        <v>0.0</v>
      </c>
      <c r="K25" s="80">
        <v>1.0</v>
      </c>
      <c r="L25" s="80">
        <v>24.0</v>
      </c>
      <c r="M25" s="80">
        <v>0.0</v>
      </c>
      <c r="N25" s="80">
        <v>24.0</v>
      </c>
      <c r="O25" s="89" t="s">
        <v>357</v>
      </c>
      <c r="P25" s="80">
        <v>48.0</v>
      </c>
      <c r="Q25" s="80">
        <v>48.0</v>
      </c>
      <c r="R25" s="100">
        <v>8977234.0</v>
      </c>
      <c r="S25" s="100" t="s">
        <v>339</v>
      </c>
      <c r="T25" s="97" t="s">
        <v>375</v>
      </c>
      <c r="U25" s="97"/>
      <c r="V25" s="97"/>
      <c r="W25" s="97"/>
      <c r="X25" s="97"/>
      <c r="Y25" s="97"/>
      <c r="Z25" s="97"/>
    </row>
    <row r="26" ht="15.0" customHeight="1">
      <c r="A26" s="89">
        <v>1.10913614E8</v>
      </c>
      <c r="B26" s="89" t="str">
        <f t="shared" si="1"/>
        <v>1109136143</v>
      </c>
      <c r="C26" s="50" t="s">
        <v>383</v>
      </c>
      <c r="D26" s="50" t="s">
        <v>353</v>
      </c>
      <c r="E26" s="50" t="s">
        <v>374</v>
      </c>
      <c r="F26" s="90">
        <v>45658.0</v>
      </c>
      <c r="G26" s="90"/>
      <c r="H26" s="98">
        <v>45839.0</v>
      </c>
      <c r="I26" s="80">
        <v>1.0</v>
      </c>
      <c r="J26" s="99">
        <v>0.0</v>
      </c>
      <c r="K26" s="80">
        <v>1.0</v>
      </c>
      <c r="L26" s="80">
        <v>24.0</v>
      </c>
      <c r="M26" s="80">
        <v>0.0</v>
      </c>
      <c r="N26" s="80">
        <v>24.0</v>
      </c>
      <c r="O26" s="89"/>
      <c r="P26" s="80">
        <v>24.0</v>
      </c>
      <c r="Q26" s="80">
        <v>24.0</v>
      </c>
      <c r="R26" s="100">
        <v>8977234.0</v>
      </c>
      <c r="S26" s="100" t="s">
        <v>339</v>
      </c>
      <c r="T26" s="97" t="s">
        <v>375</v>
      </c>
      <c r="U26" s="97"/>
      <c r="V26" s="97"/>
      <c r="W26" s="97"/>
      <c r="X26" s="97"/>
      <c r="Y26" s="97"/>
      <c r="Z26" s="97"/>
    </row>
    <row r="27" ht="15.0" customHeight="1">
      <c r="A27" s="89">
        <v>1.11110447E8</v>
      </c>
      <c r="B27" s="89" t="str">
        <f t="shared" si="1"/>
        <v>1111104473</v>
      </c>
      <c r="C27" s="50" t="s">
        <v>384</v>
      </c>
      <c r="D27" s="50" t="s">
        <v>337</v>
      </c>
      <c r="E27" s="50" t="s">
        <v>374</v>
      </c>
      <c r="F27" s="90">
        <v>45658.0</v>
      </c>
      <c r="G27" s="90"/>
      <c r="H27" s="98">
        <v>45839.0</v>
      </c>
      <c r="I27" s="80">
        <v>1.0</v>
      </c>
      <c r="J27" s="99">
        <v>0.0</v>
      </c>
      <c r="K27" s="80">
        <v>1.0</v>
      </c>
      <c r="L27" s="80">
        <v>24.0</v>
      </c>
      <c r="M27" s="80">
        <v>0.0</v>
      </c>
      <c r="N27" s="80">
        <v>24.0</v>
      </c>
      <c r="O27" s="89" t="s">
        <v>357</v>
      </c>
      <c r="P27" s="80">
        <v>48.0</v>
      </c>
      <c r="Q27" s="80">
        <v>48.0</v>
      </c>
      <c r="R27" s="100">
        <v>8977234.0</v>
      </c>
      <c r="S27" s="100" t="s">
        <v>339</v>
      </c>
      <c r="T27" s="97" t="s">
        <v>375</v>
      </c>
      <c r="U27" s="97"/>
      <c r="V27" s="97"/>
      <c r="W27" s="97"/>
      <c r="X27" s="97"/>
      <c r="Y27" s="97"/>
      <c r="Z27" s="97"/>
    </row>
    <row r="28" ht="15.0" customHeight="1">
      <c r="A28" s="89">
        <v>1.11593834E8</v>
      </c>
      <c r="B28" s="89" t="str">
        <f t="shared" si="1"/>
        <v>1115938343</v>
      </c>
      <c r="C28" s="50" t="s">
        <v>385</v>
      </c>
      <c r="D28" s="50" t="s">
        <v>359</v>
      </c>
      <c r="E28" s="50" t="s">
        <v>374</v>
      </c>
      <c r="F28" s="90">
        <v>45658.0</v>
      </c>
      <c r="G28" s="90"/>
      <c r="H28" s="98">
        <v>45839.0</v>
      </c>
      <c r="I28" s="80">
        <v>1.0</v>
      </c>
      <c r="J28" s="99">
        <v>0.0</v>
      </c>
      <c r="K28" s="80">
        <v>1.0</v>
      </c>
      <c r="L28" s="80">
        <v>24.0</v>
      </c>
      <c r="M28" s="80">
        <v>0.0</v>
      </c>
      <c r="N28" s="80">
        <v>24.0</v>
      </c>
      <c r="O28" s="89"/>
      <c r="P28" s="80">
        <v>24.0</v>
      </c>
      <c r="Q28" s="80">
        <v>24.0</v>
      </c>
      <c r="R28" s="100">
        <v>8977234.0</v>
      </c>
      <c r="S28" s="100" t="s">
        <v>339</v>
      </c>
      <c r="T28" s="97" t="s">
        <v>375</v>
      </c>
      <c r="U28" s="97"/>
      <c r="V28" s="97"/>
      <c r="W28" s="97"/>
      <c r="X28" s="97"/>
      <c r="Y28" s="97"/>
      <c r="Z28" s="97"/>
    </row>
    <row r="29" ht="15.0" customHeight="1">
      <c r="A29" s="89">
        <v>1.11828564E8</v>
      </c>
      <c r="B29" s="89" t="str">
        <f t="shared" si="1"/>
        <v>1118285643</v>
      </c>
      <c r="C29" s="50" t="s">
        <v>386</v>
      </c>
      <c r="D29" s="50" t="s">
        <v>337</v>
      </c>
      <c r="E29" s="50" t="s">
        <v>374</v>
      </c>
      <c r="F29" s="90">
        <v>45658.0</v>
      </c>
      <c r="G29" s="90"/>
      <c r="H29" s="98">
        <v>45839.0</v>
      </c>
      <c r="I29" s="80">
        <v>1.0</v>
      </c>
      <c r="J29" s="99">
        <v>0.0</v>
      </c>
      <c r="K29" s="80">
        <v>1.0</v>
      </c>
      <c r="L29" s="80">
        <v>24.0</v>
      </c>
      <c r="M29" s="80">
        <v>0.0</v>
      </c>
      <c r="N29" s="80">
        <v>24.0</v>
      </c>
      <c r="O29" s="89"/>
      <c r="P29" s="80">
        <v>24.0</v>
      </c>
      <c r="Q29" s="80">
        <v>24.0</v>
      </c>
      <c r="R29" s="100">
        <v>8977234.0</v>
      </c>
      <c r="S29" s="100" t="s">
        <v>339</v>
      </c>
      <c r="T29" s="97" t="s">
        <v>375</v>
      </c>
      <c r="U29" s="97"/>
      <c r="V29" s="97"/>
      <c r="W29" s="97"/>
      <c r="X29" s="97"/>
      <c r="Y29" s="97"/>
      <c r="Z29" s="97"/>
    </row>
    <row r="30" ht="15.0" customHeight="1">
      <c r="A30" s="89">
        <v>1.11057159E8</v>
      </c>
      <c r="B30" s="89" t="str">
        <f t="shared" si="1"/>
        <v>1110571593</v>
      </c>
      <c r="C30" s="50" t="s">
        <v>387</v>
      </c>
      <c r="D30" s="50" t="s">
        <v>388</v>
      </c>
      <c r="E30" s="50" t="s">
        <v>374</v>
      </c>
      <c r="F30" s="90">
        <v>45658.0</v>
      </c>
      <c r="G30" s="90"/>
      <c r="H30" s="98">
        <v>45839.0</v>
      </c>
      <c r="I30" s="80">
        <v>1.0</v>
      </c>
      <c r="J30" s="99">
        <v>0.0</v>
      </c>
      <c r="K30" s="80">
        <v>1.0</v>
      </c>
      <c r="L30" s="80">
        <v>25.0</v>
      </c>
      <c r="M30" s="80">
        <v>0.0</v>
      </c>
      <c r="N30" s="80">
        <v>25.0</v>
      </c>
      <c r="O30" s="89"/>
      <c r="P30" s="80">
        <v>25.0</v>
      </c>
      <c r="Q30" s="80">
        <v>25.0</v>
      </c>
      <c r="R30" s="100">
        <v>8977234.0</v>
      </c>
      <c r="S30" s="100" t="s">
        <v>339</v>
      </c>
      <c r="T30" s="97" t="s">
        <v>389</v>
      </c>
      <c r="U30" s="97"/>
      <c r="V30" s="97"/>
      <c r="W30" s="97"/>
      <c r="X30" s="97"/>
      <c r="Y30" s="97"/>
      <c r="Z30" s="97"/>
    </row>
    <row r="31" ht="15.0" customHeight="1">
      <c r="A31" s="89">
        <v>1.11241629E8</v>
      </c>
      <c r="B31" s="89" t="str">
        <f t="shared" si="1"/>
        <v>1112416293</v>
      </c>
      <c r="C31" s="50" t="s">
        <v>390</v>
      </c>
      <c r="D31" s="50" t="s">
        <v>359</v>
      </c>
      <c r="E31" s="50" t="s">
        <v>374</v>
      </c>
      <c r="F31" s="90">
        <v>45658.0</v>
      </c>
      <c r="G31" s="90"/>
      <c r="H31" s="98">
        <v>45839.0</v>
      </c>
      <c r="I31" s="80">
        <v>1.0</v>
      </c>
      <c r="J31" s="99">
        <v>0.0</v>
      </c>
      <c r="K31" s="80">
        <v>1.0</v>
      </c>
      <c r="L31" s="80">
        <v>25.0</v>
      </c>
      <c r="M31" s="80">
        <v>0.0</v>
      </c>
      <c r="N31" s="80">
        <v>25.0</v>
      </c>
      <c r="O31" s="89"/>
      <c r="P31" s="80">
        <v>25.0</v>
      </c>
      <c r="Q31" s="80">
        <v>25.0</v>
      </c>
      <c r="R31" s="100">
        <v>8977234.0</v>
      </c>
      <c r="S31" s="100" t="s">
        <v>339</v>
      </c>
      <c r="T31" s="97" t="s">
        <v>389</v>
      </c>
      <c r="U31" s="97"/>
      <c r="V31" s="97"/>
      <c r="W31" s="97"/>
      <c r="X31" s="97"/>
      <c r="Y31" s="97"/>
      <c r="Z31" s="97"/>
    </row>
    <row r="32" ht="15.75" customHeight="1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ht="15.75" customHeight="1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ht="15.75" customHeight="1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ht="15.75" customHeight="1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ht="15.75" customHeight="1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ht="15.75" customHeight="1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ht="15.75" customHeight="1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ht="15.75" customHeight="1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ht="15.75" customHeight="1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ht="15.75" customHeight="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ht="15.75" customHeight="1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ht="15.75" customHeight="1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ht="15.75" customHeight="1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ht="15.75" customHeight="1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ht="15.75" customHeight="1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ht="15.75" customHeight="1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ht="15.75" customHeight="1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ht="15.75" customHeight="1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ht="15.75" customHeight="1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ht="15.75" customHeight="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ht="15.75" customHeight="1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ht="15.75" customHeight="1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ht="15.75" customHeight="1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ht="15.75" customHeight="1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ht="15.75" customHeight="1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ht="15.75" customHeight="1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ht="15.75" customHeight="1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ht="15.75" customHeight="1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ht="15.75" customHeight="1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ht="15.75" customHeight="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ht="15.75" customHeight="1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ht="15.75" customHeight="1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ht="15.75" customHeight="1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ht="15.75" customHeight="1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ht="15.75" customHeight="1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ht="15.75" customHeight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ht="15.75" customHeight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ht="15.75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ht="15.75" customHeight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ht="15.75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ht="15.75" customHeight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ht="15.75" customHeight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ht="15.75" customHeight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ht="15.75" customHeight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ht="15.75" customHeight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ht="15.75" customHeight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ht="15.75" customHeight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ht="15.75" customHeight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ht="15.75" customHeight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ht="15.75" customHeight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ht="15.75" customHeight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ht="15.75" customHeight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ht="15.75" customHeight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ht="15.75" customHeight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ht="15.75" customHeight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ht="15.75" customHeight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ht="15.75" customHeight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ht="15.75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ht="15.75" customHeight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ht="15.75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ht="15.75" customHeight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ht="15.75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ht="15.75" customHeight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ht="15.7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ht="15.7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ht="15.7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ht="15.7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ht="15.7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ht="15.7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ht="15.7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ht="15.7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ht="15.7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ht="15.7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ht="15.7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ht="15.7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ht="15.7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ht="15.7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ht="15.7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ht="15.7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ht="15.7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ht="15.7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ht="15.7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ht="15.7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ht="15.7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ht="15.7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ht="15.7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ht="15.7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ht="15.7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ht="15.7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ht="15.7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ht="15.7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ht="15.7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ht="15.7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ht="15.7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ht="15.7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ht="15.7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ht="15.7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ht="15.7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ht="15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ht="15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ht="15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ht="15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ht="15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ht="15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ht="15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ht="15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ht="15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ht="15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ht="15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ht="15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ht="15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ht="15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ht="15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ht="15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ht="15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ht="15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ht="15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ht="15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ht="15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ht="15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ht="15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ht="15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ht="15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ht="15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ht="15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ht="15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ht="15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ht="15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ht="15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ht="15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ht="15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ht="15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ht="15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ht="15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ht="15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ht="15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ht="15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ht="15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ht="15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ht="15.7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ht="15.7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ht="15.7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ht="15.7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ht="15.7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ht="15.7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ht="15.7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ht="15.7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ht="15.7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ht="15.7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ht="15.7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ht="15.7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ht="15.7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ht="15.7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ht="15.7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ht="15.7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ht="15.7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ht="15.7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ht="15.7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ht="15.7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ht="15.7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ht="15.7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ht="15.75" customHeight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ht="15.75" customHeight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ht="15.75" customHeight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ht="15.75" customHeight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ht="15.75" customHeight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ht="15.75" customHeight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ht="15.75" customHeight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ht="15.75" customHeight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ht="15.75" customHeight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ht="15.75" customHeight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ht="15.75" customHeight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ht="15.75" customHeight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ht="15.75" customHeight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ht="15.75" customHeight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ht="15.75" customHeight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ht="15.75" customHeight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ht="15.75" customHeight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ht="15.75" customHeight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ht="15.75" customHeight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ht="15.75" customHeight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ht="15.75" customHeight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ht="15.75" customHeight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ht="15.75" customHeight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ht="15.75" customHeight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ht="15.75" customHeight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ht="15.75" customHeight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ht="15.75" customHeight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ht="15.75" customHeight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ht="15.75" customHeight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ht="15.75" customHeight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ht="15.75" customHeight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ht="15.75" customHeight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ht="15.75" customHeight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ht="15.75" customHeight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ht="15.75" customHeight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ht="15.75" customHeight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ht="15.75" customHeight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ht="15.75" customHeight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ht="15.75" customHeight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ht="15.75" customHeight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ht="15.75" customHeight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ht="15.75" customHeight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ht="15.75" customHeight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ht="15.75" customHeight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ht="15.75" customHeight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ht="15.75" customHeight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ht="15.75" customHeight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ht="15.75" customHeight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ht="15.75" customHeight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ht="15.75" customHeight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ht="15.75" customHeight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ht="15.75" customHeight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ht="15.75" customHeight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ht="15.75" customHeight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ht="15.75" customHeight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ht="15.75" customHeight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ht="15.75" customHeight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ht="15.75" customHeight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ht="15.75" customHeight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ht="15.75" customHeight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ht="15.75" customHeight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ht="15.75" customHeight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ht="15.75" customHeight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ht="15.75" customHeight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ht="15.75" customHeight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ht="15.75" customHeight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ht="15.75" customHeight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ht="15.75" customHeight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ht="15.75" customHeight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ht="15.75" customHeight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ht="15.75" customHeight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ht="15.75" customHeight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ht="15.75" customHeight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ht="15.75" customHeight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ht="15.75" customHeight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ht="15.75" customHeight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ht="15.75" customHeight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ht="15.75" customHeight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ht="15.75" customHeight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ht="15.75" customHeight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ht="15.75" customHeight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ht="15.75" customHeight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ht="15.75" customHeight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ht="15.75" customHeight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ht="15.75" customHeight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ht="15.75" customHeight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ht="15.75" customHeight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ht="15.75" customHeight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ht="15.75" customHeight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ht="15.75" customHeight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ht="15.75" customHeight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ht="15.75" customHeight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ht="15.75" customHeight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ht="15.75" customHeight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ht="15.75" customHeight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ht="15.75" customHeight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ht="15.75" customHeight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ht="15.75" customHeight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ht="15.75" customHeight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ht="15.75" customHeight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ht="15.75" customHeight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ht="15.75" customHeight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ht="15.75" customHeight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ht="15.75" customHeight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ht="15.75" customHeight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ht="15.75" customHeight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ht="15.75" customHeight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ht="15.75" customHeight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ht="15.75" customHeight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ht="15.75" customHeight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ht="15.75" customHeight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ht="15.75" customHeight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ht="15.75" customHeight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ht="15.75" customHeight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ht="15.75" customHeight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ht="15.75" customHeight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ht="15.75" customHeight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ht="15.75" customHeight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ht="15.75" customHeight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ht="15.75" customHeight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ht="15.75" customHeight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ht="15.75" customHeight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ht="15.75" customHeight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ht="15.75" customHeight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ht="15.75" customHeight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ht="15.75" customHeight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ht="15.75" customHeight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ht="15.75" customHeight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ht="15.75" customHeight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ht="15.75" customHeight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ht="15.75" customHeight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ht="15.75" customHeight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ht="15.75" customHeight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ht="15.75" customHeight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ht="15.75" customHeight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ht="15.75" customHeight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ht="15.75" customHeight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ht="15.75" customHeight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ht="15.75" customHeight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ht="15.75" customHeight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ht="15.75" customHeight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ht="15.75" customHeight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ht="15.75" customHeight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ht="15.75" customHeight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ht="15.75" customHeight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ht="15.75" customHeight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ht="15.75" customHeight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ht="15.75" customHeight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ht="15.75" customHeight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ht="15.75" customHeight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ht="15.75" customHeight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ht="15.75" customHeight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ht="15.75" customHeight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ht="15.75" customHeight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ht="15.75" customHeight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ht="15.75" customHeight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ht="15.75" customHeight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ht="15.75" customHeight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ht="15.75" customHeight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ht="15.75" customHeight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ht="15.75" customHeight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ht="15.75" customHeight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ht="15.75" customHeight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ht="15.75" customHeight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ht="15.75" customHeight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ht="15.75" customHeight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ht="15.75" customHeight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ht="15.75" customHeight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ht="15.75" customHeight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ht="15.75" customHeight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ht="15.75" customHeight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ht="15.75" customHeight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ht="15.75" customHeight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ht="15.75" customHeight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ht="15.75" customHeight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ht="15.75" customHeight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ht="15.75" customHeight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ht="15.75" customHeight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ht="15.75" customHeight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ht="15.75" customHeight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ht="15.75" customHeight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ht="15.75" customHeight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ht="15.75" customHeight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ht="15.75" customHeight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ht="15.75" customHeight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ht="15.75" customHeight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ht="15.75" customHeight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ht="15.75" customHeight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ht="15.75" customHeight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ht="15.75" customHeight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ht="15.75" customHeight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ht="15.75" customHeight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ht="15.75" customHeight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ht="15.75" customHeight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ht="15.75" customHeight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ht="15.75" customHeight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ht="15.75" customHeight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ht="15.75" customHeight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ht="15.75" customHeight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ht="15.75" customHeight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ht="15.75" customHeight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ht="15.75" customHeight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ht="15.75" customHeight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ht="15.75" customHeight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ht="15.75" customHeight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ht="15.75" customHeight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ht="15.75" customHeight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ht="15.75" customHeight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ht="15.75" customHeight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ht="15.75" customHeight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ht="15.75" customHeight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ht="15.75" customHeight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ht="15.75" customHeight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ht="15.75" customHeight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ht="15.75" customHeight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ht="15.75" customHeight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ht="15.75" customHeight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ht="15.75" customHeight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ht="15.75" customHeight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ht="15.75" customHeight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ht="15.75" customHeight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ht="15.75" customHeight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ht="15.75" customHeight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ht="15.75" customHeight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ht="15.75" customHeight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ht="15.75" customHeight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ht="15.75" customHeight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ht="15.75" customHeight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ht="15.75" customHeight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ht="15.75" customHeight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ht="15.75" customHeight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ht="15.75" customHeight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ht="15.75" customHeight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ht="15.75" customHeight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ht="15.75" customHeight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ht="15.75" customHeight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ht="15.75" customHeight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ht="15.75" customHeight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ht="15.75" customHeight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ht="15.75" customHeight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ht="15.75" customHeight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ht="15.75" customHeight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ht="15.75" customHeight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ht="15.75" customHeight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ht="15.75" customHeight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ht="15.75" customHeight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ht="15.75" customHeight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ht="15.75" customHeight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ht="15.75" customHeight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ht="15.75" customHeight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ht="15.75" customHeight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ht="15.75" customHeight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ht="15.75" customHeight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ht="15.75" customHeight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ht="15.75" customHeight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ht="15.75" customHeight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ht="15.75" customHeight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ht="15.75" customHeight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ht="15.75" customHeight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ht="15.75" customHeight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ht="15.75" customHeight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ht="15.75" customHeight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ht="15.75" customHeight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ht="15.75" customHeight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ht="15.75" customHeight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ht="15.75" customHeight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ht="15.75" customHeight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ht="15.75" customHeight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ht="15.75" customHeight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ht="15.75" customHeight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ht="15.75" customHeight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ht="15.75" customHeight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ht="15.75" customHeight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ht="15.75" customHeight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ht="15.75" customHeight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ht="15.75" customHeight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ht="15.75" customHeight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ht="15.75" customHeight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ht="15.75" customHeight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ht="15.75" customHeight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ht="15.75" customHeight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ht="15.75" customHeight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ht="15.75" customHeight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ht="15.75" customHeight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ht="15.75" customHeight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ht="15.75" customHeight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ht="15.75" customHeight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ht="15.75" customHeight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ht="15.75" customHeight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ht="15.75" customHeight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ht="15.75" customHeight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ht="15.75" customHeight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ht="15.75" customHeight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ht="15.75" customHeight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ht="15.75" customHeight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ht="15.75" customHeight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ht="15.75" customHeight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ht="15.75" customHeight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ht="15.75" customHeight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ht="15.75" customHeight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ht="15.75" customHeight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ht="15.75" customHeight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ht="15.75" customHeight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ht="15.75" customHeight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ht="15.75" customHeight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ht="15.75" customHeight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ht="15.75" customHeight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ht="15.75" customHeight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ht="15.75" customHeight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ht="15.75" customHeight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ht="15.75" customHeight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ht="15.75" customHeight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ht="15.75" customHeight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ht="15.75" customHeight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ht="15.75" customHeight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ht="15.75" customHeight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ht="15.75" customHeight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ht="15.75" customHeight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ht="15.75" customHeight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ht="15.75" customHeight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ht="15.75" customHeight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ht="15.75" customHeight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ht="15.75" customHeight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ht="15.75" customHeight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ht="15.75" customHeight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ht="15.75" customHeight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ht="15.75" customHeight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ht="15.75" customHeight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ht="15.75" customHeight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ht="15.75" customHeight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ht="15.75" customHeight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ht="15.75" customHeight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ht="15.75" customHeight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ht="15.75" customHeight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ht="15.75" customHeight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ht="15.75" customHeight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ht="15.75" customHeight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ht="15.75" customHeight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ht="15.75" customHeight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ht="15.75" customHeight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ht="15.75" customHeight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ht="15.75" customHeight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ht="15.75" customHeight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ht="15.75" customHeight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ht="15.75" customHeight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ht="15.75" customHeight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ht="15.75" customHeight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ht="15.75" customHeight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ht="15.75" customHeight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ht="15.75" customHeight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ht="15.75" customHeight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ht="15.75" customHeight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ht="15.75" customHeight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ht="15.75" customHeight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ht="15.75" customHeight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ht="15.75" customHeight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ht="15.75" customHeight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ht="15.75" customHeight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ht="15.75" customHeight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ht="15.75" customHeight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ht="15.75" customHeight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ht="15.75" customHeight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ht="15.75" customHeight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ht="15.75" customHeight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ht="15.75" customHeight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ht="15.75" customHeight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ht="15.75" customHeight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ht="15.75" customHeight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ht="15.75" customHeight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ht="15.75" customHeight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ht="15.75" customHeight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ht="15.75" customHeight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ht="15.75" customHeight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ht="15.75" customHeight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ht="15.75" customHeight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ht="15.75" customHeight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ht="15.75" customHeight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ht="15.75" customHeight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ht="15.75" customHeight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ht="15.75" customHeight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ht="15.75" customHeight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ht="15.75" customHeight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ht="15.75" customHeight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ht="15.75" customHeight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ht="15.75" customHeight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ht="15.75" customHeight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ht="15.75" customHeight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ht="15.75" customHeight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ht="15.75" customHeight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ht="15.75" customHeight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ht="15.75" customHeight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ht="15.75" customHeight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ht="15.75" customHeight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ht="15.75" customHeight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ht="15.75" customHeight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ht="15.75" customHeight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ht="15.75" customHeight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ht="15.75" customHeight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ht="15.75" customHeight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ht="15.75" customHeight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ht="15.75" customHeight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ht="15.75" customHeight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ht="15.75" customHeight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ht="15.75" customHeight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ht="15.75" customHeight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ht="15.75" customHeight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ht="15.75" customHeight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ht="15.75" customHeight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ht="15.75" customHeight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ht="15.75" customHeight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ht="15.75" customHeight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ht="15.75" customHeight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ht="15.75" customHeight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ht="15.75" customHeight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ht="15.75" customHeight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ht="15.75" customHeight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ht="15.75" customHeight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ht="15.75" customHeight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ht="15.75" customHeight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ht="15.75" customHeight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ht="15.75" customHeight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ht="15.75" customHeight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ht="15.75" customHeight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ht="15.75" customHeight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ht="15.75" customHeight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ht="15.75" customHeight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ht="15.75" customHeight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ht="15.75" customHeight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ht="15.75" customHeight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ht="15.75" customHeight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ht="15.75" customHeight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ht="15.75" customHeight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ht="15.75" customHeight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ht="15.75" customHeight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ht="15.75" customHeight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ht="15.75" customHeight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ht="15.75" customHeight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ht="15.75" customHeight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ht="15.75" customHeight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ht="15.75" customHeight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ht="15.75" customHeight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ht="15.75" customHeight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ht="15.75" customHeight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ht="15.75" customHeight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ht="15.75" customHeight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ht="15.75" customHeight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ht="15.75" customHeight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ht="15.75" customHeight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ht="15.75" customHeight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ht="15.75" customHeight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ht="15.75" customHeight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ht="15.75" customHeight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ht="15.75" customHeight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ht="15.75" customHeight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ht="15.75" customHeight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ht="15.75" customHeight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ht="15.75" customHeight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ht="15.75" customHeight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ht="15.75" customHeight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ht="15.75" customHeight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ht="15.75" customHeight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ht="15.75" customHeight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ht="15.75" customHeight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ht="15.75" customHeight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ht="15.75" customHeight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ht="15.75" customHeight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ht="15.75" customHeight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ht="15.75" customHeight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ht="15.75" customHeight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ht="15.75" customHeight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ht="15.75" customHeight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ht="15.75" customHeight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ht="15.75" customHeight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ht="15.75" customHeight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ht="15.75" customHeight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ht="15.75" customHeight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ht="15.75" customHeight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ht="15.75" customHeight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ht="15.75" customHeight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ht="15.75" customHeight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ht="15.75" customHeight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ht="15.75" customHeight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ht="15.75" customHeight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ht="15.75" customHeight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ht="15.75" customHeight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ht="15.75" customHeight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ht="15.75" customHeight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ht="15.75" customHeight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ht="15.75" customHeight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ht="15.75" customHeight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ht="15.75" customHeight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ht="15.75" customHeight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ht="15.75" customHeight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ht="15.75" customHeight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ht="15.75" customHeight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ht="15.75" customHeight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ht="15.75" customHeight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ht="15.75" customHeight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ht="15.75" customHeight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ht="15.75" customHeight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ht="15.75" customHeight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ht="15.75" customHeight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ht="15.75" customHeight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ht="15.75" customHeight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ht="15.75" customHeight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ht="15.75" customHeight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ht="15.75" customHeight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ht="15.75" customHeight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ht="15.75" customHeight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ht="15.75" customHeight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ht="15.75" customHeight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ht="15.75" customHeight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ht="15.75" customHeight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ht="15.75" customHeight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ht="15.75" customHeight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ht="15.75" customHeight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ht="15.75" customHeight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ht="15.75" customHeight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ht="15.75" customHeight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ht="15.75" customHeight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ht="15.75" customHeight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ht="15.75" customHeight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ht="15.75" customHeight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ht="15.75" customHeight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ht="15.75" customHeight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ht="15.75" customHeight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ht="15.75" customHeight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ht="15.75" customHeight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ht="15.75" customHeight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ht="15.75" customHeight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ht="15.75" customHeight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ht="15.75" customHeight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ht="15.75" customHeight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ht="15.75" customHeight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ht="15.75" customHeight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ht="15.75" customHeight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ht="15.75" customHeight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ht="15.75" customHeight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ht="15.75" customHeight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ht="15.75" customHeight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ht="15.75" customHeight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ht="15.75" customHeight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ht="15.75" customHeight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ht="15.75" customHeight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ht="15.75" customHeight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ht="15.75" customHeight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ht="15.75" customHeight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ht="15.75" customHeight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ht="15.75" customHeight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ht="15.75" customHeight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ht="15.75" customHeight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ht="15.75" customHeight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ht="15.75" customHeight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ht="15.75" customHeight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ht="15.75" customHeight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ht="15.75" customHeight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ht="15.75" customHeight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ht="15.75" customHeight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ht="15.75" customHeight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ht="15.75" customHeight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ht="15.75" customHeight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ht="15.75" customHeight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ht="15.75" customHeight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ht="15.75" customHeight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ht="15.75" customHeight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ht="15.75" customHeight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ht="15.75" customHeight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ht="15.75" customHeight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ht="15.75" customHeight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ht="15.75" customHeight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ht="15.75" customHeight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ht="15.75" customHeight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ht="15.75" customHeight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ht="15.75" customHeight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ht="15.75" customHeight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ht="15.75" customHeight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ht="15.75" customHeight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ht="15.75" customHeight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ht="15.75" customHeight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ht="15.75" customHeight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ht="15.75" customHeight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ht="15.75" customHeight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ht="15.75" customHeight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ht="15.75" customHeight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ht="15.75" customHeight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ht="15.75" customHeight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ht="15.75" customHeight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ht="15.75" customHeight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ht="15.75" customHeight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ht="15.75" customHeight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ht="15.75" customHeight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ht="15.75" customHeight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ht="15.75" customHeight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ht="15.75" customHeight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ht="15.75" customHeight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ht="15.75" customHeight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ht="15.75" customHeight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ht="15.75" customHeight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ht="15.75" customHeight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ht="15.75" customHeight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ht="15.75" customHeight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ht="15.75" customHeight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ht="15.75" customHeight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ht="15.75" customHeight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ht="15.75" customHeight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ht="15.75" customHeight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ht="15.75" customHeight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ht="15.75" customHeight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ht="15.75" customHeight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ht="15.75" customHeight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ht="15.75" customHeight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ht="15.75" customHeight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ht="15.75" customHeight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ht="15.75" customHeight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ht="15.75" customHeight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ht="15.75" customHeight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ht="15.75" customHeight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ht="15.75" customHeight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ht="15.75" customHeight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ht="15.75" customHeight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ht="15.75" customHeight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ht="15.75" customHeight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ht="15.75" customHeight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ht="15.75" customHeight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ht="15.75" customHeight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ht="15.75" customHeight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ht="15.75" customHeight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ht="15.75" customHeight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ht="15.75" customHeight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ht="15.75" customHeight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ht="15.75" customHeight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ht="15.75" customHeight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ht="15.75" customHeight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ht="15.75" customHeight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ht="15.75" customHeight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ht="15.75" customHeight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ht="15.75" customHeight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ht="15.75" customHeight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ht="15.75" customHeight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ht="15.75" customHeight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ht="15.75" customHeight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ht="15.75" customHeight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ht="15.75" customHeight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ht="15.75" customHeight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ht="15.75" customHeight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ht="15.75" customHeight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ht="15.75" customHeight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ht="15.75" customHeight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ht="15.75" customHeight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ht="15.75" customHeight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ht="15.75" customHeight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ht="15.75" customHeight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ht="15.75" customHeight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ht="15.75" customHeight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ht="15.75" customHeight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ht="15.75" customHeight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ht="15.75" customHeight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ht="15.75" customHeight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ht="15.75" customHeight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ht="15.75" customHeight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ht="15.75" customHeight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ht="15.75" customHeight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ht="15.75" customHeight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ht="15.75" customHeight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ht="15.75" customHeight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ht="15.75" customHeight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ht="15.75" customHeight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ht="15.75" customHeight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ht="15.75" customHeight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ht="15.75" customHeight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ht="15.75" customHeight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ht="15.75" customHeight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ht="15.75" customHeight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ht="15.75" customHeight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ht="15.75" customHeight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ht="15.75" customHeight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ht="15.75" customHeight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ht="15.75" customHeight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ht="15.75" customHeight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ht="15.75" customHeight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ht="15.75" customHeight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ht="15.75" customHeight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ht="15.75" customHeight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ht="15.75" customHeight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ht="15.75" customHeight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ht="15.75" customHeight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ht="15.75" customHeight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ht="15.75" customHeight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ht="15.75" customHeight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ht="15.75" customHeight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ht="15.75" customHeight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ht="15.75" customHeight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ht="15.75" customHeight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ht="15.75" customHeight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ht="15.75" customHeight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ht="15.75" customHeight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ht="15.75" customHeight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ht="15.75" customHeight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ht="15.75" customHeight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ht="15.75" customHeight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ht="15.75" customHeight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ht="15.75" customHeight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ht="15.75" customHeight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ht="15.75" customHeight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ht="15.75" customHeight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ht="15.75" customHeight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ht="15.75" customHeight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ht="15.75" customHeight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ht="15.75" customHeight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ht="15.75" customHeight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ht="15.75" customHeight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ht="15.75" customHeight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ht="15.75" customHeight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ht="15.75" customHeight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ht="15.75" customHeight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ht="15.75" customHeight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ht="15.75" customHeight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ht="15.75" customHeight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ht="15.75" customHeight="1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2025-07-17T12:05:36Z</dcterms:created>
  <dc:creator>Loula Irene Cabel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2025-07-11T00:00:00Z</vt:filetime>
  </property>
  <property fmtid="{D5CDD505-2E9C-101B-9397-08002B2CF9AE}" pid="3" name="Creator">
    <vt:lpwstr>JasperReports Library version 6.21.3-4a3078d20785ebe464f18037d738d12fc98c13cf</vt:lpwstr>
  </property>
  <property fmtid="{D5CDD505-2E9C-101B-9397-08002B2CF9AE}" pid="4" name="Producer">
    <vt:lpwstr>OpenPDF 2.0.3</vt:lpwstr>
  </property>
  <property fmtid="{D5CDD505-2E9C-101B-9397-08002B2CF9AE}" pid="5" name="LastSaved">
    <vt:filetime>2025-07-11T00:00:00Z</vt:filetime>
  </property>
</Properties>
</file>