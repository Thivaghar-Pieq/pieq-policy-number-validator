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5\caresource website\Caresource 12-1-25\"/>
    </mc:Choice>
  </mc:AlternateContent>
  <xr:revisionPtr revIDLastSave="0" documentId="13_ncr:1_{219244F1-9704-4814-A37E-6E7705C52204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Table 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33" i="2" l="1"/>
  <c r="B2" i="2"/>
  <c r="B3" i="2"/>
  <c r="B4" i="2"/>
  <c r="B31" i="2"/>
  <c r="B23" i="2"/>
  <c r="B24" i="2"/>
  <c r="B25" i="2"/>
  <c r="B21" i="2"/>
  <c r="B5" i="2"/>
  <c r="B6" i="2"/>
  <c r="B7" i="2"/>
  <c r="B8" i="2"/>
  <c r="B9" i="2"/>
  <c r="B29" i="2"/>
  <c r="B30" i="2"/>
  <c r="B10" i="2"/>
  <c r="B11" i="2"/>
  <c r="B12" i="2"/>
  <c r="B13" i="2"/>
  <c r="B14" i="2"/>
  <c r="B15" i="2"/>
  <c r="B34" i="2"/>
  <c r="B16" i="2"/>
  <c r="B17" i="2"/>
  <c r="B26" i="2"/>
  <c r="B27" i="2"/>
  <c r="B22" i="2"/>
  <c r="B18" i="2"/>
  <c r="B19" i="2"/>
  <c r="B28" i="2"/>
  <c r="B20" i="2"/>
  <c r="B32" i="2"/>
</calcChain>
</file>

<file path=xl/sharedStrings.xml><?xml version="1.0" encoding="utf-8"?>
<sst xmlns="http://schemas.openxmlformats.org/spreadsheetml/2006/main" count="611" uniqueCount="140">
  <si>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</si>
  <si>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 MT"/>
        <family val="2"/>
      </rPr>
      <t xml:space="preserve">$410.73
</t>
    </r>
    <r>
      <rPr>
        <sz val="9"/>
        <rFont val="Arial MT"/>
        <family val="2"/>
      </rPr>
      <t>$633.17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</si>
  <si>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 MT"/>
        <family val="2"/>
      </rPr>
      <t>New Enrollment Commissions Renewal Commissions</t>
    </r>
  </si>
  <si>
    <r>
      <rPr>
        <b/>
        <sz val="9"/>
        <rFont val="Arial"/>
        <family val="2"/>
      </rPr>
      <t>Regular Commissions Sub-Totals:                                                   $1,043.90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</si>
  <si>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$1,043.90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</si>
  <si>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</si>
  <si>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</si>
  <si>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</si>
  <si>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</si>
  <si>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</si>
  <si>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</si>
  <si>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</si>
  <si>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</si>
  <si>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Producer                           17528908                                Inskipt, Deborah Lee</t>
    </r>
  </si>
  <si>
    <r>
      <rPr>
        <b/>
        <sz val="10"/>
        <rFont val="Arial"/>
        <family val="2"/>
      </rPr>
      <t>Renewals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</si>
  <si>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</si>
  <si>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</si>
  <si>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</si>
  <si>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</si>
  <si>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>Effective Date</t>
    </r>
  </si>
  <si>
    <r>
      <rPr>
        <b/>
        <sz val="9"/>
        <rFont val="Arial"/>
        <family val="2"/>
      </rPr>
      <t>Termination Date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</si>
  <si>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</si>
  <si>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Retro ?</t>
    </r>
  </si>
  <si>
    <r>
      <rPr>
        <b/>
        <sz val="9"/>
        <rFont val="Arial"/>
        <family val="2"/>
      </rPr>
      <t>Premium</t>
    </r>
  </si>
  <si>
    <r>
      <rPr>
        <b/>
        <sz val="9"/>
        <rFont val="Arial"/>
        <family val="2"/>
      </rPr>
      <t>% of Premium</t>
    </r>
  </si>
  <si>
    <r>
      <rPr>
        <b/>
        <sz val="9"/>
        <rFont val="Arial"/>
        <family val="2"/>
      </rPr>
      <t>Commission Based on Premium</t>
    </r>
  </si>
  <si>
    <r>
      <rPr>
        <b/>
        <sz val="9"/>
        <rFont val="Arial"/>
        <family val="2"/>
      </rPr>
      <t xml:space="preserve">Base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</si>
  <si>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 xml:space="preserve">Enhanced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</si>
  <si>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</si>
  <si>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Member Count</t>
    </r>
  </si>
  <si>
    <r>
      <rPr>
        <b/>
        <sz val="9"/>
        <rFont val="Arial"/>
        <family val="2"/>
      </rPr>
      <t>Commission Based on Rate</t>
    </r>
  </si>
  <si>
    <r>
      <rPr>
        <b/>
        <sz val="9"/>
        <rFont val="Arial"/>
        <family val="2"/>
      </rPr>
      <t>Override</t>
    </r>
  </si>
  <si>
    <r>
      <rPr>
        <b/>
        <sz val="9"/>
        <rFont val="Arial"/>
        <family val="2"/>
      </rPr>
      <t>Total Commission Paid</t>
    </r>
  </si>
  <si>
    <r>
      <rPr>
        <sz val="8"/>
        <rFont val="Arial MT"/>
        <family val="2"/>
      </rPr>
      <t>Bumgardner, Larry</t>
    </r>
  </si>
  <si>
    <r>
      <rPr>
        <sz val="8"/>
        <rFont val="Arial MT"/>
        <family val="2"/>
      </rPr>
      <t>Bronze First 7500 $25</t>
    </r>
  </si>
  <si>
    <r>
      <rPr>
        <sz val="8"/>
        <rFont val="Arial MT"/>
        <family val="2"/>
      </rPr>
      <t>OH</t>
    </r>
  </si>
  <si>
    <r>
      <rPr>
        <sz val="8"/>
        <rFont val="Arial MT"/>
        <family val="2"/>
      </rPr>
      <t>12/2025</t>
    </r>
  </si>
  <si>
    <r>
      <rPr>
        <sz val="8"/>
        <rFont val="Arial MT"/>
        <family val="2"/>
      </rPr>
      <t>N</t>
    </r>
  </si>
  <si>
    <r>
      <rPr>
        <sz val="8"/>
        <rFont val="Arial MT"/>
        <family val="2"/>
      </rPr>
      <t>Melvin, Tanner A.</t>
    </r>
  </si>
  <si>
    <r>
      <rPr>
        <sz val="8"/>
        <rFont val="Arial MT"/>
        <family val="2"/>
      </rPr>
      <t>Low Premium Silver 1000</t>
    </r>
  </si>
  <si>
    <r>
      <rPr>
        <sz val="8"/>
        <rFont val="Arial MT"/>
        <family val="2"/>
      </rPr>
      <t>WV</t>
    </r>
  </si>
  <si>
    <r>
      <rPr>
        <sz val="8"/>
        <rFont val="Arial MT"/>
        <family val="2"/>
      </rPr>
      <t>Melvin, Todd</t>
    </r>
  </si>
  <si>
    <r>
      <rPr>
        <sz val="8"/>
        <rFont val="Arial MT"/>
        <family val="2"/>
      </rPr>
      <t>Henry, Lori</t>
    </r>
  </si>
  <si>
    <r>
      <rPr>
        <sz val="8"/>
        <rFont val="Arial MT"/>
        <family val="2"/>
      </rPr>
      <t>Stephan, Alana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</si>
  <si>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</si>
  <si>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b/>
        <sz val="9"/>
        <rFont val="Arial"/>
        <family val="2"/>
      </rPr>
      <t>Total for Writing Producer       17528908        Inskipt, Deborah Lee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</si>
  <si>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b/>
        <sz val="10"/>
        <rFont val="Arial"/>
        <family val="2"/>
      </rPr>
      <t>Writing Producer                           18754354                                Yale, Jacob D</t>
    </r>
  </si>
  <si>
    <r>
      <rPr>
        <b/>
        <sz val="10"/>
        <rFont val="Arial"/>
        <family val="2"/>
      </rPr>
      <t>New Enrollment</t>
    </r>
  </si>
  <si>
    <r>
      <rPr>
        <sz val="8"/>
        <rFont val="Arial MT"/>
        <family val="2"/>
      </rPr>
      <t>Tisone, Oliviah</t>
    </r>
  </si>
  <si>
    <r>
      <rPr>
        <sz val="8"/>
        <rFont val="Arial MT"/>
        <family val="2"/>
      </rPr>
      <t>GA</t>
    </r>
  </si>
  <si>
    <r>
      <rPr>
        <sz val="8"/>
        <rFont val="Arial MT"/>
        <family val="2"/>
      </rPr>
      <t>Milam, Tonya</t>
    </r>
  </si>
  <si>
    <r>
      <rPr>
        <sz val="8"/>
        <rFont val="Arial MT"/>
        <family val="2"/>
      </rPr>
      <t>Mayhew, Jessica</t>
    </r>
  </si>
  <si>
    <r>
      <rPr>
        <sz val="8"/>
        <rFont val="Arial MT"/>
        <family val="2"/>
      </rPr>
      <t>Silver 500 $10 Generic</t>
    </r>
  </si>
  <si>
    <r>
      <rPr>
        <sz val="8"/>
        <rFont val="Arial MT"/>
        <family val="2"/>
      </rPr>
      <t>IN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</si>
  <si>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$ 86.73</t>
    </r>
  </si>
  <si>
    <r>
      <rPr>
        <b/>
        <sz val="9"/>
        <rFont val="Arial"/>
        <family val="2"/>
      </rPr>
      <t>Total for Writing Producer       18754354        Yale, Jacob D                                                                                                                                                                                                                                        $ 86.73</t>
    </r>
  </si>
  <si>
    <r>
      <rPr>
        <b/>
        <sz val="10"/>
        <rFont val="Arial"/>
        <family val="2"/>
      </rPr>
      <t>Writing Producer                           19681796                                Taugner, Christian</t>
    </r>
  </si>
  <si>
    <r>
      <rPr>
        <b/>
        <sz val="9"/>
        <rFont val="Arial"/>
        <family val="2"/>
      </rPr>
      <t>Effective</t>
    </r>
  </si>
  <si>
    <r>
      <rPr>
        <b/>
        <sz val="9"/>
        <rFont val="Arial"/>
        <family val="2"/>
      </rPr>
      <t>Termination</t>
    </r>
  </si>
  <si>
    <r>
      <rPr>
        <b/>
        <sz val="9"/>
        <rFont val="Arial"/>
        <family val="2"/>
      </rPr>
      <t>% of</t>
    </r>
  </si>
  <si>
    <r>
      <rPr>
        <b/>
        <sz val="9"/>
        <rFont val="Arial"/>
        <family val="2"/>
      </rPr>
      <t>Commission Based on</t>
    </r>
  </si>
  <si>
    <r>
      <rPr>
        <b/>
        <sz val="9"/>
        <rFont val="Arial"/>
        <family val="2"/>
      </rPr>
      <t>Base PMPM</t>
    </r>
  </si>
  <si>
    <r>
      <rPr>
        <b/>
        <sz val="9"/>
        <rFont val="Arial"/>
        <family val="2"/>
      </rPr>
      <t>Enhanced PMPM</t>
    </r>
  </si>
  <si>
    <r>
      <rPr>
        <b/>
        <sz val="9"/>
        <rFont val="Arial"/>
        <family val="2"/>
      </rPr>
      <t>Member</t>
    </r>
  </si>
  <si>
    <r>
      <rPr>
        <b/>
        <sz val="9"/>
        <rFont val="Arial"/>
        <family val="2"/>
      </rPr>
      <t>Total Commission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</si>
  <si>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</si>
  <si>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Count</t>
    </r>
  </si>
  <si>
    <r>
      <rPr>
        <b/>
        <sz val="9"/>
        <rFont val="Arial"/>
        <family val="2"/>
      </rPr>
      <t>Paid</t>
    </r>
  </si>
  <si>
    <r>
      <rPr>
        <sz val="8"/>
        <rFont val="Arial MT"/>
        <family val="2"/>
      </rPr>
      <t>Charles, Billy D.</t>
    </r>
  </si>
  <si>
    <r>
      <rPr>
        <sz val="8"/>
        <rFont val="Arial MT"/>
        <family val="2"/>
      </rPr>
      <t>CGHC Bronze $9200 ($40</t>
    </r>
  </si>
  <si>
    <r>
      <rPr>
        <sz val="8"/>
        <rFont val="Arial MT"/>
        <family val="2"/>
      </rPr>
      <t>WI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</si>
  <si>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</si>
  <si>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9"/>
        <rFont val="Arial"/>
        <family val="2"/>
      </rPr>
      <t>Total for Writing Producer       19681796        Taugner, Christian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</si>
  <si>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10"/>
        <rFont val="Arial"/>
        <family val="2"/>
      </rPr>
      <t>Writing Producer                           20724564                                Sanderock, Marsha LeeAnn</t>
    </r>
  </si>
  <si>
    <r>
      <rPr>
        <sz val="8"/>
        <rFont val="Arial MT"/>
        <family val="2"/>
      </rPr>
      <t>Tremblay, Robert</t>
    </r>
  </si>
  <si>
    <r>
      <rPr>
        <sz val="8"/>
        <rFont val="Arial MT"/>
        <family val="2"/>
      </rPr>
      <t>Lane, Julie</t>
    </r>
  </si>
  <si>
    <r>
      <rPr>
        <sz val="8"/>
        <rFont val="Arial MT"/>
        <family val="2"/>
      </rPr>
      <t>Low Premium Silver 500 $0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</si>
  <si>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$ 48.00</t>
    </r>
  </si>
  <si>
    <r>
      <rPr>
        <b/>
        <sz val="9"/>
        <rFont val="Arial"/>
        <family val="2"/>
      </rPr>
      <t>Total for Writing Producer       20724564        Sanderock, Marsha LeeAnn                                                                                                                                                                                                                            $ 48.00</t>
    </r>
  </si>
  <si>
    <r>
      <rPr>
        <b/>
        <sz val="10"/>
        <rFont val="Arial"/>
        <family val="2"/>
      </rPr>
      <t>Writing Producer                           21564088                                Halsaver, Jennifer L</t>
    </r>
  </si>
  <si>
    <r>
      <rPr>
        <b/>
        <sz val="9"/>
        <rFont val="Arial"/>
        <family val="2"/>
      </rPr>
      <t>Commission</t>
    </r>
  </si>
  <si>
    <r>
      <rPr>
        <b/>
        <sz val="9"/>
        <rFont val="Arial"/>
        <family val="2"/>
      </rPr>
      <t>Base</t>
    </r>
  </si>
  <si>
    <r>
      <rPr>
        <b/>
        <sz val="9"/>
        <rFont val="Arial"/>
        <family val="2"/>
      </rPr>
      <t>Enhanced</t>
    </r>
  </si>
  <si>
    <r>
      <rPr>
        <b/>
        <sz val="9"/>
        <rFont val="Arial"/>
        <family val="2"/>
      </rPr>
      <t>Total</t>
    </r>
  </si>
  <si>
    <r>
      <rPr>
        <b/>
        <sz val="9"/>
        <rFont val="Arial"/>
        <family val="2"/>
      </rPr>
      <t>Effective   Termination</t>
    </r>
  </si>
  <si>
    <r>
      <rPr>
        <b/>
        <sz val="9"/>
        <rFont val="Arial"/>
        <family val="2"/>
      </rPr>
      <t>Based on</t>
    </r>
  </si>
  <si>
    <r>
      <rPr>
        <b/>
        <sz val="9"/>
        <rFont val="Arial"/>
        <family val="2"/>
      </rPr>
      <t>PMPM</t>
    </r>
  </si>
  <si>
    <r>
      <rPr>
        <b/>
        <sz val="9"/>
        <rFont val="Arial"/>
        <family val="2"/>
      </rPr>
      <t>State        Date             Date</t>
    </r>
  </si>
  <si>
    <r>
      <rPr>
        <sz val="8"/>
        <rFont val="Arial MT"/>
        <family val="2"/>
      </rPr>
      <t>Taylor, Jack K.</t>
    </r>
  </si>
  <si>
    <r>
      <rPr>
        <sz val="8"/>
        <rFont val="Arial MT"/>
        <family val="2"/>
      </rPr>
      <t>Taylor, Morgan M.</t>
    </r>
  </si>
  <si>
    <r>
      <rPr>
        <sz val="8"/>
        <rFont val="Arial MT"/>
        <family val="2"/>
      </rPr>
      <t>Diabetes Silver 4000 $0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</si>
  <si>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$ 63.00</t>
    </r>
  </si>
  <si>
    <r>
      <rPr>
        <b/>
        <sz val="9"/>
        <rFont val="Arial"/>
        <family val="2"/>
      </rPr>
      <t>Total for Writing Producer       21564088        Halsaver, Jennifer L                                                                                                                                                                                                                                   $ 63.00</t>
    </r>
  </si>
  <si>
    <r>
      <rPr>
        <b/>
        <sz val="10"/>
        <rFont val="Arial"/>
        <family val="2"/>
      </rPr>
      <t>Writing Producer                           8977234                                  Caltagirone, Ryan J</t>
    </r>
  </si>
  <si>
    <r>
      <rPr>
        <sz val="8"/>
        <rFont val="Arial MT"/>
        <family val="2"/>
      </rPr>
      <t>Binns, Connie</t>
    </r>
  </si>
  <si>
    <r>
      <rPr>
        <sz val="8"/>
        <rFont val="Arial MT"/>
        <family val="2"/>
      </rPr>
      <t>Kissel, Gavin</t>
    </r>
  </si>
  <si>
    <r>
      <rPr>
        <sz val="8"/>
        <rFont val="Arial MT"/>
        <family val="2"/>
      </rPr>
      <t>HSA Eligible Bronze 6000</t>
    </r>
  </si>
  <si>
    <r>
      <rPr>
        <sz val="8"/>
        <rFont val="Arial MT"/>
        <family val="2"/>
      </rPr>
      <t>11/2025</t>
    </r>
  </si>
  <si>
    <r>
      <rPr>
        <sz val="8"/>
        <rFont val="Arial MT"/>
        <family val="2"/>
      </rPr>
      <t>Y</t>
    </r>
  </si>
  <si>
    <r>
      <rPr>
        <sz val="8"/>
        <rFont val="Arial MT"/>
        <family val="2"/>
      </rPr>
      <t>Kissel, Amy</t>
    </r>
  </si>
  <si>
    <r>
      <rPr>
        <sz val="8"/>
        <rFont val="Arial MT"/>
        <family val="2"/>
      </rPr>
      <t>Kissel, Seth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</si>
  <si>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$ 213.00</t>
    </r>
  </si>
  <si>
    <r>
      <rPr>
        <sz val="8"/>
        <rFont val="Arial MT"/>
        <family val="2"/>
      </rPr>
      <t>Hartman, Jerry</t>
    </r>
  </si>
  <si>
    <r>
      <rPr>
        <sz val="8"/>
        <rFont val="Arial MT"/>
        <family val="2"/>
      </rPr>
      <t>Silver 5000 $20 Generic</t>
    </r>
  </si>
  <si>
    <r>
      <rPr>
        <sz val="8"/>
        <rFont val="Arial MT"/>
        <family val="2"/>
      </rPr>
      <t>Zumpella, Denise</t>
    </r>
  </si>
  <si>
    <r>
      <rPr>
        <sz val="8"/>
        <rFont val="Arial MT"/>
        <family val="2"/>
      </rPr>
      <t>Stubbins, Donna</t>
    </r>
  </si>
  <si>
    <r>
      <rPr>
        <sz val="8"/>
        <rFont val="Arial MT"/>
        <family val="2"/>
      </rPr>
      <t>Dello, Jackie</t>
    </r>
  </si>
  <si>
    <r>
      <rPr>
        <sz val="8"/>
        <rFont val="Arial MT"/>
        <family val="2"/>
      </rPr>
      <t>Coates, Frida</t>
    </r>
  </si>
  <si>
    <r>
      <rPr>
        <sz val="8"/>
        <rFont val="Arial MT"/>
        <family val="2"/>
      </rPr>
      <t>Zollars, Samuel</t>
    </r>
  </si>
  <si>
    <r>
      <rPr>
        <sz val="8"/>
        <rFont val="Arial MT"/>
        <family val="2"/>
      </rPr>
      <t>Low Premium Silver 6000</t>
    </r>
  </si>
  <si>
    <r>
      <rPr>
        <sz val="8"/>
        <rFont val="Arial MT"/>
        <family val="2"/>
      </rPr>
      <t>Crowe, Gary M.</t>
    </r>
  </si>
  <si>
    <r>
      <rPr>
        <sz val="8"/>
        <rFont val="Arial MT"/>
        <family val="2"/>
      </rPr>
      <t>Masterson, Timothy</t>
    </r>
  </si>
  <si>
    <r>
      <rPr>
        <sz val="8"/>
        <rFont val="Arial MT"/>
        <family val="2"/>
      </rPr>
      <t>Silver 3000 $20 Generic</t>
    </r>
  </si>
  <si>
    <r>
      <rPr>
        <sz val="8"/>
        <rFont val="Arial MT"/>
        <family val="2"/>
      </rPr>
      <t>Robles, Caroline</t>
    </r>
  </si>
  <si>
    <r>
      <rPr>
        <sz val="8"/>
        <rFont val="Arial MT"/>
        <family val="2"/>
      </rPr>
      <t>Wuthrich, Terry</t>
    </r>
  </si>
  <si>
    <r>
      <rPr>
        <sz val="8"/>
        <rFont val="Arial MT"/>
        <family val="2"/>
      </rPr>
      <t>Prescaro, Kimberly</t>
    </r>
  </si>
  <si>
    <r>
      <rPr>
        <sz val="8"/>
        <rFont val="Arial MT"/>
        <family val="2"/>
      </rPr>
      <t>Burkett, Terri</t>
    </r>
  </si>
  <si>
    <r>
      <rPr>
        <sz val="8"/>
        <rFont val="Arial MT"/>
        <family val="2"/>
      </rPr>
      <t>Beach, Sherry</t>
    </r>
  </si>
  <si>
    <r>
      <rPr>
        <sz val="8"/>
        <rFont val="Arial MT"/>
        <family val="2"/>
      </rPr>
      <t>Stevanus, Christopher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</si>
  <si>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$ 412.17</t>
    </r>
  </si>
  <si>
    <r>
      <rPr>
        <b/>
        <sz val="9"/>
        <rFont val="Arial"/>
        <family val="2"/>
      </rPr>
      <t>Total for Writing Producer       8977234        Caltagirone, Ryan J                                                                                                                                                                                                                                  $ 625.17</t>
    </r>
  </si>
  <si>
    <r>
      <rPr>
        <b/>
        <sz val="10"/>
        <rFont val="Arial"/>
        <family val="2"/>
      </rPr>
      <t>Writing Producer                           9079571                                  Richter, Adam J</t>
    </r>
  </si>
  <si>
    <r>
      <rPr>
        <sz val="8"/>
        <rFont val="Arial MT"/>
        <family val="2"/>
      </rPr>
      <t>Huff, Christopher D.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</si>
  <si>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$ 60.00</t>
    </r>
  </si>
  <si>
    <r>
      <rPr>
        <b/>
        <sz val="9"/>
        <rFont val="Arial"/>
        <family val="2"/>
      </rPr>
      <t>Total for Writing Producer       9079571        Richter, Adam J                                                                                                                                                                                                                                       $ 60.00</t>
    </r>
  </si>
  <si>
    <t>Yale, Jacob D</t>
  </si>
  <si>
    <t>Caltagirone, Ryan J</t>
  </si>
  <si>
    <t>Sanderock, Marsha LeeAnn</t>
  </si>
  <si>
    <t>Inskipt, Deborah Lee</t>
  </si>
  <si>
    <t>Halsaver, Jennifer L</t>
  </si>
  <si>
    <t>Taugner, Christian</t>
  </si>
  <si>
    <t>Richter, Adam J</t>
  </si>
  <si>
    <t>Caresource 2025 - GA</t>
  </si>
  <si>
    <t>Caresource - WV</t>
  </si>
  <si>
    <t>Caresource - OH</t>
  </si>
  <si>
    <t>Caresource - OS</t>
  </si>
  <si>
    <t>Caresource - IN, NC</t>
  </si>
  <si>
    <t>[PMPM=2]</t>
  </si>
  <si>
    <t>[PMPM=3]</t>
  </si>
  <si>
    <t>[PMPM=4]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</si>
</sst>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0.00"/>
    <numFmt numFmtId="165" formatCode="\$#,##0.00"/>
    <numFmt numFmtId="166" formatCode="mm/dd/yyyy;@"/>
    <numFmt numFmtId="167" formatCode="\$\ 0.00"/>
    <numFmt numFmtId="168" formatCode="\$\ #,##0.00"/>
  </numFmts>
  <fonts count="10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9"/>
      <name val="Arial MT"/>
      <family val="2"/>
    </font>
    <font>
      <b/>
      <vertAlign val="subscript"/>
      <sz val="9"/>
      <name val="Arial"/>
      <family val="2"/>
    </font>
    <font>
      <sz val="8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166" fontId="5" fillId="0" borderId="1" xfId="0" applyNumberFormat="1" applyFont="1" applyBorder="1" applyAlignment="1">
      <alignment horizontal="center" vertical="top" shrinkToFit="1"/>
    </xf>
    <xf numFmtId="167" fontId="5" fillId="0" borderId="1" xfId="0" applyNumberFormat="1" applyFont="1" applyBorder="1" applyAlignment="1">
      <alignment horizontal="right" vertical="top" shrinkToFit="1"/>
    </xf>
    <xf numFmtId="10" fontId="5" fillId="0" borderId="1" xfId="0" applyNumberFormat="1" applyFont="1" applyBorder="1" applyAlignment="1">
      <alignment horizontal="right" vertical="top" shrinkToFit="1"/>
    </xf>
    <xf numFmtId="167" fontId="5" fillId="0" borderId="1" xfId="0" applyNumberFormat="1" applyFont="1" applyBorder="1" applyAlignment="1">
      <alignment horizontal="center" vertical="top" shrinkToFit="1"/>
    </xf>
    <xf numFmtId="1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top" wrapText="1"/>
    </xf>
    <xf numFmtId="166" fontId="5" fillId="3" borderId="0" xfId="0" applyNumberFormat="1" applyFont="1" applyFill="1" applyAlignment="1">
      <alignment horizontal="center" vertical="top" shrinkToFit="1"/>
    </xf>
    <xf numFmtId="167" fontId="5" fillId="3" borderId="0" xfId="0" applyNumberFormat="1" applyFont="1" applyFill="1" applyAlignment="1">
      <alignment horizontal="right" vertical="top" shrinkToFit="1"/>
    </xf>
    <xf numFmtId="10" fontId="5" fillId="3" borderId="0" xfId="0" applyNumberFormat="1" applyFont="1" applyFill="1" applyAlignment="1">
      <alignment horizontal="right" vertical="top" shrinkToFit="1"/>
    </xf>
    <xf numFmtId="167" fontId="5" fillId="3" borderId="0" xfId="0" applyNumberFormat="1" applyFont="1" applyFill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center" vertical="top" shrinkToFit="1"/>
    </xf>
    <xf numFmtId="168" fontId="5" fillId="0" borderId="0" xfId="0" applyNumberFormat="1" applyFont="1" applyAlignment="1">
      <alignment horizontal="right" vertical="top" shrinkToFit="1"/>
    </xf>
    <xf numFmtId="10" fontId="5" fillId="0" borderId="0" xfId="0" applyNumberFormat="1" applyFont="1" applyAlignment="1">
      <alignment horizontal="right" vertical="top" shrinkToFit="1"/>
    </xf>
    <xf numFmtId="167" fontId="5" fillId="0" borderId="0" xfId="0" applyNumberFormat="1" applyFont="1" applyAlignment="1">
      <alignment horizontal="right" vertical="top" shrinkToFit="1"/>
    </xf>
    <xf numFmtId="167" fontId="5" fillId="0" borderId="0" xfId="0" applyNumberFormat="1" applyFont="1" applyAlignment="1">
      <alignment horizontal="center" vertical="top" shrinkToFit="1"/>
    </xf>
    <xf numFmtId="168" fontId="5" fillId="3" borderId="0" xfId="0" applyNumberFormat="1" applyFont="1" applyFill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4" xfId="0" applyFont="1" applyBorder="1" applyAlignment="1">
      <alignment horizontal="left" vertical="top" wrapText="1" indent="3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1"/>
    </xf>
    <xf numFmtId="167" fontId="5" fillId="3" borderId="0" xfId="0" applyNumberFormat="1" applyFont="1" applyFill="1" applyAlignment="1">
      <alignment horizontal="left" vertical="top" indent="2" shrinkToFit="1"/>
    </xf>
    <xf numFmtId="167" fontId="5" fillId="0" borderId="0" xfId="0" applyNumberFormat="1" applyFont="1" applyAlignment="1">
      <alignment horizontal="left" vertical="top" indent="2" shrinkToFit="1"/>
    </xf>
    <xf numFmtId="168" fontId="5" fillId="0" borderId="0" xfId="0" applyNumberFormat="1" applyFont="1" applyAlignment="1">
      <alignment horizontal="left" vertical="top" indent="1" shrinkToFit="1"/>
    </xf>
    <xf numFmtId="0" fontId="0" fillId="4" borderId="4" xfId="0" applyFill="1" applyBorder="1" applyAlignment="1">
      <alignment horizontal="left" wrapText="1"/>
    </xf>
    <xf numFmtId="0" fontId="1" fillId="4" borderId="4" xfId="0" applyFont="1" applyFill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top" wrapText="1"/>
    </xf>
    <xf numFmtId="168" fontId="5" fillId="0" borderId="1" xfId="0" applyNumberFormat="1" applyFont="1" applyBorder="1" applyAlignment="1">
      <alignment horizontal="left" vertical="top" indent="1" shrinkToFit="1"/>
    </xf>
    <xf numFmtId="168" fontId="5" fillId="3" borderId="0" xfId="0" applyNumberFormat="1" applyFont="1" applyFill="1" applyAlignment="1">
      <alignment horizontal="left" vertical="top" indent="1" shrinkToFit="1"/>
    </xf>
    <xf numFmtId="168" fontId="5" fillId="0" borderId="1" xfId="0" applyNumberFormat="1" applyFont="1" applyBorder="1" applyAlignment="1">
      <alignment horizontal="right" vertical="top" shrinkToFi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7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33"/>
    </xf>
    <xf numFmtId="0" fontId="3" fillId="0" borderId="0" xfId="0" applyFont="1" applyAlignment="1">
      <alignment horizontal="left" vertical="center" wrapText="1" indent="44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5" fontId="4" fillId="3" borderId="0" xfId="0" applyNumberFormat="1" applyFont="1" applyFill="1" applyAlignment="1">
      <alignment horizontal="right" vertical="top" shrinkToFit="1"/>
    </xf>
    <xf numFmtId="164" fontId="4" fillId="3" borderId="0" xfId="0" applyNumberFormat="1" applyFont="1" applyFill="1" applyAlignment="1">
      <alignment horizontal="right" vertical="top" shrinkToFit="1"/>
    </xf>
    <xf numFmtId="165" fontId="4" fillId="0" borderId="1" xfId="0" applyNumberFormat="1" applyFont="1" applyBorder="1" applyAlignment="1">
      <alignment horizontal="right" vertical="top" shrinkToFit="1"/>
    </xf>
    <xf numFmtId="165" fontId="4" fillId="0" borderId="0" xfId="0" applyNumberFormat="1" applyFont="1" applyAlignment="1">
      <alignment horizontal="right" vertical="top" shrinkToFit="1"/>
    </xf>
    <xf numFmtId="0" fontId="1" fillId="2" borderId="2" xfId="0" applyFont="1" applyFill="1" applyBorder="1" applyAlignment="1">
      <alignment horizontal="left" vertical="top" wrapText="1" indent="1"/>
    </xf>
    <xf numFmtId="0" fontId="1" fillId="4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6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167" fontId="5" fillId="0" borderId="1" xfId="0" applyNumberFormat="1" applyFont="1" applyBorder="1" applyAlignment="1">
      <alignment horizontal="right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/>
    </xf>
    <xf numFmtId="166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center" vertical="top" wrapText="1"/>
    </xf>
    <xf numFmtId="167" fontId="5" fillId="3" borderId="0" xfId="0" applyNumberFormat="1" applyFont="1" applyFill="1" applyAlignment="1">
      <alignment horizontal="right" vertical="top" shrinkToFit="1"/>
    </xf>
    <xf numFmtId="1" fontId="5" fillId="3" borderId="0" xfId="0" applyNumberFormat="1" applyFont="1" applyFill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166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 wrapText="1"/>
    </xf>
    <xf numFmtId="167" fontId="5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13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horizontal="left" vertical="top" wrapText="1" indent="23"/>
    </xf>
    <xf numFmtId="0" fontId="2" fillId="0" borderId="0" xfId="0" applyFont="1" applyAlignment="1">
      <alignment horizontal="left" vertical="top" wrapText="1" indent="15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1"/>
    </xf>
    <xf numFmtId="0" fontId="2" fillId="0" borderId="0" xfId="0" applyFont="1" applyAlignment="1">
      <alignment horizontal="left" vertical="top" wrapText="1" indent="5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 indent="1"/>
    </xf>
    <xf numFmtId="0" fontId="1" fillId="4" borderId="4" xfId="0" applyFont="1" applyFill="1" applyBorder="1" applyAlignment="1">
      <alignment horizontal="center" vertical="top" wrapText="1"/>
    </xf>
    <xf numFmtId="0" fontId="0" fillId="4" borderId="4" xfId="0" applyFill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14"/>
    </xf>
    <xf numFmtId="0" fontId="0" fillId="0" borderId="0" xfId="0" applyFill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1" fontId="5" fillId="0" borderId="1" xfId="0" applyNumberFormat="1" applyFont="1" applyFill="1" applyBorder="1" applyAlignment="1">
      <alignment horizontal="left" vertical="top" shrinkToFit="1"/>
    </xf>
    <xf numFmtId="0" fontId="6" fillId="0" borderId="1" xfId="0" applyFont="1" applyFill="1" applyBorder="1" applyAlignment="1">
      <alignment horizontal="left" vertical="top" wrapText="1"/>
    </xf>
    <xf numFmtId="166" fontId="5" fillId="0" borderId="1" xfId="0" applyNumberFormat="1" applyFont="1" applyFill="1" applyBorder="1" applyAlignment="1">
      <alignment horizontal="left" vertical="top" shrinkToFit="1"/>
    </xf>
    <xf numFmtId="167" fontId="5" fillId="0" borderId="1" xfId="0" applyNumberFormat="1" applyFont="1" applyFill="1" applyBorder="1" applyAlignment="1">
      <alignment horizontal="left" vertical="top" shrinkToFit="1"/>
    </xf>
    <xf numFmtId="10" fontId="5" fillId="0" borderId="1" xfId="0" applyNumberFormat="1" applyFont="1" applyFill="1" applyBorder="1" applyAlignment="1">
      <alignment horizontal="left" vertical="top" shrinkToFit="1"/>
    </xf>
    <xf numFmtId="0" fontId="0" fillId="0" borderId="0" xfId="0" applyFill="1" applyAlignment="1">
      <alignment horizontal="left" vertical="center" wrapText="1"/>
    </xf>
    <xf numFmtId="1" fontId="5" fillId="0" borderId="0" xfId="0" applyNumberFormat="1" applyFont="1" applyFill="1" applyAlignment="1">
      <alignment horizontal="left" vertical="top" shrinkToFit="1"/>
    </xf>
    <xf numFmtId="166" fontId="5" fillId="0" borderId="0" xfId="0" applyNumberFormat="1" applyFont="1" applyFill="1" applyAlignment="1">
      <alignment horizontal="left" vertical="top" shrinkToFit="1"/>
    </xf>
    <xf numFmtId="167" fontId="5" fillId="0" borderId="0" xfId="0" applyNumberFormat="1" applyFont="1" applyFill="1" applyAlignment="1">
      <alignment horizontal="left" vertical="top" shrinkToFit="1"/>
    </xf>
    <xf numFmtId="10" fontId="5" fillId="0" borderId="0" xfId="0" applyNumberFormat="1" applyFont="1" applyFill="1" applyAlignment="1">
      <alignment horizontal="left" vertical="top" shrinkToFit="1"/>
    </xf>
    <xf numFmtId="168" fontId="5" fillId="0" borderId="0" xfId="0" applyNumberFormat="1" applyFont="1" applyFill="1" applyAlignment="1">
      <alignment horizontal="left" vertical="top" shrinkToFit="1"/>
    </xf>
    <xf numFmtId="0" fontId="0" fillId="0" borderId="0" xfId="0" applyFill="1" applyAlignment="1">
      <alignment horizontal="left" wrapText="1"/>
    </xf>
    <xf numFmtId="168" fontId="5" fillId="0" borderId="1" xfId="0" applyNumberFormat="1" applyFont="1" applyFill="1" applyBorder="1" applyAlignment="1">
      <alignment horizontal="left" vertical="top" shrinkToFit="1"/>
    </xf>
    <xf numFmtId="1" fontId="5" fillId="0" borderId="0" xfId="0" applyNumberFormat="1" applyFont="1" applyFill="1" applyBorder="1" applyAlignment="1">
      <alignment horizontal="left" vertical="top" shrinkToFit="1"/>
    </xf>
    <xf numFmtId="0" fontId="6" fillId="0" borderId="0" xfId="0" applyFont="1" applyFill="1" applyBorder="1" applyAlignment="1">
      <alignment horizontal="left" vertical="top" wrapText="1"/>
    </xf>
    <xf numFmtId="166" fontId="5" fillId="0" borderId="0" xfId="0" applyNumberFormat="1" applyFont="1" applyFill="1" applyBorder="1" applyAlignment="1">
      <alignment horizontal="left" vertical="top" shrinkToFit="1"/>
    </xf>
    <xf numFmtId="167" fontId="5" fillId="0" borderId="0" xfId="0" applyNumberFormat="1" applyFont="1" applyFill="1" applyBorder="1" applyAlignment="1">
      <alignment horizontal="left" vertical="top" shrinkToFit="1"/>
    </xf>
    <xf numFmtId="10" fontId="5" fillId="0" borderId="0" xfId="0" applyNumberFormat="1" applyFont="1" applyFill="1" applyBorder="1" applyAlignment="1">
      <alignment horizontal="left" vertical="top" shrinkToFit="1"/>
    </xf>
    <xf numFmtId="14" fontId="2" fillId="0" borderId="4" xfId="0" applyNumberFormat="1" applyFont="1" applyBorder="1" applyAlignment="1">
      <alignment horizontal="left" wrapText="1"/>
    </xf>
    <xf numFmtId="14" fontId="6" fillId="0" borderId="1" xfId="0" applyNumberFormat="1" applyFont="1" applyFill="1" applyBorder="1" applyAlignment="1">
      <alignment horizontal="left" vertical="top" wrapText="1"/>
    </xf>
    <xf numFmtId="14" fontId="6" fillId="0" borderId="0" xfId="0" applyNumberFormat="1" applyFont="1" applyFill="1" applyAlignment="1">
      <alignment horizontal="left" vertical="top" wrapText="1"/>
    </xf>
    <xf numFmtId="14" fontId="6" fillId="0" borderId="0" xfId="0" applyNumberFormat="1" applyFont="1" applyFill="1" applyBorder="1" applyAlignment="1">
      <alignment horizontal="left" vertical="top" wrapText="1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241300</xdr:colOff>
      <xdr:row>4</xdr:row>
      <xdr:rowOff>101600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241300</xdr:colOff>
      <xdr:row>0</xdr:row>
      <xdr:rowOff>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3E524C39-BD57-430A-9805-9B9A73317599}"/>
            </a:ext>
          </a:extLst>
        </xdr:cNvPr>
        <xdr:cNvSpPr/>
      </xdr:nvSpPr>
      <xdr:spPr>
        <a:xfrm>
          <a:off x="6965950" y="1044575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3"/>
  <sheetViews>
    <sheetView workbookViewId="0">
      <selection sqref="A1:XFD1048576"/>
    </sheetView>
  </sheetViews>
  <sheetFormatPr defaultRowHeight="12.75"/>
  <cols>
    <col min="1" max="1" width="11.5" customWidth="1"/>
    <col min="2" max="2" width="20.83203125" customWidth="1"/>
    <col min="3" max="3" width="4.6640625" customWidth="1"/>
    <col min="4" max="4" width="18.6640625" customWidth="1"/>
    <col min="5" max="5" width="8" customWidth="1"/>
    <col min="6" max="7" width="5.83203125" customWidth="1"/>
    <col min="8" max="8" width="12.6640625" customWidth="1"/>
    <col min="9" max="9" width="8" customWidth="1"/>
    <col min="10" max="10" width="2.1640625" customWidth="1"/>
    <col min="11" max="11" width="6.83203125" customWidth="1"/>
    <col min="12" max="12" width="12.6640625" customWidth="1"/>
    <col min="13" max="13" width="10.5" customWidth="1"/>
    <col min="14" max="15" width="6.83203125" customWidth="1"/>
    <col min="16" max="16" width="1.1640625" customWidth="1"/>
    <col min="17" max="17" width="8" customWidth="1"/>
    <col min="18" max="18" width="12.6640625" customWidth="1"/>
    <col min="19" max="19" width="9.33203125" customWidth="1"/>
    <col min="20" max="20" width="2.1640625" customWidth="1"/>
    <col min="21" max="21" width="9.33203125" customWidth="1"/>
    <col min="22" max="22" width="14" customWidth="1"/>
    <col min="23" max="23" width="10.5" customWidth="1"/>
    <col min="24" max="24" width="15.1640625" customWidth="1"/>
    <col min="25" max="25" width="4.6640625" customWidth="1"/>
  </cols>
  <sheetData>
    <row r="1" spans="1:25" ht="14.45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5"/>
      <c r="V1" s="55"/>
      <c r="W1" s="55"/>
      <c r="X1" s="55"/>
      <c r="Y1" s="55"/>
    </row>
    <row r="2" spans="1:25" ht="20.4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 t="s">
        <v>1</v>
      </c>
      <c r="P2" s="57"/>
      <c r="Q2" s="57"/>
      <c r="R2" s="57"/>
      <c r="S2" s="57"/>
      <c r="T2" s="57"/>
      <c r="U2" s="57"/>
      <c r="V2" s="57"/>
      <c r="W2" s="57"/>
      <c r="X2" s="57"/>
      <c r="Y2" s="57"/>
    </row>
    <row r="3" spans="1:25" ht="34.5" customHeight="1">
      <c r="A3" s="58" t="s">
        <v>2</v>
      </c>
      <c r="B3" s="58"/>
      <c r="C3" s="58"/>
      <c r="D3" s="58"/>
      <c r="E3" s="58"/>
      <c r="F3" s="58"/>
      <c r="G3" s="56"/>
      <c r="H3" s="56"/>
      <c r="I3" s="56"/>
      <c r="J3" s="56"/>
      <c r="K3" s="56"/>
      <c r="L3" s="56"/>
      <c r="M3" s="56"/>
      <c r="N3" s="56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</row>
    <row r="4" spans="1:25" ht="5.25" customHeight="1">
      <c r="A4" s="58"/>
      <c r="B4" s="58"/>
      <c r="C4" s="58"/>
      <c r="D4" s="58"/>
      <c r="E4" s="58"/>
      <c r="F4" s="58"/>
      <c r="G4" s="55"/>
      <c r="H4" s="55"/>
      <c r="I4" s="55"/>
      <c r="J4" s="55"/>
      <c r="K4" s="55"/>
      <c r="L4" s="55"/>
      <c r="M4" s="55"/>
      <c r="N4" s="55"/>
      <c r="O4" s="1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ht="20.45" customHeight="1">
      <c r="A5" s="56"/>
      <c r="B5" s="56"/>
      <c r="C5" s="56"/>
      <c r="D5" s="56"/>
      <c r="E5" s="56"/>
      <c r="F5" s="56"/>
      <c r="G5" s="59" t="s">
        <v>3</v>
      </c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 spans="1:25" ht="30.95" customHeight="1">
      <c r="A6" s="60" t="s">
        <v>4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</row>
    <row r="7" spans="1:25" ht="43.5" customHeight="1">
      <c r="A7" s="61" t="s">
        <v>5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</row>
    <row r="8" spans="1:25" ht="12.95" customHeight="1">
      <c r="A8" s="55"/>
      <c r="B8" s="55"/>
      <c r="C8" s="55"/>
      <c r="D8" s="59" t="s">
        <v>6</v>
      </c>
      <c r="E8" s="59"/>
      <c r="F8" s="59"/>
      <c r="G8" s="59"/>
      <c r="H8" s="59"/>
      <c r="I8" s="59"/>
      <c r="J8" s="59"/>
      <c r="K8" s="62">
        <v>0</v>
      </c>
      <c r="L8" s="62"/>
      <c r="M8" s="62"/>
      <c r="N8" s="62"/>
      <c r="O8" s="62"/>
      <c r="P8" s="55"/>
      <c r="Q8" s="55"/>
      <c r="R8" s="55"/>
      <c r="S8" s="55"/>
      <c r="T8" s="55"/>
      <c r="U8" s="55"/>
      <c r="V8" s="55"/>
      <c r="W8" s="55"/>
      <c r="X8" s="55"/>
      <c r="Y8" s="55"/>
    </row>
    <row r="9" spans="1:25" ht="12.95" customHeight="1">
      <c r="A9" s="55"/>
      <c r="B9" s="55"/>
      <c r="C9" s="55"/>
      <c r="D9" s="63" t="s">
        <v>7</v>
      </c>
      <c r="E9" s="63"/>
      <c r="F9" s="63"/>
      <c r="G9" s="63"/>
      <c r="H9" s="63"/>
      <c r="I9" s="63"/>
      <c r="J9" s="63"/>
      <c r="K9" s="64">
        <v>1043.9000000000001</v>
      </c>
      <c r="L9" s="64"/>
      <c r="M9" s="64"/>
      <c r="N9" s="64"/>
      <c r="O9" s="64"/>
      <c r="P9" s="55"/>
      <c r="Q9" s="55"/>
      <c r="R9" s="55"/>
      <c r="S9" s="55"/>
      <c r="T9" s="55"/>
      <c r="U9" s="55"/>
      <c r="V9" s="55"/>
      <c r="W9" s="55"/>
      <c r="X9" s="55"/>
      <c r="Y9" s="55"/>
    </row>
    <row r="10" spans="1:25" ht="12.95" customHeight="1">
      <c r="A10" s="55"/>
      <c r="B10" s="55"/>
      <c r="C10" s="55"/>
      <c r="D10" s="59" t="s">
        <v>8</v>
      </c>
      <c r="E10" s="59"/>
      <c r="F10" s="59"/>
      <c r="G10" s="59"/>
      <c r="H10" s="59"/>
      <c r="I10" s="59"/>
      <c r="J10" s="59"/>
      <c r="K10" s="62">
        <v>0</v>
      </c>
      <c r="L10" s="62"/>
      <c r="M10" s="62"/>
      <c r="N10" s="62"/>
      <c r="O10" s="62"/>
      <c r="P10" s="55"/>
      <c r="Q10" s="55"/>
      <c r="R10" s="55"/>
      <c r="S10" s="55"/>
      <c r="T10" s="55"/>
      <c r="U10" s="55"/>
      <c r="V10" s="55"/>
      <c r="W10" s="55"/>
      <c r="X10" s="55"/>
      <c r="Y10" s="55"/>
    </row>
    <row r="11" spans="1:25" ht="12.95" customHeight="1">
      <c r="A11" s="55"/>
      <c r="B11" s="55"/>
      <c r="C11" s="55"/>
      <c r="D11" s="63" t="s">
        <v>9</v>
      </c>
      <c r="E11" s="63"/>
      <c r="F11" s="63"/>
      <c r="G11" s="63"/>
      <c r="H11" s="63"/>
      <c r="I11" s="63"/>
      <c r="J11" s="63"/>
      <c r="K11" s="65">
        <v>0</v>
      </c>
      <c r="L11" s="65"/>
      <c r="M11" s="65"/>
      <c r="N11" s="65"/>
      <c r="O11" s="65"/>
      <c r="P11" s="55"/>
      <c r="Q11" s="55"/>
      <c r="R11" s="55"/>
      <c r="S11" s="55"/>
      <c r="T11" s="55"/>
      <c r="U11" s="55"/>
      <c r="V11" s="55"/>
      <c r="W11" s="55"/>
      <c r="X11" s="55"/>
      <c r="Y11" s="55"/>
    </row>
    <row r="12" spans="1:25" ht="17.100000000000001" customHeight="1">
      <c r="A12" s="55"/>
      <c r="B12" s="55"/>
      <c r="C12" s="55"/>
      <c r="D12" s="59" t="s">
        <v>10</v>
      </c>
      <c r="E12" s="59"/>
      <c r="F12" s="59"/>
      <c r="G12" s="59"/>
      <c r="H12" s="59"/>
      <c r="I12" s="59"/>
      <c r="J12" s="59"/>
      <c r="K12" s="66">
        <v>1043.9000000000001</v>
      </c>
      <c r="L12" s="66"/>
      <c r="M12" s="66"/>
      <c r="N12" s="66"/>
      <c r="O12" s="66"/>
      <c r="P12" s="55"/>
      <c r="Q12" s="55"/>
      <c r="R12" s="55"/>
      <c r="S12" s="55"/>
      <c r="T12" s="55"/>
      <c r="U12" s="55"/>
      <c r="V12" s="55"/>
      <c r="W12" s="55"/>
      <c r="X12" s="55"/>
      <c r="Y12" s="55"/>
    </row>
    <row r="13" spans="1:25" ht="18" customHeight="1">
      <c r="A13" s="55"/>
      <c r="B13" s="55"/>
      <c r="C13" s="55"/>
      <c r="D13" s="59" t="s">
        <v>11</v>
      </c>
      <c r="E13" s="59"/>
      <c r="F13" s="59"/>
      <c r="G13" s="59"/>
      <c r="H13" s="59"/>
      <c r="I13" s="59"/>
      <c r="J13" s="59"/>
      <c r="K13" s="67">
        <v>1043.9000000000001</v>
      </c>
      <c r="L13" s="67"/>
      <c r="M13" s="67"/>
      <c r="N13" s="67"/>
      <c r="O13" s="67"/>
      <c r="P13" s="55"/>
      <c r="Q13" s="55"/>
      <c r="R13" s="55"/>
      <c r="S13" s="55"/>
      <c r="T13" s="55"/>
      <c r="U13" s="55"/>
      <c r="V13" s="55"/>
      <c r="W13" s="55"/>
      <c r="X13" s="55"/>
      <c r="Y13" s="55"/>
    </row>
    <row r="14" spans="1:25" ht="13.35" customHeight="1">
      <c r="A14" s="55"/>
      <c r="B14" s="55"/>
      <c r="C14" s="55"/>
      <c r="D14" s="59" t="s">
        <v>12</v>
      </c>
      <c r="E14" s="59"/>
      <c r="F14" s="59"/>
      <c r="G14" s="59"/>
      <c r="H14" s="59"/>
      <c r="I14" s="59"/>
      <c r="J14" s="59"/>
      <c r="K14" s="62">
        <v>0</v>
      </c>
      <c r="L14" s="62"/>
      <c r="M14" s="62"/>
      <c r="N14" s="62"/>
      <c r="O14" s="62"/>
      <c r="P14" s="55"/>
      <c r="Q14" s="55"/>
      <c r="R14" s="55"/>
      <c r="S14" s="55"/>
      <c r="T14" s="55"/>
      <c r="U14" s="55"/>
      <c r="V14" s="55"/>
      <c r="W14" s="55"/>
      <c r="X14" s="55"/>
      <c r="Y14" s="55"/>
    </row>
    <row r="15" spans="1:25" ht="16.5" customHeight="1">
      <c r="A15" s="68" t="s">
        <v>13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1"/>
    </row>
    <row r="16" spans="1:25" ht="14.25" customHeight="1">
      <c r="A16" s="69" t="s">
        <v>14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1"/>
    </row>
    <row r="17" spans="1:25" ht="38.25" customHeight="1">
      <c r="A17" s="5" t="s">
        <v>15</v>
      </c>
      <c r="B17" s="6" t="s">
        <v>16</v>
      </c>
      <c r="C17" s="70" t="s">
        <v>17</v>
      </c>
      <c r="D17" s="70"/>
      <c r="E17" s="5" t="s">
        <v>18</v>
      </c>
      <c r="F17" s="71" t="s">
        <v>19</v>
      </c>
      <c r="G17" s="71"/>
      <c r="H17" s="7" t="s">
        <v>20</v>
      </c>
      <c r="I17" s="5" t="s">
        <v>21</v>
      </c>
      <c r="J17" s="72" t="s">
        <v>22</v>
      </c>
      <c r="K17" s="72"/>
      <c r="L17" s="6" t="s">
        <v>23</v>
      </c>
      <c r="M17" s="7" t="s">
        <v>24</v>
      </c>
      <c r="N17" s="73" t="s">
        <v>25</v>
      </c>
      <c r="O17" s="73"/>
      <c r="P17" s="73"/>
      <c r="Q17" s="9" t="s">
        <v>26</v>
      </c>
      <c r="R17" s="10" t="s">
        <v>27</v>
      </c>
      <c r="S17" s="5" t="s">
        <v>28</v>
      </c>
      <c r="T17" s="71" t="s">
        <v>29</v>
      </c>
      <c r="U17" s="71"/>
      <c r="V17" s="11" t="s">
        <v>30</v>
      </c>
      <c r="W17" s="5" t="s">
        <v>31</v>
      </c>
      <c r="X17" s="11" t="s">
        <v>32</v>
      </c>
      <c r="Y17" s="3"/>
    </row>
    <row r="18" spans="1:25" ht="17.100000000000001" customHeight="1">
      <c r="A18" s="12">
        <v>106737758</v>
      </c>
      <c r="B18" s="13" t="s">
        <v>33</v>
      </c>
      <c r="C18" s="74" t="s">
        <v>34</v>
      </c>
      <c r="D18" s="74"/>
      <c r="E18" s="14" t="s">
        <v>35</v>
      </c>
      <c r="F18" s="75">
        <v>45658</v>
      </c>
      <c r="G18" s="75"/>
      <c r="H18" s="15">
        <v>46022</v>
      </c>
      <c r="I18" s="14" t="s">
        <v>36</v>
      </c>
      <c r="J18" s="76" t="s">
        <v>37</v>
      </c>
      <c r="K18" s="76"/>
      <c r="L18" s="16">
        <v>669.22</v>
      </c>
      <c r="M18" s="17">
        <v>0</v>
      </c>
      <c r="N18" s="77">
        <v>0</v>
      </c>
      <c r="O18" s="77"/>
      <c r="P18" s="77"/>
      <c r="Q18" s="18">
        <v>21</v>
      </c>
      <c r="R18" s="18">
        <v>0</v>
      </c>
      <c r="S18" s="18">
        <v>21</v>
      </c>
      <c r="T18" s="78">
        <v>1</v>
      </c>
      <c r="U18" s="78"/>
      <c r="V18" s="18">
        <v>21</v>
      </c>
      <c r="W18" s="14" t="s">
        <v>37</v>
      </c>
      <c r="X18" s="16">
        <v>21</v>
      </c>
      <c r="Y18" s="2"/>
    </row>
    <row r="19" spans="1:25" ht="12" customHeight="1">
      <c r="A19" s="19">
        <v>110700972</v>
      </c>
      <c r="B19" s="20" t="s">
        <v>38</v>
      </c>
      <c r="C19" s="79" t="s">
        <v>39</v>
      </c>
      <c r="D19" s="79"/>
      <c r="E19" s="21" t="s">
        <v>40</v>
      </c>
      <c r="F19" s="80">
        <v>45658</v>
      </c>
      <c r="G19" s="80"/>
      <c r="H19" s="22">
        <v>46022</v>
      </c>
      <c r="I19" s="21" t="s">
        <v>36</v>
      </c>
      <c r="J19" s="81" t="s">
        <v>37</v>
      </c>
      <c r="K19" s="81"/>
      <c r="L19" s="23">
        <v>808.72</v>
      </c>
      <c r="M19" s="24">
        <v>0</v>
      </c>
      <c r="N19" s="82">
        <v>0</v>
      </c>
      <c r="O19" s="82"/>
      <c r="P19" s="82"/>
      <c r="Q19" s="25">
        <v>20</v>
      </c>
      <c r="R19" s="25">
        <v>0</v>
      </c>
      <c r="S19" s="25">
        <v>20</v>
      </c>
      <c r="T19" s="83">
        <v>1</v>
      </c>
      <c r="U19" s="83"/>
      <c r="V19" s="25">
        <v>20</v>
      </c>
      <c r="W19" s="21" t="s">
        <v>37</v>
      </c>
      <c r="X19" s="23">
        <v>20</v>
      </c>
      <c r="Y19" s="1"/>
    </row>
    <row r="20" spans="1:25" ht="12" customHeight="1">
      <c r="A20" s="26">
        <v>110701159</v>
      </c>
      <c r="B20" s="27" t="s">
        <v>41</v>
      </c>
      <c r="C20" s="84" t="s">
        <v>39</v>
      </c>
      <c r="D20" s="84"/>
      <c r="E20" s="28" t="s">
        <v>40</v>
      </c>
      <c r="F20" s="85">
        <v>45658</v>
      </c>
      <c r="G20" s="85"/>
      <c r="H20" s="29">
        <v>46022</v>
      </c>
      <c r="I20" s="28" t="s">
        <v>36</v>
      </c>
      <c r="J20" s="86" t="s">
        <v>37</v>
      </c>
      <c r="K20" s="86"/>
      <c r="L20" s="30">
        <v>3867.62</v>
      </c>
      <c r="M20" s="31">
        <v>0</v>
      </c>
      <c r="N20" s="87">
        <v>0</v>
      </c>
      <c r="O20" s="87"/>
      <c r="P20" s="87"/>
      <c r="Q20" s="33">
        <v>20</v>
      </c>
      <c r="R20" s="33">
        <v>0</v>
      </c>
      <c r="S20" s="33">
        <v>20</v>
      </c>
      <c r="T20" s="88">
        <v>2</v>
      </c>
      <c r="U20" s="88"/>
      <c r="V20" s="33">
        <v>40</v>
      </c>
      <c r="W20" s="28" t="s">
        <v>37</v>
      </c>
      <c r="X20" s="32">
        <v>40</v>
      </c>
      <c r="Y20" s="1"/>
    </row>
    <row r="21" spans="1:25" ht="12" customHeight="1">
      <c r="A21" s="19">
        <v>110809733</v>
      </c>
      <c r="B21" s="20" t="s">
        <v>42</v>
      </c>
      <c r="C21" s="79" t="s">
        <v>39</v>
      </c>
      <c r="D21" s="79"/>
      <c r="E21" s="21" t="s">
        <v>40</v>
      </c>
      <c r="F21" s="80">
        <v>45658</v>
      </c>
      <c r="G21" s="80"/>
      <c r="H21" s="22">
        <v>46022</v>
      </c>
      <c r="I21" s="21" t="s">
        <v>36</v>
      </c>
      <c r="J21" s="81" t="s">
        <v>37</v>
      </c>
      <c r="K21" s="81"/>
      <c r="L21" s="34">
        <v>1588.94</v>
      </c>
      <c r="M21" s="24">
        <v>0</v>
      </c>
      <c r="N21" s="82">
        <v>0</v>
      </c>
      <c r="O21" s="82"/>
      <c r="P21" s="82"/>
      <c r="Q21" s="25">
        <v>20</v>
      </c>
      <c r="R21" s="25">
        <v>0</v>
      </c>
      <c r="S21" s="25">
        <v>20</v>
      </c>
      <c r="T21" s="83">
        <v>1</v>
      </c>
      <c r="U21" s="83"/>
      <c r="V21" s="25">
        <v>20</v>
      </c>
      <c r="W21" s="21" t="s">
        <v>37</v>
      </c>
      <c r="X21" s="23">
        <v>20</v>
      </c>
      <c r="Y21" s="1"/>
    </row>
    <row r="22" spans="1:25" ht="17.45" customHeight="1">
      <c r="A22" s="26">
        <v>112319621</v>
      </c>
      <c r="B22" s="27" t="s">
        <v>43</v>
      </c>
      <c r="C22" s="84" t="s">
        <v>39</v>
      </c>
      <c r="D22" s="84"/>
      <c r="E22" s="28" t="s">
        <v>40</v>
      </c>
      <c r="F22" s="85">
        <v>45658</v>
      </c>
      <c r="G22" s="85"/>
      <c r="H22" s="29">
        <v>46022</v>
      </c>
      <c r="I22" s="28" t="s">
        <v>36</v>
      </c>
      <c r="J22" s="86" t="s">
        <v>37</v>
      </c>
      <c r="K22" s="86"/>
      <c r="L22" s="30">
        <v>2907.12</v>
      </c>
      <c r="M22" s="31">
        <v>0</v>
      </c>
      <c r="N22" s="87">
        <v>0</v>
      </c>
      <c r="O22" s="87"/>
      <c r="P22" s="87"/>
      <c r="Q22" s="33">
        <v>20</v>
      </c>
      <c r="R22" s="33">
        <v>0</v>
      </c>
      <c r="S22" s="33">
        <v>20</v>
      </c>
      <c r="T22" s="88">
        <v>2</v>
      </c>
      <c r="U22" s="88"/>
      <c r="V22" s="33">
        <v>40</v>
      </c>
      <c r="W22" s="28" t="s">
        <v>37</v>
      </c>
      <c r="X22" s="32">
        <v>40</v>
      </c>
      <c r="Y22" s="2"/>
    </row>
    <row r="23" spans="1:25" ht="24.95" customHeight="1">
      <c r="A23" s="89" t="s">
        <v>44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</row>
    <row r="24" spans="1:25" ht="64.5" customHeight="1">
      <c r="A24" s="90" t="s">
        <v>45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</row>
    <row r="25" spans="1:25" ht="17.100000000000001" customHeight="1">
      <c r="A25" s="68" t="s">
        <v>46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2"/>
    </row>
    <row r="26" spans="1:25" ht="14.25" customHeight="1">
      <c r="A26" s="69" t="s">
        <v>47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1"/>
    </row>
    <row r="27" spans="1:25" ht="38.25" customHeight="1">
      <c r="A27" s="5" t="s">
        <v>15</v>
      </c>
      <c r="B27" s="6" t="s">
        <v>16</v>
      </c>
      <c r="C27" s="70" t="s">
        <v>17</v>
      </c>
      <c r="D27" s="70"/>
      <c r="E27" s="5" t="s">
        <v>18</v>
      </c>
      <c r="F27" s="71" t="s">
        <v>19</v>
      </c>
      <c r="G27" s="71"/>
      <c r="H27" s="7" t="s">
        <v>20</v>
      </c>
      <c r="I27" s="5" t="s">
        <v>21</v>
      </c>
      <c r="J27" s="72" t="s">
        <v>22</v>
      </c>
      <c r="K27" s="72"/>
      <c r="L27" s="6" t="s">
        <v>23</v>
      </c>
      <c r="M27" s="7" t="s">
        <v>24</v>
      </c>
      <c r="N27" s="73" t="s">
        <v>25</v>
      </c>
      <c r="O27" s="73"/>
      <c r="P27" s="73"/>
      <c r="Q27" s="9" t="s">
        <v>26</v>
      </c>
      <c r="R27" s="10" t="s">
        <v>27</v>
      </c>
      <c r="S27" s="5" t="s">
        <v>28</v>
      </c>
      <c r="T27" s="71" t="s">
        <v>29</v>
      </c>
      <c r="U27" s="71"/>
      <c r="V27" s="11" t="s">
        <v>30</v>
      </c>
      <c r="W27" s="5" t="s">
        <v>31</v>
      </c>
      <c r="X27" s="11" t="s">
        <v>32</v>
      </c>
      <c r="Y27" s="3"/>
    </row>
    <row r="28" spans="1:25" ht="5.25" customHeight="1">
      <c r="A28" s="35"/>
      <c r="B28" s="35"/>
      <c r="C28" s="91"/>
      <c r="D28" s="91"/>
      <c r="E28" s="35"/>
      <c r="F28" s="91"/>
      <c r="G28" s="91"/>
      <c r="H28" s="35"/>
      <c r="I28" s="35"/>
      <c r="J28" s="91"/>
      <c r="K28" s="91"/>
      <c r="L28" s="35"/>
      <c r="M28" s="35"/>
      <c r="N28" s="91"/>
      <c r="O28" s="91"/>
      <c r="P28" s="91"/>
      <c r="Q28" s="35"/>
      <c r="R28" s="35"/>
      <c r="S28" s="35"/>
      <c r="T28" s="91"/>
      <c r="U28" s="91"/>
      <c r="V28" s="35"/>
      <c r="W28" s="35"/>
      <c r="X28" s="35"/>
      <c r="Y28" s="1"/>
    </row>
    <row r="29" spans="1:25" ht="12" customHeight="1">
      <c r="A29" s="19">
        <v>112381370</v>
      </c>
      <c r="B29" s="20" t="s">
        <v>48</v>
      </c>
      <c r="C29" s="79" t="s">
        <v>34</v>
      </c>
      <c r="D29" s="79"/>
      <c r="E29" s="21" t="s">
        <v>49</v>
      </c>
      <c r="F29" s="80">
        <v>45658</v>
      </c>
      <c r="G29" s="80"/>
      <c r="H29" s="22">
        <v>46022</v>
      </c>
      <c r="I29" s="21" t="s">
        <v>36</v>
      </c>
      <c r="J29" s="81" t="s">
        <v>37</v>
      </c>
      <c r="K29" s="81"/>
      <c r="L29" s="23">
        <v>404.37</v>
      </c>
      <c r="M29" s="24">
        <v>0.04</v>
      </c>
      <c r="N29" s="82">
        <v>16.170000000000002</v>
      </c>
      <c r="O29" s="82"/>
      <c r="P29" s="82"/>
      <c r="Q29" s="25">
        <v>0</v>
      </c>
      <c r="R29" s="25">
        <v>0</v>
      </c>
      <c r="S29" s="25">
        <v>0</v>
      </c>
      <c r="T29" s="83">
        <v>1</v>
      </c>
      <c r="U29" s="83"/>
      <c r="V29" s="25">
        <v>0</v>
      </c>
      <c r="W29" s="21" t="s">
        <v>37</v>
      </c>
      <c r="X29" s="23">
        <v>16.170000000000002</v>
      </c>
      <c r="Y29" s="1"/>
    </row>
    <row r="30" spans="1:25" ht="12" customHeight="1">
      <c r="A30" s="26">
        <v>112381384</v>
      </c>
      <c r="B30" s="27" t="s">
        <v>50</v>
      </c>
      <c r="C30" s="84" t="s">
        <v>34</v>
      </c>
      <c r="D30" s="84"/>
      <c r="E30" s="28" t="s">
        <v>49</v>
      </c>
      <c r="F30" s="85">
        <v>45658</v>
      </c>
      <c r="G30" s="85"/>
      <c r="H30" s="29">
        <v>46022</v>
      </c>
      <c r="I30" s="28" t="s">
        <v>36</v>
      </c>
      <c r="J30" s="86" t="s">
        <v>37</v>
      </c>
      <c r="K30" s="86"/>
      <c r="L30" s="30">
        <v>1139.02</v>
      </c>
      <c r="M30" s="31">
        <v>0.04</v>
      </c>
      <c r="N30" s="87">
        <v>45.56</v>
      </c>
      <c r="O30" s="87"/>
      <c r="P30" s="87"/>
      <c r="Q30" s="33">
        <v>0</v>
      </c>
      <c r="R30" s="33">
        <v>0</v>
      </c>
      <c r="S30" s="33">
        <v>0</v>
      </c>
      <c r="T30" s="88">
        <v>1</v>
      </c>
      <c r="U30" s="88"/>
      <c r="V30" s="33">
        <v>0</v>
      </c>
      <c r="W30" s="28" t="s">
        <v>37</v>
      </c>
      <c r="X30" s="32">
        <v>45.56</v>
      </c>
      <c r="Y30" s="1"/>
    </row>
    <row r="31" spans="1:25" ht="12.6" customHeight="1">
      <c r="A31" s="19">
        <v>112419154</v>
      </c>
      <c r="B31" s="20" t="s">
        <v>51</v>
      </c>
      <c r="C31" s="79" t="s">
        <v>52</v>
      </c>
      <c r="D31" s="79"/>
      <c r="E31" s="21" t="s">
        <v>53</v>
      </c>
      <c r="F31" s="80">
        <v>45689</v>
      </c>
      <c r="G31" s="80"/>
      <c r="H31" s="22">
        <v>46022</v>
      </c>
      <c r="I31" s="21" t="s">
        <v>36</v>
      </c>
      <c r="J31" s="81" t="s">
        <v>37</v>
      </c>
      <c r="K31" s="81"/>
      <c r="L31" s="23">
        <v>347.94</v>
      </c>
      <c r="M31" s="24">
        <v>0</v>
      </c>
      <c r="N31" s="82">
        <v>0</v>
      </c>
      <c r="O31" s="82"/>
      <c r="P31" s="82"/>
      <c r="Q31" s="25">
        <v>25</v>
      </c>
      <c r="R31" s="25">
        <v>0</v>
      </c>
      <c r="S31" s="25">
        <v>25</v>
      </c>
      <c r="T31" s="83">
        <v>1</v>
      </c>
      <c r="U31" s="83"/>
      <c r="V31" s="25">
        <v>25</v>
      </c>
      <c r="W31" s="21" t="s">
        <v>37</v>
      </c>
      <c r="X31" s="23">
        <v>25</v>
      </c>
      <c r="Y31" s="1"/>
    </row>
    <row r="32" spans="1:25" ht="30" customHeight="1">
      <c r="A32" s="92" t="s">
        <v>54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</row>
    <row r="33" spans="1:25" ht="12.75" customHeight="1">
      <c r="A33" s="93" t="s">
        <v>55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</row>
    <row r="34" spans="1:25" ht="16.5" customHeight="1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1"/>
    </row>
    <row r="35" spans="1:25" ht="14.25" customHeight="1">
      <c r="A35" s="69" t="s">
        <v>14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1"/>
    </row>
    <row r="36" spans="1:25" ht="25.5" customHeight="1">
      <c r="A36" s="56"/>
      <c r="B36" s="56"/>
      <c r="C36" s="56"/>
      <c r="D36" s="56"/>
      <c r="E36" s="56"/>
      <c r="F36" s="94" t="s">
        <v>57</v>
      </c>
      <c r="G36" s="94"/>
      <c r="H36" s="36" t="s">
        <v>58</v>
      </c>
      <c r="I36" s="2"/>
      <c r="J36" s="56"/>
      <c r="K36" s="56"/>
      <c r="L36" s="2"/>
      <c r="M36" s="37" t="s">
        <v>59</v>
      </c>
      <c r="N36" s="59" t="s">
        <v>60</v>
      </c>
      <c r="O36" s="59"/>
      <c r="P36" s="59"/>
      <c r="Q36" s="4" t="s">
        <v>61</v>
      </c>
      <c r="R36" s="4" t="s">
        <v>62</v>
      </c>
      <c r="S36" s="2"/>
      <c r="T36" s="94" t="s">
        <v>63</v>
      </c>
      <c r="U36" s="94"/>
      <c r="V36" s="4" t="s">
        <v>60</v>
      </c>
      <c r="W36" s="2"/>
      <c r="X36" s="4" t="s">
        <v>64</v>
      </c>
      <c r="Y36" s="2"/>
    </row>
    <row r="37" spans="1:25" ht="12.75" customHeight="1">
      <c r="A37" s="11" t="s">
        <v>15</v>
      </c>
      <c r="B37" s="8" t="s">
        <v>16</v>
      </c>
      <c r="C37" s="73" t="s">
        <v>17</v>
      </c>
      <c r="D37" s="73"/>
      <c r="E37" s="11" t="s">
        <v>18</v>
      </c>
      <c r="F37" s="95" t="s">
        <v>65</v>
      </c>
      <c r="G37" s="95"/>
      <c r="H37" s="11" t="s">
        <v>65</v>
      </c>
      <c r="I37" s="11" t="s">
        <v>21</v>
      </c>
      <c r="J37" s="95" t="s">
        <v>22</v>
      </c>
      <c r="K37" s="95"/>
      <c r="L37" s="8" t="s">
        <v>23</v>
      </c>
      <c r="M37" s="8" t="s">
        <v>23</v>
      </c>
      <c r="N37" s="96" t="s">
        <v>23</v>
      </c>
      <c r="O37" s="96"/>
      <c r="P37" s="96"/>
      <c r="Q37" s="11" t="s">
        <v>28</v>
      </c>
      <c r="R37" s="11" t="s">
        <v>28</v>
      </c>
      <c r="S37" s="11" t="s">
        <v>28</v>
      </c>
      <c r="T37" s="95" t="s">
        <v>66</v>
      </c>
      <c r="U37" s="95"/>
      <c r="V37" s="11" t="s">
        <v>28</v>
      </c>
      <c r="W37" s="11" t="s">
        <v>31</v>
      </c>
      <c r="X37" s="38" t="s">
        <v>67</v>
      </c>
      <c r="Y37" s="2"/>
    </row>
    <row r="38" spans="1:25" ht="22.5" customHeight="1">
      <c r="A38" s="12">
        <v>112180553</v>
      </c>
      <c r="B38" s="13" t="s">
        <v>68</v>
      </c>
      <c r="C38" s="74" t="s">
        <v>69</v>
      </c>
      <c r="D38" s="74"/>
      <c r="E38" s="14" t="s">
        <v>70</v>
      </c>
      <c r="F38" s="75">
        <v>45658</v>
      </c>
      <c r="G38" s="75"/>
      <c r="H38" s="15">
        <v>46022</v>
      </c>
      <c r="I38" s="14" t="s">
        <v>36</v>
      </c>
      <c r="J38" s="76" t="s">
        <v>37</v>
      </c>
      <c r="K38" s="76"/>
      <c r="L38" s="16">
        <v>773.7</v>
      </c>
      <c r="M38" s="17">
        <v>0</v>
      </c>
      <c r="N38" s="77">
        <v>0</v>
      </c>
      <c r="O38" s="77"/>
      <c r="P38" s="77"/>
      <c r="Q38" s="18">
        <v>20</v>
      </c>
      <c r="R38" s="18">
        <v>0</v>
      </c>
      <c r="S38" s="18">
        <v>20</v>
      </c>
      <c r="T38" s="78">
        <v>1</v>
      </c>
      <c r="U38" s="78"/>
      <c r="V38" s="18">
        <v>20</v>
      </c>
      <c r="W38" s="14" t="s">
        <v>37</v>
      </c>
      <c r="X38" s="16">
        <v>20</v>
      </c>
      <c r="Y38" s="2"/>
    </row>
    <row r="39" spans="1:25" ht="24.95" customHeight="1">
      <c r="A39" s="89" t="s">
        <v>71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</row>
    <row r="40" spans="1:25" ht="64.5" customHeight="1">
      <c r="A40" s="90" t="s">
        <v>72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</row>
    <row r="41" spans="1:25" ht="17.100000000000001" customHeight="1">
      <c r="A41" s="68" t="s">
        <v>73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2"/>
    </row>
    <row r="42" spans="1:25" ht="14.25" customHeight="1">
      <c r="A42" s="69" t="s">
        <v>47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1"/>
    </row>
    <row r="43" spans="1:25" ht="38.25" customHeight="1">
      <c r="A43" s="5" t="s">
        <v>15</v>
      </c>
      <c r="B43" s="6" t="s">
        <v>16</v>
      </c>
      <c r="C43" s="70" t="s">
        <v>17</v>
      </c>
      <c r="D43" s="70"/>
      <c r="E43" s="5" t="s">
        <v>18</v>
      </c>
      <c r="F43" s="71" t="s">
        <v>19</v>
      </c>
      <c r="G43" s="71"/>
      <c r="H43" s="7" t="s">
        <v>20</v>
      </c>
      <c r="I43" s="5" t="s">
        <v>21</v>
      </c>
      <c r="J43" s="72" t="s">
        <v>22</v>
      </c>
      <c r="K43" s="72"/>
      <c r="L43" s="6" t="s">
        <v>23</v>
      </c>
      <c r="M43" s="7" t="s">
        <v>24</v>
      </c>
      <c r="N43" s="73" t="s">
        <v>25</v>
      </c>
      <c r="O43" s="73"/>
      <c r="P43" s="73"/>
      <c r="Q43" s="9" t="s">
        <v>26</v>
      </c>
      <c r="R43" s="10" t="s">
        <v>27</v>
      </c>
      <c r="S43" s="5" t="s">
        <v>28</v>
      </c>
      <c r="T43" s="71" t="s">
        <v>29</v>
      </c>
      <c r="U43" s="71"/>
      <c r="V43" s="11" t="s">
        <v>30</v>
      </c>
      <c r="W43" s="5" t="s">
        <v>31</v>
      </c>
      <c r="X43" s="11" t="s">
        <v>32</v>
      </c>
      <c r="Y43" s="3"/>
    </row>
    <row r="44" spans="1:25" ht="5.25" customHeight="1">
      <c r="A44" s="35"/>
      <c r="B44" s="35"/>
      <c r="C44" s="91"/>
      <c r="D44" s="91"/>
      <c r="E44" s="35"/>
      <c r="F44" s="91"/>
      <c r="G44" s="91"/>
      <c r="H44" s="35"/>
      <c r="I44" s="35"/>
      <c r="J44" s="91"/>
      <c r="K44" s="91"/>
      <c r="L44" s="35"/>
      <c r="M44" s="35"/>
      <c r="N44" s="91"/>
      <c r="O44" s="91"/>
      <c r="P44" s="91"/>
      <c r="Q44" s="35"/>
      <c r="R44" s="35"/>
      <c r="S44" s="35"/>
      <c r="T44" s="91"/>
      <c r="U44" s="91"/>
      <c r="V44" s="35"/>
      <c r="W44" s="35"/>
      <c r="X44" s="35"/>
      <c r="Y44" s="1"/>
    </row>
    <row r="45" spans="1:25" ht="12" customHeight="1">
      <c r="A45" s="19">
        <v>112870011</v>
      </c>
      <c r="B45" s="20" t="s">
        <v>74</v>
      </c>
      <c r="C45" s="79" t="s">
        <v>52</v>
      </c>
      <c r="D45" s="79"/>
      <c r="E45" s="21" t="s">
        <v>53</v>
      </c>
      <c r="F45" s="80">
        <v>45962</v>
      </c>
      <c r="G45" s="80"/>
      <c r="H45" s="22">
        <v>46022</v>
      </c>
      <c r="I45" s="21" t="s">
        <v>36</v>
      </c>
      <c r="J45" s="81" t="s">
        <v>37</v>
      </c>
      <c r="K45" s="81"/>
      <c r="L45" s="34">
        <v>1073.1199999999999</v>
      </c>
      <c r="M45" s="24">
        <v>0</v>
      </c>
      <c r="N45" s="82">
        <v>0</v>
      </c>
      <c r="O45" s="82"/>
      <c r="P45" s="82"/>
      <c r="Q45" s="25">
        <v>24</v>
      </c>
      <c r="R45" s="25">
        <v>0</v>
      </c>
      <c r="S45" s="25">
        <v>24</v>
      </c>
      <c r="T45" s="83">
        <v>1</v>
      </c>
      <c r="U45" s="83"/>
      <c r="V45" s="25">
        <v>24</v>
      </c>
      <c r="W45" s="21" t="s">
        <v>37</v>
      </c>
      <c r="X45" s="23">
        <v>24</v>
      </c>
      <c r="Y45" s="1"/>
    </row>
    <row r="46" spans="1:25" ht="17.45" customHeight="1">
      <c r="A46" s="26">
        <v>112876247</v>
      </c>
      <c r="B46" s="27" t="s">
        <v>75</v>
      </c>
      <c r="C46" s="84" t="s">
        <v>76</v>
      </c>
      <c r="D46" s="84"/>
      <c r="E46" s="28" t="s">
        <v>53</v>
      </c>
      <c r="F46" s="85">
        <v>45962</v>
      </c>
      <c r="G46" s="85"/>
      <c r="H46" s="29">
        <v>46022</v>
      </c>
      <c r="I46" s="28" t="s">
        <v>36</v>
      </c>
      <c r="J46" s="86" t="s">
        <v>37</v>
      </c>
      <c r="K46" s="86"/>
      <c r="L46" s="32">
        <v>983.99</v>
      </c>
      <c r="M46" s="31">
        <v>0</v>
      </c>
      <c r="N46" s="87">
        <v>0</v>
      </c>
      <c r="O46" s="87"/>
      <c r="P46" s="87"/>
      <c r="Q46" s="33">
        <v>24</v>
      </c>
      <c r="R46" s="33">
        <v>0</v>
      </c>
      <c r="S46" s="33">
        <v>24</v>
      </c>
      <c r="T46" s="88">
        <v>1</v>
      </c>
      <c r="U46" s="88"/>
      <c r="V46" s="33">
        <v>24</v>
      </c>
      <c r="W46" s="28" t="s">
        <v>37</v>
      </c>
      <c r="X46" s="32">
        <v>24</v>
      </c>
      <c r="Y46" s="2"/>
    </row>
    <row r="47" spans="1:25" ht="24.95" customHeight="1">
      <c r="A47" s="92" t="s">
        <v>77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</row>
    <row r="48" spans="1:25" ht="64.5" customHeight="1">
      <c r="A48" s="97" t="s">
        <v>78</v>
      </c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</row>
    <row r="49" spans="1:25" ht="17.100000000000001" customHeight="1">
      <c r="A49" s="68" t="s">
        <v>79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2"/>
    </row>
    <row r="50" spans="1:25" ht="14.25" customHeight="1">
      <c r="A50" s="69" t="s">
        <v>47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1"/>
    </row>
    <row r="51" spans="1:25" ht="12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9" t="s">
        <v>80</v>
      </c>
      <c r="O51" s="59"/>
      <c r="P51" s="59"/>
      <c r="Q51" s="39" t="s">
        <v>81</v>
      </c>
      <c r="R51" s="39" t="s">
        <v>82</v>
      </c>
      <c r="S51" s="1"/>
      <c r="T51" s="55"/>
      <c r="U51" s="55"/>
      <c r="V51" s="39" t="s">
        <v>80</v>
      </c>
      <c r="W51" s="1"/>
      <c r="X51" s="40" t="s">
        <v>83</v>
      </c>
      <c r="Y51" s="1"/>
    </row>
    <row r="52" spans="1:25" ht="12.75" customHeight="1">
      <c r="A52" s="1"/>
      <c r="B52" s="1"/>
      <c r="C52" s="55"/>
      <c r="D52" s="55"/>
      <c r="E52" s="98" t="s">
        <v>84</v>
      </c>
      <c r="F52" s="98"/>
      <c r="G52" s="98"/>
      <c r="H52" s="98"/>
      <c r="I52" s="1"/>
      <c r="J52" s="55"/>
      <c r="K52" s="55"/>
      <c r="L52" s="1"/>
      <c r="M52" s="41" t="s">
        <v>59</v>
      </c>
      <c r="N52" s="99" t="s">
        <v>85</v>
      </c>
      <c r="O52" s="99"/>
      <c r="P52" s="99"/>
      <c r="Q52" s="39" t="s">
        <v>86</v>
      </c>
      <c r="R52" s="39" t="s">
        <v>86</v>
      </c>
      <c r="S52" s="1"/>
      <c r="T52" s="100" t="s">
        <v>63</v>
      </c>
      <c r="U52" s="100"/>
      <c r="V52" s="39" t="s">
        <v>85</v>
      </c>
      <c r="W52" s="1"/>
      <c r="X52" s="4" t="s">
        <v>80</v>
      </c>
      <c r="Y52" s="1"/>
    </row>
    <row r="53" spans="1:25" ht="12.75" customHeight="1">
      <c r="A53" s="11" t="s">
        <v>15</v>
      </c>
      <c r="B53" s="8" t="s">
        <v>16</v>
      </c>
      <c r="C53" s="73" t="s">
        <v>17</v>
      </c>
      <c r="D53" s="73"/>
      <c r="E53" s="73" t="s">
        <v>87</v>
      </c>
      <c r="F53" s="73"/>
      <c r="G53" s="73"/>
      <c r="H53" s="73"/>
      <c r="I53" s="11" t="s">
        <v>21</v>
      </c>
      <c r="J53" s="95" t="s">
        <v>22</v>
      </c>
      <c r="K53" s="95"/>
      <c r="L53" s="8" t="s">
        <v>23</v>
      </c>
      <c r="M53" s="8" t="s">
        <v>23</v>
      </c>
      <c r="N53" s="96" t="s">
        <v>23</v>
      </c>
      <c r="O53" s="96"/>
      <c r="P53" s="96"/>
      <c r="Q53" s="11" t="s">
        <v>28</v>
      </c>
      <c r="R53" s="11" t="s">
        <v>28</v>
      </c>
      <c r="S53" s="11" t="s">
        <v>28</v>
      </c>
      <c r="T53" s="95" t="s">
        <v>66</v>
      </c>
      <c r="U53" s="95"/>
      <c r="V53" s="11" t="s">
        <v>28</v>
      </c>
      <c r="W53" s="11" t="s">
        <v>31</v>
      </c>
      <c r="X53" s="38" t="s">
        <v>67</v>
      </c>
      <c r="Y53" s="2"/>
    </row>
    <row r="54" spans="1:25" ht="11.45" customHeight="1">
      <c r="A54" s="19">
        <v>112516764</v>
      </c>
      <c r="B54" s="20" t="s">
        <v>88</v>
      </c>
      <c r="C54" s="79" t="s">
        <v>34</v>
      </c>
      <c r="D54" s="79"/>
      <c r="E54" s="21" t="s">
        <v>35</v>
      </c>
      <c r="F54" s="80">
        <v>45893</v>
      </c>
      <c r="G54" s="80"/>
      <c r="H54" s="22">
        <v>46022</v>
      </c>
      <c r="I54" s="21" t="s">
        <v>36</v>
      </c>
      <c r="J54" s="81" t="s">
        <v>37</v>
      </c>
      <c r="K54" s="81"/>
      <c r="L54" s="42">
        <v>770.65</v>
      </c>
      <c r="M54" s="24">
        <v>0</v>
      </c>
      <c r="N54" s="82">
        <v>0</v>
      </c>
      <c r="O54" s="82"/>
      <c r="P54" s="82"/>
      <c r="Q54" s="25">
        <v>21</v>
      </c>
      <c r="R54" s="25">
        <v>0</v>
      </c>
      <c r="S54" s="25">
        <v>21</v>
      </c>
      <c r="T54" s="83">
        <v>2</v>
      </c>
      <c r="U54" s="83"/>
      <c r="V54" s="25">
        <v>42</v>
      </c>
      <c r="W54" s="21" t="s">
        <v>37</v>
      </c>
      <c r="X54" s="23">
        <v>42</v>
      </c>
      <c r="Y54" s="1"/>
    </row>
    <row r="55" spans="1:25" ht="17.45" customHeight="1">
      <c r="A55" s="26">
        <v>112821546</v>
      </c>
      <c r="B55" s="27" t="s">
        <v>89</v>
      </c>
      <c r="C55" s="84" t="s">
        <v>90</v>
      </c>
      <c r="D55" s="84"/>
      <c r="E55" s="28" t="s">
        <v>35</v>
      </c>
      <c r="F55" s="85">
        <v>45893</v>
      </c>
      <c r="G55" s="85"/>
      <c r="H55" s="29">
        <v>46022</v>
      </c>
      <c r="I55" s="28" t="s">
        <v>36</v>
      </c>
      <c r="J55" s="86" t="s">
        <v>37</v>
      </c>
      <c r="K55" s="86"/>
      <c r="L55" s="43">
        <v>540.53</v>
      </c>
      <c r="M55" s="31">
        <v>0</v>
      </c>
      <c r="N55" s="87">
        <v>0</v>
      </c>
      <c r="O55" s="87"/>
      <c r="P55" s="87"/>
      <c r="Q55" s="33">
        <v>21</v>
      </c>
      <c r="R55" s="33">
        <v>0</v>
      </c>
      <c r="S55" s="33">
        <v>21</v>
      </c>
      <c r="T55" s="88">
        <v>1</v>
      </c>
      <c r="U55" s="88"/>
      <c r="V55" s="33">
        <v>21</v>
      </c>
      <c r="W55" s="28" t="s">
        <v>37</v>
      </c>
      <c r="X55" s="32">
        <v>21</v>
      </c>
      <c r="Y55" s="2"/>
    </row>
    <row r="56" spans="1:25" ht="24.95" customHeight="1">
      <c r="A56" s="92" t="s">
        <v>91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</row>
    <row r="57" spans="1:25" ht="64.5" customHeight="1">
      <c r="A57" s="90" t="s">
        <v>92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</row>
    <row r="58" spans="1:25" ht="15.95" customHeight="1">
      <c r="A58" s="101" t="s">
        <v>93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"/>
    </row>
    <row r="59" spans="1:25" ht="15" customHeight="1">
      <c r="A59" s="102" t="s">
        <v>47</v>
      </c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"/>
    </row>
    <row r="60" spans="1:25" ht="38.25" customHeight="1">
      <c r="A60" s="5" t="s">
        <v>15</v>
      </c>
      <c r="B60" s="6" t="s">
        <v>16</v>
      </c>
      <c r="C60" s="70" t="s">
        <v>17</v>
      </c>
      <c r="D60" s="70"/>
      <c r="E60" s="5" t="s">
        <v>18</v>
      </c>
      <c r="F60" s="71" t="s">
        <v>19</v>
      </c>
      <c r="G60" s="71"/>
      <c r="H60" s="7" t="s">
        <v>20</v>
      </c>
      <c r="I60" s="5" t="s">
        <v>21</v>
      </c>
      <c r="J60" s="72" t="s">
        <v>22</v>
      </c>
      <c r="K60" s="72"/>
      <c r="L60" s="6" t="s">
        <v>23</v>
      </c>
      <c r="M60" s="7" t="s">
        <v>24</v>
      </c>
      <c r="N60" s="73" t="s">
        <v>25</v>
      </c>
      <c r="O60" s="73"/>
      <c r="P60" s="73"/>
      <c r="Q60" s="9" t="s">
        <v>26</v>
      </c>
      <c r="R60" s="10" t="s">
        <v>27</v>
      </c>
      <c r="S60" s="5" t="s">
        <v>28</v>
      </c>
      <c r="T60" s="71" t="s">
        <v>29</v>
      </c>
      <c r="U60" s="71"/>
      <c r="V60" s="11" t="s">
        <v>30</v>
      </c>
      <c r="W60" s="5" t="s">
        <v>31</v>
      </c>
      <c r="X60" s="11" t="s">
        <v>32</v>
      </c>
      <c r="Y60" s="3"/>
    </row>
    <row r="61" spans="1:25" ht="5.25" customHeight="1">
      <c r="A61" s="35"/>
      <c r="B61" s="35"/>
      <c r="C61" s="91"/>
      <c r="D61" s="91"/>
      <c r="E61" s="35"/>
      <c r="F61" s="91"/>
      <c r="G61" s="91"/>
      <c r="H61" s="35"/>
      <c r="I61" s="35"/>
      <c r="J61" s="91"/>
      <c r="K61" s="91"/>
      <c r="L61" s="35"/>
      <c r="M61" s="35"/>
      <c r="N61" s="91"/>
      <c r="O61" s="91"/>
      <c r="P61" s="91"/>
      <c r="Q61" s="35"/>
      <c r="R61" s="35"/>
      <c r="S61" s="35"/>
      <c r="T61" s="91"/>
      <c r="U61" s="91"/>
      <c r="V61" s="35"/>
      <c r="W61" s="35"/>
      <c r="X61" s="35"/>
      <c r="Y61" s="1"/>
    </row>
    <row r="62" spans="1:25" ht="12" customHeight="1">
      <c r="A62" s="19">
        <v>112342893</v>
      </c>
      <c r="B62" s="20" t="s">
        <v>94</v>
      </c>
      <c r="C62" s="79" t="s">
        <v>39</v>
      </c>
      <c r="D62" s="79"/>
      <c r="E62" s="21" t="s">
        <v>35</v>
      </c>
      <c r="F62" s="80">
        <v>45658</v>
      </c>
      <c r="G62" s="80"/>
      <c r="H62" s="22">
        <v>46022</v>
      </c>
      <c r="I62" s="21" t="s">
        <v>36</v>
      </c>
      <c r="J62" s="81" t="s">
        <v>37</v>
      </c>
      <c r="K62" s="81"/>
      <c r="L62" s="42">
        <v>928.13</v>
      </c>
      <c r="M62" s="24">
        <v>0</v>
      </c>
      <c r="N62" s="82">
        <v>0</v>
      </c>
      <c r="O62" s="82"/>
      <c r="P62" s="82"/>
      <c r="Q62" s="25">
        <v>21</v>
      </c>
      <c r="R62" s="25">
        <v>0</v>
      </c>
      <c r="S62" s="25">
        <v>21</v>
      </c>
      <c r="T62" s="83">
        <v>1</v>
      </c>
      <c r="U62" s="83"/>
      <c r="V62" s="25">
        <v>21</v>
      </c>
      <c r="W62" s="21" t="s">
        <v>37</v>
      </c>
      <c r="X62" s="23">
        <v>21</v>
      </c>
      <c r="Y62" s="1"/>
    </row>
    <row r="63" spans="1:25" ht="12" customHeight="1">
      <c r="A63" s="26">
        <v>112514281</v>
      </c>
      <c r="B63" s="27" t="s">
        <v>95</v>
      </c>
      <c r="C63" s="84" t="s">
        <v>96</v>
      </c>
      <c r="D63" s="84"/>
      <c r="E63" s="28" t="s">
        <v>53</v>
      </c>
      <c r="F63" s="85">
        <v>45778</v>
      </c>
      <c r="G63" s="85"/>
      <c r="H63" s="29">
        <v>46022</v>
      </c>
      <c r="I63" s="28" t="s">
        <v>97</v>
      </c>
      <c r="J63" s="86" t="s">
        <v>98</v>
      </c>
      <c r="K63" s="86"/>
      <c r="L63" s="43">
        <v>882.46</v>
      </c>
      <c r="M63" s="31">
        <v>0</v>
      </c>
      <c r="N63" s="87">
        <v>0</v>
      </c>
      <c r="O63" s="87"/>
      <c r="P63" s="87"/>
      <c r="Q63" s="33">
        <v>24</v>
      </c>
      <c r="R63" s="33">
        <v>0</v>
      </c>
      <c r="S63" s="33">
        <v>24</v>
      </c>
      <c r="T63" s="88">
        <v>1</v>
      </c>
      <c r="U63" s="88"/>
      <c r="V63" s="33">
        <v>96</v>
      </c>
      <c r="W63" s="28" t="s">
        <v>37</v>
      </c>
      <c r="X63" s="32">
        <v>24</v>
      </c>
      <c r="Y63" s="1"/>
    </row>
    <row r="64" spans="1:25" ht="12" customHeight="1">
      <c r="A64" s="19">
        <v>112514281</v>
      </c>
      <c r="B64" s="20" t="s">
        <v>95</v>
      </c>
      <c r="C64" s="79" t="s">
        <v>96</v>
      </c>
      <c r="D64" s="79"/>
      <c r="E64" s="21" t="s">
        <v>53</v>
      </c>
      <c r="F64" s="80">
        <v>45778</v>
      </c>
      <c r="G64" s="80"/>
      <c r="H64" s="22">
        <v>46022</v>
      </c>
      <c r="I64" s="21" t="s">
        <v>36</v>
      </c>
      <c r="J64" s="81" t="s">
        <v>37</v>
      </c>
      <c r="K64" s="81"/>
      <c r="L64" s="42">
        <v>882.46</v>
      </c>
      <c r="M64" s="24">
        <v>0</v>
      </c>
      <c r="N64" s="82">
        <v>0</v>
      </c>
      <c r="O64" s="82"/>
      <c r="P64" s="82"/>
      <c r="Q64" s="25">
        <v>24</v>
      </c>
      <c r="R64" s="25">
        <v>0</v>
      </c>
      <c r="S64" s="25">
        <v>24</v>
      </c>
      <c r="T64" s="83">
        <v>4</v>
      </c>
      <c r="U64" s="83"/>
      <c r="V64" s="25">
        <v>96</v>
      </c>
      <c r="W64" s="21" t="s">
        <v>37</v>
      </c>
      <c r="X64" s="23">
        <v>96</v>
      </c>
      <c r="Y64" s="1"/>
    </row>
    <row r="65" spans="1:25" ht="12" customHeight="1">
      <c r="A65" s="26">
        <v>112555327</v>
      </c>
      <c r="B65" s="27" t="s">
        <v>99</v>
      </c>
      <c r="C65" s="84" t="s">
        <v>34</v>
      </c>
      <c r="D65" s="84"/>
      <c r="E65" s="28" t="s">
        <v>53</v>
      </c>
      <c r="F65" s="85">
        <v>45809</v>
      </c>
      <c r="G65" s="85"/>
      <c r="H65" s="29">
        <v>46022</v>
      </c>
      <c r="I65" s="28" t="s">
        <v>36</v>
      </c>
      <c r="J65" s="86" t="s">
        <v>37</v>
      </c>
      <c r="K65" s="86"/>
      <c r="L65" s="44">
        <v>1415.31</v>
      </c>
      <c r="M65" s="31">
        <v>0</v>
      </c>
      <c r="N65" s="87">
        <v>0</v>
      </c>
      <c r="O65" s="87"/>
      <c r="P65" s="87"/>
      <c r="Q65" s="33">
        <v>24</v>
      </c>
      <c r="R65" s="33">
        <v>0</v>
      </c>
      <c r="S65" s="33">
        <v>24</v>
      </c>
      <c r="T65" s="88">
        <v>2</v>
      </c>
      <c r="U65" s="88"/>
      <c r="V65" s="33">
        <v>48</v>
      </c>
      <c r="W65" s="28" t="s">
        <v>37</v>
      </c>
      <c r="X65" s="32">
        <v>48</v>
      </c>
      <c r="Y65" s="1"/>
    </row>
    <row r="66" spans="1:25" ht="12" customHeight="1">
      <c r="A66" s="19">
        <v>112555365</v>
      </c>
      <c r="B66" s="20" t="s">
        <v>100</v>
      </c>
      <c r="C66" s="79" t="s">
        <v>34</v>
      </c>
      <c r="D66" s="79"/>
      <c r="E66" s="21" t="s">
        <v>53</v>
      </c>
      <c r="F66" s="80">
        <v>45809</v>
      </c>
      <c r="G66" s="80"/>
      <c r="H66" s="22">
        <v>46022</v>
      </c>
      <c r="I66" s="21" t="s">
        <v>36</v>
      </c>
      <c r="J66" s="81" t="s">
        <v>37</v>
      </c>
      <c r="K66" s="81"/>
      <c r="L66" s="42">
        <v>281.79000000000002</v>
      </c>
      <c r="M66" s="24">
        <v>0</v>
      </c>
      <c r="N66" s="82">
        <v>0</v>
      </c>
      <c r="O66" s="82"/>
      <c r="P66" s="82"/>
      <c r="Q66" s="25">
        <v>24</v>
      </c>
      <c r="R66" s="25">
        <v>0</v>
      </c>
      <c r="S66" s="25">
        <v>24</v>
      </c>
      <c r="T66" s="83">
        <v>1</v>
      </c>
      <c r="U66" s="83"/>
      <c r="V66" s="25">
        <v>24</v>
      </c>
      <c r="W66" s="21" t="s">
        <v>37</v>
      </c>
      <c r="X66" s="23">
        <v>24</v>
      </c>
      <c r="Y66" s="1"/>
    </row>
    <row r="67" spans="1:25" ht="21.95" customHeight="1">
      <c r="A67" s="92" t="s">
        <v>101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2"/>
    </row>
    <row r="68" spans="1:25" ht="14.25" customHeight="1">
      <c r="A68" s="45"/>
      <c r="B68" s="45"/>
      <c r="C68" s="103"/>
      <c r="D68" s="103"/>
      <c r="E68" s="45"/>
      <c r="F68" s="103"/>
      <c r="G68" s="103"/>
      <c r="H68" s="45"/>
      <c r="I68" s="45"/>
      <c r="J68" s="103"/>
      <c r="K68" s="103"/>
      <c r="L68" s="46" t="s">
        <v>14</v>
      </c>
      <c r="M68" s="45"/>
      <c r="N68" s="103"/>
      <c r="O68" s="103"/>
      <c r="P68" s="103"/>
      <c r="Q68" s="45"/>
      <c r="R68" s="45"/>
      <c r="S68" s="45"/>
      <c r="T68" s="103"/>
      <c r="U68" s="103"/>
      <c r="V68" s="45"/>
      <c r="W68" s="45"/>
      <c r="X68" s="45"/>
      <c r="Y68" s="1"/>
    </row>
    <row r="69" spans="1:25" ht="25.5" customHeight="1">
      <c r="A69" s="47"/>
      <c r="B69" s="47"/>
      <c r="C69" s="104"/>
      <c r="D69" s="104"/>
      <c r="E69" s="47"/>
      <c r="F69" s="105" t="s">
        <v>57</v>
      </c>
      <c r="G69" s="105"/>
      <c r="H69" s="48" t="s">
        <v>58</v>
      </c>
      <c r="I69" s="47"/>
      <c r="J69" s="104"/>
      <c r="K69" s="104"/>
      <c r="L69" s="47"/>
      <c r="M69" s="49" t="s">
        <v>59</v>
      </c>
      <c r="N69" s="106" t="s">
        <v>60</v>
      </c>
      <c r="O69" s="106"/>
      <c r="P69" s="106"/>
      <c r="Q69" s="50" t="s">
        <v>61</v>
      </c>
      <c r="R69" s="50" t="s">
        <v>62</v>
      </c>
      <c r="S69" s="47"/>
      <c r="T69" s="105" t="s">
        <v>63</v>
      </c>
      <c r="U69" s="105"/>
      <c r="V69" s="50" t="s">
        <v>60</v>
      </c>
      <c r="W69" s="47"/>
      <c r="X69" s="50" t="s">
        <v>64</v>
      </c>
      <c r="Y69" s="2"/>
    </row>
    <row r="70" spans="1:25" ht="12.75" customHeight="1">
      <c r="A70" s="11" t="s">
        <v>15</v>
      </c>
      <c r="B70" s="8" t="s">
        <v>16</v>
      </c>
      <c r="C70" s="73" t="s">
        <v>17</v>
      </c>
      <c r="D70" s="73"/>
      <c r="E70" s="11" t="s">
        <v>18</v>
      </c>
      <c r="F70" s="95" t="s">
        <v>65</v>
      </c>
      <c r="G70" s="95"/>
      <c r="H70" s="11" t="s">
        <v>65</v>
      </c>
      <c r="I70" s="11" t="s">
        <v>21</v>
      </c>
      <c r="J70" s="95" t="s">
        <v>22</v>
      </c>
      <c r="K70" s="95"/>
      <c r="L70" s="8" t="s">
        <v>23</v>
      </c>
      <c r="M70" s="8" t="s">
        <v>23</v>
      </c>
      <c r="N70" s="96" t="s">
        <v>23</v>
      </c>
      <c r="O70" s="96"/>
      <c r="P70" s="96"/>
      <c r="Q70" s="11" t="s">
        <v>28</v>
      </c>
      <c r="R70" s="11" t="s">
        <v>28</v>
      </c>
      <c r="S70" s="11" t="s">
        <v>28</v>
      </c>
      <c r="T70" s="95" t="s">
        <v>66</v>
      </c>
      <c r="U70" s="95"/>
      <c r="V70" s="11" t="s">
        <v>28</v>
      </c>
      <c r="W70" s="11" t="s">
        <v>31</v>
      </c>
      <c r="X70" s="38" t="s">
        <v>67</v>
      </c>
      <c r="Y70" s="2"/>
    </row>
    <row r="71" spans="1:25" ht="17.100000000000001" customHeight="1">
      <c r="A71" s="12">
        <v>109263551</v>
      </c>
      <c r="B71" s="13" t="s">
        <v>102</v>
      </c>
      <c r="C71" s="74" t="s">
        <v>103</v>
      </c>
      <c r="D71" s="74"/>
      <c r="E71" s="14" t="s">
        <v>53</v>
      </c>
      <c r="F71" s="75">
        <v>45658</v>
      </c>
      <c r="G71" s="75"/>
      <c r="H71" s="15">
        <v>46022</v>
      </c>
      <c r="I71" s="14" t="s">
        <v>36</v>
      </c>
      <c r="J71" s="76" t="s">
        <v>37</v>
      </c>
      <c r="K71" s="76"/>
      <c r="L71" s="51">
        <v>2045.31</v>
      </c>
      <c r="M71" s="17">
        <v>0</v>
      </c>
      <c r="N71" s="77">
        <v>0</v>
      </c>
      <c r="O71" s="77"/>
      <c r="P71" s="77"/>
      <c r="Q71" s="18">
        <v>24</v>
      </c>
      <c r="R71" s="18">
        <v>0</v>
      </c>
      <c r="S71" s="18">
        <v>24</v>
      </c>
      <c r="T71" s="78">
        <v>1</v>
      </c>
      <c r="U71" s="78"/>
      <c r="V71" s="18">
        <v>24</v>
      </c>
      <c r="W71" s="14" t="s">
        <v>37</v>
      </c>
      <c r="X71" s="16">
        <v>24</v>
      </c>
      <c r="Y71" s="2"/>
    </row>
    <row r="72" spans="1:25" ht="12" customHeight="1">
      <c r="A72" s="19">
        <v>109376890</v>
      </c>
      <c r="B72" s="20" t="s">
        <v>104</v>
      </c>
      <c r="C72" s="79" t="s">
        <v>34</v>
      </c>
      <c r="D72" s="79"/>
      <c r="E72" s="21" t="s">
        <v>35</v>
      </c>
      <c r="F72" s="80">
        <v>45658</v>
      </c>
      <c r="G72" s="80"/>
      <c r="H72" s="22">
        <v>46022</v>
      </c>
      <c r="I72" s="21" t="s">
        <v>36</v>
      </c>
      <c r="J72" s="81" t="s">
        <v>37</v>
      </c>
      <c r="K72" s="81"/>
      <c r="L72" s="52">
        <v>1156.82</v>
      </c>
      <c r="M72" s="24">
        <v>0</v>
      </c>
      <c r="N72" s="82">
        <v>0</v>
      </c>
      <c r="O72" s="82"/>
      <c r="P72" s="82"/>
      <c r="Q72" s="25">
        <v>21</v>
      </c>
      <c r="R72" s="25">
        <v>0</v>
      </c>
      <c r="S72" s="25">
        <v>21</v>
      </c>
      <c r="T72" s="83">
        <v>1</v>
      </c>
      <c r="U72" s="83"/>
      <c r="V72" s="25">
        <v>21</v>
      </c>
      <c r="W72" s="21" t="s">
        <v>37</v>
      </c>
      <c r="X72" s="23">
        <v>21</v>
      </c>
      <c r="Y72" s="1"/>
    </row>
    <row r="73" spans="1:25" ht="12" customHeight="1">
      <c r="A73" s="26">
        <v>109408841</v>
      </c>
      <c r="B73" s="27" t="s">
        <v>105</v>
      </c>
      <c r="C73" s="84" t="s">
        <v>34</v>
      </c>
      <c r="D73" s="84"/>
      <c r="E73" s="28" t="s">
        <v>35</v>
      </c>
      <c r="F73" s="85">
        <v>45658</v>
      </c>
      <c r="G73" s="85"/>
      <c r="H73" s="29">
        <v>46022</v>
      </c>
      <c r="I73" s="28" t="s">
        <v>36</v>
      </c>
      <c r="J73" s="86" t="s">
        <v>37</v>
      </c>
      <c r="K73" s="86"/>
      <c r="L73" s="43">
        <v>809.07</v>
      </c>
      <c r="M73" s="31">
        <v>0</v>
      </c>
      <c r="N73" s="87">
        <v>0</v>
      </c>
      <c r="O73" s="87"/>
      <c r="P73" s="87"/>
      <c r="Q73" s="33">
        <v>21</v>
      </c>
      <c r="R73" s="33">
        <v>0</v>
      </c>
      <c r="S73" s="33">
        <v>21</v>
      </c>
      <c r="T73" s="88">
        <v>1</v>
      </c>
      <c r="U73" s="88"/>
      <c r="V73" s="33">
        <v>21</v>
      </c>
      <c r="W73" s="28" t="s">
        <v>37</v>
      </c>
      <c r="X73" s="32">
        <v>21</v>
      </c>
      <c r="Y73" s="1"/>
    </row>
    <row r="74" spans="1:25" ht="12" customHeight="1">
      <c r="A74" s="19">
        <v>109839671</v>
      </c>
      <c r="B74" s="20" t="s">
        <v>106</v>
      </c>
      <c r="C74" s="79" t="s">
        <v>34</v>
      </c>
      <c r="D74" s="79"/>
      <c r="E74" s="21" t="s">
        <v>35</v>
      </c>
      <c r="F74" s="80">
        <v>45658</v>
      </c>
      <c r="G74" s="80"/>
      <c r="H74" s="22">
        <v>46022</v>
      </c>
      <c r="I74" s="21" t="s">
        <v>36</v>
      </c>
      <c r="J74" s="81" t="s">
        <v>37</v>
      </c>
      <c r="K74" s="81"/>
      <c r="L74" s="42">
        <v>885.1</v>
      </c>
      <c r="M74" s="24">
        <v>0</v>
      </c>
      <c r="N74" s="82">
        <v>0</v>
      </c>
      <c r="O74" s="82"/>
      <c r="P74" s="82"/>
      <c r="Q74" s="25">
        <v>21</v>
      </c>
      <c r="R74" s="25">
        <v>0</v>
      </c>
      <c r="S74" s="25">
        <v>21</v>
      </c>
      <c r="T74" s="83">
        <v>1</v>
      </c>
      <c r="U74" s="83"/>
      <c r="V74" s="25">
        <v>21</v>
      </c>
      <c r="W74" s="21" t="s">
        <v>37</v>
      </c>
      <c r="X74" s="23">
        <v>21</v>
      </c>
      <c r="Y74" s="1"/>
    </row>
    <row r="75" spans="1:25" ht="12" customHeight="1">
      <c r="A75" s="26">
        <v>110661324</v>
      </c>
      <c r="B75" s="27" t="s">
        <v>107</v>
      </c>
      <c r="C75" s="84" t="s">
        <v>34</v>
      </c>
      <c r="D75" s="84"/>
      <c r="E75" s="28" t="s">
        <v>49</v>
      </c>
      <c r="F75" s="85">
        <v>45658</v>
      </c>
      <c r="G75" s="85"/>
      <c r="H75" s="29">
        <v>46022</v>
      </c>
      <c r="I75" s="28" t="s">
        <v>36</v>
      </c>
      <c r="J75" s="86" t="s">
        <v>37</v>
      </c>
      <c r="K75" s="86"/>
      <c r="L75" s="44">
        <v>1458.59</v>
      </c>
      <c r="M75" s="31">
        <v>0.04</v>
      </c>
      <c r="N75" s="87">
        <v>58.34</v>
      </c>
      <c r="O75" s="87"/>
      <c r="P75" s="87"/>
      <c r="Q75" s="33">
        <v>0</v>
      </c>
      <c r="R75" s="33">
        <v>0</v>
      </c>
      <c r="S75" s="33">
        <v>0</v>
      </c>
      <c r="T75" s="88">
        <v>2</v>
      </c>
      <c r="U75" s="88"/>
      <c r="V75" s="33">
        <v>0</v>
      </c>
      <c r="W75" s="28" t="s">
        <v>37</v>
      </c>
      <c r="X75" s="32">
        <v>58.34</v>
      </c>
      <c r="Y75" s="1"/>
    </row>
    <row r="76" spans="1:25" ht="12" customHeight="1">
      <c r="A76" s="19">
        <v>110913614</v>
      </c>
      <c r="B76" s="20" t="s">
        <v>108</v>
      </c>
      <c r="C76" s="79" t="s">
        <v>109</v>
      </c>
      <c r="D76" s="79"/>
      <c r="E76" s="21" t="s">
        <v>53</v>
      </c>
      <c r="F76" s="80">
        <v>45658</v>
      </c>
      <c r="G76" s="80"/>
      <c r="H76" s="22">
        <v>46022</v>
      </c>
      <c r="I76" s="21" t="s">
        <v>36</v>
      </c>
      <c r="J76" s="81" t="s">
        <v>37</v>
      </c>
      <c r="K76" s="81"/>
      <c r="L76" s="42">
        <v>815.39</v>
      </c>
      <c r="M76" s="24">
        <v>0</v>
      </c>
      <c r="N76" s="82">
        <v>0</v>
      </c>
      <c r="O76" s="82"/>
      <c r="P76" s="82"/>
      <c r="Q76" s="25">
        <v>24</v>
      </c>
      <c r="R76" s="25">
        <v>0</v>
      </c>
      <c r="S76" s="25">
        <v>24</v>
      </c>
      <c r="T76" s="83">
        <v>1</v>
      </c>
      <c r="U76" s="83"/>
      <c r="V76" s="25">
        <v>24</v>
      </c>
      <c r="W76" s="21" t="s">
        <v>37</v>
      </c>
      <c r="X76" s="23">
        <v>24</v>
      </c>
      <c r="Y76" s="1"/>
    </row>
    <row r="77" spans="1:25" ht="12" customHeight="1">
      <c r="A77" s="26">
        <v>110987700</v>
      </c>
      <c r="B77" s="27" t="s">
        <v>110</v>
      </c>
      <c r="C77" s="84" t="s">
        <v>34</v>
      </c>
      <c r="D77" s="84"/>
      <c r="E77" s="28" t="s">
        <v>49</v>
      </c>
      <c r="F77" s="85">
        <v>45658</v>
      </c>
      <c r="G77" s="85"/>
      <c r="H77" s="29">
        <v>46022</v>
      </c>
      <c r="I77" s="28" t="s">
        <v>36</v>
      </c>
      <c r="J77" s="86" t="s">
        <v>37</v>
      </c>
      <c r="K77" s="86"/>
      <c r="L77" s="44">
        <v>1108.54</v>
      </c>
      <c r="M77" s="31">
        <v>0.04</v>
      </c>
      <c r="N77" s="87">
        <v>44.34</v>
      </c>
      <c r="O77" s="87"/>
      <c r="P77" s="87"/>
      <c r="Q77" s="33">
        <v>0</v>
      </c>
      <c r="R77" s="33">
        <v>0</v>
      </c>
      <c r="S77" s="33">
        <v>0</v>
      </c>
      <c r="T77" s="88">
        <v>1</v>
      </c>
      <c r="U77" s="88"/>
      <c r="V77" s="33">
        <v>0</v>
      </c>
      <c r="W77" s="28" t="s">
        <v>37</v>
      </c>
      <c r="X77" s="32">
        <v>44.34</v>
      </c>
      <c r="Y77" s="1"/>
    </row>
    <row r="78" spans="1:25" ht="12" customHeight="1">
      <c r="A78" s="19">
        <v>111057159</v>
      </c>
      <c r="B78" s="20" t="s">
        <v>111</v>
      </c>
      <c r="C78" s="79" t="s">
        <v>112</v>
      </c>
      <c r="D78" s="79"/>
      <c r="E78" s="21" t="s">
        <v>53</v>
      </c>
      <c r="F78" s="80">
        <v>45658</v>
      </c>
      <c r="G78" s="80"/>
      <c r="H78" s="22">
        <v>46022</v>
      </c>
      <c r="I78" s="21" t="s">
        <v>36</v>
      </c>
      <c r="J78" s="81" t="s">
        <v>37</v>
      </c>
      <c r="K78" s="81"/>
      <c r="L78" s="42">
        <v>747.08</v>
      </c>
      <c r="M78" s="24">
        <v>0</v>
      </c>
      <c r="N78" s="82">
        <v>0</v>
      </c>
      <c r="O78" s="82"/>
      <c r="P78" s="82"/>
      <c r="Q78" s="25">
        <v>25</v>
      </c>
      <c r="R78" s="25">
        <v>0</v>
      </c>
      <c r="S78" s="25">
        <v>25</v>
      </c>
      <c r="T78" s="83">
        <v>1</v>
      </c>
      <c r="U78" s="83"/>
      <c r="V78" s="25">
        <v>25</v>
      </c>
      <c r="W78" s="21" t="s">
        <v>37</v>
      </c>
      <c r="X78" s="23">
        <v>25</v>
      </c>
      <c r="Y78" s="1"/>
    </row>
    <row r="79" spans="1:25" ht="12.6" customHeight="1">
      <c r="A79" s="26">
        <v>111102853</v>
      </c>
      <c r="B79" s="27" t="s">
        <v>113</v>
      </c>
      <c r="C79" s="84" t="s">
        <v>34</v>
      </c>
      <c r="D79" s="84"/>
      <c r="E79" s="28" t="s">
        <v>49</v>
      </c>
      <c r="F79" s="85">
        <v>45658</v>
      </c>
      <c r="G79" s="85"/>
      <c r="H79" s="29">
        <v>46022</v>
      </c>
      <c r="I79" s="28" t="s">
        <v>36</v>
      </c>
      <c r="J79" s="86" t="s">
        <v>37</v>
      </c>
      <c r="K79" s="86"/>
      <c r="L79" s="43">
        <v>787.13</v>
      </c>
      <c r="M79" s="31">
        <v>0.04</v>
      </c>
      <c r="N79" s="87">
        <v>31.49</v>
      </c>
      <c r="O79" s="87"/>
      <c r="P79" s="87"/>
      <c r="Q79" s="33">
        <v>0</v>
      </c>
      <c r="R79" s="33">
        <v>0</v>
      </c>
      <c r="S79" s="33">
        <v>0</v>
      </c>
      <c r="T79" s="88">
        <v>1</v>
      </c>
      <c r="U79" s="88"/>
      <c r="V79" s="33">
        <v>0</v>
      </c>
      <c r="W79" s="28" t="s">
        <v>37</v>
      </c>
      <c r="X79" s="32">
        <v>31.49</v>
      </c>
      <c r="Y79" s="1"/>
    </row>
    <row r="80" spans="1:25" ht="11.45" customHeight="1">
      <c r="A80" s="19">
        <v>111110447</v>
      </c>
      <c r="B80" s="20" t="s">
        <v>114</v>
      </c>
      <c r="C80" s="79" t="s">
        <v>34</v>
      </c>
      <c r="D80" s="79"/>
      <c r="E80" s="21" t="s">
        <v>53</v>
      </c>
      <c r="F80" s="80">
        <v>45658</v>
      </c>
      <c r="G80" s="80"/>
      <c r="H80" s="22">
        <v>46022</v>
      </c>
      <c r="I80" s="21" t="s">
        <v>36</v>
      </c>
      <c r="J80" s="81" t="s">
        <v>37</v>
      </c>
      <c r="K80" s="81"/>
      <c r="L80" s="34">
        <v>1862.6</v>
      </c>
      <c r="M80" s="24">
        <v>0</v>
      </c>
      <c r="N80" s="82">
        <v>0</v>
      </c>
      <c r="O80" s="82"/>
      <c r="P80" s="82"/>
      <c r="Q80" s="25">
        <v>24</v>
      </c>
      <c r="R80" s="25">
        <v>0</v>
      </c>
      <c r="S80" s="25">
        <v>24</v>
      </c>
      <c r="T80" s="83">
        <v>2</v>
      </c>
      <c r="U80" s="83"/>
      <c r="V80" s="25">
        <v>48</v>
      </c>
      <c r="W80" s="21" t="s">
        <v>37</v>
      </c>
      <c r="X80" s="23">
        <v>48</v>
      </c>
      <c r="Y80" s="1"/>
    </row>
    <row r="81" spans="1:25" ht="12" customHeight="1">
      <c r="A81" s="26">
        <v>111241629</v>
      </c>
      <c r="B81" s="27" t="s">
        <v>115</v>
      </c>
      <c r="C81" s="84" t="s">
        <v>39</v>
      </c>
      <c r="D81" s="84"/>
      <c r="E81" s="28" t="s">
        <v>53</v>
      </c>
      <c r="F81" s="85">
        <v>45658</v>
      </c>
      <c r="G81" s="85"/>
      <c r="H81" s="29">
        <v>46022</v>
      </c>
      <c r="I81" s="28" t="s">
        <v>36</v>
      </c>
      <c r="J81" s="86" t="s">
        <v>37</v>
      </c>
      <c r="K81" s="86"/>
      <c r="L81" s="32">
        <v>885.9</v>
      </c>
      <c r="M81" s="31">
        <v>0</v>
      </c>
      <c r="N81" s="87">
        <v>0</v>
      </c>
      <c r="O81" s="87"/>
      <c r="P81" s="87"/>
      <c r="Q81" s="33">
        <v>25</v>
      </c>
      <c r="R81" s="33">
        <v>0</v>
      </c>
      <c r="S81" s="33">
        <v>25</v>
      </c>
      <c r="T81" s="88">
        <v>1</v>
      </c>
      <c r="U81" s="88"/>
      <c r="V81" s="33">
        <v>25</v>
      </c>
      <c r="W81" s="28" t="s">
        <v>37</v>
      </c>
      <c r="X81" s="32">
        <v>25</v>
      </c>
      <c r="Y81" s="1"/>
    </row>
    <row r="82" spans="1:25" ht="12" customHeight="1">
      <c r="A82" s="19">
        <v>111593834</v>
      </c>
      <c r="B82" s="20" t="s">
        <v>116</v>
      </c>
      <c r="C82" s="79" t="s">
        <v>39</v>
      </c>
      <c r="D82" s="79"/>
      <c r="E82" s="21" t="s">
        <v>53</v>
      </c>
      <c r="F82" s="80">
        <v>45658</v>
      </c>
      <c r="G82" s="80"/>
      <c r="H82" s="22">
        <v>46022</v>
      </c>
      <c r="I82" s="21" t="s">
        <v>36</v>
      </c>
      <c r="J82" s="81" t="s">
        <v>37</v>
      </c>
      <c r="K82" s="81"/>
      <c r="L82" s="23">
        <v>949.64</v>
      </c>
      <c r="M82" s="24">
        <v>0</v>
      </c>
      <c r="N82" s="82">
        <v>0</v>
      </c>
      <c r="O82" s="82"/>
      <c r="P82" s="82"/>
      <c r="Q82" s="25">
        <v>24</v>
      </c>
      <c r="R82" s="25">
        <v>0</v>
      </c>
      <c r="S82" s="25">
        <v>24</v>
      </c>
      <c r="T82" s="83">
        <v>1</v>
      </c>
      <c r="U82" s="83"/>
      <c r="V82" s="25">
        <v>24</v>
      </c>
      <c r="W82" s="21" t="s">
        <v>37</v>
      </c>
      <c r="X82" s="23">
        <v>24</v>
      </c>
      <c r="Y82" s="1"/>
    </row>
    <row r="83" spans="1:25" ht="12" customHeight="1">
      <c r="A83" s="26">
        <v>111828564</v>
      </c>
      <c r="B83" s="27" t="s">
        <v>117</v>
      </c>
      <c r="C83" s="84" t="s">
        <v>34</v>
      </c>
      <c r="D83" s="84"/>
      <c r="E83" s="28" t="s">
        <v>53</v>
      </c>
      <c r="F83" s="85">
        <v>45658</v>
      </c>
      <c r="G83" s="85"/>
      <c r="H83" s="29">
        <v>46022</v>
      </c>
      <c r="I83" s="28" t="s">
        <v>36</v>
      </c>
      <c r="J83" s="86" t="s">
        <v>37</v>
      </c>
      <c r="K83" s="86"/>
      <c r="L83" s="32">
        <v>932.93</v>
      </c>
      <c r="M83" s="31">
        <v>0</v>
      </c>
      <c r="N83" s="87">
        <v>0</v>
      </c>
      <c r="O83" s="87"/>
      <c r="P83" s="87"/>
      <c r="Q83" s="33">
        <v>24</v>
      </c>
      <c r="R83" s="33">
        <v>0</v>
      </c>
      <c r="S83" s="33">
        <v>24</v>
      </c>
      <c r="T83" s="88">
        <v>1</v>
      </c>
      <c r="U83" s="88"/>
      <c r="V83" s="33">
        <v>24</v>
      </c>
      <c r="W83" s="28" t="s">
        <v>37</v>
      </c>
      <c r="X83" s="32">
        <v>24</v>
      </c>
      <c r="Y83" s="1"/>
    </row>
    <row r="84" spans="1:25" ht="12.6" customHeight="1">
      <c r="A84" s="19">
        <v>111849444</v>
      </c>
      <c r="B84" s="20" t="s">
        <v>118</v>
      </c>
      <c r="C84" s="79" t="s">
        <v>34</v>
      </c>
      <c r="D84" s="79"/>
      <c r="E84" s="21" t="s">
        <v>35</v>
      </c>
      <c r="F84" s="80">
        <v>45658</v>
      </c>
      <c r="G84" s="80"/>
      <c r="H84" s="22">
        <v>46022</v>
      </c>
      <c r="I84" s="21" t="s">
        <v>36</v>
      </c>
      <c r="J84" s="81" t="s">
        <v>37</v>
      </c>
      <c r="K84" s="81"/>
      <c r="L84" s="23">
        <v>730.69</v>
      </c>
      <c r="M84" s="24">
        <v>0</v>
      </c>
      <c r="N84" s="82">
        <v>0</v>
      </c>
      <c r="O84" s="82"/>
      <c r="P84" s="82"/>
      <c r="Q84" s="25">
        <v>21</v>
      </c>
      <c r="R84" s="25">
        <v>0</v>
      </c>
      <c r="S84" s="25">
        <v>21</v>
      </c>
      <c r="T84" s="83">
        <v>1</v>
      </c>
      <c r="U84" s="83"/>
      <c r="V84" s="25">
        <v>21</v>
      </c>
      <c r="W84" s="21" t="s">
        <v>37</v>
      </c>
      <c r="X84" s="23">
        <v>21</v>
      </c>
      <c r="Y84" s="1"/>
    </row>
    <row r="85" spans="1:25" ht="30" customHeight="1">
      <c r="A85" s="89" t="s">
        <v>119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</row>
    <row r="86" spans="1:25" ht="64.5" customHeight="1">
      <c r="A86" s="90" t="s">
        <v>120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</row>
    <row r="87" spans="1:25" ht="18" customHeight="1">
      <c r="A87" s="101" t="s">
        <v>121</v>
      </c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2"/>
    </row>
    <row r="88" spans="1:25" ht="14.25" customHeight="1">
      <c r="A88" s="102" t="s">
        <v>14</v>
      </c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"/>
    </row>
    <row r="89" spans="1:25" ht="25.5" customHeight="1">
      <c r="A89" s="56"/>
      <c r="B89" s="56"/>
      <c r="C89" s="56"/>
      <c r="D89" s="56"/>
      <c r="E89" s="56"/>
      <c r="F89" s="94" t="s">
        <v>57</v>
      </c>
      <c r="G89" s="94"/>
      <c r="H89" s="36" t="s">
        <v>58</v>
      </c>
      <c r="I89" s="2"/>
      <c r="J89" s="56"/>
      <c r="K89" s="56"/>
      <c r="L89" s="2"/>
      <c r="M89" s="37" t="s">
        <v>59</v>
      </c>
      <c r="N89" s="59" t="s">
        <v>60</v>
      </c>
      <c r="O89" s="59"/>
      <c r="P89" s="59"/>
      <c r="Q89" s="4" t="s">
        <v>61</v>
      </c>
      <c r="R89" s="4" t="s">
        <v>62</v>
      </c>
      <c r="S89" s="2"/>
      <c r="T89" s="94" t="s">
        <v>63</v>
      </c>
      <c r="U89" s="94"/>
      <c r="V89" s="4" t="s">
        <v>60</v>
      </c>
      <c r="W89" s="2"/>
      <c r="X89" s="4" t="s">
        <v>64</v>
      </c>
      <c r="Y89" s="2"/>
    </row>
    <row r="90" spans="1:25" ht="12.75" customHeight="1">
      <c r="A90" s="11" t="s">
        <v>15</v>
      </c>
      <c r="B90" s="8" t="s">
        <v>16</v>
      </c>
      <c r="C90" s="73" t="s">
        <v>17</v>
      </c>
      <c r="D90" s="73"/>
      <c r="E90" s="11" t="s">
        <v>18</v>
      </c>
      <c r="F90" s="95" t="s">
        <v>65</v>
      </c>
      <c r="G90" s="95"/>
      <c r="H90" s="11" t="s">
        <v>65</v>
      </c>
      <c r="I90" s="11" t="s">
        <v>21</v>
      </c>
      <c r="J90" s="95" t="s">
        <v>22</v>
      </c>
      <c r="K90" s="95"/>
      <c r="L90" s="8" t="s">
        <v>23</v>
      </c>
      <c r="M90" s="8" t="s">
        <v>23</v>
      </c>
      <c r="N90" s="96" t="s">
        <v>23</v>
      </c>
      <c r="O90" s="96"/>
      <c r="P90" s="96"/>
      <c r="Q90" s="11" t="s">
        <v>28</v>
      </c>
      <c r="R90" s="11" t="s">
        <v>28</v>
      </c>
      <c r="S90" s="11" t="s">
        <v>28</v>
      </c>
      <c r="T90" s="95" t="s">
        <v>66</v>
      </c>
      <c r="U90" s="95"/>
      <c r="V90" s="11" t="s">
        <v>28</v>
      </c>
      <c r="W90" s="11" t="s">
        <v>31</v>
      </c>
      <c r="X90" s="38" t="s">
        <v>67</v>
      </c>
      <c r="Y90" s="2"/>
    </row>
    <row r="91" spans="1:25" ht="22.5" customHeight="1">
      <c r="A91" s="12">
        <v>110884571</v>
      </c>
      <c r="B91" s="13" t="s">
        <v>122</v>
      </c>
      <c r="C91" s="74" t="s">
        <v>39</v>
      </c>
      <c r="D91" s="74"/>
      <c r="E91" s="14" t="s">
        <v>40</v>
      </c>
      <c r="F91" s="75">
        <v>45658</v>
      </c>
      <c r="G91" s="75"/>
      <c r="H91" s="15">
        <v>46022</v>
      </c>
      <c r="I91" s="14" t="s">
        <v>36</v>
      </c>
      <c r="J91" s="76" t="s">
        <v>37</v>
      </c>
      <c r="K91" s="76"/>
      <c r="L91" s="53">
        <v>2272.89</v>
      </c>
      <c r="M91" s="17">
        <v>0</v>
      </c>
      <c r="N91" s="77">
        <v>0</v>
      </c>
      <c r="O91" s="77"/>
      <c r="P91" s="77"/>
      <c r="Q91" s="18">
        <v>20</v>
      </c>
      <c r="R91" s="18">
        <v>0</v>
      </c>
      <c r="S91" s="18">
        <v>20</v>
      </c>
      <c r="T91" s="78">
        <v>3</v>
      </c>
      <c r="U91" s="78"/>
      <c r="V91" s="18">
        <v>60</v>
      </c>
      <c r="W91" s="14" t="s">
        <v>37</v>
      </c>
      <c r="X91" s="16">
        <v>60</v>
      </c>
      <c r="Y91" s="2"/>
    </row>
    <row r="92" spans="1:25" ht="24.95" customHeight="1">
      <c r="A92" s="89" t="s">
        <v>123</v>
      </c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</row>
    <row r="93" spans="1:25" ht="12.75" customHeight="1">
      <c r="A93" s="107" t="s">
        <v>124</v>
      </c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</row>
  </sheetData>
  <mergeCells count="331">
    <mergeCell ref="C91:D91"/>
    <mergeCell ref="F91:G91"/>
    <mergeCell ref="J91:K91"/>
    <mergeCell ref="N91:P91"/>
    <mergeCell ref="T91:U91"/>
    <mergeCell ref="A92:Y92"/>
    <mergeCell ref="A93:Y93"/>
    <mergeCell ref="A89:E89"/>
    <mergeCell ref="F89:G89"/>
    <mergeCell ref="J89:K89"/>
    <mergeCell ref="N89:P89"/>
    <mergeCell ref="T89:U89"/>
    <mergeCell ref="C90:D90"/>
    <mergeCell ref="F90:G90"/>
    <mergeCell ref="J90:K90"/>
    <mergeCell ref="N90:P90"/>
    <mergeCell ref="T90:U90"/>
    <mergeCell ref="C84:D84"/>
    <mergeCell ref="F84:G84"/>
    <mergeCell ref="J84:K84"/>
    <mergeCell ref="N84:P84"/>
    <mergeCell ref="T84:U84"/>
    <mergeCell ref="A85:Y85"/>
    <mergeCell ref="A86:Y86"/>
    <mergeCell ref="A87:X87"/>
    <mergeCell ref="A88:X88"/>
    <mergeCell ref="C82:D82"/>
    <mergeCell ref="F82:G82"/>
    <mergeCell ref="J82:K82"/>
    <mergeCell ref="N82:P82"/>
    <mergeCell ref="T82:U82"/>
    <mergeCell ref="C83:D83"/>
    <mergeCell ref="F83:G83"/>
    <mergeCell ref="J83:K83"/>
    <mergeCell ref="N83:P83"/>
    <mergeCell ref="T83:U83"/>
    <mergeCell ref="C80:D80"/>
    <mergeCell ref="F80:G80"/>
    <mergeCell ref="J80:K80"/>
    <mergeCell ref="N80:P80"/>
    <mergeCell ref="T80:U80"/>
    <mergeCell ref="C81:D81"/>
    <mergeCell ref="F81:G81"/>
    <mergeCell ref="J81:K81"/>
    <mergeCell ref="N81:P81"/>
    <mergeCell ref="T81:U81"/>
    <mergeCell ref="C78:D78"/>
    <mergeCell ref="F78:G78"/>
    <mergeCell ref="J78:K78"/>
    <mergeCell ref="N78:P78"/>
    <mergeCell ref="T78:U78"/>
    <mergeCell ref="C79:D79"/>
    <mergeCell ref="F79:G79"/>
    <mergeCell ref="J79:K79"/>
    <mergeCell ref="N79:P79"/>
    <mergeCell ref="T79:U79"/>
    <mergeCell ref="C76:D76"/>
    <mergeCell ref="F76:G76"/>
    <mergeCell ref="J76:K76"/>
    <mergeCell ref="N76:P76"/>
    <mergeCell ref="T76:U76"/>
    <mergeCell ref="C77:D77"/>
    <mergeCell ref="F77:G77"/>
    <mergeCell ref="J77:K77"/>
    <mergeCell ref="N77:P77"/>
    <mergeCell ref="T77:U77"/>
    <mergeCell ref="C74:D74"/>
    <mergeCell ref="F74:G74"/>
    <mergeCell ref="J74:K74"/>
    <mergeCell ref="N74:P74"/>
    <mergeCell ref="T74:U74"/>
    <mergeCell ref="C75:D75"/>
    <mergeCell ref="F75:G75"/>
    <mergeCell ref="J75:K75"/>
    <mergeCell ref="N75:P75"/>
    <mergeCell ref="T75:U75"/>
    <mergeCell ref="C72:D72"/>
    <mergeCell ref="F72:G72"/>
    <mergeCell ref="J72:K72"/>
    <mergeCell ref="N72:P72"/>
    <mergeCell ref="T72:U72"/>
    <mergeCell ref="C73:D73"/>
    <mergeCell ref="F73:G73"/>
    <mergeCell ref="J73:K73"/>
    <mergeCell ref="N73:P73"/>
    <mergeCell ref="T73:U73"/>
    <mergeCell ref="C70:D70"/>
    <mergeCell ref="F70:G70"/>
    <mergeCell ref="J70:K70"/>
    <mergeCell ref="N70:P70"/>
    <mergeCell ref="T70:U70"/>
    <mergeCell ref="C71:D71"/>
    <mergeCell ref="F71:G71"/>
    <mergeCell ref="J71:K71"/>
    <mergeCell ref="N71:P71"/>
    <mergeCell ref="T71:U71"/>
    <mergeCell ref="A67:X67"/>
    <mergeCell ref="C68:D68"/>
    <mergeCell ref="F68:G68"/>
    <mergeCell ref="J68:K68"/>
    <mergeCell ref="N68:P68"/>
    <mergeCell ref="T68:U68"/>
    <mergeCell ref="C69:D69"/>
    <mergeCell ref="F69:G69"/>
    <mergeCell ref="J69:K69"/>
    <mergeCell ref="N69:P69"/>
    <mergeCell ref="T69:U69"/>
    <mergeCell ref="C65:D65"/>
    <mergeCell ref="F65:G65"/>
    <mergeCell ref="J65:K65"/>
    <mergeCell ref="N65:P65"/>
    <mergeCell ref="T65:U65"/>
    <mergeCell ref="C66:D66"/>
    <mergeCell ref="F66:G66"/>
    <mergeCell ref="J66:K66"/>
    <mergeCell ref="N66:P66"/>
    <mergeCell ref="T66:U66"/>
    <mergeCell ref="C63:D63"/>
    <mergeCell ref="F63:G63"/>
    <mergeCell ref="J63:K63"/>
    <mergeCell ref="N63:P63"/>
    <mergeCell ref="T63:U63"/>
    <mergeCell ref="C64:D64"/>
    <mergeCell ref="F64:G64"/>
    <mergeCell ref="J64:K64"/>
    <mergeCell ref="N64:P64"/>
    <mergeCell ref="T64:U64"/>
    <mergeCell ref="C61:D61"/>
    <mergeCell ref="F61:G61"/>
    <mergeCell ref="J61:K61"/>
    <mergeCell ref="N61:P61"/>
    <mergeCell ref="T61:U61"/>
    <mergeCell ref="C62:D62"/>
    <mergeCell ref="F62:G62"/>
    <mergeCell ref="J62:K62"/>
    <mergeCell ref="N62:P62"/>
    <mergeCell ref="T62:U62"/>
    <mergeCell ref="A56:Y56"/>
    <mergeCell ref="A57:Y57"/>
    <mergeCell ref="A58:X58"/>
    <mergeCell ref="A59:X59"/>
    <mergeCell ref="C60:D60"/>
    <mergeCell ref="F60:G60"/>
    <mergeCell ref="J60:K60"/>
    <mergeCell ref="N60:P60"/>
    <mergeCell ref="T60:U60"/>
    <mergeCell ref="C54:D54"/>
    <mergeCell ref="F54:G54"/>
    <mergeCell ref="J54:K54"/>
    <mergeCell ref="N54:P54"/>
    <mergeCell ref="T54:U54"/>
    <mergeCell ref="C55:D55"/>
    <mergeCell ref="F55:G55"/>
    <mergeCell ref="J55:K55"/>
    <mergeCell ref="N55:P55"/>
    <mergeCell ref="T55:U55"/>
    <mergeCell ref="A51:M51"/>
    <mergeCell ref="N51:P51"/>
    <mergeCell ref="T51:U51"/>
    <mergeCell ref="C52:D52"/>
    <mergeCell ref="E52:H52"/>
    <mergeCell ref="J52:K52"/>
    <mergeCell ref="N52:P52"/>
    <mergeCell ref="T52:U52"/>
    <mergeCell ref="C53:D53"/>
    <mergeCell ref="E53:H53"/>
    <mergeCell ref="J53:K53"/>
    <mergeCell ref="N53:P53"/>
    <mergeCell ref="T53:U53"/>
    <mergeCell ref="C46:D46"/>
    <mergeCell ref="F46:G46"/>
    <mergeCell ref="J46:K46"/>
    <mergeCell ref="N46:P46"/>
    <mergeCell ref="T46:U46"/>
    <mergeCell ref="A47:Y47"/>
    <mergeCell ref="A48:Y48"/>
    <mergeCell ref="A49:X49"/>
    <mergeCell ref="A50:X50"/>
    <mergeCell ref="C44:D44"/>
    <mergeCell ref="F44:G44"/>
    <mergeCell ref="J44:K44"/>
    <mergeCell ref="N44:P44"/>
    <mergeCell ref="T44:U44"/>
    <mergeCell ref="C45:D45"/>
    <mergeCell ref="F45:G45"/>
    <mergeCell ref="J45:K45"/>
    <mergeCell ref="N45:P45"/>
    <mergeCell ref="T45:U45"/>
    <mergeCell ref="A39:Y39"/>
    <mergeCell ref="A40:Y40"/>
    <mergeCell ref="A41:X41"/>
    <mergeCell ref="A42:X42"/>
    <mergeCell ref="C43:D43"/>
    <mergeCell ref="F43:G43"/>
    <mergeCell ref="J43:K43"/>
    <mergeCell ref="N43:P43"/>
    <mergeCell ref="T43:U43"/>
    <mergeCell ref="C37:D37"/>
    <mergeCell ref="F37:G37"/>
    <mergeCell ref="J37:K37"/>
    <mergeCell ref="N37:P37"/>
    <mergeCell ref="T37:U37"/>
    <mergeCell ref="C38:D38"/>
    <mergeCell ref="F38:G38"/>
    <mergeCell ref="J38:K38"/>
    <mergeCell ref="N38:P38"/>
    <mergeCell ref="T38:U38"/>
    <mergeCell ref="A32:Y32"/>
    <mergeCell ref="A33:Y33"/>
    <mergeCell ref="A34:X34"/>
    <mergeCell ref="A35:X35"/>
    <mergeCell ref="A36:E36"/>
    <mergeCell ref="F36:G36"/>
    <mergeCell ref="J36:K36"/>
    <mergeCell ref="N36:P36"/>
    <mergeCell ref="T36:U36"/>
    <mergeCell ref="C30:D30"/>
    <mergeCell ref="F30:G30"/>
    <mergeCell ref="J30:K30"/>
    <mergeCell ref="N30:P30"/>
    <mergeCell ref="T30:U30"/>
    <mergeCell ref="C31:D31"/>
    <mergeCell ref="F31:G31"/>
    <mergeCell ref="J31:K31"/>
    <mergeCell ref="N31:P31"/>
    <mergeCell ref="T31:U31"/>
    <mergeCell ref="C28:D28"/>
    <mergeCell ref="F28:G28"/>
    <mergeCell ref="J28:K28"/>
    <mergeCell ref="N28:P28"/>
    <mergeCell ref="T28:U28"/>
    <mergeCell ref="C29:D29"/>
    <mergeCell ref="F29:G29"/>
    <mergeCell ref="J29:K29"/>
    <mergeCell ref="N29:P29"/>
    <mergeCell ref="T29:U29"/>
    <mergeCell ref="A23:Y23"/>
    <mergeCell ref="A24:Y24"/>
    <mergeCell ref="A25:X25"/>
    <mergeCell ref="A26:X26"/>
    <mergeCell ref="C27:D27"/>
    <mergeCell ref="F27:G27"/>
    <mergeCell ref="J27:K27"/>
    <mergeCell ref="N27:P27"/>
    <mergeCell ref="T27:U27"/>
    <mergeCell ref="C21:D21"/>
    <mergeCell ref="F21:G21"/>
    <mergeCell ref="J21:K21"/>
    <mergeCell ref="N21:P21"/>
    <mergeCell ref="T21:U21"/>
    <mergeCell ref="C22:D22"/>
    <mergeCell ref="F22:G22"/>
    <mergeCell ref="J22:K22"/>
    <mergeCell ref="N22:P22"/>
    <mergeCell ref="T22:U22"/>
    <mergeCell ref="C19:D19"/>
    <mergeCell ref="F19:G19"/>
    <mergeCell ref="J19:K19"/>
    <mergeCell ref="N19:P19"/>
    <mergeCell ref="T19:U19"/>
    <mergeCell ref="C20:D20"/>
    <mergeCell ref="F20:G20"/>
    <mergeCell ref="J20:K20"/>
    <mergeCell ref="N20:P20"/>
    <mergeCell ref="T20:U20"/>
    <mergeCell ref="A15:X15"/>
    <mergeCell ref="A16:X16"/>
    <mergeCell ref="C17:D17"/>
    <mergeCell ref="F17:G17"/>
    <mergeCell ref="J17:K17"/>
    <mergeCell ref="N17:P17"/>
    <mergeCell ref="T17:U17"/>
    <mergeCell ref="C18:D18"/>
    <mergeCell ref="F18:G18"/>
    <mergeCell ref="J18:K18"/>
    <mergeCell ref="N18:P18"/>
    <mergeCell ref="T18:U18"/>
    <mergeCell ref="A13:C13"/>
    <mergeCell ref="D13:J13"/>
    <mergeCell ref="K13:O13"/>
    <mergeCell ref="P13:T13"/>
    <mergeCell ref="U13:Y13"/>
    <mergeCell ref="A14:C14"/>
    <mergeCell ref="D14:J14"/>
    <mergeCell ref="K14:O14"/>
    <mergeCell ref="P14:T14"/>
    <mergeCell ref="U14:Y14"/>
    <mergeCell ref="A11:C11"/>
    <mergeCell ref="D11:J11"/>
    <mergeCell ref="K11:O11"/>
    <mergeCell ref="P11:T11"/>
    <mergeCell ref="U11:Y11"/>
    <mergeCell ref="A12:C12"/>
    <mergeCell ref="D12:J12"/>
    <mergeCell ref="K12:O12"/>
    <mergeCell ref="P12:T12"/>
    <mergeCell ref="U12:Y12"/>
    <mergeCell ref="A9:C9"/>
    <mergeCell ref="D9:J9"/>
    <mergeCell ref="K9:O9"/>
    <mergeCell ref="P9:T9"/>
    <mergeCell ref="U9:Y9"/>
    <mergeCell ref="A10:C10"/>
    <mergeCell ref="D10:J10"/>
    <mergeCell ref="K10:O10"/>
    <mergeCell ref="P10:T10"/>
    <mergeCell ref="U10:Y10"/>
    <mergeCell ref="A5:C5"/>
    <mergeCell ref="D5:F5"/>
    <mergeCell ref="G5:Y5"/>
    <mergeCell ref="A6:Y6"/>
    <mergeCell ref="A7:Y7"/>
    <mergeCell ref="A8:C8"/>
    <mergeCell ref="D8:J8"/>
    <mergeCell ref="K8:O8"/>
    <mergeCell ref="P8:T8"/>
    <mergeCell ref="U8:Y8"/>
    <mergeCell ref="A1:T1"/>
    <mergeCell ref="U1:Y1"/>
    <mergeCell ref="A2:C2"/>
    <mergeCell ref="D2:F2"/>
    <mergeCell ref="G2:J2"/>
    <mergeCell ref="K2:N2"/>
    <mergeCell ref="O2:Y3"/>
    <mergeCell ref="A3:F4"/>
    <mergeCell ref="G3:J3"/>
    <mergeCell ref="K3:N3"/>
    <mergeCell ref="G4:J4"/>
    <mergeCell ref="K4:N4"/>
    <mergeCell ref="P4:T4"/>
    <mergeCell ref="U4:Y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46B6-EE21-4E81-B890-A58EF49936A1}">
  <dimension ref="A1:T34"/>
  <sheetViews>
    <sheetView tabSelected="1" workbookViewId="0">
      <selection activeCell="O2" sqref="O2:O28"/>
    </sheetView>
  </sheetViews>
  <sheetFormatPr defaultRowHeight="12.75"/>
  <cols>
    <col min="1" max="1" width="11.33203125" bestFit="1" customWidth="1"/>
    <col min="2" max="2" width="13.6640625" customWidth="1"/>
    <col min="3" max="3" width="19.5" bestFit="1" customWidth="1"/>
    <col min="4" max="4" width="23.5" bestFit="1" customWidth="1"/>
    <col min="5" max="5" width="8" customWidth="1"/>
    <col min="6" max="6" width="10.1640625" bestFit="1" customWidth="1"/>
    <col min="7" max="7" width="12.6640625" customWidth="1"/>
    <col min="8" max="8" width="16.1640625" style="132" customWidth="1"/>
    <col min="9" max="9" width="12.6640625" customWidth="1"/>
    <col min="10" max="10" width="10.5" customWidth="1"/>
    <col min="11" max="11" width="6.83203125" customWidth="1"/>
    <col min="12" max="12" width="8" customWidth="1"/>
    <col min="13" max="13" width="12.6640625" customWidth="1"/>
    <col min="15" max="15" width="12.1640625" customWidth="1"/>
    <col min="16" max="16" width="14" customWidth="1"/>
    <col min="17" max="17" width="15.1640625" customWidth="1"/>
    <col min="18" max="18" width="12.6640625" customWidth="1"/>
    <col min="19" max="19" width="26.6640625" bestFit="1" customWidth="1"/>
  </cols>
  <sheetData>
    <row r="1" spans="1:20" ht="38.25" customHeight="1">
      <c r="A1" s="6" t="s">
        <v>15</v>
      </c>
      <c r="B1" s="6"/>
      <c r="C1" s="6" t="s">
        <v>16</v>
      </c>
      <c r="D1" s="6" t="s">
        <v>17</v>
      </c>
      <c r="E1" s="6" t="s">
        <v>18</v>
      </c>
      <c r="F1" s="7" t="s">
        <v>19</v>
      </c>
      <c r="G1" s="7" t="s">
        <v>20</v>
      </c>
      <c r="H1" s="128" t="s">
        <v>21</v>
      </c>
      <c r="I1" s="6" t="s">
        <v>23</v>
      </c>
      <c r="J1" s="7" t="s">
        <v>24</v>
      </c>
      <c r="K1" s="8" t="s">
        <v>25</v>
      </c>
      <c r="L1" s="9" t="s">
        <v>26</v>
      </c>
      <c r="M1" s="9" t="s">
        <v>27</v>
      </c>
      <c r="N1" s="6" t="s">
        <v>28</v>
      </c>
      <c r="O1" s="7" t="s">
        <v>29</v>
      </c>
      <c r="P1" s="8" t="s">
        <v>30</v>
      </c>
      <c r="Q1" s="8" t="s">
        <v>32</v>
      </c>
      <c r="R1" s="3"/>
    </row>
    <row r="2" spans="1:20" s="108" customFormat="1" ht="15" customHeight="1">
      <c r="A2" s="110">
        <v>110661324</v>
      </c>
      <c r="B2" s="110" t="str">
        <f>CONCATENATE(A2,3)</f>
        <v>1106613243</v>
      </c>
      <c r="C2" s="111" t="s">
        <v>107</v>
      </c>
      <c r="D2" s="111" t="s">
        <v>34</v>
      </c>
      <c r="E2" s="111" t="s">
        <v>49</v>
      </c>
      <c r="F2" s="112">
        <v>45658</v>
      </c>
      <c r="G2" s="112">
        <v>46022</v>
      </c>
      <c r="H2" s="129">
        <v>45992</v>
      </c>
      <c r="I2" s="122">
        <v>1458.59</v>
      </c>
      <c r="J2" s="114">
        <v>0.04</v>
      </c>
      <c r="K2" s="113">
        <v>58.34</v>
      </c>
      <c r="L2" s="113">
        <v>0</v>
      </c>
      <c r="M2" s="113">
        <v>0</v>
      </c>
      <c r="N2" s="113">
        <v>0</v>
      </c>
      <c r="O2" s="110"/>
      <c r="P2" s="113">
        <v>0</v>
      </c>
      <c r="Q2" s="113">
        <v>58.34</v>
      </c>
      <c r="R2" s="121">
        <v>8977234</v>
      </c>
      <c r="S2" s="108" t="s">
        <v>126</v>
      </c>
      <c r="T2" s="108" t="s">
        <v>132</v>
      </c>
    </row>
    <row r="3" spans="1:20" s="108" customFormat="1" ht="15" customHeight="1">
      <c r="A3" s="116">
        <v>110987700</v>
      </c>
      <c r="B3" s="110" t="str">
        <f>CONCATENATE(A3,3)</f>
        <v>1109877003</v>
      </c>
      <c r="C3" s="109" t="s">
        <v>110</v>
      </c>
      <c r="D3" s="109" t="s">
        <v>34</v>
      </c>
      <c r="E3" s="109" t="s">
        <v>49</v>
      </c>
      <c r="F3" s="117">
        <v>45658</v>
      </c>
      <c r="G3" s="117">
        <v>46022</v>
      </c>
      <c r="H3" s="130">
        <v>45992</v>
      </c>
      <c r="I3" s="120">
        <v>1108.54</v>
      </c>
      <c r="J3" s="119">
        <v>0.04</v>
      </c>
      <c r="K3" s="118">
        <v>44.34</v>
      </c>
      <c r="L3" s="118">
        <v>0</v>
      </c>
      <c r="M3" s="118">
        <v>0</v>
      </c>
      <c r="N3" s="118">
        <v>0</v>
      </c>
      <c r="O3" s="116"/>
      <c r="P3" s="118">
        <v>0</v>
      </c>
      <c r="Q3" s="118">
        <v>44.34</v>
      </c>
      <c r="R3" s="121">
        <v>8977234</v>
      </c>
      <c r="S3" s="108" t="s">
        <v>126</v>
      </c>
      <c r="T3" s="108" t="s">
        <v>132</v>
      </c>
    </row>
    <row r="4" spans="1:20" s="108" customFormat="1" ht="15" customHeight="1">
      <c r="A4" s="116">
        <v>111102853</v>
      </c>
      <c r="B4" s="110" t="str">
        <f>CONCATENATE(A4,3)</f>
        <v>1111028533</v>
      </c>
      <c r="C4" s="109" t="s">
        <v>113</v>
      </c>
      <c r="D4" s="109" t="s">
        <v>34</v>
      </c>
      <c r="E4" s="109" t="s">
        <v>49</v>
      </c>
      <c r="F4" s="117">
        <v>45658</v>
      </c>
      <c r="G4" s="117">
        <v>46022</v>
      </c>
      <c r="H4" s="130">
        <v>45992</v>
      </c>
      <c r="I4" s="118">
        <v>787.13</v>
      </c>
      <c r="J4" s="119">
        <v>0.04</v>
      </c>
      <c r="K4" s="118">
        <v>31.49</v>
      </c>
      <c r="L4" s="118">
        <v>0</v>
      </c>
      <c r="M4" s="118">
        <v>0</v>
      </c>
      <c r="N4" s="118">
        <v>0</v>
      </c>
      <c r="O4" s="116"/>
      <c r="P4" s="118">
        <v>0</v>
      </c>
      <c r="Q4" s="118">
        <v>31.49</v>
      </c>
      <c r="R4" s="121">
        <v>8977234</v>
      </c>
      <c r="S4" s="108" t="s">
        <v>126</v>
      </c>
      <c r="T4" s="108" t="s">
        <v>132</v>
      </c>
    </row>
    <row r="5" spans="1:20" s="108" customFormat="1" ht="15" customHeight="1">
      <c r="A5" s="116">
        <v>112342893</v>
      </c>
      <c r="B5" s="110" t="str">
        <f>CONCATENATE(A5,3)</f>
        <v>1123428933</v>
      </c>
      <c r="C5" s="109" t="s">
        <v>94</v>
      </c>
      <c r="D5" s="109" t="s">
        <v>39</v>
      </c>
      <c r="E5" s="109" t="s">
        <v>35</v>
      </c>
      <c r="F5" s="117">
        <v>45658</v>
      </c>
      <c r="G5" s="117">
        <v>46022</v>
      </c>
      <c r="H5" s="130">
        <v>45992</v>
      </c>
      <c r="I5" s="126">
        <v>1</v>
      </c>
      <c r="J5" s="119">
        <v>0</v>
      </c>
      <c r="K5" s="118">
        <v>0</v>
      </c>
      <c r="L5" s="118">
        <v>21</v>
      </c>
      <c r="M5" s="118">
        <v>0</v>
      </c>
      <c r="N5" s="118">
        <v>21</v>
      </c>
      <c r="O5" s="116"/>
      <c r="P5" s="118">
        <v>21</v>
      </c>
      <c r="Q5" s="118">
        <v>21</v>
      </c>
      <c r="R5" s="121">
        <v>8977234</v>
      </c>
      <c r="S5" s="108" t="s">
        <v>126</v>
      </c>
      <c r="T5" s="108" t="s">
        <v>134</v>
      </c>
    </row>
    <row r="6" spans="1:20" s="108" customFormat="1" ht="15" customHeight="1">
      <c r="A6" s="116">
        <v>109376890</v>
      </c>
      <c r="B6" s="110" t="str">
        <f>CONCATENATE(A6,3)</f>
        <v>1093768903</v>
      </c>
      <c r="C6" s="109" t="s">
        <v>104</v>
      </c>
      <c r="D6" s="109" t="s">
        <v>34</v>
      </c>
      <c r="E6" s="109" t="s">
        <v>35</v>
      </c>
      <c r="F6" s="117">
        <v>45658</v>
      </c>
      <c r="G6" s="117">
        <v>46022</v>
      </c>
      <c r="H6" s="130">
        <v>45992</v>
      </c>
      <c r="I6" s="126">
        <v>1</v>
      </c>
      <c r="J6" s="119">
        <v>0</v>
      </c>
      <c r="K6" s="118">
        <v>0</v>
      </c>
      <c r="L6" s="118">
        <v>21</v>
      </c>
      <c r="M6" s="118">
        <v>0</v>
      </c>
      <c r="N6" s="118">
        <v>21</v>
      </c>
      <c r="O6" s="116"/>
      <c r="P6" s="118">
        <v>21</v>
      </c>
      <c r="Q6" s="118">
        <v>21</v>
      </c>
      <c r="R6" s="121">
        <v>8977234</v>
      </c>
      <c r="S6" s="108" t="s">
        <v>126</v>
      </c>
      <c r="T6" s="108" t="s">
        <v>134</v>
      </c>
    </row>
    <row r="7" spans="1:20" s="108" customFormat="1" ht="15" customHeight="1">
      <c r="A7" s="116">
        <v>109408841</v>
      </c>
      <c r="B7" s="110" t="str">
        <f>CONCATENATE(A7,3)</f>
        <v>1094088413</v>
      </c>
      <c r="C7" s="109" t="s">
        <v>105</v>
      </c>
      <c r="D7" s="109" t="s">
        <v>34</v>
      </c>
      <c r="E7" s="109" t="s">
        <v>35</v>
      </c>
      <c r="F7" s="117">
        <v>45658</v>
      </c>
      <c r="G7" s="117">
        <v>46022</v>
      </c>
      <c r="H7" s="130">
        <v>45992</v>
      </c>
      <c r="I7" s="126">
        <v>1</v>
      </c>
      <c r="J7" s="119">
        <v>0</v>
      </c>
      <c r="K7" s="118">
        <v>0</v>
      </c>
      <c r="L7" s="118">
        <v>21</v>
      </c>
      <c r="M7" s="118">
        <v>0</v>
      </c>
      <c r="N7" s="118">
        <v>21</v>
      </c>
      <c r="O7" s="116"/>
      <c r="P7" s="118">
        <v>21</v>
      </c>
      <c r="Q7" s="118">
        <v>21</v>
      </c>
      <c r="R7" s="121">
        <v>8977234</v>
      </c>
      <c r="S7" s="108" t="s">
        <v>126</v>
      </c>
      <c r="T7" s="108" t="s">
        <v>134</v>
      </c>
    </row>
    <row r="8" spans="1:20" s="108" customFormat="1" ht="15" customHeight="1">
      <c r="A8" s="116">
        <v>109839671</v>
      </c>
      <c r="B8" s="110" t="str">
        <f>CONCATENATE(A8,3)</f>
        <v>1098396713</v>
      </c>
      <c r="C8" s="109" t="s">
        <v>106</v>
      </c>
      <c r="D8" s="109" t="s">
        <v>34</v>
      </c>
      <c r="E8" s="109" t="s">
        <v>35</v>
      </c>
      <c r="F8" s="117">
        <v>45658</v>
      </c>
      <c r="G8" s="117">
        <v>46022</v>
      </c>
      <c r="H8" s="130">
        <v>45992</v>
      </c>
      <c r="I8" s="126">
        <v>1</v>
      </c>
      <c r="J8" s="119">
        <v>0</v>
      </c>
      <c r="K8" s="118">
        <v>0</v>
      </c>
      <c r="L8" s="118">
        <v>21</v>
      </c>
      <c r="M8" s="118">
        <v>0</v>
      </c>
      <c r="N8" s="118">
        <v>21</v>
      </c>
      <c r="O8" s="116"/>
      <c r="P8" s="118">
        <v>21</v>
      </c>
      <c r="Q8" s="118">
        <v>21</v>
      </c>
      <c r="R8" s="121">
        <v>8977234</v>
      </c>
      <c r="S8" s="108" t="s">
        <v>126</v>
      </c>
      <c r="T8" s="108" t="s">
        <v>134</v>
      </c>
    </row>
    <row r="9" spans="1:20" s="108" customFormat="1" ht="15" customHeight="1">
      <c r="A9" s="116">
        <v>111849444</v>
      </c>
      <c r="B9" s="110" t="str">
        <f>CONCATENATE(A9,3)</f>
        <v>1118494443</v>
      </c>
      <c r="C9" s="109" t="s">
        <v>118</v>
      </c>
      <c r="D9" s="109" t="s">
        <v>34</v>
      </c>
      <c r="E9" s="109" t="s">
        <v>35</v>
      </c>
      <c r="F9" s="117">
        <v>45658</v>
      </c>
      <c r="G9" s="117">
        <v>46022</v>
      </c>
      <c r="H9" s="130">
        <v>45992</v>
      </c>
      <c r="I9" s="126">
        <v>1</v>
      </c>
      <c r="J9" s="119">
        <v>0</v>
      </c>
      <c r="K9" s="118">
        <v>0</v>
      </c>
      <c r="L9" s="118">
        <v>21</v>
      </c>
      <c r="M9" s="118">
        <v>0</v>
      </c>
      <c r="N9" s="118">
        <v>21</v>
      </c>
      <c r="O9" s="116"/>
      <c r="P9" s="118">
        <v>21</v>
      </c>
      <c r="Q9" s="118">
        <v>21</v>
      </c>
      <c r="R9" s="121">
        <v>8977234</v>
      </c>
      <c r="S9" s="108" t="s">
        <v>126</v>
      </c>
      <c r="T9" s="108" t="s">
        <v>134</v>
      </c>
    </row>
    <row r="10" spans="1:20" s="108" customFormat="1" ht="15" customHeight="1">
      <c r="A10" s="110">
        <v>112514281</v>
      </c>
      <c r="B10" s="110" t="str">
        <f>CONCATENATE(A10,3)</f>
        <v>1125142813</v>
      </c>
      <c r="C10" s="111" t="s">
        <v>95</v>
      </c>
      <c r="D10" s="111" t="s">
        <v>96</v>
      </c>
      <c r="E10" s="111" t="s">
        <v>53</v>
      </c>
      <c r="F10" s="112">
        <v>45778</v>
      </c>
      <c r="G10" s="112">
        <v>46022</v>
      </c>
      <c r="H10" s="129">
        <v>45962</v>
      </c>
      <c r="I10" s="126">
        <v>1</v>
      </c>
      <c r="J10" s="114">
        <v>0</v>
      </c>
      <c r="K10" s="113">
        <v>0</v>
      </c>
      <c r="L10" s="113">
        <v>24</v>
      </c>
      <c r="M10" s="113">
        <v>0</v>
      </c>
      <c r="N10" s="113">
        <v>24</v>
      </c>
      <c r="O10" s="110"/>
      <c r="P10" s="113">
        <v>96</v>
      </c>
      <c r="Q10" s="113">
        <v>24</v>
      </c>
      <c r="R10" s="121">
        <v>8977234</v>
      </c>
      <c r="S10" s="108" t="s">
        <v>126</v>
      </c>
      <c r="T10" s="108" t="s">
        <v>135</v>
      </c>
    </row>
    <row r="11" spans="1:20" s="108" customFormat="1" ht="15" customHeight="1">
      <c r="A11" s="123">
        <v>112555365</v>
      </c>
      <c r="B11" s="110" t="str">
        <f>CONCATENATE(A11,3)</f>
        <v>1125553653</v>
      </c>
      <c r="C11" s="124" t="s">
        <v>100</v>
      </c>
      <c r="D11" s="124" t="s">
        <v>34</v>
      </c>
      <c r="E11" s="124" t="s">
        <v>53</v>
      </c>
      <c r="F11" s="125">
        <v>45809</v>
      </c>
      <c r="G11" s="125">
        <v>46022</v>
      </c>
      <c r="H11" s="131">
        <v>45992</v>
      </c>
      <c r="I11" s="126">
        <v>1</v>
      </c>
      <c r="J11" s="127">
        <v>0</v>
      </c>
      <c r="K11" s="126">
        <v>0</v>
      </c>
      <c r="L11" s="126">
        <v>24</v>
      </c>
      <c r="M11" s="126">
        <v>0</v>
      </c>
      <c r="N11" s="126">
        <v>24</v>
      </c>
      <c r="O11" s="123"/>
      <c r="P11" s="126">
        <v>24</v>
      </c>
      <c r="Q11" s="126">
        <v>24</v>
      </c>
      <c r="R11" s="121">
        <v>8977234</v>
      </c>
      <c r="S11" s="108" t="s">
        <v>126</v>
      </c>
      <c r="T11" s="108" t="s">
        <v>135</v>
      </c>
    </row>
    <row r="12" spans="1:20" s="108" customFormat="1" ht="15" customHeight="1">
      <c r="A12" s="123">
        <v>109263551</v>
      </c>
      <c r="B12" s="110" t="str">
        <f>CONCATENATE(A12,3)</f>
        <v>1092635513</v>
      </c>
      <c r="C12" s="124" t="s">
        <v>102</v>
      </c>
      <c r="D12" s="124" t="s">
        <v>103</v>
      </c>
      <c r="E12" s="124" t="s">
        <v>53</v>
      </c>
      <c r="F12" s="125">
        <v>45658</v>
      </c>
      <c r="G12" s="125">
        <v>46022</v>
      </c>
      <c r="H12" s="131">
        <v>45992</v>
      </c>
      <c r="I12" s="126">
        <v>1</v>
      </c>
      <c r="J12" s="127">
        <v>0</v>
      </c>
      <c r="K12" s="126">
        <v>0</v>
      </c>
      <c r="L12" s="126">
        <v>24</v>
      </c>
      <c r="M12" s="126">
        <v>0</v>
      </c>
      <c r="N12" s="126">
        <v>24</v>
      </c>
      <c r="O12" s="123"/>
      <c r="P12" s="126">
        <v>24</v>
      </c>
      <c r="Q12" s="126">
        <v>24</v>
      </c>
      <c r="R12" s="121">
        <v>8977234</v>
      </c>
      <c r="S12" s="108" t="s">
        <v>126</v>
      </c>
      <c r="T12" s="108" t="s">
        <v>135</v>
      </c>
    </row>
    <row r="13" spans="1:20" s="108" customFormat="1" ht="15" customHeight="1">
      <c r="A13" s="116">
        <v>110913614</v>
      </c>
      <c r="B13" s="110" t="str">
        <f>CONCATENATE(A13,3)</f>
        <v>1109136143</v>
      </c>
      <c r="C13" s="109" t="s">
        <v>108</v>
      </c>
      <c r="D13" s="109" t="s">
        <v>109</v>
      </c>
      <c r="E13" s="109" t="s">
        <v>53</v>
      </c>
      <c r="F13" s="117">
        <v>45658</v>
      </c>
      <c r="G13" s="117">
        <v>46022</v>
      </c>
      <c r="H13" s="130">
        <v>45992</v>
      </c>
      <c r="I13" s="126">
        <v>1</v>
      </c>
      <c r="J13" s="119">
        <v>0</v>
      </c>
      <c r="K13" s="118">
        <v>0</v>
      </c>
      <c r="L13" s="118">
        <v>24</v>
      </c>
      <c r="M13" s="118">
        <v>0</v>
      </c>
      <c r="N13" s="118">
        <v>24</v>
      </c>
      <c r="O13" s="116"/>
      <c r="P13" s="118">
        <v>24</v>
      </c>
      <c r="Q13" s="118">
        <v>24</v>
      </c>
      <c r="R13" s="121">
        <v>8977234</v>
      </c>
      <c r="S13" s="108" t="s">
        <v>126</v>
      </c>
      <c r="T13" s="108" t="s">
        <v>135</v>
      </c>
    </row>
    <row r="14" spans="1:20" s="108" customFormat="1" ht="15" customHeight="1">
      <c r="A14" s="116">
        <v>111593834</v>
      </c>
      <c r="B14" s="110" t="str">
        <f>CONCATENATE(A14,3)</f>
        <v>1115938343</v>
      </c>
      <c r="C14" s="109" t="s">
        <v>116</v>
      </c>
      <c r="D14" s="109" t="s">
        <v>39</v>
      </c>
      <c r="E14" s="109" t="s">
        <v>53</v>
      </c>
      <c r="F14" s="117">
        <v>45658</v>
      </c>
      <c r="G14" s="117">
        <v>46022</v>
      </c>
      <c r="H14" s="130">
        <v>45992</v>
      </c>
      <c r="I14" s="126">
        <v>1</v>
      </c>
      <c r="J14" s="119">
        <v>0</v>
      </c>
      <c r="K14" s="118">
        <v>0</v>
      </c>
      <c r="L14" s="118">
        <v>24</v>
      </c>
      <c r="M14" s="118">
        <v>0</v>
      </c>
      <c r="N14" s="118">
        <v>24</v>
      </c>
      <c r="O14" s="116"/>
      <c r="P14" s="118">
        <v>24</v>
      </c>
      <c r="Q14" s="118">
        <v>24</v>
      </c>
      <c r="R14" s="121">
        <v>8977234</v>
      </c>
      <c r="S14" s="108" t="s">
        <v>126</v>
      </c>
      <c r="T14" s="108" t="s">
        <v>135</v>
      </c>
    </row>
    <row r="15" spans="1:20" s="108" customFormat="1" ht="15" customHeight="1">
      <c r="A15" s="123">
        <v>111828564</v>
      </c>
      <c r="B15" s="110" t="str">
        <f>CONCATENATE(A15,3)</f>
        <v>1118285643</v>
      </c>
      <c r="C15" s="124" t="s">
        <v>117</v>
      </c>
      <c r="D15" s="124" t="s">
        <v>34</v>
      </c>
      <c r="E15" s="124" t="s">
        <v>53</v>
      </c>
      <c r="F15" s="125">
        <v>45658</v>
      </c>
      <c r="G15" s="125">
        <v>46022</v>
      </c>
      <c r="H15" s="131">
        <v>45992</v>
      </c>
      <c r="I15" s="126">
        <v>1</v>
      </c>
      <c r="J15" s="127">
        <v>0</v>
      </c>
      <c r="K15" s="126">
        <v>0</v>
      </c>
      <c r="L15" s="126">
        <v>24</v>
      </c>
      <c r="M15" s="126">
        <v>0</v>
      </c>
      <c r="N15" s="126">
        <v>24</v>
      </c>
      <c r="O15" s="123"/>
      <c r="P15" s="126">
        <v>24</v>
      </c>
      <c r="Q15" s="126">
        <v>24</v>
      </c>
      <c r="R15" s="121">
        <v>8977234</v>
      </c>
      <c r="S15" s="108" t="s">
        <v>126</v>
      </c>
      <c r="T15" s="108" t="s">
        <v>135</v>
      </c>
    </row>
    <row r="16" spans="1:20" s="108" customFormat="1" ht="15" customHeight="1">
      <c r="A16" s="116">
        <v>111057159</v>
      </c>
      <c r="B16" s="110" t="str">
        <f>CONCATENATE(A16,3)</f>
        <v>1110571593</v>
      </c>
      <c r="C16" s="109" t="s">
        <v>111</v>
      </c>
      <c r="D16" s="109" t="s">
        <v>112</v>
      </c>
      <c r="E16" s="109" t="s">
        <v>53</v>
      </c>
      <c r="F16" s="117">
        <v>45658</v>
      </c>
      <c r="G16" s="117">
        <v>46022</v>
      </c>
      <c r="H16" s="130">
        <v>45992</v>
      </c>
      <c r="I16" s="126">
        <v>1</v>
      </c>
      <c r="J16" s="119">
        <v>0</v>
      </c>
      <c r="K16" s="118">
        <v>0</v>
      </c>
      <c r="L16" s="118">
        <v>25</v>
      </c>
      <c r="M16" s="118">
        <v>0</v>
      </c>
      <c r="N16" s="118">
        <v>25</v>
      </c>
      <c r="O16" s="116"/>
      <c r="P16" s="118">
        <v>25</v>
      </c>
      <c r="Q16" s="118">
        <v>25</v>
      </c>
      <c r="R16" s="121">
        <v>8977234</v>
      </c>
      <c r="S16" s="108" t="s">
        <v>126</v>
      </c>
      <c r="T16" s="108" t="s">
        <v>136</v>
      </c>
    </row>
    <row r="17" spans="1:20" s="108" customFormat="1" ht="15" customHeight="1">
      <c r="A17" s="116">
        <v>111241629</v>
      </c>
      <c r="B17" s="110" t="str">
        <f>CONCATENATE(A17,3)</f>
        <v>1112416293</v>
      </c>
      <c r="C17" s="109" t="s">
        <v>115</v>
      </c>
      <c r="D17" s="109" t="s">
        <v>39</v>
      </c>
      <c r="E17" s="109" t="s">
        <v>53</v>
      </c>
      <c r="F17" s="117">
        <v>45658</v>
      </c>
      <c r="G17" s="117">
        <v>46022</v>
      </c>
      <c r="H17" s="130">
        <v>45992</v>
      </c>
      <c r="I17" s="126">
        <v>1</v>
      </c>
      <c r="J17" s="119">
        <v>0</v>
      </c>
      <c r="K17" s="118">
        <v>0</v>
      </c>
      <c r="L17" s="118">
        <v>25</v>
      </c>
      <c r="M17" s="118">
        <v>0</v>
      </c>
      <c r="N17" s="118">
        <v>25</v>
      </c>
      <c r="O17" s="116"/>
      <c r="P17" s="118">
        <v>25</v>
      </c>
      <c r="Q17" s="118">
        <v>25</v>
      </c>
      <c r="R17" s="121">
        <v>8977234</v>
      </c>
      <c r="S17" s="108" t="s">
        <v>126</v>
      </c>
      <c r="T17" s="108" t="s">
        <v>136</v>
      </c>
    </row>
    <row r="18" spans="1:20" s="108" customFormat="1" ht="15" customHeight="1">
      <c r="A18" s="116">
        <v>112555327</v>
      </c>
      <c r="B18" s="110" t="str">
        <f>CONCATENATE(A18,3)</f>
        <v>1125553273</v>
      </c>
      <c r="C18" s="109" t="s">
        <v>99</v>
      </c>
      <c r="D18" s="109" t="s">
        <v>34</v>
      </c>
      <c r="E18" s="109" t="s">
        <v>53</v>
      </c>
      <c r="F18" s="117">
        <v>45809</v>
      </c>
      <c r="G18" s="117">
        <v>46022</v>
      </c>
      <c r="H18" s="130">
        <v>45992</v>
      </c>
      <c r="I18" s="126">
        <v>1</v>
      </c>
      <c r="J18" s="119">
        <v>0</v>
      </c>
      <c r="K18" s="118">
        <v>0</v>
      </c>
      <c r="L18" s="118">
        <v>24</v>
      </c>
      <c r="M18" s="118">
        <v>0</v>
      </c>
      <c r="N18" s="118">
        <v>24</v>
      </c>
      <c r="O18" s="116" t="s">
        <v>137</v>
      </c>
      <c r="P18" s="118">
        <v>48</v>
      </c>
      <c r="Q18" s="118">
        <v>48</v>
      </c>
      <c r="R18" s="121">
        <v>8977234</v>
      </c>
      <c r="S18" s="108" t="s">
        <v>126</v>
      </c>
      <c r="T18" s="108" t="s">
        <v>135</v>
      </c>
    </row>
    <row r="19" spans="1:20" s="108" customFormat="1" ht="15" customHeight="1">
      <c r="A19" s="116">
        <v>111110447</v>
      </c>
      <c r="B19" s="110" t="str">
        <f>CONCATENATE(A19,3)</f>
        <v>1111104473</v>
      </c>
      <c r="C19" s="109" t="s">
        <v>114</v>
      </c>
      <c r="D19" s="109" t="s">
        <v>34</v>
      </c>
      <c r="E19" s="109" t="s">
        <v>53</v>
      </c>
      <c r="F19" s="117">
        <v>45658</v>
      </c>
      <c r="G19" s="117">
        <v>46022</v>
      </c>
      <c r="H19" s="130">
        <v>45992</v>
      </c>
      <c r="I19" s="126">
        <v>1</v>
      </c>
      <c r="J19" s="119">
        <v>0</v>
      </c>
      <c r="K19" s="118">
        <v>0</v>
      </c>
      <c r="L19" s="118">
        <v>24</v>
      </c>
      <c r="M19" s="118">
        <v>0</v>
      </c>
      <c r="N19" s="118">
        <v>24</v>
      </c>
      <c r="O19" s="116" t="s">
        <v>137</v>
      </c>
      <c r="P19" s="118">
        <v>48</v>
      </c>
      <c r="Q19" s="118">
        <v>48</v>
      </c>
      <c r="R19" s="121">
        <v>8977234</v>
      </c>
      <c r="S19" s="108" t="s">
        <v>126</v>
      </c>
      <c r="T19" s="108" t="s">
        <v>135</v>
      </c>
    </row>
    <row r="20" spans="1:20" s="108" customFormat="1" ht="15" customHeight="1">
      <c r="A20" s="110">
        <v>112514281</v>
      </c>
      <c r="B20" s="110" t="str">
        <f>CONCATENATE(A20,3)</f>
        <v>1125142813</v>
      </c>
      <c r="C20" s="111" t="s">
        <v>95</v>
      </c>
      <c r="D20" s="111" t="s">
        <v>96</v>
      </c>
      <c r="E20" s="111" t="s">
        <v>53</v>
      </c>
      <c r="F20" s="112">
        <v>45778</v>
      </c>
      <c r="G20" s="112">
        <v>46022</v>
      </c>
      <c r="H20" s="129">
        <v>45992</v>
      </c>
      <c r="I20" s="126">
        <v>1</v>
      </c>
      <c r="J20" s="114">
        <v>0</v>
      </c>
      <c r="K20" s="113">
        <v>0</v>
      </c>
      <c r="L20" s="113">
        <v>24</v>
      </c>
      <c r="M20" s="113">
        <v>0</v>
      </c>
      <c r="N20" s="113">
        <v>24</v>
      </c>
      <c r="O20" s="110" t="s">
        <v>139</v>
      </c>
      <c r="P20" s="113">
        <v>96</v>
      </c>
      <c r="Q20" s="113">
        <v>96</v>
      </c>
      <c r="R20" s="121">
        <v>8977234</v>
      </c>
      <c r="S20" s="108" t="s">
        <v>126</v>
      </c>
      <c r="T20" s="108" t="s">
        <v>135</v>
      </c>
    </row>
    <row r="21" spans="1:20" s="108" customFormat="1" ht="15" customHeight="1">
      <c r="A21" s="116">
        <v>112821546</v>
      </c>
      <c r="B21" s="110" t="str">
        <f>CONCATENATE(A21,3)</f>
        <v>1128215463</v>
      </c>
      <c r="C21" s="109" t="s">
        <v>89</v>
      </c>
      <c r="D21" s="109" t="s">
        <v>90</v>
      </c>
      <c r="E21" s="109" t="s">
        <v>35</v>
      </c>
      <c r="F21" s="117">
        <v>45893</v>
      </c>
      <c r="G21" s="117">
        <v>46022</v>
      </c>
      <c r="H21" s="130">
        <v>45992</v>
      </c>
      <c r="I21" s="126">
        <v>1</v>
      </c>
      <c r="J21" s="119">
        <v>0</v>
      </c>
      <c r="K21" s="118">
        <v>0</v>
      </c>
      <c r="L21" s="118">
        <v>21</v>
      </c>
      <c r="M21" s="118">
        <v>0</v>
      </c>
      <c r="N21" s="118">
        <v>21</v>
      </c>
      <c r="O21" s="116"/>
      <c r="P21" s="118">
        <v>21</v>
      </c>
      <c r="Q21" s="118">
        <v>21</v>
      </c>
      <c r="R21" s="121">
        <v>21564088</v>
      </c>
      <c r="S21" s="108" t="s">
        <v>129</v>
      </c>
      <c r="T21" s="108" t="s">
        <v>134</v>
      </c>
    </row>
    <row r="22" spans="1:20" s="108" customFormat="1" ht="15" customHeight="1">
      <c r="A22" s="116">
        <v>112516764</v>
      </c>
      <c r="B22" s="110" t="str">
        <f>CONCATENATE(A22,3)</f>
        <v>1125167643</v>
      </c>
      <c r="C22" s="109" t="s">
        <v>88</v>
      </c>
      <c r="D22" s="109" t="s">
        <v>34</v>
      </c>
      <c r="E22" s="109" t="s">
        <v>35</v>
      </c>
      <c r="F22" s="117">
        <v>45893</v>
      </c>
      <c r="G22" s="117">
        <v>46022</v>
      </c>
      <c r="H22" s="130">
        <v>45992</v>
      </c>
      <c r="I22" s="126">
        <v>1</v>
      </c>
      <c r="J22" s="119">
        <v>0</v>
      </c>
      <c r="K22" s="118">
        <v>0</v>
      </c>
      <c r="L22" s="118">
        <v>21</v>
      </c>
      <c r="M22" s="118">
        <v>0</v>
      </c>
      <c r="N22" s="118">
        <v>21</v>
      </c>
      <c r="O22" s="116" t="s">
        <v>137</v>
      </c>
      <c r="P22" s="118">
        <v>42</v>
      </c>
      <c r="Q22" s="118">
        <v>42</v>
      </c>
      <c r="R22" s="121">
        <v>21564088</v>
      </c>
      <c r="S22" s="108" t="s">
        <v>129</v>
      </c>
      <c r="T22" s="108" t="s">
        <v>134</v>
      </c>
    </row>
    <row r="23" spans="1:20" s="108" customFormat="1" ht="15" customHeight="1">
      <c r="A23" s="116">
        <v>110700972</v>
      </c>
      <c r="B23" s="110" t="str">
        <f>CONCATENATE(A23,3)</f>
        <v>1107009723</v>
      </c>
      <c r="C23" s="109" t="s">
        <v>38</v>
      </c>
      <c r="D23" s="109" t="s">
        <v>39</v>
      </c>
      <c r="E23" s="109" t="s">
        <v>40</v>
      </c>
      <c r="F23" s="117">
        <v>45658</v>
      </c>
      <c r="G23" s="117">
        <v>46022</v>
      </c>
      <c r="H23" s="130">
        <v>45992</v>
      </c>
      <c r="I23" s="126">
        <v>1</v>
      </c>
      <c r="J23" s="119">
        <v>0</v>
      </c>
      <c r="K23" s="118">
        <v>0</v>
      </c>
      <c r="L23" s="118">
        <v>20</v>
      </c>
      <c r="M23" s="118">
        <v>0</v>
      </c>
      <c r="N23" s="118">
        <v>20</v>
      </c>
      <c r="O23" s="116"/>
      <c r="P23" s="118">
        <v>20</v>
      </c>
      <c r="Q23" s="118">
        <v>20</v>
      </c>
      <c r="R23" s="115">
        <v>17528908</v>
      </c>
      <c r="S23" s="108" t="s">
        <v>128</v>
      </c>
      <c r="T23" s="108" t="s">
        <v>133</v>
      </c>
    </row>
    <row r="24" spans="1:20" s="108" customFormat="1" ht="15" customHeight="1">
      <c r="A24" s="116">
        <v>110809733</v>
      </c>
      <c r="B24" s="110" t="str">
        <f>CONCATENATE(A24,3)</f>
        <v>1108097333</v>
      </c>
      <c r="C24" s="109" t="s">
        <v>42</v>
      </c>
      <c r="D24" s="109" t="s">
        <v>39</v>
      </c>
      <c r="E24" s="109" t="s">
        <v>40</v>
      </c>
      <c r="F24" s="117">
        <v>45658</v>
      </c>
      <c r="G24" s="117">
        <v>46022</v>
      </c>
      <c r="H24" s="130">
        <v>45992</v>
      </c>
      <c r="I24" s="126">
        <v>1</v>
      </c>
      <c r="J24" s="119">
        <v>0</v>
      </c>
      <c r="K24" s="118">
        <v>0</v>
      </c>
      <c r="L24" s="118">
        <v>20</v>
      </c>
      <c r="M24" s="118">
        <v>0</v>
      </c>
      <c r="N24" s="118">
        <v>20</v>
      </c>
      <c r="O24" s="116"/>
      <c r="P24" s="118">
        <v>20</v>
      </c>
      <c r="Q24" s="118">
        <v>20</v>
      </c>
      <c r="R24" s="115">
        <v>17528908</v>
      </c>
      <c r="S24" s="108" t="s">
        <v>128</v>
      </c>
      <c r="T24" s="108" t="s">
        <v>133</v>
      </c>
    </row>
    <row r="25" spans="1:20" s="108" customFormat="1" ht="15" customHeight="1">
      <c r="A25" s="123">
        <v>106737758</v>
      </c>
      <c r="B25" s="110" t="str">
        <f>CONCATENATE(A25,3)</f>
        <v>1067377583</v>
      </c>
      <c r="C25" s="124" t="s">
        <v>33</v>
      </c>
      <c r="D25" s="124" t="s">
        <v>34</v>
      </c>
      <c r="E25" s="124" t="s">
        <v>35</v>
      </c>
      <c r="F25" s="125">
        <v>45658</v>
      </c>
      <c r="G25" s="125">
        <v>46022</v>
      </c>
      <c r="H25" s="131">
        <v>45992</v>
      </c>
      <c r="I25" s="126">
        <v>1</v>
      </c>
      <c r="J25" s="127">
        <v>0</v>
      </c>
      <c r="K25" s="126">
        <v>0</v>
      </c>
      <c r="L25" s="126">
        <v>21</v>
      </c>
      <c r="M25" s="126">
        <v>0</v>
      </c>
      <c r="N25" s="126">
        <v>21</v>
      </c>
      <c r="O25" s="123"/>
      <c r="P25" s="126">
        <v>21</v>
      </c>
      <c r="Q25" s="126">
        <v>21</v>
      </c>
      <c r="R25" s="115">
        <v>17528908</v>
      </c>
      <c r="S25" s="108" t="s">
        <v>128</v>
      </c>
      <c r="T25" s="108" t="s">
        <v>134</v>
      </c>
    </row>
    <row r="26" spans="1:20" s="108" customFormat="1" ht="15" customHeight="1">
      <c r="A26" s="116">
        <v>110701159</v>
      </c>
      <c r="B26" s="110" t="str">
        <f>CONCATENATE(A26,3)</f>
        <v>1107011593</v>
      </c>
      <c r="C26" s="109" t="s">
        <v>41</v>
      </c>
      <c r="D26" s="109" t="s">
        <v>39</v>
      </c>
      <c r="E26" s="109" t="s">
        <v>40</v>
      </c>
      <c r="F26" s="117">
        <v>45658</v>
      </c>
      <c r="G26" s="117">
        <v>46022</v>
      </c>
      <c r="H26" s="130">
        <v>45992</v>
      </c>
      <c r="I26" s="126">
        <v>1</v>
      </c>
      <c r="J26" s="119">
        <v>0</v>
      </c>
      <c r="K26" s="118">
        <v>0</v>
      </c>
      <c r="L26" s="118">
        <v>20</v>
      </c>
      <c r="M26" s="118">
        <v>0</v>
      </c>
      <c r="N26" s="118">
        <v>20</v>
      </c>
      <c r="O26" s="116" t="s">
        <v>137</v>
      </c>
      <c r="P26" s="118">
        <v>40</v>
      </c>
      <c r="Q26" s="118">
        <v>40</v>
      </c>
      <c r="R26" s="115">
        <v>17528908</v>
      </c>
      <c r="S26" s="108" t="s">
        <v>128</v>
      </c>
      <c r="T26" s="108" t="s">
        <v>133</v>
      </c>
    </row>
    <row r="27" spans="1:20" s="108" customFormat="1" ht="15" customHeight="1">
      <c r="A27" s="116">
        <v>112319621</v>
      </c>
      <c r="B27" s="110" t="str">
        <f>CONCATENATE(A27,3)</f>
        <v>1123196213</v>
      </c>
      <c r="C27" s="109" t="s">
        <v>43</v>
      </c>
      <c r="D27" s="109" t="s">
        <v>39</v>
      </c>
      <c r="E27" s="109" t="s">
        <v>40</v>
      </c>
      <c r="F27" s="117">
        <v>45658</v>
      </c>
      <c r="G27" s="117">
        <v>46022</v>
      </c>
      <c r="H27" s="130">
        <v>45992</v>
      </c>
      <c r="I27" s="126">
        <v>1</v>
      </c>
      <c r="J27" s="119">
        <v>0</v>
      </c>
      <c r="K27" s="118">
        <v>0</v>
      </c>
      <c r="L27" s="118">
        <v>20</v>
      </c>
      <c r="M27" s="118">
        <v>0</v>
      </c>
      <c r="N27" s="118">
        <v>20</v>
      </c>
      <c r="O27" s="116" t="s">
        <v>137</v>
      </c>
      <c r="P27" s="118">
        <v>40</v>
      </c>
      <c r="Q27" s="118">
        <v>40</v>
      </c>
      <c r="R27" s="115">
        <v>17528908</v>
      </c>
      <c r="S27" s="108" t="s">
        <v>128</v>
      </c>
      <c r="T27" s="108" t="s">
        <v>133</v>
      </c>
    </row>
    <row r="28" spans="1:20" s="108" customFormat="1" ht="15" customHeight="1">
      <c r="A28" s="123">
        <v>110884571</v>
      </c>
      <c r="B28" s="110" t="str">
        <f>CONCATENATE(A28,3)</f>
        <v>1108845713</v>
      </c>
      <c r="C28" s="124" t="s">
        <v>122</v>
      </c>
      <c r="D28" s="124" t="s">
        <v>39</v>
      </c>
      <c r="E28" s="124" t="s">
        <v>40</v>
      </c>
      <c r="F28" s="125">
        <v>45658</v>
      </c>
      <c r="G28" s="125">
        <v>46022</v>
      </c>
      <c r="H28" s="131">
        <v>45992</v>
      </c>
      <c r="I28" s="126">
        <v>1</v>
      </c>
      <c r="J28" s="127">
        <v>0</v>
      </c>
      <c r="K28" s="126">
        <v>0</v>
      </c>
      <c r="L28" s="126">
        <v>20</v>
      </c>
      <c r="M28" s="126">
        <v>0</v>
      </c>
      <c r="N28" s="126">
        <v>20</v>
      </c>
      <c r="O28" s="123" t="s">
        <v>138</v>
      </c>
      <c r="P28" s="126">
        <v>60</v>
      </c>
      <c r="Q28" s="126">
        <v>60</v>
      </c>
      <c r="R28" s="115">
        <v>9079571</v>
      </c>
      <c r="S28" s="108" t="s">
        <v>131</v>
      </c>
      <c r="T28" s="108" t="s">
        <v>133</v>
      </c>
    </row>
    <row r="29" spans="1:20" s="108" customFormat="1" ht="15" customHeight="1">
      <c r="A29" s="116">
        <v>112870011</v>
      </c>
      <c r="B29" s="110" t="str">
        <f>CONCATENATE(A29,3)</f>
        <v>1128700113</v>
      </c>
      <c r="C29" s="109" t="s">
        <v>74</v>
      </c>
      <c r="D29" s="109" t="s">
        <v>52</v>
      </c>
      <c r="E29" s="109" t="s">
        <v>53</v>
      </c>
      <c r="F29" s="117">
        <v>45962</v>
      </c>
      <c r="G29" s="117">
        <v>46022</v>
      </c>
      <c r="H29" s="130">
        <v>45992</v>
      </c>
      <c r="I29" s="126">
        <v>1</v>
      </c>
      <c r="J29" s="119">
        <v>0</v>
      </c>
      <c r="K29" s="118">
        <v>0</v>
      </c>
      <c r="L29" s="118">
        <v>24</v>
      </c>
      <c r="M29" s="118">
        <v>0</v>
      </c>
      <c r="N29" s="118">
        <v>24</v>
      </c>
      <c r="O29" s="116"/>
      <c r="P29" s="118">
        <v>24</v>
      </c>
      <c r="Q29" s="118">
        <v>24</v>
      </c>
      <c r="R29" s="121">
        <v>20724564</v>
      </c>
      <c r="S29" s="108" t="s">
        <v>127</v>
      </c>
      <c r="T29" s="108" t="s">
        <v>135</v>
      </c>
    </row>
    <row r="30" spans="1:20" s="108" customFormat="1" ht="15" customHeight="1">
      <c r="A30" s="116">
        <v>112876247</v>
      </c>
      <c r="B30" s="110" t="str">
        <f>CONCATENATE(A30,3)</f>
        <v>1128762473</v>
      </c>
      <c r="C30" s="109" t="s">
        <v>75</v>
      </c>
      <c r="D30" s="109" t="s">
        <v>76</v>
      </c>
      <c r="E30" s="109" t="s">
        <v>53</v>
      </c>
      <c r="F30" s="117">
        <v>45962</v>
      </c>
      <c r="G30" s="117">
        <v>46022</v>
      </c>
      <c r="H30" s="130">
        <v>45992</v>
      </c>
      <c r="I30" s="126">
        <v>1</v>
      </c>
      <c r="J30" s="119">
        <v>0</v>
      </c>
      <c r="K30" s="118">
        <v>0</v>
      </c>
      <c r="L30" s="118">
        <v>24</v>
      </c>
      <c r="M30" s="118">
        <v>0</v>
      </c>
      <c r="N30" s="118">
        <v>24</v>
      </c>
      <c r="O30" s="116"/>
      <c r="P30" s="118">
        <v>24</v>
      </c>
      <c r="Q30" s="118">
        <v>24</v>
      </c>
      <c r="R30" s="121">
        <v>20724564</v>
      </c>
      <c r="S30" s="108" t="s">
        <v>127</v>
      </c>
      <c r="T30" s="108" t="s">
        <v>135</v>
      </c>
    </row>
    <row r="31" spans="1:20" s="108" customFormat="1" ht="15" customHeight="1">
      <c r="A31" s="123">
        <v>112180553</v>
      </c>
      <c r="B31" s="110" t="str">
        <f>CONCATENATE(A31,3)</f>
        <v>1121805533</v>
      </c>
      <c r="C31" s="124" t="s">
        <v>68</v>
      </c>
      <c r="D31" s="124" t="s">
        <v>69</v>
      </c>
      <c r="E31" s="124" t="s">
        <v>70</v>
      </c>
      <c r="F31" s="125">
        <v>45658</v>
      </c>
      <c r="G31" s="125">
        <v>46022</v>
      </c>
      <c r="H31" s="131">
        <v>45992</v>
      </c>
      <c r="I31" s="126">
        <v>1</v>
      </c>
      <c r="J31" s="127">
        <v>0</v>
      </c>
      <c r="K31" s="126">
        <v>0</v>
      </c>
      <c r="L31" s="126">
        <v>20</v>
      </c>
      <c r="M31" s="126">
        <v>0</v>
      </c>
      <c r="N31" s="126">
        <v>20</v>
      </c>
      <c r="O31" s="123"/>
      <c r="P31" s="126">
        <v>20</v>
      </c>
      <c r="Q31" s="126">
        <v>20</v>
      </c>
      <c r="R31" s="115">
        <v>19681796</v>
      </c>
      <c r="S31" s="108" t="s">
        <v>130</v>
      </c>
      <c r="T31" s="108" t="s">
        <v>133</v>
      </c>
    </row>
    <row r="32" spans="1:20" s="108" customFormat="1" ht="15" customHeight="1">
      <c r="A32" s="123">
        <v>112381370</v>
      </c>
      <c r="B32" s="110" t="str">
        <f>CONCATENATE(A32,3)</f>
        <v>1123813703</v>
      </c>
      <c r="C32" s="124" t="s">
        <v>48</v>
      </c>
      <c r="D32" s="124" t="s">
        <v>34</v>
      </c>
      <c r="E32" s="124" t="s">
        <v>49</v>
      </c>
      <c r="F32" s="125">
        <v>45658</v>
      </c>
      <c r="G32" s="125">
        <v>46022</v>
      </c>
      <c r="H32" s="131">
        <v>45992</v>
      </c>
      <c r="I32" s="126">
        <v>404.37</v>
      </c>
      <c r="J32" s="127">
        <v>0.04</v>
      </c>
      <c r="K32" s="126">
        <v>16.170000000000002</v>
      </c>
      <c r="L32" s="126">
        <v>0</v>
      </c>
      <c r="M32" s="126">
        <v>0</v>
      </c>
      <c r="N32" s="126">
        <v>0</v>
      </c>
      <c r="O32" s="123"/>
      <c r="P32" s="126">
        <v>0</v>
      </c>
      <c r="Q32" s="126">
        <v>16.170000000000002</v>
      </c>
      <c r="R32" s="121">
        <v>18754354</v>
      </c>
      <c r="S32" s="108" t="s">
        <v>125</v>
      </c>
      <c r="T32" s="108" t="s">
        <v>132</v>
      </c>
    </row>
    <row r="33" spans="1:20" s="108" customFormat="1" ht="15" customHeight="1">
      <c r="A33" s="116">
        <v>112381384</v>
      </c>
      <c r="B33" s="110" t="str">
        <f>CONCATENATE(A33,3)</f>
        <v>1123813843</v>
      </c>
      <c r="C33" s="109" t="s">
        <v>50</v>
      </c>
      <c r="D33" s="109" t="s">
        <v>34</v>
      </c>
      <c r="E33" s="109" t="s">
        <v>49</v>
      </c>
      <c r="F33" s="117">
        <v>45658</v>
      </c>
      <c r="G33" s="117">
        <v>46022</v>
      </c>
      <c r="H33" s="130">
        <v>45992</v>
      </c>
      <c r="I33" s="120">
        <v>1139.02</v>
      </c>
      <c r="J33" s="119">
        <v>0.04</v>
      </c>
      <c r="K33" s="118">
        <v>45.56</v>
      </c>
      <c r="L33" s="118">
        <v>0</v>
      </c>
      <c r="M33" s="118">
        <v>0</v>
      </c>
      <c r="N33" s="118">
        <v>0</v>
      </c>
      <c r="O33" s="116"/>
      <c r="P33" s="118">
        <v>0</v>
      </c>
      <c r="Q33" s="118">
        <v>45.56</v>
      </c>
      <c r="R33" s="121">
        <v>18754354</v>
      </c>
      <c r="S33" s="108" t="s">
        <v>125</v>
      </c>
      <c r="T33" s="108" t="s">
        <v>132</v>
      </c>
    </row>
    <row r="34" spans="1:20" s="108" customFormat="1" ht="15" customHeight="1">
      <c r="A34" s="110">
        <v>112419154</v>
      </c>
      <c r="B34" s="110" t="str">
        <f>CONCATENATE(A34,3)</f>
        <v>1124191543</v>
      </c>
      <c r="C34" s="111" t="s">
        <v>51</v>
      </c>
      <c r="D34" s="111" t="s">
        <v>52</v>
      </c>
      <c r="E34" s="111" t="s">
        <v>53</v>
      </c>
      <c r="F34" s="112">
        <v>45689</v>
      </c>
      <c r="G34" s="112">
        <v>46022</v>
      </c>
      <c r="H34" s="129">
        <v>45992</v>
      </c>
      <c r="I34" s="126">
        <v>1</v>
      </c>
      <c r="J34" s="114">
        <v>0</v>
      </c>
      <c r="K34" s="113">
        <v>0</v>
      </c>
      <c r="L34" s="113">
        <v>25</v>
      </c>
      <c r="M34" s="113">
        <v>0</v>
      </c>
      <c r="N34" s="113">
        <v>25</v>
      </c>
      <c r="O34" s="110"/>
      <c r="P34" s="113">
        <v>25</v>
      </c>
      <c r="Q34" s="113">
        <v>25</v>
      </c>
      <c r="R34" s="121">
        <v>18754354</v>
      </c>
      <c r="S34" s="108" t="s">
        <v>125</v>
      </c>
      <c r="T34" s="108" t="s">
        <v>136</v>
      </c>
    </row>
  </sheetData>
  <sortState xmlns:xlrd2="http://schemas.microsoft.com/office/spreadsheetml/2017/richdata2" ref="A2:Y34">
    <sortCondition ref="S2:S3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2025-12-23T14:29:48Z</dcterms:created>
  <dcterms:modified xsi:type="dcterms:W3CDTF">2025-12-26T22:04:46Z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2025-12-12T00:00:00Z</vt:filetime>
  </property>
  <property fmtid="{D5CDD505-2E9C-101B-9397-08002B2CF9AE}" pid="3" name="Creator">
    <vt:lpwstr>JasperReports Library version 6.21.3-4a3078d20785ebe464f18037d738d12fc98c13cf</vt:lpwstr>
  </property>
  <property fmtid="{D5CDD505-2E9C-101B-9397-08002B2CF9AE}" pid="4" name="Producer">
    <vt:lpwstr>OpenPDF 2.0.3</vt:lpwstr>
  </property>
  <property fmtid="{D5CDD505-2E9C-101B-9397-08002B2CF9AE}" pid="5" name="LastSaved">
    <vt:filetime>2025-12-12T00:00:00Z</vt:filetime>
  </property>
</Properties>
</file>