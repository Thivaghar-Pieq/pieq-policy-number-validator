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2025\caresource website\Caresource 06-05-25\"/>
    </mc:Choice>
  </mc:AlternateContent>
  <xr:revisionPtr revIDLastSave="0" documentId="13_ncr:1_{1036F9CF-7821-49CB-9F3A-AAD5DDBF58F5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Table 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S3" i="2" l="1"/>
  <c r="S4" i="2"/>
  <c r="S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2" i="2"/>
</calcChain>
</file>

<file path=xl/sharedStrings.xml><?xml version="1.0" encoding="utf-8"?>
<sst xmlns="http://schemas.openxmlformats.org/spreadsheetml/2006/main" count="489" uniqueCount="125">
  <si>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</si>
  <si>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Amount
</t>
    </r>
    <r>
      <rPr>
        <sz val="9"/>
        <rFont val="Arial"/>
        <family val="2"/>
      </rPr>
      <t xml:space="preserve">$234.00
</t>
    </r>
    <r>
      <rPr>
        <sz val="9"/>
        <rFont val="Arial"/>
        <family val="2"/>
      </rPr>
      <t>$678.17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</si>
  <si>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"/>
        <family val="2"/>
      </rPr>
      <t>New Enrollment Commissions Renewal Commissions</t>
    </r>
  </si>
  <si>
    <r>
      <rPr>
        <b/>
        <sz val="9"/>
        <rFont val="Arial"/>
        <family val="2"/>
      </rPr>
      <t>Regular Commissions Sub-Totals:                                                      $912.17</t>
    </r>
  </si>
  <si>
    <r>
      <rPr>
        <b/>
        <sz val="9"/>
        <rFont val="Arial"/>
        <family val="2"/>
      </rPr>
      <t xml:space="preserve">Total Commissions:                                                                                                   </t>
    </r>
    <r>
      <rPr>
        <b/>
        <vertAlign val="subscript"/>
        <sz val="9"/>
        <rFont val="Arial"/>
        <family val="2"/>
      </rPr>
      <t>$912.17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</si>
  <si>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</si>
  <si>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</si>
  <si>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</si>
  <si>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</si>
  <si>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</si>
  <si>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</si>
  <si>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</si>
  <si>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</si>
  <si>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10"/>
        <rFont val="Arial"/>
        <family val="2"/>
      </rPr>
      <t>Writing Producer                           17528908                                Inskipt, Deborah Lee</t>
    </r>
  </si>
  <si>
    <r>
      <rPr>
        <b/>
        <sz val="10"/>
        <rFont val="Arial"/>
        <family val="2"/>
      </rPr>
      <t>New Enrollment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</si>
  <si>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</si>
  <si>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</si>
  <si>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</si>
  <si>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 xml:space="preserve">Effective
</t>
    </r>
    <r>
      <rPr>
        <b/>
        <sz val="9"/>
        <rFont val="Arial"/>
        <family val="2"/>
      </rPr>
      <t>State        Date</t>
    </r>
  </si>
  <si>
    <r>
      <rPr>
        <b/>
        <sz val="9"/>
        <rFont val="Arial"/>
        <family val="2"/>
      </rPr>
      <t>Termination Date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</si>
  <si>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</si>
  <si>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>Retro ?</t>
    </r>
  </si>
  <si>
    <r>
      <rPr>
        <b/>
        <sz val="9"/>
        <rFont val="Arial"/>
        <family val="2"/>
      </rPr>
      <t>Premium</t>
    </r>
  </si>
  <si>
    <r>
      <rPr>
        <b/>
        <sz val="9"/>
        <rFont val="Arial"/>
        <family val="2"/>
      </rPr>
      <t>% of Premium</t>
    </r>
  </si>
  <si>
    <r>
      <rPr>
        <b/>
        <sz val="9"/>
        <rFont val="Arial"/>
        <family val="2"/>
      </rPr>
      <t>Commission Based on Premium</t>
    </r>
  </si>
  <si>
    <r>
      <rPr>
        <b/>
        <sz val="9"/>
        <rFont val="Arial"/>
        <family val="2"/>
      </rPr>
      <t xml:space="preserve">Base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</si>
  <si>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 xml:space="preserve">Enhanced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</si>
  <si>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</si>
  <si>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Member Count</t>
    </r>
  </si>
  <si>
    <r>
      <rPr>
        <b/>
        <sz val="9"/>
        <rFont val="Arial"/>
        <family val="2"/>
      </rPr>
      <t>Commission Based on Rate</t>
    </r>
  </si>
  <si>
    <r>
      <rPr>
        <b/>
        <sz val="9"/>
        <rFont val="Arial"/>
        <family val="2"/>
      </rPr>
      <t>Override</t>
    </r>
  </si>
  <si>
    <r>
      <rPr>
        <b/>
        <sz val="9"/>
        <rFont val="Arial"/>
        <family val="2"/>
      </rPr>
      <t>Total Commission Paid</t>
    </r>
  </si>
  <si>
    <r>
      <rPr>
        <sz val="8"/>
        <rFont val="Arial"/>
        <family val="2"/>
      </rPr>
      <t>Williams, Carla</t>
    </r>
  </si>
  <si>
    <r>
      <rPr>
        <sz val="8"/>
        <rFont val="Arial"/>
        <family val="2"/>
      </rPr>
      <t>Low Premium Silver 6000</t>
    </r>
  </si>
  <si>
    <r>
      <rPr>
        <vertAlign val="superscript"/>
        <sz val="8"/>
        <rFont val="Arial"/>
        <family val="2"/>
      </rPr>
      <t xml:space="preserve">OH       </t>
    </r>
    <r>
      <rPr>
        <sz val="8"/>
        <rFont val="Arial"/>
        <family val="2"/>
      </rPr>
      <t>01/01/2025</t>
    </r>
  </si>
  <si>
    <r>
      <rPr>
        <sz val="8"/>
        <rFont val="Arial"/>
        <family val="2"/>
      </rPr>
      <t>06/2025</t>
    </r>
  </si>
  <si>
    <r>
      <rPr>
        <sz val="8"/>
        <rFont val="Arial"/>
        <family val="2"/>
      </rPr>
      <t>N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</si>
  <si>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 $ 21.00</t>
    </r>
  </si>
  <si>
    <r>
      <rPr>
        <b/>
        <sz val="10"/>
        <rFont val="Arial"/>
        <family val="2"/>
      </rPr>
      <t>Renewals</t>
    </r>
  </si>
  <si>
    <r>
      <rPr>
        <b/>
        <sz val="9"/>
        <rFont val="Arial"/>
        <family val="2"/>
      </rPr>
      <t>Effective</t>
    </r>
  </si>
  <si>
    <r>
      <rPr>
        <b/>
        <sz val="9"/>
        <rFont val="Arial"/>
        <family val="2"/>
      </rPr>
      <t>Termination</t>
    </r>
  </si>
  <si>
    <r>
      <rPr>
        <b/>
        <sz val="9"/>
        <rFont val="Arial"/>
        <family val="2"/>
      </rPr>
      <t>% of</t>
    </r>
  </si>
  <si>
    <r>
      <rPr>
        <b/>
        <sz val="9"/>
        <rFont val="Arial"/>
        <family val="2"/>
      </rPr>
      <t>Commission Based on</t>
    </r>
  </si>
  <si>
    <r>
      <rPr>
        <b/>
        <sz val="9"/>
        <rFont val="Arial"/>
        <family val="2"/>
      </rPr>
      <t>Base PMPM</t>
    </r>
  </si>
  <si>
    <r>
      <rPr>
        <b/>
        <sz val="9"/>
        <rFont val="Arial"/>
        <family val="2"/>
      </rPr>
      <t>Enhanced PMPM</t>
    </r>
  </si>
  <si>
    <r>
      <rPr>
        <b/>
        <sz val="9"/>
        <rFont val="Arial"/>
        <family val="2"/>
      </rPr>
      <t>Member</t>
    </r>
  </si>
  <si>
    <r>
      <rPr>
        <b/>
        <sz val="9"/>
        <rFont val="Arial"/>
        <family val="2"/>
      </rPr>
      <t>Total Commission</t>
    </r>
  </si>
  <si>
    <r>
      <rPr>
        <b/>
        <sz val="9"/>
        <rFont val="Arial"/>
        <family val="2"/>
      </rPr>
      <t>State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</si>
  <si>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</si>
  <si>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Count</t>
    </r>
  </si>
  <si>
    <r>
      <rPr>
        <b/>
        <sz val="9"/>
        <rFont val="Arial"/>
        <family val="2"/>
      </rPr>
      <t>Paid</t>
    </r>
  </si>
  <si>
    <r>
      <rPr>
        <sz val="8"/>
        <rFont val="Arial"/>
        <family val="2"/>
      </rPr>
      <t>Bumgardner, Larry</t>
    </r>
  </si>
  <si>
    <r>
      <rPr>
        <sz val="8"/>
        <rFont val="Arial"/>
        <family val="2"/>
      </rPr>
      <t>Bronze First 7500 $25</t>
    </r>
  </si>
  <si>
    <r>
      <rPr>
        <sz val="8"/>
        <rFont val="Arial"/>
        <family val="2"/>
      </rPr>
      <t>OH</t>
    </r>
  </si>
  <si>
    <r>
      <rPr>
        <sz val="8"/>
        <rFont val="Arial"/>
        <family val="2"/>
      </rPr>
      <t>Melvin, Tanner A.</t>
    </r>
  </si>
  <si>
    <r>
      <rPr>
        <sz val="8"/>
        <rFont val="Arial"/>
        <family val="2"/>
      </rPr>
      <t>Low Premium Silver 1000</t>
    </r>
  </si>
  <si>
    <r>
      <rPr>
        <sz val="8"/>
        <rFont val="Arial"/>
        <family val="2"/>
      </rPr>
      <t>WV</t>
    </r>
  </si>
  <si>
    <r>
      <rPr>
        <sz val="8"/>
        <rFont val="Arial"/>
        <family val="2"/>
      </rPr>
      <t>Melvin, Todd</t>
    </r>
  </si>
  <si>
    <r>
      <rPr>
        <sz val="8"/>
        <rFont val="Arial"/>
        <family val="2"/>
      </rPr>
      <t>Henry, Lori</t>
    </r>
  </si>
  <si>
    <r>
      <rPr>
        <sz val="8"/>
        <rFont val="Arial"/>
        <family val="2"/>
      </rPr>
      <t>Stephan, Alana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</si>
  <si>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$ 141.00</t>
    </r>
  </si>
  <si>
    <r>
      <rPr>
        <b/>
        <sz val="9"/>
        <rFont val="Arial"/>
        <family val="2"/>
      </rPr>
      <t>Total for Writing Producer       17528908        Inskipt, Deborah Lee                                                                                                                                                                                                                                $ 162.00</t>
    </r>
  </si>
  <si>
    <r>
      <rPr>
        <b/>
        <sz val="10"/>
        <rFont val="Arial"/>
        <family val="2"/>
      </rPr>
      <t>Writing Producer                           18710070                                Mccorkle, Michelle</t>
    </r>
  </si>
  <si>
    <r>
      <rPr>
        <sz val="8"/>
        <rFont val="Arial"/>
        <family val="2"/>
      </rPr>
      <t>Thomas, Kathleen</t>
    </r>
  </si>
  <si>
    <r>
      <rPr>
        <sz val="8"/>
        <rFont val="Arial"/>
        <family val="2"/>
      </rPr>
      <t>Low Premium Silver 500 $0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</si>
  <si>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$ 20.00</t>
    </r>
  </si>
  <si>
    <r>
      <rPr>
        <b/>
        <sz val="9"/>
        <rFont val="Arial"/>
        <family val="2"/>
      </rPr>
      <t>Total for Writing Producer       18710070        Mccorkle, Michelle                                                                                                                                                                                                                                    $ 20.00</t>
    </r>
  </si>
  <si>
    <r>
      <rPr>
        <b/>
        <sz val="10"/>
        <rFont val="Arial"/>
        <family val="2"/>
      </rPr>
      <t>Writing Producer                           19681796                                Taugner, Christian</t>
    </r>
  </si>
  <si>
    <r>
      <rPr>
        <b/>
        <sz val="9"/>
        <rFont val="Arial"/>
        <family val="2"/>
      </rPr>
      <t>Effective Date</t>
    </r>
  </si>
  <si>
    <r>
      <rPr>
        <sz val="8"/>
        <rFont val="Arial"/>
        <family val="2"/>
      </rPr>
      <t>Smith, Cynthia A.</t>
    </r>
  </si>
  <si>
    <r>
      <rPr>
        <sz val="8"/>
        <rFont val="Arial"/>
        <family val="2"/>
      </rPr>
      <t>CGHC Bronze Standard</t>
    </r>
  </si>
  <si>
    <r>
      <rPr>
        <sz val="8"/>
        <rFont val="Arial"/>
        <family val="2"/>
      </rPr>
      <t>WI</t>
    </r>
  </si>
  <si>
    <r>
      <rPr>
        <sz val="8"/>
        <rFont val="Arial"/>
        <family val="2"/>
      </rPr>
      <t>Charles, Billy D.</t>
    </r>
  </si>
  <si>
    <r>
      <rPr>
        <sz val="8"/>
        <rFont val="Arial"/>
        <family val="2"/>
      </rPr>
      <t>CGHC Bronze $9200 ($40</t>
    </r>
  </si>
  <si>
    <r>
      <rPr>
        <sz val="8"/>
        <rFont val="Arial"/>
        <family val="2"/>
      </rPr>
      <t>Balk, Brooke E.</t>
    </r>
  </si>
  <si>
    <r>
      <rPr>
        <sz val="8"/>
        <rFont val="Arial"/>
        <family val="2"/>
      </rPr>
      <t>CGHC Catastrophic $9200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</si>
  <si>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$ 60.00</t>
    </r>
  </si>
  <si>
    <r>
      <rPr>
        <b/>
        <sz val="9"/>
        <rFont val="Arial"/>
        <family val="2"/>
      </rPr>
      <t>Total for Writing Producer       19681796        Taugner, Christian                                                                                                                                                                                                                                    $ 60.00</t>
    </r>
  </si>
  <si>
    <r>
      <rPr>
        <b/>
        <sz val="10"/>
        <rFont val="Arial"/>
        <family val="2"/>
      </rPr>
      <t>Writing Producer                           8977234                                  Caltagirone, Ryan J</t>
    </r>
  </si>
  <si>
    <r>
      <rPr>
        <sz val="8"/>
        <rFont val="Arial"/>
        <family val="2"/>
      </rPr>
      <t>Binns, Connie</t>
    </r>
  </si>
  <si>
    <r>
      <rPr>
        <sz val="8"/>
        <rFont val="Arial"/>
        <family val="2"/>
      </rPr>
      <t>Morr, Kylee</t>
    </r>
  </si>
  <si>
    <r>
      <rPr>
        <sz val="8"/>
        <rFont val="Arial"/>
        <family val="2"/>
      </rPr>
      <t>IN</t>
    </r>
  </si>
  <si>
    <r>
      <rPr>
        <sz val="8"/>
        <rFont val="Arial"/>
        <family val="2"/>
      </rPr>
      <t>Kissel, Gavin</t>
    </r>
  </si>
  <si>
    <r>
      <rPr>
        <sz val="8"/>
        <rFont val="Arial"/>
        <family val="2"/>
      </rPr>
      <t>HSA Eligible Bronze 6000</t>
    </r>
  </si>
  <si>
    <r>
      <rPr>
        <sz val="8"/>
        <rFont val="Arial"/>
        <family val="2"/>
      </rPr>
      <t>Kissel, Amy</t>
    </r>
  </si>
  <si>
    <r>
      <rPr>
        <sz val="8"/>
        <rFont val="Arial"/>
        <family val="2"/>
      </rPr>
      <t>Kissel, Seth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</si>
  <si>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$ 213.00</t>
    </r>
  </si>
  <si>
    <r>
      <rPr>
        <sz val="8"/>
        <rFont val="Arial"/>
        <family val="2"/>
      </rPr>
      <t>Hartman, Jerry</t>
    </r>
  </si>
  <si>
    <r>
      <rPr>
        <sz val="8"/>
        <rFont val="Arial"/>
        <family val="2"/>
      </rPr>
      <t>Silver 5000 $20 Generic</t>
    </r>
  </si>
  <si>
    <r>
      <rPr>
        <sz val="8"/>
        <rFont val="Arial"/>
        <family val="2"/>
      </rPr>
      <t>Zumpella, Denise</t>
    </r>
  </si>
  <si>
    <r>
      <rPr>
        <sz val="8"/>
        <rFont val="Arial"/>
        <family val="2"/>
      </rPr>
      <t>Stubbins, Donna</t>
    </r>
  </si>
  <si>
    <r>
      <rPr>
        <sz val="8"/>
        <rFont val="Arial"/>
        <family val="2"/>
      </rPr>
      <t>Dello, Jackie</t>
    </r>
  </si>
  <si>
    <r>
      <rPr>
        <sz val="8"/>
        <rFont val="Arial"/>
        <family val="2"/>
      </rPr>
      <t>Coates, Frida</t>
    </r>
  </si>
  <si>
    <r>
      <rPr>
        <sz val="8"/>
        <rFont val="Arial"/>
        <family val="2"/>
      </rPr>
      <t>GA</t>
    </r>
  </si>
  <si>
    <r>
      <rPr>
        <sz val="8"/>
        <rFont val="Arial"/>
        <family val="2"/>
      </rPr>
      <t>Zollars, Samuel</t>
    </r>
  </si>
  <si>
    <r>
      <rPr>
        <sz val="8"/>
        <rFont val="Arial"/>
        <family val="2"/>
      </rPr>
      <t>Crowe, Gary M.</t>
    </r>
  </si>
  <si>
    <r>
      <rPr>
        <sz val="8"/>
        <rFont val="Arial"/>
        <family val="2"/>
      </rPr>
      <t>Masterson, Timothy</t>
    </r>
  </si>
  <si>
    <r>
      <rPr>
        <sz val="8"/>
        <rFont val="Arial"/>
        <family val="2"/>
      </rPr>
      <t>Silver 3000 $20 Generic</t>
    </r>
  </si>
  <si>
    <r>
      <rPr>
        <sz val="8"/>
        <rFont val="Arial"/>
        <family val="2"/>
      </rPr>
      <t>Robles, Caroline</t>
    </r>
  </si>
  <si>
    <r>
      <rPr>
        <sz val="8"/>
        <rFont val="Arial"/>
        <family val="2"/>
      </rPr>
      <t>Wuthrich, Terry</t>
    </r>
  </si>
  <si>
    <r>
      <rPr>
        <sz val="8"/>
        <rFont val="Arial"/>
        <family val="2"/>
      </rPr>
      <t>Prescaro, Kimberly</t>
    </r>
  </si>
  <si>
    <r>
      <rPr>
        <sz val="8"/>
        <rFont val="Arial"/>
        <family val="2"/>
      </rPr>
      <t>Burkett, Terri</t>
    </r>
  </si>
  <si>
    <r>
      <rPr>
        <sz val="8"/>
        <rFont val="Arial"/>
        <family val="2"/>
      </rPr>
      <t>Gale, Nancy</t>
    </r>
  </si>
  <si>
    <r>
      <rPr>
        <sz val="8"/>
        <rFont val="Arial"/>
        <family val="2"/>
      </rPr>
      <t>Beach, Sherry</t>
    </r>
  </si>
  <si>
    <r>
      <rPr>
        <sz val="8"/>
        <rFont val="Arial"/>
        <family val="2"/>
      </rPr>
      <t>Stevanus, Christopher</t>
    </r>
  </si>
  <si>
    <r>
      <rPr>
        <b/>
        <sz val="9"/>
        <rFont val="Arial"/>
        <family val="2"/>
      </rPr>
      <t>Total for Renewals</t>
    </r>
  </si>
  <si>
    <r>
      <rPr>
        <b/>
        <sz val="9"/>
        <rFont val="Arial"/>
        <family val="2"/>
      </rPr>
      <t>Total for Writing Producer</t>
    </r>
  </si>
  <si>
    <r>
      <rPr>
        <b/>
        <sz val="9"/>
        <rFont val="Arial"/>
        <family val="2"/>
      </rPr>
      <t>Caltagirone, Ryan J</t>
    </r>
  </si>
  <si>
    <t>Inskipt, Deborah Lee</t>
  </si>
  <si>
    <t>Mccorkle, Michelle</t>
  </si>
  <si>
    <t>Taugner, Christian</t>
  </si>
  <si>
    <t>Caltagirone, Ryan J</t>
  </si>
  <si>
    <t>Effective Date</t>
  </si>
  <si>
    <t>[PMPM=2]</t>
  </si>
  <si>
    <t>[PMPM=3]</t>
  </si>
  <si>
    <t>Caresource 2025 - GA</t>
  </si>
  <si>
    <t>Caresource - WV</t>
  </si>
  <si>
    <t>Caresource - OH</t>
  </si>
  <si>
    <t>Caresource - OS</t>
  </si>
  <si>
    <t>Caresource - IN, NC</t>
  </si>
  <si>
    <t>Crowe, Gary</t>
  </si>
  <si>
    <t>Melvin, Tanner</t>
  </si>
  <si>
    <t>Smith, Cynthia</t>
  </si>
  <si>
    <t>Charles, Billy</t>
  </si>
  <si>
    <t>Balk, Brooke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</si>
</sst>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\$\ #,##0.00"/>
    <numFmt numFmtId="166" formatCode="\$\ 0.00"/>
    <numFmt numFmtId="167" formatCode="mm/dd/yyyy;@"/>
  </numFmts>
  <fonts count="14" x14ac:knownFonts="1">
    <font>
      <sz val="10"/>
      <color rgb="FF000000"/>
      <name val="Times New Roman"/>
      <charset val="204"/>
    </font>
    <font>
      <b/>
      <sz val="10"/>
      <name val="Arial"/>
    </font>
    <font>
      <b/>
      <sz val="9"/>
      <name val="Arial"/>
    </font>
    <font>
      <b/>
      <sz val="11"/>
      <name val="Arial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bscript"/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top" wrapText="1"/>
    </xf>
    <xf numFmtId="165" fontId="5" fillId="0" borderId="1" xfId="0" applyNumberFormat="1" applyFont="1" applyBorder="1" applyAlignment="1">
      <alignment horizontal="left" vertical="top" indent="1" shrinkToFit="1"/>
    </xf>
    <xf numFmtId="10" fontId="5" fillId="0" borderId="1" xfId="0" applyNumberFormat="1" applyFont="1" applyBorder="1" applyAlignment="1">
      <alignment horizontal="right" vertical="top" shrinkToFit="1"/>
    </xf>
    <xf numFmtId="166" fontId="5" fillId="0" borderId="1" xfId="0" applyNumberFormat="1" applyFont="1" applyBorder="1" applyAlignment="1">
      <alignment horizontal="right" vertical="top" shrinkToFit="1"/>
    </xf>
    <xf numFmtId="166" fontId="5" fillId="0" borderId="1" xfId="0" applyNumberFormat="1" applyFont="1" applyBorder="1" applyAlignment="1">
      <alignment horizontal="center" vertical="top" shrinkToFit="1"/>
    </xf>
    <xf numFmtId="0" fontId="0" fillId="4" borderId="4" xfId="0" applyFill="1" applyBorder="1" applyAlignment="1">
      <alignment horizontal="left" wrapText="1"/>
    </xf>
    <xf numFmtId="0" fontId="1" fillId="4" borderId="4" xfId="0" applyFont="1" applyFill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wrapText="1"/>
    </xf>
    <xf numFmtId="1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top" wrapText="1"/>
    </xf>
    <xf numFmtId="167" fontId="5" fillId="3" borderId="0" xfId="0" applyNumberFormat="1" applyFont="1" applyFill="1" applyAlignment="1">
      <alignment horizontal="center" vertical="top" shrinkToFit="1"/>
    </xf>
    <xf numFmtId="0" fontId="0" fillId="3" borderId="0" xfId="0" applyFill="1" applyAlignment="1">
      <alignment horizontal="left" wrapText="1"/>
    </xf>
    <xf numFmtId="166" fontId="5" fillId="3" borderId="0" xfId="0" applyNumberFormat="1" applyFont="1" applyFill="1" applyAlignment="1">
      <alignment horizontal="left" vertical="top" indent="2" shrinkToFit="1"/>
    </xf>
    <xf numFmtId="10" fontId="5" fillId="3" borderId="0" xfId="0" applyNumberFormat="1" applyFont="1" applyFill="1" applyAlignment="1">
      <alignment horizontal="right" vertical="top" shrinkToFit="1"/>
    </xf>
    <xf numFmtId="166" fontId="5" fillId="3" borderId="0" xfId="0" applyNumberFormat="1" applyFont="1" applyFill="1" applyAlignment="1">
      <alignment horizontal="right" vertical="top" shrinkToFit="1"/>
    </xf>
    <xf numFmtId="166" fontId="5" fillId="3" borderId="0" xfId="0" applyNumberFormat="1" applyFont="1" applyFill="1" applyAlignment="1">
      <alignment horizontal="center" vertical="top" shrinkToFit="1"/>
    </xf>
    <xf numFmtId="1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167" fontId="5" fillId="0" borderId="0" xfId="0" applyNumberFormat="1" applyFont="1" applyAlignment="1">
      <alignment horizontal="center" vertical="top" shrinkToFit="1"/>
    </xf>
    <xf numFmtId="166" fontId="5" fillId="0" borderId="0" xfId="0" applyNumberFormat="1" applyFont="1" applyAlignment="1">
      <alignment horizontal="left" vertical="top" indent="2" shrinkToFit="1"/>
    </xf>
    <xf numFmtId="10" fontId="5" fillId="0" borderId="0" xfId="0" applyNumberFormat="1" applyFont="1" applyAlignment="1">
      <alignment horizontal="right" vertical="top" shrinkToFit="1"/>
    </xf>
    <xf numFmtId="166" fontId="5" fillId="0" borderId="0" xfId="0" applyNumberFormat="1" applyFont="1" applyAlignment="1">
      <alignment horizontal="right" vertical="top" shrinkToFit="1"/>
    </xf>
    <xf numFmtId="166" fontId="5" fillId="0" borderId="0" xfId="0" applyNumberFormat="1" applyFont="1" applyAlignment="1">
      <alignment horizontal="center" vertical="top" shrinkToFit="1"/>
    </xf>
    <xf numFmtId="165" fontId="5" fillId="3" borderId="0" xfId="0" applyNumberFormat="1" applyFont="1" applyFill="1" applyAlignment="1">
      <alignment horizontal="left" vertical="top" indent="1" shrinkToFit="1"/>
    </xf>
    <xf numFmtId="165" fontId="5" fillId="0" borderId="0" xfId="0" applyNumberFormat="1" applyFont="1" applyAlignment="1">
      <alignment horizontal="left" vertical="top" indent="1" shrinkToFi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165" fontId="5" fillId="3" borderId="0" xfId="0" applyNumberFormat="1" applyFont="1" applyFill="1" applyAlignment="1">
      <alignment horizontal="right" vertical="top" shrinkToFit="1"/>
    </xf>
    <xf numFmtId="165" fontId="5" fillId="0" borderId="0" xfId="0" applyNumberFormat="1" applyFont="1" applyAlignment="1">
      <alignment horizontal="right" vertical="top" shrinkToFit="1"/>
    </xf>
    <xf numFmtId="166" fontId="4" fillId="0" borderId="0" xfId="0" applyNumberFormat="1" applyFont="1" applyAlignment="1">
      <alignment horizontal="right" vertical="top" shrinkToFi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17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33"/>
    </xf>
    <xf numFmtId="0" fontId="3" fillId="0" borderId="0" xfId="0" applyFont="1" applyAlignment="1">
      <alignment horizontal="left" vertical="center" wrapText="1" indent="44"/>
    </xf>
    <xf numFmtId="164" fontId="4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vertical="top" wrapText="1"/>
    </xf>
    <xf numFmtId="164" fontId="4" fillId="3" borderId="0" xfId="0" applyNumberFormat="1" applyFont="1" applyFill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0" fontId="1" fillId="2" borderId="2" xfId="0" applyFont="1" applyFill="1" applyBorder="1" applyAlignment="1">
      <alignment horizontal="left" vertical="top" wrapText="1" indent="1"/>
    </xf>
    <xf numFmtId="0" fontId="1" fillId="4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166" fontId="5" fillId="0" borderId="1" xfId="0" applyNumberFormat="1" applyFont="1" applyBorder="1" applyAlignment="1">
      <alignment horizontal="right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left" vertical="top" wrapText="1" indent="23"/>
    </xf>
    <xf numFmtId="0" fontId="0" fillId="4" borderId="4" xfId="0" applyFill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wrapText="1"/>
    </xf>
    <xf numFmtId="0" fontId="6" fillId="3" borderId="0" xfId="0" applyFont="1" applyFill="1" applyAlignment="1">
      <alignment horizontal="left" vertical="top" wrapText="1"/>
    </xf>
    <xf numFmtId="167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center" vertical="top" wrapText="1"/>
    </xf>
    <xf numFmtId="166" fontId="5" fillId="3" borderId="0" xfId="0" applyNumberFormat="1" applyFont="1" applyFill="1" applyAlignment="1">
      <alignment horizontal="right" vertical="top" shrinkToFit="1"/>
    </xf>
    <xf numFmtId="1" fontId="5" fillId="3" borderId="0" xfId="0" applyNumberFormat="1" applyFont="1" applyFill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167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center" vertical="top" wrapText="1"/>
    </xf>
    <xf numFmtId="166" fontId="5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 indent="26"/>
    </xf>
    <xf numFmtId="0" fontId="2" fillId="0" borderId="0" xfId="0" applyFont="1" applyAlignment="1">
      <alignment horizontal="left" vertical="top" wrapText="1" indent="13"/>
    </xf>
    <xf numFmtId="0" fontId="2" fillId="0" borderId="0" xfId="0" applyFont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left" wrapText="1" indent="13"/>
    </xf>
    <xf numFmtId="0" fontId="2" fillId="0" borderId="4" xfId="0" applyFont="1" applyBorder="1" applyAlignment="1">
      <alignment horizontal="left" vertical="center" wrapText="1"/>
    </xf>
    <xf numFmtId="0" fontId="1" fillId="4" borderId="4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right" vertical="top" wrapText="1" indent="1"/>
    </xf>
    <xf numFmtId="0" fontId="6" fillId="0" borderId="0" xfId="0" applyFont="1" applyAlignment="1">
      <alignment horizontal="left" vertical="top" wrapText="1" indent="2"/>
    </xf>
    <xf numFmtId="0" fontId="6" fillId="3" borderId="0" xfId="0" applyFont="1" applyFill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7"/>
    </xf>
    <xf numFmtId="1" fontId="4" fillId="0" borderId="0" xfId="0" applyNumberFormat="1" applyFont="1" applyAlignment="1">
      <alignment horizontal="right" vertical="top" indent="1" shrinkToFi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1" fontId="5" fillId="0" borderId="0" xfId="0" applyNumberFormat="1" applyFont="1" applyFill="1" applyBorder="1" applyAlignment="1">
      <alignment horizontal="left" vertical="top" shrinkToFit="1"/>
    </xf>
    <xf numFmtId="0" fontId="6" fillId="0" borderId="0" xfId="0" applyFont="1" applyFill="1" applyBorder="1" applyAlignment="1">
      <alignment horizontal="left" vertical="top" wrapText="1"/>
    </xf>
    <xf numFmtId="165" fontId="5" fillId="0" borderId="0" xfId="0" applyNumberFormat="1" applyFont="1" applyFill="1" applyBorder="1" applyAlignment="1">
      <alignment horizontal="left" vertical="top" shrinkToFit="1"/>
    </xf>
    <xf numFmtId="10" fontId="5" fillId="0" borderId="0" xfId="0" applyNumberFormat="1" applyFont="1" applyFill="1" applyBorder="1" applyAlignment="1">
      <alignment horizontal="left" vertical="top" shrinkToFit="1"/>
    </xf>
    <xf numFmtId="166" fontId="5" fillId="0" borderId="0" xfId="0" applyNumberFormat="1" applyFont="1" applyFill="1" applyBorder="1" applyAlignment="1">
      <alignment horizontal="left" vertical="top" shrinkToFit="1"/>
    </xf>
    <xf numFmtId="0" fontId="1" fillId="0" borderId="0" xfId="0" applyFont="1" applyFill="1" applyBorder="1" applyAlignment="1">
      <alignment horizontal="left" vertical="top" wrapText="1"/>
    </xf>
    <xf numFmtId="167" fontId="5" fillId="0" borderId="0" xfId="0" applyNumberFormat="1" applyFont="1" applyFill="1" applyBorder="1" applyAlignment="1">
      <alignment horizontal="left" vertical="top" shrinkToFit="1"/>
    </xf>
    <xf numFmtId="14" fontId="6" fillId="0" borderId="0" xfId="0" applyNumberFormat="1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241300</xdr:colOff>
      <xdr:row>4</xdr:row>
      <xdr:rowOff>101600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241300</xdr:colOff>
      <xdr:row>0</xdr:row>
      <xdr:rowOff>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A989927B-989C-414C-AD53-E32EF5327E38}"/>
            </a:ext>
          </a:extLst>
        </xdr:cNvPr>
        <xdr:cNvSpPr/>
      </xdr:nvSpPr>
      <xdr:spPr>
        <a:xfrm>
          <a:off x="6975475" y="1044575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6"/>
  <sheetViews>
    <sheetView workbookViewId="0">
      <selection activeCell="M21" sqref="M21"/>
    </sheetView>
  </sheetViews>
  <sheetFormatPr defaultRowHeight="12.75" x14ac:dyDescent="0.2"/>
  <cols>
    <col min="1" max="1" width="11.5" customWidth="1"/>
    <col min="2" max="2" width="19.83203125" customWidth="1"/>
    <col min="3" max="3" width="5.83203125" customWidth="1"/>
    <col min="4" max="4" width="16.1640625" customWidth="1"/>
    <col min="5" max="5" width="2.1640625" customWidth="1"/>
    <col min="6" max="6" width="9.33203125" customWidth="1"/>
    <col min="7" max="7" width="4.6640625" customWidth="1"/>
    <col min="8" max="8" width="5.83203125" customWidth="1"/>
    <col min="9" max="9" width="12.6640625" customWidth="1"/>
    <col min="10" max="10" width="8" customWidth="1"/>
    <col min="11" max="11" width="3.33203125" customWidth="1"/>
    <col min="12" max="12" width="5.83203125" customWidth="1"/>
    <col min="13" max="13" width="12.6640625" customWidth="1"/>
    <col min="14" max="14" width="10.5" customWidth="1"/>
    <col min="15" max="15" width="5.83203125" customWidth="1"/>
    <col min="16" max="16" width="8" customWidth="1"/>
    <col min="17" max="17" width="1.1640625" customWidth="1"/>
    <col min="18" max="18" width="8" customWidth="1"/>
    <col min="19" max="19" width="12.6640625" customWidth="1"/>
    <col min="20" max="20" width="9.33203125" customWidth="1"/>
    <col min="21" max="21" width="2.1640625" customWidth="1"/>
    <col min="22" max="22" width="9.33203125" customWidth="1"/>
    <col min="23" max="23" width="14" customWidth="1"/>
    <col min="24" max="24" width="10.5" customWidth="1"/>
    <col min="25" max="25" width="15.1640625" customWidth="1"/>
    <col min="26" max="26" width="4.6640625" customWidth="1"/>
  </cols>
  <sheetData>
    <row r="1" spans="1:26" ht="14.45" customHeight="1" x14ac:dyDescent="0.2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2"/>
      <c r="W1" s="52"/>
      <c r="X1" s="52"/>
      <c r="Y1" s="52"/>
      <c r="Z1" s="52"/>
    </row>
    <row r="2" spans="1:26" ht="20.45" customHeight="1" x14ac:dyDescent="0.2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4" t="s">
        <v>1</v>
      </c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34.5" customHeight="1" x14ac:dyDescent="0.2">
      <c r="A3" s="55" t="s">
        <v>2</v>
      </c>
      <c r="B3" s="55"/>
      <c r="C3" s="55"/>
      <c r="D3" s="55"/>
      <c r="E3" s="55"/>
      <c r="F3" s="55"/>
      <c r="G3" s="55"/>
      <c r="H3" s="53"/>
      <c r="I3" s="53"/>
      <c r="J3" s="53"/>
      <c r="K3" s="53"/>
      <c r="L3" s="53"/>
      <c r="M3" s="53"/>
      <c r="N3" s="53"/>
      <c r="O3" s="53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5.25" customHeight="1" x14ac:dyDescent="0.2">
      <c r="A4" s="55"/>
      <c r="B4" s="55"/>
      <c r="C4" s="55"/>
      <c r="D4" s="55"/>
      <c r="E4" s="55"/>
      <c r="F4" s="55"/>
      <c r="G4" s="55"/>
      <c r="H4" s="52"/>
      <c r="I4" s="52"/>
      <c r="J4" s="52"/>
      <c r="K4" s="52"/>
      <c r="L4" s="52"/>
      <c r="M4" s="52"/>
      <c r="N4" s="52"/>
      <c r="O4" s="52"/>
      <c r="P4" s="1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20.45" customHeight="1" x14ac:dyDescent="0.2">
      <c r="A5" s="53"/>
      <c r="B5" s="53"/>
      <c r="C5" s="53"/>
      <c r="D5" s="53"/>
      <c r="E5" s="53"/>
      <c r="F5" s="53"/>
      <c r="G5" s="53"/>
      <c r="H5" s="56" t="s">
        <v>3</v>
      </c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30.95" customHeight="1" x14ac:dyDescent="0.2">
      <c r="A6" s="57" t="s">
        <v>4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43.5" customHeight="1" x14ac:dyDescent="0.2">
      <c r="A7" s="58" t="s">
        <v>5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2.95" customHeight="1" x14ac:dyDescent="0.2">
      <c r="A8" s="52"/>
      <c r="B8" s="52"/>
      <c r="C8" s="52"/>
      <c r="D8" s="56" t="s">
        <v>6</v>
      </c>
      <c r="E8" s="56"/>
      <c r="F8" s="56"/>
      <c r="G8" s="56"/>
      <c r="H8" s="56"/>
      <c r="I8" s="56"/>
      <c r="J8" s="56"/>
      <c r="K8" s="56"/>
      <c r="L8" s="59">
        <v>0</v>
      </c>
      <c r="M8" s="59"/>
      <c r="N8" s="59"/>
      <c r="O8" s="59"/>
      <c r="P8" s="59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2.95" customHeight="1" x14ac:dyDescent="0.2">
      <c r="A9" s="52"/>
      <c r="B9" s="52"/>
      <c r="C9" s="52"/>
      <c r="D9" s="60" t="s">
        <v>7</v>
      </c>
      <c r="E9" s="60"/>
      <c r="F9" s="60"/>
      <c r="G9" s="60"/>
      <c r="H9" s="60"/>
      <c r="I9" s="60"/>
      <c r="J9" s="60"/>
      <c r="K9" s="60"/>
      <c r="L9" s="61">
        <v>912.17</v>
      </c>
      <c r="M9" s="61"/>
      <c r="N9" s="61"/>
      <c r="O9" s="61"/>
      <c r="P9" s="61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2.95" customHeight="1" x14ac:dyDescent="0.2">
      <c r="A10" s="52"/>
      <c r="B10" s="52"/>
      <c r="C10" s="52"/>
      <c r="D10" s="56" t="s">
        <v>8</v>
      </c>
      <c r="E10" s="56"/>
      <c r="F10" s="56"/>
      <c r="G10" s="56"/>
      <c r="H10" s="56"/>
      <c r="I10" s="56"/>
      <c r="J10" s="56"/>
      <c r="K10" s="56"/>
      <c r="L10" s="59">
        <v>0</v>
      </c>
      <c r="M10" s="59"/>
      <c r="N10" s="59"/>
      <c r="O10" s="59"/>
      <c r="P10" s="59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2.95" customHeight="1" x14ac:dyDescent="0.2">
      <c r="A11" s="52"/>
      <c r="B11" s="52"/>
      <c r="C11" s="52"/>
      <c r="D11" s="60" t="s">
        <v>9</v>
      </c>
      <c r="E11" s="60"/>
      <c r="F11" s="60"/>
      <c r="G11" s="60"/>
      <c r="H11" s="60"/>
      <c r="I11" s="60"/>
      <c r="J11" s="60"/>
      <c r="K11" s="60"/>
      <c r="L11" s="61">
        <v>0</v>
      </c>
      <c r="M11" s="61"/>
      <c r="N11" s="61"/>
      <c r="O11" s="61"/>
      <c r="P11" s="61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17.100000000000001" customHeight="1" x14ac:dyDescent="0.2">
      <c r="A12" s="52"/>
      <c r="B12" s="52"/>
      <c r="C12" s="52"/>
      <c r="D12" s="56" t="s">
        <v>10</v>
      </c>
      <c r="E12" s="56"/>
      <c r="F12" s="56"/>
      <c r="G12" s="56"/>
      <c r="H12" s="56"/>
      <c r="I12" s="56"/>
      <c r="J12" s="56"/>
      <c r="K12" s="56"/>
      <c r="L12" s="62">
        <v>912.17</v>
      </c>
      <c r="M12" s="62"/>
      <c r="N12" s="62"/>
      <c r="O12" s="62"/>
      <c r="P12" s="6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8" customHeight="1" x14ac:dyDescent="0.2">
      <c r="A13" s="52"/>
      <c r="B13" s="52"/>
      <c r="C13" s="52"/>
      <c r="D13" s="56" t="s">
        <v>11</v>
      </c>
      <c r="E13" s="56"/>
      <c r="F13" s="56"/>
      <c r="G13" s="56"/>
      <c r="H13" s="56"/>
      <c r="I13" s="56"/>
      <c r="J13" s="56"/>
      <c r="K13" s="56"/>
      <c r="L13" s="59">
        <v>912.17</v>
      </c>
      <c r="M13" s="59"/>
      <c r="N13" s="59"/>
      <c r="O13" s="59"/>
      <c r="P13" s="59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13.35" customHeight="1" x14ac:dyDescent="0.2">
      <c r="A14" s="52"/>
      <c r="B14" s="52"/>
      <c r="C14" s="52"/>
      <c r="D14" s="56" t="s">
        <v>12</v>
      </c>
      <c r="E14" s="56"/>
      <c r="F14" s="56"/>
      <c r="G14" s="56"/>
      <c r="H14" s="56"/>
      <c r="I14" s="56"/>
      <c r="J14" s="56"/>
      <c r="K14" s="56"/>
      <c r="L14" s="59">
        <v>0</v>
      </c>
      <c r="M14" s="59"/>
      <c r="N14" s="59"/>
      <c r="O14" s="59"/>
      <c r="P14" s="59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16.5" customHeight="1" x14ac:dyDescent="0.2">
      <c r="A15" s="63" t="s">
        <v>13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1"/>
    </row>
    <row r="16" spans="1:26" ht="14.25" customHeight="1" x14ac:dyDescent="0.2">
      <c r="A16" s="64" t="s">
        <v>14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1"/>
    </row>
    <row r="17" spans="1:26" ht="38.25" customHeight="1" x14ac:dyDescent="0.2">
      <c r="A17" s="5" t="s">
        <v>15</v>
      </c>
      <c r="B17" s="6" t="s">
        <v>16</v>
      </c>
      <c r="C17" s="65" t="s">
        <v>17</v>
      </c>
      <c r="D17" s="65"/>
      <c r="E17" s="65"/>
      <c r="F17" s="66" t="s">
        <v>18</v>
      </c>
      <c r="G17" s="66"/>
      <c r="H17" s="66"/>
      <c r="I17" s="7" t="s">
        <v>19</v>
      </c>
      <c r="J17" s="5" t="s">
        <v>20</v>
      </c>
      <c r="K17" s="67" t="s">
        <v>21</v>
      </c>
      <c r="L17" s="67"/>
      <c r="M17" s="6" t="s">
        <v>22</v>
      </c>
      <c r="N17" s="7" t="s">
        <v>23</v>
      </c>
      <c r="O17" s="68" t="s">
        <v>24</v>
      </c>
      <c r="P17" s="68"/>
      <c r="Q17" s="68"/>
      <c r="R17" s="9" t="s">
        <v>25</v>
      </c>
      <c r="S17" s="10" t="s">
        <v>26</v>
      </c>
      <c r="T17" s="5" t="s">
        <v>27</v>
      </c>
      <c r="U17" s="69" t="s">
        <v>28</v>
      </c>
      <c r="V17" s="69"/>
      <c r="W17" s="11" t="s">
        <v>29</v>
      </c>
      <c r="X17" s="5" t="s">
        <v>30</v>
      </c>
      <c r="Y17" s="11" t="s">
        <v>31</v>
      </c>
      <c r="Z17" s="3"/>
    </row>
    <row r="18" spans="1:26" ht="17.100000000000001" customHeight="1" x14ac:dyDescent="0.2">
      <c r="A18" s="12">
        <v>112399968</v>
      </c>
      <c r="B18" s="13" t="s">
        <v>32</v>
      </c>
      <c r="C18" s="70" t="s">
        <v>33</v>
      </c>
      <c r="D18" s="70"/>
      <c r="E18" s="70"/>
      <c r="F18" s="71" t="s">
        <v>34</v>
      </c>
      <c r="G18" s="71"/>
      <c r="H18" s="71"/>
      <c r="I18" s="14"/>
      <c r="J18" s="15" t="s">
        <v>35</v>
      </c>
      <c r="K18" s="72" t="s">
        <v>36</v>
      </c>
      <c r="L18" s="72"/>
      <c r="M18" s="16">
        <v>1008.63</v>
      </c>
      <c r="N18" s="17">
        <v>0</v>
      </c>
      <c r="O18" s="73">
        <v>0</v>
      </c>
      <c r="P18" s="73"/>
      <c r="Q18" s="73"/>
      <c r="R18" s="19">
        <v>21</v>
      </c>
      <c r="S18" s="19">
        <v>0</v>
      </c>
      <c r="T18" s="19">
        <v>21</v>
      </c>
      <c r="U18" s="74">
        <v>1</v>
      </c>
      <c r="V18" s="74"/>
      <c r="W18" s="19">
        <v>21</v>
      </c>
      <c r="X18" s="15" t="s">
        <v>36</v>
      </c>
      <c r="Y18" s="18">
        <v>21</v>
      </c>
      <c r="Z18" s="2"/>
    </row>
    <row r="19" spans="1:26" ht="21.95" customHeight="1" x14ac:dyDescent="0.2">
      <c r="A19" s="75" t="s">
        <v>37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2"/>
    </row>
    <row r="20" spans="1:26" ht="14.25" customHeight="1" x14ac:dyDescent="0.2">
      <c r="A20" s="20"/>
      <c r="B20" s="20"/>
      <c r="C20" s="76"/>
      <c r="D20" s="76"/>
      <c r="E20" s="76"/>
      <c r="F20" s="20"/>
      <c r="G20" s="76"/>
      <c r="H20" s="76"/>
      <c r="I20" s="20"/>
      <c r="J20" s="20"/>
      <c r="K20" s="76"/>
      <c r="L20" s="76"/>
      <c r="M20" s="21" t="s">
        <v>38</v>
      </c>
      <c r="N20" s="20"/>
      <c r="O20" s="76"/>
      <c r="P20" s="76"/>
      <c r="Q20" s="76"/>
      <c r="R20" s="20"/>
      <c r="S20" s="20"/>
      <c r="T20" s="20"/>
      <c r="U20" s="76"/>
      <c r="V20" s="76"/>
      <c r="W20" s="20"/>
      <c r="X20" s="20"/>
      <c r="Y20" s="20"/>
      <c r="Z20" s="1"/>
    </row>
    <row r="21" spans="1:26" ht="25.5" customHeight="1" x14ac:dyDescent="0.2">
      <c r="A21" s="14"/>
      <c r="B21" s="14"/>
      <c r="C21" s="77"/>
      <c r="D21" s="77"/>
      <c r="E21" s="77"/>
      <c r="F21" s="14"/>
      <c r="G21" s="78" t="s">
        <v>39</v>
      </c>
      <c r="H21" s="78"/>
      <c r="I21" s="22" t="s">
        <v>40</v>
      </c>
      <c r="J21" s="14"/>
      <c r="K21" s="77"/>
      <c r="L21" s="77"/>
      <c r="M21" s="14"/>
      <c r="N21" s="23" t="s">
        <v>41</v>
      </c>
      <c r="O21" s="79" t="s">
        <v>42</v>
      </c>
      <c r="P21" s="79"/>
      <c r="Q21" s="79"/>
      <c r="R21" s="24" t="s">
        <v>43</v>
      </c>
      <c r="S21" s="24" t="s">
        <v>44</v>
      </c>
      <c r="T21" s="14"/>
      <c r="U21" s="78" t="s">
        <v>45</v>
      </c>
      <c r="V21" s="78"/>
      <c r="W21" s="24" t="s">
        <v>42</v>
      </c>
      <c r="X21" s="14"/>
      <c r="Y21" s="24" t="s">
        <v>46</v>
      </c>
      <c r="Z21" s="2"/>
    </row>
    <row r="22" spans="1:26" ht="12.75" customHeight="1" x14ac:dyDescent="0.2">
      <c r="A22" s="11" t="s">
        <v>15</v>
      </c>
      <c r="B22" s="8" t="s">
        <v>16</v>
      </c>
      <c r="C22" s="68" t="s">
        <v>17</v>
      </c>
      <c r="D22" s="68"/>
      <c r="E22" s="68"/>
      <c r="F22" s="11" t="s">
        <v>47</v>
      </c>
      <c r="G22" s="80" t="s">
        <v>48</v>
      </c>
      <c r="H22" s="80"/>
      <c r="I22" s="11" t="s">
        <v>48</v>
      </c>
      <c r="J22" s="11" t="s">
        <v>20</v>
      </c>
      <c r="K22" s="80" t="s">
        <v>21</v>
      </c>
      <c r="L22" s="80"/>
      <c r="M22" s="8" t="s">
        <v>22</v>
      </c>
      <c r="N22" s="8" t="s">
        <v>22</v>
      </c>
      <c r="O22" s="81" t="s">
        <v>22</v>
      </c>
      <c r="P22" s="81"/>
      <c r="Q22" s="81"/>
      <c r="R22" s="11" t="s">
        <v>27</v>
      </c>
      <c r="S22" s="11" t="s">
        <v>27</v>
      </c>
      <c r="T22" s="11" t="s">
        <v>27</v>
      </c>
      <c r="U22" s="80" t="s">
        <v>49</v>
      </c>
      <c r="V22" s="80"/>
      <c r="W22" s="11" t="s">
        <v>27</v>
      </c>
      <c r="X22" s="11" t="s">
        <v>30</v>
      </c>
      <c r="Y22" s="25" t="s">
        <v>50</v>
      </c>
      <c r="Z22" s="2"/>
    </row>
    <row r="23" spans="1:26" ht="5.25" customHeight="1" x14ac:dyDescent="0.2">
      <c r="A23" s="26"/>
      <c r="B23" s="26"/>
      <c r="C23" s="82"/>
      <c r="D23" s="82"/>
      <c r="E23" s="82"/>
      <c r="F23" s="26"/>
      <c r="G23" s="82"/>
      <c r="H23" s="82"/>
      <c r="I23" s="26"/>
      <c r="J23" s="26"/>
      <c r="K23" s="82"/>
      <c r="L23" s="82"/>
      <c r="M23" s="26"/>
      <c r="N23" s="26"/>
      <c r="O23" s="82"/>
      <c r="P23" s="82"/>
      <c r="Q23" s="82"/>
      <c r="R23" s="26"/>
      <c r="S23" s="26"/>
      <c r="T23" s="26"/>
      <c r="U23" s="82"/>
      <c r="V23" s="82"/>
      <c r="W23" s="26"/>
      <c r="X23" s="26"/>
      <c r="Y23" s="26"/>
      <c r="Z23" s="1"/>
    </row>
    <row r="24" spans="1:26" ht="12" customHeight="1" x14ac:dyDescent="0.2">
      <c r="A24" s="27">
        <v>106737758</v>
      </c>
      <c r="B24" s="28" t="s">
        <v>51</v>
      </c>
      <c r="C24" s="83" t="s">
        <v>52</v>
      </c>
      <c r="D24" s="83"/>
      <c r="E24" s="83"/>
      <c r="F24" s="29" t="s">
        <v>53</v>
      </c>
      <c r="G24" s="84">
        <v>45658</v>
      </c>
      <c r="H24" s="84"/>
      <c r="I24" s="31"/>
      <c r="J24" s="29" t="s">
        <v>35</v>
      </c>
      <c r="K24" s="85" t="s">
        <v>36</v>
      </c>
      <c r="L24" s="85"/>
      <c r="M24" s="32">
        <v>669.22</v>
      </c>
      <c r="N24" s="33">
        <v>0</v>
      </c>
      <c r="O24" s="86">
        <v>0</v>
      </c>
      <c r="P24" s="86"/>
      <c r="Q24" s="86"/>
      <c r="R24" s="35">
        <v>21</v>
      </c>
      <c r="S24" s="35">
        <v>0</v>
      </c>
      <c r="T24" s="35">
        <v>21</v>
      </c>
      <c r="U24" s="87">
        <v>1</v>
      </c>
      <c r="V24" s="87"/>
      <c r="W24" s="35">
        <v>21</v>
      </c>
      <c r="X24" s="29" t="s">
        <v>36</v>
      </c>
      <c r="Y24" s="34">
        <v>21</v>
      </c>
      <c r="Z24" s="1"/>
    </row>
    <row r="25" spans="1:26" ht="12" customHeight="1" x14ac:dyDescent="0.2">
      <c r="A25" s="36">
        <v>110700972</v>
      </c>
      <c r="B25" s="37" t="s">
        <v>54</v>
      </c>
      <c r="C25" s="88" t="s">
        <v>55</v>
      </c>
      <c r="D25" s="88"/>
      <c r="E25" s="88"/>
      <c r="F25" s="38" t="s">
        <v>56</v>
      </c>
      <c r="G25" s="89">
        <v>45658</v>
      </c>
      <c r="H25" s="89"/>
      <c r="I25" s="1"/>
      <c r="J25" s="38" t="s">
        <v>35</v>
      </c>
      <c r="K25" s="90" t="s">
        <v>36</v>
      </c>
      <c r="L25" s="90"/>
      <c r="M25" s="40">
        <v>808.72</v>
      </c>
      <c r="N25" s="41">
        <v>0</v>
      </c>
      <c r="O25" s="91">
        <v>0</v>
      </c>
      <c r="P25" s="91"/>
      <c r="Q25" s="91"/>
      <c r="R25" s="43">
        <v>20</v>
      </c>
      <c r="S25" s="43">
        <v>0</v>
      </c>
      <c r="T25" s="43">
        <v>20</v>
      </c>
      <c r="U25" s="92">
        <v>1</v>
      </c>
      <c r="V25" s="92"/>
      <c r="W25" s="43">
        <v>20</v>
      </c>
      <c r="X25" s="38" t="s">
        <v>36</v>
      </c>
      <c r="Y25" s="42">
        <v>20</v>
      </c>
      <c r="Z25" s="1"/>
    </row>
    <row r="26" spans="1:26" ht="12" customHeight="1" x14ac:dyDescent="0.2">
      <c r="A26" s="27">
        <v>110701159</v>
      </c>
      <c r="B26" s="28" t="s">
        <v>57</v>
      </c>
      <c r="C26" s="83" t="s">
        <v>55</v>
      </c>
      <c r="D26" s="83"/>
      <c r="E26" s="83"/>
      <c r="F26" s="29" t="s">
        <v>56</v>
      </c>
      <c r="G26" s="84">
        <v>45658</v>
      </c>
      <c r="H26" s="84"/>
      <c r="I26" s="31"/>
      <c r="J26" s="29" t="s">
        <v>35</v>
      </c>
      <c r="K26" s="85" t="s">
        <v>36</v>
      </c>
      <c r="L26" s="85"/>
      <c r="M26" s="44">
        <v>3867.62</v>
      </c>
      <c r="N26" s="33">
        <v>0</v>
      </c>
      <c r="O26" s="86">
        <v>0</v>
      </c>
      <c r="P26" s="86"/>
      <c r="Q26" s="86"/>
      <c r="R26" s="35">
        <v>20</v>
      </c>
      <c r="S26" s="35">
        <v>0</v>
      </c>
      <c r="T26" s="35">
        <v>20</v>
      </c>
      <c r="U26" s="87">
        <v>2</v>
      </c>
      <c r="V26" s="87"/>
      <c r="W26" s="35">
        <v>40</v>
      </c>
      <c r="X26" s="29" t="s">
        <v>36</v>
      </c>
      <c r="Y26" s="34">
        <v>40</v>
      </c>
      <c r="Z26" s="1"/>
    </row>
    <row r="27" spans="1:26" ht="12" customHeight="1" x14ac:dyDescent="0.2">
      <c r="A27" s="36">
        <v>110809733</v>
      </c>
      <c r="B27" s="37" t="s">
        <v>58</v>
      </c>
      <c r="C27" s="88" t="s">
        <v>55</v>
      </c>
      <c r="D27" s="88"/>
      <c r="E27" s="88"/>
      <c r="F27" s="38" t="s">
        <v>56</v>
      </c>
      <c r="G27" s="89">
        <v>45658</v>
      </c>
      <c r="H27" s="89"/>
      <c r="I27" s="1"/>
      <c r="J27" s="38" t="s">
        <v>35</v>
      </c>
      <c r="K27" s="90" t="s">
        <v>36</v>
      </c>
      <c r="L27" s="90"/>
      <c r="M27" s="45">
        <v>1588.94</v>
      </c>
      <c r="N27" s="41">
        <v>0</v>
      </c>
      <c r="O27" s="91">
        <v>0</v>
      </c>
      <c r="P27" s="91"/>
      <c r="Q27" s="91"/>
      <c r="R27" s="43">
        <v>20</v>
      </c>
      <c r="S27" s="43">
        <v>0</v>
      </c>
      <c r="T27" s="43">
        <v>20</v>
      </c>
      <c r="U27" s="92">
        <v>1</v>
      </c>
      <c r="V27" s="92"/>
      <c r="W27" s="43">
        <v>20</v>
      </c>
      <c r="X27" s="38" t="s">
        <v>36</v>
      </c>
      <c r="Y27" s="42">
        <v>20</v>
      </c>
      <c r="Z27" s="1"/>
    </row>
    <row r="28" spans="1:26" ht="12.6" customHeight="1" x14ac:dyDescent="0.2">
      <c r="A28" s="27">
        <v>112319621</v>
      </c>
      <c r="B28" s="28" t="s">
        <v>59</v>
      </c>
      <c r="C28" s="83" t="s">
        <v>55</v>
      </c>
      <c r="D28" s="83"/>
      <c r="E28" s="83"/>
      <c r="F28" s="29" t="s">
        <v>56</v>
      </c>
      <c r="G28" s="84">
        <v>45658</v>
      </c>
      <c r="H28" s="84"/>
      <c r="I28" s="31"/>
      <c r="J28" s="29" t="s">
        <v>35</v>
      </c>
      <c r="K28" s="85" t="s">
        <v>36</v>
      </c>
      <c r="L28" s="85"/>
      <c r="M28" s="44">
        <v>2907.12</v>
      </c>
      <c r="N28" s="33">
        <v>0</v>
      </c>
      <c r="O28" s="86">
        <v>0</v>
      </c>
      <c r="P28" s="86"/>
      <c r="Q28" s="86"/>
      <c r="R28" s="35">
        <v>20</v>
      </c>
      <c r="S28" s="35">
        <v>0</v>
      </c>
      <c r="T28" s="35">
        <v>20</v>
      </c>
      <c r="U28" s="87">
        <v>2</v>
      </c>
      <c r="V28" s="87"/>
      <c r="W28" s="35">
        <v>40</v>
      </c>
      <c r="X28" s="29" t="s">
        <v>36</v>
      </c>
      <c r="Y28" s="34">
        <v>40</v>
      </c>
      <c r="Z28" s="1"/>
    </row>
    <row r="29" spans="1:26" ht="30" customHeight="1" x14ac:dyDescent="0.2">
      <c r="A29" s="93" t="s">
        <v>60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 ht="64.5" customHeight="1" x14ac:dyDescent="0.2">
      <c r="A30" s="94" t="s">
        <v>61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 ht="17.100000000000001" customHeight="1" x14ac:dyDescent="0.2">
      <c r="A31" s="63" t="s">
        <v>62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2"/>
    </row>
    <row r="32" spans="1:26" ht="14.25" customHeight="1" x14ac:dyDescent="0.2">
      <c r="A32" s="64" t="s">
        <v>38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1"/>
    </row>
    <row r="33" spans="1:26" ht="25.5" customHeight="1" x14ac:dyDescent="0.2">
      <c r="A33" s="53"/>
      <c r="B33" s="53"/>
      <c r="C33" s="53"/>
      <c r="D33" s="53"/>
      <c r="E33" s="53"/>
      <c r="F33" s="53"/>
      <c r="G33" s="95" t="s">
        <v>39</v>
      </c>
      <c r="H33" s="95"/>
      <c r="I33" s="46" t="s">
        <v>40</v>
      </c>
      <c r="J33" s="2"/>
      <c r="K33" s="53"/>
      <c r="L33" s="53"/>
      <c r="M33" s="2"/>
      <c r="N33" s="47" t="s">
        <v>41</v>
      </c>
      <c r="O33" s="56" t="s">
        <v>42</v>
      </c>
      <c r="P33" s="56"/>
      <c r="Q33" s="56"/>
      <c r="R33" s="4" t="s">
        <v>43</v>
      </c>
      <c r="S33" s="4" t="s">
        <v>44</v>
      </c>
      <c r="T33" s="2"/>
      <c r="U33" s="95" t="s">
        <v>45</v>
      </c>
      <c r="V33" s="95"/>
      <c r="W33" s="4" t="s">
        <v>42</v>
      </c>
      <c r="X33" s="2"/>
      <c r="Y33" s="4" t="s">
        <v>46</v>
      </c>
      <c r="Z33" s="2"/>
    </row>
    <row r="34" spans="1:26" ht="12.75" customHeight="1" x14ac:dyDescent="0.2">
      <c r="A34" s="11" t="s">
        <v>15</v>
      </c>
      <c r="B34" s="8" t="s">
        <v>16</v>
      </c>
      <c r="C34" s="68" t="s">
        <v>17</v>
      </c>
      <c r="D34" s="68"/>
      <c r="E34" s="68"/>
      <c r="F34" s="11" t="s">
        <v>47</v>
      </c>
      <c r="G34" s="80" t="s">
        <v>48</v>
      </c>
      <c r="H34" s="80"/>
      <c r="I34" s="11" t="s">
        <v>48</v>
      </c>
      <c r="J34" s="11" t="s">
        <v>20</v>
      </c>
      <c r="K34" s="80" t="s">
        <v>21</v>
      </c>
      <c r="L34" s="80"/>
      <c r="M34" s="8" t="s">
        <v>22</v>
      </c>
      <c r="N34" s="8" t="s">
        <v>22</v>
      </c>
      <c r="O34" s="81" t="s">
        <v>22</v>
      </c>
      <c r="P34" s="81"/>
      <c r="Q34" s="81"/>
      <c r="R34" s="11" t="s">
        <v>27</v>
      </c>
      <c r="S34" s="11" t="s">
        <v>27</v>
      </c>
      <c r="T34" s="11" t="s">
        <v>27</v>
      </c>
      <c r="U34" s="80" t="s">
        <v>49</v>
      </c>
      <c r="V34" s="80"/>
      <c r="W34" s="11" t="s">
        <v>27</v>
      </c>
      <c r="X34" s="11" t="s">
        <v>30</v>
      </c>
      <c r="Y34" s="25" t="s">
        <v>50</v>
      </c>
      <c r="Z34" s="2"/>
    </row>
    <row r="35" spans="1:26" ht="22.5" customHeight="1" x14ac:dyDescent="0.2">
      <c r="A35" s="12">
        <v>111320863</v>
      </c>
      <c r="B35" s="13" t="s">
        <v>63</v>
      </c>
      <c r="C35" s="70" t="s">
        <v>64</v>
      </c>
      <c r="D35" s="70"/>
      <c r="E35" s="70"/>
      <c r="F35" s="15" t="s">
        <v>56</v>
      </c>
      <c r="G35" s="96">
        <v>45658</v>
      </c>
      <c r="H35" s="96"/>
      <c r="I35" s="14"/>
      <c r="J35" s="15" t="s">
        <v>35</v>
      </c>
      <c r="K35" s="72" t="s">
        <v>36</v>
      </c>
      <c r="L35" s="72"/>
      <c r="M35" s="16">
        <v>1905.74</v>
      </c>
      <c r="N35" s="17">
        <v>0</v>
      </c>
      <c r="O35" s="73">
        <v>0</v>
      </c>
      <c r="P35" s="73"/>
      <c r="Q35" s="73"/>
      <c r="R35" s="19">
        <v>20</v>
      </c>
      <c r="S35" s="19">
        <v>0</v>
      </c>
      <c r="T35" s="19">
        <v>20</v>
      </c>
      <c r="U35" s="74">
        <v>1</v>
      </c>
      <c r="V35" s="74"/>
      <c r="W35" s="19">
        <v>20</v>
      </c>
      <c r="X35" s="15" t="s">
        <v>36</v>
      </c>
      <c r="Y35" s="18">
        <v>20</v>
      </c>
      <c r="Z35" s="2"/>
    </row>
    <row r="36" spans="1:26" ht="12.75" customHeight="1" x14ac:dyDescent="0.2">
      <c r="A36" s="93" t="s">
        <v>65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 ht="203.45" customHeight="1" x14ac:dyDescent="0.2">
      <c r="A37" s="97" t="s">
        <v>66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7.100000000000001" customHeight="1" x14ac:dyDescent="0.2">
      <c r="A38" s="63" t="s">
        <v>67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2"/>
    </row>
    <row r="39" spans="1:26" ht="14.25" customHeight="1" x14ac:dyDescent="0.2">
      <c r="A39" s="64" t="s">
        <v>38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1"/>
    </row>
    <row r="40" spans="1:26" ht="38.25" customHeight="1" x14ac:dyDescent="0.2">
      <c r="A40" s="5" t="s">
        <v>15</v>
      </c>
      <c r="B40" s="6" t="s">
        <v>16</v>
      </c>
      <c r="C40" s="65" t="s">
        <v>17</v>
      </c>
      <c r="D40" s="65"/>
      <c r="E40" s="65"/>
      <c r="F40" s="5" t="s">
        <v>47</v>
      </c>
      <c r="G40" s="98" t="s">
        <v>68</v>
      </c>
      <c r="H40" s="98"/>
      <c r="I40" s="7" t="s">
        <v>19</v>
      </c>
      <c r="J40" s="5" t="s">
        <v>20</v>
      </c>
      <c r="K40" s="67" t="s">
        <v>21</v>
      </c>
      <c r="L40" s="67"/>
      <c r="M40" s="6" t="s">
        <v>22</v>
      </c>
      <c r="N40" s="7" t="s">
        <v>23</v>
      </c>
      <c r="O40" s="68" t="s">
        <v>24</v>
      </c>
      <c r="P40" s="68"/>
      <c r="Q40" s="68"/>
      <c r="R40" s="9" t="s">
        <v>25</v>
      </c>
      <c r="S40" s="10" t="s">
        <v>26</v>
      </c>
      <c r="T40" s="5" t="s">
        <v>27</v>
      </c>
      <c r="U40" s="69" t="s">
        <v>28</v>
      </c>
      <c r="V40" s="69"/>
      <c r="W40" s="11" t="s">
        <v>29</v>
      </c>
      <c r="X40" s="5" t="s">
        <v>30</v>
      </c>
      <c r="Y40" s="11" t="s">
        <v>31</v>
      </c>
      <c r="Z40" s="3"/>
    </row>
    <row r="41" spans="1:26" ht="5.25" customHeight="1" x14ac:dyDescent="0.2">
      <c r="A41" s="26"/>
      <c r="B41" s="26"/>
      <c r="C41" s="82"/>
      <c r="D41" s="82"/>
      <c r="E41" s="82"/>
      <c r="F41" s="26"/>
      <c r="G41" s="82"/>
      <c r="H41" s="82"/>
      <c r="I41" s="26"/>
      <c r="J41" s="26"/>
      <c r="K41" s="82"/>
      <c r="L41" s="82"/>
      <c r="M41" s="26"/>
      <c r="N41" s="26"/>
      <c r="O41" s="82"/>
      <c r="P41" s="82"/>
      <c r="Q41" s="82"/>
      <c r="R41" s="26"/>
      <c r="S41" s="26"/>
      <c r="T41" s="26"/>
      <c r="U41" s="82"/>
      <c r="V41" s="82"/>
      <c r="W41" s="26"/>
      <c r="X41" s="26"/>
      <c r="Y41" s="26"/>
      <c r="Z41" s="1"/>
    </row>
    <row r="42" spans="1:26" ht="12" customHeight="1" x14ac:dyDescent="0.2">
      <c r="A42" s="27">
        <v>112169555</v>
      </c>
      <c r="B42" s="28" t="s">
        <v>69</v>
      </c>
      <c r="C42" s="83" t="s">
        <v>70</v>
      </c>
      <c r="D42" s="83"/>
      <c r="E42" s="83"/>
      <c r="F42" s="29" t="s">
        <v>71</v>
      </c>
      <c r="G42" s="84">
        <v>45658</v>
      </c>
      <c r="H42" s="84"/>
      <c r="I42" s="30">
        <v>46022</v>
      </c>
      <c r="J42" s="29" t="s">
        <v>35</v>
      </c>
      <c r="K42" s="85" t="s">
        <v>36</v>
      </c>
      <c r="L42" s="85"/>
      <c r="M42" s="48">
        <v>1036.31</v>
      </c>
      <c r="N42" s="33">
        <v>0</v>
      </c>
      <c r="O42" s="86">
        <v>0</v>
      </c>
      <c r="P42" s="86"/>
      <c r="Q42" s="86"/>
      <c r="R42" s="35">
        <v>20</v>
      </c>
      <c r="S42" s="35">
        <v>0</v>
      </c>
      <c r="T42" s="35">
        <v>20</v>
      </c>
      <c r="U42" s="87">
        <v>1</v>
      </c>
      <c r="V42" s="87"/>
      <c r="W42" s="35">
        <v>20</v>
      </c>
      <c r="X42" s="29" t="s">
        <v>36</v>
      </c>
      <c r="Y42" s="34">
        <v>20</v>
      </c>
      <c r="Z42" s="1"/>
    </row>
    <row r="43" spans="1:26" ht="12" customHeight="1" x14ac:dyDescent="0.2">
      <c r="A43" s="36">
        <v>112180553</v>
      </c>
      <c r="B43" s="37" t="s">
        <v>72</v>
      </c>
      <c r="C43" s="88" t="s">
        <v>73</v>
      </c>
      <c r="D43" s="88"/>
      <c r="E43" s="88"/>
      <c r="F43" s="38" t="s">
        <v>71</v>
      </c>
      <c r="G43" s="89">
        <v>45658</v>
      </c>
      <c r="H43" s="89"/>
      <c r="I43" s="39">
        <v>46022</v>
      </c>
      <c r="J43" s="38" t="s">
        <v>35</v>
      </c>
      <c r="K43" s="90" t="s">
        <v>36</v>
      </c>
      <c r="L43" s="90"/>
      <c r="M43" s="42">
        <v>773.7</v>
      </c>
      <c r="N43" s="41">
        <v>0</v>
      </c>
      <c r="O43" s="91">
        <v>0</v>
      </c>
      <c r="P43" s="91"/>
      <c r="Q43" s="91"/>
      <c r="R43" s="43">
        <v>20</v>
      </c>
      <c r="S43" s="43">
        <v>0</v>
      </c>
      <c r="T43" s="43">
        <v>20</v>
      </c>
      <c r="U43" s="92">
        <v>1</v>
      </c>
      <c r="V43" s="92"/>
      <c r="W43" s="43">
        <v>20</v>
      </c>
      <c r="X43" s="38" t="s">
        <v>36</v>
      </c>
      <c r="Y43" s="42">
        <v>20</v>
      </c>
      <c r="Z43" s="1"/>
    </row>
    <row r="44" spans="1:26" ht="12.6" customHeight="1" x14ac:dyDescent="0.2">
      <c r="A44" s="27">
        <v>112212429</v>
      </c>
      <c r="B44" s="28" t="s">
        <v>74</v>
      </c>
      <c r="C44" s="83" t="s">
        <v>75</v>
      </c>
      <c r="D44" s="83"/>
      <c r="E44" s="83"/>
      <c r="F44" s="29" t="s">
        <v>71</v>
      </c>
      <c r="G44" s="84">
        <v>45809</v>
      </c>
      <c r="H44" s="84"/>
      <c r="I44" s="30">
        <v>46022</v>
      </c>
      <c r="J44" s="29" t="s">
        <v>35</v>
      </c>
      <c r="K44" s="85" t="s">
        <v>36</v>
      </c>
      <c r="L44" s="85"/>
      <c r="M44" s="34">
        <v>232.94</v>
      </c>
      <c r="N44" s="33">
        <v>0</v>
      </c>
      <c r="O44" s="86">
        <v>0</v>
      </c>
      <c r="P44" s="86"/>
      <c r="Q44" s="86"/>
      <c r="R44" s="35">
        <v>20</v>
      </c>
      <c r="S44" s="35">
        <v>0</v>
      </c>
      <c r="T44" s="35">
        <v>20</v>
      </c>
      <c r="U44" s="87">
        <v>1</v>
      </c>
      <c r="V44" s="87"/>
      <c r="W44" s="35">
        <v>20</v>
      </c>
      <c r="X44" s="29" t="s">
        <v>36</v>
      </c>
      <c r="Y44" s="34">
        <v>20</v>
      </c>
      <c r="Z44" s="1"/>
    </row>
    <row r="45" spans="1:26" ht="30" customHeight="1" x14ac:dyDescent="0.2">
      <c r="A45" s="93" t="s">
        <v>76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64.5" customHeight="1" x14ac:dyDescent="0.2">
      <c r="A46" s="94" t="s">
        <v>77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spans="1:26" ht="17.100000000000001" customHeight="1" x14ac:dyDescent="0.2">
      <c r="A47" s="63" t="s">
        <v>78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2"/>
    </row>
    <row r="48" spans="1:26" ht="14.25" customHeight="1" x14ac:dyDescent="0.2">
      <c r="A48" s="64" t="s">
        <v>14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1"/>
    </row>
    <row r="49" spans="1:26" ht="38.25" customHeight="1" x14ac:dyDescent="0.2">
      <c r="A49" s="5" t="s">
        <v>15</v>
      </c>
      <c r="B49" s="6" t="s">
        <v>16</v>
      </c>
      <c r="C49" s="65" t="s">
        <v>17</v>
      </c>
      <c r="D49" s="65"/>
      <c r="E49" s="65"/>
      <c r="F49" s="5" t="s">
        <v>47</v>
      </c>
      <c r="G49" s="98" t="s">
        <v>68</v>
      </c>
      <c r="H49" s="98"/>
      <c r="I49" s="7" t="s">
        <v>19</v>
      </c>
      <c r="J49" s="5" t="s">
        <v>20</v>
      </c>
      <c r="K49" s="67" t="s">
        <v>21</v>
      </c>
      <c r="L49" s="67"/>
      <c r="M49" s="6" t="s">
        <v>22</v>
      </c>
      <c r="N49" s="7" t="s">
        <v>23</v>
      </c>
      <c r="O49" s="68" t="s">
        <v>24</v>
      </c>
      <c r="P49" s="68"/>
      <c r="Q49" s="68"/>
      <c r="R49" s="9" t="s">
        <v>25</v>
      </c>
      <c r="S49" s="10" t="s">
        <v>26</v>
      </c>
      <c r="T49" s="5" t="s">
        <v>27</v>
      </c>
      <c r="U49" s="69" t="s">
        <v>28</v>
      </c>
      <c r="V49" s="69"/>
      <c r="W49" s="11" t="s">
        <v>29</v>
      </c>
      <c r="X49" s="5" t="s">
        <v>30</v>
      </c>
      <c r="Y49" s="11" t="s">
        <v>31</v>
      </c>
      <c r="Z49" s="3"/>
    </row>
    <row r="50" spans="1:26" ht="17.100000000000001" customHeight="1" x14ac:dyDescent="0.2">
      <c r="A50" s="12">
        <v>112342893</v>
      </c>
      <c r="B50" s="13" t="s">
        <v>79</v>
      </c>
      <c r="C50" s="70" t="s">
        <v>55</v>
      </c>
      <c r="D50" s="70"/>
      <c r="E50" s="70"/>
      <c r="F50" s="15" t="s">
        <v>53</v>
      </c>
      <c r="G50" s="96">
        <v>45658</v>
      </c>
      <c r="H50" s="96"/>
      <c r="I50" s="14"/>
      <c r="J50" s="15" t="s">
        <v>35</v>
      </c>
      <c r="K50" s="72" t="s">
        <v>36</v>
      </c>
      <c r="L50" s="72"/>
      <c r="M50" s="18">
        <v>928.13</v>
      </c>
      <c r="N50" s="17">
        <v>0</v>
      </c>
      <c r="O50" s="73">
        <v>0</v>
      </c>
      <c r="P50" s="73"/>
      <c r="Q50" s="73"/>
      <c r="R50" s="19">
        <v>21</v>
      </c>
      <c r="S50" s="19">
        <v>0</v>
      </c>
      <c r="T50" s="19">
        <v>21</v>
      </c>
      <c r="U50" s="74">
        <v>1</v>
      </c>
      <c r="V50" s="74"/>
      <c r="W50" s="19">
        <v>21</v>
      </c>
      <c r="X50" s="15" t="s">
        <v>36</v>
      </c>
      <c r="Y50" s="18">
        <v>21</v>
      </c>
      <c r="Z50" s="2"/>
    </row>
    <row r="51" spans="1:26" ht="12" customHeight="1" x14ac:dyDescent="0.2">
      <c r="A51" s="27">
        <v>112407726</v>
      </c>
      <c r="B51" s="28" t="s">
        <v>80</v>
      </c>
      <c r="C51" s="83" t="s">
        <v>55</v>
      </c>
      <c r="D51" s="83"/>
      <c r="E51" s="83"/>
      <c r="F51" s="29" t="s">
        <v>81</v>
      </c>
      <c r="G51" s="84">
        <v>45689</v>
      </c>
      <c r="H51" s="84"/>
      <c r="I51" s="31"/>
      <c r="J51" s="29" t="s">
        <v>35</v>
      </c>
      <c r="K51" s="85" t="s">
        <v>36</v>
      </c>
      <c r="L51" s="85"/>
      <c r="M51" s="34">
        <v>800.87</v>
      </c>
      <c r="N51" s="33">
        <v>0</v>
      </c>
      <c r="O51" s="86">
        <v>0</v>
      </c>
      <c r="P51" s="86"/>
      <c r="Q51" s="86"/>
      <c r="R51" s="35">
        <v>24</v>
      </c>
      <c r="S51" s="35">
        <v>0</v>
      </c>
      <c r="T51" s="35">
        <v>24</v>
      </c>
      <c r="U51" s="87">
        <v>2</v>
      </c>
      <c r="V51" s="87"/>
      <c r="W51" s="35">
        <v>48</v>
      </c>
      <c r="X51" s="29" t="s">
        <v>36</v>
      </c>
      <c r="Y51" s="34">
        <v>48</v>
      </c>
      <c r="Z51" s="1"/>
    </row>
    <row r="52" spans="1:26" ht="12" customHeight="1" x14ac:dyDescent="0.2">
      <c r="A52" s="36">
        <v>112514281</v>
      </c>
      <c r="B52" s="37" t="s">
        <v>82</v>
      </c>
      <c r="C52" s="88" t="s">
        <v>83</v>
      </c>
      <c r="D52" s="88"/>
      <c r="E52" s="88"/>
      <c r="F52" s="38" t="s">
        <v>81</v>
      </c>
      <c r="G52" s="89">
        <v>45778</v>
      </c>
      <c r="H52" s="89"/>
      <c r="I52" s="1"/>
      <c r="J52" s="38" t="s">
        <v>35</v>
      </c>
      <c r="K52" s="90" t="s">
        <v>36</v>
      </c>
      <c r="L52" s="90"/>
      <c r="M52" s="42">
        <v>882.46</v>
      </c>
      <c r="N52" s="41">
        <v>0</v>
      </c>
      <c r="O52" s="91">
        <v>0</v>
      </c>
      <c r="P52" s="91"/>
      <c r="Q52" s="91"/>
      <c r="R52" s="43">
        <v>24</v>
      </c>
      <c r="S52" s="43">
        <v>0</v>
      </c>
      <c r="T52" s="43">
        <v>24</v>
      </c>
      <c r="U52" s="92">
        <v>3</v>
      </c>
      <c r="V52" s="92"/>
      <c r="W52" s="43">
        <v>72</v>
      </c>
      <c r="X52" s="38" t="s">
        <v>36</v>
      </c>
      <c r="Y52" s="42">
        <v>72</v>
      </c>
      <c r="Z52" s="1"/>
    </row>
    <row r="53" spans="1:26" ht="12" customHeight="1" x14ac:dyDescent="0.2">
      <c r="A53" s="27">
        <v>112555327</v>
      </c>
      <c r="B53" s="28" t="s">
        <v>84</v>
      </c>
      <c r="C53" s="83" t="s">
        <v>52</v>
      </c>
      <c r="D53" s="83"/>
      <c r="E53" s="83"/>
      <c r="F53" s="29" t="s">
        <v>81</v>
      </c>
      <c r="G53" s="84">
        <v>45809</v>
      </c>
      <c r="H53" s="84"/>
      <c r="I53" s="31"/>
      <c r="J53" s="29" t="s">
        <v>35</v>
      </c>
      <c r="K53" s="85" t="s">
        <v>36</v>
      </c>
      <c r="L53" s="85"/>
      <c r="M53" s="48">
        <v>1415.31</v>
      </c>
      <c r="N53" s="33">
        <v>0</v>
      </c>
      <c r="O53" s="86">
        <v>0</v>
      </c>
      <c r="P53" s="86"/>
      <c r="Q53" s="86"/>
      <c r="R53" s="35">
        <v>24</v>
      </c>
      <c r="S53" s="35">
        <v>0</v>
      </c>
      <c r="T53" s="35">
        <v>24</v>
      </c>
      <c r="U53" s="87">
        <v>2</v>
      </c>
      <c r="V53" s="87"/>
      <c r="W53" s="35">
        <v>48</v>
      </c>
      <c r="X53" s="29" t="s">
        <v>36</v>
      </c>
      <c r="Y53" s="34">
        <v>48</v>
      </c>
      <c r="Z53" s="1"/>
    </row>
    <row r="54" spans="1:26" ht="17.45" customHeight="1" x14ac:dyDescent="0.2">
      <c r="A54" s="36">
        <v>112555365</v>
      </c>
      <c r="B54" s="37" t="s">
        <v>85</v>
      </c>
      <c r="C54" s="88" t="s">
        <v>52</v>
      </c>
      <c r="D54" s="88"/>
      <c r="E54" s="88"/>
      <c r="F54" s="38" t="s">
        <v>81</v>
      </c>
      <c r="G54" s="89">
        <v>45809</v>
      </c>
      <c r="H54" s="89"/>
      <c r="I54" s="2"/>
      <c r="J54" s="38" t="s">
        <v>35</v>
      </c>
      <c r="K54" s="90" t="s">
        <v>36</v>
      </c>
      <c r="L54" s="90"/>
      <c r="M54" s="42">
        <v>281.79000000000002</v>
      </c>
      <c r="N54" s="41">
        <v>0</v>
      </c>
      <c r="O54" s="91">
        <v>0</v>
      </c>
      <c r="P54" s="91"/>
      <c r="Q54" s="91"/>
      <c r="R54" s="43">
        <v>24</v>
      </c>
      <c r="S54" s="43">
        <v>0</v>
      </c>
      <c r="T54" s="43">
        <v>24</v>
      </c>
      <c r="U54" s="92">
        <v>1</v>
      </c>
      <c r="V54" s="92"/>
      <c r="W54" s="43">
        <v>24</v>
      </c>
      <c r="X54" s="38" t="s">
        <v>36</v>
      </c>
      <c r="Y54" s="42">
        <v>24</v>
      </c>
      <c r="Z54" s="2"/>
    </row>
    <row r="55" spans="1:26" ht="12.75" customHeight="1" x14ac:dyDescent="0.2">
      <c r="A55" s="75" t="s">
        <v>86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14.25" customHeight="1" x14ac:dyDescent="0.2">
      <c r="A56" s="99" t="s">
        <v>38</v>
      </c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spans="1:26" ht="25.5" customHeight="1" x14ac:dyDescent="0.2">
      <c r="A57" s="14"/>
      <c r="B57" s="14"/>
      <c r="C57" s="77"/>
      <c r="D57" s="77"/>
      <c r="E57" s="77"/>
      <c r="F57" s="77"/>
      <c r="G57" s="78" t="s">
        <v>39</v>
      </c>
      <c r="H57" s="78"/>
      <c r="I57" s="22" t="s">
        <v>40</v>
      </c>
      <c r="J57" s="14"/>
      <c r="K57" s="77"/>
      <c r="L57" s="77"/>
      <c r="M57" s="14"/>
      <c r="N57" s="23" t="s">
        <v>41</v>
      </c>
      <c r="O57" s="79" t="s">
        <v>42</v>
      </c>
      <c r="P57" s="79"/>
      <c r="Q57" s="79"/>
      <c r="R57" s="24" t="s">
        <v>43</v>
      </c>
      <c r="S57" s="24" t="s">
        <v>44</v>
      </c>
      <c r="T57" s="14"/>
      <c r="U57" s="78" t="s">
        <v>45</v>
      </c>
      <c r="V57" s="78"/>
      <c r="W57" s="24" t="s">
        <v>42</v>
      </c>
      <c r="X57" s="14"/>
      <c r="Y57" s="24" t="s">
        <v>46</v>
      </c>
    </row>
    <row r="58" spans="1:26" ht="12.75" customHeight="1" x14ac:dyDescent="0.2">
      <c r="A58" s="11" t="s">
        <v>15</v>
      </c>
      <c r="B58" s="8" t="s">
        <v>16</v>
      </c>
      <c r="C58" s="68" t="s">
        <v>17</v>
      </c>
      <c r="D58" s="68"/>
      <c r="E58" s="100" t="s">
        <v>47</v>
      </c>
      <c r="F58" s="100"/>
      <c r="G58" s="80" t="s">
        <v>48</v>
      </c>
      <c r="H58" s="80"/>
      <c r="I58" s="11" t="s">
        <v>48</v>
      </c>
      <c r="J58" s="11" t="s">
        <v>20</v>
      </c>
      <c r="K58" s="80" t="s">
        <v>21</v>
      </c>
      <c r="L58" s="80"/>
      <c r="M58" s="8" t="s">
        <v>22</v>
      </c>
      <c r="N58" s="8" t="s">
        <v>22</v>
      </c>
      <c r="O58" s="81" t="s">
        <v>22</v>
      </c>
      <c r="P58" s="81"/>
      <c r="Q58" s="81"/>
      <c r="R58" s="11" t="s">
        <v>27</v>
      </c>
      <c r="S58" s="11" t="s">
        <v>27</v>
      </c>
      <c r="T58" s="11" t="s">
        <v>27</v>
      </c>
      <c r="U58" s="80" t="s">
        <v>49</v>
      </c>
      <c r="V58" s="80"/>
      <c r="W58" s="11" t="s">
        <v>27</v>
      </c>
      <c r="X58" s="11" t="s">
        <v>30</v>
      </c>
      <c r="Y58" s="11" t="s">
        <v>50</v>
      </c>
    </row>
    <row r="59" spans="1:26" ht="6" customHeight="1" x14ac:dyDescent="0.2">
      <c r="A59" s="1"/>
      <c r="B59" s="1"/>
      <c r="C59" s="52"/>
      <c r="D59" s="52"/>
      <c r="E59" s="52"/>
      <c r="F59" s="52"/>
      <c r="G59" s="52"/>
      <c r="H59" s="52"/>
      <c r="I59" s="1"/>
      <c r="J59" s="1"/>
      <c r="K59" s="52"/>
      <c r="L59" s="52"/>
      <c r="M59" s="1"/>
      <c r="N59" s="1"/>
      <c r="O59" s="52"/>
      <c r="P59" s="52"/>
      <c r="Q59" s="52"/>
      <c r="R59" s="1"/>
      <c r="S59" s="1"/>
      <c r="T59" s="1"/>
      <c r="U59" s="52"/>
      <c r="V59" s="52"/>
      <c r="W59" s="1"/>
      <c r="X59" s="1"/>
      <c r="Y59" s="1"/>
    </row>
    <row r="60" spans="1:26" ht="12" customHeight="1" x14ac:dyDescent="0.2">
      <c r="A60" s="27">
        <v>109263551</v>
      </c>
      <c r="B60" s="28" t="s">
        <v>87</v>
      </c>
      <c r="C60" s="83" t="s">
        <v>88</v>
      </c>
      <c r="D60" s="83"/>
      <c r="E60" s="85" t="s">
        <v>81</v>
      </c>
      <c r="F60" s="85"/>
      <c r="G60" s="84">
        <v>45658</v>
      </c>
      <c r="H60" s="84"/>
      <c r="I60" s="31"/>
      <c r="J60" s="29" t="s">
        <v>35</v>
      </c>
      <c r="K60" s="85" t="s">
        <v>36</v>
      </c>
      <c r="L60" s="85"/>
      <c r="M60" s="48">
        <v>2045.31</v>
      </c>
      <c r="N60" s="33">
        <v>0</v>
      </c>
      <c r="O60" s="86">
        <v>0</v>
      </c>
      <c r="P60" s="86"/>
      <c r="Q60" s="86"/>
      <c r="R60" s="35">
        <v>24</v>
      </c>
      <c r="S60" s="35">
        <v>0</v>
      </c>
      <c r="T60" s="35">
        <v>24</v>
      </c>
      <c r="U60" s="87">
        <v>2</v>
      </c>
      <c r="V60" s="87"/>
      <c r="W60" s="35">
        <v>48</v>
      </c>
      <c r="X60" s="29" t="s">
        <v>36</v>
      </c>
      <c r="Y60" s="34">
        <v>48</v>
      </c>
    </row>
    <row r="61" spans="1:26" ht="12" customHeight="1" x14ac:dyDescent="0.2">
      <c r="A61" s="36">
        <v>109376890</v>
      </c>
      <c r="B61" s="37" t="s">
        <v>89</v>
      </c>
      <c r="C61" s="88" t="s">
        <v>52</v>
      </c>
      <c r="D61" s="88"/>
      <c r="E61" s="101" t="s">
        <v>53</v>
      </c>
      <c r="F61" s="101"/>
      <c r="G61" s="89">
        <v>45658</v>
      </c>
      <c r="H61" s="89"/>
      <c r="I61" s="1"/>
      <c r="J61" s="38" t="s">
        <v>35</v>
      </c>
      <c r="K61" s="90" t="s">
        <v>36</v>
      </c>
      <c r="L61" s="90"/>
      <c r="M61" s="49">
        <v>1156.82</v>
      </c>
      <c r="N61" s="41">
        <v>0</v>
      </c>
      <c r="O61" s="91">
        <v>0</v>
      </c>
      <c r="P61" s="91"/>
      <c r="Q61" s="91"/>
      <c r="R61" s="43">
        <v>21</v>
      </c>
      <c r="S61" s="43">
        <v>0</v>
      </c>
      <c r="T61" s="43">
        <v>21</v>
      </c>
      <c r="U61" s="92">
        <v>1</v>
      </c>
      <c r="V61" s="92"/>
      <c r="W61" s="43">
        <v>21</v>
      </c>
      <c r="X61" s="38" t="s">
        <v>36</v>
      </c>
      <c r="Y61" s="42">
        <v>21</v>
      </c>
    </row>
    <row r="62" spans="1:26" ht="12" customHeight="1" x14ac:dyDescent="0.2">
      <c r="A62" s="27">
        <v>109408841</v>
      </c>
      <c r="B62" s="28" t="s">
        <v>90</v>
      </c>
      <c r="C62" s="83" t="s">
        <v>52</v>
      </c>
      <c r="D62" s="83"/>
      <c r="E62" s="102" t="s">
        <v>53</v>
      </c>
      <c r="F62" s="102"/>
      <c r="G62" s="84">
        <v>45658</v>
      </c>
      <c r="H62" s="84"/>
      <c r="I62" s="31"/>
      <c r="J62" s="29" t="s">
        <v>35</v>
      </c>
      <c r="K62" s="85" t="s">
        <v>36</v>
      </c>
      <c r="L62" s="85"/>
      <c r="M62" s="34">
        <v>809.07</v>
      </c>
      <c r="N62" s="33">
        <v>0</v>
      </c>
      <c r="O62" s="86">
        <v>0</v>
      </c>
      <c r="P62" s="86"/>
      <c r="Q62" s="86"/>
      <c r="R62" s="35">
        <v>21</v>
      </c>
      <c r="S62" s="35">
        <v>0</v>
      </c>
      <c r="T62" s="35">
        <v>21</v>
      </c>
      <c r="U62" s="87">
        <v>1</v>
      </c>
      <c r="V62" s="87"/>
      <c r="W62" s="35">
        <v>21</v>
      </c>
      <c r="X62" s="29" t="s">
        <v>36</v>
      </c>
      <c r="Y62" s="34">
        <v>21</v>
      </c>
    </row>
    <row r="63" spans="1:26" ht="12" customHeight="1" x14ac:dyDescent="0.2">
      <c r="A63" s="36">
        <v>109839671</v>
      </c>
      <c r="B63" s="37" t="s">
        <v>91</v>
      </c>
      <c r="C63" s="88" t="s">
        <v>52</v>
      </c>
      <c r="D63" s="88"/>
      <c r="E63" s="101" t="s">
        <v>53</v>
      </c>
      <c r="F63" s="101"/>
      <c r="G63" s="89">
        <v>45658</v>
      </c>
      <c r="H63" s="89"/>
      <c r="I63" s="1"/>
      <c r="J63" s="38" t="s">
        <v>35</v>
      </c>
      <c r="K63" s="90" t="s">
        <v>36</v>
      </c>
      <c r="L63" s="90"/>
      <c r="M63" s="42">
        <v>885.1</v>
      </c>
      <c r="N63" s="41">
        <v>0</v>
      </c>
      <c r="O63" s="91">
        <v>0</v>
      </c>
      <c r="P63" s="91"/>
      <c r="Q63" s="91"/>
      <c r="R63" s="43">
        <v>21</v>
      </c>
      <c r="S63" s="43">
        <v>0</v>
      </c>
      <c r="T63" s="43">
        <v>21</v>
      </c>
      <c r="U63" s="92">
        <v>1</v>
      </c>
      <c r="V63" s="92"/>
      <c r="W63" s="43">
        <v>21</v>
      </c>
      <c r="X63" s="38" t="s">
        <v>36</v>
      </c>
      <c r="Y63" s="42">
        <v>21</v>
      </c>
    </row>
    <row r="64" spans="1:26" ht="12" customHeight="1" x14ac:dyDescent="0.2">
      <c r="A64" s="27">
        <v>110661324</v>
      </c>
      <c r="B64" s="28" t="s">
        <v>92</v>
      </c>
      <c r="C64" s="83" t="s">
        <v>52</v>
      </c>
      <c r="D64" s="83"/>
      <c r="E64" s="102" t="s">
        <v>93</v>
      </c>
      <c r="F64" s="102"/>
      <c r="G64" s="84">
        <v>45658</v>
      </c>
      <c r="H64" s="84"/>
      <c r="I64" s="31"/>
      <c r="J64" s="29" t="s">
        <v>35</v>
      </c>
      <c r="K64" s="85" t="s">
        <v>36</v>
      </c>
      <c r="L64" s="85"/>
      <c r="M64" s="48">
        <v>1458.59</v>
      </c>
      <c r="N64" s="33">
        <v>0.04</v>
      </c>
      <c r="O64" s="86">
        <v>58.34</v>
      </c>
      <c r="P64" s="86"/>
      <c r="Q64" s="86"/>
      <c r="R64" s="35">
        <v>0</v>
      </c>
      <c r="S64" s="35">
        <v>0</v>
      </c>
      <c r="T64" s="35">
        <v>0</v>
      </c>
      <c r="U64" s="87">
        <v>2</v>
      </c>
      <c r="V64" s="87"/>
      <c r="W64" s="35">
        <v>0</v>
      </c>
      <c r="X64" s="29" t="s">
        <v>36</v>
      </c>
      <c r="Y64" s="34">
        <v>58.34</v>
      </c>
    </row>
    <row r="65" spans="1:25" ht="12" customHeight="1" x14ac:dyDescent="0.2">
      <c r="A65" s="36">
        <v>110913614</v>
      </c>
      <c r="B65" s="37" t="s">
        <v>94</v>
      </c>
      <c r="C65" s="88" t="s">
        <v>33</v>
      </c>
      <c r="D65" s="88"/>
      <c r="E65" s="90" t="s">
        <v>81</v>
      </c>
      <c r="F65" s="90"/>
      <c r="G65" s="89">
        <v>45658</v>
      </c>
      <c r="H65" s="89"/>
      <c r="I65" s="1"/>
      <c r="J65" s="38" t="s">
        <v>35</v>
      </c>
      <c r="K65" s="90" t="s">
        <v>36</v>
      </c>
      <c r="L65" s="90"/>
      <c r="M65" s="42">
        <v>815.39</v>
      </c>
      <c r="N65" s="41">
        <v>0</v>
      </c>
      <c r="O65" s="91">
        <v>0</v>
      </c>
      <c r="P65" s="91"/>
      <c r="Q65" s="91"/>
      <c r="R65" s="43">
        <v>24</v>
      </c>
      <c r="S65" s="43">
        <v>0</v>
      </c>
      <c r="T65" s="43">
        <v>24</v>
      </c>
      <c r="U65" s="92">
        <v>1</v>
      </c>
      <c r="V65" s="92"/>
      <c r="W65" s="43">
        <v>24</v>
      </c>
      <c r="X65" s="38" t="s">
        <v>36</v>
      </c>
      <c r="Y65" s="42">
        <v>24</v>
      </c>
    </row>
    <row r="66" spans="1:25" ht="12" customHeight="1" x14ac:dyDescent="0.2">
      <c r="A66" s="27">
        <v>110987700</v>
      </c>
      <c r="B66" s="28" t="s">
        <v>95</v>
      </c>
      <c r="C66" s="83" t="s">
        <v>52</v>
      </c>
      <c r="D66" s="83"/>
      <c r="E66" s="102" t="s">
        <v>93</v>
      </c>
      <c r="F66" s="102"/>
      <c r="G66" s="84">
        <v>45658</v>
      </c>
      <c r="H66" s="84"/>
      <c r="I66" s="31"/>
      <c r="J66" s="29" t="s">
        <v>35</v>
      </c>
      <c r="K66" s="85" t="s">
        <v>36</v>
      </c>
      <c r="L66" s="85"/>
      <c r="M66" s="48">
        <v>1108.54</v>
      </c>
      <c r="N66" s="33">
        <v>0.04</v>
      </c>
      <c r="O66" s="86">
        <v>44.34</v>
      </c>
      <c r="P66" s="86"/>
      <c r="Q66" s="86"/>
      <c r="R66" s="35">
        <v>0</v>
      </c>
      <c r="S66" s="35">
        <v>0</v>
      </c>
      <c r="T66" s="35">
        <v>0</v>
      </c>
      <c r="U66" s="87">
        <v>1</v>
      </c>
      <c r="V66" s="87"/>
      <c r="W66" s="35">
        <v>0</v>
      </c>
      <c r="X66" s="29" t="s">
        <v>36</v>
      </c>
      <c r="Y66" s="34">
        <v>44.34</v>
      </c>
    </row>
    <row r="67" spans="1:25" ht="12" customHeight="1" x14ac:dyDescent="0.2">
      <c r="A67" s="36">
        <v>111057159</v>
      </c>
      <c r="B67" s="37" t="s">
        <v>96</v>
      </c>
      <c r="C67" s="88" t="s">
        <v>97</v>
      </c>
      <c r="D67" s="88"/>
      <c r="E67" s="90" t="s">
        <v>81</v>
      </c>
      <c r="F67" s="90"/>
      <c r="G67" s="89">
        <v>45658</v>
      </c>
      <c r="H67" s="89"/>
      <c r="I67" s="1"/>
      <c r="J67" s="38" t="s">
        <v>35</v>
      </c>
      <c r="K67" s="90" t="s">
        <v>36</v>
      </c>
      <c r="L67" s="90"/>
      <c r="M67" s="42">
        <v>747.08</v>
      </c>
      <c r="N67" s="41">
        <v>0</v>
      </c>
      <c r="O67" s="91">
        <v>0</v>
      </c>
      <c r="P67" s="91"/>
      <c r="Q67" s="91"/>
      <c r="R67" s="43">
        <v>25</v>
      </c>
      <c r="S67" s="43">
        <v>0</v>
      </c>
      <c r="T67" s="43">
        <v>25</v>
      </c>
      <c r="U67" s="92">
        <v>1</v>
      </c>
      <c r="V67" s="92"/>
      <c r="W67" s="43">
        <v>25</v>
      </c>
      <c r="X67" s="38" t="s">
        <v>36</v>
      </c>
      <c r="Y67" s="42">
        <v>25</v>
      </c>
    </row>
    <row r="68" spans="1:25" ht="12" customHeight="1" x14ac:dyDescent="0.2">
      <c r="A68" s="27">
        <v>111102853</v>
      </c>
      <c r="B68" s="28" t="s">
        <v>98</v>
      </c>
      <c r="C68" s="83" t="s">
        <v>52</v>
      </c>
      <c r="D68" s="83"/>
      <c r="E68" s="102" t="s">
        <v>93</v>
      </c>
      <c r="F68" s="102"/>
      <c r="G68" s="84">
        <v>45658</v>
      </c>
      <c r="H68" s="84"/>
      <c r="I68" s="31"/>
      <c r="J68" s="29" t="s">
        <v>35</v>
      </c>
      <c r="K68" s="85" t="s">
        <v>36</v>
      </c>
      <c r="L68" s="85"/>
      <c r="M68" s="34">
        <v>787.13</v>
      </c>
      <c r="N68" s="33">
        <v>0.04</v>
      </c>
      <c r="O68" s="86">
        <v>31.49</v>
      </c>
      <c r="P68" s="86"/>
      <c r="Q68" s="86"/>
      <c r="R68" s="35">
        <v>0</v>
      </c>
      <c r="S68" s="35">
        <v>0</v>
      </c>
      <c r="T68" s="35">
        <v>0</v>
      </c>
      <c r="U68" s="87">
        <v>1</v>
      </c>
      <c r="V68" s="87"/>
      <c r="W68" s="35">
        <v>0</v>
      </c>
      <c r="X68" s="29" t="s">
        <v>36</v>
      </c>
      <c r="Y68" s="34">
        <v>31.49</v>
      </c>
    </row>
    <row r="69" spans="1:25" ht="12" customHeight="1" x14ac:dyDescent="0.2">
      <c r="A69" s="36">
        <v>111110447</v>
      </c>
      <c r="B69" s="37" t="s">
        <v>99</v>
      </c>
      <c r="C69" s="88" t="s">
        <v>52</v>
      </c>
      <c r="D69" s="88"/>
      <c r="E69" s="90" t="s">
        <v>81</v>
      </c>
      <c r="F69" s="90"/>
      <c r="G69" s="89">
        <v>45658</v>
      </c>
      <c r="H69" s="89"/>
      <c r="I69" s="1"/>
      <c r="J69" s="38" t="s">
        <v>35</v>
      </c>
      <c r="K69" s="90" t="s">
        <v>36</v>
      </c>
      <c r="L69" s="90"/>
      <c r="M69" s="49">
        <v>1862.6</v>
      </c>
      <c r="N69" s="41">
        <v>0</v>
      </c>
      <c r="O69" s="91">
        <v>0</v>
      </c>
      <c r="P69" s="91"/>
      <c r="Q69" s="91"/>
      <c r="R69" s="43">
        <v>24</v>
      </c>
      <c r="S69" s="43">
        <v>0</v>
      </c>
      <c r="T69" s="43">
        <v>24</v>
      </c>
      <c r="U69" s="92">
        <v>2</v>
      </c>
      <c r="V69" s="92"/>
      <c r="W69" s="43">
        <v>48</v>
      </c>
      <c r="X69" s="38" t="s">
        <v>36</v>
      </c>
      <c r="Y69" s="42">
        <v>48</v>
      </c>
    </row>
    <row r="70" spans="1:25" ht="12" customHeight="1" x14ac:dyDescent="0.2">
      <c r="A70" s="27">
        <v>111241629</v>
      </c>
      <c r="B70" s="28" t="s">
        <v>100</v>
      </c>
      <c r="C70" s="83" t="s">
        <v>55</v>
      </c>
      <c r="D70" s="83"/>
      <c r="E70" s="85" t="s">
        <v>81</v>
      </c>
      <c r="F70" s="85"/>
      <c r="G70" s="84">
        <v>45658</v>
      </c>
      <c r="H70" s="84"/>
      <c r="I70" s="31"/>
      <c r="J70" s="29" t="s">
        <v>35</v>
      </c>
      <c r="K70" s="85" t="s">
        <v>36</v>
      </c>
      <c r="L70" s="85"/>
      <c r="M70" s="34">
        <v>885.9</v>
      </c>
      <c r="N70" s="33">
        <v>0</v>
      </c>
      <c r="O70" s="86">
        <v>0</v>
      </c>
      <c r="P70" s="86"/>
      <c r="Q70" s="86"/>
      <c r="R70" s="35">
        <v>25</v>
      </c>
      <c r="S70" s="35">
        <v>0</v>
      </c>
      <c r="T70" s="35">
        <v>25</v>
      </c>
      <c r="U70" s="87">
        <v>1</v>
      </c>
      <c r="V70" s="87"/>
      <c r="W70" s="35">
        <v>25</v>
      </c>
      <c r="X70" s="29" t="s">
        <v>36</v>
      </c>
      <c r="Y70" s="34">
        <v>25</v>
      </c>
    </row>
    <row r="71" spans="1:25" ht="12" customHeight="1" x14ac:dyDescent="0.2">
      <c r="A71" s="36">
        <v>111593834</v>
      </c>
      <c r="B71" s="37" t="s">
        <v>101</v>
      </c>
      <c r="C71" s="88" t="s">
        <v>55</v>
      </c>
      <c r="D71" s="88"/>
      <c r="E71" s="90" t="s">
        <v>81</v>
      </c>
      <c r="F71" s="90"/>
      <c r="G71" s="89">
        <v>45658</v>
      </c>
      <c r="H71" s="89"/>
      <c r="I71" s="1"/>
      <c r="J71" s="38" t="s">
        <v>35</v>
      </c>
      <c r="K71" s="90" t="s">
        <v>36</v>
      </c>
      <c r="L71" s="90"/>
      <c r="M71" s="42">
        <v>949.64</v>
      </c>
      <c r="N71" s="41">
        <v>0</v>
      </c>
      <c r="O71" s="91">
        <v>0</v>
      </c>
      <c r="P71" s="91"/>
      <c r="Q71" s="91"/>
      <c r="R71" s="43">
        <v>24</v>
      </c>
      <c r="S71" s="43">
        <v>0</v>
      </c>
      <c r="T71" s="43">
        <v>24</v>
      </c>
      <c r="U71" s="92">
        <v>1</v>
      </c>
      <c r="V71" s="92"/>
      <c r="W71" s="43">
        <v>24</v>
      </c>
      <c r="X71" s="38" t="s">
        <v>36</v>
      </c>
      <c r="Y71" s="42">
        <v>24</v>
      </c>
    </row>
    <row r="72" spans="1:25" ht="12" customHeight="1" x14ac:dyDescent="0.2">
      <c r="A72" s="27">
        <v>111786407</v>
      </c>
      <c r="B72" s="28" t="s">
        <v>102</v>
      </c>
      <c r="C72" s="83" t="s">
        <v>52</v>
      </c>
      <c r="D72" s="83"/>
      <c r="E72" s="102" t="s">
        <v>53</v>
      </c>
      <c r="F72" s="102"/>
      <c r="G72" s="84">
        <v>45658</v>
      </c>
      <c r="H72" s="84"/>
      <c r="I72" s="31"/>
      <c r="J72" s="29" t="s">
        <v>35</v>
      </c>
      <c r="K72" s="85" t="s">
        <v>36</v>
      </c>
      <c r="L72" s="85"/>
      <c r="M72" s="34">
        <v>899.5</v>
      </c>
      <c r="N72" s="33">
        <v>0</v>
      </c>
      <c r="O72" s="86">
        <v>0</v>
      </c>
      <c r="P72" s="86"/>
      <c r="Q72" s="86"/>
      <c r="R72" s="35">
        <v>21</v>
      </c>
      <c r="S72" s="35">
        <v>0</v>
      </c>
      <c r="T72" s="35">
        <v>21</v>
      </c>
      <c r="U72" s="87">
        <v>1</v>
      </c>
      <c r="V72" s="87"/>
      <c r="W72" s="35">
        <v>21</v>
      </c>
      <c r="X72" s="29" t="s">
        <v>36</v>
      </c>
      <c r="Y72" s="34">
        <v>21</v>
      </c>
    </row>
    <row r="73" spans="1:25" ht="12" customHeight="1" x14ac:dyDescent="0.2">
      <c r="A73" s="36">
        <v>111828564</v>
      </c>
      <c r="B73" s="37" t="s">
        <v>103</v>
      </c>
      <c r="C73" s="88" t="s">
        <v>52</v>
      </c>
      <c r="D73" s="88"/>
      <c r="E73" s="90" t="s">
        <v>81</v>
      </c>
      <c r="F73" s="90"/>
      <c r="G73" s="89">
        <v>45658</v>
      </c>
      <c r="H73" s="89"/>
      <c r="I73" s="1"/>
      <c r="J73" s="38" t="s">
        <v>35</v>
      </c>
      <c r="K73" s="90" t="s">
        <v>36</v>
      </c>
      <c r="L73" s="90"/>
      <c r="M73" s="42">
        <v>932.93</v>
      </c>
      <c r="N73" s="41">
        <v>0</v>
      </c>
      <c r="O73" s="91">
        <v>0</v>
      </c>
      <c r="P73" s="91"/>
      <c r="Q73" s="91"/>
      <c r="R73" s="43">
        <v>24</v>
      </c>
      <c r="S73" s="43">
        <v>0</v>
      </c>
      <c r="T73" s="43">
        <v>24</v>
      </c>
      <c r="U73" s="92">
        <v>1</v>
      </c>
      <c r="V73" s="92"/>
      <c r="W73" s="43">
        <v>24</v>
      </c>
      <c r="X73" s="38" t="s">
        <v>36</v>
      </c>
      <c r="Y73" s="42">
        <v>24</v>
      </c>
    </row>
    <row r="74" spans="1:25" ht="12" customHeight="1" x14ac:dyDescent="0.2">
      <c r="A74" s="27">
        <v>111849444</v>
      </c>
      <c r="B74" s="28" t="s">
        <v>104</v>
      </c>
      <c r="C74" s="83" t="s">
        <v>52</v>
      </c>
      <c r="D74" s="83"/>
      <c r="E74" s="102" t="s">
        <v>53</v>
      </c>
      <c r="F74" s="102"/>
      <c r="G74" s="84">
        <v>45658</v>
      </c>
      <c r="H74" s="84"/>
      <c r="I74" s="31"/>
      <c r="J74" s="29" t="s">
        <v>35</v>
      </c>
      <c r="K74" s="85" t="s">
        <v>36</v>
      </c>
      <c r="L74" s="85"/>
      <c r="M74" s="34">
        <v>730.69</v>
      </c>
      <c r="N74" s="33">
        <v>0</v>
      </c>
      <c r="O74" s="86">
        <v>0</v>
      </c>
      <c r="P74" s="86"/>
      <c r="Q74" s="86"/>
      <c r="R74" s="35">
        <v>21</v>
      </c>
      <c r="S74" s="35">
        <v>0</v>
      </c>
      <c r="T74" s="35">
        <v>21</v>
      </c>
      <c r="U74" s="87">
        <v>1</v>
      </c>
      <c r="V74" s="87"/>
      <c r="W74" s="35">
        <v>21</v>
      </c>
      <c r="X74" s="29" t="s">
        <v>36</v>
      </c>
      <c r="Y74" s="34">
        <v>21</v>
      </c>
    </row>
    <row r="75" spans="1:25" ht="21.95" customHeight="1" x14ac:dyDescent="0.2">
      <c r="A75" s="2"/>
      <c r="B75" s="2"/>
      <c r="C75" s="103" t="s">
        <v>105</v>
      </c>
      <c r="D75" s="103"/>
      <c r="E75" s="103"/>
      <c r="F75" s="103"/>
      <c r="G75" s="53"/>
      <c r="H75" s="53"/>
      <c r="I75" s="2"/>
      <c r="J75" s="2"/>
      <c r="K75" s="53"/>
      <c r="L75" s="53"/>
      <c r="M75" s="2"/>
      <c r="N75" s="2"/>
      <c r="O75" s="53"/>
      <c r="P75" s="53"/>
      <c r="Q75" s="53"/>
      <c r="R75" s="2"/>
      <c r="S75" s="2"/>
      <c r="T75" s="2"/>
      <c r="U75" s="53"/>
      <c r="V75" s="53"/>
      <c r="W75" s="2"/>
      <c r="X75" s="2"/>
      <c r="Y75" s="50">
        <v>457.17</v>
      </c>
    </row>
    <row r="76" spans="1:25" ht="18" customHeight="1" x14ac:dyDescent="0.2">
      <c r="A76" s="2"/>
      <c r="B76" s="103" t="s">
        <v>106</v>
      </c>
      <c r="C76" s="103"/>
      <c r="D76" s="103"/>
      <c r="E76" s="104">
        <v>8977234</v>
      </c>
      <c r="F76" s="104"/>
      <c r="G76" s="105" t="s">
        <v>107</v>
      </c>
      <c r="H76" s="105"/>
      <c r="I76" s="105"/>
      <c r="J76" s="2"/>
      <c r="K76" s="53"/>
      <c r="L76" s="53"/>
      <c r="M76" s="2"/>
      <c r="N76" s="2"/>
      <c r="O76" s="53"/>
      <c r="P76" s="53"/>
      <c r="Q76" s="53"/>
      <c r="R76" s="2"/>
      <c r="S76" s="2"/>
      <c r="T76" s="2"/>
      <c r="U76" s="53"/>
      <c r="V76" s="53"/>
      <c r="W76" s="2"/>
      <c r="X76" s="2"/>
      <c r="Y76" s="50">
        <v>670.17</v>
      </c>
    </row>
  </sheetData>
  <mergeCells count="315">
    <mergeCell ref="C75:F75"/>
    <mergeCell ref="G75:H75"/>
    <mergeCell ref="K75:L75"/>
    <mergeCell ref="O75:Q75"/>
    <mergeCell ref="U75:V75"/>
    <mergeCell ref="B76:D76"/>
    <mergeCell ref="E76:F76"/>
    <mergeCell ref="G76:I76"/>
    <mergeCell ref="K76:L76"/>
    <mergeCell ref="O76:Q76"/>
    <mergeCell ref="U76:V76"/>
    <mergeCell ref="C73:D73"/>
    <mergeCell ref="E73:F73"/>
    <mergeCell ref="G73:H73"/>
    <mergeCell ref="K73:L73"/>
    <mergeCell ref="O73:Q73"/>
    <mergeCell ref="U73:V73"/>
    <mergeCell ref="C74:D74"/>
    <mergeCell ref="E74:F74"/>
    <mergeCell ref="G74:H74"/>
    <mergeCell ref="K74:L74"/>
    <mergeCell ref="O74:Q74"/>
    <mergeCell ref="U74:V74"/>
    <mergeCell ref="C71:D71"/>
    <mergeCell ref="E71:F71"/>
    <mergeCell ref="G71:H71"/>
    <mergeCell ref="K71:L71"/>
    <mergeCell ref="O71:Q71"/>
    <mergeCell ref="U71:V71"/>
    <mergeCell ref="C72:D72"/>
    <mergeCell ref="E72:F72"/>
    <mergeCell ref="G72:H72"/>
    <mergeCell ref="K72:L72"/>
    <mergeCell ref="O72:Q72"/>
    <mergeCell ref="U72:V72"/>
    <mergeCell ref="C69:D69"/>
    <mergeCell ref="E69:F69"/>
    <mergeCell ref="G69:H69"/>
    <mergeCell ref="K69:L69"/>
    <mergeCell ref="O69:Q69"/>
    <mergeCell ref="U69:V69"/>
    <mergeCell ref="C70:D70"/>
    <mergeCell ref="E70:F70"/>
    <mergeCell ref="G70:H70"/>
    <mergeCell ref="K70:L70"/>
    <mergeCell ref="O70:Q70"/>
    <mergeCell ref="U70:V70"/>
    <mergeCell ref="C67:D67"/>
    <mergeCell ref="E67:F67"/>
    <mergeCell ref="G67:H67"/>
    <mergeCell ref="K67:L67"/>
    <mergeCell ref="O67:Q67"/>
    <mergeCell ref="U67:V67"/>
    <mergeCell ref="C68:D68"/>
    <mergeCell ref="E68:F68"/>
    <mergeCell ref="G68:H68"/>
    <mergeCell ref="K68:L68"/>
    <mergeCell ref="O68:Q68"/>
    <mergeCell ref="U68:V68"/>
    <mergeCell ref="C65:D65"/>
    <mergeCell ref="E65:F65"/>
    <mergeCell ref="G65:H65"/>
    <mergeCell ref="K65:L65"/>
    <mergeCell ref="O65:Q65"/>
    <mergeCell ref="U65:V65"/>
    <mergeCell ref="C66:D66"/>
    <mergeCell ref="E66:F66"/>
    <mergeCell ref="G66:H66"/>
    <mergeCell ref="K66:L66"/>
    <mergeCell ref="O66:Q66"/>
    <mergeCell ref="U66:V66"/>
    <mergeCell ref="C63:D63"/>
    <mergeCell ref="E63:F63"/>
    <mergeCell ref="G63:H63"/>
    <mergeCell ref="K63:L63"/>
    <mergeCell ref="O63:Q63"/>
    <mergeCell ref="U63:V63"/>
    <mergeCell ref="C64:D64"/>
    <mergeCell ref="E64:F64"/>
    <mergeCell ref="G64:H64"/>
    <mergeCell ref="K64:L64"/>
    <mergeCell ref="O64:Q64"/>
    <mergeCell ref="U64:V64"/>
    <mergeCell ref="C61:D61"/>
    <mergeCell ref="E61:F61"/>
    <mergeCell ref="G61:H61"/>
    <mergeCell ref="K61:L61"/>
    <mergeCell ref="O61:Q61"/>
    <mergeCell ref="U61:V61"/>
    <mergeCell ref="C62:D62"/>
    <mergeCell ref="E62:F62"/>
    <mergeCell ref="G62:H62"/>
    <mergeCell ref="K62:L62"/>
    <mergeCell ref="O62:Q62"/>
    <mergeCell ref="U62:V62"/>
    <mergeCell ref="C59:D59"/>
    <mergeCell ref="E59:F59"/>
    <mergeCell ref="G59:H59"/>
    <mergeCell ref="K59:L59"/>
    <mergeCell ref="O59:Q59"/>
    <mergeCell ref="U59:V59"/>
    <mergeCell ref="C60:D60"/>
    <mergeCell ref="E60:F60"/>
    <mergeCell ref="G60:H60"/>
    <mergeCell ref="K60:L60"/>
    <mergeCell ref="O60:Q60"/>
    <mergeCell ref="U60:V60"/>
    <mergeCell ref="A55:Z55"/>
    <mergeCell ref="A56:Y56"/>
    <mergeCell ref="C57:D57"/>
    <mergeCell ref="E57:F57"/>
    <mergeCell ref="G57:H57"/>
    <mergeCell ref="K57:L57"/>
    <mergeCell ref="O57:Q57"/>
    <mergeCell ref="U57:V57"/>
    <mergeCell ref="C58:D58"/>
    <mergeCell ref="E58:F58"/>
    <mergeCell ref="G58:H58"/>
    <mergeCell ref="K58:L58"/>
    <mergeCell ref="O58:Q58"/>
    <mergeCell ref="U58:V58"/>
    <mergeCell ref="C53:E53"/>
    <mergeCell ref="G53:H53"/>
    <mergeCell ref="K53:L53"/>
    <mergeCell ref="O53:Q53"/>
    <mergeCell ref="U53:V53"/>
    <mergeCell ref="C54:E54"/>
    <mergeCell ref="G54:H54"/>
    <mergeCell ref="K54:L54"/>
    <mergeCell ref="O54:Q54"/>
    <mergeCell ref="U54:V54"/>
    <mergeCell ref="C51:E51"/>
    <mergeCell ref="G51:H51"/>
    <mergeCell ref="K51:L51"/>
    <mergeCell ref="O51:Q51"/>
    <mergeCell ref="U51:V51"/>
    <mergeCell ref="C52:E52"/>
    <mergeCell ref="G52:H52"/>
    <mergeCell ref="K52:L52"/>
    <mergeCell ref="O52:Q52"/>
    <mergeCell ref="U52:V52"/>
    <mergeCell ref="C49:E49"/>
    <mergeCell ref="G49:H49"/>
    <mergeCell ref="K49:L49"/>
    <mergeCell ref="O49:Q49"/>
    <mergeCell ref="U49:V49"/>
    <mergeCell ref="C50:E50"/>
    <mergeCell ref="G50:H50"/>
    <mergeCell ref="K50:L50"/>
    <mergeCell ref="O50:Q50"/>
    <mergeCell ref="U50:V50"/>
    <mergeCell ref="C44:E44"/>
    <mergeCell ref="G44:H44"/>
    <mergeCell ref="K44:L44"/>
    <mergeCell ref="O44:Q44"/>
    <mergeCell ref="U44:V44"/>
    <mergeCell ref="A45:Z45"/>
    <mergeCell ref="A46:Z46"/>
    <mergeCell ref="A47:Y47"/>
    <mergeCell ref="A48:Y48"/>
    <mergeCell ref="C42:E42"/>
    <mergeCell ref="G42:H42"/>
    <mergeCell ref="K42:L42"/>
    <mergeCell ref="O42:Q42"/>
    <mergeCell ref="U42:V42"/>
    <mergeCell ref="C43:E43"/>
    <mergeCell ref="G43:H43"/>
    <mergeCell ref="K43:L43"/>
    <mergeCell ref="O43:Q43"/>
    <mergeCell ref="U43:V43"/>
    <mergeCell ref="C40:E40"/>
    <mergeCell ref="G40:H40"/>
    <mergeCell ref="K40:L40"/>
    <mergeCell ref="O40:Q40"/>
    <mergeCell ref="U40:V40"/>
    <mergeCell ref="C41:E41"/>
    <mergeCell ref="G41:H41"/>
    <mergeCell ref="K41:L41"/>
    <mergeCell ref="O41:Q41"/>
    <mergeCell ref="U41:V41"/>
    <mergeCell ref="C35:E35"/>
    <mergeCell ref="G35:H35"/>
    <mergeCell ref="K35:L35"/>
    <mergeCell ref="O35:Q35"/>
    <mergeCell ref="U35:V35"/>
    <mergeCell ref="A36:Z36"/>
    <mergeCell ref="A37:Z37"/>
    <mergeCell ref="A38:Y38"/>
    <mergeCell ref="A39:Y39"/>
    <mergeCell ref="A33:F33"/>
    <mergeCell ref="G33:H33"/>
    <mergeCell ref="K33:L33"/>
    <mergeCell ref="O33:Q33"/>
    <mergeCell ref="U33:V33"/>
    <mergeCell ref="C34:E34"/>
    <mergeCell ref="G34:H34"/>
    <mergeCell ref="K34:L34"/>
    <mergeCell ref="O34:Q34"/>
    <mergeCell ref="U34:V34"/>
    <mergeCell ref="C28:E28"/>
    <mergeCell ref="G28:H28"/>
    <mergeCell ref="K28:L28"/>
    <mergeCell ref="O28:Q28"/>
    <mergeCell ref="U28:V28"/>
    <mergeCell ref="A29:Z29"/>
    <mergeCell ref="A30:Z30"/>
    <mergeCell ref="A31:Y31"/>
    <mergeCell ref="A32:Y32"/>
    <mergeCell ref="C26:E26"/>
    <mergeCell ref="G26:H26"/>
    <mergeCell ref="K26:L26"/>
    <mergeCell ref="O26:Q26"/>
    <mergeCell ref="U26:V26"/>
    <mergeCell ref="C27:E27"/>
    <mergeCell ref="G27:H27"/>
    <mergeCell ref="K27:L27"/>
    <mergeCell ref="O27:Q27"/>
    <mergeCell ref="U27:V27"/>
    <mergeCell ref="C24:E24"/>
    <mergeCell ref="G24:H24"/>
    <mergeCell ref="K24:L24"/>
    <mergeCell ref="O24:Q24"/>
    <mergeCell ref="U24:V24"/>
    <mergeCell ref="C25:E25"/>
    <mergeCell ref="G25:H25"/>
    <mergeCell ref="K25:L25"/>
    <mergeCell ref="O25:Q25"/>
    <mergeCell ref="U25:V25"/>
    <mergeCell ref="C22:E22"/>
    <mergeCell ref="G22:H22"/>
    <mergeCell ref="K22:L22"/>
    <mergeCell ref="O22:Q22"/>
    <mergeCell ref="U22:V22"/>
    <mergeCell ref="C23:E23"/>
    <mergeCell ref="G23:H23"/>
    <mergeCell ref="K23:L23"/>
    <mergeCell ref="O23:Q23"/>
    <mergeCell ref="U23:V23"/>
    <mergeCell ref="A19:Y19"/>
    <mergeCell ref="C20:E20"/>
    <mergeCell ref="G20:H20"/>
    <mergeCell ref="K20:L20"/>
    <mergeCell ref="O20:Q20"/>
    <mergeCell ref="U20:V20"/>
    <mergeCell ref="C21:E21"/>
    <mergeCell ref="G21:H21"/>
    <mergeCell ref="K21:L21"/>
    <mergeCell ref="O21:Q21"/>
    <mergeCell ref="U21:V21"/>
    <mergeCell ref="A15:Y15"/>
    <mergeCell ref="A16:Y16"/>
    <mergeCell ref="C17:E17"/>
    <mergeCell ref="F17:H17"/>
    <mergeCell ref="K17:L17"/>
    <mergeCell ref="O17:Q17"/>
    <mergeCell ref="U17:V17"/>
    <mergeCell ref="C18:E18"/>
    <mergeCell ref="F18:H18"/>
    <mergeCell ref="K18:L18"/>
    <mergeCell ref="O18:Q18"/>
    <mergeCell ref="U18:V18"/>
    <mergeCell ref="A13:C13"/>
    <mergeCell ref="D13:K13"/>
    <mergeCell ref="L13:P13"/>
    <mergeCell ref="Q13:U13"/>
    <mergeCell ref="V13:Z13"/>
    <mergeCell ref="A14:C14"/>
    <mergeCell ref="D14:K14"/>
    <mergeCell ref="L14:P14"/>
    <mergeCell ref="Q14:U14"/>
    <mergeCell ref="V14:Z14"/>
    <mergeCell ref="A11:C11"/>
    <mergeCell ref="D11:K11"/>
    <mergeCell ref="L11:P11"/>
    <mergeCell ref="Q11:U11"/>
    <mergeCell ref="V11:Z11"/>
    <mergeCell ref="A12:C12"/>
    <mergeCell ref="D12:K12"/>
    <mergeCell ref="L12:P12"/>
    <mergeCell ref="Q12:U12"/>
    <mergeCell ref="V12:Z12"/>
    <mergeCell ref="A9:C9"/>
    <mergeCell ref="D9:K9"/>
    <mergeCell ref="L9:P9"/>
    <mergeCell ref="Q9:U9"/>
    <mergeCell ref="V9:Z9"/>
    <mergeCell ref="A10:C10"/>
    <mergeCell ref="D10:K10"/>
    <mergeCell ref="L10:P10"/>
    <mergeCell ref="Q10:U10"/>
    <mergeCell ref="V10:Z10"/>
    <mergeCell ref="A5:C5"/>
    <mergeCell ref="D5:G5"/>
    <mergeCell ref="H5:Z5"/>
    <mergeCell ref="A6:Z6"/>
    <mergeCell ref="A7:Z7"/>
    <mergeCell ref="A8:C8"/>
    <mergeCell ref="D8:K8"/>
    <mergeCell ref="L8:P8"/>
    <mergeCell ref="Q8:U8"/>
    <mergeCell ref="V8:Z8"/>
    <mergeCell ref="A1:U1"/>
    <mergeCell ref="V1:Z1"/>
    <mergeCell ref="A2:C2"/>
    <mergeCell ref="D2:G2"/>
    <mergeCell ref="H2:K2"/>
    <mergeCell ref="L2:O2"/>
    <mergeCell ref="P2:Z3"/>
    <mergeCell ref="A3:G4"/>
    <mergeCell ref="H3:K3"/>
    <mergeCell ref="L3:O3"/>
    <mergeCell ref="H4:K4"/>
    <mergeCell ref="L4:O4"/>
    <mergeCell ref="Q4:U4"/>
    <mergeCell ref="V4:Z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20BA-F9CB-473D-9516-12451E022E0D}">
  <dimension ref="A1:S31"/>
  <sheetViews>
    <sheetView tabSelected="1" workbookViewId="0">
      <selection activeCell="M2" sqref="M2:M31"/>
    </sheetView>
  </sheetViews>
  <sheetFormatPr defaultRowHeight="12.75" x14ac:dyDescent="0.2"/>
  <cols>
    <col min="1" max="2" width="11.5" style="110" customWidth="1"/>
    <col min="3" max="3" width="19.83203125" style="110" customWidth="1"/>
    <col min="4" max="4" width="22.6640625" style="110" bestFit="1" customWidth="1"/>
    <col min="5" max="5" width="10.1640625" style="110" bestFit="1" customWidth="1"/>
    <col min="6" max="6" width="15.83203125" style="110" customWidth="1"/>
    <col min="7" max="7" width="12.6640625" style="110" customWidth="1"/>
    <col min="8" max="8" width="10.5" style="110" customWidth="1"/>
    <col min="9" max="9" width="14.1640625" style="110" customWidth="1"/>
    <col min="10" max="11" width="14" style="110" customWidth="1"/>
    <col min="12" max="12" width="9.33203125" style="110"/>
    <col min="13" max="13" width="11" style="110" customWidth="1"/>
    <col min="14" max="14" width="14" style="110" customWidth="1"/>
    <col min="15" max="15" width="15.1640625" style="110" customWidth="1"/>
    <col min="16" max="16" width="21.5" style="110" customWidth="1"/>
    <col min="17" max="17" width="24.1640625" style="110" customWidth="1"/>
    <col min="18" max="18" width="20.6640625" style="110" bestFit="1" customWidth="1"/>
    <col min="19" max="16384" width="9.33203125" style="110"/>
  </cols>
  <sheetData>
    <row r="1" spans="1:19" ht="38.25" customHeight="1" x14ac:dyDescent="0.2">
      <c r="A1" s="106" t="s">
        <v>15</v>
      </c>
      <c r="B1" s="106"/>
      <c r="C1" s="106" t="s">
        <v>16</v>
      </c>
      <c r="D1" s="106" t="s">
        <v>17</v>
      </c>
      <c r="E1" s="119" t="s">
        <v>112</v>
      </c>
      <c r="F1" s="106" t="s">
        <v>20</v>
      </c>
      <c r="G1" s="106" t="s">
        <v>22</v>
      </c>
      <c r="H1" s="107" t="s">
        <v>23</v>
      </c>
      <c r="I1" s="108" t="s">
        <v>24</v>
      </c>
      <c r="J1" s="109" t="s">
        <v>25</v>
      </c>
      <c r="K1" s="109" t="s">
        <v>26</v>
      </c>
      <c r="L1" s="106" t="s">
        <v>27</v>
      </c>
      <c r="M1" s="107" t="s">
        <v>28</v>
      </c>
      <c r="N1" s="108" t="s">
        <v>29</v>
      </c>
      <c r="O1" s="108" t="s">
        <v>31</v>
      </c>
      <c r="P1" s="109"/>
    </row>
    <row r="2" spans="1:19" ht="15" customHeight="1" x14ac:dyDescent="0.2">
      <c r="A2" s="111">
        <v>110661324</v>
      </c>
      <c r="B2" s="111" t="str">
        <f>CONCATENATE(A2,3)</f>
        <v>1106613243</v>
      </c>
      <c r="C2" s="112" t="s">
        <v>92</v>
      </c>
      <c r="D2" s="112" t="s">
        <v>52</v>
      </c>
      <c r="E2" s="117">
        <v>45658</v>
      </c>
      <c r="F2" s="118">
        <v>45809</v>
      </c>
      <c r="G2" s="113">
        <v>1458.59</v>
      </c>
      <c r="H2" s="114">
        <v>0.04</v>
      </c>
      <c r="I2" s="115">
        <v>58.34</v>
      </c>
      <c r="J2" s="114">
        <v>0.04</v>
      </c>
      <c r="K2" s="115">
        <v>0</v>
      </c>
      <c r="L2" s="115">
        <v>0</v>
      </c>
      <c r="M2" s="111"/>
      <c r="N2" s="115">
        <v>0</v>
      </c>
      <c r="O2" s="115">
        <v>58.34</v>
      </c>
      <c r="P2" s="116">
        <v>8977234</v>
      </c>
      <c r="Q2" s="116" t="s">
        <v>111</v>
      </c>
      <c r="R2" s="110" t="s">
        <v>115</v>
      </c>
      <c r="S2" s="110">
        <f>G2*H2</f>
        <v>58.343599999999995</v>
      </c>
    </row>
    <row r="3" spans="1:19" ht="15" customHeight="1" x14ac:dyDescent="0.2">
      <c r="A3" s="111">
        <v>110987700</v>
      </c>
      <c r="B3" s="111" t="str">
        <f t="shared" ref="B3:B31" si="0">CONCATENATE(A3,3)</f>
        <v>1109877003</v>
      </c>
      <c r="C3" s="120" t="s">
        <v>120</v>
      </c>
      <c r="D3" s="112" t="s">
        <v>52</v>
      </c>
      <c r="E3" s="117">
        <v>45658</v>
      </c>
      <c r="F3" s="118">
        <v>45809</v>
      </c>
      <c r="G3" s="113">
        <v>1108.54</v>
      </c>
      <c r="H3" s="114">
        <v>0.04</v>
      </c>
      <c r="I3" s="115">
        <v>44.34</v>
      </c>
      <c r="J3" s="114">
        <v>0.04</v>
      </c>
      <c r="K3" s="115">
        <v>0</v>
      </c>
      <c r="L3" s="115">
        <v>0</v>
      </c>
      <c r="M3" s="111"/>
      <c r="N3" s="115">
        <v>0</v>
      </c>
      <c r="O3" s="115">
        <v>44.34</v>
      </c>
      <c r="P3" s="116">
        <v>8977234</v>
      </c>
      <c r="Q3" s="116" t="s">
        <v>111</v>
      </c>
      <c r="R3" s="110" t="s">
        <v>115</v>
      </c>
      <c r="S3" s="110">
        <f t="shared" ref="S3:S4" si="1">G3*H3</f>
        <v>44.3416</v>
      </c>
    </row>
    <row r="4" spans="1:19" ht="15" customHeight="1" x14ac:dyDescent="0.2">
      <c r="A4" s="111">
        <v>111102853</v>
      </c>
      <c r="B4" s="111" t="str">
        <f t="shared" si="0"/>
        <v>1111028533</v>
      </c>
      <c r="C4" s="112" t="s">
        <v>98</v>
      </c>
      <c r="D4" s="112" t="s">
        <v>52</v>
      </c>
      <c r="E4" s="117">
        <v>45658</v>
      </c>
      <c r="F4" s="118">
        <v>45809</v>
      </c>
      <c r="G4" s="115">
        <v>787.13</v>
      </c>
      <c r="H4" s="114">
        <v>0.04</v>
      </c>
      <c r="I4" s="115">
        <v>31.49</v>
      </c>
      <c r="J4" s="114">
        <v>0.04</v>
      </c>
      <c r="K4" s="115">
        <v>0</v>
      </c>
      <c r="L4" s="115">
        <v>0</v>
      </c>
      <c r="M4" s="111"/>
      <c r="N4" s="115">
        <v>0</v>
      </c>
      <c r="O4" s="115">
        <v>31.49</v>
      </c>
      <c r="P4" s="116">
        <v>8977234</v>
      </c>
      <c r="Q4" s="116" t="s">
        <v>111</v>
      </c>
      <c r="R4" s="110" t="s">
        <v>115</v>
      </c>
      <c r="S4" s="110">
        <f t="shared" si="1"/>
        <v>31.485199999999999</v>
      </c>
    </row>
    <row r="5" spans="1:19" ht="15" customHeight="1" x14ac:dyDescent="0.2">
      <c r="A5" s="111">
        <v>110700972</v>
      </c>
      <c r="B5" s="111" t="str">
        <f t="shared" si="0"/>
        <v>1107009723</v>
      </c>
      <c r="C5" s="120" t="s">
        <v>121</v>
      </c>
      <c r="D5" s="112" t="s">
        <v>55</v>
      </c>
      <c r="E5" s="117">
        <v>45658</v>
      </c>
      <c r="F5" s="118">
        <v>45809</v>
      </c>
      <c r="G5" s="115">
        <v>1</v>
      </c>
      <c r="H5" s="114">
        <v>0</v>
      </c>
      <c r="I5" s="115">
        <v>0</v>
      </c>
      <c r="J5" s="115">
        <v>20</v>
      </c>
      <c r="K5" s="115">
        <v>0</v>
      </c>
      <c r="L5" s="115">
        <v>20</v>
      </c>
      <c r="M5" s="111"/>
      <c r="N5" s="115">
        <v>20</v>
      </c>
      <c r="O5" s="115">
        <v>20</v>
      </c>
      <c r="P5" s="116">
        <v>17528908</v>
      </c>
      <c r="Q5" s="116" t="s">
        <v>108</v>
      </c>
      <c r="R5" s="110" t="s">
        <v>116</v>
      </c>
    </row>
    <row r="6" spans="1:19" ht="15" customHeight="1" x14ac:dyDescent="0.2">
      <c r="A6" s="111">
        <v>110701159</v>
      </c>
      <c r="B6" s="111" t="str">
        <f t="shared" si="0"/>
        <v>1107011593</v>
      </c>
      <c r="C6" s="112" t="s">
        <v>57</v>
      </c>
      <c r="D6" s="112" t="s">
        <v>55</v>
      </c>
      <c r="E6" s="117">
        <v>45658</v>
      </c>
      <c r="F6" s="118">
        <v>45809</v>
      </c>
      <c r="G6" s="115">
        <v>1</v>
      </c>
      <c r="H6" s="114">
        <v>0</v>
      </c>
      <c r="I6" s="115">
        <v>0</v>
      </c>
      <c r="J6" s="115">
        <v>20</v>
      </c>
      <c r="K6" s="115">
        <v>0</v>
      </c>
      <c r="L6" s="115">
        <v>20</v>
      </c>
      <c r="M6" s="111" t="s">
        <v>113</v>
      </c>
      <c r="N6" s="115">
        <v>40</v>
      </c>
      <c r="O6" s="115">
        <v>40</v>
      </c>
      <c r="P6" s="116">
        <v>17528908</v>
      </c>
      <c r="Q6" s="116" t="s">
        <v>108</v>
      </c>
      <c r="R6" s="110" t="s">
        <v>116</v>
      </c>
    </row>
    <row r="7" spans="1:19" ht="15" customHeight="1" x14ac:dyDescent="0.2">
      <c r="A7" s="111">
        <v>110809733</v>
      </c>
      <c r="B7" s="111" t="str">
        <f t="shared" si="0"/>
        <v>1108097333</v>
      </c>
      <c r="C7" s="112" t="s">
        <v>58</v>
      </c>
      <c r="D7" s="112" t="s">
        <v>55</v>
      </c>
      <c r="E7" s="117">
        <v>45658</v>
      </c>
      <c r="F7" s="118">
        <v>45809</v>
      </c>
      <c r="G7" s="115">
        <v>1</v>
      </c>
      <c r="H7" s="114">
        <v>0</v>
      </c>
      <c r="I7" s="115">
        <v>0</v>
      </c>
      <c r="J7" s="115">
        <v>20</v>
      </c>
      <c r="K7" s="115">
        <v>0</v>
      </c>
      <c r="L7" s="115">
        <v>20</v>
      </c>
      <c r="M7" s="111"/>
      <c r="N7" s="115">
        <v>20</v>
      </c>
      <c r="O7" s="115">
        <v>20</v>
      </c>
      <c r="P7" s="116">
        <v>17528908</v>
      </c>
      <c r="Q7" s="116" t="s">
        <v>108</v>
      </c>
      <c r="R7" s="110" t="s">
        <v>116</v>
      </c>
    </row>
    <row r="8" spans="1:19" ht="15" customHeight="1" x14ac:dyDescent="0.2">
      <c r="A8" s="111">
        <v>112319621</v>
      </c>
      <c r="B8" s="111" t="str">
        <f t="shared" si="0"/>
        <v>1123196213</v>
      </c>
      <c r="C8" s="112" t="s">
        <v>59</v>
      </c>
      <c r="D8" s="112" t="s">
        <v>55</v>
      </c>
      <c r="E8" s="117">
        <v>45658</v>
      </c>
      <c r="F8" s="118">
        <v>45809</v>
      </c>
      <c r="G8" s="115">
        <v>1</v>
      </c>
      <c r="H8" s="114">
        <v>0</v>
      </c>
      <c r="I8" s="115">
        <v>0</v>
      </c>
      <c r="J8" s="115">
        <v>20</v>
      </c>
      <c r="K8" s="115">
        <v>0</v>
      </c>
      <c r="L8" s="115">
        <v>20</v>
      </c>
      <c r="M8" s="111" t="s">
        <v>113</v>
      </c>
      <c r="N8" s="115">
        <v>40</v>
      </c>
      <c r="O8" s="115">
        <v>40</v>
      </c>
      <c r="P8" s="116">
        <v>17528908</v>
      </c>
      <c r="Q8" s="116" t="s">
        <v>108</v>
      </c>
      <c r="R8" s="110" t="s">
        <v>116</v>
      </c>
    </row>
    <row r="9" spans="1:19" ht="15" customHeight="1" x14ac:dyDescent="0.2">
      <c r="A9" s="111">
        <v>111320863</v>
      </c>
      <c r="B9" s="111" t="str">
        <f t="shared" si="0"/>
        <v>1113208633</v>
      </c>
      <c r="C9" s="112" t="s">
        <v>63</v>
      </c>
      <c r="D9" s="112" t="s">
        <v>64</v>
      </c>
      <c r="E9" s="117">
        <v>45658</v>
      </c>
      <c r="F9" s="118">
        <v>45809</v>
      </c>
      <c r="G9" s="115">
        <v>1</v>
      </c>
      <c r="H9" s="114">
        <v>0</v>
      </c>
      <c r="I9" s="115">
        <v>0</v>
      </c>
      <c r="J9" s="115">
        <v>20</v>
      </c>
      <c r="K9" s="115">
        <v>0</v>
      </c>
      <c r="L9" s="115">
        <v>20</v>
      </c>
      <c r="M9" s="111"/>
      <c r="N9" s="115">
        <v>20</v>
      </c>
      <c r="O9" s="115">
        <v>20</v>
      </c>
      <c r="P9" s="116">
        <v>18710070</v>
      </c>
      <c r="Q9" s="116" t="s">
        <v>109</v>
      </c>
      <c r="R9" s="110" t="s">
        <v>116</v>
      </c>
    </row>
    <row r="10" spans="1:19" ht="15" customHeight="1" x14ac:dyDescent="0.2">
      <c r="A10" s="111">
        <v>112169555</v>
      </c>
      <c r="B10" s="111" t="str">
        <f t="shared" si="0"/>
        <v>1121695553</v>
      </c>
      <c r="C10" s="120" t="s">
        <v>122</v>
      </c>
      <c r="D10" s="112" t="s">
        <v>70</v>
      </c>
      <c r="E10" s="117">
        <v>45658</v>
      </c>
      <c r="F10" s="118">
        <v>45809</v>
      </c>
      <c r="G10" s="115">
        <v>1</v>
      </c>
      <c r="H10" s="114">
        <v>0</v>
      </c>
      <c r="I10" s="115">
        <v>0</v>
      </c>
      <c r="J10" s="115">
        <v>20</v>
      </c>
      <c r="K10" s="115">
        <v>0</v>
      </c>
      <c r="L10" s="115">
        <v>20</v>
      </c>
      <c r="M10" s="111"/>
      <c r="N10" s="115">
        <v>20</v>
      </c>
      <c r="O10" s="115">
        <v>20</v>
      </c>
      <c r="P10" s="116">
        <v>19681796</v>
      </c>
      <c r="Q10" s="116" t="s">
        <v>110</v>
      </c>
      <c r="R10" s="110" t="s">
        <v>116</v>
      </c>
    </row>
    <row r="11" spans="1:19" ht="15" customHeight="1" x14ac:dyDescent="0.2">
      <c r="A11" s="111">
        <v>112180553</v>
      </c>
      <c r="B11" s="111" t="str">
        <f t="shared" si="0"/>
        <v>1121805533</v>
      </c>
      <c r="C11" s="120" t="s">
        <v>123</v>
      </c>
      <c r="D11" s="112" t="s">
        <v>73</v>
      </c>
      <c r="E11" s="117">
        <v>45658</v>
      </c>
      <c r="F11" s="118">
        <v>45809</v>
      </c>
      <c r="G11" s="115">
        <v>1</v>
      </c>
      <c r="H11" s="114">
        <v>0</v>
      </c>
      <c r="I11" s="115">
        <v>0</v>
      </c>
      <c r="J11" s="115">
        <v>20</v>
      </c>
      <c r="K11" s="115">
        <v>0</v>
      </c>
      <c r="L11" s="115">
        <v>20</v>
      </c>
      <c r="M11" s="111"/>
      <c r="N11" s="115">
        <v>20</v>
      </c>
      <c r="O11" s="115">
        <v>20</v>
      </c>
      <c r="P11" s="116">
        <v>19681796</v>
      </c>
      <c r="Q11" s="116" t="s">
        <v>110</v>
      </c>
      <c r="R11" s="110" t="s">
        <v>116</v>
      </c>
    </row>
    <row r="12" spans="1:19" ht="15" customHeight="1" x14ac:dyDescent="0.2">
      <c r="A12" s="111">
        <v>112212429</v>
      </c>
      <c r="B12" s="111" t="str">
        <f t="shared" si="0"/>
        <v>1122124293</v>
      </c>
      <c r="C12" s="120" t="s">
        <v>124</v>
      </c>
      <c r="D12" s="112" t="s">
        <v>75</v>
      </c>
      <c r="E12" s="117">
        <v>45809</v>
      </c>
      <c r="F12" s="118">
        <v>45809</v>
      </c>
      <c r="G12" s="115">
        <v>1</v>
      </c>
      <c r="H12" s="114">
        <v>0</v>
      </c>
      <c r="I12" s="115">
        <v>0</v>
      </c>
      <c r="J12" s="115">
        <v>20</v>
      </c>
      <c r="K12" s="115">
        <v>0</v>
      </c>
      <c r="L12" s="115">
        <v>20</v>
      </c>
      <c r="M12" s="111"/>
      <c r="N12" s="115">
        <v>20</v>
      </c>
      <c r="O12" s="115">
        <v>20</v>
      </c>
      <c r="P12" s="116">
        <v>19681796</v>
      </c>
      <c r="Q12" s="116" t="s">
        <v>110</v>
      </c>
      <c r="R12" s="110" t="s">
        <v>116</v>
      </c>
    </row>
    <row r="13" spans="1:19" ht="15" customHeight="1" x14ac:dyDescent="0.2">
      <c r="A13" s="111">
        <v>112399968</v>
      </c>
      <c r="B13" s="111" t="str">
        <f t="shared" si="0"/>
        <v>1123999683</v>
      </c>
      <c r="C13" s="112" t="s">
        <v>32</v>
      </c>
      <c r="D13" s="112" t="s">
        <v>33</v>
      </c>
      <c r="E13" s="117">
        <v>45658</v>
      </c>
      <c r="F13" s="118">
        <v>45809</v>
      </c>
      <c r="G13" s="115">
        <v>1</v>
      </c>
      <c r="H13" s="114">
        <v>0</v>
      </c>
      <c r="I13" s="115">
        <v>0</v>
      </c>
      <c r="J13" s="115">
        <v>21</v>
      </c>
      <c r="K13" s="115">
        <v>0</v>
      </c>
      <c r="L13" s="115">
        <v>21</v>
      </c>
      <c r="M13" s="111"/>
      <c r="N13" s="115">
        <v>21</v>
      </c>
      <c r="O13" s="115">
        <v>21</v>
      </c>
      <c r="P13" s="116">
        <v>17528908</v>
      </c>
      <c r="Q13" s="116" t="s">
        <v>108</v>
      </c>
      <c r="R13" s="110" t="s">
        <v>117</v>
      </c>
    </row>
    <row r="14" spans="1:19" ht="15" customHeight="1" x14ac:dyDescent="0.2">
      <c r="A14" s="111">
        <v>106737758</v>
      </c>
      <c r="B14" s="111" t="str">
        <f t="shared" si="0"/>
        <v>1067377583</v>
      </c>
      <c r="C14" s="112" t="s">
        <v>51</v>
      </c>
      <c r="D14" s="112" t="s">
        <v>52</v>
      </c>
      <c r="E14" s="117">
        <v>45658</v>
      </c>
      <c r="F14" s="118">
        <v>45809</v>
      </c>
      <c r="G14" s="115">
        <v>1</v>
      </c>
      <c r="H14" s="114">
        <v>0</v>
      </c>
      <c r="I14" s="115">
        <v>0</v>
      </c>
      <c r="J14" s="115">
        <v>21</v>
      </c>
      <c r="K14" s="115">
        <v>0</v>
      </c>
      <c r="L14" s="115">
        <v>21</v>
      </c>
      <c r="M14" s="111"/>
      <c r="N14" s="115">
        <v>21</v>
      </c>
      <c r="O14" s="115">
        <v>21</v>
      </c>
      <c r="P14" s="116">
        <v>17528908</v>
      </c>
      <c r="Q14" s="116" t="s">
        <v>108</v>
      </c>
      <c r="R14" s="110" t="s">
        <v>117</v>
      </c>
    </row>
    <row r="15" spans="1:19" ht="15" customHeight="1" x14ac:dyDescent="0.2">
      <c r="A15" s="111">
        <v>112342893</v>
      </c>
      <c r="B15" s="111" t="str">
        <f t="shared" si="0"/>
        <v>1123428933</v>
      </c>
      <c r="C15" s="112" t="s">
        <v>79</v>
      </c>
      <c r="D15" s="112" t="s">
        <v>55</v>
      </c>
      <c r="E15" s="117">
        <v>45658</v>
      </c>
      <c r="F15" s="118">
        <v>45809</v>
      </c>
      <c r="G15" s="115">
        <v>1</v>
      </c>
      <c r="H15" s="114">
        <v>0</v>
      </c>
      <c r="I15" s="115">
        <v>0</v>
      </c>
      <c r="J15" s="115">
        <v>21</v>
      </c>
      <c r="K15" s="115">
        <v>0</v>
      </c>
      <c r="L15" s="115">
        <v>21</v>
      </c>
      <c r="M15" s="111"/>
      <c r="N15" s="115">
        <v>21</v>
      </c>
      <c r="O15" s="115">
        <v>21</v>
      </c>
      <c r="P15" s="116">
        <v>8977234</v>
      </c>
      <c r="Q15" s="116" t="s">
        <v>111</v>
      </c>
      <c r="R15" s="110" t="s">
        <v>117</v>
      </c>
    </row>
    <row r="16" spans="1:19" ht="15" customHeight="1" x14ac:dyDescent="0.2">
      <c r="A16" s="111">
        <v>109376890</v>
      </c>
      <c r="B16" s="111" t="str">
        <f t="shared" si="0"/>
        <v>1093768903</v>
      </c>
      <c r="C16" s="112" t="s">
        <v>89</v>
      </c>
      <c r="D16" s="112" t="s">
        <v>52</v>
      </c>
      <c r="E16" s="117">
        <v>45658</v>
      </c>
      <c r="F16" s="118">
        <v>45809</v>
      </c>
      <c r="G16" s="115">
        <v>1</v>
      </c>
      <c r="H16" s="114">
        <v>0</v>
      </c>
      <c r="I16" s="115">
        <v>0</v>
      </c>
      <c r="J16" s="115">
        <v>21</v>
      </c>
      <c r="K16" s="115">
        <v>0</v>
      </c>
      <c r="L16" s="115">
        <v>21</v>
      </c>
      <c r="M16" s="111"/>
      <c r="N16" s="115">
        <v>21</v>
      </c>
      <c r="O16" s="115">
        <v>21</v>
      </c>
      <c r="P16" s="116">
        <v>8977234</v>
      </c>
      <c r="Q16" s="116" t="s">
        <v>111</v>
      </c>
      <c r="R16" s="110" t="s">
        <v>117</v>
      </c>
    </row>
    <row r="17" spans="1:18" ht="15" customHeight="1" x14ac:dyDescent="0.2">
      <c r="A17" s="111">
        <v>109408841</v>
      </c>
      <c r="B17" s="111" t="str">
        <f t="shared" si="0"/>
        <v>1094088413</v>
      </c>
      <c r="C17" s="112" t="s">
        <v>90</v>
      </c>
      <c r="D17" s="112" t="s">
        <v>52</v>
      </c>
      <c r="E17" s="117">
        <v>45658</v>
      </c>
      <c r="F17" s="118">
        <v>45809</v>
      </c>
      <c r="G17" s="115">
        <v>1</v>
      </c>
      <c r="H17" s="114">
        <v>0</v>
      </c>
      <c r="I17" s="115">
        <v>0</v>
      </c>
      <c r="J17" s="115">
        <v>21</v>
      </c>
      <c r="K17" s="115">
        <v>0</v>
      </c>
      <c r="L17" s="115">
        <v>21</v>
      </c>
      <c r="M17" s="111"/>
      <c r="N17" s="115">
        <v>21</v>
      </c>
      <c r="O17" s="115">
        <v>21</v>
      </c>
      <c r="P17" s="116">
        <v>8977234</v>
      </c>
      <c r="Q17" s="116" t="s">
        <v>111</v>
      </c>
      <c r="R17" s="110" t="s">
        <v>117</v>
      </c>
    </row>
    <row r="18" spans="1:18" ht="15" customHeight="1" x14ac:dyDescent="0.2">
      <c r="A18" s="111">
        <v>109839671</v>
      </c>
      <c r="B18" s="111" t="str">
        <f t="shared" si="0"/>
        <v>1098396713</v>
      </c>
      <c r="C18" s="112" t="s">
        <v>91</v>
      </c>
      <c r="D18" s="112" t="s">
        <v>52</v>
      </c>
      <c r="E18" s="117">
        <v>45658</v>
      </c>
      <c r="F18" s="118">
        <v>45809</v>
      </c>
      <c r="G18" s="115">
        <v>1</v>
      </c>
      <c r="H18" s="114">
        <v>0</v>
      </c>
      <c r="I18" s="115">
        <v>0</v>
      </c>
      <c r="J18" s="115">
        <v>21</v>
      </c>
      <c r="K18" s="115">
        <v>0</v>
      </c>
      <c r="L18" s="115">
        <v>21</v>
      </c>
      <c r="M18" s="111"/>
      <c r="N18" s="115">
        <v>21</v>
      </c>
      <c r="O18" s="115">
        <v>21</v>
      </c>
      <c r="P18" s="116">
        <v>8977234</v>
      </c>
      <c r="Q18" s="116" t="s">
        <v>111</v>
      </c>
      <c r="R18" s="110" t="s">
        <v>117</v>
      </c>
    </row>
    <row r="19" spans="1:18" ht="15" customHeight="1" x14ac:dyDescent="0.2">
      <c r="A19" s="111">
        <v>111786407</v>
      </c>
      <c r="B19" s="111" t="str">
        <f t="shared" si="0"/>
        <v>1117864073</v>
      </c>
      <c r="C19" s="112" t="s">
        <v>102</v>
      </c>
      <c r="D19" s="112" t="s">
        <v>52</v>
      </c>
      <c r="E19" s="117">
        <v>45658</v>
      </c>
      <c r="F19" s="118">
        <v>45809</v>
      </c>
      <c r="G19" s="115">
        <v>1</v>
      </c>
      <c r="H19" s="114">
        <v>0</v>
      </c>
      <c r="I19" s="115">
        <v>0</v>
      </c>
      <c r="J19" s="115">
        <v>21</v>
      </c>
      <c r="K19" s="115">
        <v>0</v>
      </c>
      <c r="L19" s="115">
        <v>21</v>
      </c>
      <c r="M19" s="111"/>
      <c r="N19" s="115">
        <v>21</v>
      </c>
      <c r="O19" s="115">
        <v>21</v>
      </c>
      <c r="P19" s="116">
        <v>8977234</v>
      </c>
      <c r="Q19" s="116" t="s">
        <v>111</v>
      </c>
      <c r="R19" s="110" t="s">
        <v>117</v>
      </c>
    </row>
    <row r="20" spans="1:18" ht="15" customHeight="1" x14ac:dyDescent="0.2">
      <c r="A20" s="111">
        <v>111849444</v>
      </c>
      <c r="B20" s="111" t="str">
        <f t="shared" si="0"/>
        <v>1118494443</v>
      </c>
      <c r="C20" s="112" t="s">
        <v>104</v>
      </c>
      <c r="D20" s="112" t="s">
        <v>52</v>
      </c>
      <c r="E20" s="117">
        <v>45658</v>
      </c>
      <c r="F20" s="118">
        <v>45809</v>
      </c>
      <c r="G20" s="115">
        <v>1</v>
      </c>
      <c r="H20" s="114">
        <v>0</v>
      </c>
      <c r="I20" s="115">
        <v>0</v>
      </c>
      <c r="J20" s="115">
        <v>21</v>
      </c>
      <c r="K20" s="115">
        <v>0</v>
      </c>
      <c r="L20" s="115">
        <v>21</v>
      </c>
      <c r="M20" s="111"/>
      <c r="N20" s="115">
        <v>21</v>
      </c>
      <c r="O20" s="115">
        <v>21</v>
      </c>
      <c r="P20" s="116">
        <v>8977234</v>
      </c>
      <c r="Q20" s="116" t="s">
        <v>111</v>
      </c>
      <c r="R20" s="110" t="s">
        <v>117</v>
      </c>
    </row>
    <row r="21" spans="1:18" ht="15" customHeight="1" x14ac:dyDescent="0.2">
      <c r="A21" s="111">
        <v>112407726</v>
      </c>
      <c r="B21" s="111" t="str">
        <f t="shared" si="0"/>
        <v>1124077263</v>
      </c>
      <c r="C21" s="112" t="s">
        <v>80</v>
      </c>
      <c r="D21" s="112" t="s">
        <v>55</v>
      </c>
      <c r="E21" s="117">
        <v>45689</v>
      </c>
      <c r="F21" s="118">
        <v>45809</v>
      </c>
      <c r="G21" s="115">
        <v>1</v>
      </c>
      <c r="H21" s="114">
        <v>0</v>
      </c>
      <c r="I21" s="115">
        <v>0</v>
      </c>
      <c r="J21" s="115">
        <v>24</v>
      </c>
      <c r="K21" s="115">
        <v>0</v>
      </c>
      <c r="L21" s="115">
        <v>24</v>
      </c>
      <c r="M21" s="111" t="s">
        <v>113</v>
      </c>
      <c r="N21" s="115">
        <v>48</v>
      </c>
      <c r="O21" s="115">
        <v>48</v>
      </c>
      <c r="P21" s="116">
        <v>8977234</v>
      </c>
      <c r="Q21" s="116" t="s">
        <v>111</v>
      </c>
      <c r="R21" s="110" t="s">
        <v>118</v>
      </c>
    </row>
    <row r="22" spans="1:18" ht="15" customHeight="1" x14ac:dyDescent="0.2">
      <c r="A22" s="111">
        <v>112514281</v>
      </c>
      <c r="B22" s="111" t="str">
        <f t="shared" si="0"/>
        <v>1125142813</v>
      </c>
      <c r="C22" s="112" t="s">
        <v>82</v>
      </c>
      <c r="D22" s="112" t="s">
        <v>83</v>
      </c>
      <c r="E22" s="117">
        <v>45778</v>
      </c>
      <c r="F22" s="118">
        <v>45809</v>
      </c>
      <c r="G22" s="115">
        <v>1</v>
      </c>
      <c r="H22" s="114">
        <v>0</v>
      </c>
      <c r="I22" s="115">
        <v>0</v>
      </c>
      <c r="J22" s="115">
        <v>24</v>
      </c>
      <c r="K22" s="115">
        <v>0</v>
      </c>
      <c r="L22" s="115">
        <v>24</v>
      </c>
      <c r="M22" s="111" t="s">
        <v>114</v>
      </c>
      <c r="N22" s="115">
        <v>72</v>
      </c>
      <c r="O22" s="115">
        <v>72</v>
      </c>
      <c r="P22" s="116">
        <v>8977234</v>
      </c>
      <c r="Q22" s="116" t="s">
        <v>111</v>
      </c>
      <c r="R22" s="110" t="s">
        <v>118</v>
      </c>
    </row>
    <row r="23" spans="1:18" ht="15" customHeight="1" x14ac:dyDescent="0.2">
      <c r="A23" s="111">
        <v>112555327</v>
      </c>
      <c r="B23" s="111" t="str">
        <f t="shared" si="0"/>
        <v>1125553273</v>
      </c>
      <c r="C23" s="112" t="s">
        <v>84</v>
      </c>
      <c r="D23" s="112" t="s">
        <v>52</v>
      </c>
      <c r="E23" s="117">
        <v>45809</v>
      </c>
      <c r="F23" s="118">
        <v>45809</v>
      </c>
      <c r="G23" s="115">
        <v>1</v>
      </c>
      <c r="H23" s="114">
        <v>0</v>
      </c>
      <c r="I23" s="115">
        <v>0</v>
      </c>
      <c r="J23" s="115">
        <v>24</v>
      </c>
      <c r="K23" s="115">
        <v>0</v>
      </c>
      <c r="L23" s="115">
        <v>24</v>
      </c>
      <c r="M23" s="111" t="s">
        <v>113</v>
      </c>
      <c r="N23" s="115">
        <v>48</v>
      </c>
      <c r="O23" s="115">
        <v>48</v>
      </c>
      <c r="P23" s="116">
        <v>8977234</v>
      </c>
      <c r="Q23" s="116" t="s">
        <v>111</v>
      </c>
      <c r="R23" s="110" t="s">
        <v>118</v>
      </c>
    </row>
    <row r="24" spans="1:18" ht="15" customHeight="1" x14ac:dyDescent="0.2">
      <c r="A24" s="111">
        <v>112555365</v>
      </c>
      <c r="B24" s="111" t="str">
        <f t="shared" si="0"/>
        <v>1125553653</v>
      </c>
      <c r="C24" s="112" t="s">
        <v>85</v>
      </c>
      <c r="D24" s="112" t="s">
        <v>52</v>
      </c>
      <c r="E24" s="117">
        <v>45809</v>
      </c>
      <c r="F24" s="118">
        <v>45809</v>
      </c>
      <c r="G24" s="115">
        <v>1</v>
      </c>
      <c r="H24" s="114">
        <v>0</v>
      </c>
      <c r="I24" s="115">
        <v>0</v>
      </c>
      <c r="J24" s="115">
        <v>24</v>
      </c>
      <c r="K24" s="115">
        <v>0</v>
      </c>
      <c r="L24" s="115">
        <v>24</v>
      </c>
      <c r="M24" s="111"/>
      <c r="N24" s="115">
        <v>24</v>
      </c>
      <c r="O24" s="115">
        <v>24</v>
      </c>
      <c r="P24" s="116">
        <v>8977234</v>
      </c>
      <c r="Q24" s="116" t="s">
        <v>111</v>
      </c>
      <c r="R24" s="110" t="s">
        <v>118</v>
      </c>
    </row>
    <row r="25" spans="1:18" ht="15" customHeight="1" x14ac:dyDescent="0.2">
      <c r="A25" s="111">
        <v>109263551</v>
      </c>
      <c r="B25" s="111" t="str">
        <f t="shared" si="0"/>
        <v>1092635513</v>
      </c>
      <c r="C25" s="112" t="s">
        <v>87</v>
      </c>
      <c r="D25" s="112" t="s">
        <v>88</v>
      </c>
      <c r="E25" s="117">
        <v>45658</v>
      </c>
      <c r="F25" s="118">
        <v>45809</v>
      </c>
      <c r="G25" s="115">
        <v>1</v>
      </c>
      <c r="H25" s="114">
        <v>0</v>
      </c>
      <c r="I25" s="115">
        <v>0</v>
      </c>
      <c r="J25" s="115">
        <v>24</v>
      </c>
      <c r="K25" s="115">
        <v>0</v>
      </c>
      <c r="L25" s="115">
        <v>24</v>
      </c>
      <c r="M25" s="111" t="s">
        <v>113</v>
      </c>
      <c r="N25" s="115">
        <v>48</v>
      </c>
      <c r="O25" s="115">
        <v>48</v>
      </c>
      <c r="P25" s="116">
        <v>8977234</v>
      </c>
      <c r="Q25" s="116" t="s">
        <v>111</v>
      </c>
      <c r="R25" s="110" t="s">
        <v>118</v>
      </c>
    </row>
    <row r="26" spans="1:18" ht="15" customHeight="1" x14ac:dyDescent="0.2">
      <c r="A26" s="111">
        <v>110913614</v>
      </c>
      <c r="B26" s="111" t="str">
        <f t="shared" si="0"/>
        <v>1109136143</v>
      </c>
      <c r="C26" s="112" t="s">
        <v>94</v>
      </c>
      <c r="D26" s="112" t="s">
        <v>33</v>
      </c>
      <c r="E26" s="117">
        <v>45658</v>
      </c>
      <c r="F26" s="118">
        <v>45809</v>
      </c>
      <c r="G26" s="115">
        <v>1</v>
      </c>
      <c r="H26" s="114">
        <v>0</v>
      </c>
      <c r="I26" s="115">
        <v>0</v>
      </c>
      <c r="J26" s="115">
        <v>24</v>
      </c>
      <c r="K26" s="115">
        <v>0</v>
      </c>
      <c r="L26" s="115">
        <v>24</v>
      </c>
      <c r="M26" s="111"/>
      <c r="N26" s="115">
        <v>24</v>
      </c>
      <c r="O26" s="115">
        <v>24</v>
      </c>
      <c r="P26" s="116">
        <v>8977234</v>
      </c>
      <c r="Q26" s="116" t="s">
        <v>111</v>
      </c>
      <c r="R26" s="110" t="s">
        <v>118</v>
      </c>
    </row>
    <row r="27" spans="1:18" ht="15" customHeight="1" x14ac:dyDescent="0.2">
      <c r="A27" s="111">
        <v>111110447</v>
      </c>
      <c r="B27" s="111" t="str">
        <f t="shared" si="0"/>
        <v>1111104473</v>
      </c>
      <c r="C27" s="112" t="s">
        <v>99</v>
      </c>
      <c r="D27" s="112" t="s">
        <v>52</v>
      </c>
      <c r="E27" s="117">
        <v>45658</v>
      </c>
      <c r="F27" s="118">
        <v>45809</v>
      </c>
      <c r="G27" s="115">
        <v>1</v>
      </c>
      <c r="H27" s="114">
        <v>0</v>
      </c>
      <c r="I27" s="115">
        <v>0</v>
      </c>
      <c r="J27" s="115">
        <v>24</v>
      </c>
      <c r="K27" s="115">
        <v>0</v>
      </c>
      <c r="L27" s="115">
        <v>24</v>
      </c>
      <c r="M27" s="111" t="s">
        <v>113</v>
      </c>
      <c r="N27" s="115">
        <v>48</v>
      </c>
      <c r="O27" s="115">
        <v>48</v>
      </c>
      <c r="P27" s="116">
        <v>8977234</v>
      </c>
      <c r="Q27" s="116" t="s">
        <v>111</v>
      </c>
      <c r="R27" s="110" t="s">
        <v>118</v>
      </c>
    </row>
    <row r="28" spans="1:18" ht="15" customHeight="1" x14ac:dyDescent="0.2">
      <c r="A28" s="111">
        <v>111593834</v>
      </c>
      <c r="B28" s="111" t="str">
        <f t="shared" si="0"/>
        <v>1115938343</v>
      </c>
      <c r="C28" s="112" t="s">
        <v>101</v>
      </c>
      <c r="D28" s="112" t="s">
        <v>55</v>
      </c>
      <c r="E28" s="117">
        <v>45658</v>
      </c>
      <c r="F28" s="118">
        <v>45809</v>
      </c>
      <c r="G28" s="115">
        <v>1</v>
      </c>
      <c r="H28" s="114">
        <v>0</v>
      </c>
      <c r="I28" s="115">
        <v>0</v>
      </c>
      <c r="J28" s="115">
        <v>24</v>
      </c>
      <c r="K28" s="115">
        <v>0</v>
      </c>
      <c r="L28" s="115">
        <v>24</v>
      </c>
      <c r="M28" s="111"/>
      <c r="N28" s="115">
        <v>24</v>
      </c>
      <c r="O28" s="115">
        <v>24</v>
      </c>
      <c r="P28" s="116">
        <v>8977234</v>
      </c>
      <c r="Q28" s="116" t="s">
        <v>111</v>
      </c>
      <c r="R28" s="110" t="s">
        <v>118</v>
      </c>
    </row>
    <row r="29" spans="1:18" ht="15" customHeight="1" x14ac:dyDescent="0.2">
      <c r="A29" s="111">
        <v>111828564</v>
      </c>
      <c r="B29" s="111" t="str">
        <f t="shared" si="0"/>
        <v>1118285643</v>
      </c>
      <c r="C29" s="112" t="s">
        <v>103</v>
      </c>
      <c r="D29" s="112" t="s">
        <v>52</v>
      </c>
      <c r="E29" s="117">
        <v>45658</v>
      </c>
      <c r="F29" s="118">
        <v>45809</v>
      </c>
      <c r="G29" s="115">
        <v>1</v>
      </c>
      <c r="H29" s="114">
        <v>0</v>
      </c>
      <c r="I29" s="115">
        <v>0</v>
      </c>
      <c r="J29" s="115">
        <v>24</v>
      </c>
      <c r="K29" s="115">
        <v>0</v>
      </c>
      <c r="L29" s="115">
        <v>24</v>
      </c>
      <c r="M29" s="111"/>
      <c r="N29" s="115">
        <v>24</v>
      </c>
      <c r="O29" s="115">
        <v>24</v>
      </c>
      <c r="P29" s="116">
        <v>8977234</v>
      </c>
      <c r="Q29" s="116" t="s">
        <v>111</v>
      </c>
      <c r="R29" s="110" t="s">
        <v>118</v>
      </c>
    </row>
    <row r="30" spans="1:18" ht="15" customHeight="1" x14ac:dyDescent="0.2">
      <c r="A30" s="111">
        <v>111057159</v>
      </c>
      <c r="B30" s="111" t="str">
        <f t="shared" si="0"/>
        <v>1110571593</v>
      </c>
      <c r="C30" s="112" t="s">
        <v>96</v>
      </c>
      <c r="D30" s="112" t="s">
        <v>97</v>
      </c>
      <c r="E30" s="117">
        <v>45658</v>
      </c>
      <c r="F30" s="118">
        <v>45809</v>
      </c>
      <c r="G30" s="115">
        <v>1</v>
      </c>
      <c r="H30" s="114">
        <v>0</v>
      </c>
      <c r="I30" s="115">
        <v>0</v>
      </c>
      <c r="J30" s="115">
        <v>25</v>
      </c>
      <c r="K30" s="115">
        <v>0</v>
      </c>
      <c r="L30" s="115">
        <v>25</v>
      </c>
      <c r="M30" s="111"/>
      <c r="N30" s="115">
        <v>25</v>
      </c>
      <c r="O30" s="115">
        <v>25</v>
      </c>
      <c r="P30" s="116">
        <v>8977234</v>
      </c>
      <c r="Q30" s="116" t="s">
        <v>111</v>
      </c>
      <c r="R30" s="110" t="s">
        <v>119</v>
      </c>
    </row>
    <row r="31" spans="1:18" ht="15" customHeight="1" x14ac:dyDescent="0.2">
      <c r="A31" s="111">
        <v>111241629</v>
      </c>
      <c r="B31" s="111" t="str">
        <f t="shared" si="0"/>
        <v>1112416293</v>
      </c>
      <c r="C31" s="112" t="s">
        <v>100</v>
      </c>
      <c r="D31" s="112" t="s">
        <v>55</v>
      </c>
      <c r="E31" s="117">
        <v>45658</v>
      </c>
      <c r="F31" s="118">
        <v>45809</v>
      </c>
      <c r="G31" s="115">
        <v>1</v>
      </c>
      <c r="H31" s="114">
        <v>0</v>
      </c>
      <c r="I31" s="115">
        <v>0</v>
      </c>
      <c r="J31" s="115">
        <v>25</v>
      </c>
      <c r="K31" s="115">
        <v>0</v>
      </c>
      <c r="L31" s="115">
        <v>25</v>
      </c>
      <c r="M31" s="111"/>
      <c r="N31" s="115">
        <v>25</v>
      </c>
      <c r="O31" s="115">
        <v>25</v>
      </c>
      <c r="P31" s="116">
        <v>8977234</v>
      </c>
      <c r="Q31" s="116" t="s">
        <v>111</v>
      </c>
      <c r="R31" s="110" t="s">
        <v>119</v>
      </c>
    </row>
  </sheetData>
  <sortState xmlns:xlrd2="http://schemas.microsoft.com/office/spreadsheetml/2017/richdata2" ref="A2:AB31">
    <sortCondition ref="J2:J3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2025-06-19T13:47:21Z</dcterms:created>
  <dcterms:modified xsi:type="dcterms:W3CDTF">2025-06-19T18:48:04Z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2025-06-05T00:00:00Z</vt:filetime>
  </property>
  <property fmtid="{D5CDD505-2E9C-101B-9397-08002B2CF9AE}" pid="3" name="Creator">
    <vt:lpwstr>JasperReports Library version 6.21.3-4a3078d20785ebe464f18037d738d12fc98c13cf</vt:lpwstr>
  </property>
  <property fmtid="{D5CDD505-2E9C-101B-9397-08002B2CF9AE}" pid="4" name="Producer">
    <vt:lpwstr>OpenPDF 2.0.3</vt:lpwstr>
  </property>
  <property fmtid="{D5CDD505-2E9C-101B-9397-08002B2CF9AE}" pid="5" name="LastSaved">
    <vt:filetime>2025-06-05T00:00:00Z</vt:filetime>
  </property>
</Properties>
</file>