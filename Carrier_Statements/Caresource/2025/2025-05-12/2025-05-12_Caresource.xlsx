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website\Caresource 05-12-25\"/>
    </mc:Choice>
  </mc:AlternateContent>
  <xr:revisionPtr revIDLastSave="0" documentId="13_ncr:1_{D9C859C3-88D4-4E02-9C2D-0B5D691E0F56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Table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" i="2"/>
</calcChain>
</file>

<file path=xl/sharedStrings.xml><?xml version="1.0" encoding="utf-8"?>
<sst xmlns="http://schemas.openxmlformats.org/spreadsheetml/2006/main" count="472" uniqueCount="112">
  <si>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</si>
  <si>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$162.00
</t>
    </r>
    <r>
      <rPr>
        <sz val="9"/>
        <rFont val="Arial"/>
        <family val="2"/>
      </rPr>
      <t>$639.17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</si>
  <si>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</si>
  <si>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   $801.17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</si>
  <si>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$801.17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</si>
  <si>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</si>
  <si>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</si>
  <si>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</si>
  <si>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</si>
  <si>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</si>
  <si>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</si>
  <si>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</si>
  <si>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</si>
  <si>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</si>
  <si>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</si>
  <si>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</si>
  <si>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</si>
  <si>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</si>
  <si>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State       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</si>
  <si>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</si>
  <si>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</si>
  <si>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</si>
  <si>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</si>
  <si>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</si>
  <si>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</si>
  <si>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</si>
  <si>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</si>
  <si>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</si>
  <si>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</si>
  <si>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</si>
  <si>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</si>
  <si>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>Total Commission Paid</t>
    </r>
  </si>
  <si>
    <r>
      <rPr>
        <sz val="8"/>
        <rFont val="Arial"/>
        <family val="2"/>
      </rPr>
      <t>Williams, Carla</t>
    </r>
  </si>
  <si>
    <r>
      <rPr>
        <sz val="8"/>
        <rFont val="Arial"/>
        <family val="2"/>
      </rPr>
      <t>Low Premium Silver 6000</t>
    </r>
  </si>
  <si>
    <r>
      <rPr>
        <vertAlign val="superscript"/>
        <sz val="8"/>
        <rFont val="Arial"/>
        <family val="2"/>
      </rPr>
      <t xml:space="preserve">OH       </t>
    </r>
    <r>
      <rPr>
        <sz val="8"/>
        <rFont val="Arial"/>
        <family val="2"/>
      </rPr>
      <t>01/01/2025</t>
    </r>
  </si>
  <si>
    <r>
      <rPr>
        <sz val="8"/>
        <rFont val="Arial"/>
        <family val="2"/>
      </rPr>
      <t>05/2025</t>
    </r>
  </si>
  <si>
    <r>
      <rPr>
        <sz val="8"/>
        <rFont val="Arial"/>
        <family val="2"/>
      </rPr>
      <t>N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</si>
  <si>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$ 21.00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</si>
  <si>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</si>
  <si>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</si>
  <si>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</si>
  <si>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</si>
  <si>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</si>
  <si>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</si>
  <si>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</si>
  <si>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</si>
  <si>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</si>
  <si>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</si>
  <si>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</si>
  <si>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</si>
  <si>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Paid</t>
    </r>
  </si>
  <si>
    <r>
      <rPr>
        <sz val="8"/>
        <rFont val="Arial"/>
        <family val="2"/>
      </rPr>
      <t>Bumgardner, Larry</t>
    </r>
  </si>
  <si>
    <r>
      <rPr>
        <sz val="8"/>
        <rFont val="Arial"/>
        <family val="2"/>
      </rPr>
      <t>Bronze First 7500 $25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</si>
  <si>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</si>
  <si>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Melvin, Tanner A.</t>
    </r>
  </si>
  <si>
    <r>
      <rPr>
        <sz val="8"/>
        <rFont val="Arial"/>
        <family val="2"/>
      </rPr>
      <t>Low Premium Silver 1000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</si>
  <si>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</si>
  <si>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Melvin, Todd</t>
    </r>
  </si>
  <si>
    <r>
      <rPr>
        <sz val="8"/>
        <rFont val="Arial"/>
        <family val="2"/>
      </rPr>
      <t>Henry, Lori</t>
    </r>
  </si>
  <si>
    <r>
      <rPr>
        <sz val="8"/>
        <rFont val="Arial"/>
        <family val="2"/>
      </rPr>
      <t>Stephan, Alana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</si>
  <si>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</si>
  <si>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$ 162.00</t>
    </r>
  </si>
  <si>
    <r>
      <rPr>
        <b/>
        <sz val="10"/>
        <rFont val="Arial"/>
        <family val="2"/>
      </rPr>
      <t>Writing Producer                           18710070                                Mccorkle, Michelle</t>
    </r>
  </si>
  <si>
    <r>
      <rPr>
        <sz val="8"/>
        <rFont val="Arial"/>
        <family val="2"/>
      </rPr>
      <t>Thomas, Kathleen</t>
    </r>
  </si>
  <si>
    <r>
      <rPr>
        <sz val="8"/>
        <rFont val="Arial"/>
        <family val="2"/>
      </rPr>
      <t>Low Premium Silver 500 $0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</si>
  <si>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</si>
  <si>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9"/>
        <rFont val="Arial"/>
        <family val="2"/>
      </rPr>
      <t>Total for Writing Producer       18710070        Mccorkle, Michelle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</si>
  <si>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</si>
  <si>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b/>
        <sz val="9"/>
        <rFont val="Arial"/>
        <family val="2"/>
      </rPr>
      <t>Effective Date</t>
    </r>
  </si>
  <si>
    <r>
      <rPr>
        <sz val="8"/>
        <rFont val="Arial"/>
        <family val="2"/>
      </rPr>
      <t>Binns, Connie</t>
    </r>
  </si>
  <si>
    <r>
      <rPr>
        <sz val="8"/>
        <rFont val="Arial"/>
        <family val="2"/>
      </rPr>
      <t>Morr, Kylee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</si>
  <si>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</si>
  <si>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Kissel, Gavin</t>
    </r>
  </si>
  <si>
    <r>
      <rPr>
        <sz val="8"/>
        <rFont val="Arial"/>
        <family val="2"/>
      </rPr>
      <t>HSA Eligible Bronze 6000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</si>
  <si>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</si>
  <si>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</si>
  <si>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Silver 5000 $20 Generic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</si>
  <si>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</si>
  <si>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</si>
  <si>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Dello, Jackie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</si>
  <si>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</si>
  <si>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</si>
  <si>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</si>
  <si>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</si>
  <si>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</si>
  <si>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Silver 3000 $20 Generic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</si>
  <si>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</si>
  <si>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</si>
  <si>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Prescaro, Kimberly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</si>
  <si>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</si>
  <si>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</si>
  <si>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Beach, Sherry</t>
    </r>
  </si>
  <si>
    <r>
      <rPr>
        <sz val="8"/>
        <rFont val="Arial"/>
        <family val="2"/>
      </rPr>
      <t>Stevanus, Christopher</t>
    </r>
  </si>
  <si>
    <r>
      <rPr>
        <sz val="8"/>
        <rFont val="Arial"/>
        <family val="2"/>
      </rPr>
      <t xml:space="preserve">111876534       Rosa Serrano,               Bronze First 7500 $25               OH       </t>
    </r>
    <r>
      <rPr>
        <vertAlign val="subscript"/>
        <sz val="8"/>
        <rFont val="Arial"/>
        <family val="2"/>
      </rPr>
      <t xml:space="preserve">02/01/2025     </t>
    </r>
    <r>
      <rPr>
        <sz val="8"/>
        <rFont val="Arial"/>
        <family val="2"/>
      </rPr>
      <t>05/31/2025      05/2025         N               $ 899.50            0.00%                 $ 0.00    $ 21.00         $ 0.00          $ 21.00              1                $ 21.00                 N                         $ 21.00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</si>
  <si>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$ 478.17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</si>
  <si>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$ 619.17</t>
    </r>
  </si>
  <si>
    <t>Deborah Inskipt</t>
  </si>
  <si>
    <t>Michelle Mccorkle</t>
  </si>
  <si>
    <t>Ryan Caltagirone</t>
  </si>
  <si>
    <t>Rosa Serrano</t>
  </si>
  <si>
    <t>Bronze First 7500 $25</t>
  </si>
  <si>
    <t>OH</t>
  </si>
  <si>
    <t>Date</t>
  </si>
  <si>
    <t>Caresource 2025 - GA</t>
  </si>
  <si>
    <t>Caresource - WV</t>
  </si>
  <si>
    <t>Caresource - OH</t>
  </si>
  <si>
    <t>Caresource - OS</t>
  </si>
  <si>
    <t>Caresource - IN, NC</t>
  </si>
  <si>
    <t>[PMPM=2]</t>
  </si>
  <si>
    <t>[PMPM=3]</t>
  </si>
  <si>
    <t>Crowe, Gary</t>
  </si>
  <si>
    <t>Melvin, Tanner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</si>
</sst>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\ #,##0.00"/>
    <numFmt numFmtId="166" formatCode="\$\ 0.00"/>
    <numFmt numFmtId="167" formatCode="mm/dd/yyyy;@"/>
  </numFmts>
  <fonts count="16" x14ac:knownFonts="1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b/>
      <sz val="11"/>
      <name val="Arial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left" vertical="top" indent="1" shrinkToFit="1"/>
    </xf>
    <xf numFmtId="10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center" vertical="top" shrinkToFi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wrapTex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wrapText="1"/>
    </xf>
    <xf numFmtId="166" fontId="5" fillId="3" borderId="0" xfId="0" applyNumberFormat="1" applyFont="1" applyFill="1" applyAlignment="1">
      <alignment horizontal="left" vertical="top" indent="2" shrinkToFit="1"/>
    </xf>
    <xf numFmtId="10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left" vertical="top" indent="2" shrinkToFit="1"/>
    </xf>
    <xf numFmtId="10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center" vertical="top" shrinkToFit="1"/>
    </xf>
    <xf numFmtId="165" fontId="5" fillId="3" borderId="0" xfId="0" applyNumberFormat="1" applyFont="1" applyFill="1" applyAlignment="1">
      <alignment horizontal="left" vertical="top" indent="1" shrinkToFit="1"/>
    </xf>
    <xf numFmtId="165" fontId="5" fillId="0" borderId="0" xfId="0" applyNumberFormat="1" applyFont="1" applyAlignment="1">
      <alignment horizontal="left" vertical="top" indent="1" shrinkToFi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0" fontId="0" fillId="3" borderId="0" xfId="0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6" fillId="3" borderId="0" xfId="0" applyFont="1" applyFill="1" applyAlignment="1">
      <alignment horizontal="left" vertical="top" wrapText="1"/>
    </xf>
    <xf numFmtId="167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right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167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23"/>
    </xf>
    <xf numFmtId="0" fontId="0" fillId="4" borderId="4" xfId="0" applyFill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left" wrapText="1" indent="13"/>
    </xf>
    <xf numFmtId="0" fontId="1" fillId="2" borderId="0" xfId="0" applyFont="1" applyFill="1" applyAlignment="1">
      <alignment horizontal="left" vertical="top" wrapText="1" indent="1"/>
    </xf>
    <xf numFmtId="0" fontId="1" fillId="4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 indent="1"/>
    </xf>
    <xf numFmtId="0" fontId="0" fillId="0" borderId="0" xfId="0" applyAlignment="1">
      <alignment horizontal="left" wrapText="1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left" vertical="center" wrapText="1" indent="44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14" fontId="0" fillId="0" borderId="0" xfId="0" applyNumberFormat="1" applyFill="1" applyBorder="1" applyAlignment="1">
      <alignment vertical="top" wrapText="1"/>
    </xf>
    <xf numFmtId="0" fontId="0" fillId="0" borderId="0" xfId="0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3" fillId="0" borderId="0" xfId="0" applyFont="1" applyFill="1" applyBorder="1" applyAlignment="1">
      <alignment vertical="top" wrapText="1"/>
    </xf>
    <xf numFmtId="0" fontId="0" fillId="0" borderId="0" xfId="0" applyBorder="1" applyAlignment="1">
      <alignment vertical="top"/>
    </xf>
    <xf numFmtId="0" fontId="6" fillId="0" borderId="0" xfId="0" applyFont="1" applyFill="1" applyBorder="1" applyAlignment="1">
      <alignment vertical="top" wrapText="1"/>
    </xf>
    <xf numFmtId="167" fontId="5" fillId="0" borderId="0" xfId="0" applyNumberFormat="1" applyFont="1" applyFill="1" applyBorder="1" applyAlignment="1">
      <alignment vertical="top" shrinkToFit="1"/>
    </xf>
    <xf numFmtId="0" fontId="12" fillId="0" borderId="0" xfId="0" applyFont="1" applyFill="1" applyBorder="1" applyAlignment="1">
      <alignment vertical="top" wrapText="1"/>
    </xf>
    <xf numFmtId="166" fontId="5" fillId="0" borderId="0" xfId="0" applyNumberFormat="1" applyFont="1" applyFill="1" applyBorder="1" applyAlignment="1">
      <alignment vertical="top" shrinkToFit="1"/>
    </xf>
    <xf numFmtId="1" fontId="5" fillId="0" borderId="0" xfId="0" applyNumberFormat="1" applyFont="1" applyFill="1" applyBorder="1" applyAlignment="1">
      <alignment vertical="top" shrinkToFit="1"/>
    </xf>
    <xf numFmtId="0" fontId="0" fillId="0" borderId="0" xfId="0" applyFill="1" applyBorder="1" applyAlignment="1">
      <alignment wrapText="1"/>
    </xf>
    <xf numFmtId="10" fontId="5" fillId="0" borderId="0" xfId="0" applyNumberFormat="1" applyFont="1" applyFill="1" applyBorder="1" applyAlignment="1">
      <alignment vertical="top" shrinkToFit="1"/>
    </xf>
    <xf numFmtId="165" fontId="5" fillId="0" borderId="0" xfId="0" applyNumberFormat="1" applyFont="1" applyFill="1" applyBorder="1" applyAlignment="1">
      <alignment vertical="top" shrinkToFit="1"/>
    </xf>
    <xf numFmtId="0" fontId="0" fillId="0" borderId="0" xfId="0" applyFill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241300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241300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10E906E4-A552-4296-87C0-A3484517967D}"/>
            </a:ext>
          </a:extLst>
        </xdr:cNvPr>
        <xdr:cNvSpPr/>
      </xdr:nvSpPr>
      <xdr:spPr>
        <a:xfrm>
          <a:off x="6985000" y="1044575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"/>
  <sheetViews>
    <sheetView topLeftCell="A46" workbookViewId="0">
      <selection sqref="A1:XFD1048576"/>
    </sheetView>
  </sheetViews>
  <sheetFormatPr defaultRowHeight="12.75" x14ac:dyDescent="0.2"/>
  <cols>
    <col min="1" max="1" width="11.5" customWidth="1"/>
    <col min="2" max="2" width="20.83203125" customWidth="1"/>
    <col min="3" max="3" width="4.6640625" customWidth="1"/>
    <col min="4" max="4" width="18.6640625" customWidth="1"/>
    <col min="5" max="5" width="9.33203125" customWidth="1"/>
    <col min="6" max="6" width="4.6640625" customWidth="1"/>
    <col min="7" max="7" width="5.83203125" customWidth="1"/>
    <col min="8" max="8" width="12.6640625" customWidth="1"/>
    <col min="9" max="9" width="8" customWidth="1"/>
    <col min="10" max="10" width="3.33203125" customWidth="1"/>
    <col min="11" max="11" width="5.83203125" customWidth="1"/>
    <col min="12" max="12" width="12.6640625" customWidth="1"/>
    <col min="13" max="13" width="10.5" customWidth="1"/>
    <col min="14" max="14" width="5.83203125" customWidth="1"/>
    <col min="15" max="15" width="8" customWidth="1"/>
    <col min="16" max="16" width="1.1640625" customWidth="1"/>
    <col min="17" max="17" width="8" customWidth="1"/>
    <col min="18" max="18" width="12.6640625" customWidth="1"/>
    <col min="19" max="19" width="9.33203125" customWidth="1"/>
    <col min="20" max="20" width="2.1640625" customWidth="1"/>
    <col min="21" max="21" width="9.33203125" customWidth="1"/>
    <col min="22" max="22" width="14" customWidth="1"/>
    <col min="23" max="23" width="10.5" customWidth="1"/>
    <col min="24" max="24" width="15.1640625" customWidth="1"/>
    <col min="25" max="25" width="4.6640625" customWidth="1"/>
  </cols>
  <sheetData>
    <row r="1" spans="1:25" ht="14.45" customHeight="1" x14ac:dyDescent="0.2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87"/>
      <c r="V1" s="87"/>
      <c r="W1" s="87"/>
      <c r="X1" s="87"/>
      <c r="Y1" s="87"/>
    </row>
    <row r="2" spans="1:25" ht="20.45" customHeight="1" x14ac:dyDescent="0.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95" t="s">
        <v>1</v>
      </c>
      <c r="P2" s="95"/>
      <c r="Q2" s="95"/>
      <c r="R2" s="95"/>
      <c r="S2" s="95"/>
      <c r="T2" s="95"/>
      <c r="U2" s="95"/>
      <c r="V2" s="95"/>
      <c r="W2" s="95"/>
      <c r="X2" s="95"/>
      <c r="Y2" s="95"/>
    </row>
    <row r="3" spans="1:25" ht="34.5" customHeight="1" x14ac:dyDescent="0.2">
      <c r="A3" s="96" t="s">
        <v>2</v>
      </c>
      <c r="B3" s="96"/>
      <c r="C3" s="96"/>
      <c r="D3" s="96"/>
      <c r="E3" s="96"/>
      <c r="F3" s="96"/>
      <c r="G3" s="80"/>
      <c r="H3" s="80"/>
      <c r="I3" s="80"/>
      <c r="J3" s="80"/>
      <c r="K3" s="80"/>
      <c r="L3" s="80"/>
      <c r="M3" s="80"/>
      <c r="N3" s="80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</row>
    <row r="4" spans="1:25" ht="5.25" customHeight="1" x14ac:dyDescent="0.2">
      <c r="A4" s="96"/>
      <c r="B4" s="96"/>
      <c r="C4" s="96"/>
      <c r="D4" s="96"/>
      <c r="E4" s="96"/>
      <c r="F4" s="96"/>
      <c r="G4" s="87"/>
      <c r="H4" s="87"/>
      <c r="I4" s="87"/>
      <c r="J4" s="87"/>
      <c r="K4" s="87"/>
      <c r="L4" s="87"/>
      <c r="M4" s="87"/>
      <c r="N4" s="87"/>
      <c r="O4" s="1"/>
      <c r="P4" s="87"/>
      <c r="Q4" s="87"/>
      <c r="R4" s="87"/>
      <c r="S4" s="87"/>
      <c r="T4" s="87"/>
      <c r="U4" s="87"/>
      <c r="V4" s="87"/>
      <c r="W4" s="87"/>
      <c r="X4" s="87"/>
      <c r="Y4" s="87"/>
    </row>
    <row r="5" spans="1:25" ht="20.45" customHeight="1" x14ac:dyDescent="0.2">
      <c r="A5" s="80"/>
      <c r="B5" s="80"/>
      <c r="C5" s="80"/>
      <c r="D5" s="80"/>
      <c r="E5" s="80"/>
      <c r="F5" s="80"/>
      <c r="G5" s="82" t="s">
        <v>3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</row>
    <row r="6" spans="1:25" ht="30.95" customHeight="1" x14ac:dyDescent="0.2">
      <c r="A6" s="92" t="s">
        <v>4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</row>
    <row r="7" spans="1:25" ht="43.5" customHeight="1" x14ac:dyDescent="0.2">
      <c r="A7" s="93" t="s">
        <v>5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</row>
    <row r="8" spans="1:25" ht="12.95" customHeight="1" x14ac:dyDescent="0.2">
      <c r="A8" s="87"/>
      <c r="B8" s="87"/>
      <c r="C8" s="87"/>
      <c r="D8" s="82" t="s">
        <v>6</v>
      </c>
      <c r="E8" s="82"/>
      <c r="F8" s="82"/>
      <c r="G8" s="82"/>
      <c r="H8" s="82"/>
      <c r="I8" s="82"/>
      <c r="J8" s="82"/>
      <c r="K8" s="88">
        <v>0</v>
      </c>
      <c r="L8" s="88"/>
      <c r="M8" s="88"/>
      <c r="N8" s="88"/>
      <c r="O8" s="88"/>
      <c r="P8" s="87"/>
      <c r="Q8" s="87"/>
      <c r="R8" s="87"/>
      <c r="S8" s="87"/>
      <c r="T8" s="87"/>
      <c r="U8" s="87"/>
      <c r="V8" s="87"/>
      <c r="W8" s="87"/>
      <c r="X8" s="87"/>
      <c r="Y8" s="87"/>
    </row>
    <row r="9" spans="1:25" ht="12.95" customHeight="1" x14ac:dyDescent="0.2">
      <c r="A9" s="87"/>
      <c r="B9" s="87"/>
      <c r="C9" s="87"/>
      <c r="D9" s="89" t="s">
        <v>7</v>
      </c>
      <c r="E9" s="89"/>
      <c r="F9" s="89"/>
      <c r="G9" s="89"/>
      <c r="H9" s="89"/>
      <c r="I9" s="89"/>
      <c r="J9" s="89"/>
      <c r="K9" s="90">
        <v>801.17</v>
      </c>
      <c r="L9" s="90"/>
      <c r="M9" s="90"/>
      <c r="N9" s="90"/>
      <c r="O9" s="90"/>
      <c r="P9" s="87"/>
      <c r="Q9" s="87"/>
      <c r="R9" s="87"/>
      <c r="S9" s="87"/>
      <c r="T9" s="87"/>
      <c r="U9" s="87"/>
      <c r="V9" s="87"/>
      <c r="W9" s="87"/>
      <c r="X9" s="87"/>
      <c r="Y9" s="87"/>
    </row>
    <row r="10" spans="1:25" ht="12.95" customHeight="1" x14ac:dyDescent="0.2">
      <c r="A10" s="87"/>
      <c r="B10" s="87"/>
      <c r="C10" s="87"/>
      <c r="D10" s="82" t="s">
        <v>8</v>
      </c>
      <c r="E10" s="82"/>
      <c r="F10" s="82"/>
      <c r="G10" s="82"/>
      <c r="H10" s="82"/>
      <c r="I10" s="82"/>
      <c r="J10" s="82"/>
      <c r="K10" s="88">
        <v>0</v>
      </c>
      <c r="L10" s="88"/>
      <c r="M10" s="88"/>
      <c r="N10" s="88"/>
      <c r="O10" s="88"/>
      <c r="P10" s="87"/>
      <c r="Q10" s="87"/>
      <c r="R10" s="87"/>
      <c r="S10" s="87"/>
      <c r="T10" s="87"/>
      <c r="U10" s="87"/>
      <c r="V10" s="87"/>
      <c r="W10" s="87"/>
      <c r="X10" s="87"/>
      <c r="Y10" s="87"/>
    </row>
    <row r="11" spans="1:25" ht="12.95" customHeight="1" x14ac:dyDescent="0.2">
      <c r="A11" s="87"/>
      <c r="B11" s="87"/>
      <c r="C11" s="87"/>
      <c r="D11" s="89" t="s">
        <v>9</v>
      </c>
      <c r="E11" s="89"/>
      <c r="F11" s="89"/>
      <c r="G11" s="89"/>
      <c r="H11" s="89"/>
      <c r="I11" s="89"/>
      <c r="J11" s="89"/>
      <c r="K11" s="90">
        <v>0</v>
      </c>
      <c r="L11" s="90"/>
      <c r="M11" s="90"/>
      <c r="N11" s="90"/>
      <c r="O11" s="90"/>
      <c r="P11" s="87"/>
      <c r="Q11" s="87"/>
      <c r="R11" s="87"/>
      <c r="S11" s="87"/>
      <c r="T11" s="87"/>
      <c r="U11" s="87"/>
      <c r="V11" s="87"/>
      <c r="W11" s="87"/>
      <c r="X11" s="87"/>
      <c r="Y11" s="87"/>
    </row>
    <row r="12" spans="1:25" ht="17.100000000000001" customHeight="1" x14ac:dyDescent="0.2">
      <c r="A12" s="87"/>
      <c r="B12" s="87"/>
      <c r="C12" s="87"/>
      <c r="D12" s="82" t="s">
        <v>10</v>
      </c>
      <c r="E12" s="82"/>
      <c r="F12" s="82"/>
      <c r="G12" s="82"/>
      <c r="H12" s="82"/>
      <c r="I12" s="82"/>
      <c r="J12" s="82"/>
      <c r="K12" s="91">
        <v>801.17</v>
      </c>
      <c r="L12" s="91"/>
      <c r="M12" s="91"/>
      <c r="N12" s="91"/>
      <c r="O12" s="91"/>
      <c r="P12" s="87"/>
      <c r="Q12" s="87"/>
      <c r="R12" s="87"/>
      <c r="S12" s="87"/>
      <c r="T12" s="87"/>
      <c r="U12" s="87"/>
      <c r="V12" s="87"/>
      <c r="W12" s="87"/>
      <c r="X12" s="87"/>
      <c r="Y12" s="87"/>
    </row>
    <row r="13" spans="1:25" ht="18" customHeight="1" x14ac:dyDescent="0.2">
      <c r="A13" s="87"/>
      <c r="B13" s="87"/>
      <c r="C13" s="87"/>
      <c r="D13" s="82" t="s">
        <v>11</v>
      </c>
      <c r="E13" s="82"/>
      <c r="F13" s="82"/>
      <c r="G13" s="82"/>
      <c r="H13" s="82"/>
      <c r="I13" s="82"/>
      <c r="J13" s="82"/>
      <c r="K13" s="88">
        <v>801.17</v>
      </c>
      <c r="L13" s="88"/>
      <c r="M13" s="88"/>
      <c r="N13" s="88"/>
      <c r="O13" s="88"/>
      <c r="P13" s="87"/>
      <c r="Q13" s="87"/>
      <c r="R13" s="87"/>
      <c r="S13" s="87"/>
      <c r="T13" s="87"/>
      <c r="U13" s="87"/>
      <c r="V13" s="87"/>
      <c r="W13" s="87"/>
      <c r="X13" s="87"/>
      <c r="Y13" s="87"/>
    </row>
    <row r="14" spans="1:25" ht="13.35" customHeight="1" x14ac:dyDescent="0.2">
      <c r="A14" s="87"/>
      <c r="B14" s="87"/>
      <c r="C14" s="87"/>
      <c r="D14" s="82" t="s">
        <v>12</v>
      </c>
      <c r="E14" s="82"/>
      <c r="F14" s="82"/>
      <c r="G14" s="82"/>
      <c r="H14" s="82"/>
      <c r="I14" s="82"/>
      <c r="J14" s="82"/>
      <c r="K14" s="88">
        <v>0</v>
      </c>
      <c r="L14" s="88"/>
      <c r="M14" s="88"/>
      <c r="N14" s="88"/>
      <c r="O14" s="88"/>
      <c r="P14" s="87"/>
      <c r="Q14" s="87"/>
      <c r="R14" s="87"/>
      <c r="S14" s="87"/>
      <c r="T14" s="87"/>
      <c r="U14" s="87"/>
      <c r="V14" s="87"/>
      <c r="W14" s="87"/>
      <c r="X14" s="87"/>
      <c r="Y14" s="87"/>
    </row>
    <row r="15" spans="1:25" ht="16.5" customHeight="1" x14ac:dyDescent="0.2">
      <c r="A15" s="83" t="s">
        <v>13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1"/>
    </row>
    <row r="16" spans="1:25" ht="14.25" customHeight="1" x14ac:dyDescent="0.2">
      <c r="A16" s="84" t="s">
        <v>14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1"/>
    </row>
    <row r="17" spans="1:25" ht="38.25" customHeight="1" x14ac:dyDescent="0.2">
      <c r="A17" s="5" t="s">
        <v>15</v>
      </c>
      <c r="B17" s="6" t="s">
        <v>16</v>
      </c>
      <c r="C17" s="72" t="s">
        <v>17</v>
      </c>
      <c r="D17" s="72"/>
      <c r="E17" s="85" t="s">
        <v>18</v>
      </c>
      <c r="F17" s="85"/>
      <c r="G17" s="85"/>
      <c r="H17" s="7" t="s">
        <v>19</v>
      </c>
      <c r="I17" s="5" t="s">
        <v>20</v>
      </c>
      <c r="J17" s="74" t="s">
        <v>21</v>
      </c>
      <c r="K17" s="74"/>
      <c r="L17" s="6" t="s">
        <v>22</v>
      </c>
      <c r="M17" s="7" t="s">
        <v>23</v>
      </c>
      <c r="N17" s="67" t="s">
        <v>24</v>
      </c>
      <c r="O17" s="67"/>
      <c r="P17" s="67"/>
      <c r="Q17" s="9" t="s">
        <v>25</v>
      </c>
      <c r="R17" s="10" t="s">
        <v>26</v>
      </c>
      <c r="S17" s="5" t="s">
        <v>27</v>
      </c>
      <c r="T17" s="75" t="s">
        <v>28</v>
      </c>
      <c r="U17" s="75"/>
      <c r="V17" s="11" t="s">
        <v>29</v>
      </c>
      <c r="W17" s="5" t="s">
        <v>30</v>
      </c>
      <c r="X17" s="11" t="s">
        <v>31</v>
      </c>
      <c r="Y17" s="3"/>
    </row>
    <row r="18" spans="1:25" ht="17.100000000000001" customHeight="1" x14ac:dyDescent="0.2">
      <c r="A18" s="12">
        <v>112399968</v>
      </c>
      <c r="B18" s="13" t="s">
        <v>32</v>
      </c>
      <c r="C18" s="59" t="s">
        <v>33</v>
      </c>
      <c r="D18" s="59"/>
      <c r="E18" s="86" t="s">
        <v>34</v>
      </c>
      <c r="F18" s="86"/>
      <c r="G18" s="86"/>
      <c r="H18" s="14"/>
      <c r="I18" s="15" t="s">
        <v>35</v>
      </c>
      <c r="J18" s="61" t="s">
        <v>36</v>
      </c>
      <c r="K18" s="61"/>
      <c r="L18" s="16">
        <v>1008.63</v>
      </c>
      <c r="M18" s="17">
        <v>0</v>
      </c>
      <c r="N18" s="62">
        <v>0</v>
      </c>
      <c r="O18" s="62"/>
      <c r="P18" s="62"/>
      <c r="Q18" s="19">
        <v>21</v>
      </c>
      <c r="R18" s="19">
        <v>0</v>
      </c>
      <c r="S18" s="19">
        <v>21</v>
      </c>
      <c r="T18" s="63">
        <v>1</v>
      </c>
      <c r="U18" s="63"/>
      <c r="V18" s="19">
        <v>21</v>
      </c>
      <c r="W18" s="15" t="s">
        <v>36</v>
      </c>
      <c r="X18" s="18">
        <v>21</v>
      </c>
      <c r="Y18" s="2"/>
    </row>
    <row r="19" spans="1:25" ht="21.95" customHeight="1" x14ac:dyDescent="0.2">
      <c r="A19" s="70" t="s">
        <v>37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2"/>
    </row>
    <row r="20" spans="1:25" ht="14.25" customHeight="1" x14ac:dyDescent="0.2">
      <c r="A20" s="20"/>
      <c r="B20" s="20"/>
      <c r="C20" s="71"/>
      <c r="D20" s="71"/>
      <c r="E20" s="20"/>
      <c r="F20" s="71"/>
      <c r="G20" s="71"/>
      <c r="H20" s="20"/>
      <c r="I20" s="20"/>
      <c r="J20" s="71"/>
      <c r="K20" s="71"/>
      <c r="L20" s="21" t="s">
        <v>38</v>
      </c>
      <c r="M20" s="20"/>
      <c r="N20" s="71"/>
      <c r="O20" s="71"/>
      <c r="P20" s="71"/>
      <c r="Q20" s="20"/>
      <c r="R20" s="20"/>
      <c r="S20" s="20"/>
      <c r="T20" s="71"/>
      <c r="U20" s="71"/>
      <c r="V20" s="20"/>
      <c r="W20" s="20"/>
      <c r="X20" s="20"/>
      <c r="Y20" s="1"/>
    </row>
    <row r="21" spans="1:25" ht="25.5" customHeight="1" x14ac:dyDescent="0.2">
      <c r="A21" s="14"/>
      <c r="B21" s="14"/>
      <c r="C21" s="64"/>
      <c r="D21" s="64"/>
      <c r="E21" s="14"/>
      <c r="F21" s="65" t="s">
        <v>39</v>
      </c>
      <c r="G21" s="65"/>
      <c r="H21" s="22" t="s">
        <v>40</v>
      </c>
      <c r="I21" s="14"/>
      <c r="J21" s="64"/>
      <c r="K21" s="64"/>
      <c r="L21" s="14"/>
      <c r="M21" s="23" t="s">
        <v>41</v>
      </c>
      <c r="N21" s="66" t="s">
        <v>42</v>
      </c>
      <c r="O21" s="66"/>
      <c r="P21" s="66"/>
      <c r="Q21" s="24" t="s">
        <v>43</v>
      </c>
      <c r="R21" s="24" t="s">
        <v>44</v>
      </c>
      <c r="S21" s="14"/>
      <c r="T21" s="65" t="s">
        <v>45</v>
      </c>
      <c r="U21" s="65"/>
      <c r="V21" s="24" t="s">
        <v>42</v>
      </c>
      <c r="W21" s="14"/>
      <c r="X21" s="24" t="s">
        <v>46</v>
      </c>
      <c r="Y21" s="2"/>
    </row>
    <row r="22" spans="1:25" ht="12.75" customHeight="1" x14ac:dyDescent="0.2">
      <c r="A22" s="11" t="s">
        <v>15</v>
      </c>
      <c r="B22" s="8" t="s">
        <v>16</v>
      </c>
      <c r="C22" s="67" t="s">
        <v>17</v>
      </c>
      <c r="D22" s="67"/>
      <c r="E22" s="11" t="s">
        <v>47</v>
      </c>
      <c r="F22" s="68" t="s">
        <v>48</v>
      </c>
      <c r="G22" s="68"/>
      <c r="H22" s="11" t="s">
        <v>48</v>
      </c>
      <c r="I22" s="11" t="s">
        <v>20</v>
      </c>
      <c r="J22" s="68" t="s">
        <v>21</v>
      </c>
      <c r="K22" s="68"/>
      <c r="L22" s="8" t="s">
        <v>22</v>
      </c>
      <c r="M22" s="8" t="s">
        <v>22</v>
      </c>
      <c r="N22" s="69" t="s">
        <v>22</v>
      </c>
      <c r="O22" s="69"/>
      <c r="P22" s="69"/>
      <c r="Q22" s="11" t="s">
        <v>27</v>
      </c>
      <c r="R22" s="11" t="s">
        <v>27</v>
      </c>
      <c r="S22" s="11" t="s">
        <v>27</v>
      </c>
      <c r="T22" s="68" t="s">
        <v>49</v>
      </c>
      <c r="U22" s="68"/>
      <c r="V22" s="11" t="s">
        <v>27</v>
      </c>
      <c r="W22" s="11" t="s">
        <v>30</v>
      </c>
      <c r="X22" s="25" t="s">
        <v>50</v>
      </c>
      <c r="Y22" s="2"/>
    </row>
    <row r="23" spans="1:25" ht="5.25" customHeight="1" x14ac:dyDescent="0.2">
      <c r="A23" s="26"/>
      <c r="B23" s="26"/>
      <c r="C23" s="76"/>
      <c r="D23" s="76"/>
      <c r="E23" s="26"/>
      <c r="F23" s="76"/>
      <c r="G23" s="76"/>
      <c r="H23" s="26"/>
      <c r="I23" s="26"/>
      <c r="J23" s="76"/>
      <c r="K23" s="76"/>
      <c r="L23" s="26"/>
      <c r="M23" s="26"/>
      <c r="N23" s="76"/>
      <c r="O23" s="76"/>
      <c r="P23" s="76"/>
      <c r="Q23" s="26"/>
      <c r="R23" s="26"/>
      <c r="S23" s="26"/>
      <c r="T23" s="76"/>
      <c r="U23" s="76"/>
      <c r="V23" s="26"/>
      <c r="W23" s="26"/>
      <c r="X23" s="26"/>
      <c r="Y23" s="1"/>
    </row>
    <row r="24" spans="1:25" ht="12" customHeight="1" x14ac:dyDescent="0.2">
      <c r="A24" s="27">
        <v>106737758</v>
      </c>
      <c r="B24" s="28" t="s">
        <v>51</v>
      </c>
      <c r="C24" s="54" t="s">
        <v>52</v>
      </c>
      <c r="D24" s="54"/>
      <c r="E24" s="29" t="s">
        <v>53</v>
      </c>
      <c r="F24" s="55">
        <v>45658</v>
      </c>
      <c r="G24" s="55"/>
      <c r="H24" s="30"/>
      <c r="I24" s="29" t="s">
        <v>35</v>
      </c>
      <c r="J24" s="56" t="s">
        <v>36</v>
      </c>
      <c r="K24" s="56"/>
      <c r="L24" s="31">
        <v>669.22</v>
      </c>
      <c r="M24" s="32">
        <v>0</v>
      </c>
      <c r="N24" s="57">
        <v>0</v>
      </c>
      <c r="O24" s="57"/>
      <c r="P24" s="57"/>
      <c r="Q24" s="34">
        <v>21</v>
      </c>
      <c r="R24" s="34">
        <v>0</v>
      </c>
      <c r="S24" s="34">
        <v>21</v>
      </c>
      <c r="T24" s="58">
        <v>1</v>
      </c>
      <c r="U24" s="58"/>
      <c r="V24" s="34">
        <v>21</v>
      </c>
      <c r="W24" s="29" t="s">
        <v>36</v>
      </c>
      <c r="X24" s="33">
        <v>21</v>
      </c>
      <c r="Y24" s="1"/>
    </row>
    <row r="25" spans="1:25" ht="12" customHeight="1" x14ac:dyDescent="0.2">
      <c r="A25" s="35">
        <v>110700972</v>
      </c>
      <c r="B25" s="36" t="s">
        <v>54</v>
      </c>
      <c r="C25" s="46" t="s">
        <v>55</v>
      </c>
      <c r="D25" s="46"/>
      <c r="E25" s="37" t="s">
        <v>56</v>
      </c>
      <c r="F25" s="47">
        <v>45658</v>
      </c>
      <c r="G25" s="47"/>
      <c r="H25" s="1"/>
      <c r="I25" s="37" t="s">
        <v>35</v>
      </c>
      <c r="J25" s="48" t="s">
        <v>36</v>
      </c>
      <c r="K25" s="48"/>
      <c r="L25" s="38">
        <v>808.72</v>
      </c>
      <c r="M25" s="39">
        <v>0</v>
      </c>
      <c r="N25" s="49">
        <v>0</v>
      </c>
      <c r="O25" s="49"/>
      <c r="P25" s="49"/>
      <c r="Q25" s="41">
        <v>20</v>
      </c>
      <c r="R25" s="41">
        <v>0</v>
      </c>
      <c r="S25" s="41">
        <v>20</v>
      </c>
      <c r="T25" s="50">
        <v>1</v>
      </c>
      <c r="U25" s="50"/>
      <c r="V25" s="41">
        <v>20</v>
      </c>
      <c r="W25" s="37" t="s">
        <v>36</v>
      </c>
      <c r="X25" s="40">
        <v>20</v>
      </c>
      <c r="Y25" s="1"/>
    </row>
    <row r="26" spans="1:25" ht="12" customHeight="1" x14ac:dyDescent="0.2">
      <c r="A26" s="27">
        <v>110701159</v>
      </c>
      <c r="B26" s="28" t="s">
        <v>57</v>
      </c>
      <c r="C26" s="54" t="s">
        <v>55</v>
      </c>
      <c r="D26" s="54"/>
      <c r="E26" s="29" t="s">
        <v>56</v>
      </c>
      <c r="F26" s="55">
        <v>45658</v>
      </c>
      <c r="G26" s="55"/>
      <c r="H26" s="30"/>
      <c r="I26" s="29" t="s">
        <v>35</v>
      </c>
      <c r="J26" s="56" t="s">
        <v>36</v>
      </c>
      <c r="K26" s="56"/>
      <c r="L26" s="42">
        <v>3867.62</v>
      </c>
      <c r="M26" s="32">
        <v>0</v>
      </c>
      <c r="N26" s="57">
        <v>0</v>
      </c>
      <c r="O26" s="57"/>
      <c r="P26" s="57"/>
      <c r="Q26" s="34">
        <v>20</v>
      </c>
      <c r="R26" s="34">
        <v>0</v>
      </c>
      <c r="S26" s="34">
        <v>20</v>
      </c>
      <c r="T26" s="58">
        <v>2</v>
      </c>
      <c r="U26" s="58"/>
      <c r="V26" s="34">
        <v>40</v>
      </c>
      <c r="W26" s="29" t="s">
        <v>36</v>
      </c>
      <c r="X26" s="33">
        <v>40</v>
      </c>
      <c r="Y26" s="1"/>
    </row>
    <row r="27" spans="1:25" ht="12" customHeight="1" x14ac:dyDescent="0.2">
      <c r="A27" s="35">
        <v>110809733</v>
      </c>
      <c r="B27" s="36" t="s">
        <v>58</v>
      </c>
      <c r="C27" s="46" t="s">
        <v>55</v>
      </c>
      <c r="D27" s="46"/>
      <c r="E27" s="37" t="s">
        <v>56</v>
      </c>
      <c r="F27" s="47">
        <v>45658</v>
      </c>
      <c r="G27" s="47"/>
      <c r="H27" s="1"/>
      <c r="I27" s="37" t="s">
        <v>35</v>
      </c>
      <c r="J27" s="48" t="s">
        <v>36</v>
      </c>
      <c r="K27" s="48"/>
      <c r="L27" s="43">
        <v>1588.94</v>
      </c>
      <c r="M27" s="39">
        <v>0</v>
      </c>
      <c r="N27" s="49">
        <v>0</v>
      </c>
      <c r="O27" s="49"/>
      <c r="P27" s="49"/>
      <c r="Q27" s="41">
        <v>20</v>
      </c>
      <c r="R27" s="41">
        <v>0</v>
      </c>
      <c r="S27" s="41">
        <v>20</v>
      </c>
      <c r="T27" s="50">
        <v>1</v>
      </c>
      <c r="U27" s="50"/>
      <c r="V27" s="41">
        <v>20</v>
      </c>
      <c r="W27" s="37" t="s">
        <v>36</v>
      </c>
      <c r="X27" s="40">
        <v>20</v>
      </c>
      <c r="Y27" s="1"/>
    </row>
    <row r="28" spans="1:25" ht="12.6" customHeight="1" x14ac:dyDescent="0.2">
      <c r="A28" s="27">
        <v>112319621</v>
      </c>
      <c r="B28" s="28" t="s">
        <v>59</v>
      </c>
      <c r="C28" s="54" t="s">
        <v>55</v>
      </c>
      <c r="D28" s="54"/>
      <c r="E28" s="29" t="s">
        <v>56</v>
      </c>
      <c r="F28" s="55">
        <v>45658</v>
      </c>
      <c r="G28" s="55"/>
      <c r="H28" s="30"/>
      <c r="I28" s="29" t="s">
        <v>35</v>
      </c>
      <c r="J28" s="56" t="s">
        <v>36</v>
      </c>
      <c r="K28" s="56"/>
      <c r="L28" s="42">
        <v>2907.12</v>
      </c>
      <c r="M28" s="32">
        <v>0</v>
      </c>
      <c r="N28" s="57">
        <v>0</v>
      </c>
      <c r="O28" s="57"/>
      <c r="P28" s="57"/>
      <c r="Q28" s="34">
        <v>20</v>
      </c>
      <c r="R28" s="34">
        <v>0</v>
      </c>
      <c r="S28" s="34">
        <v>20</v>
      </c>
      <c r="T28" s="58">
        <v>2</v>
      </c>
      <c r="U28" s="58"/>
      <c r="V28" s="34">
        <v>40</v>
      </c>
      <c r="W28" s="29" t="s">
        <v>36</v>
      </c>
      <c r="X28" s="33">
        <v>40</v>
      </c>
      <c r="Y28" s="1"/>
    </row>
    <row r="29" spans="1:25" ht="30" customHeight="1" x14ac:dyDescent="0.2">
      <c r="A29" s="52" t="s">
        <v>60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</row>
    <row r="30" spans="1:25" ht="64.5" customHeight="1" x14ac:dyDescent="0.2">
      <c r="A30" s="53" t="s">
        <v>61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ht="17.100000000000001" customHeight="1" x14ac:dyDescent="0.2">
      <c r="A31" s="83" t="s">
        <v>62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2"/>
    </row>
    <row r="32" spans="1:25" ht="14.25" customHeight="1" x14ac:dyDescent="0.2">
      <c r="A32" s="84" t="s">
        <v>38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1"/>
    </row>
    <row r="33" spans="1:25" ht="25.5" customHeight="1" x14ac:dyDescent="0.2">
      <c r="A33" s="80"/>
      <c r="B33" s="80"/>
      <c r="C33" s="80"/>
      <c r="D33" s="80"/>
      <c r="E33" s="80"/>
      <c r="F33" s="81" t="s">
        <v>39</v>
      </c>
      <c r="G33" s="81"/>
      <c r="H33" s="44" t="s">
        <v>40</v>
      </c>
      <c r="I33" s="2"/>
      <c r="J33" s="80"/>
      <c r="K33" s="80"/>
      <c r="L33" s="2"/>
      <c r="M33" s="45" t="s">
        <v>41</v>
      </c>
      <c r="N33" s="82" t="s">
        <v>42</v>
      </c>
      <c r="O33" s="82"/>
      <c r="P33" s="82"/>
      <c r="Q33" s="4" t="s">
        <v>43</v>
      </c>
      <c r="R33" s="4" t="s">
        <v>44</v>
      </c>
      <c r="S33" s="2"/>
      <c r="T33" s="81" t="s">
        <v>45</v>
      </c>
      <c r="U33" s="81"/>
      <c r="V33" s="4" t="s">
        <v>42</v>
      </c>
      <c r="W33" s="2"/>
      <c r="X33" s="4" t="s">
        <v>46</v>
      </c>
      <c r="Y33" s="2"/>
    </row>
    <row r="34" spans="1:25" ht="12.75" customHeight="1" x14ac:dyDescent="0.2">
      <c r="A34" s="11" t="s">
        <v>15</v>
      </c>
      <c r="B34" s="8" t="s">
        <v>16</v>
      </c>
      <c r="C34" s="67" t="s">
        <v>17</v>
      </c>
      <c r="D34" s="67"/>
      <c r="E34" s="11" t="s">
        <v>47</v>
      </c>
      <c r="F34" s="68" t="s">
        <v>48</v>
      </c>
      <c r="G34" s="68"/>
      <c r="H34" s="11" t="s">
        <v>48</v>
      </c>
      <c r="I34" s="11" t="s">
        <v>20</v>
      </c>
      <c r="J34" s="68" t="s">
        <v>21</v>
      </c>
      <c r="K34" s="68"/>
      <c r="L34" s="8" t="s">
        <v>22</v>
      </c>
      <c r="M34" s="8" t="s">
        <v>22</v>
      </c>
      <c r="N34" s="69" t="s">
        <v>22</v>
      </c>
      <c r="O34" s="69"/>
      <c r="P34" s="69"/>
      <c r="Q34" s="11" t="s">
        <v>27</v>
      </c>
      <c r="R34" s="11" t="s">
        <v>27</v>
      </c>
      <c r="S34" s="11" t="s">
        <v>27</v>
      </c>
      <c r="T34" s="68" t="s">
        <v>49</v>
      </c>
      <c r="U34" s="68"/>
      <c r="V34" s="11" t="s">
        <v>27</v>
      </c>
      <c r="W34" s="11" t="s">
        <v>30</v>
      </c>
      <c r="X34" s="25" t="s">
        <v>50</v>
      </c>
      <c r="Y34" s="2"/>
    </row>
    <row r="35" spans="1:25" ht="22.5" customHeight="1" x14ac:dyDescent="0.2">
      <c r="A35" s="12">
        <v>111320863</v>
      </c>
      <c r="B35" s="13" t="s">
        <v>63</v>
      </c>
      <c r="C35" s="59" t="s">
        <v>64</v>
      </c>
      <c r="D35" s="59"/>
      <c r="E35" s="15" t="s">
        <v>56</v>
      </c>
      <c r="F35" s="60">
        <v>45658</v>
      </c>
      <c r="G35" s="60"/>
      <c r="H35" s="14"/>
      <c r="I35" s="15" t="s">
        <v>35</v>
      </c>
      <c r="J35" s="61" t="s">
        <v>36</v>
      </c>
      <c r="K35" s="61"/>
      <c r="L35" s="16">
        <v>1905.74</v>
      </c>
      <c r="M35" s="17">
        <v>0</v>
      </c>
      <c r="N35" s="62">
        <v>0</v>
      </c>
      <c r="O35" s="62"/>
      <c r="P35" s="62"/>
      <c r="Q35" s="19">
        <v>20</v>
      </c>
      <c r="R35" s="19">
        <v>0</v>
      </c>
      <c r="S35" s="19">
        <v>20</v>
      </c>
      <c r="T35" s="63">
        <v>1</v>
      </c>
      <c r="U35" s="63"/>
      <c r="V35" s="19">
        <v>20</v>
      </c>
      <c r="W35" s="15" t="s">
        <v>36</v>
      </c>
      <c r="X35" s="18">
        <v>20</v>
      </c>
      <c r="Y35" s="2"/>
    </row>
    <row r="36" spans="1:25" ht="12.75" customHeight="1" x14ac:dyDescent="0.2">
      <c r="A36" s="52" t="s">
        <v>65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</row>
    <row r="37" spans="1:25" ht="203.45" customHeight="1" x14ac:dyDescent="0.2">
      <c r="A37" s="77" t="s">
        <v>66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</row>
    <row r="38" spans="1:25" ht="18" customHeight="1" x14ac:dyDescent="0.2">
      <c r="A38" s="78" t="s">
        <v>67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2"/>
    </row>
    <row r="39" spans="1:25" ht="14.25" customHeight="1" x14ac:dyDescent="0.2">
      <c r="A39" s="79" t="s">
        <v>14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1"/>
    </row>
    <row r="40" spans="1:25" ht="38.25" customHeight="1" x14ac:dyDescent="0.2">
      <c r="A40" s="5" t="s">
        <v>15</v>
      </c>
      <c r="B40" s="6" t="s">
        <v>16</v>
      </c>
      <c r="C40" s="72" t="s">
        <v>17</v>
      </c>
      <c r="D40" s="72"/>
      <c r="E40" s="5" t="s">
        <v>47</v>
      </c>
      <c r="F40" s="73" t="s">
        <v>68</v>
      </c>
      <c r="G40" s="73"/>
      <c r="H40" s="7" t="s">
        <v>19</v>
      </c>
      <c r="I40" s="5" t="s">
        <v>20</v>
      </c>
      <c r="J40" s="74" t="s">
        <v>21</v>
      </c>
      <c r="K40" s="74"/>
      <c r="L40" s="6" t="s">
        <v>22</v>
      </c>
      <c r="M40" s="7" t="s">
        <v>23</v>
      </c>
      <c r="N40" s="67" t="s">
        <v>24</v>
      </c>
      <c r="O40" s="67"/>
      <c r="P40" s="67"/>
      <c r="Q40" s="9" t="s">
        <v>25</v>
      </c>
      <c r="R40" s="10" t="s">
        <v>26</v>
      </c>
      <c r="S40" s="5" t="s">
        <v>27</v>
      </c>
      <c r="T40" s="75" t="s">
        <v>28</v>
      </c>
      <c r="U40" s="75"/>
      <c r="V40" s="11" t="s">
        <v>29</v>
      </c>
      <c r="W40" s="5" t="s">
        <v>30</v>
      </c>
      <c r="X40" s="11" t="s">
        <v>31</v>
      </c>
      <c r="Y40" s="3"/>
    </row>
    <row r="41" spans="1:25" ht="5.25" customHeight="1" x14ac:dyDescent="0.2">
      <c r="A41" s="26"/>
      <c r="B41" s="26"/>
      <c r="C41" s="76"/>
      <c r="D41" s="76"/>
      <c r="E41" s="26"/>
      <c r="F41" s="76"/>
      <c r="G41" s="76"/>
      <c r="H41" s="26"/>
      <c r="I41" s="26"/>
      <c r="J41" s="76"/>
      <c r="K41" s="76"/>
      <c r="L41" s="26"/>
      <c r="M41" s="26"/>
      <c r="N41" s="76"/>
      <c r="O41" s="76"/>
      <c r="P41" s="76"/>
      <c r="Q41" s="26"/>
      <c r="R41" s="26"/>
      <c r="S41" s="26"/>
      <c r="T41" s="76"/>
      <c r="U41" s="76"/>
      <c r="V41" s="26"/>
      <c r="W41" s="26"/>
      <c r="X41" s="26"/>
      <c r="Y41" s="1"/>
    </row>
    <row r="42" spans="1:25" ht="12" customHeight="1" x14ac:dyDescent="0.2">
      <c r="A42" s="27">
        <v>112342893</v>
      </c>
      <c r="B42" s="28" t="s">
        <v>69</v>
      </c>
      <c r="C42" s="54" t="s">
        <v>55</v>
      </c>
      <c r="D42" s="54"/>
      <c r="E42" s="29" t="s">
        <v>53</v>
      </c>
      <c r="F42" s="55">
        <v>45658</v>
      </c>
      <c r="G42" s="55"/>
      <c r="H42" s="30"/>
      <c r="I42" s="29" t="s">
        <v>35</v>
      </c>
      <c r="J42" s="56" t="s">
        <v>36</v>
      </c>
      <c r="K42" s="56"/>
      <c r="L42" s="31">
        <v>928.13</v>
      </c>
      <c r="M42" s="32">
        <v>0</v>
      </c>
      <c r="N42" s="57">
        <v>0</v>
      </c>
      <c r="O42" s="57"/>
      <c r="P42" s="57"/>
      <c r="Q42" s="34">
        <v>21</v>
      </c>
      <c r="R42" s="34">
        <v>0</v>
      </c>
      <c r="S42" s="34">
        <v>21</v>
      </c>
      <c r="T42" s="58">
        <v>1</v>
      </c>
      <c r="U42" s="58"/>
      <c r="V42" s="34">
        <v>21</v>
      </c>
      <c r="W42" s="29" t="s">
        <v>36</v>
      </c>
      <c r="X42" s="33">
        <v>21</v>
      </c>
      <c r="Y42" s="1"/>
    </row>
    <row r="43" spans="1:25" ht="12" customHeight="1" x14ac:dyDescent="0.2">
      <c r="A43" s="35">
        <v>112407726</v>
      </c>
      <c r="B43" s="36" t="s">
        <v>70</v>
      </c>
      <c r="C43" s="46" t="s">
        <v>55</v>
      </c>
      <c r="D43" s="46"/>
      <c r="E43" s="37" t="s">
        <v>71</v>
      </c>
      <c r="F43" s="47">
        <v>45689</v>
      </c>
      <c r="G43" s="47"/>
      <c r="H43" s="1"/>
      <c r="I43" s="37" t="s">
        <v>35</v>
      </c>
      <c r="J43" s="48" t="s">
        <v>36</v>
      </c>
      <c r="K43" s="48"/>
      <c r="L43" s="38">
        <v>800.87</v>
      </c>
      <c r="M43" s="39">
        <v>0</v>
      </c>
      <c r="N43" s="49">
        <v>0</v>
      </c>
      <c r="O43" s="49"/>
      <c r="P43" s="49"/>
      <c r="Q43" s="41">
        <v>24</v>
      </c>
      <c r="R43" s="41">
        <v>0</v>
      </c>
      <c r="S43" s="41">
        <v>24</v>
      </c>
      <c r="T43" s="50">
        <v>2</v>
      </c>
      <c r="U43" s="50"/>
      <c r="V43" s="41">
        <v>48</v>
      </c>
      <c r="W43" s="37" t="s">
        <v>36</v>
      </c>
      <c r="X43" s="40">
        <v>48</v>
      </c>
      <c r="Y43" s="1"/>
    </row>
    <row r="44" spans="1:25" ht="12" customHeight="1" x14ac:dyDescent="0.2">
      <c r="A44" s="27">
        <v>112514281</v>
      </c>
      <c r="B44" s="28" t="s">
        <v>72</v>
      </c>
      <c r="C44" s="54" t="s">
        <v>73</v>
      </c>
      <c r="D44" s="54"/>
      <c r="E44" s="29" t="s">
        <v>71</v>
      </c>
      <c r="F44" s="55">
        <v>45778</v>
      </c>
      <c r="G44" s="55"/>
      <c r="H44" s="30"/>
      <c r="I44" s="29" t="s">
        <v>35</v>
      </c>
      <c r="J44" s="56" t="s">
        <v>36</v>
      </c>
      <c r="K44" s="56"/>
      <c r="L44" s="31">
        <v>882.46</v>
      </c>
      <c r="M44" s="32">
        <v>0</v>
      </c>
      <c r="N44" s="57">
        <v>0</v>
      </c>
      <c r="O44" s="57"/>
      <c r="P44" s="57"/>
      <c r="Q44" s="34">
        <v>24</v>
      </c>
      <c r="R44" s="34">
        <v>0</v>
      </c>
      <c r="S44" s="34">
        <v>24</v>
      </c>
      <c r="T44" s="58">
        <v>3</v>
      </c>
      <c r="U44" s="58"/>
      <c r="V44" s="34">
        <v>72</v>
      </c>
      <c r="W44" s="29" t="s">
        <v>36</v>
      </c>
      <c r="X44" s="33">
        <v>72</v>
      </c>
      <c r="Y44" s="1"/>
    </row>
    <row r="45" spans="1:25" ht="21.95" customHeight="1" x14ac:dyDescent="0.2">
      <c r="A45" s="70" t="s">
        <v>74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2"/>
    </row>
    <row r="46" spans="1:25" ht="14.25" customHeight="1" x14ac:dyDescent="0.2">
      <c r="A46" s="20"/>
      <c r="B46" s="20"/>
      <c r="C46" s="71"/>
      <c r="D46" s="71"/>
      <c r="E46" s="20"/>
      <c r="F46" s="71"/>
      <c r="G46" s="71"/>
      <c r="H46" s="20"/>
      <c r="I46" s="20"/>
      <c r="J46" s="71"/>
      <c r="K46" s="71"/>
      <c r="L46" s="21" t="s">
        <v>38</v>
      </c>
      <c r="M46" s="20"/>
      <c r="N46" s="71"/>
      <c r="O46" s="71"/>
      <c r="P46" s="71"/>
      <c r="Q46" s="20"/>
      <c r="R46" s="20"/>
      <c r="S46" s="20"/>
      <c r="T46" s="71"/>
      <c r="U46" s="71"/>
      <c r="V46" s="20"/>
      <c r="W46" s="20"/>
      <c r="X46" s="20"/>
      <c r="Y46" s="1"/>
    </row>
    <row r="47" spans="1:25" ht="25.5" customHeight="1" x14ac:dyDescent="0.2">
      <c r="A47" s="14"/>
      <c r="B47" s="14"/>
      <c r="C47" s="64"/>
      <c r="D47" s="64"/>
      <c r="E47" s="14"/>
      <c r="F47" s="65" t="s">
        <v>39</v>
      </c>
      <c r="G47" s="65"/>
      <c r="H47" s="22" t="s">
        <v>40</v>
      </c>
      <c r="I47" s="14"/>
      <c r="J47" s="64"/>
      <c r="K47" s="64"/>
      <c r="L47" s="14"/>
      <c r="M47" s="23" t="s">
        <v>41</v>
      </c>
      <c r="N47" s="66" t="s">
        <v>42</v>
      </c>
      <c r="O47" s="66"/>
      <c r="P47" s="66"/>
      <c r="Q47" s="24" t="s">
        <v>43</v>
      </c>
      <c r="R47" s="24" t="s">
        <v>44</v>
      </c>
      <c r="S47" s="14"/>
      <c r="T47" s="65" t="s">
        <v>45</v>
      </c>
      <c r="U47" s="65"/>
      <c r="V47" s="24" t="s">
        <v>42</v>
      </c>
      <c r="W47" s="14"/>
      <c r="X47" s="24" t="s">
        <v>46</v>
      </c>
      <c r="Y47" s="2"/>
    </row>
    <row r="48" spans="1:25" ht="12.75" customHeight="1" x14ac:dyDescent="0.2">
      <c r="A48" s="11" t="s">
        <v>15</v>
      </c>
      <c r="B48" s="8" t="s">
        <v>16</v>
      </c>
      <c r="C48" s="67" t="s">
        <v>17</v>
      </c>
      <c r="D48" s="67"/>
      <c r="E48" s="11" t="s">
        <v>47</v>
      </c>
      <c r="F48" s="68" t="s">
        <v>48</v>
      </c>
      <c r="G48" s="68"/>
      <c r="H48" s="11" t="s">
        <v>48</v>
      </c>
      <c r="I48" s="11" t="s">
        <v>20</v>
      </c>
      <c r="J48" s="68" t="s">
        <v>21</v>
      </c>
      <c r="K48" s="68"/>
      <c r="L48" s="8" t="s">
        <v>22</v>
      </c>
      <c r="M48" s="8" t="s">
        <v>22</v>
      </c>
      <c r="N48" s="69" t="s">
        <v>22</v>
      </c>
      <c r="O48" s="69"/>
      <c r="P48" s="69"/>
      <c r="Q48" s="11" t="s">
        <v>27</v>
      </c>
      <c r="R48" s="11" t="s">
        <v>27</v>
      </c>
      <c r="S48" s="11" t="s">
        <v>27</v>
      </c>
      <c r="T48" s="68" t="s">
        <v>49</v>
      </c>
      <c r="U48" s="68"/>
      <c r="V48" s="11" t="s">
        <v>27</v>
      </c>
      <c r="W48" s="11" t="s">
        <v>30</v>
      </c>
      <c r="X48" s="25" t="s">
        <v>50</v>
      </c>
      <c r="Y48" s="2"/>
    </row>
    <row r="49" spans="1:25" ht="17.100000000000001" customHeight="1" x14ac:dyDescent="0.2">
      <c r="A49" s="12">
        <v>109263551</v>
      </c>
      <c r="B49" s="13" t="s">
        <v>75</v>
      </c>
      <c r="C49" s="59" t="s">
        <v>76</v>
      </c>
      <c r="D49" s="59"/>
      <c r="E49" s="15" t="s">
        <v>71</v>
      </c>
      <c r="F49" s="60">
        <v>45658</v>
      </c>
      <c r="G49" s="60"/>
      <c r="H49" s="14"/>
      <c r="I49" s="15" t="s">
        <v>35</v>
      </c>
      <c r="J49" s="61" t="s">
        <v>36</v>
      </c>
      <c r="K49" s="61"/>
      <c r="L49" s="16">
        <v>2045.31</v>
      </c>
      <c r="M49" s="17">
        <v>0</v>
      </c>
      <c r="N49" s="62">
        <v>0</v>
      </c>
      <c r="O49" s="62"/>
      <c r="P49" s="62"/>
      <c r="Q49" s="19">
        <v>24</v>
      </c>
      <c r="R49" s="19">
        <v>0</v>
      </c>
      <c r="S49" s="19">
        <v>24</v>
      </c>
      <c r="T49" s="63">
        <v>2</v>
      </c>
      <c r="U49" s="63"/>
      <c r="V49" s="19">
        <v>48</v>
      </c>
      <c r="W49" s="15" t="s">
        <v>36</v>
      </c>
      <c r="X49" s="18">
        <v>48</v>
      </c>
      <c r="Y49" s="2"/>
    </row>
    <row r="50" spans="1:25" ht="12" customHeight="1" x14ac:dyDescent="0.2">
      <c r="A50" s="27">
        <v>109376890</v>
      </c>
      <c r="B50" s="28" t="s">
        <v>77</v>
      </c>
      <c r="C50" s="54" t="s">
        <v>52</v>
      </c>
      <c r="D50" s="54"/>
      <c r="E50" s="29" t="s">
        <v>53</v>
      </c>
      <c r="F50" s="55">
        <v>45658</v>
      </c>
      <c r="G50" s="55"/>
      <c r="H50" s="30"/>
      <c r="I50" s="29" t="s">
        <v>35</v>
      </c>
      <c r="J50" s="56" t="s">
        <v>36</v>
      </c>
      <c r="K50" s="56"/>
      <c r="L50" s="42">
        <v>1156.82</v>
      </c>
      <c r="M50" s="32">
        <v>0</v>
      </c>
      <c r="N50" s="57">
        <v>0</v>
      </c>
      <c r="O50" s="57"/>
      <c r="P50" s="57"/>
      <c r="Q50" s="34">
        <v>21</v>
      </c>
      <c r="R50" s="34">
        <v>0</v>
      </c>
      <c r="S50" s="34">
        <v>21</v>
      </c>
      <c r="T50" s="58">
        <v>1</v>
      </c>
      <c r="U50" s="58"/>
      <c r="V50" s="34">
        <v>21</v>
      </c>
      <c r="W50" s="29" t="s">
        <v>36</v>
      </c>
      <c r="X50" s="33">
        <v>21</v>
      </c>
      <c r="Y50" s="1"/>
    </row>
    <row r="51" spans="1:25" ht="12" customHeight="1" x14ac:dyDescent="0.2">
      <c r="A51" s="35">
        <v>109408841</v>
      </c>
      <c r="B51" s="36" t="s">
        <v>78</v>
      </c>
      <c r="C51" s="46" t="s">
        <v>52</v>
      </c>
      <c r="D51" s="46"/>
      <c r="E51" s="37" t="s">
        <v>53</v>
      </c>
      <c r="F51" s="47">
        <v>45658</v>
      </c>
      <c r="G51" s="47"/>
      <c r="H51" s="1"/>
      <c r="I51" s="37" t="s">
        <v>35</v>
      </c>
      <c r="J51" s="48" t="s">
        <v>36</v>
      </c>
      <c r="K51" s="48"/>
      <c r="L51" s="38">
        <v>809.07</v>
      </c>
      <c r="M51" s="39">
        <v>0</v>
      </c>
      <c r="N51" s="49">
        <v>0</v>
      </c>
      <c r="O51" s="49"/>
      <c r="P51" s="49"/>
      <c r="Q51" s="41">
        <v>21</v>
      </c>
      <c r="R51" s="41">
        <v>0</v>
      </c>
      <c r="S51" s="41">
        <v>21</v>
      </c>
      <c r="T51" s="50">
        <v>1</v>
      </c>
      <c r="U51" s="50"/>
      <c r="V51" s="41">
        <v>21</v>
      </c>
      <c r="W51" s="37" t="s">
        <v>36</v>
      </c>
      <c r="X51" s="40">
        <v>21</v>
      </c>
      <c r="Y51" s="1"/>
    </row>
    <row r="52" spans="1:25" ht="12" customHeight="1" x14ac:dyDescent="0.2">
      <c r="A52" s="27">
        <v>109839671</v>
      </c>
      <c r="B52" s="28" t="s">
        <v>79</v>
      </c>
      <c r="C52" s="54" t="s">
        <v>52</v>
      </c>
      <c r="D52" s="54"/>
      <c r="E52" s="29" t="s">
        <v>53</v>
      </c>
      <c r="F52" s="55">
        <v>45658</v>
      </c>
      <c r="G52" s="55"/>
      <c r="H52" s="30"/>
      <c r="I52" s="29" t="s">
        <v>35</v>
      </c>
      <c r="J52" s="56" t="s">
        <v>36</v>
      </c>
      <c r="K52" s="56"/>
      <c r="L52" s="31">
        <v>885.1</v>
      </c>
      <c r="M52" s="32">
        <v>0</v>
      </c>
      <c r="N52" s="57">
        <v>0</v>
      </c>
      <c r="O52" s="57"/>
      <c r="P52" s="57"/>
      <c r="Q52" s="34">
        <v>21</v>
      </c>
      <c r="R52" s="34">
        <v>0</v>
      </c>
      <c r="S52" s="34">
        <v>21</v>
      </c>
      <c r="T52" s="58">
        <v>1</v>
      </c>
      <c r="U52" s="58"/>
      <c r="V52" s="34">
        <v>21</v>
      </c>
      <c r="W52" s="29" t="s">
        <v>36</v>
      </c>
      <c r="X52" s="33">
        <v>21</v>
      </c>
      <c r="Y52" s="1"/>
    </row>
    <row r="53" spans="1:25" ht="12" customHeight="1" x14ac:dyDescent="0.2">
      <c r="A53" s="35">
        <v>110661324</v>
      </c>
      <c r="B53" s="36" t="s">
        <v>80</v>
      </c>
      <c r="C53" s="46" t="s">
        <v>52</v>
      </c>
      <c r="D53" s="46"/>
      <c r="E53" s="37" t="s">
        <v>81</v>
      </c>
      <c r="F53" s="47">
        <v>45658</v>
      </c>
      <c r="G53" s="47"/>
      <c r="H53" s="1"/>
      <c r="I53" s="37" t="s">
        <v>35</v>
      </c>
      <c r="J53" s="48" t="s">
        <v>36</v>
      </c>
      <c r="K53" s="48"/>
      <c r="L53" s="43">
        <v>1458.59</v>
      </c>
      <c r="M53" s="39">
        <v>0.04</v>
      </c>
      <c r="N53" s="49">
        <v>58.34</v>
      </c>
      <c r="O53" s="49"/>
      <c r="P53" s="49"/>
      <c r="Q53" s="41">
        <v>0</v>
      </c>
      <c r="R53" s="41">
        <v>0</v>
      </c>
      <c r="S53" s="41">
        <v>0</v>
      </c>
      <c r="T53" s="50">
        <v>2</v>
      </c>
      <c r="U53" s="50"/>
      <c r="V53" s="41">
        <v>0</v>
      </c>
      <c r="W53" s="37" t="s">
        <v>36</v>
      </c>
      <c r="X53" s="40">
        <v>58.34</v>
      </c>
      <c r="Y53" s="1"/>
    </row>
    <row r="54" spans="1:25" ht="12" customHeight="1" x14ac:dyDescent="0.2">
      <c r="A54" s="27">
        <v>110913614</v>
      </c>
      <c r="B54" s="28" t="s">
        <v>82</v>
      </c>
      <c r="C54" s="54" t="s">
        <v>33</v>
      </c>
      <c r="D54" s="54"/>
      <c r="E54" s="29" t="s">
        <v>71</v>
      </c>
      <c r="F54" s="55">
        <v>45658</v>
      </c>
      <c r="G54" s="55"/>
      <c r="H54" s="30"/>
      <c r="I54" s="29" t="s">
        <v>35</v>
      </c>
      <c r="J54" s="56" t="s">
        <v>36</v>
      </c>
      <c r="K54" s="56"/>
      <c r="L54" s="31">
        <v>815.39</v>
      </c>
      <c r="M54" s="32">
        <v>0</v>
      </c>
      <c r="N54" s="57">
        <v>0</v>
      </c>
      <c r="O54" s="57"/>
      <c r="P54" s="57"/>
      <c r="Q54" s="34">
        <v>24</v>
      </c>
      <c r="R54" s="34">
        <v>0</v>
      </c>
      <c r="S54" s="34">
        <v>24</v>
      </c>
      <c r="T54" s="58">
        <v>1</v>
      </c>
      <c r="U54" s="58"/>
      <c r="V54" s="34">
        <v>24</v>
      </c>
      <c r="W54" s="29" t="s">
        <v>36</v>
      </c>
      <c r="X54" s="33">
        <v>24</v>
      </c>
      <c r="Y54" s="1"/>
    </row>
    <row r="55" spans="1:25" ht="12" customHeight="1" x14ac:dyDescent="0.2">
      <c r="A55" s="35">
        <v>110987700</v>
      </c>
      <c r="B55" s="36" t="s">
        <v>83</v>
      </c>
      <c r="C55" s="46" t="s">
        <v>52</v>
      </c>
      <c r="D55" s="46"/>
      <c r="E55" s="37" t="s">
        <v>81</v>
      </c>
      <c r="F55" s="47">
        <v>45658</v>
      </c>
      <c r="G55" s="47"/>
      <c r="H55" s="1"/>
      <c r="I55" s="37" t="s">
        <v>35</v>
      </c>
      <c r="J55" s="48" t="s">
        <v>36</v>
      </c>
      <c r="K55" s="48"/>
      <c r="L55" s="43">
        <v>1108.54</v>
      </c>
      <c r="M55" s="39">
        <v>0.04</v>
      </c>
      <c r="N55" s="49">
        <v>44.34</v>
      </c>
      <c r="O55" s="49"/>
      <c r="P55" s="49"/>
      <c r="Q55" s="41">
        <v>0</v>
      </c>
      <c r="R55" s="41">
        <v>0</v>
      </c>
      <c r="S55" s="41">
        <v>0</v>
      </c>
      <c r="T55" s="50">
        <v>1</v>
      </c>
      <c r="U55" s="50"/>
      <c r="V55" s="41">
        <v>0</v>
      </c>
      <c r="W55" s="37" t="s">
        <v>36</v>
      </c>
      <c r="X55" s="40">
        <v>44.34</v>
      </c>
      <c r="Y55" s="1"/>
    </row>
    <row r="56" spans="1:25" ht="12" customHeight="1" x14ac:dyDescent="0.2">
      <c r="A56" s="27">
        <v>111057159</v>
      </c>
      <c r="B56" s="28" t="s">
        <v>84</v>
      </c>
      <c r="C56" s="54" t="s">
        <v>85</v>
      </c>
      <c r="D56" s="54"/>
      <c r="E56" s="29" t="s">
        <v>71</v>
      </c>
      <c r="F56" s="55">
        <v>45658</v>
      </c>
      <c r="G56" s="55"/>
      <c r="H56" s="30"/>
      <c r="I56" s="29" t="s">
        <v>35</v>
      </c>
      <c r="J56" s="56" t="s">
        <v>36</v>
      </c>
      <c r="K56" s="56"/>
      <c r="L56" s="31">
        <v>747.08</v>
      </c>
      <c r="M56" s="32">
        <v>0</v>
      </c>
      <c r="N56" s="57">
        <v>0</v>
      </c>
      <c r="O56" s="57"/>
      <c r="P56" s="57"/>
      <c r="Q56" s="34">
        <v>25</v>
      </c>
      <c r="R56" s="34">
        <v>0</v>
      </c>
      <c r="S56" s="34">
        <v>25</v>
      </c>
      <c r="T56" s="58">
        <v>1</v>
      </c>
      <c r="U56" s="58"/>
      <c r="V56" s="34">
        <v>25</v>
      </c>
      <c r="W56" s="29" t="s">
        <v>36</v>
      </c>
      <c r="X56" s="33">
        <v>25</v>
      </c>
      <c r="Y56" s="1"/>
    </row>
    <row r="57" spans="1:25" ht="12" customHeight="1" x14ac:dyDescent="0.2">
      <c r="A57" s="35">
        <v>111102853</v>
      </c>
      <c r="B57" s="36" t="s">
        <v>86</v>
      </c>
      <c r="C57" s="46" t="s">
        <v>52</v>
      </c>
      <c r="D57" s="46"/>
      <c r="E57" s="37" t="s">
        <v>81</v>
      </c>
      <c r="F57" s="47">
        <v>45658</v>
      </c>
      <c r="G57" s="47"/>
      <c r="H57" s="1"/>
      <c r="I57" s="37" t="s">
        <v>35</v>
      </c>
      <c r="J57" s="48" t="s">
        <v>36</v>
      </c>
      <c r="K57" s="48"/>
      <c r="L57" s="38">
        <v>787.13</v>
      </c>
      <c r="M57" s="39">
        <v>0.04</v>
      </c>
      <c r="N57" s="49">
        <v>31.49</v>
      </c>
      <c r="O57" s="49"/>
      <c r="P57" s="49"/>
      <c r="Q57" s="41">
        <v>0</v>
      </c>
      <c r="R57" s="41">
        <v>0</v>
      </c>
      <c r="S57" s="41">
        <v>0</v>
      </c>
      <c r="T57" s="50">
        <v>1</v>
      </c>
      <c r="U57" s="50"/>
      <c r="V57" s="41">
        <v>0</v>
      </c>
      <c r="W57" s="37" t="s">
        <v>36</v>
      </c>
      <c r="X57" s="40">
        <v>31.49</v>
      </c>
      <c r="Y57" s="1"/>
    </row>
    <row r="58" spans="1:25" ht="12" customHeight="1" x14ac:dyDescent="0.2">
      <c r="A58" s="27">
        <v>111110447</v>
      </c>
      <c r="B58" s="28" t="s">
        <v>87</v>
      </c>
      <c r="C58" s="54" t="s">
        <v>52</v>
      </c>
      <c r="D58" s="54"/>
      <c r="E58" s="29" t="s">
        <v>71</v>
      </c>
      <c r="F58" s="55">
        <v>45658</v>
      </c>
      <c r="G58" s="55"/>
      <c r="H58" s="30"/>
      <c r="I58" s="29" t="s">
        <v>35</v>
      </c>
      <c r="J58" s="56" t="s">
        <v>36</v>
      </c>
      <c r="K58" s="56"/>
      <c r="L58" s="42">
        <v>1862.6</v>
      </c>
      <c r="M58" s="32">
        <v>0</v>
      </c>
      <c r="N58" s="57">
        <v>0</v>
      </c>
      <c r="O58" s="57"/>
      <c r="P58" s="57"/>
      <c r="Q58" s="34">
        <v>24</v>
      </c>
      <c r="R58" s="34">
        <v>0</v>
      </c>
      <c r="S58" s="34">
        <v>24</v>
      </c>
      <c r="T58" s="58">
        <v>2</v>
      </c>
      <c r="U58" s="58"/>
      <c r="V58" s="34">
        <v>48</v>
      </c>
      <c r="W58" s="29" t="s">
        <v>36</v>
      </c>
      <c r="X58" s="33">
        <v>48</v>
      </c>
      <c r="Y58" s="1"/>
    </row>
    <row r="59" spans="1:25" ht="12" customHeight="1" x14ac:dyDescent="0.2">
      <c r="A59" s="35">
        <v>111241629</v>
      </c>
      <c r="B59" s="36" t="s">
        <v>88</v>
      </c>
      <c r="C59" s="46" t="s">
        <v>55</v>
      </c>
      <c r="D59" s="46"/>
      <c r="E59" s="37" t="s">
        <v>71</v>
      </c>
      <c r="F59" s="47">
        <v>45658</v>
      </c>
      <c r="G59" s="47"/>
      <c r="H59" s="1"/>
      <c r="I59" s="37" t="s">
        <v>35</v>
      </c>
      <c r="J59" s="48" t="s">
        <v>36</v>
      </c>
      <c r="K59" s="48"/>
      <c r="L59" s="38">
        <v>885.9</v>
      </c>
      <c r="M59" s="39">
        <v>0</v>
      </c>
      <c r="N59" s="49">
        <v>0</v>
      </c>
      <c r="O59" s="49"/>
      <c r="P59" s="49"/>
      <c r="Q59" s="41">
        <v>25</v>
      </c>
      <c r="R59" s="41">
        <v>0</v>
      </c>
      <c r="S59" s="41">
        <v>25</v>
      </c>
      <c r="T59" s="50">
        <v>1</v>
      </c>
      <c r="U59" s="50"/>
      <c r="V59" s="41">
        <v>25</v>
      </c>
      <c r="W59" s="37" t="s">
        <v>36</v>
      </c>
      <c r="X59" s="40">
        <v>25</v>
      </c>
      <c r="Y59" s="1"/>
    </row>
    <row r="60" spans="1:25" ht="12" customHeight="1" x14ac:dyDescent="0.2">
      <c r="A60" s="27">
        <v>111593834</v>
      </c>
      <c r="B60" s="28" t="s">
        <v>89</v>
      </c>
      <c r="C60" s="54" t="s">
        <v>55</v>
      </c>
      <c r="D60" s="54"/>
      <c r="E60" s="29" t="s">
        <v>71</v>
      </c>
      <c r="F60" s="55">
        <v>45658</v>
      </c>
      <c r="G60" s="55"/>
      <c r="H60" s="30"/>
      <c r="I60" s="29" t="s">
        <v>35</v>
      </c>
      <c r="J60" s="56" t="s">
        <v>36</v>
      </c>
      <c r="K60" s="56"/>
      <c r="L60" s="31">
        <v>949.64</v>
      </c>
      <c r="M60" s="32">
        <v>0</v>
      </c>
      <c r="N60" s="57">
        <v>0</v>
      </c>
      <c r="O60" s="57"/>
      <c r="P60" s="57"/>
      <c r="Q60" s="34">
        <v>24</v>
      </c>
      <c r="R60" s="34">
        <v>0</v>
      </c>
      <c r="S60" s="34">
        <v>24</v>
      </c>
      <c r="T60" s="58">
        <v>1</v>
      </c>
      <c r="U60" s="58"/>
      <c r="V60" s="34">
        <v>24</v>
      </c>
      <c r="W60" s="29" t="s">
        <v>36</v>
      </c>
      <c r="X60" s="33">
        <v>24</v>
      </c>
      <c r="Y60" s="1"/>
    </row>
    <row r="61" spans="1:25" ht="12" customHeight="1" x14ac:dyDescent="0.2">
      <c r="A61" s="35">
        <v>111786407</v>
      </c>
      <c r="B61" s="36" t="s">
        <v>90</v>
      </c>
      <c r="C61" s="46" t="s">
        <v>52</v>
      </c>
      <c r="D61" s="46"/>
      <c r="E61" s="37" t="s">
        <v>53</v>
      </c>
      <c r="F61" s="47">
        <v>45658</v>
      </c>
      <c r="G61" s="47"/>
      <c r="H61" s="1"/>
      <c r="I61" s="37" t="s">
        <v>35</v>
      </c>
      <c r="J61" s="48" t="s">
        <v>36</v>
      </c>
      <c r="K61" s="48"/>
      <c r="L61" s="38">
        <v>899.5</v>
      </c>
      <c r="M61" s="39">
        <v>0</v>
      </c>
      <c r="N61" s="49">
        <v>0</v>
      </c>
      <c r="O61" s="49"/>
      <c r="P61" s="49"/>
      <c r="Q61" s="41">
        <v>21</v>
      </c>
      <c r="R61" s="41">
        <v>0</v>
      </c>
      <c r="S61" s="41">
        <v>21</v>
      </c>
      <c r="T61" s="50">
        <v>1</v>
      </c>
      <c r="U61" s="50"/>
      <c r="V61" s="41">
        <v>21</v>
      </c>
      <c r="W61" s="37" t="s">
        <v>36</v>
      </c>
      <c r="X61" s="40">
        <v>21</v>
      </c>
      <c r="Y61" s="1"/>
    </row>
    <row r="62" spans="1:25" ht="12" customHeight="1" x14ac:dyDescent="0.2">
      <c r="A62" s="27">
        <v>111828564</v>
      </c>
      <c r="B62" s="28" t="s">
        <v>91</v>
      </c>
      <c r="C62" s="54" t="s">
        <v>52</v>
      </c>
      <c r="D62" s="54"/>
      <c r="E62" s="29" t="s">
        <v>71</v>
      </c>
      <c r="F62" s="55">
        <v>45658</v>
      </c>
      <c r="G62" s="55"/>
      <c r="H62" s="30"/>
      <c r="I62" s="29" t="s">
        <v>35</v>
      </c>
      <c r="J62" s="56" t="s">
        <v>36</v>
      </c>
      <c r="K62" s="56"/>
      <c r="L62" s="31">
        <v>932.93</v>
      </c>
      <c r="M62" s="32">
        <v>0</v>
      </c>
      <c r="N62" s="57">
        <v>0</v>
      </c>
      <c r="O62" s="57"/>
      <c r="P62" s="57"/>
      <c r="Q62" s="34">
        <v>24</v>
      </c>
      <c r="R62" s="34">
        <v>0</v>
      </c>
      <c r="S62" s="34">
        <v>24</v>
      </c>
      <c r="T62" s="58">
        <v>1</v>
      </c>
      <c r="U62" s="58"/>
      <c r="V62" s="34">
        <v>24</v>
      </c>
      <c r="W62" s="29" t="s">
        <v>36</v>
      </c>
      <c r="X62" s="33">
        <v>24</v>
      </c>
      <c r="Y62" s="1"/>
    </row>
    <row r="63" spans="1:25" ht="12.6" customHeight="1" x14ac:dyDescent="0.2">
      <c r="A63" s="35">
        <v>111849444</v>
      </c>
      <c r="B63" s="36" t="s">
        <v>92</v>
      </c>
      <c r="C63" s="46" t="s">
        <v>52</v>
      </c>
      <c r="D63" s="46"/>
      <c r="E63" s="37" t="s">
        <v>53</v>
      </c>
      <c r="F63" s="47">
        <v>45658</v>
      </c>
      <c r="G63" s="47"/>
      <c r="H63" s="1"/>
      <c r="I63" s="37" t="s">
        <v>35</v>
      </c>
      <c r="J63" s="48" t="s">
        <v>36</v>
      </c>
      <c r="K63" s="48"/>
      <c r="L63" s="38">
        <v>730.69</v>
      </c>
      <c r="M63" s="39">
        <v>0</v>
      </c>
      <c r="N63" s="49">
        <v>0</v>
      </c>
      <c r="O63" s="49"/>
      <c r="P63" s="49"/>
      <c r="Q63" s="41">
        <v>21</v>
      </c>
      <c r="R63" s="41">
        <v>0</v>
      </c>
      <c r="S63" s="41">
        <v>21</v>
      </c>
      <c r="T63" s="50">
        <v>1</v>
      </c>
      <c r="U63" s="50"/>
      <c r="V63" s="41">
        <v>21</v>
      </c>
      <c r="W63" s="37" t="s">
        <v>36</v>
      </c>
      <c r="X63" s="40">
        <v>21</v>
      </c>
      <c r="Y63" s="1"/>
    </row>
    <row r="64" spans="1:25" ht="12" customHeight="1" x14ac:dyDescent="0.2">
      <c r="A64" s="51" t="s">
        <v>93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1"/>
    </row>
    <row r="65" spans="1:25" ht="30" customHeight="1" x14ac:dyDescent="0.2">
      <c r="A65" s="52" t="s">
        <v>94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ht="12.75" customHeight="1" x14ac:dyDescent="0.2">
      <c r="A66" s="53" t="s">
        <v>95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</sheetData>
  <mergeCells count="254">
    <mergeCell ref="A1:T1"/>
    <mergeCell ref="U1:Y1"/>
    <mergeCell ref="A2:C2"/>
    <mergeCell ref="D2:F2"/>
    <mergeCell ref="G2:J2"/>
    <mergeCell ref="K2:N2"/>
    <mergeCell ref="O2:Y3"/>
    <mergeCell ref="A3:F4"/>
    <mergeCell ref="G3:J3"/>
    <mergeCell ref="K3:N3"/>
    <mergeCell ref="G4:J4"/>
    <mergeCell ref="K4:N4"/>
    <mergeCell ref="P4:T4"/>
    <mergeCell ref="U4:Y4"/>
    <mergeCell ref="A5:C5"/>
    <mergeCell ref="D5:F5"/>
    <mergeCell ref="G5:Y5"/>
    <mergeCell ref="A6:Y6"/>
    <mergeCell ref="A7:Y7"/>
    <mergeCell ref="A8:C8"/>
    <mergeCell ref="D8:J8"/>
    <mergeCell ref="K8:O8"/>
    <mergeCell ref="P8:T8"/>
    <mergeCell ref="U8:Y8"/>
    <mergeCell ref="A9:C9"/>
    <mergeCell ref="D9:J9"/>
    <mergeCell ref="K9:O9"/>
    <mergeCell ref="P9:T9"/>
    <mergeCell ref="U9:Y9"/>
    <mergeCell ref="A10:C10"/>
    <mergeCell ref="D10:J10"/>
    <mergeCell ref="K10:O10"/>
    <mergeCell ref="P10:T10"/>
    <mergeCell ref="U10:Y10"/>
    <mergeCell ref="A11:C11"/>
    <mergeCell ref="D11:J11"/>
    <mergeCell ref="K11:O11"/>
    <mergeCell ref="P11:T11"/>
    <mergeCell ref="U11:Y11"/>
    <mergeCell ref="A12:C12"/>
    <mergeCell ref="D12:J12"/>
    <mergeCell ref="K12:O12"/>
    <mergeCell ref="P12:T12"/>
    <mergeCell ref="U12:Y12"/>
    <mergeCell ref="A13:C13"/>
    <mergeCell ref="D13:J13"/>
    <mergeCell ref="K13:O13"/>
    <mergeCell ref="P13:T13"/>
    <mergeCell ref="U13:Y13"/>
    <mergeCell ref="A14:C14"/>
    <mergeCell ref="D14:J14"/>
    <mergeCell ref="K14:O14"/>
    <mergeCell ref="P14:T14"/>
    <mergeCell ref="U14:Y14"/>
    <mergeCell ref="A15:X15"/>
    <mergeCell ref="A16:X16"/>
    <mergeCell ref="C17:D17"/>
    <mergeCell ref="E17:G17"/>
    <mergeCell ref="J17:K17"/>
    <mergeCell ref="N17:P17"/>
    <mergeCell ref="T17:U17"/>
    <mergeCell ref="C18:D18"/>
    <mergeCell ref="E18:G18"/>
    <mergeCell ref="J18:K18"/>
    <mergeCell ref="N18:P18"/>
    <mergeCell ref="T18:U18"/>
    <mergeCell ref="A19:X19"/>
    <mergeCell ref="C20:D20"/>
    <mergeCell ref="F20:G20"/>
    <mergeCell ref="J20:K20"/>
    <mergeCell ref="N20:P20"/>
    <mergeCell ref="T20:U20"/>
    <mergeCell ref="C21:D21"/>
    <mergeCell ref="F21:G21"/>
    <mergeCell ref="J21:K21"/>
    <mergeCell ref="N21:P21"/>
    <mergeCell ref="T21:U21"/>
    <mergeCell ref="C22:D22"/>
    <mergeCell ref="F22:G22"/>
    <mergeCell ref="J22:K22"/>
    <mergeCell ref="N22:P22"/>
    <mergeCell ref="T22:U22"/>
    <mergeCell ref="C23:D23"/>
    <mergeCell ref="F23:G23"/>
    <mergeCell ref="J23:K23"/>
    <mergeCell ref="N23:P23"/>
    <mergeCell ref="T23:U23"/>
    <mergeCell ref="C24:D24"/>
    <mergeCell ref="F24:G24"/>
    <mergeCell ref="J24:K24"/>
    <mergeCell ref="N24:P24"/>
    <mergeCell ref="T24:U24"/>
    <mergeCell ref="C25:D25"/>
    <mergeCell ref="F25:G25"/>
    <mergeCell ref="J25:K25"/>
    <mergeCell ref="N25:P25"/>
    <mergeCell ref="T25:U25"/>
    <mergeCell ref="C26:D26"/>
    <mergeCell ref="F26:G26"/>
    <mergeCell ref="J26:K26"/>
    <mergeCell ref="N26:P26"/>
    <mergeCell ref="T26:U26"/>
    <mergeCell ref="C27:D27"/>
    <mergeCell ref="F27:G27"/>
    <mergeCell ref="J27:K27"/>
    <mergeCell ref="N27:P27"/>
    <mergeCell ref="T27:U27"/>
    <mergeCell ref="C28:D28"/>
    <mergeCell ref="F28:G28"/>
    <mergeCell ref="J28:K28"/>
    <mergeCell ref="N28:P28"/>
    <mergeCell ref="T28:U28"/>
    <mergeCell ref="A29:Y29"/>
    <mergeCell ref="A30:Y30"/>
    <mergeCell ref="A31:X31"/>
    <mergeCell ref="A32:X32"/>
    <mergeCell ref="A33:E33"/>
    <mergeCell ref="F33:G33"/>
    <mergeCell ref="J33:K33"/>
    <mergeCell ref="N33:P33"/>
    <mergeCell ref="T33:U33"/>
    <mergeCell ref="C34:D34"/>
    <mergeCell ref="F34:G34"/>
    <mergeCell ref="J34:K34"/>
    <mergeCell ref="N34:P34"/>
    <mergeCell ref="T34:U34"/>
    <mergeCell ref="C35:D35"/>
    <mergeCell ref="F35:G35"/>
    <mergeCell ref="J35:K35"/>
    <mergeCell ref="N35:P35"/>
    <mergeCell ref="T35:U35"/>
    <mergeCell ref="A36:Y36"/>
    <mergeCell ref="A37:Y37"/>
    <mergeCell ref="A38:X38"/>
    <mergeCell ref="A39:X39"/>
    <mergeCell ref="C40:D40"/>
    <mergeCell ref="F40:G40"/>
    <mergeCell ref="J40:K40"/>
    <mergeCell ref="N40:P40"/>
    <mergeCell ref="T40:U40"/>
    <mergeCell ref="C41:D41"/>
    <mergeCell ref="F41:G41"/>
    <mergeCell ref="J41:K41"/>
    <mergeCell ref="N41:P41"/>
    <mergeCell ref="T41:U41"/>
    <mergeCell ref="C42:D42"/>
    <mergeCell ref="F42:G42"/>
    <mergeCell ref="J42:K42"/>
    <mergeCell ref="N42:P42"/>
    <mergeCell ref="T42:U42"/>
    <mergeCell ref="C43:D43"/>
    <mergeCell ref="F43:G43"/>
    <mergeCell ref="J43:K43"/>
    <mergeCell ref="N43:P43"/>
    <mergeCell ref="T43:U43"/>
    <mergeCell ref="C44:D44"/>
    <mergeCell ref="F44:G44"/>
    <mergeCell ref="J44:K44"/>
    <mergeCell ref="N44:P44"/>
    <mergeCell ref="T44:U44"/>
    <mergeCell ref="A45:X45"/>
    <mergeCell ref="C46:D46"/>
    <mergeCell ref="F46:G46"/>
    <mergeCell ref="J46:K46"/>
    <mergeCell ref="N46:P46"/>
    <mergeCell ref="T46:U46"/>
    <mergeCell ref="C47:D47"/>
    <mergeCell ref="F47:G47"/>
    <mergeCell ref="J47:K47"/>
    <mergeCell ref="N47:P47"/>
    <mergeCell ref="T47:U47"/>
    <mergeCell ref="C48:D48"/>
    <mergeCell ref="F48:G48"/>
    <mergeCell ref="J48:K48"/>
    <mergeCell ref="N48:P48"/>
    <mergeCell ref="T48:U48"/>
    <mergeCell ref="C49:D49"/>
    <mergeCell ref="F49:G49"/>
    <mergeCell ref="J49:K49"/>
    <mergeCell ref="N49:P49"/>
    <mergeCell ref="T49:U49"/>
    <mergeCell ref="C50:D50"/>
    <mergeCell ref="F50:G50"/>
    <mergeCell ref="J50:K50"/>
    <mergeCell ref="N50:P50"/>
    <mergeCell ref="T50:U50"/>
    <mergeCell ref="C51:D51"/>
    <mergeCell ref="F51:G51"/>
    <mergeCell ref="J51:K51"/>
    <mergeCell ref="N51:P51"/>
    <mergeCell ref="T51:U51"/>
    <mergeCell ref="C52:D52"/>
    <mergeCell ref="F52:G52"/>
    <mergeCell ref="J52:K52"/>
    <mergeCell ref="N52:P52"/>
    <mergeCell ref="T52:U52"/>
    <mergeCell ref="C53:D53"/>
    <mergeCell ref="F53:G53"/>
    <mergeCell ref="J53:K53"/>
    <mergeCell ref="N53:P53"/>
    <mergeCell ref="T53:U53"/>
    <mergeCell ref="C54:D54"/>
    <mergeCell ref="F54:G54"/>
    <mergeCell ref="J54:K54"/>
    <mergeCell ref="N54:P54"/>
    <mergeCell ref="T54:U54"/>
    <mergeCell ref="C55:D55"/>
    <mergeCell ref="F55:G55"/>
    <mergeCell ref="J55:K55"/>
    <mergeCell ref="N55:P55"/>
    <mergeCell ref="T55:U55"/>
    <mergeCell ref="C56:D56"/>
    <mergeCell ref="F56:G56"/>
    <mergeCell ref="J56:K56"/>
    <mergeCell ref="N56:P56"/>
    <mergeCell ref="T56:U56"/>
    <mergeCell ref="C57:D57"/>
    <mergeCell ref="F57:G57"/>
    <mergeCell ref="J57:K57"/>
    <mergeCell ref="N57:P57"/>
    <mergeCell ref="T57:U57"/>
    <mergeCell ref="C58:D58"/>
    <mergeCell ref="F58:G58"/>
    <mergeCell ref="J58:K58"/>
    <mergeCell ref="N58:P58"/>
    <mergeCell ref="T58:U58"/>
    <mergeCell ref="C59:D59"/>
    <mergeCell ref="F59:G59"/>
    <mergeCell ref="J59:K59"/>
    <mergeCell ref="N59:P59"/>
    <mergeCell ref="T59:U59"/>
    <mergeCell ref="C60:D60"/>
    <mergeCell ref="F60:G60"/>
    <mergeCell ref="J60:K60"/>
    <mergeCell ref="N60:P60"/>
    <mergeCell ref="T60:U60"/>
    <mergeCell ref="C63:D63"/>
    <mergeCell ref="F63:G63"/>
    <mergeCell ref="J63:K63"/>
    <mergeCell ref="N63:P63"/>
    <mergeCell ref="T63:U63"/>
    <mergeCell ref="A64:X64"/>
    <mergeCell ref="A65:Y65"/>
    <mergeCell ref="A66:Y66"/>
    <mergeCell ref="C61:D61"/>
    <mergeCell ref="F61:G61"/>
    <mergeCell ref="J61:K61"/>
    <mergeCell ref="N61:P61"/>
    <mergeCell ref="T61:U61"/>
    <mergeCell ref="C62:D62"/>
    <mergeCell ref="F62:G62"/>
    <mergeCell ref="J62:K62"/>
    <mergeCell ref="N62:P62"/>
    <mergeCell ref="T62:U6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6C85-A26B-4220-9FA4-4815C38AEAA8}">
  <dimension ref="A1:S27"/>
  <sheetViews>
    <sheetView tabSelected="1" workbookViewId="0">
      <selection activeCell="N2" sqref="N2:N27"/>
    </sheetView>
  </sheetViews>
  <sheetFormatPr defaultRowHeight="12.75" x14ac:dyDescent="0.2"/>
  <cols>
    <col min="1" max="1" width="11.5" style="101" customWidth="1"/>
    <col min="2" max="2" width="15.6640625" style="101" customWidth="1"/>
    <col min="3" max="3" width="20.83203125" style="101" customWidth="1"/>
    <col min="4" max="4" width="23.5" style="101" bestFit="1" customWidth="1"/>
    <col min="5" max="5" width="9.33203125" style="101" bestFit="1" customWidth="1"/>
    <col min="6" max="7" width="10.1640625" style="101" bestFit="1" customWidth="1"/>
    <col min="8" max="8" width="12.6640625" style="101" customWidth="1"/>
    <col min="9" max="9" width="10.5" style="101" customWidth="1"/>
    <col min="10" max="10" width="11.83203125" style="101" bestFit="1" customWidth="1"/>
    <col min="11" max="11" width="8" style="101" customWidth="1"/>
    <col min="12" max="12" width="12.6640625" style="101" customWidth="1"/>
    <col min="13" max="13" width="9.33203125" style="101"/>
    <col min="14" max="14" width="15.5" style="101" customWidth="1"/>
    <col min="15" max="15" width="14" style="101" customWidth="1"/>
    <col min="16" max="16" width="15.1640625" style="101" customWidth="1"/>
    <col min="17" max="17" width="20.33203125" style="101" customWidth="1"/>
    <col min="18" max="18" width="14.33203125" style="101" customWidth="1"/>
    <col min="19" max="16384" width="9.33203125" style="101"/>
  </cols>
  <sheetData>
    <row r="1" spans="1:19" ht="38.25" customHeight="1" x14ac:dyDescent="0.2">
      <c r="A1" s="111" t="s">
        <v>15</v>
      </c>
      <c r="B1" s="111"/>
      <c r="C1" s="111" t="s">
        <v>16</v>
      </c>
      <c r="D1" s="111" t="s">
        <v>17</v>
      </c>
      <c r="E1" s="98" t="s">
        <v>18</v>
      </c>
      <c r="F1" s="99" t="s">
        <v>102</v>
      </c>
      <c r="G1" s="111" t="s">
        <v>20</v>
      </c>
      <c r="H1" s="111" t="s">
        <v>22</v>
      </c>
      <c r="I1" s="112" t="s">
        <v>23</v>
      </c>
      <c r="J1" s="113" t="s">
        <v>24</v>
      </c>
      <c r="K1" s="114" t="s">
        <v>25</v>
      </c>
      <c r="L1" s="114" t="s">
        <v>26</v>
      </c>
      <c r="M1" s="111" t="s">
        <v>27</v>
      </c>
      <c r="N1" s="112" t="s">
        <v>28</v>
      </c>
      <c r="O1" s="113" t="s">
        <v>29</v>
      </c>
      <c r="P1" s="113" t="s">
        <v>31</v>
      </c>
      <c r="Q1" s="114"/>
    </row>
    <row r="2" spans="1:19" s="115" customFormat="1" ht="15" customHeight="1" x14ac:dyDescent="0.2">
      <c r="A2" s="106">
        <v>110661324</v>
      </c>
      <c r="B2" s="106" t="str">
        <f>CONCATENATE(A2,3)</f>
        <v>1106613243</v>
      </c>
      <c r="C2" s="102" t="s">
        <v>80</v>
      </c>
      <c r="D2" s="102" t="s">
        <v>52</v>
      </c>
      <c r="E2" s="102" t="s">
        <v>81</v>
      </c>
      <c r="F2" s="103">
        <v>45658</v>
      </c>
      <c r="G2" s="102" t="s">
        <v>35</v>
      </c>
      <c r="H2" s="109">
        <v>1458.59</v>
      </c>
      <c r="I2" s="108">
        <v>0.04</v>
      </c>
      <c r="J2" s="105">
        <v>58.34</v>
      </c>
      <c r="K2" s="105">
        <v>0</v>
      </c>
      <c r="L2" s="105">
        <v>0</v>
      </c>
      <c r="M2" s="105">
        <v>0</v>
      </c>
      <c r="N2" s="106"/>
      <c r="O2" s="105">
        <v>0</v>
      </c>
      <c r="P2" s="105">
        <v>58.34</v>
      </c>
      <c r="Q2" s="107" t="s">
        <v>98</v>
      </c>
      <c r="R2" s="115">
        <v>8977234</v>
      </c>
      <c r="S2" s="115" t="s">
        <v>103</v>
      </c>
    </row>
    <row r="3" spans="1:19" s="115" customFormat="1" ht="15" customHeight="1" x14ac:dyDescent="0.2">
      <c r="A3" s="106">
        <v>110987700</v>
      </c>
      <c r="B3" s="106" t="str">
        <f t="shared" ref="B3:B27" si="0">CONCATENATE(A3,3)</f>
        <v>1109877003</v>
      </c>
      <c r="C3" s="104" t="s">
        <v>110</v>
      </c>
      <c r="D3" s="102" t="s">
        <v>52</v>
      </c>
      <c r="E3" s="102" t="s">
        <v>81</v>
      </c>
      <c r="F3" s="103">
        <v>45658</v>
      </c>
      <c r="G3" s="102" t="s">
        <v>35</v>
      </c>
      <c r="H3" s="109">
        <v>1108.54</v>
      </c>
      <c r="I3" s="108">
        <v>0.04</v>
      </c>
      <c r="J3" s="105">
        <v>44.34</v>
      </c>
      <c r="K3" s="105">
        <v>0</v>
      </c>
      <c r="L3" s="105">
        <v>0</v>
      </c>
      <c r="M3" s="105">
        <v>0</v>
      </c>
      <c r="N3" s="106"/>
      <c r="O3" s="105">
        <v>0</v>
      </c>
      <c r="P3" s="105">
        <v>44.34</v>
      </c>
      <c r="Q3" s="107" t="s">
        <v>98</v>
      </c>
      <c r="R3" s="115">
        <v>8977234</v>
      </c>
      <c r="S3" s="115" t="s">
        <v>103</v>
      </c>
    </row>
    <row r="4" spans="1:19" s="115" customFormat="1" ht="15" customHeight="1" x14ac:dyDescent="0.2">
      <c r="A4" s="106">
        <v>111102853</v>
      </c>
      <c r="B4" s="106" t="str">
        <f t="shared" si="0"/>
        <v>1111028533</v>
      </c>
      <c r="C4" s="102" t="s">
        <v>86</v>
      </c>
      <c r="D4" s="102" t="s">
        <v>52</v>
      </c>
      <c r="E4" s="102" t="s">
        <v>81</v>
      </c>
      <c r="F4" s="103">
        <v>45658</v>
      </c>
      <c r="G4" s="102" t="s">
        <v>35</v>
      </c>
      <c r="H4" s="105">
        <v>787.13</v>
      </c>
      <c r="I4" s="108">
        <v>0.04</v>
      </c>
      <c r="J4" s="105">
        <v>31.49</v>
      </c>
      <c r="K4" s="105">
        <v>0</v>
      </c>
      <c r="L4" s="105">
        <v>0</v>
      </c>
      <c r="M4" s="105">
        <v>0</v>
      </c>
      <c r="N4" s="106"/>
      <c r="O4" s="105">
        <v>0</v>
      </c>
      <c r="P4" s="105">
        <v>31.49</v>
      </c>
      <c r="Q4" s="107" t="s">
        <v>98</v>
      </c>
      <c r="R4" s="115">
        <v>8977234</v>
      </c>
      <c r="S4" s="115" t="s">
        <v>103</v>
      </c>
    </row>
    <row r="5" spans="1:19" s="115" customFormat="1" ht="15" customHeight="1" x14ac:dyDescent="0.2">
      <c r="A5" s="106">
        <v>110700972</v>
      </c>
      <c r="B5" s="106" t="str">
        <f t="shared" si="0"/>
        <v>1107009723</v>
      </c>
      <c r="C5" s="104" t="s">
        <v>111</v>
      </c>
      <c r="D5" s="102" t="s">
        <v>55</v>
      </c>
      <c r="E5" s="102" t="s">
        <v>56</v>
      </c>
      <c r="F5" s="103">
        <v>45658</v>
      </c>
      <c r="G5" s="102" t="s">
        <v>35</v>
      </c>
      <c r="H5" s="105">
        <v>1</v>
      </c>
      <c r="I5" s="108">
        <v>0</v>
      </c>
      <c r="J5" s="105">
        <v>0</v>
      </c>
      <c r="K5" s="105">
        <v>20</v>
      </c>
      <c r="L5" s="105">
        <v>0</v>
      </c>
      <c r="M5" s="105">
        <v>20</v>
      </c>
      <c r="N5" s="106"/>
      <c r="O5" s="105">
        <v>20</v>
      </c>
      <c r="P5" s="105">
        <v>20</v>
      </c>
      <c r="Q5" s="110" t="s">
        <v>96</v>
      </c>
      <c r="R5" s="115">
        <v>17528908</v>
      </c>
      <c r="S5" s="115" t="s">
        <v>104</v>
      </c>
    </row>
    <row r="6" spans="1:19" s="115" customFormat="1" ht="15" customHeight="1" x14ac:dyDescent="0.2">
      <c r="A6" s="106">
        <v>110701159</v>
      </c>
      <c r="B6" s="106" t="str">
        <f t="shared" si="0"/>
        <v>1107011593</v>
      </c>
      <c r="C6" s="102" t="s">
        <v>57</v>
      </c>
      <c r="D6" s="102" t="s">
        <v>55</v>
      </c>
      <c r="E6" s="102" t="s">
        <v>56</v>
      </c>
      <c r="F6" s="103">
        <v>45658</v>
      </c>
      <c r="G6" s="102" t="s">
        <v>35</v>
      </c>
      <c r="H6" s="105">
        <v>1</v>
      </c>
      <c r="I6" s="108">
        <v>0</v>
      </c>
      <c r="J6" s="105">
        <v>0</v>
      </c>
      <c r="K6" s="105">
        <v>20</v>
      </c>
      <c r="L6" s="105">
        <v>0</v>
      </c>
      <c r="M6" s="105">
        <v>20</v>
      </c>
      <c r="N6" s="106" t="s">
        <v>108</v>
      </c>
      <c r="O6" s="105">
        <v>40</v>
      </c>
      <c r="P6" s="105">
        <v>40</v>
      </c>
      <c r="Q6" s="110" t="s">
        <v>96</v>
      </c>
      <c r="R6" s="115">
        <v>17528908</v>
      </c>
      <c r="S6" s="115" t="s">
        <v>104</v>
      </c>
    </row>
    <row r="7" spans="1:19" s="115" customFormat="1" ht="15" customHeight="1" x14ac:dyDescent="0.2">
      <c r="A7" s="106">
        <v>110809733</v>
      </c>
      <c r="B7" s="106" t="str">
        <f t="shared" si="0"/>
        <v>1108097333</v>
      </c>
      <c r="C7" s="102" t="s">
        <v>58</v>
      </c>
      <c r="D7" s="102" t="s">
        <v>55</v>
      </c>
      <c r="E7" s="102" t="s">
        <v>56</v>
      </c>
      <c r="F7" s="103">
        <v>45658</v>
      </c>
      <c r="G7" s="102" t="s">
        <v>35</v>
      </c>
      <c r="H7" s="105">
        <v>1</v>
      </c>
      <c r="I7" s="108">
        <v>0</v>
      </c>
      <c r="J7" s="105">
        <v>0</v>
      </c>
      <c r="K7" s="105">
        <v>20</v>
      </c>
      <c r="L7" s="105">
        <v>0</v>
      </c>
      <c r="M7" s="105">
        <v>20</v>
      </c>
      <c r="N7" s="106"/>
      <c r="O7" s="105">
        <v>20</v>
      </c>
      <c r="P7" s="105">
        <v>20</v>
      </c>
      <c r="Q7" s="110" t="s">
        <v>96</v>
      </c>
      <c r="R7" s="115">
        <v>17528908</v>
      </c>
      <c r="S7" s="115" t="s">
        <v>104</v>
      </c>
    </row>
    <row r="8" spans="1:19" s="115" customFormat="1" ht="15" customHeight="1" x14ac:dyDescent="0.2">
      <c r="A8" s="106">
        <v>112319621</v>
      </c>
      <c r="B8" s="106" t="str">
        <f t="shared" si="0"/>
        <v>1123196213</v>
      </c>
      <c r="C8" s="102" t="s">
        <v>59</v>
      </c>
      <c r="D8" s="102" t="s">
        <v>55</v>
      </c>
      <c r="E8" s="102" t="s">
        <v>56</v>
      </c>
      <c r="F8" s="103">
        <v>45658</v>
      </c>
      <c r="G8" s="102" t="s">
        <v>35</v>
      </c>
      <c r="H8" s="105">
        <v>1</v>
      </c>
      <c r="I8" s="108">
        <v>0</v>
      </c>
      <c r="J8" s="105">
        <v>0</v>
      </c>
      <c r="K8" s="105">
        <v>20</v>
      </c>
      <c r="L8" s="105">
        <v>0</v>
      </c>
      <c r="M8" s="105">
        <v>20</v>
      </c>
      <c r="N8" s="106" t="s">
        <v>108</v>
      </c>
      <c r="O8" s="105">
        <v>40</v>
      </c>
      <c r="P8" s="105">
        <v>40</v>
      </c>
      <c r="Q8" s="110" t="s">
        <v>96</v>
      </c>
      <c r="R8" s="115">
        <v>17528908</v>
      </c>
      <c r="S8" s="115" t="s">
        <v>104</v>
      </c>
    </row>
    <row r="9" spans="1:19" s="115" customFormat="1" ht="15" customHeight="1" x14ac:dyDescent="0.2">
      <c r="A9" s="106">
        <v>111320863</v>
      </c>
      <c r="B9" s="106" t="str">
        <f t="shared" si="0"/>
        <v>1113208633</v>
      </c>
      <c r="C9" s="102" t="s">
        <v>63</v>
      </c>
      <c r="D9" s="102" t="s">
        <v>64</v>
      </c>
      <c r="E9" s="102" t="s">
        <v>56</v>
      </c>
      <c r="F9" s="103">
        <v>45658</v>
      </c>
      <c r="G9" s="102" t="s">
        <v>35</v>
      </c>
      <c r="H9" s="105">
        <v>1</v>
      </c>
      <c r="I9" s="108">
        <v>0</v>
      </c>
      <c r="J9" s="105">
        <v>0</v>
      </c>
      <c r="K9" s="105">
        <v>20</v>
      </c>
      <c r="L9" s="105">
        <v>0</v>
      </c>
      <c r="M9" s="105">
        <v>20</v>
      </c>
      <c r="N9" s="106"/>
      <c r="O9" s="105">
        <v>20</v>
      </c>
      <c r="P9" s="105">
        <v>20</v>
      </c>
      <c r="Q9" s="110" t="s">
        <v>97</v>
      </c>
      <c r="R9" s="115">
        <v>18710070</v>
      </c>
      <c r="S9" s="115" t="s">
        <v>104</v>
      </c>
    </row>
    <row r="10" spans="1:19" s="115" customFormat="1" ht="15" customHeight="1" x14ac:dyDescent="0.2">
      <c r="A10" s="106">
        <v>112399968</v>
      </c>
      <c r="B10" s="106" t="str">
        <f t="shared" si="0"/>
        <v>1123999683</v>
      </c>
      <c r="C10" s="102" t="s">
        <v>32</v>
      </c>
      <c r="D10" s="102" t="s">
        <v>33</v>
      </c>
      <c r="E10" s="100" t="s">
        <v>101</v>
      </c>
      <c r="F10" s="97">
        <v>45658</v>
      </c>
      <c r="G10" s="102" t="s">
        <v>35</v>
      </c>
      <c r="H10" s="105">
        <v>1</v>
      </c>
      <c r="I10" s="108">
        <v>0</v>
      </c>
      <c r="J10" s="105">
        <v>0</v>
      </c>
      <c r="K10" s="105">
        <v>21</v>
      </c>
      <c r="L10" s="105">
        <v>0</v>
      </c>
      <c r="M10" s="105">
        <v>21</v>
      </c>
      <c r="N10" s="106"/>
      <c r="O10" s="105">
        <v>21</v>
      </c>
      <c r="P10" s="105">
        <v>21</v>
      </c>
      <c r="Q10" s="110" t="s">
        <v>96</v>
      </c>
      <c r="R10" s="115">
        <v>17528908</v>
      </c>
      <c r="S10" s="115" t="s">
        <v>105</v>
      </c>
    </row>
    <row r="11" spans="1:19" s="115" customFormat="1" ht="15" customHeight="1" x14ac:dyDescent="0.2">
      <c r="A11" s="106">
        <v>106737758</v>
      </c>
      <c r="B11" s="106" t="str">
        <f t="shared" si="0"/>
        <v>1067377583</v>
      </c>
      <c r="C11" s="102" t="s">
        <v>51</v>
      </c>
      <c r="D11" s="102" t="s">
        <v>52</v>
      </c>
      <c r="E11" s="102" t="s">
        <v>53</v>
      </c>
      <c r="F11" s="103">
        <v>45658</v>
      </c>
      <c r="G11" s="102" t="s">
        <v>35</v>
      </c>
      <c r="H11" s="105">
        <v>1</v>
      </c>
      <c r="I11" s="108">
        <v>0</v>
      </c>
      <c r="J11" s="105">
        <v>0</v>
      </c>
      <c r="K11" s="105">
        <v>21</v>
      </c>
      <c r="L11" s="105">
        <v>0</v>
      </c>
      <c r="M11" s="105">
        <v>21</v>
      </c>
      <c r="N11" s="106"/>
      <c r="O11" s="105">
        <v>21</v>
      </c>
      <c r="P11" s="105">
        <v>21</v>
      </c>
      <c r="Q11" s="110" t="s">
        <v>96</v>
      </c>
      <c r="R11" s="115">
        <v>17528908</v>
      </c>
      <c r="S11" s="115" t="s">
        <v>105</v>
      </c>
    </row>
    <row r="12" spans="1:19" s="115" customFormat="1" ht="15" customHeight="1" x14ac:dyDescent="0.2">
      <c r="A12" s="106">
        <v>112342893</v>
      </c>
      <c r="B12" s="106" t="str">
        <f t="shared" si="0"/>
        <v>1123428933</v>
      </c>
      <c r="C12" s="102" t="s">
        <v>69</v>
      </c>
      <c r="D12" s="102" t="s">
        <v>55</v>
      </c>
      <c r="E12" s="102" t="s">
        <v>53</v>
      </c>
      <c r="F12" s="103">
        <v>45658</v>
      </c>
      <c r="G12" s="102" t="s">
        <v>35</v>
      </c>
      <c r="H12" s="105">
        <v>1</v>
      </c>
      <c r="I12" s="108">
        <v>0</v>
      </c>
      <c r="J12" s="105">
        <v>0</v>
      </c>
      <c r="K12" s="105">
        <v>21</v>
      </c>
      <c r="L12" s="105">
        <v>0</v>
      </c>
      <c r="M12" s="105">
        <v>21</v>
      </c>
      <c r="N12" s="106"/>
      <c r="O12" s="105">
        <v>21</v>
      </c>
      <c r="P12" s="105">
        <v>21</v>
      </c>
      <c r="Q12" s="107" t="s">
        <v>98</v>
      </c>
      <c r="R12" s="115">
        <v>8977234</v>
      </c>
      <c r="S12" s="115" t="s">
        <v>105</v>
      </c>
    </row>
    <row r="13" spans="1:19" s="115" customFormat="1" ht="15" customHeight="1" x14ac:dyDescent="0.2">
      <c r="A13" s="106">
        <v>109376890</v>
      </c>
      <c r="B13" s="106" t="str">
        <f t="shared" si="0"/>
        <v>1093768903</v>
      </c>
      <c r="C13" s="102" t="s">
        <v>77</v>
      </c>
      <c r="D13" s="102" t="s">
        <v>52</v>
      </c>
      <c r="E13" s="102" t="s">
        <v>53</v>
      </c>
      <c r="F13" s="103">
        <v>45658</v>
      </c>
      <c r="G13" s="102" t="s">
        <v>35</v>
      </c>
      <c r="H13" s="105">
        <v>1</v>
      </c>
      <c r="I13" s="108">
        <v>0</v>
      </c>
      <c r="J13" s="105">
        <v>0</v>
      </c>
      <c r="K13" s="105">
        <v>21</v>
      </c>
      <c r="L13" s="105">
        <v>0</v>
      </c>
      <c r="M13" s="105">
        <v>21</v>
      </c>
      <c r="N13" s="106"/>
      <c r="O13" s="105">
        <v>21</v>
      </c>
      <c r="P13" s="105">
        <v>21</v>
      </c>
      <c r="Q13" s="107" t="s">
        <v>98</v>
      </c>
      <c r="R13" s="115">
        <v>8977234</v>
      </c>
      <c r="S13" s="115" t="s">
        <v>105</v>
      </c>
    </row>
    <row r="14" spans="1:19" s="115" customFormat="1" ht="15" customHeight="1" x14ac:dyDescent="0.2">
      <c r="A14" s="106">
        <v>109408841</v>
      </c>
      <c r="B14" s="106" t="str">
        <f t="shared" si="0"/>
        <v>1094088413</v>
      </c>
      <c r="C14" s="102" t="s">
        <v>78</v>
      </c>
      <c r="D14" s="102" t="s">
        <v>52</v>
      </c>
      <c r="E14" s="102" t="s">
        <v>53</v>
      </c>
      <c r="F14" s="103">
        <v>45658</v>
      </c>
      <c r="G14" s="102" t="s">
        <v>35</v>
      </c>
      <c r="H14" s="105">
        <v>1</v>
      </c>
      <c r="I14" s="108">
        <v>0</v>
      </c>
      <c r="J14" s="105">
        <v>0</v>
      </c>
      <c r="K14" s="105">
        <v>21</v>
      </c>
      <c r="L14" s="105">
        <v>0</v>
      </c>
      <c r="M14" s="105">
        <v>21</v>
      </c>
      <c r="N14" s="106"/>
      <c r="O14" s="105">
        <v>21</v>
      </c>
      <c r="P14" s="105">
        <v>21</v>
      </c>
      <c r="Q14" s="107" t="s">
        <v>98</v>
      </c>
      <c r="R14" s="115">
        <v>8977234</v>
      </c>
      <c r="S14" s="115" t="s">
        <v>105</v>
      </c>
    </row>
    <row r="15" spans="1:19" s="115" customFormat="1" ht="15" customHeight="1" x14ac:dyDescent="0.2">
      <c r="A15" s="106">
        <v>109839671</v>
      </c>
      <c r="B15" s="106" t="str">
        <f t="shared" si="0"/>
        <v>1098396713</v>
      </c>
      <c r="C15" s="102" t="s">
        <v>79</v>
      </c>
      <c r="D15" s="102" t="s">
        <v>52</v>
      </c>
      <c r="E15" s="102" t="s">
        <v>53</v>
      </c>
      <c r="F15" s="103">
        <v>45658</v>
      </c>
      <c r="G15" s="102" t="s">
        <v>35</v>
      </c>
      <c r="H15" s="105">
        <v>1</v>
      </c>
      <c r="I15" s="108">
        <v>0</v>
      </c>
      <c r="J15" s="105">
        <v>0</v>
      </c>
      <c r="K15" s="105">
        <v>21</v>
      </c>
      <c r="L15" s="105">
        <v>0</v>
      </c>
      <c r="M15" s="105">
        <v>21</v>
      </c>
      <c r="N15" s="106"/>
      <c r="O15" s="105">
        <v>21</v>
      </c>
      <c r="P15" s="105">
        <v>21</v>
      </c>
      <c r="Q15" s="107" t="s">
        <v>98</v>
      </c>
      <c r="R15" s="115">
        <v>8977234</v>
      </c>
      <c r="S15" s="115" t="s">
        <v>105</v>
      </c>
    </row>
    <row r="16" spans="1:19" s="115" customFormat="1" ht="15" customHeight="1" x14ac:dyDescent="0.2">
      <c r="A16" s="106">
        <v>111786407</v>
      </c>
      <c r="B16" s="106" t="str">
        <f t="shared" si="0"/>
        <v>1117864073</v>
      </c>
      <c r="C16" s="102" t="s">
        <v>90</v>
      </c>
      <c r="D16" s="102" t="s">
        <v>52</v>
      </c>
      <c r="E16" s="102" t="s">
        <v>53</v>
      </c>
      <c r="F16" s="103">
        <v>45658</v>
      </c>
      <c r="G16" s="102" t="s">
        <v>35</v>
      </c>
      <c r="H16" s="105">
        <v>1</v>
      </c>
      <c r="I16" s="108">
        <v>0</v>
      </c>
      <c r="J16" s="105">
        <v>0</v>
      </c>
      <c r="K16" s="105">
        <v>21</v>
      </c>
      <c r="L16" s="105">
        <v>0</v>
      </c>
      <c r="M16" s="105">
        <v>21</v>
      </c>
      <c r="N16" s="106"/>
      <c r="O16" s="105">
        <v>21</v>
      </c>
      <c r="P16" s="105">
        <v>21</v>
      </c>
      <c r="Q16" s="107" t="s">
        <v>98</v>
      </c>
      <c r="R16" s="115">
        <v>8977234</v>
      </c>
      <c r="S16" s="115" t="s">
        <v>105</v>
      </c>
    </row>
    <row r="17" spans="1:19" s="115" customFormat="1" ht="15" customHeight="1" x14ac:dyDescent="0.2">
      <c r="A17" s="106">
        <v>111849444</v>
      </c>
      <c r="B17" s="106" t="str">
        <f t="shared" si="0"/>
        <v>1118494443</v>
      </c>
      <c r="C17" s="102" t="s">
        <v>92</v>
      </c>
      <c r="D17" s="102" t="s">
        <v>52</v>
      </c>
      <c r="E17" s="102" t="s">
        <v>53</v>
      </c>
      <c r="F17" s="103">
        <v>45658</v>
      </c>
      <c r="G17" s="102" t="s">
        <v>35</v>
      </c>
      <c r="H17" s="105">
        <v>1</v>
      </c>
      <c r="I17" s="108">
        <v>0</v>
      </c>
      <c r="J17" s="105">
        <v>0</v>
      </c>
      <c r="K17" s="105">
        <v>21</v>
      </c>
      <c r="L17" s="105">
        <v>0</v>
      </c>
      <c r="M17" s="105">
        <v>21</v>
      </c>
      <c r="N17" s="106"/>
      <c r="O17" s="105">
        <v>21</v>
      </c>
      <c r="P17" s="105">
        <v>21</v>
      </c>
      <c r="Q17" s="107" t="s">
        <v>98</v>
      </c>
      <c r="R17" s="115">
        <v>8977234</v>
      </c>
      <c r="S17" s="115" t="s">
        <v>105</v>
      </c>
    </row>
    <row r="18" spans="1:19" s="115" customFormat="1" ht="15" customHeight="1" x14ac:dyDescent="0.2">
      <c r="A18" s="106">
        <v>111876534</v>
      </c>
      <c r="B18" s="106" t="str">
        <f t="shared" si="0"/>
        <v>1118765343</v>
      </c>
      <c r="C18" s="102" t="s">
        <v>99</v>
      </c>
      <c r="D18" s="102" t="s">
        <v>100</v>
      </c>
      <c r="E18" s="104" t="s">
        <v>101</v>
      </c>
      <c r="F18" s="103">
        <v>45689</v>
      </c>
      <c r="G18" s="103">
        <v>45808</v>
      </c>
      <c r="H18" s="105">
        <v>1</v>
      </c>
      <c r="I18" s="108">
        <v>0</v>
      </c>
      <c r="J18" s="105">
        <v>21</v>
      </c>
      <c r="K18" s="105">
        <v>21</v>
      </c>
      <c r="L18" s="105">
        <v>0</v>
      </c>
      <c r="M18" s="105">
        <v>21</v>
      </c>
      <c r="N18" s="106"/>
      <c r="O18" s="105">
        <v>21</v>
      </c>
      <c r="P18" s="105">
        <v>21</v>
      </c>
      <c r="Q18" s="107" t="s">
        <v>98</v>
      </c>
      <c r="R18" s="115">
        <v>8977234</v>
      </c>
      <c r="S18" s="115" t="s">
        <v>105</v>
      </c>
    </row>
    <row r="19" spans="1:19" s="115" customFormat="1" ht="15" customHeight="1" x14ac:dyDescent="0.2">
      <c r="A19" s="106">
        <v>112407726</v>
      </c>
      <c r="B19" s="106" t="str">
        <f t="shared" si="0"/>
        <v>1124077263</v>
      </c>
      <c r="C19" s="102" t="s">
        <v>70</v>
      </c>
      <c r="D19" s="102" t="s">
        <v>55</v>
      </c>
      <c r="E19" s="102" t="s">
        <v>71</v>
      </c>
      <c r="F19" s="103">
        <v>45689</v>
      </c>
      <c r="G19" s="102" t="s">
        <v>35</v>
      </c>
      <c r="H19" s="105">
        <v>1</v>
      </c>
      <c r="I19" s="108">
        <v>0</v>
      </c>
      <c r="J19" s="105">
        <v>0</v>
      </c>
      <c r="K19" s="105">
        <v>24</v>
      </c>
      <c r="L19" s="105">
        <v>0</v>
      </c>
      <c r="M19" s="105">
        <v>24</v>
      </c>
      <c r="N19" s="106" t="s">
        <v>108</v>
      </c>
      <c r="O19" s="105">
        <v>48</v>
      </c>
      <c r="P19" s="105">
        <v>48</v>
      </c>
      <c r="Q19" s="107" t="s">
        <v>98</v>
      </c>
      <c r="R19" s="115">
        <v>8977234</v>
      </c>
      <c r="S19" s="115" t="s">
        <v>106</v>
      </c>
    </row>
    <row r="20" spans="1:19" s="115" customFormat="1" ht="15" customHeight="1" x14ac:dyDescent="0.2">
      <c r="A20" s="106">
        <v>112514281</v>
      </c>
      <c r="B20" s="106" t="str">
        <f t="shared" si="0"/>
        <v>1125142813</v>
      </c>
      <c r="C20" s="102" t="s">
        <v>72</v>
      </c>
      <c r="D20" s="102" t="s">
        <v>73</v>
      </c>
      <c r="E20" s="102" t="s">
        <v>71</v>
      </c>
      <c r="F20" s="103">
        <v>45778</v>
      </c>
      <c r="G20" s="102" t="s">
        <v>35</v>
      </c>
      <c r="H20" s="105">
        <v>1</v>
      </c>
      <c r="I20" s="108">
        <v>0</v>
      </c>
      <c r="J20" s="105">
        <v>0</v>
      </c>
      <c r="K20" s="105">
        <v>24</v>
      </c>
      <c r="L20" s="105">
        <v>0</v>
      </c>
      <c r="M20" s="105">
        <v>24</v>
      </c>
      <c r="N20" s="106" t="s">
        <v>109</v>
      </c>
      <c r="O20" s="105">
        <v>72</v>
      </c>
      <c r="P20" s="105">
        <v>72</v>
      </c>
      <c r="Q20" s="107" t="s">
        <v>98</v>
      </c>
      <c r="R20" s="115">
        <v>8977234</v>
      </c>
      <c r="S20" s="115" t="s">
        <v>106</v>
      </c>
    </row>
    <row r="21" spans="1:19" s="115" customFormat="1" ht="15" customHeight="1" x14ac:dyDescent="0.2">
      <c r="A21" s="106">
        <v>109263551</v>
      </c>
      <c r="B21" s="106" t="str">
        <f t="shared" si="0"/>
        <v>1092635513</v>
      </c>
      <c r="C21" s="102" t="s">
        <v>75</v>
      </c>
      <c r="D21" s="102" t="s">
        <v>76</v>
      </c>
      <c r="E21" s="102" t="s">
        <v>71</v>
      </c>
      <c r="F21" s="103">
        <v>45658</v>
      </c>
      <c r="G21" s="102" t="s">
        <v>35</v>
      </c>
      <c r="H21" s="105">
        <v>1</v>
      </c>
      <c r="I21" s="108">
        <v>0</v>
      </c>
      <c r="J21" s="105">
        <v>0</v>
      </c>
      <c r="K21" s="105">
        <v>24</v>
      </c>
      <c r="L21" s="105">
        <v>0</v>
      </c>
      <c r="M21" s="105">
        <v>24</v>
      </c>
      <c r="N21" s="106" t="s">
        <v>108</v>
      </c>
      <c r="O21" s="105">
        <v>48</v>
      </c>
      <c r="P21" s="105">
        <v>48</v>
      </c>
      <c r="Q21" s="107" t="s">
        <v>98</v>
      </c>
      <c r="R21" s="115">
        <v>8977234</v>
      </c>
      <c r="S21" s="115" t="s">
        <v>106</v>
      </c>
    </row>
    <row r="22" spans="1:19" s="115" customFormat="1" ht="15" customHeight="1" x14ac:dyDescent="0.2">
      <c r="A22" s="106">
        <v>110913614</v>
      </c>
      <c r="B22" s="106" t="str">
        <f t="shared" si="0"/>
        <v>1109136143</v>
      </c>
      <c r="C22" s="102" t="s">
        <v>82</v>
      </c>
      <c r="D22" s="102" t="s">
        <v>33</v>
      </c>
      <c r="E22" s="102" t="s">
        <v>71</v>
      </c>
      <c r="F22" s="103">
        <v>45658</v>
      </c>
      <c r="G22" s="102" t="s">
        <v>35</v>
      </c>
      <c r="H22" s="105">
        <v>1</v>
      </c>
      <c r="I22" s="108">
        <v>0</v>
      </c>
      <c r="J22" s="105">
        <v>0</v>
      </c>
      <c r="K22" s="105">
        <v>24</v>
      </c>
      <c r="L22" s="105">
        <v>0</v>
      </c>
      <c r="M22" s="105">
        <v>24</v>
      </c>
      <c r="N22" s="106"/>
      <c r="O22" s="105">
        <v>24</v>
      </c>
      <c r="P22" s="105">
        <v>24</v>
      </c>
      <c r="Q22" s="107" t="s">
        <v>98</v>
      </c>
      <c r="R22" s="115">
        <v>8977234</v>
      </c>
      <c r="S22" s="115" t="s">
        <v>106</v>
      </c>
    </row>
    <row r="23" spans="1:19" s="115" customFormat="1" ht="15" customHeight="1" x14ac:dyDescent="0.2">
      <c r="A23" s="106">
        <v>111110447</v>
      </c>
      <c r="B23" s="106" t="str">
        <f t="shared" si="0"/>
        <v>1111104473</v>
      </c>
      <c r="C23" s="102" t="s">
        <v>87</v>
      </c>
      <c r="D23" s="102" t="s">
        <v>52</v>
      </c>
      <c r="E23" s="102" t="s">
        <v>71</v>
      </c>
      <c r="F23" s="103">
        <v>45658</v>
      </c>
      <c r="G23" s="102" t="s">
        <v>35</v>
      </c>
      <c r="H23" s="105">
        <v>1</v>
      </c>
      <c r="I23" s="108">
        <v>0</v>
      </c>
      <c r="J23" s="105">
        <v>0</v>
      </c>
      <c r="K23" s="105">
        <v>24</v>
      </c>
      <c r="L23" s="105">
        <v>0</v>
      </c>
      <c r="M23" s="105">
        <v>24</v>
      </c>
      <c r="N23" s="106" t="s">
        <v>108</v>
      </c>
      <c r="O23" s="105">
        <v>48</v>
      </c>
      <c r="P23" s="105">
        <v>48</v>
      </c>
      <c r="Q23" s="107" t="s">
        <v>98</v>
      </c>
      <c r="R23" s="115">
        <v>8977234</v>
      </c>
      <c r="S23" s="115" t="s">
        <v>106</v>
      </c>
    </row>
    <row r="24" spans="1:19" s="115" customFormat="1" ht="15" customHeight="1" x14ac:dyDescent="0.2">
      <c r="A24" s="106">
        <v>111593834</v>
      </c>
      <c r="B24" s="106" t="str">
        <f t="shared" si="0"/>
        <v>1115938343</v>
      </c>
      <c r="C24" s="102" t="s">
        <v>89</v>
      </c>
      <c r="D24" s="102" t="s">
        <v>55</v>
      </c>
      <c r="E24" s="102" t="s">
        <v>71</v>
      </c>
      <c r="F24" s="103">
        <v>45658</v>
      </c>
      <c r="G24" s="102" t="s">
        <v>35</v>
      </c>
      <c r="H24" s="105">
        <v>1</v>
      </c>
      <c r="I24" s="108">
        <v>0</v>
      </c>
      <c r="J24" s="105">
        <v>0</v>
      </c>
      <c r="K24" s="105">
        <v>24</v>
      </c>
      <c r="L24" s="105">
        <v>0</v>
      </c>
      <c r="M24" s="105">
        <v>24</v>
      </c>
      <c r="N24" s="106"/>
      <c r="O24" s="105">
        <v>24</v>
      </c>
      <c r="P24" s="105">
        <v>24</v>
      </c>
      <c r="Q24" s="107" t="s">
        <v>98</v>
      </c>
      <c r="R24" s="115">
        <v>8977234</v>
      </c>
      <c r="S24" s="115" t="s">
        <v>106</v>
      </c>
    </row>
    <row r="25" spans="1:19" s="115" customFormat="1" ht="15" customHeight="1" x14ac:dyDescent="0.2">
      <c r="A25" s="106">
        <v>111828564</v>
      </c>
      <c r="B25" s="106" t="str">
        <f t="shared" si="0"/>
        <v>1118285643</v>
      </c>
      <c r="C25" s="102" t="s">
        <v>91</v>
      </c>
      <c r="D25" s="102" t="s">
        <v>52</v>
      </c>
      <c r="E25" s="102" t="s">
        <v>71</v>
      </c>
      <c r="F25" s="103">
        <v>45658</v>
      </c>
      <c r="G25" s="102" t="s">
        <v>35</v>
      </c>
      <c r="H25" s="105">
        <v>1</v>
      </c>
      <c r="I25" s="108">
        <v>0</v>
      </c>
      <c r="J25" s="105">
        <v>0</v>
      </c>
      <c r="K25" s="105">
        <v>24</v>
      </c>
      <c r="L25" s="105">
        <v>0</v>
      </c>
      <c r="M25" s="105">
        <v>24</v>
      </c>
      <c r="N25" s="106"/>
      <c r="O25" s="105">
        <v>24</v>
      </c>
      <c r="P25" s="105">
        <v>24</v>
      </c>
      <c r="Q25" s="107" t="s">
        <v>98</v>
      </c>
      <c r="R25" s="115">
        <v>8977234</v>
      </c>
      <c r="S25" s="115" t="s">
        <v>106</v>
      </c>
    </row>
    <row r="26" spans="1:19" s="115" customFormat="1" ht="15" customHeight="1" x14ac:dyDescent="0.2">
      <c r="A26" s="106">
        <v>111057159</v>
      </c>
      <c r="B26" s="106" t="str">
        <f t="shared" si="0"/>
        <v>1110571593</v>
      </c>
      <c r="C26" s="102" t="s">
        <v>84</v>
      </c>
      <c r="D26" s="102" t="s">
        <v>85</v>
      </c>
      <c r="E26" s="102" t="s">
        <v>71</v>
      </c>
      <c r="F26" s="103">
        <v>45658</v>
      </c>
      <c r="G26" s="102" t="s">
        <v>35</v>
      </c>
      <c r="H26" s="105">
        <v>1</v>
      </c>
      <c r="I26" s="108">
        <v>0</v>
      </c>
      <c r="J26" s="105">
        <v>0</v>
      </c>
      <c r="K26" s="105">
        <v>25</v>
      </c>
      <c r="L26" s="105">
        <v>0</v>
      </c>
      <c r="M26" s="105">
        <v>25</v>
      </c>
      <c r="N26" s="106"/>
      <c r="O26" s="105">
        <v>25</v>
      </c>
      <c r="P26" s="105">
        <v>25</v>
      </c>
      <c r="Q26" s="107" t="s">
        <v>98</v>
      </c>
      <c r="R26" s="115">
        <v>8977234</v>
      </c>
      <c r="S26" s="115" t="s">
        <v>107</v>
      </c>
    </row>
    <row r="27" spans="1:19" s="115" customFormat="1" ht="15" customHeight="1" x14ac:dyDescent="0.2">
      <c r="A27" s="106">
        <v>111241629</v>
      </c>
      <c r="B27" s="106" t="str">
        <f t="shared" si="0"/>
        <v>1112416293</v>
      </c>
      <c r="C27" s="102" t="s">
        <v>88</v>
      </c>
      <c r="D27" s="102" t="s">
        <v>55</v>
      </c>
      <c r="E27" s="102" t="s">
        <v>71</v>
      </c>
      <c r="F27" s="103">
        <v>45658</v>
      </c>
      <c r="G27" s="102" t="s">
        <v>35</v>
      </c>
      <c r="H27" s="105">
        <v>1</v>
      </c>
      <c r="I27" s="108">
        <v>0</v>
      </c>
      <c r="J27" s="105">
        <v>0</v>
      </c>
      <c r="K27" s="105">
        <v>25</v>
      </c>
      <c r="L27" s="105">
        <v>0</v>
      </c>
      <c r="M27" s="105">
        <v>25</v>
      </c>
      <c r="N27" s="106"/>
      <c r="O27" s="105">
        <v>25</v>
      </c>
      <c r="P27" s="105">
        <v>25</v>
      </c>
      <c r="Q27" s="107" t="s">
        <v>98</v>
      </c>
      <c r="R27" s="115">
        <v>8977234</v>
      </c>
      <c r="S27" s="115" t="s">
        <v>107</v>
      </c>
    </row>
  </sheetData>
  <sortState xmlns:xlrd2="http://schemas.microsoft.com/office/spreadsheetml/2017/richdata2" ref="A2:AA27">
    <sortCondition ref="M2:M2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2025-05-21T18:31:35Z</dcterms:created>
  <dcterms:modified xsi:type="dcterms:W3CDTF">2025-05-28T12:25:10Z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2025-05-12T00:00:00Z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1.3.34</vt:lpwstr>
  </property>
  <property fmtid="{D5CDD505-2E9C-101B-9397-08002B2CF9AE}" pid="5" name="LastSaved">
    <vt:filetime>2025-05-12T00:00:00Z</vt:filetime>
  </property>
</Properties>
</file>