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D9kpHXUUTEK444yXlb7I351fQdEr+JvHjWm7a8i3a/w="/>
    </ext>
  </extLst>
</workbook>
</file>

<file path=xl/sharedStrings.xml><?xml version="1.0" encoding="utf-8"?>
<sst xmlns="http://schemas.openxmlformats.org/spreadsheetml/2006/main" count="73" uniqueCount="29">
  <si>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</si>
  <si>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</si>
  <si>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</si>
  <si>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</si>
  <si>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</si>
  <si>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</si>
  <si>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</si>
  <si>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</si>
  <si>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</si>
  <si>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</si>
  <si>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</si>
  <si>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</si>
  <si>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Rauschenberger</t>
  </si>
  <si>
    <t>Cheryl L</t>
  </si>
  <si>
    <t>A0049168700</t>
  </si>
  <si>
    <t>SummaCare</t>
  </si>
  <si>
    <t>SummaCare 2021-2026 Ext/Ren OR (ProRata: 1)</t>
  </si>
  <si>
    <t>Roger L</t>
  </si>
  <si>
    <t>A0033563400</t>
  </si>
  <si>
    <t>Ross</t>
  </si>
  <si>
    <t>Tiffany J</t>
  </si>
  <si>
    <t>A9003113400</t>
  </si>
  <si>
    <t>Zidar</t>
  </si>
  <si>
    <t>Nadine M</t>
  </si>
  <si>
    <t>A9001093400</t>
  </si>
  <si>
    <t>Shirley J</t>
  </si>
  <si>
    <t>Stout</t>
  </si>
  <si>
    <t>A9004101700</t>
  </si>
  <si>
    <t>SummaCare 2021-2026 Ext/Ren OR (ProRata: 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</si>
</sst>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5.43"/>
    <col customWidth="1" min="3" max="3" width="10.71"/>
    <col customWidth="1" min="4" max="4" width="15.43"/>
    <col customWidth="1" min="5" max="5" width="10.14"/>
    <col customWidth="1" min="6" max="6" width="12.29"/>
    <col customWidth="1" min="7" max="7" width="11.86"/>
    <col customWidth="1" min="8" max="8" width="14.71"/>
    <col customWidth="1" min="9" max="9" width="12.71"/>
    <col customWidth="1" min="10" max="10" width="43.0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1.6170994E7</v>
      </c>
      <c r="D2" s="1" t="s">
        <v>12</v>
      </c>
      <c r="E2" s="1" t="s">
        <v>13</v>
      </c>
      <c r="F2" s="1" t="s">
        <v>14</v>
      </c>
      <c r="G2" s="2">
        <v>45992.0</v>
      </c>
      <c r="H2" s="2">
        <v>46171.0</v>
      </c>
      <c r="I2" s="1" t="s">
        <v>15</v>
      </c>
      <c r="J2" s="1" t="s">
        <v>16</v>
      </c>
      <c r="K2" s="3">
        <v>6.25</v>
      </c>
    </row>
    <row r="3">
      <c r="A3" s="1" t="s">
        <v>11</v>
      </c>
      <c r="C3" s="1">
        <v>1.6170994E7</v>
      </c>
      <c r="D3" s="1" t="s">
        <v>12</v>
      </c>
      <c r="E3" s="1" t="s">
        <v>17</v>
      </c>
      <c r="F3" s="1" t="s">
        <v>18</v>
      </c>
      <c r="G3" s="2">
        <v>45992.0</v>
      </c>
      <c r="H3" s="2">
        <v>46171.0</v>
      </c>
      <c r="I3" s="1" t="s">
        <v>15</v>
      </c>
      <c r="J3" s="1" t="s">
        <v>16</v>
      </c>
      <c r="K3" s="3">
        <v>6.25</v>
      </c>
    </row>
    <row r="4">
      <c r="A4" s="1" t="s">
        <v>11</v>
      </c>
      <c r="C4" s="1">
        <v>1.6170994E7</v>
      </c>
      <c r="D4" s="1" t="s">
        <v>19</v>
      </c>
      <c r="E4" s="1" t="s">
        <v>20</v>
      </c>
      <c r="F4" s="1" t="s">
        <v>21</v>
      </c>
      <c r="G4" s="2">
        <v>45962.0</v>
      </c>
      <c r="H4" s="2">
        <v>46171.0</v>
      </c>
      <c r="I4" s="1" t="s">
        <v>15</v>
      </c>
      <c r="J4" s="1" t="s">
        <v>16</v>
      </c>
      <c r="K4" s="3">
        <v>6.25</v>
      </c>
    </row>
    <row r="5">
      <c r="A5" s="1" t="s">
        <v>11</v>
      </c>
      <c r="C5" s="1">
        <v>1.6170994E7</v>
      </c>
      <c r="D5" s="1" t="s">
        <v>22</v>
      </c>
      <c r="E5" s="1" t="s">
        <v>23</v>
      </c>
      <c r="F5" s="1" t="s">
        <v>24</v>
      </c>
      <c r="G5" s="2">
        <v>45992.0</v>
      </c>
      <c r="H5" s="2">
        <v>46171.0</v>
      </c>
      <c r="I5" s="1" t="s">
        <v>15</v>
      </c>
      <c r="J5" s="1" t="s">
        <v>16</v>
      </c>
      <c r="K5" s="3">
        <v>6.25</v>
      </c>
    </row>
    <row r="6">
      <c r="A6" s="1" t="s">
        <v>11</v>
      </c>
      <c r="C6" s="1">
        <v>1.6170994E7</v>
      </c>
      <c r="D6" s="1" t="s">
        <v>25</v>
      </c>
      <c r="E6" s="1" t="s">
        <v>26</v>
      </c>
      <c r="F6" s="1" t="s">
        <v>27</v>
      </c>
      <c r="G6" s="2">
        <v>46113.0</v>
      </c>
      <c r="H6" s="2">
        <v>46171.0</v>
      </c>
      <c r="I6" s="1" t="s">
        <v>15</v>
      </c>
      <c r="J6" s="1" t="s">
        <v>28</v>
      </c>
      <c r="K6" s="3">
        <v>56.25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4.86"/>
    <col customWidth="1" min="3" max="3" width="10.0"/>
    <col customWidth="1" min="4" max="4" width="22.14"/>
    <col customWidth="1" min="5" max="5" width="13.0"/>
    <col customWidth="1" min="6" max="6" width="16.71"/>
    <col customWidth="1" min="7" max="7" width="11.57"/>
    <col customWidth="1" min="8" max="8" width="41.71"/>
    <col customWidth="1" min="9" max="9" width="15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</row>
    <row r="2">
      <c r="A2" s="1" t="s">
        <v>11</v>
      </c>
      <c r="B2" s="1" t="s">
        <v>12</v>
      </c>
      <c r="C2" s="1" t="s">
        <v>13</v>
      </c>
      <c r="D2" s="1" t="str">
        <f t="shared" ref="D2:D6" si="1">concatenate(B2," ",C2)</f>
        <v>Rauschenberger Cheryl L</v>
      </c>
      <c r="E2" s="1" t="s">
        <v>14</v>
      </c>
      <c r="F2" s="1" t="str">
        <f t="shared" ref="F2:F6" si="2">concat(E2,"OVR")</f>
        <v>A0049168700OVR</v>
      </c>
      <c r="G2" s="2">
        <v>45992.0</v>
      </c>
      <c r="H2" s="1" t="s">
        <v>16</v>
      </c>
      <c r="I2" s="5">
        <v>6.25</v>
      </c>
    </row>
    <row r="3">
      <c r="A3" s="1" t="s">
        <v>11</v>
      </c>
      <c r="B3" s="1" t="s">
        <v>12</v>
      </c>
      <c r="C3" s="1" t="s">
        <v>17</v>
      </c>
      <c r="D3" s="1" t="str">
        <f t="shared" si="1"/>
        <v>Rauschenberger Roger L</v>
      </c>
      <c r="E3" s="1" t="s">
        <v>18</v>
      </c>
      <c r="F3" s="1" t="str">
        <f t="shared" si="2"/>
        <v>A0033563400OVR</v>
      </c>
      <c r="G3" s="2">
        <v>45992.0</v>
      </c>
      <c r="H3" s="1" t="s">
        <v>16</v>
      </c>
      <c r="I3" s="5">
        <v>6.25</v>
      </c>
    </row>
    <row r="4">
      <c r="A4" s="1" t="s">
        <v>11</v>
      </c>
      <c r="B4" s="1" t="s">
        <v>19</v>
      </c>
      <c r="C4" s="1" t="s">
        <v>20</v>
      </c>
      <c r="D4" s="1" t="str">
        <f t="shared" si="1"/>
        <v>Ross Tiffany J</v>
      </c>
      <c r="E4" s="1" t="s">
        <v>21</v>
      </c>
      <c r="F4" s="1" t="str">
        <f t="shared" si="2"/>
        <v>A9003113400OVR</v>
      </c>
      <c r="G4" s="2">
        <v>45962.0</v>
      </c>
      <c r="H4" s="1" t="s">
        <v>16</v>
      </c>
      <c r="I4" s="5">
        <v>6.25</v>
      </c>
    </row>
    <row r="5">
      <c r="A5" s="1" t="s">
        <v>11</v>
      </c>
      <c r="B5" s="1" t="s">
        <v>22</v>
      </c>
      <c r="C5" s="1" t="s">
        <v>23</v>
      </c>
      <c r="D5" s="1" t="str">
        <f t="shared" si="1"/>
        <v>Zidar Nadine M</v>
      </c>
      <c r="E5" s="1" t="s">
        <v>24</v>
      </c>
      <c r="F5" s="1" t="str">
        <f t="shared" si="2"/>
        <v>A9001093400OVR</v>
      </c>
      <c r="G5" s="2">
        <v>45992.0</v>
      </c>
      <c r="H5" s="1" t="s">
        <v>16</v>
      </c>
      <c r="I5" s="5">
        <v>6.25</v>
      </c>
    </row>
    <row r="6">
      <c r="A6" s="1" t="s">
        <v>11</v>
      </c>
      <c r="B6" s="1" t="s">
        <v>25</v>
      </c>
      <c r="C6" s="1" t="s">
        <v>26</v>
      </c>
      <c r="D6" s="1" t="str">
        <f t="shared" si="1"/>
        <v>Shirley J Stout</v>
      </c>
      <c r="E6" s="1" t="s">
        <v>27</v>
      </c>
      <c r="F6" s="1" t="str">
        <f t="shared" si="2"/>
        <v>A9004101700OVR</v>
      </c>
      <c r="G6" s="2">
        <v>46113.0</v>
      </c>
      <c r="H6" s="1" t="s">
        <v>28</v>
      </c>
      <c r="I6" s="5">
        <v>56.25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2026-05-29T16:11:18Z</dcterms:created>
  <dc:creator>Vrushabh Parmar</dc:creator>
</cp:coreProperties>
</file>