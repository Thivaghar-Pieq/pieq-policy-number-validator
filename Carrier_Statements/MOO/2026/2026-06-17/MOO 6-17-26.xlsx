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OO\2026\2026-06-17\"/>
    </mc:Choice>
  </mc:AlternateContent>
  <xr:revisionPtr revIDLastSave="0" documentId="13_ncr:1_{AC0639C0-9C55-4B4D-975F-7DDA707E609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" i="3" l="1"/>
  <c r="S16" i="3"/>
  <c r="S29" i="3"/>
  <c r="S22" i="3"/>
  <c r="S23" i="3"/>
  <c r="S12" i="3"/>
  <c r="S15" i="3"/>
  <c r="S26" i="3"/>
  <c r="S27" i="3"/>
  <c r="S34" i="3"/>
  <c r="S32" i="3"/>
  <c r="S35" i="3"/>
  <c r="S36" i="3"/>
  <c r="S37" i="3"/>
  <c r="S56" i="3"/>
  <c r="S57" i="3"/>
  <c r="S47" i="3"/>
  <c r="S58" i="3"/>
  <c r="S38" i="3"/>
  <c r="S49" i="3"/>
  <c r="S50" i="3"/>
  <c r="S51" i="3"/>
  <c r="S48" i="3"/>
  <c r="S45" i="3"/>
  <c r="S39" i="3"/>
  <c r="S3" i="3"/>
  <c r="S41" i="3"/>
  <c r="S46" i="3"/>
  <c r="S42" i="3"/>
  <c r="S40" i="3"/>
  <c r="S53" i="3"/>
  <c r="S44" i="3"/>
  <c r="S52" i="3"/>
  <c r="S43" i="3"/>
  <c r="S4" i="3"/>
  <c r="S19" i="3"/>
  <c r="S2" i="3"/>
  <c r="S9" i="3"/>
  <c r="S10" i="3"/>
  <c r="S11" i="3"/>
  <c r="S24" i="3"/>
  <c r="S25" i="3"/>
  <c r="S8" i="3"/>
  <c r="S28" i="3"/>
  <c r="S30" i="3"/>
  <c r="S6" i="3"/>
  <c r="S5" i="3"/>
  <c r="S31" i="3"/>
  <c r="S33" i="3"/>
  <c r="S20" i="3"/>
  <c r="S13" i="3"/>
  <c r="S17" i="3"/>
  <c r="S18" i="3"/>
  <c r="S21" i="3"/>
  <c r="S14" i="3"/>
</calcChain>
</file>

<file path=xl/sharedStrings.xml><?xml version="1.0" encoding="utf-8"?>
<sst xmlns="http://schemas.openxmlformats.org/spreadsheetml/2006/main" count="2175" uniqueCount="386">
  <si>
    <t>MUTUAL OF OMAHA</t>
  </si>
  <si>
    <t>SUMMARY COMPENSATION STATEMENT</t>
  </si>
  <si>
    <t>For Period Ending 06/15/2026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</si>
  <si>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</si>
  <si>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</si>
  <si>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</si>
  <si>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</si>
  <si>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</si>
  <si>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</si>
  <si>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</si>
  <si>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</si>
  <si>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</si>
  <si>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</si>
  <si>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</si>
  <si>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</si>
  <si>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</si>
  <si>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OMAHA SUPP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</si>
  <si>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</si>
  <si>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</si>
  <si>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</si>
  <si>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</si>
  <si>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</si>
  <si>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</si>
  <si>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</si>
  <si>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</si>
  <si>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</si>
  <si>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</si>
  <si>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</si>
  <si>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</si>
  <si>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</si>
  <si>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</si>
  <si>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</si>
  <si>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</si>
  <si>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</si>
  <si>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</si>
  <si>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</si>
  <si>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</si>
  <si>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</si>
  <si>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</si>
  <si>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</si>
  <si>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</si>
  <si>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</si>
  <si>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</si>
  <si>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</si>
  <si>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</si>
  <si>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</si>
  <si>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1055790</t>
  </si>
  <si>
    <t>HEARTLAND FINANCIAL GROUP LLC</t>
  </si>
  <si>
    <t>0684147</t>
  </si>
  <si>
    <t>472388-41</t>
  </si>
  <si>
    <t>DENNEY JACK</t>
  </si>
  <si>
    <t>IL</t>
  </si>
  <si>
    <t>06/15/2026</t>
  </si>
  <si>
    <t>NM24HL</t>
  </si>
  <si>
    <t>02/09/2026</t>
  </si>
  <si>
    <t>07/09/2026</t>
  </si>
  <si>
    <t/>
  </si>
  <si>
    <t>M</t>
  </si>
  <si>
    <t>BSP</t>
  </si>
  <si>
    <t>001</t>
  </si>
  <si>
    <t>F</t>
  </si>
  <si>
    <t>BFY PAYMENT</t>
  </si>
  <si>
    <t>100.0%</t>
  </si>
  <si>
    <t>OMAHA SUPP</t>
  </si>
  <si>
    <t>0893214</t>
  </si>
  <si>
    <t>401788-41</t>
  </si>
  <si>
    <t>NICHOLSON LINDA</t>
  </si>
  <si>
    <t>TN</t>
  </si>
  <si>
    <t>SM25L</t>
  </si>
  <si>
    <t>01/01/2026</t>
  </si>
  <si>
    <t>07/01/2026</t>
  </si>
  <si>
    <t>0892054</t>
  </si>
  <si>
    <t>537035-41</t>
  </si>
  <si>
    <t>CHERVENAK IRENE</t>
  </si>
  <si>
    <t>05/01/2026</t>
  </si>
  <si>
    <t>0893387</t>
  </si>
  <si>
    <t>850902-97</t>
  </si>
  <si>
    <t>BERKLEY DONALD</t>
  </si>
  <si>
    <t>11/01/2025</t>
  </si>
  <si>
    <t>GURU INSURANCE MARKETING, LLC</t>
  </si>
  <si>
    <t>0891923</t>
  </si>
  <si>
    <t>691883-97</t>
  </si>
  <si>
    <t>DUNN BARRY</t>
  </si>
  <si>
    <t>05/01/2025</t>
  </si>
  <si>
    <t>R</t>
  </si>
  <si>
    <t>RENEWAL PYMT</t>
  </si>
  <si>
    <t>752514-97</t>
  </si>
  <si>
    <t>MEGARO ROBERT</t>
  </si>
  <si>
    <t>06/10/2026</t>
  </si>
  <si>
    <t>06/10/2025</t>
  </si>
  <si>
    <t>07/10/2026</t>
  </si>
  <si>
    <t>416716-97</t>
  </si>
  <si>
    <t>GOSSETT CANDY</t>
  </si>
  <si>
    <t>12/01/2024</t>
  </si>
  <si>
    <t>0732257</t>
  </si>
  <si>
    <t>523666-97</t>
  </si>
  <si>
    <t>MOE NELS</t>
  </si>
  <si>
    <t>01/01/2025</t>
  </si>
  <si>
    <t>UNITED</t>
  </si>
  <si>
    <t>0957310</t>
  </si>
  <si>
    <t>821212-96</t>
  </si>
  <si>
    <t>DIMIDIO REGINA</t>
  </si>
  <si>
    <t>PA</t>
  </si>
  <si>
    <t>UM24HLV</t>
  </si>
  <si>
    <t>01/01/2024</t>
  </si>
  <si>
    <t>821308-96</t>
  </si>
  <si>
    <t>DIMIDIO LEONARD</t>
  </si>
  <si>
    <t>978415-96</t>
  </si>
  <si>
    <t>LOPEZ FRANCES</t>
  </si>
  <si>
    <t>UM35HLV</t>
  </si>
  <si>
    <t>06/01/2024</t>
  </si>
  <si>
    <t>878137-96</t>
  </si>
  <si>
    <t>ZONCA LORILEE</t>
  </si>
  <si>
    <t>03/01/2024</t>
  </si>
  <si>
    <t>10/01/2026</t>
  </si>
  <si>
    <t>Q</t>
  </si>
  <si>
    <t>REG</t>
  </si>
  <si>
    <t>003</t>
  </si>
  <si>
    <t>INNOVATIVE FINANCIAL PARTNERS LLC</t>
  </si>
  <si>
    <t>0819525</t>
  </si>
  <si>
    <t>BU4938400</t>
  </si>
  <si>
    <t>CERRONI LINDA</t>
  </si>
  <si>
    <t>WI</t>
  </si>
  <si>
    <t>06/12/2026</t>
  </si>
  <si>
    <t>FEPL 1</t>
  </si>
  <si>
    <t>11/01/2024</t>
  </si>
  <si>
    <t>11/01/2026</t>
  </si>
  <si>
    <t>0899216</t>
  </si>
  <si>
    <t>BU6721753</t>
  </si>
  <si>
    <t>SCHMIDBAUER JEFFREY</t>
  </si>
  <si>
    <t>MD</t>
  </si>
  <si>
    <t>06/11/2026</t>
  </si>
  <si>
    <t>IXEXP1</t>
  </si>
  <si>
    <t>06/28/2026</t>
  </si>
  <si>
    <t>NEW COV ISS</t>
  </si>
  <si>
    <t>BU6730924</t>
  </si>
  <si>
    <t>MCCULLER MICHAEL</t>
  </si>
  <si>
    <t>0960572</t>
  </si>
  <si>
    <t>BU6647293</t>
  </si>
  <si>
    <t>THORNTON RYAN</t>
  </si>
  <si>
    <t>JVWL 1</t>
  </si>
  <si>
    <t>BU6647294</t>
  </si>
  <si>
    <t>THORNTON ZURI</t>
  </si>
  <si>
    <t>1075176</t>
  </si>
  <si>
    <t>BU6371178</t>
  </si>
  <si>
    <t>BUDJAV BATBILEG</t>
  </si>
  <si>
    <t>02/01/2026</t>
  </si>
  <si>
    <t>BU6731148</t>
  </si>
  <si>
    <t>MCCULLER JULIE</t>
  </si>
  <si>
    <t>0910791</t>
  </si>
  <si>
    <t>BU5338311</t>
  </si>
  <si>
    <t>WILL ROBERT</t>
  </si>
  <si>
    <t>OH</t>
  </si>
  <si>
    <t>08/11/2025</t>
  </si>
  <si>
    <t>07/11/2026</t>
  </si>
  <si>
    <t>BU6482285</t>
  </si>
  <si>
    <t>MORRISON BRADLEY</t>
  </si>
  <si>
    <t>TE15 1</t>
  </si>
  <si>
    <t>03/12/2026</t>
  </si>
  <si>
    <t>07/12/2026</t>
  </si>
  <si>
    <t>BU6506654</t>
  </si>
  <si>
    <t>GAY ANDREW</t>
  </si>
  <si>
    <t>04/01/2026</t>
  </si>
  <si>
    <t>BU6557300</t>
  </si>
  <si>
    <t>GAY DINA</t>
  </si>
  <si>
    <t>20GPT1</t>
  </si>
  <si>
    <t>06/05/2026</t>
  </si>
  <si>
    <t>07/05/2026</t>
  </si>
  <si>
    <t>NEW ISS PYMT</t>
  </si>
  <si>
    <t>BU6436093</t>
  </si>
  <si>
    <t>EMMERT CATHERINE</t>
  </si>
  <si>
    <t>WY</t>
  </si>
  <si>
    <t>03/11/2026</t>
  </si>
  <si>
    <t>BU6217774</t>
  </si>
  <si>
    <t>BUSBY CONSTANCE</t>
  </si>
  <si>
    <t>AL</t>
  </si>
  <si>
    <t>12/13/2025</t>
  </si>
  <si>
    <t>07/13/2026</t>
  </si>
  <si>
    <t>BU5428088</t>
  </si>
  <si>
    <t>GHADIALY NOORJEHAN</t>
  </si>
  <si>
    <t>07/14/2025</t>
  </si>
  <si>
    <t>07/14/2026</t>
  </si>
  <si>
    <t>BU6726942</t>
  </si>
  <si>
    <t>MCCOY OYUNERDENE</t>
  </si>
  <si>
    <t>BU5501966</t>
  </si>
  <si>
    <t>FISHER KATHLEEN</t>
  </si>
  <si>
    <t>09/09/2025</t>
  </si>
  <si>
    <t>BU6217775</t>
  </si>
  <si>
    <t>FORD BARBARA</t>
  </si>
  <si>
    <t>12/01/2025</t>
  </si>
  <si>
    <t>0891882</t>
  </si>
  <si>
    <t>BU5592709</t>
  </si>
  <si>
    <t>RODRICKS KEVIN</t>
  </si>
  <si>
    <t>09/11/2025</t>
  </si>
  <si>
    <t>1164992</t>
  </si>
  <si>
    <t>BU5485340</t>
  </si>
  <si>
    <t>RAMIREZ STEWART</t>
  </si>
  <si>
    <t>11/20/2025</t>
  </si>
  <si>
    <t>07/20/2026</t>
  </si>
  <si>
    <t>1301664</t>
  </si>
  <si>
    <t>BU6637621</t>
  </si>
  <si>
    <t>TOA NICOLE</t>
  </si>
  <si>
    <t>TX</t>
  </si>
  <si>
    <t>05/12/2026</t>
  </si>
  <si>
    <t>1227344</t>
  </si>
  <si>
    <t>BU5650906</t>
  </si>
  <si>
    <t>MOORE GARY</t>
  </si>
  <si>
    <t>KS</t>
  </si>
  <si>
    <t>10/10/2025</t>
  </si>
  <si>
    <t>0606680</t>
  </si>
  <si>
    <t>BU6635539</t>
  </si>
  <si>
    <t>GOOD RYAN</t>
  </si>
  <si>
    <t>SC</t>
  </si>
  <si>
    <t>0815797</t>
  </si>
  <si>
    <t>BU5619694</t>
  </si>
  <si>
    <t>STEPHENS CAROL</t>
  </si>
  <si>
    <t>10/08/2025</t>
  </si>
  <si>
    <t>07/08/2026</t>
  </si>
  <si>
    <t>MUTUAL</t>
  </si>
  <si>
    <t>0513364</t>
  </si>
  <si>
    <t>322331-41</t>
  </si>
  <si>
    <t>MERRICK DAVID</t>
  </si>
  <si>
    <t>DNT5IL</t>
  </si>
  <si>
    <t>1301278</t>
  </si>
  <si>
    <t>568558-41</t>
  </si>
  <si>
    <t>WILSON BELINDA</t>
  </si>
  <si>
    <t>AZ</t>
  </si>
  <si>
    <t>DNT2EL</t>
  </si>
  <si>
    <t>05/18/2026</t>
  </si>
  <si>
    <t>07/18/2026</t>
  </si>
  <si>
    <t>591026-41</t>
  </si>
  <si>
    <t>GUYTON CHRIS</t>
  </si>
  <si>
    <t>DNT2IL</t>
  </si>
  <si>
    <t>06/09/2026</t>
  </si>
  <si>
    <t>1169782</t>
  </si>
  <si>
    <t>404195-41</t>
  </si>
  <si>
    <t>SOBIECKI MARILEE</t>
  </si>
  <si>
    <t>406849-41</t>
  </si>
  <si>
    <t>STILES MARY</t>
  </si>
  <si>
    <t>413598-41</t>
  </si>
  <si>
    <t>TORRES JUAN</t>
  </si>
  <si>
    <t>12/14/2025</t>
  </si>
  <si>
    <t>818227-97</t>
  </si>
  <si>
    <t>HARRIS JAMES</t>
  </si>
  <si>
    <t>09/01/2025</t>
  </si>
  <si>
    <t>818239-97</t>
  </si>
  <si>
    <t>HARRIS KATHRYN</t>
  </si>
  <si>
    <t>0938286</t>
  </si>
  <si>
    <t>403893-41</t>
  </si>
  <si>
    <t>OCONNELL THOMAS</t>
  </si>
  <si>
    <t>1093252</t>
  </si>
  <si>
    <t>826678-97</t>
  </si>
  <si>
    <t>BENITEZ JOVITO</t>
  </si>
  <si>
    <t>DNT2BL</t>
  </si>
  <si>
    <t>856935-97</t>
  </si>
  <si>
    <t>ANDRE JAMES</t>
  </si>
  <si>
    <t>390478-41</t>
  </si>
  <si>
    <t>NOGER ERIC</t>
  </si>
  <si>
    <t>MM20HL</t>
  </si>
  <si>
    <t>0816910</t>
  </si>
  <si>
    <t>360629-97</t>
  </si>
  <si>
    <t>MORGAN ROBERT</t>
  </si>
  <si>
    <t>MM35HL</t>
  </si>
  <si>
    <t>08/01/2024</t>
  </si>
  <si>
    <t>871900-96</t>
  </si>
  <si>
    <t>BIEBERICH DAVID</t>
  </si>
  <si>
    <t>MM25HL</t>
  </si>
  <si>
    <t>961571-96</t>
  </si>
  <si>
    <t>BIEBERICH JANE</t>
  </si>
  <si>
    <t>0257168</t>
  </si>
  <si>
    <t>579927-97</t>
  </si>
  <si>
    <t>GREEN JODIE</t>
  </si>
  <si>
    <t>MO</t>
  </si>
  <si>
    <t>01/15/2025</t>
  </si>
  <si>
    <t>07/15/2026</t>
  </si>
  <si>
    <t>421672-97</t>
  </si>
  <si>
    <t>SEPSIS DEMETRI</t>
  </si>
  <si>
    <t>09/15/2024</t>
  </si>
  <si>
    <t>564582-97</t>
  </si>
  <si>
    <t>SEPSEY ARACELIS</t>
  </si>
  <si>
    <t>564587-97</t>
  </si>
  <si>
    <t>SEPSEY DAVID</t>
  </si>
  <si>
    <t>637501-97</t>
  </si>
  <si>
    <t>ALPIZAR DANIELA</t>
  </si>
  <si>
    <t>03/07/2025</t>
  </si>
  <si>
    <t>07/07/2026</t>
  </si>
  <si>
    <t>BOB Agt</t>
  </si>
  <si>
    <t>MLB Agt</t>
  </si>
  <si>
    <t>Agt NPN</t>
  </si>
  <si>
    <t>BOB Prem</t>
  </si>
  <si>
    <t>Comm</t>
  </si>
  <si>
    <t>BOB  Prod</t>
  </si>
  <si>
    <t>MLB Prod</t>
  </si>
  <si>
    <t>Matthew Sherman</t>
  </si>
  <si>
    <t>Jason Roller</t>
  </si>
  <si>
    <t>Frank Liskovec</t>
  </si>
  <si>
    <t>Gregory Teipel</t>
  </si>
  <si>
    <t>Ricardo Santos</t>
  </si>
  <si>
    <t>Gregory Hansford</t>
  </si>
  <si>
    <t>Anne Marie Kozacheck</t>
  </si>
  <si>
    <t>Gary Portugal</t>
  </si>
  <si>
    <t>Ronald Max</t>
  </si>
  <si>
    <t>Moses Trent</t>
  </si>
  <si>
    <t>Nasandelger Zana</t>
  </si>
  <si>
    <t>Steven Brandt</t>
  </si>
  <si>
    <t>Andrew Choi</t>
  </si>
  <si>
    <t>Brian Strohman</t>
  </si>
  <si>
    <t>Nicole Toa</t>
  </si>
  <si>
    <t>Taliah Ferguson</t>
  </si>
  <si>
    <t>Ryan Caltagirone</t>
  </si>
  <si>
    <t>Deborah Inskipt</t>
  </si>
  <si>
    <t>Dale Walenga</t>
  </si>
  <si>
    <t>Alexander Kim</t>
  </si>
  <si>
    <t>Victor Fuentes</t>
  </si>
  <si>
    <t>Christian Taugner</t>
  </si>
  <si>
    <t>Robert Shapiro</t>
  </si>
  <si>
    <t>Adam Richter</t>
  </si>
  <si>
    <t>Thomas Pardue</t>
  </si>
  <si>
    <t>Medicare Supplement Plan G</t>
  </si>
  <si>
    <t>Medicare Supplement Plan N</t>
  </si>
  <si>
    <t>Living Promise - Level Benefit</t>
  </si>
  <si>
    <t>Iul Express</t>
  </si>
  <si>
    <t>Children S - Whole Life</t>
  </si>
  <si>
    <t>Term Life Express 10 15 20 30</t>
  </si>
  <si>
    <t>Term Life Answer 10 15 20 30</t>
  </si>
  <si>
    <t>Protection Plan (c) Dnt5i</t>
  </si>
  <si>
    <t>Preferred Plan (a) Dnt2e</t>
  </si>
  <si>
    <t>Preferred Plan (a) Dnt2i</t>
  </si>
  <si>
    <t>Preferred Plan (a) Dnt2b</t>
  </si>
  <si>
    <t>Medicare Supplement Plan A</t>
  </si>
  <si>
    <t>MATTHEW  SHERMAN</t>
  </si>
  <si>
    <t>JASON  ROLLER</t>
  </si>
  <si>
    <t>FRANK  LISKOVEC</t>
  </si>
  <si>
    <t>GREG  TEIPEL</t>
  </si>
  <si>
    <t>RICARDO  SANTOS</t>
  </si>
  <si>
    <t>GREGORY  HANSFORD</t>
  </si>
  <si>
    <t>ANNE MARIE  KOZACHECK</t>
  </si>
  <si>
    <t>GARY  PORTUGAL</t>
  </si>
  <si>
    <t>NASANDELGER  ZANA</t>
  </si>
  <si>
    <t>STEVEN  BRANDT</t>
  </si>
  <si>
    <t>ANDREW  CHOI</t>
  </si>
  <si>
    <t>BRIAN  STROHMAN</t>
  </si>
  <si>
    <t>NICOLE  TOA</t>
  </si>
  <si>
    <t>TALIAH  FERGUSON</t>
  </si>
  <si>
    <t>RYAN  CALTAGIRONE</t>
  </si>
  <si>
    <t>DEBORAH  INSKIPT</t>
  </si>
  <si>
    <t>DALE  WALENGA</t>
  </si>
  <si>
    <t>ALEXANDER  KIM</t>
  </si>
  <si>
    <t>VICTOR  FUENTES</t>
  </si>
  <si>
    <t>CHRISTIAN  TAUGNER</t>
  </si>
  <si>
    <t>ROBERT  SHAPIRO</t>
  </si>
  <si>
    <t>RONALD  MAX</t>
  </si>
  <si>
    <t>ADAM  RICHTER</t>
  </si>
  <si>
    <t>THOMAS  PARDUE</t>
  </si>
  <si>
    <t>19278370old</t>
  </si>
  <si>
    <t>20220688AV9</t>
  </si>
  <si>
    <t>22106234AV9</t>
  </si>
  <si>
    <t>17528908N</t>
  </si>
  <si>
    <t>5442438O</t>
  </si>
  <si>
    <t>371819L4</t>
  </si>
  <si>
    <t>8812322L3</t>
  </si>
  <si>
    <t>7565575old</t>
  </si>
  <si>
    <t>IL replacement Medicare Supplement Plan G</t>
  </si>
  <si>
    <t>Med Supp MD/NJ/TN/VA/WY Ages 65-83 2025</t>
  </si>
  <si>
    <t>Med Supp IL/DE/TX/IN Ages 65-83</t>
  </si>
  <si>
    <t>Med Supp MD/NJ/TN/VA/WY Ages 65-83</t>
  </si>
  <si>
    <t>OH All Plans Except F, G, and N NB, Internal &amp; External Replacements. Renewal</t>
  </si>
  <si>
    <t>Medicare Supp- PA Plans High Deductible F,G,&amp;N 65+</t>
  </si>
  <si>
    <t>2024 Final Expense: Level Product Commission Ages 45-80</t>
  </si>
  <si>
    <t>IUL express</t>
  </si>
  <si>
    <t>2024 Term Life Express: IXEXP1 Term Life Conversion to IUL in years 6+ of term issue date</t>
  </si>
  <si>
    <t>Term Life Express</t>
  </si>
  <si>
    <t>Term Life Answers- 20 &amp; 30 year terms</t>
  </si>
  <si>
    <t>Universal Life</t>
  </si>
  <si>
    <t>FEX Level Ages 45-80</t>
  </si>
  <si>
    <t>ACCUM UL TP</t>
  </si>
  <si>
    <t>National Dental</t>
  </si>
  <si>
    <t>MD Plan A NB, Internal &amp; External Replace (Open Enrollment, Underwritten) Ages 65-80</t>
  </si>
  <si>
    <t>MD HD F,G,N</t>
  </si>
  <si>
    <t>AV</t>
  </si>
  <si>
    <t>AE</t>
  </si>
  <si>
    <t>AV1</t>
  </si>
  <si>
    <t>NB</t>
  </si>
  <si>
    <t>RN</t>
  </si>
  <si>
    <t>Main Line Benefits</t>
  </si>
  <si>
    <t>Mutual of Omaha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</si>
</sst>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\ \ \ \ \ \ \ \ \ \ \ \ \ \ \ \ \ \ \ \ "/>
    <numFmt numFmtId="165" formatCode="#,##0.00000"/>
  </numFmts>
  <fonts count="3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right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8" fontId="1" fillId="0" borderId="0" xfId="0" applyNumberFormat="1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8" fontId="1" fillId="2" borderId="0" xfId="0" applyNumberFormat="1" applyFont="1" applyFill="1"/>
    <xf numFmtId="4" fontId="1" fillId="2" borderId="0" xfId="0" applyNumberFormat="1" applyFont="1" applyFill="1"/>
    <xf numFmtId="165" fontId="1" fillId="2" borderId="0" xfId="0" applyNumberFormat="1" applyFont="1" applyFill="1"/>
    <xf numFmtId="0" fontId="1" fillId="0" borderId="0" xfId="0" applyNumberFormat="1" applyFont="1"/>
    <xf numFmtId="0" fontId="1" fillId="2" borderId="0" xfId="0" applyNumberFormat="1" applyFont="1" applyFill="1"/>
    <xf numFmtId="0" fontId="1" fillId="3" borderId="0" xfId="0" applyFont="1" applyFill="1"/>
    <xf numFmtId="0" fontId="2" fillId="4" borderId="0" xfId="0" applyFont="1" applyFill="1" applyAlignment="1">
      <alignment horizontal="center" vertical="center"/>
    </xf>
    <xf numFmtId="0" fontId="1" fillId="4" borderId="0" xfId="0" applyFont="1" applyFill="1"/>
    <xf numFmtId="0" fontId="2" fillId="0" borderId="0" xfId="0" applyFont="1" applyAlignment="1">
      <alignment horizontal="left" vertical="center"/>
    </xf>
    <xf numFmtId="0" fontId="1" fillId="0" borderId="0" xfId="0" applyFont="1" applyFill="1"/>
    <xf numFmtId="0" fontId="1" fillId="0" borderId="0" xfId="0" applyFont="1" applyFill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8" fontId="1" fillId="0" borderId="0" xfId="0" applyNumberFormat="1" applyFont="1" applyFill="1"/>
    <xf numFmtId="4" fontId="1" fillId="0" borderId="0" xfId="0" applyNumberFormat="1" applyFont="1" applyFill="1"/>
    <xf numFmtId="165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9"/>
  <sheetViews>
    <sheetView showGridLines="0" workbookViewId="0">
      <selection activeCell="Z1" sqref="Z1"/>
    </sheetView>
  </sheetViews>
  <sheetFormatPr defaultRowHeight="14.25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>
      <c r="A2" s="16" t="s">
        <v>0</v>
      </c>
      <c r="B2" s="17"/>
      <c r="C2" s="17"/>
    </row>
    <row r="3" spans="1:3">
      <c r="A3" s="16" t="s">
        <v>1</v>
      </c>
      <c r="B3" s="17"/>
      <c r="C3" s="17"/>
    </row>
    <row r="4" spans="1:3">
      <c r="A4" s="16" t="s">
        <v>2</v>
      </c>
      <c r="B4" s="17"/>
      <c r="C4" s="17"/>
    </row>
    <row r="7" spans="1:3">
      <c r="A7" s="1" t="s">
        <v>3</v>
      </c>
    </row>
    <row r="10" spans="1:3">
      <c r="A10" s="1" t="s">
        <v>4</v>
      </c>
    </row>
    <row r="12" spans="1:3">
      <c r="A12" s="3"/>
      <c r="B12" s="14" t="s">
        <v>5</v>
      </c>
      <c r="C12" s="15"/>
    </row>
    <row r="13" spans="1:3">
      <c r="A13" s="4"/>
      <c r="B13" s="5" t="s">
        <v>6</v>
      </c>
      <c r="C13" s="5" t="s">
        <v>7</v>
      </c>
    </row>
    <row r="14" spans="1:3">
      <c r="A14" s="3" t="s">
        <v>8</v>
      </c>
      <c r="B14" s="7"/>
      <c r="C14" s="7">
        <v>0</v>
      </c>
    </row>
    <row r="15" spans="1:3">
      <c r="A15" s="2" t="s">
        <v>9</v>
      </c>
      <c r="B15" s="8"/>
      <c r="C15" s="8"/>
    </row>
    <row r="16" spans="1:3">
      <c r="A16" s="2"/>
      <c r="B16" s="8"/>
      <c r="C16" s="8"/>
    </row>
    <row r="17" spans="1:3">
      <c r="A17" s="2" t="s">
        <v>10</v>
      </c>
      <c r="B17" s="8"/>
      <c r="C17" s="8"/>
    </row>
    <row r="18" spans="1:3">
      <c r="A18" s="2" t="s">
        <v>11</v>
      </c>
      <c r="B18" s="8"/>
      <c r="C18" s="8"/>
    </row>
    <row r="19" spans="1:3">
      <c r="A19" s="2" t="s">
        <v>12</v>
      </c>
      <c r="B19" s="8">
        <v>408.96</v>
      </c>
      <c r="C19" s="8"/>
    </row>
    <row r="20" spans="1:3">
      <c r="A20" s="2" t="s">
        <v>13</v>
      </c>
      <c r="B20" s="8">
        <v>103.96</v>
      </c>
      <c r="C20" s="8"/>
    </row>
    <row r="21" spans="1:3">
      <c r="A21" s="2"/>
      <c r="B21" s="8"/>
      <c r="C21" s="8"/>
    </row>
    <row r="22" spans="1:3">
      <c r="A22" s="2" t="s">
        <v>14</v>
      </c>
      <c r="B22" s="8"/>
      <c r="C22" s="8"/>
    </row>
    <row r="23" spans="1:3">
      <c r="A23" s="2" t="s">
        <v>11</v>
      </c>
      <c r="B23" s="8"/>
      <c r="C23" s="8"/>
    </row>
    <row r="24" spans="1:3">
      <c r="A24" s="2" t="s">
        <v>12</v>
      </c>
      <c r="B24" s="8">
        <v>3593.11</v>
      </c>
      <c r="C24" s="8"/>
    </row>
    <row r="25" spans="1:3">
      <c r="A25" s="2" t="s">
        <v>13</v>
      </c>
      <c r="B25" s="8">
        <v>170.86</v>
      </c>
      <c r="C25" s="8"/>
    </row>
    <row r="26" spans="1:3">
      <c r="A26" s="2"/>
      <c r="B26" s="8"/>
      <c r="C26" s="8"/>
    </row>
    <row r="27" spans="1:3">
      <c r="A27" s="2" t="s">
        <v>15</v>
      </c>
      <c r="B27" s="8"/>
      <c r="C27" s="8"/>
    </row>
    <row r="28" spans="1:3">
      <c r="A28" s="2" t="s">
        <v>11</v>
      </c>
      <c r="B28" s="8"/>
      <c r="C28" s="8"/>
    </row>
    <row r="29" spans="1:3">
      <c r="A29" s="2" t="s">
        <v>12</v>
      </c>
      <c r="B29" s="8">
        <v>132.41999999999999</v>
      </c>
      <c r="C29" s="8"/>
    </row>
    <row r="30" spans="1:3">
      <c r="A30" s="2" t="s">
        <v>13</v>
      </c>
      <c r="B30" s="8">
        <v>127.54</v>
      </c>
      <c r="C30" s="8"/>
    </row>
    <row r="31" spans="1:3">
      <c r="A31" s="2"/>
      <c r="B31" s="8"/>
      <c r="C31" s="8"/>
    </row>
    <row r="32" spans="1:3">
      <c r="A32" s="2" t="s">
        <v>16</v>
      </c>
      <c r="B32" s="8"/>
      <c r="C32" s="8"/>
    </row>
    <row r="33" spans="1:3">
      <c r="A33" s="2" t="s">
        <v>11</v>
      </c>
      <c r="B33" s="8"/>
      <c r="C33" s="8"/>
    </row>
    <row r="34" spans="1:3">
      <c r="A34" s="2" t="s">
        <v>12</v>
      </c>
      <c r="B34" s="8">
        <v>37.4</v>
      </c>
      <c r="C34" s="8"/>
    </row>
    <row r="35" spans="1:3">
      <c r="A35" s="2" t="s">
        <v>13</v>
      </c>
      <c r="B35" s="8">
        <v>24.35</v>
      </c>
      <c r="C35" s="8"/>
    </row>
    <row r="36" spans="1:3">
      <c r="A36" s="2"/>
      <c r="B36" s="8"/>
      <c r="C36" s="8"/>
    </row>
    <row r="37" spans="1:3">
      <c r="A37" s="2" t="s">
        <v>17</v>
      </c>
      <c r="B37" s="8"/>
      <c r="C37" s="8">
        <v>4598.6000000000004</v>
      </c>
    </row>
    <row r="38" spans="1:3">
      <c r="A38" s="2"/>
      <c r="B38" s="8"/>
      <c r="C38" s="8"/>
    </row>
    <row r="39" spans="1:3">
      <c r="A39" s="2" t="s">
        <v>18</v>
      </c>
      <c r="B39" s="8"/>
      <c r="C39" s="8"/>
    </row>
    <row r="40" spans="1:3">
      <c r="A40" s="2"/>
      <c r="B40" s="8"/>
      <c r="C40" s="8"/>
    </row>
    <row r="41" spans="1:3">
      <c r="A41" s="2" t="s">
        <v>10</v>
      </c>
      <c r="B41" s="8">
        <v>-512.91999999999996</v>
      </c>
      <c r="C41" s="8"/>
    </row>
    <row r="42" spans="1:3">
      <c r="A42" s="2" t="s">
        <v>14</v>
      </c>
      <c r="B42" s="8">
        <v>-3763.97</v>
      </c>
      <c r="C42" s="8"/>
    </row>
    <row r="43" spans="1:3">
      <c r="A43" s="2" t="s">
        <v>15</v>
      </c>
      <c r="B43" s="8">
        <v>-259.95999999999998</v>
      </c>
      <c r="C43" s="8"/>
    </row>
    <row r="44" spans="1:3">
      <c r="A44" s="2" t="s">
        <v>16</v>
      </c>
      <c r="B44" s="8">
        <v>-61.75</v>
      </c>
      <c r="C44" s="8"/>
    </row>
    <row r="45" spans="1:3">
      <c r="A45" s="2"/>
      <c r="B45" s="8"/>
      <c r="C45" s="8"/>
    </row>
    <row r="46" spans="1:3">
      <c r="A46" s="2" t="s">
        <v>19</v>
      </c>
      <c r="B46" s="8"/>
      <c r="C46" s="8">
        <v>-4598.6000000000004</v>
      </c>
    </row>
    <row r="47" spans="1:3">
      <c r="A47" s="2" t="s">
        <v>20</v>
      </c>
      <c r="B47" s="8"/>
      <c r="C47" s="8">
        <v>0</v>
      </c>
    </row>
    <row r="48" spans="1:3">
      <c r="A48" s="2"/>
      <c r="B48" s="8"/>
      <c r="C48" s="8"/>
    </row>
    <row r="49" spans="1:3">
      <c r="A49" s="4"/>
      <c r="B49" s="9"/>
      <c r="C49" s="9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8"/>
  <sheetViews>
    <sheetView workbookViewId="0">
      <pane ySplit="1" topLeftCell="A2" activePane="bottomLeft" state="frozen"/>
      <selection pane="bottomLeft" activeCell="J18" sqref="J18"/>
    </sheetView>
  </sheetViews>
  <sheetFormatPr defaultRowHeight="14.25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>
      <c r="A1" s="10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0" t="s">
        <v>27</v>
      </c>
      <c r="H1" s="10" t="s">
        <v>28</v>
      </c>
      <c r="I1" s="10" t="s">
        <v>29</v>
      </c>
      <c r="J1" s="10" t="s">
        <v>30</v>
      </c>
      <c r="K1" s="10" t="s">
        <v>31</v>
      </c>
      <c r="L1" s="10" t="s">
        <v>32</v>
      </c>
      <c r="M1" s="10" t="s">
        <v>33</v>
      </c>
      <c r="N1" s="10" t="s">
        <v>34</v>
      </c>
      <c r="O1" s="10" t="s">
        <v>35</v>
      </c>
      <c r="P1" s="10" t="s">
        <v>36</v>
      </c>
      <c r="Q1" s="10" t="s">
        <v>37</v>
      </c>
      <c r="R1" s="10" t="s">
        <v>38</v>
      </c>
      <c r="S1" s="10" t="s">
        <v>39</v>
      </c>
      <c r="T1" s="10" t="s">
        <v>40</v>
      </c>
      <c r="U1" s="10" t="s">
        <v>41</v>
      </c>
      <c r="V1" s="10" t="s">
        <v>42</v>
      </c>
      <c r="W1" s="10" t="s">
        <v>43</v>
      </c>
      <c r="X1" s="10" t="s">
        <v>44</v>
      </c>
    </row>
    <row r="2" spans="1:24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1" t="s">
        <v>56</v>
      </c>
      <c r="M2" s="1" t="s">
        <v>57</v>
      </c>
      <c r="N2" s="1" t="s">
        <v>58</v>
      </c>
      <c r="O2" s="1" t="s">
        <v>59</v>
      </c>
      <c r="P2" s="1">
        <v>0</v>
      </c>
      <c r="Q2" s="12">
        <v>239.28</v>
      </c>
      <c r="R2" s="1" t="s">
        <v>60</v>
      </c>
      <c r="S2" s="1" t="s">
        <v>61</v>
      </c>
      <c r="T2" s="6" t="s">
        <v>62</v>
      </c>
      <c r="U2" s="13">
        <v>0.20699999999999999</v>
      </c>
      <c r="V2" s="12">
        <v>49.53</v>
      </c>
      <c r="W2" s="12">
        <v>0</v>
      </c>
      <c r="X2" s="1" t="s">
        <v>56</v>
      </c>
    </row>
    <row r="3" spans="1:24">
      <c r="A3" s="1" t="s">
        <v>63</v>
      </c>
      <c r="B3" s="1" t="s">
        <v>46</v>
      </c>
      <c r="C3" s="1" t="s">
        <v>47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52</v>
      </c>
      <c r="I3" s="1" t="s">
        <v>68</v>
      </c>
      <c r="J3" s="1" t="s">
        <v>69</v>
      </c>
      <c r="K3" s="1" t="s">
        <v>70</v>
      </c>
      <c r="L3" s="11" t="s">
        <v>56</v>
      </c>
      <c r="M3" s="1" t="s">
        <v>57</v>
      </c>
      <c r="N3" s="1" t="s">
        <v>58</v>
      </c>
      <c r="O3" s="1" t="s">
        <v>59</v>
      </c>
      <c r="P3" s="1">
        <v>0</v>
      </c>
      <c r="Q3" s="12">
        <v>155.84</v>
      </c>
      <c r="R3" s="1" t="s">
        <v>60</v>
      </c>
      <c r="S3" s="1" t="s">
        <v>61</v>
      </c>
      <c r="T3" s="6" t="s">
        <v>62</v>
      </c>
      <c r="U3" s="13">
        <v>0.24</v>
      </c>
      <c r="V3" s="12">
        <v>37.4</v>
      </c>
      <c r="W3" s="12">
        <v>0</v>
      </c>
      <c r="X3" s="1" t="s">
        <v>56</v>
      </c>
    </row>
    <row r="4" spans="1:24">
      <c r="A4" s="1" t="s">
        <v>45</v>
      </c>
      <c r="B4" s="1" t="s">
        <v>46</v>
      </c>
      <c r="C4" s="1" t="s">
        <v>47</v>
      </c>
      <c r="D4" s="1" t="s">
        <v>71</v>
      </c>
      <c r="E4" s="1" t="s">
        <v>72</v>
      </c>
      <c r="F4" s="1" t="s">
        <v>73</v>
      </c>
      <c r="G4" s="1" t="s">
        <v>51</v>
      </c>
      <c r="H4" s="1" t="s">
        <v>52</v>
      </c>
      <c r="I4" s="1" t="s">
        <v>53</v>
      </c>
      <c r="J4" s="1" t="s">
        <v>74</v>
      </c>
      <c r="K4" s="1" t="s">
        <v>70</v>
      </c>
      <c r="L4" s="11" t="s">
        <v>56</v>
      </c>
      <c r="M4" s="1" t="s">
        <v>57</v>
      </c>
      <c r="N4" s="1" t="s">
        <v>58</v>
      </c>
      <c r="O4" s="1" t="s">
        <v>59</v>
      </c>
      <c r="P4" s="1">
        <v>0</v>
      </c>
      <c r="Q4" s="12">
        <v>180.27</v>
      </c>
      <c r="R4" s="1" t="s">
        <v>60</v>
      </c>
      <c r="S4" s="1" t="s">
        <v>61</v>
      </c>
      <c r="T4" s="6" t="s">
        <v>62</v>
      </c>
      <c r="U4" s="13">
        <v>0.23</v>
      </c>
      <c r="V4" s="12">
        <v>41.46</v>
      </c>
      <c r="W4" s="12">
        <v>0</v>
      </c>
      <c r="X4" s="1" t="s">
        <v>56</v>
      </c>
    </row>
    <row r="5" spans="1:24">
      <c r="A5" s="1" t="s">
        <v>45</v>
      </c>
      <c r="B5" s="1" t="s">
        <v>46</v>
      </c>
      <c r="C5" s="1" t="s">
        <v>47</v>
      </c>
      <c r="D5" s="1" t="s">
        <v>75</v>
      </c>
      <c r="E5" s="1" t="s">
        <v>76</v>
      </c>
      <c r="F5" s="1" t="s">
        <v>77</v>
      </c>
      <c r="G5" s="1" t="s">
        <v>51</v>
      </c>
      <c r="H5" s="1" t="s">
        <v>52</v>
      </c>
      <c r="I5" s="1" t="s">
        <v>53</v>
      </c>
      <c r="J5" s="1" t="s">
        <v>78</v>
      </c>
      <c r="K5" s="1" t="s">
        <v>70</v>
      </c>
      <c r="L5" s="11" t="s">
        <v>56</v>
      </c>
      <c r="M5" s="1" t="s">
        <v>57</v>
      </c>
      <c r="N5" s="1" t="s">
        <v>58</v>
      </c>
      <c r="O5" s="1" t="s">
        <v>59</v>
      </c>
      <c r="P5" s="1">
        <v>0</v>
      </c>
      <c r="Q5" s="12">
        <v>180.14</v>
      </c>
      <c r="R5" s="1" t="s">
        <v>60</v>
      </c>
      <c r="S5" s="1" t="s">
        <v>61</v>
      </c>
      <c r="T5" s="6" t="s">
        <v>62</v>
      </c>
      <c r="U5" s="13">
        <v>0.23</v>
      </c>
      <c r="V5" s="12">
        <v>41.43</v>
      </c>
      <c r="W5" s="12">
        <v>0</v>
      </c>
      <c r="X5" s="1" t="s">
        <v>56</v>
      </c>
    </row>
    <row r="6" spans="1:24">
      <c r="A6" s="1" t="s">
        <v>45</v>
      </c>
      <c r="B6" s="1" t="s">
        <v>46</v>
      </c>
      <c r="C6" s="1" t="s">
        <v>79</v>
      </c>
      <c r="D6" s="1" t="s">
        <v>80</v>
      </c>
      <c r="E6" s="1" t="s">
        <v>81</v>
      </c>
      <c r="F6" s="1" t="s">
        <v>82</v>
      </c>
      <c r="G6" s="1" t="s">
        <v>51</v>
      </c>
      <c r="H6" s="1" t="s">
        <v>52</v>
      </c>
      <c r="I6" s="1" t="s">
        <v>53</v>
      </c>
      <c r="J6" s="1" t="s">
        <v>83</v>
      </c>
      <c r="K6" s="1" t="s">
        <v>70</v>
      </c>
      <c r="L6" s="11" t="s">
        <v>56</v>
      </c>
      <c r="M6" s="1" t="s">
        <v>57</v>
      </c>
      <c r="N6" s="1" t="s">
        <v>58</v>
      </c>
      <c r="O6" s="1" t="s">
        <v>59</v>
      </c>
      <c r="P6" s="1">
        <v>0</v>
      </c>
      <c r="Q6" s="12">
        <v>162.27000000000001</v>
      </c>
      <c r="R6" s="1" t="s">
        <v>84</v>
      </c>
      <c r="S6" s="1" t="s">
        <v>85</v>
      </c>
      <c r="T6" s="6" t="s">
        <v>62</v>
      </c>
      <c r="U6" s="13">
        <v>0.23</v>
      </c>
      <c r="V6" s="12">
        <v>37.32</v>
      </c>
      <c r="W6" s="12">
        <v>0</v>
      </c>
      <c r="X6" s="1" t="s">
        <v>56</v>
      </c>
    </row>
    <row r="7" spans="1:24">
      <c r="A7" s="1" t="s">
        <v>45</v>
      </c>
      <c r="B7" s="1" t="s">
        <v>46</v>
      </c>
      <c r="C7" s="1" t="s">
        <v>79</v>
      </c>
      <c r="D7" s="1" t="s">
        <v>75</v>
      </c>
      <c r="E7" s="1" t="s">
        <v>86</v>
      </c>
      <c r="F7" s="1" t="s">
        <v>87</v>
      </c>
      <c r="G7" s="1" t="s">
        <v>51</v>
      </c>
      <c r="H7" s="1" t="s">
        <v>88</v>
      </c>
      <c r="I7" s="1" t="s">
        <v>53</v>
      </c>
      <c r="J7" s="1" t="s">
        <v>89</v>
      </c>
      <c r="K7" s="1" t="s">
        <v>90</v>
      </c>
      <c r="L7" s="11" t="s">
        <v>56</v>
      </c>
      <c r="M7" s="1" t="s">
        <v>57</v>
      </c>
      <c r="N7" s="1" t="s">
        <v>58</v>
      </c>
      <c r="O7" s="1" t="s">
        <v>59</v>
      </c>
      <c r="P7" s="1">
        <v>0</v>
      </c>
      <c r="Q7" s="12">
        <v>199.91</v>
      </c>
      <c r="R7" s="1" t="s">
        <v>84</v>
      </c>
      <c r="S7" s="1" t="s">
        <v>85</v>
      </c>
      <c r="T7" s="6" t="s">
        <v>62</v>
      </c>
      <c r="U7" s="13">
        <v>0.23</v>
      </c>
      <c r="V7" s="12">
        <v>45.98</v>
      </c>
      <c r="W7" s="12">
        <v>0</v>
      </c>
      <c r="X7" s="1" t="s">
        <v>56</v>
      </c>
    </row>
    <row r="8" spans="1:24">
      <c r="A8" s="1" t="s">
        <v>63</v>
      </c>
      <c r="B8" s="1" t="s">
        <v>46</v>
      </c>
      <c r="C8" s="1" t="s">
        <v>79</v>
      </c>
      <c r="D8" s="1" t="s">
        <v>75</v>
      </c>
      <c r="E8" s="1" t="s">
        <v>91</v>
      </c>
      <c r="F8" s="1" t="s">
        <v>92</v>
      </c>
      <c r="G8" s="1" t="s">
        <v>67</v>
      </c>
      <c r="H8" s="1" t="s">
        <v>52</v>
      </c>
      <c r="I8" s="1" t="s">
        <v>68</v>
      </c>
      <c r="J8" s="1" t="s">
        <v>93</v>
      </c>
      <c r="K8" s="1" t="s">
        <v>70</v>
      </c>
      <c r="L8" s="11" t="s">
        <v>56</v>
      </c>
      <c r="M8" s="1" t="s">
        <v>57</v>
      </c>
      <c r="N8" s="1" t="s">
        <v>58</v>
      </c>
      <c r="O8" s="1" t="s">
        <v>59</v>
      </c>
      <c r="P8" s="1">
        <v>0</v>
      </c>
      <c r="Q8" s="12">
        <v>105.87</v>
      </c>
      <c r="R8" s="1" t="s">
        <v>84</v>
      </c>
      <c r="S8" s="1" t="s">
        <v>85</v>
      </c>
      <c r="T8" s="6" t="s">
        <v>62</v>
      </c>
      <c r="U8" s="13">
        <v>0.23</v>
      </c>
      <c r="V8" s="12">
        <v>24.35</v>
      </c>
      <c r="W8" s="12">
        <v>0</v>
      </c>
      <c r="X8" s="1" t="s">
        <v>56</v>
      </c>
    </row>
    <row r="9" spans="1:24">
      <c r="A9" s="1" t="s">
        <v>45</v>
      </c>
      <c r="B9" s="1" t="s">
        <v>46</v>
      </c>
      <c r="C9" s="1" t="s">
        <v>79</v>
      </c>
      <c r="D9" s="1" t="s">
        <v>94</v>
      </c>
      <c r="E9" s="1" t="s">
        <v>95</v>
      </c>
      <c r="F9" s="1" t="s">
        <v>96</v>
      </c>
      <c r="G9" s="1" t="s">
        <v>51</v>
      </c>
      <c r="H9" s="1" t="s">
        <v>52</v>
      </c>
      <c r="I9" s="1" t="s">
        <v>53</v>
      </c>
      <c r="J9" s="1" t="s">
        <v>97</v>
      </c>
      <c r="K9" s="1" t="s">
        <v>70</v>
      </c>
      <c r="L9" s="11" t="s">
        <v>56</v>
      </c>
      <c r="M9" s="1" t="s">
        <v>57</v>
      </c>
      <c r="N9" s="1" t="s">
        <v>58</v>
      </c>
      <c r="O9" s="1" t="s">
        <v>59</v>
      </c>
      <c r="P9" s="1">
        <v>0</v>
      </c>
      <c r="Q9" s="12">
        <v>192.36</v>
      </c>
      <c r="R9" s="1" t="s">
        <v>84</v>
      </c>
      <c r="S9" s="1" t="s">
        <v>85</v>
      </c>
      <c r="T9" s="6" t="s">
        <v>62</v>
      </c>
      <c r="U9" s="13">
        <v>0.23</v>
      </c>
      <c r="V9" s="12">
        <v>44.24</v>
      </c>
      <c r="W9" s="12">
        <v>0</v>
      </c>
      <c r="X9" s="1" t="s">
        <v>56</v>
      </c>
    </row>
    <row r="10" spans="1:24">
      <c r="A10" s="1" t="s">
        <v>98</v>
      </c>
      <c r="B10" s="1" t="s">
        <v>46</v>
      </c>
      <c r="C10" s="1" t="s">
        <v>79</v>
      </c>
      <c r="D10" s="1" t="s">
        <v>99</v>
      </c>
      <c r="E10" s="1" t="s">
        <v>100</v>
      </c>
      <c r="F10" s="1" t="s">
        <v>101</v>
      </c>
      <c r="G10" s="1" t="s">
        <v>102</v>
      </c>
      <c r="H10" s="1" t="s">
        <v>88</v>
      </c>
      <c r="I10" s="1" t="s">
        <v>103</v>
      </c>
      <c r="J10" s="1" t="s">
        <v>104</v>
      </c>
      <c r="K10" s="1" t="s">
        <v>70</v>
      </c>
      <c r="L10" s="11" t="s">
        <v>56</v>
      </c>
      <c r="M10" s="1" t="s">
        <v>57</v>
      </c>
      <c r="N10" s="1" t="s">
        <v>58</v>
      </c>
      <c r="O10" s="1" t="s">
        <v>59</v>
      </c>
      <c r="P10" s="1">
        <v>0</v>
      </c>
      <c r="Q10" s="12">
        <v>137.74</v>
      </c>
      <c r="R10" s="1" t="s">
        <v>84</v>
      </c>
      <c r="S10" s="1" t="s">
        <v>85</v>
      </c>
      <c r="T10" s="6" t="s">
        <v>62</v>
      </c>
      <c r="U10" s="13">
        <v>0.215</v>
      </c>
      <c r="V10" s="12">
        <v>29.61</v>
      </c>
      <c r="W10" s="12">
        <v>0</v>
      </c>
      <c r="X10" s="1" t="s">
        <v>56</v>
      </c>
    </row>
    <row r="11" spans="1:24">
      <c r="A11" s="1" t="s">
        <v>98</v>
      </c>
      <c r="B11" s="1" t="s">
        <v>46</v>
      </c>
      <c r="C11" s="1" t="s">
        <v>79</v>
      </c>
      <c r="D11" s="1" t="s">
        <v>99</v>
      </c>
      <c r="E11" s="1" t="s">
        <v>105</v>
      </c>
      <c r="F11" s="1" t="s">
        <v>106</v>
      </c>
      <c r="G11" s="1" t="s">
        <v>102</v>
      </c>
      <c r="H11" s="1" t="s">
        <v>88</v>
      </c>
      <c r="I11" s="1" t="s">
        <v>103</v>
      </c>
      <c r="J11" s="1" t="s">
        <v>104</v>
      </c>
      <c r="K11" s="1" t="s">
        <v>70</v>
      </c>
      <c r="L11" s="11" t="s">
        <v>56</v>
      </c>
      <c r="M11" s="1" t="s">
        <v>57</v>
      </c>
      <c r="N11" s="1" t="s">
        <v>58</v>
      </c>
      <c r="O11" s="1" t="s">
        <v>59</v>
      </c>
      <c r="P11" s="1">
        <v>0</v>
      </c>
      <c r="Q11" s="12">
        <v>229.97</v>
      </c>
      <c r="R11" s="1" t="s">
        <v>84</v>
      </c>
      <c r="S11" s="1" t="s">
        <v>85</v>
      </c>
      <c r="T11" s="6" t="s">
        <v>62</v>
      </c>
      <c r="U11" s="13">
        <v>0.215</v>
      </c>
      <c r="V11" s="12">
        <v>49.44</v>
      </c>
      <c r="W11" s="12">
        <v>0</v>
      </c>
      <c r="X11" s="1" t="s">
        <v>56</v>
      </c>
    </row>
    <row r="12" spans="1:24">
      <c r="A12" s="1" t="s">
        <v>98</v>
      </c>
      <c r="B12" s="1" t="s">
        <v>46</v>
      </c>
      <c r="C12" s="1" t="s">
        <v>79</v>
      </c>
      <c r="D12" s="1" t="s">
        <v>99</v>
      </c>
      <c r="E12" s="1" t="s">
        <v>107</v>
      </c>
      <c r="F12" s="1" t="s">
        <v>108</v>
      </c>
      <c r="G12" s="1" t="s">
        <v>102</v>
      </c>
      <c r="H12" s="1" t="s">
        <v>52</v>
      </c>
      <c r="I12" s="1" t="s">
        <v>109</v>
      </c>
      <c r="J12" s="1" t="s">
        <v>110</v>
      </c>
      <c r="K12" s="1" t="s">
        <v>70</v>
      </c>
      <c r="L12" s="11" t="s">
        <v>56</v>
      </c>
      <c r="M12" s="1" t="s">
        <v>57</v>
      </c>
      <c r="N12" s="1" t="s">
        <v>58</v>
      </c>
      <c r="O12" s="1" t="s">
        <v>59</v>
      </c>
      <c r="P12" s="1">
        <v>0</v>
      </c>
      <c r="Q12" s="12">
        <v>99.8</v>
      </c>
      <c r="R12" s="1" t="s">
        <v>84</v>
      </c>
      <c r="S12" s="1" t="s">
        <v>85</v>
      </c>
      <c r="T12" s="6" t="s">
        <v>62</v>
      </c>
      <c r="U12" s="13">
        <v>0.255</v>
      </c>
      <c r="V12" s="12">
        <v>25.45</v>
      </c>
      <c r="W12" s="12">
        <v>0</v>
      </c>
      <c r="X12" s="1" t="s">
        <v>56</v>
      </c>
    </row>
    <row r="13" spans="1:24">
      <c r="A13" s="1" t="s">
        <v>98</v>
      </c>
      <c r="B13" s="1" t="s">
        <v>46</v>
      </c>
      <c r="C13" s="1" t="s">
        <v>79</v>
      </c>
      <c r="D13" s="1" t="s">
        <v>99</v>
      </c>
      <c r="E13" s="1" t="s">
        <v>111</v>
      </c>
      <c r="F13" s="1" t="s">
        <v>112</v>
      </c>
      <c r="G13" s="1" t="s">
        <v>102</v>
      </c>
      <c r="H13" s="1" t="s">
        <v>52</v>
      </c>
      <c r="I13" s="1" t="s">
        <v>109</v>
      </c>
      <c r="J13" s="1" t="s">
        <v>113</v>
      </c>
      <c r="K13" s="1" t="s">
        <v>114</v>
      </c>
      <c r="L13" s="11" t="s">
        <v>56</v>
      </c>
      <c r="M13" s="1" t="s">
        <v>115</v>
      </c>
      <c r="N13" s="1" t="s">
        <v>116</v>
      </c>
      <c r="O13" s="1" t="s">
        <v>117</v>
      </c>
      <c r="P13" s="1">
        <v>0</v>
      </c>
      <c r="Q13" s="12">
        <v>220.29</v>
      </c>
      <c r="R13" s="1" t="s">
        <v>84</v>
      </c>
      <c r="S13" s="1" t="s">
        <v>85</v>
      </c>
      <c r="T13" s="6" t="s">
        <v>62</v>
      </c>
      <c r="U13" s="13">
        <v>0.255</v>
      </c>
      <c r="V13" s="12">
        <v>56.16</v>
      </c>
      <c r="W13" s="12">
        <v>0</v>
      </c>
      <c r="X13" s="1" t="s">
        <v>56</v>
      </c>
    </row>
    <row r="14" spans="1:24">
      <c r="A14" s="1" t="s">
        <v>98</v>
      </c>
      <c r="B14" s="1" t="s">
        <v>46</v>
      </c>
      <c r="C14" s="1" t="s">
        <v>118</v>
      </c>
      <c r="D14" s="1" t="s">
        <v>119</v>
      </c>
      <c r="E14" s="1" t="s">
        <v>120</v>
      </c>
      <c r="F14" s="1" t="s">
        <v>121</v>
      </c>
      <c r="G14" s="1" t="s">
        <v>122</v>
      </c>
      <c r="H14" s="1" t="s">
        <v>123</v>
      </c>
      <c r="I14" s="1" t="s">
        <v>124</v>
      </c>
      <c r="J14" s="1" t="s">
        <v>125</v>
      </c>
      <c r="K14" s="1" t="s">
        <v>126</v>
      </c>
      <c r="L14" s="11">
        <v>65</v>
      </c>
      <c r="M14" s="1" t="s">
        <v>57</v>
      </c>
      <c r="N14" s="1" t="s">
        <v>58</v>
      </c>
      <c r="O14" s="1" t="s">
        <v>59</v>
      </c>
      <c r="P14" s="1">
        <v>12</v>
      </c>
      <c r="Q14" s="12">
        <v>48.57</v>
      </c>
      <c r="R14" s="1" t="s">
        <v>84</v>
      </c>
      <c r="S14" s="1" t="s">
        <v>85</v>
      </c>
      <c r="T14" s="6" t="s">
        <v>62</v>
      </c>
      <c r="U14" s="13">
        <v>7.0000000000000007E-2</v>
      </c>
      <c r="V14" s="12">
        <v>3.4</v>
      </c>
      <c r="W14" s="12">
        <v>0</v>
      </c>
      <c r="X14" s="1" t="s">
        <v>56</v>
      </c>
    </row>
    <row r="15" spans="1:24">
      <c r="A15" s="1" t="s">
        <v>98</v>
      </c>
      <c r="B15" s="1" t="s">
        <v>46</v>
      </c>
      <c r="C15" s="1" t="s">
        <v>118</v>
      </c>
      <c r="D15" s="1" t="s">
        <v>119</v>
      </c>
      <c r="E15" s="1" t="s">
        <v>120</v>
      </c>
      <c r="F15" s="1" t="s">
        <v>121</v>
      </c>
      <c r="G15" s="1" t="s">
        <v>122</v>
      </c>
      <c r="H15" s="1" t="s">
        <v>123</v>
      </c>
      <c r="I15" s="1" t="s">
        <v>124</v>
      </c>
      <c r="J15" s="1" t="s">
        <v>125</v>
      </c>
      <c r="K15" s="1" t="s">
        <v>126</v>
      </c>
      <c r="L15" s="11">
        <v>65</v>
      </c>
      <c r="M15" s="1" t="s">
        <v>57</v>
      </c>
      <c r="N15" s="1" t="s">
        <v>58</v>
      </c>
      <c r="O15" s="1" t="s">
        <v>59</v>
      </c>
      <c r="P15" s="1">
        <v>12</v>
      </c>
      <c r="Q15" s="12">
        <v>48.57</v>
      </c>
      <c r="R15" s="1" t="s">
        <v>84</v>
      </c>
      <c r="S15" s="1" t="s">
        <v>85</v>
      </c>
      <c r="T15" s="6" t="s">
        <v>62</v>
      </c>
      <c r="U15" s="13">
        <v>7.0000000000000007E-2</v>
      </c>
      <c r="V15" s="12">
        <v>3.4</v>
      </c>
      <c r="W15" s="12">
        <v>0</v>
      </c>
      <c r="X15" s="1" t="s">
        <v>56</v>
      </c>
    </row>
    <row r="16" spans="1:24">
      <c r="A16" s="1" t="s">
        <v>98</v>
      </c>
      <c r="B16" s="1" t="s">
        <v>46</v>
      </c>
      <c r="C16" s="1" t="s">
        <v>118</v>
      </c>
      <c r="D16" s="1" t="s">
        <v>119</v>
      </c>
      <c r="E16" s="1" t="s">
        <v>120</v>
      </c>
      <c r="F16" s="1" t="s">
        <v>121</v>
      </c>
      <c r="G16" s="1" t="s">
        <v>122</v>
      </c>
      <c r="H16" s="1" t="s">
        <v>123</v>
      </c>
      <c r="I16" s="1" t="s">
        <v>124</v>
      </c>
      <c r="J16" s="1" t="s">
        <v>125</v>
      </c>
      <c r="K16" s="1" t="s">
        <v>126</v>
      </c>
      <c r="L16" s="11">
        <v>65</v>
      </c>
      <c r="M16" s="1" t="s">
        <v>57</v>
      </c>
      <c r="N16" s="1" t="s">
        <v>58</v>
      </c>
      <c r="O16" s="1" t="s">
        <v>59</v>
      </c>
      <c r="P16" s="1">
        <v>12</v>
      </c>
      <c r="Q16" s="12">
        <v>48.57</v>
      </c>
      <c r="R16" s="1" t="s">
        <v>84</v>
      </c>
      <c r="S16" s="1" t="s">
        <v>85</v>
      </c>
      <c r="T16" s="6" t="s">
        <v>62</v>
      </c>
      <c r="U16" s="13">
        <v>7.0000000000000007E-2</v>
      </c>
      <c r="V16" s="12">
        <v>3.4</v>
      </c>
      <c r="W16" s="12">
        <v>0</v>
      </c>
      <c r="X16" s="1" t="s">
        <v>56</v>
      </c>
    </row>
    <row r="17" spans="1:24">
      <c r="A17" s="1" t="s">
        <v>98</v>
      </c>
      <c r="B17" s="1" t="s">
        <v>46</v>
      </c>
      <c r="C17" s="1" t="s">
        <v>47</v>
      </c>
      <c r="D17" s="1" t="s">
        <v>127</v>
      </c>
      <c r="E17" s="1" t="s">
        <v>128</v>
      </c>
      <c r="F17" s="1" t="s">
        <v>129</v>
      </c>
      <c r="G17" s="1" t="s">
        <v>130</v>
      </c>
      <c r="H17" s="1" t="s">
        <v>131</v>
      </c>
      <c r="I17" s="1" t="s">
        <v>132</v>
      </c>
      <c r="J17" s="1" t="s">
        <v>133</v>
      </c>
      <c r="K17" s="1" t="s">
        <v>133</v>
      </c>
      <c r="L17" s="11">
        <v>30</v>
      </c>
      <c r="M17" s="1" t="s">
        <v>57</v>
      </c>
      <c r="N17" s="1" t="s">
        <v>58</v>
      </c>
      <c r="O17" s="1" t="s">
        <v>59</v>
      </c>
      <c r="P17" s="1">
        <v>50</v>
      </c>
      <c r="Q17" s="12">
        <v>271.70999999999998</v>
      </c>
      <c r="R17" s="1" t="s">
        <v>60</v>
      </c>
      <c r="S17" s="1" t="s">
        <v>134</v>
      </c>
      <c r="T17" s="6" t="s">
        <v>62</v>
      </c>
      <c r="U17" s="13">
        <v>1.35</v>
      </c>
      <c r="V17" s="12">
        <v>366.81</v>
      </c>
      <c r="W17" s="12">
        <v>366.81</v>
      </c>
      <c r="X17" s="1" t="s">
        <v>56</v>
      </c>
    </row>
    <row r="18" spans="1:24">
      <c r="A18" s="1" t="s">
        <v>98</v>
      </c>
      <c r="B18" s="1" t="s">
        <v>46</v>
      </c>
      <c r="C18" s="1" t="s">
        <v>47</v>
      </c>
      <c r="D18" s="1" t="s">
        <v>127</v>
      </c>
      <c r="E18" s="1" t="s">
        <v>135</v>
      </c>
      <c r="F18" s="1" t="s">
        <v>136</v>
      </c>
      <c r="G18" s="1" t="s">
        <v>130</v>
      </c>
      <c r="H18" s="1" t="s">
        <v>52</v>
      </c>
      <c r="I18" s="1" t="s">
        <v>132</v>
      </c>
      <c r="J18" s="1" t="s">
        <v>52</v>
      </c>
      <c r="K18" s="1" t="s">
        <v>52</v>
      </c>
      <c r="L18" s="11">
        <v>60</v>
      </c>
      <c r="M18" s="1" t="s">
        <v>57</v>
      </c>
      <c r="N18" s="1" t="s">
        <v>58</v>
      </c>
      <c r="O18" s="1" t="s">
        <v>59</v>
      </c>
      <c r="P18" s="1">
        <v>25</v>
      </c>
      <c r="Q18" s="12">
        <v>590.85</v>
      </c>
      <c r="R18" s="1" t="s">
        <v>60</v>
      </c>
      <c r="S18" s="1" t="s">
        <v>134</v>
      </c>
      <c r="T18" s="6" t="s">
        <v>62</v>
      </c>
      <c r="U18" s="13">
        <v>1.35</v>
      </c>
      <c r="V18" s="12">
        <v>797.65</v>
      </c>
      <c r="W18" s="12">
        <v>797.65</v>
      </c>
      <c r="X18" s="1" t="s">
        <v>56</v>
      </c>
    </row>
    <row r="19" spans="1:24">
      <c r="A19" s="1" t="s">
        <v>98</v>
      </c>
      <c r="B19" s="1" t="s">
        <v>46</v>
      </c>
      <c r="C19" s="1" t="s">
        <v>47</v>
      </c>
      <c r="D19" s="1" t="s">
        <v>137</v>
      </c>
      <c r="E19" s="1" t="s">
        <v>138</v>
      </c>
      <c r="F19" s="1" t="s">
        <v>139</v>
      </c>
      <c r="G19" s="1" t="s">
        <v>51</v>
      </c>
      <c r="H19" s="1" t="s">
        <v>52</v>
      </c>
      <c r="I19" s="1" t="s">
        <v>140</v>
      </c>
      <c r="J19" s="1" t="s">
        <v>52</v>
      </c>
      <c r="K19" s="1" t="s">
        <v>52</v>
      </c>
      <c r="L19" s="11">
        <v>2</v>
      </c>
      <c r="M19" s="1" t="s">
        <v>57</v>
      </c>
      <c r="N19" s="1" t="s">
        <v>58</v>
      </c>
      <c r="O19" s="1" t="s">
        <v>59</v>
      </c>
      <c r="P19" s="1">
        <v>10</v>
      </c>
      <c r="Q19" s="12">
        <v>41.49</v>
      </c>
      <c r="R19" s="1" t="s">
        <v>60</v>
      </c>
      <c r="S19" s="1" t="s">
        <v>134</v>
      </c>
      <c r="T19" s="6" t="s">
        <v>62</v>
      </c>
      <c r="U19" s="13">
        <v>0.1</v>
      </c>
      <c r="V19" s="12">
        <v>4.1399999999999997</v>
      </c>
      <c r="W19" s="12">
        <v>4.1399999999999997</v>
      </c>
      <c r="X19" s="1" t="s">
        <v>56</v>
      </c>
    </row>
    <row r="20" spans="1:24">
      <c r="A20" s="1" t="s">
        <v>98</v>
      </c>
      <c r="B20" s="1" t="s">
        <v>46</v>
      </c>
      <c r="C20" s="1" t="s">
        <v>47</v>
      </c>
      <c r="D20" s="1" t="s">
        <v>137</v>
      </c>
      <c r="E20" s="1" t="s">
        <v>141</v>
      </c>
      <c r="F20" s="1" t="s">
        <v>142</v>
      </c>
      <c r="G20" s="1" t="s">
        <v>51</v>
      </c>
      <c r="H20" s="1" t="s">
        <v>52</v>
      </c>
      <c r="I20" s="1" t="s">
        <v>140</v>
      </c>
      <c r="J20" s="1" t="s">
        <v>52</v>
      </c>
      <c r="K20" s="1" t="s">
        <v>52</v>
      </c>
      <c r="L20" s="11">
        <v>0</v>
      </c>
      <c r="M20" s="1" t="s">
        <v>57</v>
      </c>
      <c r="N20" s="1" t="s">
        <v>58</v>
      </c>
      <c r="O20" s="1" t="s">
        <v>59</v>
      </c>
      <c r="P20" s="1">
        <v>10</v>
      </c>
      <c r="Q20" s="12">
        <v>41.49</v>
      </c>
      <c r="R20" s="1" t="s">
        <v>60</v>
      </c>
      <c r="S20" s="1" t="s">
        <v>134</v>
      </c>
      <c r="T20" s="6" t="s">
        <v>62</v>
      </c>
      <c r="U20" s="13">
        <v>0.1</v>
      </c>
      <c r="V20" s="12">
        <v>4.1399999999999997</v>
      </c>
      <c r="W20" s="12">
        <v>4.1399999999999997</v>
      </c>
      <c r="X20" s="1" t="s">
        <v>56</v>
      </c>
    </row>
    <row r="21" spans="1:24">
      <c r="A21" s="1" t="s">
        <v>98</v>
      </c>
      <c r="B21" s="1" t="s">
        <v>46</v>
      </c>
      <c r="C21" s="1" t="s">
        <v>47</v>
      </c>
      <c r="D21" s="1" t="s">
        <v>143</v>
      </c>
      <c r="E21" s="1" t="s">
        <v>144</v>
      </c>
      <c r="F21" s="1" t="s">
        <v>145</v>
      </c>
      <c r="G21" s="1" t="s">
        <v>51</v>
      </c>
      <c r="H21" s="1" t="s">
        <v>131</v>
      </c>
      <c r="I21" s="1" t="s">
        <v>132</v>
      </c>
      <c r="J21" s="1" t="s">
        <v>146</v>
      </c>
      <c r="K21" s="1" t="s">
        <v>70</v>
      </c>
      <c r="L21" s="11">
        <v>63</v>
      </c>
      <c r="M21" s="1" t="s">
        <v>57</v>
      </c>
      <c r="N21" s="1" t="s">
        <v>58</v>
      </c>
      <c r="O21" s="1" t="s">
        <v>59</v>
      </c>
      <c r="P21" s="1">
        <v>50</v>
      </c>
      <c r="Q21" s="12">
        <v>142.93</v>
      </c>
      <c r="R21" s="1" t="s">
        <v>60</v>
      </c>
      <c r="S21" s="1" t="s">
        <v>61</v>
      </c>
      <c r="T21" s="6" t="s">
        <v>62</v>
      </c>
      <c r="U21" s="13">
        <v>1.35</v>
      </c>
      <c r="V21" s="12">
        <v>0</v>
      </c>
      <c r="W21" s="12">
        <v>-192.96</v>
      </c>
      <c r="X21" s="1" t="s">
        <v>56</v>
      </c>
    </row>
    <row r="22" spans="1:24">
      <c r="A22" s="1" t="s">
        <v>98</v>
      </c>
      <c r="B22" s="1" t="s">
        <v>46</v>
      </c>
      <c r="C22" s="1" t="s">
        <v>47</v>
      </c>
      <c r="D22" s="1" t="s">
        <v>127</v>
      </c>
      <c r="E22" s="1" t="s">
        <v>147</v>
      </c>
      <c r="F22" s="1" t="s">
        <v>148</v>
      </c>
      <c r="G22" s="1" t="s">
        <v>130</v>
      </c>
      <c r="H22" s="1" t="s">
        <v>52</v>
      </c>
      <c r="I22" s="1" t="s">
        <v>132</v>
      </c>
      <c r="J22" s="1" t="s">
        <v>52</v>
      </c>
      <c r="K22" s="1" t="s">
        <v>52</v>
      </c>
      <c r="L22" s="11">
        <v>56</v>
      </c>
      <c r="M22" s="1" t="s">
        <v>57</v>
      </c>
      <c r="N22" s="1" t="s">
        <v>58</v>
      </c>
      <c r="O22" s="1" t="s">
        <v>59</v>
      </c>
      <c r="P22" s="1">
        <v>25</v>
      </c>
      <c r="Q22" s="12">
        <v>365.31</v>
      </c>
      <c r="R22" s="1" t="s">
        <v>60</v>
      </c>
      <c r="S22" s="1" t="s">
        <v>134</v>
      </c>
      <c r="T22" s="6" t="s">
        <v>62</v>
      </c>
      <c r="U22" s="13">
        <v>1.35</v>
      </c>
      <c r="V22" s="12">
        <v>493.17</v>
      </c>
      <c r="W22" s="12">
        <v>493.17</v>
      </c>
      <c r="X22" s="1" t="s">
        <v>56</v>
      </c>
    </row>
    <row r="23" spans="1:24">
      <c r="A23" s="1" t="s">
        <v>98</v>
      </c>
      <c r="B23" s="1" t="s">
        <v>46</v>
      </c>
      <c r="C23" s="1" t="s">
        <v>47</v>
      </c>
      <c r="D23" s="1" t="s">
        <v>149</v>
      </c>
      <c r="E23" s="1" t="s">
        <v>150</v>
      </c>
      <c r="F23" s="1" t="s">
        <v>151</v>
      </c>
      <c r="G23" s="1" t="s">
        <v>152</v>
      </c>
      <c r="H23" s="1" t="s">
        <v>131</v>
      </c>
      <c r="I23" s="1" t="s">
        <v>132</v>
      </c>
      <c r="J23" s="1" t="s">
        <v>153</v>
      </c>
      <c r="K23" s="1" t="s">
        <v>154</v>
      </c>
      <c r="L23" s="11">
        <v>43</v>
      </c>
      <c r="M23" s="1" t="s">
        <v>57</v>
      </c>
      <c r="N23" s="1" t="s">
        <v>58</v>
      </c>
      <c r="O23" s="1" t="s">
        <v>59</v>
      </c>
      <c r="P23" s="1">
        <v>40</v>
      </c>
      <c r="Q23" s="12">
        <v>56.05</v>
      </c>
      <c r="R23" s="1" t="s">
        <v>60</v>
      </c>
      <c r="S23" s="1" t="s">
        <v>61</v>
      </c>
      <c r="T23" s="6" t="s">
        <v>62</v>
      </c>
      <c r="U23" s="13">
        <v>1.35</v>
      </c>
      <c r="V23" s="12">
        <v>75.67</v>
      </c>
      <c r="W23" s="12">
        <v>0</v>
      </c>
      <c r="X23" s="1" t="s">
        <v>56</v>
      </c>
    </row>
    <row r="24" spans="1:24">
      <c r="A24" s="1" t="s">
        <v>98</v>
      </c>
      <c r="B24" s="1" t="s">
        <v>46</v>
      </c>
      <c r="C24" s="1" t="s">
        <v>47</v>
      </c>
      <c r="D24" s="1" t="s">
        <v>149</v>
      </c>
      <c r="E24" s="1" t="s">
        <v>155</v>
      </c>
      <c r="F24" s="1" t="s">
        <v>156</v>
      </c>
      <c r="G24" s="1" t="s">
        <v>152</v>
      </c>
      <c r="H24" s="1" t="s">
        <v>88</v>
      </c>
      <c r="I24" s="1" t="s">
        <v>157</v>
      </c>
      <c r="J24" s="1" t="s">
        <v>158</v>
      </c>
      <c r="K24" s="1" t="s">
        <v>159</v>
      </c>
      <c r="L24" s="11">
        <v>66</v>
      </c>
      <c r="M24" s="1" t="s">
        <v>57</v>
      </c>
      <c r="N24" s="1" t="s">
        <v>58</v>
      </c>
      <c r="O24" s="1" t="s">
        <v>59</v>
      </c>
      <c r="P24" s="1">
        <v>25</v>
      </c>
      <c r="Q24" s="12">
        <v>72.959999999999994</v>
      </c>
      <c r="R24" s="1" t="s">
        <v>60</v>
      </c>
      <c r="S24" s="1" t="s">
        <v>61</v>
      </c>
      <c r="T24" s="6" t="s">
        <v>62</v>
      </c>
      <c r="U24" s="13">
        <v>1.5</v>
      </c>
      <c r="V24" s="12">
        <v>0</v>
      </c>
      <c r="W24" s="12">
        <v>-109.44</v>
      </c>
      <c r="X24" s="1" t="s">
        <v>56</v>
      </c>
    </row>
    <row r="25" spans="1:24">
      <c r="A25" s="1" t="s">
        <v>98</v>
      </c>
      <c r="B25" s="1" t="s">
        <v>46</v>
      </c>
      <c r="C25" s="1" t="s">
        <v>47</v>
      </c>
      <c r="D25" s="1" t="s">
        <v>149</v>
      </c>
      <c r="E25" s="1" t="s">
        <v>160</v>
      </c>
      <c r="F25" s="1" t="s">
        <v>161</v>
      </c>
      <c r="G25" s="1" t="s">
        <v>152</v>
      </c>
      <c r="H25" s="1" t="s">
        <v>131</v>
      </c>
      <c r="I25" s="1" t="s">
        <v>157</v>
      </c>
      <c r="J25" s="1" t="s">
        <v>162</v>
      </c>
      <c r="K25" s="1" t="s">
        <v>70</v>
      </c>
      <c r="L25" s="11">
        <v>59</v>
      </c>
      <c r="M25" s="1" t="s">
        <v>57</v>
      </c>
      <c r="N25" s="1" t="s">
        <v>58</v>
      </c>
      <c r="O25" s="1" t="s">
        <v>59</v>
      </c>
      <c r="P25" s="1">
        <v>75</v>
      </c>
      <c r="Q25" s="12">
        <v>98.99</v>
      </c>
      <c r="R25" s="1" t="s">
        <v>60</v>
      </c>
      <c r="S25" s="1" t="s">
        <v>61</v>
      </c>
      <c r="T25" s="6" t="s">
        <v>62</v>
      </c>
      <c r="U25" s="13">
        <v>1.5</v>
      </c>
      <c r="V25" s="12">
        <v>0</v>
      </c>
      <c r="W25" s="12">
        <v>-148.49</v>
      </c>
      <c r="X25" s="1" t="s">
        <v>56</v>
      </c>
    </row>
    <row r="26" spans="1:24">
      <c r="A26" s="1" t="s">
        <v>98</v>
      </c>
      <c r="B26" s="1" t="s">
        <v>46</v>
      </c>
      <c r="C26" s="1" t="s">
        <v>47</v>
      </c>
      <c r="D26" s="1" t="s">
        <v>149</v>
      </c>
      <c r="E26" s="1" t="s">
        <v>163</v>
      </c>
      <c r="F26" s="1" t="s">
        <v>164</v>
      </c>
      <c r="G26" s="1" t="s">
        <v>152</v>
      </c>
      <c r="H26" s="1" t="s">
        <v>88</v>
      </c>
      <c r="I26" s="1" t="s">
        <v>165</v>
      </c>
      <c r="J26" s="1" t="s">
        <v>166</v>
      </c>
      <c r="K26" s="1" t="s">
        <v>167</v>
      </c>
      <c r="L26" s="11">
        <v>55</v>
      </c>
      <c r="M26" s="1" t="s">
        <v>57</v>
      </c>
      <c r="N26" s="1" t="s">
        <v>58</v>
      </c>
      <c r="O26" s="1" t="s">
        <v>59</v>
      </c>
      <c r="P26" s="1">
        <v>100</v>
      </c>
      <c r="Q26" s="12">
        <v>59.81</v>
      </c>
      <c r="R26" s="1" t="s">
        <v>60</v>
      </c>
      <c r="S26" s="1" t="s">
        <v>168</v>
      </c>
      <c r="T26" s="6" t="s">
        <v>62</v>
      </c>
      <c r="U26" s="13">
        <v>1.26</v>
      </c>
      <c r="V26" s="12">
        <v>0</v>
      </c>
      <c r="W26" s="12">
        <v>-75.36</v>
      </c>
      <c r="X26" s="1" t="s">
        <v>56</v>
      </c>
    </row>
    <row r="27" spans="1:24">
      <c r="A27" s="1" t="s">
        <v>98</v>
      </c>
      <c r="B27" s="1" t="s">
        <v>46</v>
      </c>
      <c r="C27" s="1" t="s">
        <v>47</v>
      </c>
      <c r="D27" s="1" t="s">
        <v>75</v>
      </c>
      <c r="E27" s="1" t="s">
        <v>169</v>
      </c>
      <c r="F27" s="1" t="s">
        <v>170</v>
      </c>
      <c r="G27" s="1" t="s">
        <v>171</v>
      </c>
      <c r="H27" s="1" t="s">
        <v>131</v>
      </c>
      <c r="I27" s="1" t="s">
        <v>132</v>
      </c>
      <c r="J27" s="1" t="s">
        <v>172</v>
      </c>
      <c r="K27" s="1" t="s">
        <v>154</v>
      </c>
      <c r="L27" s="11">
        <v>64</v>
      </c>
      <c r="M27" s="1" t="s">
        <v>57</v>
      </c>
      <c r="N27" s="1" t="s">
        <v>58</v>
      </c>
      <c r="O27" s="1" t="s">
        <v>59</v>
      </c>
      <c r="P27" s="1">
        <v>76</v>
      </c>
      <c r="Q27" s="12">
        <v>180.28</v>
      </c>
      <c r="R27" s="1" t="s">
        <v>60</v>
      </c>
      <c r="S27" s="1" t="s">
        <v>61</v>
      </c>
      <c r="T27" s="6" t="s">
        <v>62</v>
      </c>
      <c r="U27" s="13">
        <v>0.67500000000000004</v>
      </c>
      <c r="V27" s="12">
        <v>0</v>
      </c>
      <c r="W27" s="12">
        <v>-121.69</v>
      </c>
      <c r="X27" s="1" t="s">
        <v>56</v>
      </c>
    </row>
    <row r="28" spans="1:24">
      <c r="A28" s="1" t="s">
        <v>98</v>
      </c>
      <c r="B28" s="1" t="s">
        <v>46</v>
      </c>
      <c r="C28" s="1" t="s">
        <v>47</v>
      </c>
      <c r="D28" s="1" t="s">
        <v>75</v>
      </c>
      <c r="E28" s="1" t="s">
        <v>173</v>
      </c>
      <c r="F28" s="1" t="s">
        <v>174</v>
      </c>
      <c r="G28" s="1" t="s">
        <v>175</v>
      </c>
      <c r="H28" s="1" t="s">
        <v>131</v>
      </c>
      <c r="I28" s="1" t="s">
        <v>132</v>
      </c>
      <c r="J28" s="1" t="s">
        <v>176</v>
      </c>
      <c r="K28" s="1" t="s">
        <v>177</v>
      </c>
      <c r="L28" s="11">
        <v>62</v>
      </c>
      <c r="M28" s="1" t="s">
        <v>57</v>
      </c>
      <c r="N28" s="1" t="s">
        <v>58</v>
      </c>
      <c r="O28" s="1" t="s">
        <v>59</v>
      </c>
      <c r="P28" s="1">
        <v>150</v>
      </c>
      <c r="Q28" s="12">
        <v>299.45999999999998</v>
      </c>
      <c r="R28" s="1" t="s">
        <v>60</v>
      </c>
      <c r="S28" s="1" t="s">
        <v>61</v>
      </c>
      <c r="T28" s="6" t="s">
        <v>62</v>
      </c>
      <c r="U28" s="13">
        <v>0.67500000000000004</v>
      </c>
      <c r="V28" s="12">
        <v>0</v>
      </c>
      <c r="W28" s="12">
        <v>-202.14</v>
      </c>
      <c r="X28" s="1" t="s">
        <v>56</v>
      </c>
    </row>
    <row r="29" spans="1:24">
      <c r="A29" s="1" t="s">
        <v>98</v>
      </c>
      <c r="B29" s="1" t="s">
        <v>46</v>
      </c>
      <c r="C29" s="1" t="s">
        <v>47</v>
      </c>
      <c r="D29" s="1" t="s">
        <v>119</v>
      </c>
      <c r="E29" s="1" t="s">
        <v>178</v>
      </c>
      <c r="F29" s="1" t="s">
        <v>179</v>
      </c>
      <c r="G29" s="1" t="s">
        <v>51</v>
      </c>
      <c r="H29" s="1" t="s">
        <v>52</v>
      </c>
      <c r="I29" s="1" t="s">
        <v>124</v>
      </c>
      <c r="J29" s="1" t="s">
        <v>180</v>
      </c>
      <c r="K29" s="1" t="s">
        <v>181</v>
      </c>
      <c r="L29" s="11">
        <v>63</v>
      </c>
      <c r="M29" s="1" t="s">
        <v>57</v>
      </c>
      <c r="N29" s="1" t="s">
        <v>58</v>
      </c>
      <c r="O29" s="1" t="s">
        <v>59</v>
      </c>
      <c r="P29" s="1">
        <v>15</v>
      </c>
      <c r="Q29" s="12">
        <v>54.98</v>
      </c>
      <c r="R29" s="1" t="s">
        <v>60</v>
      </c>
      <c r="S29" s="1" t="s">
        <v>61</v>
      </c>
      <c r="T29" s="6" t="s">
        <v>62</v>
      </c>
      <c r="U29" s="13">
        <v>1.35</v>
      </c>
      <c r="V29" s="12">
        <v>74.22</v>
      </c>
      <c r="W29" s="12">
        <v>0</v>
      </c>
      <c r="X29" s="1" t="s">
        <v>56</v>
      </c>
    </row>
    <row r="30" spans="1:24">
      <c r="A30" s="1" t="s">
        <v>98</v>
      </c>
      <c r="B30" s="1" t="s">
        <v>46</v>
      </c>
      <c r="C30" s="1" t="s">
        <v>47</v>
      </c>
      <c r="D30" s="1" t="s">
        <v>143</v>
      </c>
      <c r="E30" s="1" t="s">
        <v>182</v>
      </c>
      <c r="F30" s="1" t="s">
        <v>183</v>
      </c>
      <c r="G30" s="1" t="s">
        <v>51</v>
      </c>
      <c r="H30" s="1" t="s">
        <v>123</v>
      </c>
      <c r="I30" s="1" t="s">
        <v>132</v>
      </c>
      <c r="J30" s="1" t="s">
        <v>123</v>
      </c>
      <c r="K30" s="1" t="s">
        <v>123</v>
      </c>
      <c r="L30" s="11">
        <v>58</v>
      </c>
      <c r="M30" s="1" t="s">
        <v>57</v>
      </c>
      <c r="N30" s="1" t="s">
        <v>58</v>
      </c>
      <c r="O30" s="1" t="s">
        <v>59</v>
      </c>
      <c r="P30" s="1">
        <v>50</v>
      </c>
      <c r="Q30" s="12">
        <v>727.29</v>
      </c>
      <c r="R30" s="1" t="s">
        <v>60</v>
      </c>
      <c r="S30" s="1" t="s">
        <v>134</v>
      </c>
      <c r="T30" s="6" t="s">
        <v>62</v>
      </c>
      <c r="U30" s="13">
        <v>1.35</v>
      </c>
      <c r="V30" s="12">
        <v>981.84</v>
      </c>
      <c r="W30" s="12">
        <v>981.84</v>
      </c>
      <c r="X30" s="1" t="s">
        <v>56</v>
      </c>
    </row>
    <row r="31" spans="1:24">
      <c r="A31" s="1" t="s">
        <v>98</v>
      </c>
      <c r="B31" s="1" t="s">
        <v>46</v>
      </c>
      <c r="C31" s="1" t="s">
        <v>47</v>
      </c>
      <c r="D31" s="1" t="s">
        <v>64</v>
      </c>
      <c r="E31" s="1" t="s">
        <v>184</v>
      </c>
      <c r="F31" s="1" t="s">
        <v>185</v>
      </c>
      <c r="G31" s="1" t="s">
        <v>51</v>
      </c>
      <c r="H31" s="1" t="s">
        <v>88</v>
      </c>
      <c r="I31" s="1" t="s">
        <v>132</v>
      </c>
      <c r="J31" s="1" t="s">
        <v>186</v>
      </c>
      <c r="K31" s="1" t="s">
        <v>55</v>
      </c>
      <c r="L31" s="11">
        <v>68</v>
      </c>
      <c r="M31" s="1" t="s">
        <v>57</v>
      </c>
      <c r="N31" s="1" t="s">
        <v>58</v>
      </c>
      <c r="O31" s="1" t="s">
        <v>59</v>
      </c>
      <c r="P31" s="1">
        <v>50</v>
      </c>
      <c r="Q31" s="12">
        <v>153.93</v>
      </c>
      <c r="R31" s="1" t="s">
        <v>60</v>
      </c>
      <c r="S31" s="1" t="s">
        <v>61</v>
      </c>
      <c r="T31" s="6" t="s">
        <v>62</v>
      </c>
      <c r="U31" s="13">
        <v>1.35</v>
      </c>
      <c r="V31" s="12">
        <v>207.81</v>
      </c>
      <c r="W31" s="12">
        <v>0</v>
      </c>
      <c r="X31" s="1" t="s">
        <v>56</v>
      </c>
    </row>
    <row r="32" spans="1:24">
      <c r="A32" s="1" t="s">
        <v>98</v>
      </c>
      <c r="B32" s="1" t="s">
        <v>46</v>
      </c>
      <c r="C32" s="1" t="s">
        <v>47</v>
      </c>
      <c r="D32" s="1" t="s">
        <v>75</v>
      </c>
      <c r="E32" s="1" t="s">
        <v>187</v>
      </c>
      <c r="F32" s="1" t="s">
        <v>188</v>
      </c>
      <c r="G32" s="1" t="s">
        <v>175</v>
      </c>
      <c r="H32" s="1" t="s">
        <v>131</v>
      </c>
      <c r="I32" s="1" t="s">
        <v>132</v>
      </c>
      <c r="J32" s="1" t="s">
        <v>189</v>
      </c>
      <c r="K32" s="1" t="s">
        <v>70</v>
      </c>
      <c r="L32" s="11">
        <v>61</v>
      </c>
      <c r="M32" s="1" t="s">
        <v>57</v>
      </c>
      <c r="N32" s="1" t="s">
        <v>58</v>
      </c>
      <c r="O32" s="1" t="s">
        <v>59</v>
      </c>
      <c r="P32" s="1">
        <v>90</v>
      </c>
      <c r="Q32" s="12">
        <v>173.17</v>
      </c>
      <c r="R32" s="1" t="s">
        <v>60</v>
      </c>
      <c r="S32" s="1" t="s">
        <v>61</v>
      </c>
      <c r="T32" s="6" t="s">
        <v>62</v>
      </c>
      <c r="U32" s="13">
        <v>0.67500000000000004</v>
      </c>
      <c r="V32" s="12">
        <v>0</v>
      </c>
      <c r="W32" s="12">
        <v>-116.89</v>
      </c>
      <c r="X32" s="1" t="s">
        <v>56</v>
      </c>
    </row>
    <row r="33" spans="1:24">
      <c r="A33" s="1" t="s">
        <v>98</v>
      </c>
      <c r="B33" s="1" t="s">
        <v>46</v>
      </c>
      <c r="C33" s="1" t="s">
        <v>47</v>
      </c>
      <c r="D33" s="1" t="s">
        <v>190</v>
      </c>
      <c r="E33" s="1" t="s">
        <v>191</v>
      </c>
      <c r="F33" s="1" t="s">
        <v>192</v>
      </c>
      <c r="G33" s="1" t="s">
        <v>51</v>
      </c>
      <c r="H33" s="1" t="s">
        <v>123</v>
      </c>
      <c r="I33" s="1" t="s">
        <v>140</v>
      </c>
      <c r="J33" s="1" t="s">
        <v>193</v>
      </c>
      <c r="K33" s="1" t="s">
        <v>154</v>
      </c>
      <c r="L33" s="11">
        <v>17</v>
      </c>
      <c r="M33" s="1" t="s">
        <v>57</v>
      </c>
      <c r="N33" s="1" t="s">
        <v>58</v>
      </c>
      <c r="O33" s="1" t="s">
        <v>59</v>
      </c>
      <c r="P33" s="1">
        <v>50</v>
      </c>
      <c r="Q33" s="12">
        <v>34.75</v>
      </c>
      <c r="R33" s="1" t="s">
        <v>60</v>
      </c>
      <c r="S33" s="1" t="s">
        <v>61</v>
      </c>
      <c r="T33" s="6" t="s">
        <v>62</v>
      </c>
      <c r="U33" s="13">
        <v>1.1499999999999999</v>
      </c>
      <c r="V33" s="12">
        <v>39.96</v>
      </c>
      <c r="W33" s="12">
        <v>0</v>
      </c>
      <c r="X33" s="1" t="s">
        <v>56</v>
      </c>
    </row>
    <row r="34" spans="1:24">
      <c r="A34" s="1" t="s">
        <v>98</v>
      </c>
      <c r="B34" s="1" t="s">
        <v>46</v>
      </c>
      <c r="C34" s="1" t="s">
        <v>47</v>
      </c>
      <c r="D34" s="1" t="s">
        <v>194</v>
      </c>
      <c r="E34" s="1" t="s">
        <v>195</v>
      </c>
      <c r="F34" s="1" t="s">
        <v>196</v>
      </c>
      <c r="G34" s="1" t="s">
        <v>51</v>
      </c>
      <c r="H34" s="1" t="s">
        <v>131</v>
      </c>
      <c r="I34" s="1" t="s">
        <v>165</v>
      </c>
      <c r="J34" s="1" t="s">
        <v>197</v>
      </c>
      <c r="K34" s="1" t="s">
        <v>198</v>
      </c>
      <c r="L34" s="11">
        <v>59</v>
      </c>
      <c r="M34" s="1" t="s">
        <v>57</v>
      </c>
      <c r="N34" s="1" t="s">
        <v>58</v>
      </c>
      <c r="O34" s="1" t="s">
        <v>59</v>
      </c>
      <c r="P34" s="1">
        <v>500</v>
      </c>
      <c r="Q34" s="12">
        <v>337.55</v>
      </c>
      <c r="R34" s="1" t="s">
        <v>60</v>
      </c>
      <c r="S34" s="1" t="s">
        <v>61</v>
      </c>
      <c r="T34" s="6" t="s">
        <v>62</v>
      </c>
      <c r="U34" s="13">
        <v>1.26</v>
      </c>
      <c r="V34" s="12">
        <v>425.31</v>
      </c>
      <c r="W34" s="12">
        <v>0</v>
      </c>
      <c r="X34" s="1" t="s">
        <v>56</v>
      </c>
    </row>
    <row r="35" spans="1:24">
      <c r="A35" s="1" t="s">
        <v>98</v>
      </c>
      <c r="B35" s="1" t="s">
        <v>46</v>
      </c>
      <c r="C35" s="1" t="s">
        <v>47</v>
      </c>
      <c r="D35" s="1" t="s">
        <v>199</v>
      </c>
      <c r="E35" s="1" t="s">
        <v>200</v>
      </c>
      <c r="F35" s="1" t="s">
        <v>201</v>
      </c>
      <c r="G35" s="1" t="s">
        <v>202</v>
      </c>
      <c r="H35" s="1" t="s">
        <v>131</v>
      </c>
      <c r="I35" s="1" t="s">
        <v>132</v>
      </c>
      <c r="J35" s="1" t="s">
        <v>203</v>
      </c>
      <c r="K35" s="1" t="s">
        <v>159</v>
      </c>
      <c r="L35" s="11">
        <v>49</v>
      </c>
      <c r="M35" s="1" t="s">
        <v>57</v>
      </c>
      <c r="N35" s="1" t="s">
        <v>58</v>
      </c>
      <c r="O35" s="1" t="s">
        <v>59</v>
      </c>
      <c r="P35" s="1">
        <v>400</v>
      </c>
      <c r="Q35" s="12">
        <v>388.13</v>
      </c>
      <c r="R35" s="1" t="s">
        <v>60</v>
      </c>
      <c r="S35" s="1" t="s">
        <v>61</v>
      </c>
      <c r="T35" s="6" t="s">
        <v>62</v>
      </c>
      <c r="U35" s="13">
        <v>1.35</v>
      </c>
      <c r="V35" s="12">
        <v>0</v>
      </c>
      <c r="W35" s="12">
        <v>-523.98</v>
      </c>
      <c r="X35" s="1" t="s">
        <v>56</v>
      </c>
    </row>
    <row r="36" spans="1:24">
      <c r="A36" s="1" t="s">
        <v>98</v>
      </c>
      <c r="B36" s="1" t="s">
        <v>46</v>
      </c>
      <c r="C36" s="1" t="s">
        <v>47</v>
      </c>
      <c r="D36" s="1" t="s">
        <v>204</v>
      </c>
      <c r="E36" s="1" t="s">
        <v>205</v>
      </c>
      <c r="F36" s="1" t="s">
        <v>206</v>
      </c>
      <c r="G36" s="1" t="s">
        <v>207</v>
      </c>
      <c r="H36" s="1" t="s">
        <v>131</v>
      </c>
      <c r="I36" s="1" t="s">
        <v>132</v>
      </c>
      <c r="J36" s="1" t="s">
        <v>208</v>
      </c>
      <c r="K36" s="1" t="s">
        <v>90</v>
      </c>
      <c r="L36" s="11">
        <v>55</v>
      </c>
      <c r="M36" s="1" t="s">
        <v>57</v>
      </c>
      <c r="N36" s="1" t="s">
        <v>58</v>
      </c>
      <c r="O36" s="1" t="s">
        <v>59</v>
      </c>
      <c r="P36" s="1">
        <v>50</v>
      </c>
      <c r="Q36" s="12">
        <v>90.66</v>
      </c>
      <c r="R36" s="1" t="s">
        <v>60</v>
      </c>
      <c r="S36" s="1" t="s">
        <v>61</v>
      </c>
      <c r="T36" s="6" t="s">
        <v>62</v>
      </c>
      <c r="U36" s="13">
        <v>1.35</v>
      </c>
      <c r="V36" s="12">
        <v>122.39</v>
      </c>
      <c r="W36" s="12">
        <v>0</v>
      </c>
      <c r="X36" s="1" t="s">
        <v>56</v>
      </c>
    </row>
    <row r="37" spans="1:24">
      <c r="A37" s="1" t="s">
        <v>98</v>
      </c>
      <c r="B37" s="1" t="s">
        <v>46</v>
      </c>
      <c r="C37" s="1" t="s">
        <v>47</v>
      </c>
      <c r="D37" s="1" t="s">
        <v>209</v>
      </c>
      <c r="E37" s="1" t="s">
        <v>210</v>
      </c>
      <c r="F37" s="1" t="s">
        <v>211</v>
      </c>
      <c r="G37" s="1" t="s">
        <v>212</v>
      </c>
      <c r="H37" s="1" t="s">
        <v>52</v>
      </c>
      <c r="I37" s="1" t="s">
        <v>157</v>
      </c>
      <c r="J37" s="1" t="s">
        <v>123</v>
      </c>
      <c r="K37" s="1" t="s">
        <v>159</v>
      </c>
      <c r="L37" s="11">
        <v>46</v>
      </c>
      <c r="M37" s="1" t="s">
        <v>57</v>
      </c>
      <c r="N37" s="1" t="s">
        <v>58</v>
      </c>
      <c r="O37" s="1" t="s">
        <v>59</v>
      </c>
      <c r="P37" s="1">
        <v>250</v>
      </c>
      <c r="Q37" s="12">
        <v>116.37</v>
      </c>
      <c r="R37" s="1" t="s">
        <v>60</v>
      </c>
      <c r="S37" s="1" t="s">
        <v>168</v>
      </c>
      <c r="T37" s="6" t="s">
        <v>62</v>
      </c>
      <c r="U37" s="13">
        <v>1.5</v>
      </c>
      <c r="V37" s="12">
        <v>0</v>
      </c>
      <c r="W37" s="12">
        <v>-174.56</v>
      </c>
      <c r="X37" s="1" t="s">
        <v>56</v>
      </c>
    </row>
    <row r="38" spans="1:24">
      <c r="A38" s="1" t="s">
        <v>98</v>
      </c>
      <c r="B38" s="1" t="s">
        <v>46</v>
      </c>
      <c r="C38" s="1" t="s">
        <v>47</v>
      </c>
      <c r="D38" s="1" t="s">
        <v>213</v>
      </c>
      <c r="E38" s="1" t="s">
        <v>214</v>
      </c>
      <c r="F38" s="1" t="s">
        <v>215</v>
      </c>
      <c r="G38" s="1" t="s">
        <v>102</v>
      </c>
      <c r="H38" s="1" t="s">
        <v>131</v>
      </c>
      <c r="I38" s="1" t="s">
        <v>124</v>
      </c>
      <c r="J38" s="1" t="s">
        <v>216</v>
      </c>
      <c r="K38" s="1" t="s">
        <v>217</v>
      </c>
      <c r="L38" s="11">
        <v>65</v>
      </c>
      <c r="M38" s="1" t="s">
        <v>57</v>
      </c>
      <c r="N38" s="1" t="s">
        <v>58</v>
      </c>
      <c r="O38" s="1" t="s">
        <v>59</v>
      </c>
      <c r="P38" s="1">
        <v>15</v>
      </c>
      <c r="Q38" s="12">
        <v>59.91</v>
      </c>
      <c r="R38" s="1" t="s">
        <v>60</v>
      </c>
      <c r="S38" s="1" t="s">
        <v>61</v>
      </c>
      <c r="T38" s="6" t="s">
        <v>62</v>
      </c>
      <c r="U38" s="13">
        <v>1.35</v>
      </c>
      <c r="V38" s="12">
        <v>0</v>
      </c>
      <c r="W38" s="12">
        <v>-80.88</v>
      </c>
      <c r="X38" s="1" t="s">
        <v>56</v>
      </c>
    </row>
    <row r="39" spans="1:24">
      <c r="A39" s="1" t="s">
        <v>218</v>
      </c>
      <c r="B39" s="1" t="s">
        <v>46</v>
      </c>
      <c r="C39" s="1" t="s">
        <v>47</v>
      </c>
      <c r="D39" s="1" t="s">
        <v>219</v>
      </c>
      <c r="E39" s="1" t="s">
        <v>220</v>
      </c>
      <c r="F39" s="1" t="s">
        <v>221</v>
      </c>
      <c r="G39" s="1" t="s">
        <v>51</v>
      </c>
      <c r="H39" s="1" t="s">
        <v>123</v>
      </c>
      <c r="I39" s="1" t="s">
        <v>222</v>
      </c>
      <c r="J39" s="1" t="s">
        <v>78</v>
      </c>
      <c r="K39" s="1" t="s">
        <v>70</v>
      </c>
      <c r="L39" s="11" t="s">
        <v>56</v>
      </c>
      <c r="M39" s="1" t="s">
        <v>57</v>
      </c>
      <c r="N39" s="1" t="s">
        <v>58</v>
      </c>
      <c r="O39" s="1" t="s">
        <v>59</v>
      </c>
      <c r="P39" s="1">
        <v>0</v>
      </c>
      <c r="Q39" s="12">
        <v>36.08</v>
      </c>
      <c r="R39" s="1" t="s">
        <v>60</v>
      </c>
      <c r="S39" s="1" t="s">
        <v>61</v>
      </c>
      <c r="T39" s="6" t="s">
        <v>62</v>
      </c>
      <c r="U39" s="13">
        <v>0.52</v>
      </c>
      <c r="V39" s="12">
        <v>18.760000000000002</v>
      </c>
      <c r="W39" s="12">
        <v>0</v>
      </c>
      <c r="X39" s="1" t="s">
        <v>56</v>
      </c>
    </row>
    <row r="40" spans="1:24">
      <c r="A40" s="1" t="s">
        <v>218</v>
      </c>
      <c r="B40" s="1" t="s">
        <v>46</v>
      </c>
      <c r="C40" s="1" t="s">
        <v>47</v>
      </c>
      <c r="D40" s="1" t="s">
        <v>223</v>
      </c>
      <c r="E40" s="1" t="s">
        <v>224</v>
      </c>
      <c r="F40" s="1" t="s">
        <v>225</v>
      </c>
      <c r="G40" s="1" t="s">
        <v>226</v>
      </c>
      <c r="H40" s="1" t="s">
        <v>52</v>
      </c>
      <c r="I40" s="1" t="s">
        <v>227</v>
      </c>
      <c r="J40" s="1" t="s">
        <v>228</v>
      </c>
      <c r="K40" s="1" t="s">
        <v>229</v>
      </c>
      <c r="L40" s="11" t="s">
        <v>56</v>
      </c>
      <c r="M40" s="1" t="s">
        <v>57</v>
      </c>
      <c r="N40" s="1" t="s">
        <v>58</v>
      </c>
      <c r="O40" s="1" t="s">
        <v>59</v>
      </c>
      <c r="P40" s="1">
        <v>0</v>
      </c>
      <c r="Q40" s="12">
        <v>75.489999999999995</v>
      </c>
      <c r="R40" s="1" t="s">
        <v>60</v>
      </c>
      <c r="S40" s="1" t="s">
        <v>61</v>
      </c>
      <c r="T40" s="6" t="s">
        <v>62</v>
      </c>
      <c r="U40" s="13">
        <v>0.52</v>
      </c>
      <c r="V40" s="12">
        <v>39.25</v>
      </c>
      <c r="W40" s="12">
        <v>0</v>
      </c>
      <c r="X40" s="1" t="s">
        <v>56</v>
      </c>
    </row>
    <row r="41" spans="1:24">
      <c r="A41" s="1" t="s">
        <v>218</v>
      </c>
      <c r="B41" s="1" t="s">
        <v>46</v>
      </c>
      <c r="C41" s="1" t="s">
        <v>47</v>
      </c>
      <c r="D41" s="1" t="s">
        <v>199</v>
      </c>
      <c r="E41" s="1" t="s">
        <v>230</v>
      </c>
      <c r="F41" s="1" t="s">
        <v>231</v>
      </c>
      <c r="G41" s="1" t="s">
        <v>202</v>
      </c>
      <c r="H41" s="1" t="s">
        <v>131</v>
      </c>
      <c r="I41" s="1" t="s">
        <v>232</v>
      </c>
      <c r="J41" s="1" t="s">
        <v>233</v>
      </c>
      <c r="K41" s="1" t="s">
        <v>55</v>
      </c>
      <c r="L41" s="11" t="s">
        <v>56</v>
      </c>
      <c r="M41" s="1" t="s">
        <v>57</v>
      </c>
      <c r="N41" s="1" t="s">
        <v>58</v>
      </c>
      <c r="O41" s="1" t="s">
        <v>59</v>
      </c>
      <c r="P41" s="1">
        <v>0</v>
      </c>
      <c r="Q41" s="12">
        <v>83.1</v>
      </c>
      <c r="R41" s="1" t="s">
        <v>60</v>
      </c>
      <c r="S41" s="1" t="s">
        <v>134</v>
      </c>
      <c r="T41" s="6" t="s">
        <v>62</v>
      </c>
      <c r="U41" s="13">
        <v>0.52</v>
      </c>
      <c r="V41" s="12">
        <v>43.21</v>
      </c>
      <c r="W41" s="12">
        <v>0</v>
      </c>
      <c r="X41" s="1" t="s">
        <v>56</v>
      </c>
    </row>
    <row r="42" spans="1:24">
      <c r="A42" s="1" t="s">
        <v>218</v>
      </c>
      <c r="B42" s="1" t="s">
        <v>46</v>
      </c>
      <c r="C42" s="1" t="s">
        <v>47</v>
      </c>
      <c r="D42" s="1" t="s">
        <v>234</v>
      </c>
      <c r="E42" s="1" t="s">
        <v>235</v>
      </c>
      <c r="F42" s="1" t="s">
        <v>236</v>
      </c>
      <c r="G42" s="1" t="s">
        <v>51</v>
      </c>
      <c r="H42" s="1" t="s">
        <v>52</v>
      </c>
      <c r="I42" s="1" t="s">
        <v>227</v>
      </c>
      <c r="J42" s="1" t="s">
        <v>69</v>
      </c>
      <c r="K42" s="1" t="s">
        <v>70</v>
      </c>
      <c r="L42" s="11" t="s">
        <v>56</v>
      </c>
      <c r="M42" s="1" t="s">
        <v>57</v>
      </c>
      <c r="N42" s="1" t="s">
        <v>58</v>
      </c>
      <c r="O42" s="1" t="s">
        <v>59</v>
      </c>
      <c r="P42" s="1">
        <v>0</v>
      </c>
      <c r="Q42" s="12">
        <v>72.33</v>
      </c>
      <c r="R42" s="1" t="s">
        <v>60</v>
      </c>
      <c r="S42" s="1" t="s">
        <v>61</v>
      </c>
      <c r="T42" s="6" t="s">
        <v>62</v>
      </c>
      <c r="U42" s="13">
        <v>0.52</v>
      </c>
      <c r="V42" s="12">
        <v>37.61</v>
      </c>
      <c r="W42" s="12">
        <v>0</v>
      </c>
      <c r="X42" s="1" t="s">
        <v>56</v>
      </c>
    </row>
    <row r="43" spans="1:24">
      <c r="A43" s="1" t="s">
        <v>218</v>
      </c>
      <c r="B43" s="1" t="s">
        <v>46</v>
      </c>
      <c r="C43" s="1" t="s">
        <v>47</v>
      </c>
      <c r="D43" s="1" t="s">
        <v>234</v>
      </c>
      <c r="E43" s="1" t="s">
        <v>237</v>
      </c>
      <c r="F43" s="1" t="s">
        <v>238</v>
      </c>
      <c r="G43" s="1" t="s">
        <v>51</v>
      </c>
      <c r="H43" s="1" t="s">
        <v>52</v>
      </c>
      <c r="I43" s="1" t="s">
        <v>227</v>
      </c>
      <c r="J43" s="1" t="s">
        <v>69</v>
      </c>
      <c r="K43" s="1" t="s">
        <v>70</v>
      </c>
      <c r="L43" s="11" t="s">
        <v>56</v>
      </c>
      <c r="M43" s="1" t="s">
        <v>57</v>
      </c>
      <c r="N43" s="1" t="s">
        <v>58</v>
      </c>
      <c r="O43" s="1" t="s">
        <v>59</v>
      </c>
      <c r="P43" s="1">
        <v>0</v>
      </c>
      <c r="Q43" s="12">
        <v>72.33</v>
      </c>
      <c r="R43" s="1" t="s">
        <v>60</v>
      </c>
      <c r="S43" s="1" t="s">
        <v>61</v>
      </c>
      <c r="T43" s="6" t="s">
        <v>62</v>
      </c>
      <c r="U43" s="13">
        <v>0.52</v>
      </c>
      <c r="V43" s="12">
        <v>37.61</v>
      </c>
      <c r="W43" s="12">
        <v>0</v>
      </c>
      <c r="X43" s="1" t="s">
        <v>56</v>
      </c>
    </row>
    <row r="44" spans="1:24">
      <c r="A44" s="1" t="s">
        <v>218</v>
      </c>
      <c r="B44" s="1" t="s">
        <v>46</v>
      </c>
      <c r="C44" s="1" t="s">
        <v>47</v>
      </c>
      <c r="D44" s="1" t="s">
        <v>234</v>
      </c>
      <c r="E44" s="1" t="s">
        <v>239</v>
      </c>
      <c r="F44" s="1" t="s">
        <v>240</v>
      </c>
      <c r="G44" s="1" t="s">
        <v>51</v>
      </c>
      <c r="H44" s="1" t="s">
        <v>52</v>
      </c>
      <c r="I44" s="1" t="s">
        <v>232</v>
      </c>
      <c r="J44" s="1" t="s">
        <v>241</v>
      </c>
      <c r="K44" s="1" t="s">
        <v>181</v>
      </c>
      <c r="L44" s="11" t="s">
        <v>56</v>
      </c>
      <c r="M44" s="1" t="s">
        <v>57</v>
      </c>
      <c r="N44" s="1" t="s">
        <v>58</v>
      </c>
      <c r="O44" s="1" t="s">
        <v>59</v>
      </c>
      <c r="P44" s="1">
        <v>0</v>
      </c>
      <c r="Q44" s="12">
        <v>79.28</v>
      </c>
      <c r="R44" s="1" t="s">
        <v>60</v>
      </c>
      <c r="S44" s="1" t="s">
        <v>61</v>
      </c>
      <c r="T44" s="6" t="s">
        <v>62</v>
      </c>
      <c r="U44" s="13">
        <v>0.52</v>
      </c>
      <c r="V44" s="12">
        <v>41.23</v>
      </c>
      <c r="W44" s="12">
        <v>0</v>
      </c>
      <c r="X44" s="1" t="s">
        <v>56</v>
      </c>
    </row>
    <row r="45" spans="1:24">
      <c r="A45" s="1" t="s">
        <v>218</v>
      </c>
      <c r="B45" s="1" t="s">
        <v>46</v>
      </c>
      <c r="C45" s="1" t="s">
        <v>47</v>
      </c>
      <c r="D45" s="1" t="s">
        <v>64</v>
      </c>
      <c r="E45" s="1" t="s">
        <v>242</v>
      </c>
      <c r="F45" s="1" t="s">
        <v>243</v>
      </c>
      <c r="G45" s="1" t="s">
        <v>226</v>
      </c>
      <c r="H45" s="1" t="s">
        <v>52</v>
      </c>
      <c r="I45" s="1" t="s">
        <v>227</v>
      </c>
      <c r="J45" s="1" t="s">
        <v>244</v>
      </c>
      <c r="K45" s="1" t="s">
        <v>70</v>
      </c>
      <c r="L45" s="11" t="s">
        <v>56</v>
      </c>
      <c r="M45" s="1" t="s">
        <v>57</v>
      </c>
      <c r="N45" s="1" t="s">
        <v>58</v>
      </c>
      <c r="O45" s="1" t="s">
        <v>59</v>
      </c>
      <c r="P45" s="1">
        <v>0</v>
      </c>
      <c r="Q45" s="12">
        <v>74.209999999999994</v>
      </c>
      <c r="R45" s="1" t="s">
        <v>60</v>
      </c>
      <c r="S45" s="1" t="s">
        <v>61</v>
      </c>
      <c r="T45" s="6" t="s">
        <v>62</v>
      </c>
      <c r="U45" s="13">
        <v>0.52</v>
      </c>
      <c r="V45" s="12">
        <v>38.590000000000003</v>
      </c>
      <c r="W45" s="12">
        <v>0</v>
      </c>
      <c r="X45" s="1" t="s">
        <v>56</v>
      </c>
    </row>
    <row r="46" spans="1:24">
      <c r="A46" s="1" t="s">
        <v>218</v>
      </c>
      <c r="B46" s="1" t="s">
        <v>46</v>
      </c>
      <c r="C46" s="1" t="s">
        <v>47</v>
      </c>
      <c r="D46" s="1" t="s">
        <v>64</v>
      </c>
      <c r="E46" s="1" t="s">
        <v>245</v>
      </c>
      <c r="F46" s="1" t="s">
        <v>246</v>
      </c>
      <c r="G46" s="1" t="s">
        <v>226</v>
      </c>
      <c r="H46" s="1" t="s">
        <v>52</v>
      </c>
      <c r="I46" s="1" t="s">
        <v>227</v>
      </c>
      <c r="J46" s="1" t="s">
        <v>244</v>
      </c>
      <c r="K46" s="1" t="s">
        <v>70</v>
      </c>
      <c r="L46" s="11" t="s">
        <v>56</v>
      </c>
      <c r="M46" s="1" t="s">
        <v>57</v>
      </c>
      <c r="N46" s="1" t="s">
        <v>58</v>
      </c>
      <c r="O46" s="1" t="s">
        <v>59</v>
      </c>
      <c r="P46" s="1">
        <v>0</v>
      </c>
      <c r="Q46" s="12">
        <v>74.209999999999994</v>
      </c>
      <c r="R46" s="1" t="s">
        <v>60</v>
      </c>
      <c r="S46" s="1" t="s">
        <v>61</v>
      </c>
      <c r="T46" s="6" t="s">
        <v>62</v>
      </c>
      <c r="U46" s="13">
        <v>0.52</v>
      </c>
      <c r="V46" s="12">
        <v>38.590000000000003</v>
      </c>
      <c r="W46" s="12">
        <v>0</v>
      </c>
      <c r="X46" s="1" t="s">
        <v>56</v>
      </c>
    </row>
    <row r="47" spans="1:24">
      <c r="A47" s="1" t="s">
        <v>218</v>
      </c>
      <c r="B47" s="1" t="s">
        <v>46</v>
      </c>
      <c r="C47" s="1" t="s">
        <v>47</v>
      </c>
      <c r="D47" s="1" t="s">
        <v>247</v>
      </c>
      <c r="E47" s="1" t="s">
        <v>248</v>
      </c>
      <c r="F47" s="1" t="s">
        <v>249</v>
      </c>
      <c r="G47" s="1" t="s">
        <v>51</v>
      </c>
      <c r="H47" s="1" t="s">
        <v>52</v>
      </c>
      <c r="I47" s="1" t="s">
        <v>227</v>
      </c>
      <c r="J47" s="1" t="s">
        <v>69</v>
      </c>
      <c r="K47" s="1" t="s">
        <v>70</v>
      </c>
      <c r="L47" s="11" t="s">
        <v>56</v>
      </c>
      <c r="M47" s="1" t="s">
        <v>57</v>
      </c>
      <c r="N47" s="1" t="s">
        <v>58</v>
      </c>
      <c r="O47" s="1" t="s">
        <v>59</v>
      </c>
      <c r="P47" s="1">
        <v>0</v>
      </c>
      <c r="Q47" s="12">
        <v>72.33</v>
      </c>
      <c r="R47" s="1" t="s">
        <v>60</v>
      </c>
      <c r="S47" s="1" t="s">
        <v>61</v>
      </c>
      <c r="T47" s="6" t="s">
        <v>62</v>
      </c>
      <c r="U47" s="13">
        <v>0.52</v>
      </c>
      <c r="V47" s="12">
        <v>37.61</v>
      </c>
      <c r="W47" s="12">
        <v>0</v>
      </c>
      <c r="X47" s="1" t="s">
        <v>56</v>
      </c>
    </row>
    <row r="48" spans="1:24">
      <c r="A48" s="1" t="s">
        <v>218</v>
      </c>
      <c r="B48" s="1" t="s">
        <v>46</v>
      </c>
      <c r="C48" s="1" t="s">
        <v>47</v>
      </c>
      <c r="D48" s="1" t="s">
        <v>250</v>
      </c>
      <c r="E48" s="1" t="s">
        <v>251</v>
      </c>
      <c r="F48" s="1" t="s">
        <v>252</v>
      </c>
      <c r="G48" s="1" t="s">
        <v>51</v>
      </c>
      <c r="H48" s="1" t="s">
        <v>52</v>
      </c>
      <c r="I48" s="1" t="s">
        <v>253</v>
      </c>
      <c r="J48" s="1" t="s">
        <v>244</v>
      </c>
      <c r="K48" s="1" t="s">
        <v>70</v>
      </c>
      <c r="L48" s="11" t="s">
        <v>56</v>
      </c>
      <c r="M48" s="1" t="s">
        <v>57</v>
      </c>
      <c r="N48" s="1" t="s">
        <v>58</v>
      </c>
      <c r="O48" s="1" t="s">
        <v>59</v>
      </c>
      <c r="P48" s="1">
        <v>0</v>
      </c>
      <c r="Q48" s="12">
        <v>63.16</v>
      </c>
      <c r="R48" s="1" t="s">
        <v>60</v>
      </c>
      <c r="S48" s="1" t="s">
        <v>61</v>
      </c>
      <c r="T48" s="6" t="s">
        <v>62</v>
      </c>
      <c r="U48" s="13">
        <v>0.52</v>
      </c>
      <c r="V48" s="12">
        <v>32.840000000000003</v>
      </c>
      <c r="W48" s="12">
        <v>0</v>
      </c>
      <c r="X48" s="1" t="s">
        <v>56</v>
      </c>
    </row>
    <row r="49" spans="1:24">
      <c r="A49" s="1" t="s">
        <v>218</v>
      </c>
      <c r="B49" s="1" t="s">
        <v>46</v>
      </c>
      <c r="C49" s="1" t="s">
        <v>47</v>
      </c>
      <c r="D49" s="1" t="s">
        <v>250</v>
      </c>
      <c r="E49" s="1" t="s">
        <v>254</v>
      </c>
      <c r="F49" s="1" t="s">
        <v>255</v>
      </c>
      <c r="G49" s="1" t="s">
        <v>51</v>
      </c>
      <c r="H49" s="1" t="s">
        <v>52</v>
      </c>
      <c r="I49" s="1" t="s">
        <v>227</v>
      </c>
      <c r="J49" s="1" t="s">
        <v>78</v>
      </c>
      <c r="K49" s="1" t="s">
        <v>70</v>
      </c>
      <c r="L49" s="11" t="s">
        <v>56</v>
      </c>
      <c r="M49" s="1" t="s">
        <v>57</v>
      </c>
      <c r="N49" s="1" t="s">
        <v>58</v>
      </c>
      <c r="O49" s="1" t="s">
        <v>59</v>
      </c>
      <c r="P49" s="1">
        <v>0</v>
      </c>
      <c r="Q49" s="12">
        <v>72.33</v>
      </c>
      <c r="R49" s="1" t="s">
        <v>60</v>
      </c>
      <c r="S49" s="1" t="s">
        <v>61</v>
      </c>
      <c r="T49" s="6" t="s">
        <v>62</v>
      </c>
      <c r="U49" s="13">
        <v>0.52</v>
      </c>
      <c r="V49" s="12">
        <v>37.61</v>
      </c>
      <c r="W49" s="12">
        <v>0</v>
      </c>
      <c r="X49" s="1" t="s">
        <v>56</v>
      </c>
    </row>
    <row r="50" spans="1:24">
      <c r="A50" s="1" t="s">
        <v>218</v>
      </c>
      <c r="B50" s="1" t="s">
        <v>46</v>
      </c>
      <c r="C50" s="1" t="s">
        <v>47</v>
      </c>
      <c r="D50" s="1" t="s">
        <v>127</v>
      </c>
      <c r="E50" s="1" t="s">
        <v>256</v>
      </c>
      <c r="F50" s="1" t="s">
        <v>257</v>
      </c>
      <c r="G50" s="1" t="s">
        <v>130</v>
      </c>
      <c r="H50" s="1" t="s">
        <v>131</v>
      </c>
      <c r="I50" s="1" t="s">
        <v>258</v>
      </c>
      <c r="J50" s="1" t="s">
        <v>69</v>
      </c>
      <c r="K50" s="1" t="s">
        <v>70</v>
      </c>
      <c r="L50" s="11" t="s">
        <v>56</v>
      </c>
      <c r="M50" s="1" t="s">
        <v>57</v>
      </c>
      <c r="N50" s="1" t="s">
        <v>58</v>
      </c>
      <c r="O50" s="1" t="s">
        <v>59</v>
      </c>
      <c r="P50" s="1">
        <v>0</v>
      </c>
      <c r="Q50" s="12">
        <v>241.87</v>
      </c>
      <c r="R50" s="1" t="s">
        <v>60</v>
      </c>
      <c r="S50" s="1" t="s">
        <v>61</v>
      </c>
      <c r="T50" s="6" t="s">
        <v>62</v>
      </c>
      <c r="U50" s="13">
        <v>2.5000000000000001E-2</v>
      </c>
      <c r="V50" s="12">
        <v>6.05</v>
      </c>
      <c r="W50" s="12">
        <v>0</v>
      </c>
      <c r="X50" s="1" t="s">
        <v>56</v>
      </c>
    </row>
    <row r="51" spans="1:24">
      <c r="A51" s="1" t="s">
        <v>218</v>
      </c>
      <c r="B51" s="1" t="s">
        <v>46</v>
      </c>
      <c r="C51" s="1" t="s">
        <v>79</v>
      </c>
      <c r="D51" s="1" t="s">
        <v>259</v>
      </c>
      <c r="E51" s="1" t="s">
        <v>260</v>
      </c>
      <c r="F51" s="1" t="s">
        <v>261</v>
      </c>
      <c r="G51" s="1" t="s">
        <v>130</v>
      </c>
      <c r="H51" s="1" t="s">
        <v>52</v>
      </c>
      <c r="I51" s="1" t="s">
        <v>262</v>
      </c>
      <c r="J51" s="1" t="s">
        <v>263</v>
      </c>
      <c r="K51" s="1" t="s">
        <v>70</v>
      </c>
      <c r="L51" s="11" t="s">
        <v>56</v>
      </c>
      <c r="M51" s="1" t="s">
        <v>57</v>
      </c>
      <c r="N51" s="1" t="s">
        <v>58</v>
      </c>
      <c r="O51" s="1" t="s">
        <v>59</v>
      </c>
      <c r="P51" s="1">
        <v>0</v>
      </c>
      <c r="Q51" s="12">
        <v>120.5</v>
      </c>
      <c r="R51" s="1" t="s">
        <v>84</v>
      </c>
      <c r="S51" s="1" t="s">
        <v>85</v>
      </c>
      <c r="T51" s="6" t="s">
        <v>62</v>
      </c>
      <c r="U51" s="13">
        <v>0.27</v>
      </c>
      <c r="V51" s="12">
        <v>32.54</v>
      </c>
      <c r="W51" s="12">
        <v>0</v>
      </c>
      <c r="X51" s="1" t="s">
        <v>56</v>
      </c>
    </row>
    <row r="52" spans="1:24">
      <c r="A52" s="1" t="s">
        <v>218</v>
      </c>
      <c r="B52" s="1" t="s">
        <v>46</v>
      </c>
      <c r="C52" s="1" t="s">
        <v>79</v>
      </c>
      <c r="D52" s="1" t="s">
        <v>259</v>
      </c>
      <c r="E52" s="1" t="s">
        <v>264</v>
      </c>
      <c r="F52" s="1" t="s">
        <v>265</v>
      </c>
      <c r="G52" s="1" t="s">
        <v>130</v>
      </c>
      <c r="H52" s="1" t="s">
        <v>131</v>
      </c>
      <c r="I52" s="1" t="s">
        <v>266</v>
      </c>
      <c r="J52" s="1" t="s">
        <v>113</v>
      </c>
      <c r="K52" s="1" t="s">
        <v>70</v>
      </c>
      <c r="L52" s="11" t="s">
        <v>56</v>
      </c>
      <c r="M52" s="1" t="s">
        <v>57</v>
      </c>
      <c r="N52" s="1" t="s">
        <v>58</v>
      </c>
      <c r="O52" s="1" t="s">
        <v>59</v>
      </c>
      <c r="P52" s="1">
        <v>0</v>
      </c>
      <c r="Q52" s="12">
        <v>151.93</v>
      </c>
      <c r="R52" s="1" t="s">
        <v>84</v>
      </c>
      <c r="S52" s="1" t="s">
        <v>85</v>
      </c>
      <c r="T52" s="6" t="s">
        <v>62</v>
      </c>
      <c r="U52" s="13">
        <v>0.23</v>
      </c>
      <c r="V52" s="12">
        <v>34.94</v>
      </c>
      <c r="W52" s="12">
        <v>0</v>
      </c>
      <c r="X52" s="1" t="s">
        <v>56</v>
      </c>
    </row>
    <row r="53" spans="1:24">
      <c r="A53" s="1" t="s">
        <v>218</v>
      </c>
      <c r="B53" s="1" t="s">
        <v>46</v>
      </c>
      <c r="C53" s="1" t="s">
        <v>79</v>
      </c>
      <c r="D53" s="1" t="s">
        <v>259</v>
      </c>
      <c r="E53" s="1" t="s">
        <v>267</v>
      </c>
      <c r="F53" s="1" t="s">
        <v>268</v>
      </c>
      <c r="G53" s="1" t="s">
        <v>130</v>
      </c>
      <c r="H53" s="1" t="s">
        <v>131</v>
      </c>
      <c r="I53" s="1" t="s">
        <v>266</v>
      </c>
      <c r="J53" s="1" t="s">
        <v>110</v>
      </c>
      <c r="K53" s="1" t="s">
        <v>70</v>
      </c>
      <c r="L53" s="11" t="s">
        <v>56</v>
      </c>
      <c r="M53" s="1" t="s">
        <v>57</v>
      </c>
      <c r="N53" s="1" t="s">
        <v>58</v>
      </c>
      <c r="O53" s="1" t="s">
        <v>59</v>
      </c>
      <c r="P53" s="1">
        <v>0</v>
      </c>
      <c r="Q53" s="12">
        <v>132.11000000000001</v>
      </c>
      <c r="R53" s="1" t="s">
        <v>84</v>
      </c>
      <c r="S53" s="1" t="s">
        <v>85</v>
      </c>
      <c r="T53" s="6" t="s">
        <v>62</v>
      </c>
      <c r="U53" s="13">
        <v>0.23</v>
      </c>
      <c r="V53" s="12">
        <v>30.39</v>
      </c>
      <c r="W53" s="12">
        <v>0</v>
      </c>
      <c r="X53" s="1" t="s">
        <v>56</v>
      </c>
    </row>
    <row r="54" spans="1:24">
      <c r="A54" s="1" t="s">
        <v>218</v>
      </c>
      <c r="B54" s="1" t="s">
        <v>46</v>
      </c>
      <c r="C54" s="1" t="s">
        <v>79</v>
      </c>
      <c r="D54" s="1" t="s">
        <v>269</v>
      </c>
      <c r="E54" s="1" t="s">
        <v>270</v>
      </c>
      <c r="F54" s="1" t="s">
        <v>271</v>
      </c>
      <c r="G54" s="1" t="s">
        <v>272</v>
      </c>
      <c r="H54" s="1" t="s">
        <v>52</v>
      </c>
      <c r="I54" s="1" t="s">
        <v>253</v>
      </c>
      <c r="J54" s="1" t="s">
        <v>273</v>
      </c>
      <c r="K54" s="1" t="s">
        <v>274</v>
      </c>
      <c r="L54" s="11" t="s">
        <v>56</v>
      </c>
      <c r="M54" s="1" t="s">
        <v>57</v>
      </c>
      <c r="N54" s="1" t="s">
        <v>58</v>
      </c>
      <c r="O54" s="1" t="s">
        <v>59</v>
      </c>
      <c r="P54" s="1">
        <v>0</v>
      </c>
      <c r="Q54" s="12">
        <v>59.14</v>
      </c>
      <c r="R54" s="1" t="s">
        <v>84</v>
      </c>
      <c r="S54" s="1" t="s">
        <v>85</v>
      </c>
      <c r="T54" s="6" t="s">
        <v>62</v>
      </c>
      <c r="U54" s="13">
        <v>0.03</v>
      </c>
      <c r="V54" s="12">
        <v>1.77</v>
      </c>
      <c r="W54" s="12">
        <v>0</v>
      </c>
      <c r="X54" s="1" t="s">
        <v>56</v>
      </c>
    </row>
    <row r="55" spans="1:24">
      <c r="A55" s="1" t="s">
        <v>218</v>
      </c>
      <c r="B55" s="1" t="s">
        <v>46</v>
      </c>
      <c r="C55" s="1" t="s">
        <v>79</v>
      </c>
      <c r="D55" s="1" t="s">
        <v>219</v>
      </c>
      <c r="E55" s="1" t="s">
        <v>275</v>
      </c>
      <c r="F55" s="1" t="s">
        <v>276</v>
      </c>
      <c r="G55" s="1" t="s">
        <v>51</v>
      </c>
      <c r="H55" s="1" t="s">
        <v>52</v>
      </c>
      <c r="I55" s="1" t="s">
        <v>222</v>
      </c>
      <c r="J55" s="1" t="s">
        <v>277</v>
      </c>
      <c r="K55" s="1" t="s">
        <v>274</v>
      </c>
      <c r="L55" s="11" t="s">
        <v>56</v>
      </c>
      <c r="M55" s="1" t="s">
        <v>57</v>
      </c>
      <c r="N55" s="1" t="s">
        <v>58</v>
      </c>
      <c r="O55" s="1" t="s">
        <v>59</v>
      </c>
      <c r="P55" s="1">
        <v>0</v>
      </c>
      <c r="Q55" s="12">
        <v>36.08</v>
      </c>
      <c r="R55" s="1" t="s">
        <v>84</v>
      </c>
      <c r="S55" s="1" t="s">
        <v>85</v>
      </c>
      <c r="T55" s="6" t="s">
        <v>62</v>
      </c>
      <c r="U55" s="13">
        <v>0.03</v>
      </c>
      <c r="V55" s="12">
        <v>1.08</v>
      </c>
      <c r="W55" s="12">
        <v>0</v>
      </c>
      <c r="X55" s="1" t="s">
        <v>56</v>
      </c>
    </row>
    <row r="56" spans="1:24">
      <c r="A56" s="1" t="s">
        <v>218</v>
      </c>
      <c r="B56" s="1" t="s">
        <v>46</v>
      </c>
      <c r="C56" s="1" t="s">
        <v>79</v>
      </c>
      <c r="D56" s="1" t="s">
        <v>219</v>
      </c>
      <c r="E56" s="1" t="s">
        <v>278</v>
      </c>
      <c r="F56" s="1" t="s">
        <v>279</v>
      </c>
      <c r="G56" s="1" t="s">
        <v>51</v>
      </c>
      <c r="H56" s="1" t="s">
        <v>52</v>
      </c>
      <c r="I56" s="1" t="s">
        <v>222</v>
      </c>
      <c r="J56" s="1" t="s">
        <v>97</v>
      </c>
      <c r="K56" s="1" t="s">
        <v>70</v>
      </c>
      <c r="L56" s="11" t="s">
        <v>56</v>
      </c>
      <c r="M56" s="1" t="s">
        <v>57</v>
      </c>
      <c r="N56" s="1" t="s">
        <v>58</v>
      </c>
      <c r="O56" s="1" t="s">
        <v>59</v>
      </c>
      <c r="P56" s="1">
        <v>0</v>
      </c>
      <c r="Q56" s="12">
        <v>36.08</v>
      </c>
      <c r="R56" s="1" t="s">
        <v>84</v>
      </c>
      <c r="S56" s="1" t="s">
        <v>85</v>
      </c>
      <c r="T56" s="6" t="s">
        <v>62</v>
      </c>
      <c r="U56" s="13">
        <v>0.03</v>
      </c>
      <c r="V56" s="12">
        <v>1.08</v>
      </c>
      <c r="W56" s="12">
        <v>0</v>
      </c>
      <c r="X56" s="1" t="s">
        <v>56</v>
      </c>
    </row>
    <row r="57" spans="1:24">
      <c r="A57" s="1" t="s">
        <v>218</v>
      </c>
      <c r="B57" s="1" t="s">
        <v>46</v>
      </c>
      <c r="C57" s="1" t="s">
        <v>79</v>
      </c>
      <c r="D57" s="1" t="s">
        <v>219</v>
      </c>
      <c r="E57" s="1" t="s">
        <v>280</v>
      </c>
      <c r="F57" s="1" t="s">
        <v>281</v>
      </c>
      <c r="G57" s="1" t="s">
        <v>51</v>
      </c>
      <c r="H57" s="1" t="s">
        <v>123</v>
      </c>
      <c r="I57" s="1" t="s">
        <v>222</v>
      </c>
      <c r="J57" s="1" t="s">
        <v>97</v>
      </c>
      <c r="K57" s="1" t="s">
        <v>70</v>
      </c>
      <c r="L57" s="11" t="s">
        <v>56</v>
      </c>
      <c r="M57" s="1" t="s">
        <v>57</v>
      </c>
      <c r="N57" s="1" t="s">
        <v>58</v>
      </c>
      <c r="O57" s="1" t="s">
        <v>59</v>
      </c>
      <c r="P57" s="1">
        <v>0</v>
      </c>
      <c r="Q57" s="12">
        <v>36.08</v>
      </c>
      <c r="R57" s="1" t="s">
        <v>84</v>
      </c>
      <c r="S57" s="1" t="s">
        <v>85</v>
      </c>
      <c r="T57" s="6" t="s">
        <v>62</v>
      </c>
      <c r="U57" s="13">
        <v>0.03</v>
      </c>
      <c r="V57" s="12">
        <v>1.08</v>
      </c>
      <c r="W57" s="12">
        <v>0</v>
      </c>
      <c r="X57" s="1" t="s">
        <v>56</v>
      </c>
    </row>
    <row r="58" spans="1:24">
      <c r="A58" s="1" t="s">
        <v>218</v>
      </c>
      <c r="B58" s="1" t="s">
        <v>46</v>
      </c>
      <c r="C58" s="1" t="s">
        <v>79</v>
      </c>
      <c r="D58" s="1" t="s">
        <v>219</v>
      </c>
      <c r="E58" s="1" t="s">
        <v>282</v>
      </c>
      <c r="F58" s="1" t="s">
        <v>283</v>
      </c>
      <c r="G58" s="1" t="s">
        <v>51</v>
      </c>
      <c r="H58" s="1" t="s">
        <v>52</v>
      </c>
      <c r="I58" s="1" t="s">
        <v>222</v>
      </c>
      <c r="J58" s="1" t="s">
        <v>284</v>
      </c>
      <c r="K58" s="1" t="s">
        <v>285</v>
      </c>
      <c r="L58" s="11" t="s">
        <v>56</v>
      </c>
      <c r="M58" s="1" t="s">
        <v>57</v>
      </c>
      <c r="N58" s="1" t="s">
        <v>58</v>
      </c>
      <c r="O58" s="1" t="s">
        <v>59</v>
      </c>
      <c r="P58" s="1">
        <v>0</v>
      </c>
      <c r="Q58" s="12">
        <v>36.08</v>
      </c>
      <c r="R58" s="1" t="s">
        <v>84</v>
      </c>
      <c r="S58" s="1" t="s">
        <v>85</v>
      </c>
      <c r="T58" s="6" t="s">
        <v>62</v>
      </c>
      <c r="U58" s="13">
        <v>0.03</v>
      </c>
      <c r="V58" s="12">
        <v>1.08</v>
      </c>
      <c r="W58" s="12">
        <v>0</v>
      </c>
      <c r="X58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1357-C013-4EFF-90CF-EAAF44148803}">
  <dimension ref="A1:AH58"/>
  <sheetViews>
    <sheetView tabSelected="1" topLeftCell="J1" workbookViewId="0">
      <selection activeCell="S2" sqref="S2:S58"/>
    </sheetView>
  </sheetViews>
  <sheetFormatPr defaultRowHeight="14.25"/>
  <cols>
    <col min="1" max="1" width="12" style="1" customWidth="1"/>
    <col min="2" max="2" width="15.42578125" style="1" customWidth="1"/>
    <col min="3" max="3" width="18.140625" style="1" customWidth="1"/>
    <col min="4" max="4" width="12" style="1" customWidth="1"/>
    <col min="5" max="6" width="9.140625" style="1"/>
    <col min="7" max="7" width="14" style="1" customWidth="1"/>
    <col min="8" max="8" width="20.85546875" style="1" customWidth="1"/>
    <col min="9" max="9" width="13" style="1" customWidth="1"/>
    <col min="10" max="11" width="15" style="1" customWidth="1"/>
    <col min="12" max="12" width="16.28515625" style="1" customWidth="1"/>
    <col min="13" max="13" width="22.85546875" style="1" customWidth="1"/>
    <col min="14" max="14" width="15" style="1" customWidth="1"/>
    <col min="15" max="15" width="15" style="11" customWidth="1"/>
    <col min="16" max="17" width="6" style="1" customWidth="1"/>
    <col min="18" max="19" width="9" style="1" customWidth="1"/>
    <col min="20" max="20" width="7.7109375" style="1" customWidth="1"/>
    <col min="21" max="21" width="7" style="1" customWidth="1"/>
    <col min="22" max="22" width="17.85546875" style="1" bestFit="1" customWidth="1"/>
    <col min="23" max="25" width="15" style="1" customWidth="1"/>
    <col min="26" max="26" width="40" style="1" customWidth="1"/>
    <col min="27" max="16384" width="9.140625" style="1"/>
  </cols>
  <sheetData>
    <row r="1" spans="1:34" ht="30" customHeight="1">
      <c r="A1" s="10" t="s">
        <v>24</v>
      </c>
      <c r="B1" s="27" t="s">
        <v>286</v>
      </c>
      <c r="C1" s="27" t="s">
        <v>287</v>
      </c>
      <c r="D1" s="27" t="s">
        <v>288</v>
      </c>
      <c r="E1" s="28"/>
      <c r="F1" s="28"/>
      <c r="G1" s="10" t="s">
        <v>25</v>
      </c>
      <c r="H1" s="10" t="s">
        <v>26</v>
      </c>
      <c r="I1" s="10" t="s">
        <v>27</v>
      </c>
      <c r="J1" s="10" t="s">
        <v>28</v>
      </c>
      <c r="K1" s="10" t="s">
        <v>29</v>
      </c>
      <c r="L1" s="27" t="s">
        <v>291</v>
      </c>
      <c r="M1" s="27" t="s">
        <v>292</v>
      </c>
      <c r="N1" s="10" t="s">
        <v>30</v>
      </c>
      <c r="O1" s="29" t="s">
        <v>31</v>
      </c>
      <c r="P1" s="10" t="s">
        <v>33</v>
      </c>
      <c r="Q1" s="10" t="s">
        <v>35</v>
      </c>
      <c r="R1" s="27" t="s">
        <v>289</v>
      </c>
      <c r="S1" s="27" t="s">
        <v>290</v>
      </c>
      <c r="T1" s="10" t="s">
        <v>37</v>
      </c>
      <c r="U1" s="10" t="s">
        <v>38</v>
      </c>
      <c r="V1" s="10" t="s">
        <v>39</v>
      </c>
      <c r="W1" s="10" t="s">
        <v>41</v>
      </c>
      <c r="X1" s="10" t="s">
        <v>42</v>
      </c>
      <c r="Y1" s="10" t="s">
        <v>43</v>
      </c>
      <c r="Z1" s="10" t="s">
        <v>44</v>
      </c>
    </row>
    <row r="2" spans="1:34">
      <c r="A2" s="19" t="s">
        <v>199</v>
      </c>
      <c r="B2" s="19" t="s">
        <v>307</v>
      </c>
      <c r="C2" s="19" t="s">
        <v>307</v>
      </c>
      <c r="D2" s="20" t="s">
        <v>356</v>
      </c>
      <c r="E2" s="19" t="s">
        <v>382</v>
      </c>
      <c r="F2" s="19" t="s">
        <v>379</v>
      </c>
      <c r="G2" s="19" t="s">
        <v>230</v>
      </c>
      <c r="H2" s="19" t="s">
        <v>231</v>
      </c>
      <c r="I2" s="19" t="s">
        <v>202</v>
      </c>
      <c r="J2" s="19" t="s">
        <v>131</v>
      </c>
      <c r="K2" s="19" t="s">
        <v>232</v>
      </c>
      <c r="L2" s="19" t="s">
        <v>327</v>
      </c>
      <c r="M2" s="19" t="s">
        <v>376</v>
      </c>
      <c r="N2" s="19" t="s">
        <v>233</v>
      </c>
      <c r="O2" s="20" t="s">
        <v>55</v>
      </c>
      <c r="P2" s="19" t="s">
        <v>57</v>
      </c>
      <c r="Q2" s="25">
        <v>1</v>
      </c>
      <c r="R2" s="21">
        <v>83.1</v>
      </c>
      <c r="S2" s="21">
        <f>R2*W2</f>
        <v>43.211999999999996</v>
      </c>
      <c r="T2" s="22">
        <v>83.1</v>
      </c>
      <c r="U2" s="19" t="s">
        <v>60</v>
      </c>
      <c r="V2" s="19" t="s">
        <v>134</v>
      </c>
      <c r="W2" s="23">
        <v>0.52</v>
      </c>
      <c r="X2" s="22">
        <v>43.21</v>
      </c>
      <c r="Y2" s="22">
        <v>0</v>
      </c>
      <c r="Z2" s="19" t="s">
        <v>56</v>
      </c>
      <c r="AA2" s="19"/>
      <c r="AB2" s="19"/>
      <c r="AC2" s="19"/>
      <c r="AD2" s="19"/>
      <c r="AE2" s="19"/>
      <c r="AF2" s="19"/>
    </row>
    <row r="3" spans="1:34">
      <c r="A3" s="19" t="s">
        <v>143</v>
      </c>
      <c r="B3" s="19" t="s">
        <v>303</v>
      </c>
      <c r="C3" s="19" t="s">
        <v>303</v>
      </c>
      <c r="D3" s="20" t="s">
        <v>355</v>
      </c>
      <c r="E3" s="19" t="s">
        <v>382</v>
      </c>
      <c r="F3" s="19" t="s">
        <v>379</v>
      </c>
      <c r="G3" s="19" t="s">
        <v>182</v>
      </c>
      <c r="H3" s="19" t="s">
        <v>183</v>
      </c>
      <c r="I3" s="19" t="s">
        <v>51</v>
      </c>
      <c r="J3" s="19" t="s">
        <v>123</v>
      </c>
      <c r="K3" s="19" t="s">
        <v>132</v>
      </c>
      <c r="L3" s="19" t="s">
        <v>321</v>
      </c>
      <c r="M3" s="19" t="s">
        <v>369</v>
      </c>
      <c r="N3" s="19" t="s">
        <v>123</v>
      </c>
      <c r="O3" s="20" t="s">
        <v>123</v>
      </c>
      <c r="P3" s="19" t="s">
        <v>57</v>
      </c>
      <c r="Q3" s="25">
        <v>1</v>
      </c>
      <c r="R3" s="21">
        <v>80.81</v>
      </c>
      <c r="S3" s="21">
        <f>R3*W3</f>
        <v>109.09350000000001</v>
      </c>
      <c r="T3" s="22">
        <v>727.29</v>
      </c>
      <c r="U3" s="19" t="s">
        <v>60</v>
      </c>
      <c r="V3" s="19" t="s">
        <v>134</v>
      </c>
      <c r="W3" s="23">
        <v>1.35</v>
      </c>
      <c r="X3" s="22">
        <v>981.84</v>
      </c>
      <c r="Y3" s="22">
        <v>981.84</v>
      </c>
      <c r="Z3" s="19" t="s">
        <v>56</v>
      </c>
      <c r="AA3" s="19"/>
      <c r="AB3" s="19"/>
      <c r="AC3" s="19"/>
      <c r="AD3" s="19"/>
      <c r="AE3" s="19"/>
      <c r="AF3" s="19"/>
    </row>
    <row r="4" spans="1:34">
      <c r="A4" s="1" t="s">
        <v>219</v>
      </c>
      <c r="B4" s="1" t="s">
        <v>311</v>
      </c>
      <c r="C4" s="1" t="s">
        <v>346</v>
      </c>
      <c r="D4" s="11">
        <v>8325282</v>
      </c>
      <c r="E4" s="1" t="s">
        <v>383</v>
      </c>
      <c r="F4" s="1" t="s">
        <v>381</v>
      </c>
      <c r="G4" s="1" t="s">
        <v>220</v>
      </c>
      <c r="H4" s="1" t="s">
        <v>221</v>
      </c>
      <c r="I4" s="1" t="s">
        <v>51</v>
      </c>
      <c r="J4" s="1" t="s">
        <v>123</v>
      </c>
      <c r="K4" s="1" t="s">
        <v>222</v>
      </c>
      <c r="L4" s="1" t="s">
        <v>325</v>
      </c>
      <c r="M4" s="1" t="s">
        <v>376</v>
      </c>
      <c r="N4" s="1" t="s">
        <v>78</v>
      </c>
      <c r="O4" s="11" t="s">
        <v>70</v>
      </c>
      <c r="P4" s="1" t="s">
        <v>57</v>
      </c>
      <c r="Q4" s="24">
        <v>1</v>
      </c>
      <c r="R4" s="18">
        <v>36.08</v>
      </c>
      <c r="S4" s="18">
        <f>R4*W4</f>
        <v>18.761600000000001</v>
      </c>
      <c r="T4" s="12">
        <v>36.08</v>
      </c>
      <c r="U4" s="1" t="s">
        <v>60</v>
      </c>
      <c r="V4" s="1" t="s">
        <v>61</v>
      </c>
      <c r="W4" s="13">
        <v>0.52</v>
      </c>
      <c r="X4" s="12">
        <v>18.760000000000002</v>
      </c>
      <c r="Y4" s="12">
        <v>0</v>
      </c>
      <c r="Z4" s="1" t="s">
        <v>56</v>
      </c>
      <c r="AG4" s="19"/>
      <c r="AH4" s="19"/>
    </row>
    <row r="5" spans="1:34">
      <c r="A5" s="1" t="s">
        <v>259</v>
      </c>
      <c r="B5" s="1" t="s">
        <v>316</v>
      </c>
      <c r="C5" s="1" t="s">
        <v>352</v>
      </c>
      <c r="D5" s="11">
        <v>9079571</v>
      </c>
      <c r="E5" s="1" t="s">
        <v>383</v>
      </c>
      <c r="F5" s="1" t="s">
        <v>380</v>
      </c>
      <c r="G5" s="1" t="s">
        <v>260</v>
      </c>
      <c r="H5" s="1" t="s">
        <v>261</v>
      </c>
      <c r="I5" s="1" t="s">
        <v>130</v>
      </c>
      <c r="J5" s="1" t="s">
        <v>52</v>
      </c>
      <c r="K5" s="1" t="s">
        <v>262</v>
      </c>
      <c r="L5" s="1" t="s">
        <v>319</v>
      </c>
      <c r="M5" s="1" t="s">
        <v>378</v>
      </c>
      <c r="N5" s="1" t="s">
        <v>263</v>
      </c>
      <c r="O5" s="11" t="s">
        <v>70</v>
      </c>
      <c r="P5" s="1" t="s">
        <v>57</v>
      </c>
      <c r="Q5" s="24">
        <v>1</v>
      </c>
      <c r="R5" s="18">
        <v>120.5</v>
      </c>
      <c r="S5" s="18">
        <f>R5*W5</f>
        <v>32.535000000000004</v>
      </c>
      <c r="T5" s="12">
        <v>120.5</v>
      </c>
      <c r="U5" s="1" t="s">
        <v>84</v>
      </c>
      <c r="V5" s="1" t="s">
        <v>85</v>
      </c>
      <c r="W5" s="13">
        <v>0.27</v>
      </c>
      <c r="X5" s="12">
        <v>32.54</v>
      </c>
      <c r="Y5" s="12">
        <v>0</v>
      </c>
      <c r="Z5" s="1" t="s">
        <v>56</v>
      </c>
    </row>
    <row r="6" spans="1:34">
      <c r="A6" s="1" t="s">
        <v>127</v>
      </c>
      <c r="B6" s="1" t="s">
        <v>301</v>
      </c>
      <c r="C6" s="1" t="s">
        <v>351</v>
      </c>
      <c r="D6" s="11" t="s">
        <v>358</v>
      </c>
      <c r="E6" s="1" t="s">
        <v>383</v>
      </c>
      <c r="F6" s="1" t="s">
        <v>380</v>
      </c>
      <c r="G6" s="1" t="s">
        <v>256</v>
      </c>
      <c r="H6" s="1" t="s">
        <v>257</v>
      </c>
      <c r="I6" s="1" t="s">
        <v>130</v>
      </c>
      <c r="J6" s="1" t="s">
        <v>131</v>
      </c>
      <c r="K6" s="1" t="s">
        <v>258</v>
      </c>
      <c r="L6" s="1" t="s">
        <v>329</v>
      </c>
      <c r="M6" s="1" t="s">
        <v>377</v>
      </c>
      <c r="N6" s="1" t="s">
        <v>69</v>
      </c>
      <c r="O6" s="11" t="s">
        <v>70</v>
      </c>
      <c r="P6" s="1" t="s">
        <v>57</v>
      </c>
      <c r="Q6" s="24">
        <v>1</v>
      </c>
      <c r="R6" s="18">
        <v>241.87</v>
      </c>
      <c r="S6" s="18">
        <f>R6*W6</f>
        <v>6.0467500000000003</v>
      </c>
      <c r="T6" s="12">
        <v>241.87</v>
      </c>
      <c r="U6" s="1" t="s">
        <v>60</v>
      </c>
      <c r="V6" s="1" t="s">
        <v>61</v>
      </c>
      <c r="W6" s="13">
        <v>2.5000000000000001E-2</v>
      </c>
      <c r="X6" s="12">
        <v>6.05</v>
      </c>
      <c r="Y6" s="12">
        <v>0</v>
      </c>
      <c r="Z6" s="1" t="s">
        <v>56</v>
      </c>
    </row>
    <row r="7" spans="1:34">
      <c r="A7" s="1" t="s">
        <v>64</v>
      </c>
      <c r="B7" s="1" t="s">
        <v>294</v>
      </c>
      <c r="C7" s="1" t="s">
        <v>331</v>
      </c>
      <c r="D7" s="11">
        <v>16228684</v>
      </c>
      <c r="E7" s="1" t="s">
        <v>383</v>
      </c>
      <c r="F7" s="1" t="s">
        <v>380</v>
      </c>
      <c r="G7" s="1" t="s">
        <v>65</v>
      </c>
      <c r="H7" s="1" t="s">
        <v>66</v>
      </c>
      <c r="I7" s="1" t="s">
        <v>67</v>
      </c>
      <c r="J7" s="1" t="s">
        <v>52</v>
      </c>
      <c r="K7" s="1" t="s">
        <v>68</v>
      </c>
      <c r="L7" s="1" t="s">
        <v>318</v>
      </c>
      <c r="M7" s="1" t="s">
        <v>363</v>
      </c>
      <c r="N7" s="1" t="s">
        <v>69</v>
      </c>
      <c r="O7" s="11" t="s">
        <v>70</v>
      </c>
      <c r="P7" s="1" t="s">
        <v>57</v>
      </c>
      <c r="Q7" s="24">
        <v>1</v>
      </c>
      <c r="R7" s="18">
        <v>155.84</v>
      </c>
      <c r="S7" s="18">
        <f>R7*W7</f>
        <v>37.401600000000002</v>
      </c>
      <c r="T7" s="12">
        <v>155.84</v>
      </c>
      <c r="U7" s="1" t="s">
        <v>60</v>
      </c>
      <c r="V7" s="1" t="s">
        <v>61</v>
      </c>
      <c r="W7" s="13">
        <v>0.24</v>
      </c>
      <c r="X7" s="12">
        <v>37.4</v>
      </c>
      <c r="Y7" s="12">
        <v>0</v>
      </c>
      <c r="Z7" s="1" t="s">
        <v>56</v>
      </c>
    </row>
    <row r="8" spans="1:34" s="30" customFormat="1">
      <c r="A8" s="1" t="s">
        <v>247</v>
      </c>
      <c r="B8" s="1" t="s">
        <v>314</v>
      </c>
      <c r="C8" s="1" t="s">
        <v>349</v>
      </c>
      <c r="D8" s="11">
        <v>19681796</v>
      </c>
      <c r="E8" s="1" t="s">
        <v>383</v>
      </c>
      <c r="F8" s="1" t="s">
        <v>381</v>
      </c>
      <c r="G8" s="1" t="s">
        <v>248</v>
      </c>
      <c r="H8" s="1" t="s">
        <v>249</v>
      </c>
      <c r="I8" s="1" t="s">
        <v>51</v>
      </c>
      <c r="J8" s="1" t="s">
        <v>52</v>
      </c>
      <c r="K8" s="1" t="s">
        <v>227</v>
      </c>
      <c r="L8" s="1" t="s">
        <v>326</v>
      </c>
      <c r="M8" s="1" t="s">
        <v>376</v>
      </c>
      <c r="N8" s="1" t="s">
        <v>69</v>
      </c>
      <c r="O8" s="11" t="s">
        <v>70</v>
      </c>
      <c r="P8" s="1" t="s">
        <v>57</v>
      </c>
      <c r="Q8" s="24">
        <v>1</v>
      </c>
      <c r="R8" s="18">
        <v>72.33</v>
      </c>
      <c r="S8" s="18">
        <f>R8*W8</f>
        <v>37.611600000000003</v>
      </c>
      <c r="T8" s="12">
        <v>72.33</v>
      </c>
      <c r="U8" s="1" t="s">
        <v>60</v>
      </c>
      <c r="V8" s="1" t="s">
        <v>61</v>
      </c>
      <c r="W8" s="13">
        <v>0.52</v>
      </c>
      <c r="X8" s="12">
        <v>37.61</v>
      </c>
      <c r="Y8" s="12">
        <v>0</v>
      </c>
      <c r="Z8" s="1" t="s">
        <v>56</v>
      </c>
      <c r="AA8" s="1"/>
      <c r="AB8" s="1"/>
      <c r="AC8" s="1"/>
      <c r="AD8" s="1"/>
      <c r="AE8" s="1"/>
      <c r="AF8" s="1"/>
      <c r="AG8" s="1"/>
      <c r="AH8" s="1"/>
    </row>
    <row r="9" spans="1:34" s="30" customFormat="1">
      <c r="A9" s="1" t="s">
        <v>234</v>
      </c>
      <c r="B9" s="1" t="s">
        <v>313</v>
      </c>
      <c r="C9" s="1" t="s">
        <v>348</v>
      </c>
      <c r="D9" s="11">
        <v>21283956</v>
      </c>
      <c r="E9" s="1" t="s">
        <v>383</v>
      </c>
      <c r="F9" s="1" t="s">
        <v>381</v>
      </c>
      <c r="G9" s="1" t="s">
        <v>235</v>
      </c>
      <c r="H9" s="1" t="s">
        <v>236</v>
      </c>
      <c r="I9" s="1" t="s">
        <v>51</v>
      </c>
      <c r="J9" s="1" t="s">
        <v>52</v>
      </c>
      <c r="K9" s="1" t="s">
        <v>227</v>
      </c>
      <c r="L9" s="1" t="s">
        <v>326</v>
      </c>
      <c r="M9" s="1" t="s">
        <v>376</v>
      </c>
      <c r="N9" s="1" t="s">
        <v>69</v>
      </c>
      <c r="O9" s="11" t="s">
        <v>70</v>
      </c>
      <c r="P9" s="1" t="s">
        <v>57</v>
      </c>
      <c r="Q9" s="24">
        <v>1</v>
      </c>
      <c r="R9" s="18">
        <v>72.33</v>
      </c>
      <c r="S9" s="18">
        <f>R9*W9</f>
        <v>37.611600000000003</v>
      </c>
      <c r="T9" s="12">
        <v>72.33</v>
      </c>
      <c r="U9" s="1" t="s">
        <v>60</v>
      </c>
      <c r="V9" s="1" t="s">
        <v>61</v>
      </c>
      <c r="W9" s="13">
        <v>0.52</v>
      </c>
      <c r="X9" s="12">
        <v>37.61</v>
      </c>
      <c r="Y9" s="12">
        <v>0</v>
      </c>
      <c r="Z9" s="1" t="s">
        <v>56</v>
      </c>
      <c r="AA9" s="1"/>
      <c r="AB9" s="1"/>
      <c r="AC9" s="1"/>
      <c r="AD9" s="1"/>
      <c r="AE9" s="1"/>
      <c r="AF9" s="1"/>
      <c r="AG9" s="26"/>
      <c r="AH9" s="26"/>
    </row>
    <row r="10" spans="1:34" s="30" customFormat="1">
      <c r="A10" s="1" t="s">
        <v>234</v>
      </c>
      <c r="B10" s="1" t="s">
        <v>313</v>
      </c>
      <c r="C10" s="1" t="s">
        <v>348</v>
      </c>
      <c r="D10" s="11">
        <v>21283956</v>
      </c>
      <c r="E10" s="1" t="s">
        <v>383</v>
      </c>
      <c r="F10" s="1" t="s">
        <v>381</v>
      </c>
      <c r="G10" s="1" t="s">
        <v>237</v>
      </c>
      <c r="H10" s="1" t="s">
        <v>238</v>
      </c>
      <c r="I10" s="1" t="s">
        <v>51</v>
      </c>
      <c r="J10" s="1" t="s">
        <v>52</v>
      </c>
      <c r="K10" s="1" t="s">
        <v>227</v>
      </c>
      <c r="L10" s="1" t="s">
        <v>326</v>
      </c>
      <c r="M10" s="1" t="s">
        <v>376</v>
      </c>
      <c r="N10" s="1" t="s">
        <v>69</v>
      </c>
      <c r="O10" s="11" t="s">
        <v>70</v>
      </c>
      <c r="P10" s="1" t="s">
        <v>57</v>
      </c>
      <c r="Q10" s="24">
        <v>1</v>
      </c>
      <c r="R10" s="18">
        <v>72.33</v>
      </c>
      <c r="S10" s="18">
        <f>R10*W10</f>
        <v>37.611600000000003</v>
      </c>
      <c r="T10" s="12">
        <v>72.33</v>
      </c>
      <c r="U10" s="1" t="s">
        <v>60</v>
      </c>
      <c r="V10" s="1" t="s">
        <v>61</v>
      </c>
      <c r="W10" s="13">
        <v>0.52</v>
      </c>
      <c r="X10" s="12">
        <v>37.61</v>
      </c>
      <c r="Y10" s="12">
        <v>0</v>
      </c>
      <c r="Z10" s="1" t="s">
        <v>56</v>
      </c>
      <c r="AA10" s="1"/>
      <c r="AB10" s="1"/>
      <c r="AC10" s="1"/>
      <c r="AD10" s="1"/>
      <c r="AE10" s="1"/>
      <c r="AF10" s="1"/>
      <c r="AG10" s="1"/>
      <c r="AH10" s="1"/>
    </row>
    <row r="11" spans="1:34">
      <c r="A11" s="1" t="s">
        <v>234</v>
      </c>
      <c r="B11" s="1" t="s">
        <v>313</v>
      </c>
      <c r="C11" s="1" t="s">
        <v>348</v>
      </c>
      <c r="D11" s="11">
        <v>21283956</v>
      </c>
      <c r="E11" s="1" t="s">
        <v>383</v>
      </c>
      <c r="F11" s="1" t="s">
        <v>381</v>
      </c>
      <c r="G11" s="1" t="s">
        <v>239</v>
      </c>
      <c r="H11" s="1" t="s">
        <v>240</v>
      </c>
      <c r="I11" s="1" t="s">
        <v>51</v>
      </c>
      <c r="J11" s="1" t="s">
        <v>52</v>
      </c>
      <c r="K11" s="1" t="s">
        <v>232</v>
      </c>
      <c r="L11" s="1" t="s">
        <v>327</v>
      </c>
      <c r="M11" s="1" t="s">
        <v>376</v>
      </c>
      <c r="N11" s="1" t="s">
        <v>241</v>
      </c>
      <c r="O11" s="11" t="s">
        <v>181</v>
      </c>
      <c r="P11" s="1" t="s">
        <v>57</v>
      </c>
      <c r="Q11" s="24">
        <v>1</v>
      </c>
      <c r="R11" s="18">
        <v>79.28</v>
      </c>
      <c r="S11" s="18">
        <f>R11*W11</f>
        <v>41.2256</v>
      </c>
      <c r="T11" s="12">
        <v>79.28</v>
      </c>
      <c r="U11" s="1" t="s">
        <v>60</v>
      </c>
      <c r="V11" s="1" t="s">
        <v>61</v>
      </c>
      <c r="W11" s="13">
        <v>0.52</v>
      </c>
      <c r="X11" s="12">
        <v>41.23</v>
      </c>
      <c r="Y11" s="12">
        <v>0</v>
      </c>
      <c r="Z11" s="1" t="s">
        <v>56</v>
      </c>
    </row>
    <row r="12" spans="1:34">
      <c r="A12" s="1" t="s">
        <v>75</v>
      </c>
      <c r="B12" s="1" t="s">
        <v>296</v>
      </c>
      <c r="C12" s="1" t="s">
        <v>333</v>
      </c>
      <c r="D12" s="11">
        <v>8307933</v>
      </c>
      <c r="E12" s="1" t="s">
        <v>383</v>
      </c>
      <c r="F12" s="1" t="s">
        <v>380</v>
      </c>
      <c r="G12" s="1" t="s">
        <v>91</v>
      </c>
      <c r="H12" s="1" t="s">
        <v>92</v>
      </c>
      <c r="I12" s="1" t="s">
        <v>67</v>
      </c>
      <c r="J12" s="1" t="s">
        <v>52</v>
      </c>
      <c r="K12" s="1" t="s">
        <v>68</v>
      </c>
      <c r="L12" s="1" t="s">
        <v>318</v>
      </c>
      <c r="M12" s="1" t="s">
        <v>364</v>
      </c>
      <c r="N12" s="1" t="s">
        <v>93</v>
      </c>
      <c r="O12" s="11" t="s">
        <v>70</v>
      </c>
      <c r="P12" s="1" t="s">
        <v>57</v>
      </c>
      <c r="Q12" s="24">
        <v>1</v>
      </c>
      <c r="R12" s="18">
        <v>124.93</v>
      </c>
      <c r="S12" s="18">
        <f>R12*W12</f>
        <v>28.733900000000002</v>
      </c>
      <c r="T12" s="12">
        <v>105.87</v>
      </c>
      <c r="U12" s="1" t="s">
        <v>84</v>
      </c>
      <c r="V12" s="1" t="s">
        <v>85</v>
      </c>
      <c r="W12" s="13">
        <v>0.23</v>
      </c>
      <c r="X12" s="12">
        <v>24.35</v>
      </c>
      <c r="Y12" s="12">
        <v>0</v>
      </c>
      <c r="Z12" s="1" t="s">
        <v>56</v>
      </c>
      <c r="AG12" s="19"/>
      <c r="AH12" s="19"/>
    </row>
    <row r="13" spans="1:34">
      <c r="A13" s="1" t="s">
        <v>219</v>
      </c>
      <c r="B13" s="1" t="s">
        <v>311</v>
      </c>
      <c r="C13" s="1" t="s">
        <v>346</v>
      </c>
      <c r="D13" s="11">
        <v>8325282</v>
      </c>
      <c r="E13" s="1" t="s">
        <v>383</v>
      </c>
      <c r="F13" s="1" t="s">
        <v>380</v>
      </c>
      <c r="G13" s="1" t="s">
        <v>275</v>
      </c>
      <c r="H13" s="1" t="s">
        <v>276</v>
      </c>
      <c r="I13" s="1" t="s">
        <v>51</v>
      </c>
      <c r="J13" s="1" t="s">
        <v>52</v>
      </c>
      <c r="K13" s="1" t="s">
        <v>222</v>
      </c>
      <c r="L13" s="1" t="s">
        <v>325</v>
      </c>
      <c r="M13" s="1" t="s">
        <v>376</v>
      </c>
      <c r="N13" s="1" t="s">
        <v>277</v>
      </c>
      <c r="O13" s="11" t="s">
        <v>274</v>
      </c>
      <c r="P13" s="1" t="s">
        <v>57</v>
      </c>
      <c r="Q13" s="24">
        <v>1</v>
      </c>
      <c r="R13" s="18">
        <v>36.08</v>
      </c>
      <c r="S13" s="18">
        <f>R13*W13</f>
        <v>1.0823999999999998</v>
      </c>
      <c r="T13" s="12">
        <v>36.08</v>
      </c>
      <c r="U13" s="1" t="s">
        <v>84</v>
      </c>
      <c r="V13" s="1" t="s">
        <v>85</v>
      </c>
      <c r="W13" s="13">
        <v>0.03</v>
      </c>
      <c r="X13" s="12">
        <v>1.08</v>
      </c>
      <c r="Y13" s="12">
        <v>0</v>
      </c>
      <c r="Z13" s="1" t="s">
        <v>56</v>
      </c>
    </row>
    <row r="14" spans="1:34">
      <c r="A14" s="1" t="s">
        <v>48</v>
      </c>
      <c r="B14" s="1" t="s">
        <v>293</v>
      </c>
      <c r="C14" s="1" t="s">
        <v>330</v>
      </c>
      <c r="D14" s="11" t="s">
        <v>360</v>
      </c>
      <c r="E14" s="1" t="s">
        <v>383</v>
      </c>
      <c r="F14" s="1" t="s">
        <v>379</v>
      </c>
      <c r="G14" s="1" t="s">
        <v>49</v>
      </c>
      <c r="H14" s="1" t="s">
        <v>50</v>
      </c>
      <c r="I14" s="1" t="s">
        <v>51</v>
      </c>
      <c r="J14" s="1" t="s">
        <v>52</v>
      </c>
      <c r="K14" s="1" t="s">
        <v>53</v>
      </c>
      <c r="L14" s="1" t="s">
        <v>318</v>
      </c>
      <c r="M14" s="1" t="s">
        <v>362</v>
      </c>
      <c r="N14" s="1" t="s">
        <v>54</v>
      </c>
      <c r="O14" s="11" t="s">
        <v>55</v>
      </c>
      <c r="P14" s="1" t="s">
        <v>57</v>
      </c>
      <c r="Q14" s="24">
        <v>1</v>
      </c>
      <c r="R14" s="18">
        <v>239.28</v>
      </c>
      <c r="S14" s="18">
        <f>R14*W14</f>
        <v>49.53096</v>
      </c>
      <c r="T14" s="12">
        <v>239.28</v>
      </c>
      <c r="U14" s="1" t="s">
        <v>60</v>
      </c>
      <c r="V14" s="1" t="s">
        <v>61</v>
      </c>
      <c r="W14" s="13">
        <v>0.20699999999999999</v>
      </c>
      <c r="X14" s="12">
        <v>49.53</v>
      </c>
      <c r="Y14" s="12">
        <v>0</v>
      </c>
      <c r="Z14" s="1" t="s">
        <v>56</v>
      </c>
    </row>
    <row r="15" spans="1:34">
      <c r="A15" s="1" t="s">
        <v>94</v>
      </c>
      <c r="B15" s="1" t="s">
        <v>298</v>
      </c>
      <c r="C15" s="1" t="s">
        <v>335</v>
      </c>
      <c r="D15" s="11">
        <v>17094718</v>
      </c>
      <c r="E15" s="1" t="s">
        <v>383</v>
      </c>
      <c r="F15" s="1" t="s">
        <v>381</v>
      </c>
      <c r="G15" s="1" t="s">
        <v>95</v>
      </c>
      <c r="H15" s="1" t="s">
        <v>96</v>
      </c>
      <c r="I15" s="1" t="s">
        <v>51</v>
      </c>
      <c r="J15" s="1" t="s">
        <v>52</v>
      </c>
      <c r="K15" s="1" t="s">
        <v>53</v>
      </c>
      <c r="L15" s="1" t="s">
        <v>318</v>
      </c>
      <c r="M15" s="1" t="s">
        <v>364</v>
      </c>
      <c r="N15" s="1" t="s">
        <v>97</v>
      </c>
      <c r="O15" s="11" t="s">
        <v>70</v>
      </c>
      <c r="P15" s="1" t="s">
        <v>57</v>
      </c>
      <c r="Q15" s="24">
        <v>1</v>
      </c>
      <c r="R15" s="18">
        <v>279.66000000000003</v>
      </c>
      <c r="S15" s="18">
        <f>R15*W15</f>
        <v>64.32180000000001</v>
      </c>
      <c r="T15" s="12">
        <v>192.36</v>
      </c>
      <c r="U15" s="1" t="s">
        <v>84</v>
      </c>
      <c r="V15" s="1" t="s">
        <v>85</v>
      </c>
      <c r="W15" s="13">
        <v>0.23</v>
      </c>
      <c r="X15" s="12">
        <v>44.24</v>
      </c>
      <c r="Y15" s="12">
        <v>0</v>
      </c>
      <c r="Z15" s="1" t="s">
        <v>56</v>
      </c>
      <c r="AG15" s="19"/>
      <c r="AH15" s="19"/>
    </row>
    <row r="16" spans="1:34">
      <c r="A16" s="1" t="s">
        <v>71</v>
      </c>
      <c r="B16" s="1" t="s">
        <v>295</v>
      </c>
      <c r="C16" s="1" t="s">
        <v>332</v>
      </c>
      <c r="D16" s="11">
        <v>8814784</v>
      </c>
      <c r="E16" s="1" t="s">
        <v>383</v>
      </c>
      <c r="F16" s="1" t="s">
        <v>379</v>
      </c>
      <c r="G16" s="1" t="s">
        <v>72</v>
      </c>
      <c r="H16" s="1" t="s">
        <v>73</v>
      </c>
      <c r="I16" s="1" t="s">
        <v>51</v>
      </c>
      <c r="J16" s="1" t="s">
        <v>52</v>
      </c>
      <c r="K16" s="1" t="s">
        <v>53</v>
      </c>
      <c r="L16" s="1" t="s">
        <v>318</v>
      </c>
      <c r="M16" s="1" t="s">
        <v>364</v>
      </c>
      <c r="N16" s="1" t="s">
        <v>74</v>
      </c>
      <c r="O16" s="11" t="s">
        <v>70</v>
      </c>
      <c r="P16" s="1" t="s">
        <v>57</v>
      </c>
      <c r="Q16" s="24">
        <v>1</v>
      </c>
      <c r="R16" s="18">
        <v>180.27</v>
      </c>
      <c r="S16" s="18">
        <f>R16*W16</f>
        <v>41.462100000000007</v>
      </c>
      <c r="T16" s="12">
        <v>180.27</v>
      </c>
      <c r="U16" s="1" t="s">
        <v>60</v>
      </c>
      <c r="V16" s="1" t="s">
        <v>61</v>
      </c>
      <c r="W16" s="13">
        <v>0.23</v>
      </c>
      <c r="X16" s="12">
        <v>41.46</v>
      </c>
      <c r="Y16" s="12">
        <v>0</v>
      </c>
      <c r="Z16" s="1" t="s">
        <v>56</v>
      </c>
      <c r="AG16" s="19"/>
      <c r="AH16" s="19"/>
    </row>
    <row r="17" spans="1:34" s="19" customFormat="1">
      <c r="A17" s="1" t="s">
        <v>219</v>
      </c>
      <c r="B17" s="1" t="s">
        <v>311</v>
      </c>
      <c r="C17" s="1" t="s">
        <v>346</v>
      </c>
      <c r="D17" s="11">
        <v>8325282</v>
      </c>
      <c r="E17" s="1" t="s">
        <v>383</v>
      </c>
      <c r="F17" s="1" t="s">
        <v>381</v>
      </c>
      <c r="G17" s="1" t="s">
        <v>278</v>
      </c>
      <c r="H17" s="1" t="s">
        <v>279</v>
      </c>
      <c r="I17" s="1" t="s">
        <v>51</v>
      </c>
      <c r="J17" s="1" t="s">
        <v>52</v>
      </c>
      <c r="K17" s="1" t="s">
        <v>222</v>
      </c>
      <c r="L17" s="1" t="s">
        <v>325</v>
      </c>
      <c r="M17" s="1" t="s">
        <v>376</v>
      </c>
      <c r="N17" s="1" t="s">
        <v>97</v>
      </c>
      <c r="O17" s="11" t="s">
        <v>70</v>
      </c>
      <c r="P17" s="1" t="s">
        <v>57</v>
      </c>
      <c r="Q17" s="24">
        <v>1</v>
      </c>
      <c r="R17" s="18">
        <v>36.08</v>
      </c>
      <c r="S17" s="18">
        <f>R17*W17</f>
        <v>1.0823999999999998</v>
      </c>
      <c r="T17" s="12">
        <v>36.08</v>
      </c>
      <c r="U17" s="1" t="s">
        <v>84</v>
      </c>
      <c r="V17" s="1" t="s">
        <v>85</v>
      </c>
      <c r="W17" s="13">
        <v>0.03</v>
      </c>
      <c r="X17" s="12">
        <v>1.08</v>
      </c>
      <c r="Y17" s="12">
        <v>0</v>
      </c>
      <c r="Z17" s="1" t="s">
        <v>56</v>
      </c>
      <c r="AA17" s="1"/>
      <c r="AB17" s="1"/>
      <c r="AC17" s="1"/>
      <c r="AD17" s="1"/>
      <c r="AE17" s="1"/>
      <c r="AF17" s="1"/>
      <c r="AG17" s="1"/>
      <c r="AH17" s="1"/>
    </row>
    <row r="18" spans="1:34" s="19" customFormat="1">
      <c r="A18" s="1" t="s">
        <v>219</v>
      </c>
      <c r="B18" s="1" t="s">
        <v>311</v>
      </c>
      <c r="C18" s="1" t="s">
        <v>346</v>
      </c>
      <c r="D18" s="11">
        <v>8325282</v>
      </c>
      <c r="E18" s="1" t="s">
        <v>383</v>
      </c>
      <c r="F18" s="1" t="s">
        <v>380</v>
      </c>
      <c r="G18" s="1" t="s">
        <v>280</v>
      </c>
      <c r="H18" s="1" t="s">
        <v>281</v>
      </c>
      <c r="I18" s="1" t="s">
        <v>51</v>
      </c>
      <c r="J18" s="1" t="s">
        <v>123</v>
      </c>
      <c r="K18" s="1" t="s">
        <v>222</v>
      </c>
      <c r="L18" s="1" t="s">
        <v>325</v>
      </c>
      <c r="M18" s="1" t="s">
        <v>376</v>
      </c>
      <c r="N18" s="1" t="s">
        <v>97</v>
      </c>
      <c r="O18" s="11" t="s">
        <v>70</v>
      </c>
      <c r="P18" s="1" t="s">
        <v>57</v>
      </c>
      <c r="Q18" s="24">
        <v>1</v>
      </c>
      <c r="R18" s="18">
        <v>36.08</v>
      </c>
      <c r="S18" s="18">
        <f>R18*W18</f>
        <v>1.0823999999999998</v>
      </c>
      <c r="T18" s="12">
        <v>36.08</v>
      </c>
      <c r="U18" s="1" t="s">
        <v>84</v>
      </c>
      <c r="V18" s="1" t="s">
        <v>85</v>
      </c>
      <c r="W18" s="13">
        <v>0.03</v>
      </c>
      <c r="X18" s="12">
        <v>1.08</v>
      </c>
      <c r="Y18" s="12">
        <v>0</v>
      </c>
      <c r="Z18" s="1" t="s">
        <v>56</v>
      </c>
      <c r="AA18" s="1"/>
      <c r="AB18" s="1"/>
      <c r="AC18" s="1"/>
      <c r="AD18" s="1"/>
      <c r="AE18" s="1"/>
      <c r="AF18" s="1"/>
      <c r="AG18" s="1"/>
      <c r="AH18" s="1"/>
    </row>
    <row r="19" spans="1:34" s="19" customFormat="1">
      <c r="A19" s="1" t="s">
        <v>223</v>
      </c>
      <c r="B19" s="1" t="s">
        <v>312</v>
      </c>
      <c r="C19" s="1" t="s">
        <v>347</v>
      </c>
      <c r="D19" s="11">
        <v>22160550</v>
      </c>
      <c r="E19" s="1" t="s">
        <v>383</v>
      </c>
      <c r="F19" s="1" t="s">
        <v>379</v>
      </c>
      <c r="G19" s="1" t="s">
        <v>224</v>
      </c>
      <c r="H19" s="1" t="s">
        <v>225</v>
      </c>
      <c r="I19" s="1" t="s">
        <v>226</v>
      </c>
      <c r="J19" s="1" t="s">
        <v>52</v>
      </c>
      <c r="K19" s="1" t="s">
        <v>227</v>
      </c>
      <c r="L19" s="1" t="s">
        <v>326</v>
      </c>
      <c r="M19" s="1" t="s">
        <v>376</v>
      </c>
      <c r="N19" s="1" t="s">
        <v>228</v>
      </c>
      <c r="O19" s="11" t="s">
        <v>229</v>
      </c>
      <c r="P19" s="1" t="s">
        <v>57</v>
      </c>
      <c r="Q19" s="24">
        <v>1</v>
      </c>
      <c r="R19" s="18">
        <v>75.489999999999995</v>
      </c>
      <c r="S19" s="18">
        <f>R19*W19</f>
        <v>39.254799999999996</v>
      </c>
      <c r="T19" s="12">
        <v>75.489999999999995</v>
      </c>
      <c r="U19" s="1" t="s">
        <v>60</v>
      </c>
      <c r="V19" s="1" t="s">
        <v>61</v>
      </c>
      <c r="W19" s="13">
        <v>0.52</v>
      </c>
      <c r="X19" s="12">
        <v>39.25</v>
      </c>
      <c r="Y19" s="12">
        <v>0</v>
      </c>
      <c r="Z19" s="1" t="s">
        <v>56</v>
      </c>
      <c r="AA19" s="1"/>
      <c r="AB19" s="1"/>
      <c r="AC19" s="1"/>
      <c r="AD19" s="1"/>
      <c r="AE19" s="1"/>
      <c r="AF19" s="1"/>
      <c r="AG19" s="1"/>
      <c r="AH19" s="1"/>
    </row>
    <row r="20" spans="1:34" s="19" customFormat="1">
      <c r="A20" s="1" t="s">
        <v>269</v>
      </c>
      <c r="B20" s="1" t="s">
        <v>317</v>
      </c>
      <c r="C20" s="1" t="s">
        <v>353</v>
      </c>
      <c r="D20" s="11" t="s">
        <v>359</v>
      </c>
      <c r="E20" s="1" t="s">
        <v>383</v>
      </c>
      <c r="F20" s="1" t="s">
        <v>381</v>
      </c>
      <c r="G20" s="1" t="s">
        <v>270</v>
      </c>
      <c r="H20" s="1" t="s">
        <v>271</v>
      </c>
      <c r="I20" s="1" t="s">
        <v>272</v>
      </c>
      <c r="J20" s="1" t="s">
        <v>52</v>
      </c>
      <c r="K20" s="1" t="s">
        <v>253</v>
      </c>
      <c r="L20" s="1" t="s">
        <v>328</v>
      </c>
      <c r="M20" s="1" t="s">
        <v>376</v>
      </c>
      <c r="N20" s="1" t="s">
        <v>273</v>
      </c>
      <c r="O20" s="11" t="s">
        <v>274</v>
      </c>
      <c r="P20" s="1" t="s">
        <v>57</v>
      </c>
      <c r="Q20" s="24">
        <v>1</v>
      </c>
      <c r="R20" s="18">
        <v>59.14</v>
      </c>
      <c r="S20" s="18">
        <f>R20*W20</f>
        <v>1.7742</v>
      </c>
      <c r="T20" s="12">
        <v>59.14</v>
      </c>
      <c r="U20" s="1" t="s">
        <v>84</v>
      </c>
      <c r="V20" s="1" t="s">
        <v>85</v>
      </c>
      <c r="W20" s="13">
        <v>0.03</v>
      </c>
      <c r="X20" s="12">
        <v>1.77</v>
      </c>
      <c r="Y20" s="12">
        <v>0</v>
      </c>
      <c r="Z20" s="1" t="s">
        <v>56</v>
      </c>
      <c r="AA20" s="1"/>
      <c r="AB20" s="1"/>
      <c r="AC20" s="1"/>
      <c r="AD20" s="1"/>
      <c r="AE20" s="1"/>
      <c r="AF20" s="1"/>
      <c r="AG20" s="1"/>
      <c r="AH20" s="1"/>
    </row>
    <row r="21" spans="1:34">
      <c r="A21" s="1" t="s">
        <v>219</v>
      </c>
      <c r="B21" s="1" t="s">
        <v>311</v>
      </c>
      <c r="C21" s="1" t="s">
        <v>346</v>
      </c>
      <c r="D21" s="11">
        <v>8325282</v>
      </c>
      <c r="E21" s="1" t="s">
        <v>383</v>
      </c>
      <c r="F21" s="1" t="s">
        <v>380</v>
      </c>
      <c r="G21" s="1" t="s">
        <v>282</v>
      </c>
      <c r="H21" s="1" t="s">
        <v>283</v>
      </c>
      <c r="I21" s="1" t="s">
        <v>51</v>
      </c>
      <c r="J21" s="1" t="s">
        <v>52</v>
      </c>
      <c r="K21" s="1" t="s">
        <v>222</v>
      </c>
      <c r="L21" s="1" t="s">
        <v>325</v>
      </c>
      <c r="M21" s="1" t="s">
        <v>376</v>
      </c>
      <c r="N21" s="1" t="s">
        <v>284</v>
      </c>
      <c r="O21" s="11" t="s">
        <v>285</v>
      </c>
      <c r="P21" s="1" t="s">
        <v>57</v>
      </c>
      <c r="Q21" s="24">
        <v>1</v>
      </c>
      <c r="R21" s="18">
        <v>36.08</v>
      </c>
      <c r="S21" s="18">
        <f>R21*W21</f>
        <v>1.0823999999999998</v>
      </c>
      <c r="T21" s="12">
        <v>36.08</v>
      </c>
      <c r="U21" s="1" t="s">
        <v>84</v>
      </c>
      <c r="V21" s="1" t="s">
        <v>85</v>
      </c>
      <c r="W21" s="13">
        <v>0.03</v>
      </c>
      <c r="X21" s="12">
        <v>1.08</v>
      </c>
      <c r="Y21" s="12">
        <v>0</v>
      </c>
      <c r="Z21" s="1" t="s">
        <v>56</v>
      </c>
    </row>
    <row r="22" spans="1:34" s="19" customFormat="1">
      <c r="A22" s="1" t="s">
        <v>80</v>
      </c>
      <c r="B22" s="1" t="s">
        <v>297</v>
      </c>
      <c r="C22" s="1" t="s">
        <v>334</v>
      </c>
      <c r="D22" s="11">
        <v>19200754</v>
      </c>
      <c r="E22" s="1" t="s">
        <v>383</v>
      </c>
      <c r="F22" s="1" t="s">
        <v>381</v>
      </c>
      <c r="G22" s="1" t="s">
        <v>81</v>
      </c>
      <c r="H22" s="1" t="s">
        <v>82</v>
      </c>
      <c r="I22" s="1" t="s">
        <v>51</v>
      </c>
      <c r="J22" s="1" t="s">
        <v>52</v>
      </c>
      <c r="K22" s="1" t="s">
        <v>53</v>
      </c>
      <c r="L22" s="1" t="s">
        <v>318</v>
      </c>
      <c r="M22" s="1" t="s">
        <v>364</v>
      </c>
      <c r="N22" s="1" t="s">
        <v>83</v>
      </c>
      <c r="O22" s="11" t="s">
        <v>70</v>
      </c>
      <c r="P22" s="1" t="s">
        <v>57</v>
      </c>
      <c r="Q22" s="24">
        <v>1</v>
      </c>
      <c r="R22" s="18">
        <v>227.17</v>
      </c>
      <c r="S22" s="18">
        <f>R22*W22</f>
        <v>52.249099999999999</v>
      </c>
      <c r="T22" s="12">
        <v>162.27000000000001</v>
      </c>
      <c r="U22" s="1" t="s">
        <v>84</v>
      </c>
      <c r="V22" s="1" t="s">
        <v>85</v>
      </c>
      <c r="W22" s="13">
        <v>0.23</v>
      </c>
      <c r="X22" s="12">
        <v>37.32</v>
      </c>
      <c r="Y22" s="12">
        <v>0</v>
      </c>
      <c r="Z22" s="1" t="s">
        <v>56</v>
      </c>
      <c r="AA22" s="1"/>
      <c r="AB22" s="1"/>
      <c r="AC22" s="1"/>
      <c r="AD22" s="1"/>
      <c r="AE22" s="1"/>
      <c r="AF22" s="1"/>
      <c r="AG22" s="1"/>
      <c r="AH22" s="1"/>
    </row>
    <row r="23" spans="1:34">
      <c r="A23" s="1" t="s">
        <v>75</v>
      </c>
      <c r="B23" s="1" t="s">
        <v>296</v>
      </c>
      <c r="C23" s="1" t="s">
        <v>333</v>
      </c>
      <c r="D23" s="11">
        <v>8307933</v>
      </c>
      <c r="E23" s="1" t="s">
        <v>383</v>
      </c>
      <c r="F23" s="1" t="s">
        <v>380</v>
      </c>
      <c r="G23" s="1" t="s">
        <v>86</v>
      </c>
      <c r="H23" s="1" t="s">
        <v>87</v>
      </c>
      <c r="I23" s="1" t="s">
        <v>51</v>
      </c>
      <c r="J23" s="1" t="s">
        <v>88</v>
      </c>
      <c r="K23" s="1" t="s">
        <v>53</v>
      </c>
      <c r="L23" s="1" t="s">
        <v>318</v>
      </c>
      <c r="M23" s="1" t="s">
        <v>365</v>
      </c>
      <c r="N23" s="1" t="s">
        <v>89</v>
      </c>
      <c r="O23" s="11" t="s">
        <v>90</v>
      </c>
      <c r="P23" s="1" t="s">
        <v>57</v>
      </c>
      <c r="Q23" s="24">
        <v>1</v>
      </c>
      <c r="R23" s="18">
        <v>216.9</v>
      </c>
      <c r="S23" s="18">
        <f>R23*W23</f>
        <v>49.887</v>
      </c>
      <c r="T23" s="12">
        <v>199.91</v>
      </c>
      <c r="U23" s="1" t="s">
        <v>84</v>
      </c>
      <c r="V23" s="1" t="s">
        <v>85</v>
      </c>
      <c r="W23" s="13">
        <v>0.23</v>
      </c>
      <c r="X23" s="12">
        <v>45.98</v>
      </c>
      <c r="Y23" s="12">
        <v>0</v>
      </c>
      <c r="Z23" s="1" t="s">
        <v>56</v>
      </c>
    </row>
    <row r="24" spans="1:34">
      <c r="A24" s="1" t="s">
        <v>64</v>
      </c>
      <c r="B24" s="1" t="s">
        <v>294</v>
      </c>
      <c r="C24" s="1" t="s">
        <v>331</v>
      </c>
      <c r="D24" s="11">
        <v>16228684</v>
      </c>
      <c r="E24" s="1" t="s">
        <v>383</v>
      </c>
      <c r="F24" s="1" t="s">
        <v>380</v>
      </c>
      <c r="G24" s="1" t="s">
        <v>242</v>
      </c>
      <c r="H24" s="1" t="s">
        <v>243</v>
      </c>
      <c r="I24" s="1" t="s">
        <v>226</v>
      </c>
      <c r="J24" s="1" t="s">
        <v>52</v>
      </c>
      <c r="K24" s="1" t="s">
        <v>227</v>
      </c>
      <c r="L24" s="1" t="s">
        <v>326</v>
      </c>
      <c r="M24" s="1" t="s">
        <v>376</v>
      </c>
      <c r="N24" s="1" t="s">
        <v>244</v>
      </c>
      <c r="O24" s="11" t="s">
        <v>70</v>
      </c>
      <c r="P24" s="1" t="s">
        <v>57</v>
      </c>
      <c r="Q24" s="24">
        <v>1</v>
      </c>
      <c r="R24" s="18">
        <v>74.209999999999994</v>
      </c>
      <c r="S24" s="18">
        <f>R24*W24</f>
        <v>38.589199999999998</v>
      </c>
      <c r="T24" s="12">
        <v>74.209999999999994</v>
      </c>
      <c r="U24" s="1" t="s">
        <v>60</v>
      </c>
      <c r="V24" s="1" t="s">
        <v>61</v>
      </c>
      <c r="W24" s="13">
        <v>0.52</v>
      </c>
      <c r="X24" s="12">
        <v>38.590000000000003</v>
      </c>
      <c r="Y24" s="12">
        <v>0</v>
      </c>
      <c r="Z24" s="1" t="s">
        <v>56</v>
      </c>
    </row>
    <row r="25" spans="1:34">
      <c r="A25" s="1" t="s">
        <v>64</v>
      </c>
      <c r="B25" s="1" t="s">
        <v>294</v>
      </c>
      <c r="C25" s="1" t="s">
        <v>331</v>
      </c>
      <c r="D25" s="11">
        <v>16228684</v>
      </c>
      <c r="E25" s="1" t="s">
        <v>383</v>
      </c>
      <c r="F25" s="1" t="s">
        <v>380</v>
      </c>
      <c r="G25" s="1" t="s">
        <v>245</v>
      </c>
      <c r="H25" s="1" t="s">
        <v>246</v>
      </c>
      <c r="I25" s="1" t="s">
        <v>226</v>
      </c>
      <c r="J25" s="1" t="s">
        <v>52</v>
      </c>
      <c r="K25" s="1" t="s">
        <v>227</v>
      </c>
      <c r="L25" s="1" t="s">
        <v>326</v>
      </c>
      <c r="M25" s="1" t="s">
        <v>376</v>
      </c>
      <c r="N25" s="1" t="s">
        <v>244</v>
      </c>
      <c r="O25" s="11" t="s">
        <v>70</v>
      </c>
      <c r="P25" s="1" t="s">
        <v>57</v>
      </c>
      <c r="Q25" s="24">
        <v>1</v>
      </c>
      <c r="R25" s="18">
        <v>74.209999999999994</v>
      </c>
      <c r="S25" s="18">
        <f>R25*W25</f>
        <v>38.589199999999998</v>
      </c>
      <c r="T25" s="12">
        <v>74.209999999999994</v>
      </c>
      <c r="U25" s="1" t="s">
        <v>60</v>
      </c>
      <c r="V25" s="1" t="s">
        <v>61</v>
      </c>
      <c r="W25" s="13">
        <v>0.52</v>
      </c>
      <c r="X25" s="12">
        <v>38.590000000000003</v>
      </c>
      <c r="Y25" s="12">
        <v>0</v>
      </c>
      <c r="Z25" s="1" t="s">
        <v>56</v>
      </c>
    </row>
    <row r="26" spans="1:34">
      <c r="A26" s="1" t="s">
        <v>99</v>
      </c>
      <c r="B26" s="1" t="s">
        <v>299</v>
      </c>
      <c r="C26" s="1" t="s">
        <v>336</v>
      </c>
      <c r="D26" s="11" t="s">
        <v>354</v>
      </c>
      <c r="E26" s="1" t="s">
        <v>383</v>
      </c>
      <c r="F26" s="1" t="s">
        <v>380</v>
      </c>
      <c r="G26" s="1" t="s">
        <v>100</v>
      </c>
      <c r="H26" s="1" t="s">
        <v>101</v>
      </c>
      <c r="I26" s="1" t="s">
        <v>102</v>
      </c>
      <c r="J26" s="1" t="s">
        <v>88</v>
      </c>
      <c r="K26" s="1" t="s">
        <v>103</v>
      </c>
      <c r="L26" s="1" t="s">
        <v>318</v>
      </c>
      <c r="M26" s="1" t="s">
        <v>366</v>
      </c>
      <c r="N26" s="1" t="s">
        <v>104</v>
      </c>
      <c r="O26" s="11" t="s">
        <v>70</v>
      </c>
      <c r="P26" s="1" t="s">
        <v>57</v>
      </c>
      <c r="Q26" s="24">
        <v>1</v>
      </c>
      <c r="R26" s="18">
        <v>183.59</v>
      </c>
      <c r="S26" s="18">
        <f>R26*W26</f>
        <v>39.471850000000003</v>
      </c>
      <c r="T26" s="12">
        <v>137.74</v>
      </c>
      <c r="U26" s="1" t="s">
        <v>84</v>
      </c>
      <c r="V26" s="1" t="s">
        <v>85</v>
      </c>
      <c r="W26" s="13">
        <v>0.215</v>
      </c>
      <c r="X26" s="12">
        <v>29.61</v>
      </c>
      <c r="Y26" s="12">
        <v>0</v>
      </c>
      <c r="Z26" s="1" t="s">
        <v>56</v>
      </c>
    </row>
    <row r="27" spans="1:34">
      <c r="A27" s="1" t="s">
        <v>99</v>
      </c>
      <c r="B27" s="1" t="s">
        <v>299</v>
      </c>
      <c r="C27" s="1" t="s">
        <v>336</v>
      </c>
      <c r="D27" s="11" t="s">
        <v>354</v>
      </c>
      <c r="E27" s="1" t="s">
        <v>383</v>
      </c>
      <c r="F27" s="1" t="s">
        <v>380</v>
      </c>
      <c r="G27" s="1" t="s">
        <v>105</v>
      </c>
      <c r="H27" s="1" t="s">
        <v>106</v>
      </c>
      <c r="I27" s="1" t="s">
        <v>102</v>
      </c>
      <c r="J27" s="1" t="s">
        <v>88</v>
      </c>
      <c r="K27" s="1" t="s">
        <v>103</v>
      </c>
      <c r="L27" s="1" t="s">
        <v>318</v>
      </c>
      <c r="M27" s="1" t="s">
        <v>366</v>
      </c>
      <c r="N27" s="1" t="s">
        <v>104</v>
      </c>
      <c r="O27" s="11" t="s">
        <v>70</v>
      </c>
      <c r="P27" s="1" t="s">
        <v>57</v>
      </c>
      <c r="Q27" s="24">
        <v>1</v>
      </c>
      <c r="R27" s="18">
        <v>333.37</v>
      </c>
      <c r="S27" s="18">
        <f>R27*W27</f>
        <v>71.674549999999996</v>
      </c>
      <c r="T27" s="12">
        <v>229.97</v>
      </c>
      <c r="U27" s="1" t="s">
        <v>84</v>
      </c>
      <c r="V27" s="1" t="s">
        <v>85</v>
      </c>
      <c r="W27" s="13">
        <v>0.215</v>
      </c>
      <c r="X27" s="12">
        <v>49.44</v>
      </c>
      <c r="Y27" s="12">
        <v>0</v>
      </c>
      <c r="Z27" s="1" t="s">
        <v>56</v>
      </c>
    </row>
    <row r="28" spans="1:34">
      <c r="A28" s="1" t="s">
        <v>250</v>
      </c>
      <c r="B28" s="1" t="s">
        <v>315</v>
      </c>
      <c r="C28" s="1" t="s">
        <v>350</v>
      </c>
      <c r="D28" s="11" t="s">
        <v>361</v>
      </c>
      <c r="E28" s="1" t="s">
        <v>383</v>
      </c>
      <c r="F28" s="1" t="s">
        <v>379</v>
      </c>
      <c r="G28" s="1" t="s">
        <v>251</v>
      </c>
      <c r="H28" s="1" t="s">
        <v>252</v>
      </c>
      <c r="I28" s="1" t="s">
        <v>51</v>
      </c>
      <c r="J28" s="1" t="s">
        <v>52</v>
      </c>
      <c r="K28" s="1" t="s">
        <v>253</v>
      </c>
      <c r="L28" s="1" t="s">
        <v>328</v>
      </c>
      <c r="M28" s="1" t="s">
        <v>376</v>
      </c>
      <c r="N28" s="1" t="s">
        <v>244</v>
      </c>
      <c r="O28" s="11" t="s">
        <v>70</v>
      </c>
      <c r="P28" s="1" t="s">
        <v>57</v>
      </c>
      <c r="Q28" s="24">
        <v>1</v>
      </c>
      <c r="R28" s="18">
        <v>63.16</v>
      </c>
      <c r="S28" s="18">
        <f>R28*W28</f>
        <v>32.843199999999996</v>
      </c>
      <c r="T28" s="12">
        <v>63.16</v>
      </c>
      <c r="U28" s="1" t="s">
        <v>60</v>
      </c>
      <c r="V28" s="1" t="s">
        <v>61</v>
      </c>
      <c r="W28" s="13">
        <v>0.52</v>
      </c>
      <c r="X28" s="12">
        <v>32.840000000000003</v>
      </c>
      <c r="Y28" s="12">
        <v>0</v>
      </c>
      <c r="Z28" s="1" t="s">
        <v>56</v>
      </c>
      <c r="AG28" s="26"/>
      <c r="AH28" s="26"/>
    </row>
    <row r="29" spans="1:34">
      <c r="A29" s="1" t="s">
        <v>75</v>
      </c>
      <c r="B29" s="1" t="s">
        <v>296</v>
      </c>
      <c r="C29" s="1" t="s">
        <v>333</v>
      </c>
      <c r="D29" s="11">
        <v>8307933</v>
      </c>
      <c r="E29" s="1" t="s">
        <v>383</v>
      </c>
      <c r="F29" s="1" t="s">
        <v>380</v>
      </c>
      <c r="G29" s="1" t="s">
        <v>76</v>
      </c>
      <c r="H29" s="1" t="s">
        <v>77</v>
      </c>
      <c r="I29" s="1" t="s">
        <v>51</v>
      </c>
      <c r="J29" s="1" t="s">
        <v>52</v>
      </c>
      <c r="K29" s="1" t="s">
        <v>53</v>
      </c>
      <c r="L29" s="1" t="s">
        <v>318</v>
      </c>
      <c r="M29" s="1" t="s">
        <v>364</v>
      </c>
      <c r="N29" s="1" t="s">
        <v>78</v>
      </c>
      <c r="O29" s="11" t="s">
        <v>70</v>
      </c>
      <c r="P29" s="1" t="s">
        <v>57</v>
      </c>
      <c r="Q29" s="24">
        <v>1</v>
      </c>
      <c r="R29" s="18">
        <v>180.14</v>
      </c>
      <c r="S29" s="18">
        <f>R29*W29</f>
        <v>41.432200000000002</v>
      </c>
      <c r="T29" s="12">
        <v>180.14</v>
      </c>
      <c r="U29" s="1" t="s">
        <v>60</v>
      </c>
      <c r="V29" s="1" t="s">
        <v>61</v>
      </c>
      <c r="W29" s="13">
        <v>0.23</v>
      </c>
      <c r="X29" s="12">
        <v>41.43</v>
      </c>
      <c r="Y29" s="12">
        <v>0</v>
      </c>
      <c r="Z29" s="1" t="s">
        <v>56</v>
      </c>
      <c r="AG29" s="19"/>
      <c r="AH29" s="19"/>
    </row>
    <row r="30" spans="1:34" s="19" customFormat="1">
      <c r="A30" s="1" t="s">
        <v>250</v>
      </c>
      <c r="B30" s="1" t="s">
        <v>315</v>
      </c>
      <c r="C30" s="1" t="s">
        <v>350</v>
      </c>
      <c r="D30" s="11" t="s">
        <v>361</v>
      </c>
      <c r="E30" s="1" t="s">
        <v>383</v>
      </c>
      <c r="F30" s="1" t="s">
        <v>379</v>
      </c>
      <c r="G30" s="1" t="s">
        <v>254</v>
      </c>
      <c r="H30" s="1" t="s">
        <v>255</v>
      </c>
      <c r="I30" s="1" t="s">
        <v>51</v>
      </c>
      <c r="J30" s="1" t="s">
        <v>52</v>
      </c>
      <c r="K30" s="1" t="s">
        <v>227</v>
      </c>
      <c r="L30" s="1" t="s">
        <v>326</v>
      </c>
      <c r="M30" s="1" t="s">
        <v>376</v>
      </c>
      <c r="N30" s="1" t="s">
        <v>78</v>
      </c>
      <c r="O30" s="11" t="s">
        <v>70</v>
      </c>
      <c r="P30" s="1" t="s">
        <v>57</v>
      </c>
      <c r="Q30" s="24">
        <v>1</v>
      </c>
      <c r="R30" s="18">
        <v>72.33</v>
      </c>
      <c r="S30" s="18">
        <f>R30*W30</f>
        <v>37.611600000000003</v>
      </c>
      <c r="T30" s="12">
        <v>72.33</v>
      </c>
      <c r="U30" s="1" t="s">
        <v>60</v>
      </c>
      <c r="V30" s="1" t="s">
        <v>61</v>
      </c>
      <c r="W30" s="13">
        <v>0.52</v>
      </c>
      <c r="X30" s="12">
        <v>37.61</v>
      </c>
      <c r="Y30" s="12">
        <v>0</v>
      </c>
      <c r="Z30" s="1" t="s">
        <v>56</v>
      </c>
      <c r="AA30" s="1"/>
      <c r="AB30" s="1"/>
      <c r="AC30" s="1"/>
      <c r="AD30" s="1"/>
      <c r="AE30" s="1"/>
      <c r="AF30" s="1"/>
      <c r="AG30" s="26"/>
      <c r="AH30" s="26"/>
    </row>
    <row r="31" spans="1:34">
      <c r="A31" s="1" t="s">
        <v>259</v>
      </c>
      <c r="B31" s="1" t="s">
        <v>316</v>
      </c>
      <c r="C31" s="1" t="s">
        <v>352</v>
      </c>
      <c r="D31" s="11">
        <v>9079571</v>
      </c>
      <c r="E31" s="1" t="s">
        <v>383</v>
      </c>
      <c r="F31" s="1" t="s">
        <v>380</v>
      </c>
      <c r="G31" s="1" t="s">
        <v>264</v>
      </c>
      <c r="H31" s="1" t="s">
        <v>265</v>
      </c>
      <c r="I31" s="1" t="s">
        <v>130</v>
      </c>
      <c r="J31" s="1" t="s">
        <v>131</v>
      </c>
      <c r="K31" s="1" t="s">
        <v>266</v>
      </c>
      <c r="L31" s="1" t="s">
        <v>318</v>
      </c>
      <c r="M31" s="1" t="s">
        <v>364</v>
      </c>
      <c r="N31" s="1" t="s">
        <v>113</v>
      </c>
      <c r="O31" s="11" t="s">
        <v>70</v>
      </c>
      <c r="P31" s="1" t="s">
        <v>57</v>
      </c>
      <c r="Q31" s="24">
        <v>1</v>
      </c>
      <c r="R31" s="18">
        <v>204.03</v>
      </c>
      <c r="S31" s="18">
        <f>R31*W31</f>
        <v>46.926900000000003</v>
      </c>
      <c r="T31" s="12">
        <v>151.93</v>
      </c>
      <c r="U31" s="1" t="s">
        <v>84</v>
      </c>
      <c r="V31" s="1" t="s">
        <v>85</v>
      </c>
      <c r="W31" s="13">
        <v>0.23</v>
      </c>
      <c r="X31" s="12">
        <v>34.94</v>
      </c>
      <c r="Y31" s="12">
        <v>0</v>
      </c>
      <c r="Z31" s="1" t="s">
        <v>56</v>
      </c>
    </row>
    <row r="32" spans="1:34">
      <c r="A32" s="1" t="s">
        <v>99</v>
      </c>
      <c r="B32" s="1" t="s">
        <v>299</v>
      </c>
      <c r="C32" s="1" t="s">
        <v>336</v>
      </c>
      <c r="D32" s="11" t="s">
        <v>354</v>
      </c>
      <c r="E32" s="1" t="s">
        <v>383</v>
      </c>
      <c r="F32" s="1" t="s">
        <v>380</v>
      </c>
      <c r="G32" s="1" t="s">
        <v>111</v>
      </c>
      <c r="H32" s="1" t="s">
        <v>112</v>
      </c>
      <c r="I32" s="1" t="s">
        <v>102</v>
      </c>
      <c r="J32" s="1" t="s">
        <v>52</v>
      </c>
      <c r="K32" s="1" t="s">
        <v>109</v>
      </c>
      <c r="L32" s="1" t="s">
        <v>319</v>
      </c>
      <c r="M32" s="1" t="s">
        <v>367</v>
      </c>
      <c r="N32" s="1" t="s">
        <v>113</v>
      </c>
      <c r="O32" s="11" t="s">
        <v>114</v>
      </c>
      <c r="P32" s="1" t="s">
        <v>115</v>
      </c>
      <c r="Q32" s="24">
        <v>3</v>
      </c>
      <c r="R32" s="18">
        <v>285.72000000000003</v>
      </c>
      <c r="S32" s="18">
        <f>R32*W32</f>
        <v>72.85860000000001</v>
      </c>
      <c r="T32" s="12">
        <v>220.29</v>
      </c>
      <c r="U32" s="1" t="s">
        <v>84</v>
      </c>
      <c r="V32" s="1" t="s">
        <v>85</v>
      </c>
      <c r="W32" s="13">
        <v>0.255</v>
      </c>
      <c r="X32" s="12">
        <v>56.16</v>
      </c>
      <c r="Y32" s="12">
        <v>0</v>
      </c>
      <c r="Z32" s="1" t="s">
        <v>56</v>
      </c>
    </row>
    <row r="33" spans="1:34">
      <c r="A33" s="1" t="s">
        <v>259</v>
      </c>
      <c r="B33" s="1" t="s">
        <v>316</v>
      </c>
      <c r="C33" s="1" t="s">
        <v>352</v>
      </c>
      <c r="D33" s="11">
        <v>9079571</v>
      </c>
      <c r="E33" s="1" t="s">
        <v>383</v>
      </c>
      <c r="F33" s="1" t="s">
        <v>380</v>
      </c>
      <c r="G33" s="1" t="s">
        <v>267</v>
      </c>
      <c r="H33" s="1" t="s">
        <v>268</v>
      </c>
      <c r="I33" s="1" t="s">
        <v>130</v>
      </c>
      <c r="J33" s="1" t="s">
        <v>131</v>
      </c>
      <c r="K33" s="1" t="s">
        <v>266</v>
      </c>
      <c r="L33" s="1" t="s">
        <v>318</v>
      </c>
      <c r="M33" s="1" t="s">
        <v>364</v>
      </c>
      <c r="N33" s="1" t="s">
        <v>110</v>
      </c>
      <c r="O33" s="11" t="s">
        <v>70</v>
      </c>
      <c r="P33" s="1" t="s">
        <v>57</v>
      </c>
      <c r="Q33" s="24">
        <v>1</v>
      </c>
      <c r="R33" s="18">
        <v>177.4</v>
      </c>
      <c r="S33" s="18">
        <f>R33*W33</f>
        <v>40.802</v>
      </c>
      <c r="T33" s="12">
        <v>132.11000000000001</v>
      </c>
      <c r="U33" s="1" t="s">
        <v>84</v>
      </c>
      <c r="V33" s="1" t="s">
        <v>85</v>
      </c>
      <c r="W33" s="13">
        <v>0.23</v>
      </c>
      <c r="X33" s="12">
        <v>30.39</v>
      </c>
      <c r="Y33" s="12">
        <v>0</v>
      </c>
      <c r="Z33" s="1" t="s">
        <v>56</v>
      </c>
      <c r="AG33" s="19"/>
      <c r="AH33" s="19"/>
    </row>
    <row r="34" spans="1:34" s="26" customFormat="1">
      <c r="A34" s="1" t="s">
        <v>99</v>
      </c>
      <c r="B34" s="1" t="s">
        <v>299</v>
      </c>
      <c r="C34" s="1" t="s">
        <v>336</v>
      </c>
      <c r="D34" s="11" t="s">
        <v>354</v>
      </c>
      <c r="E34" s="1" t="s">
        <v>383</v>
      </c>
      <c r="F34" s="1" t="s">
        <v>380</v>
      </c>
      <c r="G34" s="1" t="s">
        <v>107</v>
      </c>
      <c r="H34" s="1" t="s">
        <v>108</v>
      </c>
      <c r="I34" s="1" t="s">
        <v>102</v>
      </c>
      <c r="J34" s="1" t="s">
        <v>52</v>
      </c>
      <c r="K34" s="1" t="s">
        <v>109</v>
      </c>
      <c r="L34" s="1" t="s">
        <v>319</v>
      </c>
      <c r="M34" s="1" t="s">
        <v>367</v>
      </c>
      <c r="N34" s="1" t="s">
        <v>110</v>
      </c>
      <c r="O34" s="11" t="s">
        <v>70</v>
      </c>
      <c r="P34" s="1" t="s">
        <v>57</v>
      </c>
      <c r="Q34" s="24">
        <v>1</v>
      </c>
      <c r="R34" s="18">
        <v>141.34</v>
      </c>
      <c r="S34" s="18">
        <f>R34*W34</f>
        <v>36.041699999999999</v>
      </c>
      <c r="T34" s="12">
        <v>99.8</v>
      </c>
      <c r="U34" s="1" t="s">
        <v>84</v>
      </c>
      <c r="V34" s="1" t="s">
        <v>85</v>
      </c>
      <c r="W34" s="13">
        <v>0.255</v>
      </c>
      <c r="X34" s="12">
        <v>25.45</v>
      </c>
      <c r="Y34" s="12">
        <v>0</v>
      </c>
      <c r="Z34" s="1" t="s">
        <v>56</v>
      </c>
      <c r="AA34" s="1"/>
      <c r="AB34" s="1"/>
      <c r="AC34" s="1"/>
      <c r="AD34" s="1"/>
      <c r="AE34" s="1"/>
      <c r="AF34" s="1"/>
      <c r="AG34" s="1"/>
      <c r="AH34" s="1"/>
    </row>
    <row r="35" spans="1:34" s="26" customFormat="1">
      <c r="A35" s="30" t="s">
        <v>119</v>
      </c>
      <c r="B35" s="30" t="s">
        <v>300</v>
      </c>
      <c r="C35" s="30" t="s">
        <v>337</v>
      </c>
      <c r="D35" s="31">
        <v>9213293</v>
      </c>
      <c r="E35" s="30" t="s">
        <v>383</v>
      </c>
      <c r="F35" s="30" t="s">
        <v>380</v>
      </c>
      <c r="G35" s="30" t="s">
        <v>120</v>
      </c>
      <c r="H35" s="30" t="s">
        <v>121</v>
      </c>
      <c r="I35" s="30" t="s">
        <v>122</v>
      </c>
      <c r="J35" s="30" t="s">
        <v>123</v>
      </c>
      <c r="K35" s="30" t="s">
        <v>124</v>
      </c>
      <c r="L35" s="30" t="s">
        <v>320</v>
      </c>
      <c r="M35" s="30" t="s">
        <v>368</v>
      </c>
      <c r="N35" s="30" t="s">
        <v>125</v>
      </c>
      <c r="O35" s="32">
        <v>46327</v>
      </c>
      <c r="P35" s="30" t="s">
        <v>57</v>
      </c>
      <c r="Q35" s="33">
        <v>1</v>
      </c>
      <c r="R35" s="34">
        <v>545.76</v>
      </c>
      <c r="S35" s="34">
        <f>R35*W35</f>
        <v>38.203200000000002</v>
      </c>
      <c r="T35" s="35">
        <v>48.57</v>
      </c>
      <c r="U35" s="30" t="s">
        <v>84</v>
      </c>
      <c r="V35" s="30" t="s">
        <v>85</v>
      </c>
      <c r="W35" s="36">
        <v>7.0000000000000007E-2</v>
      </c>
      <c r="X35" s="35">
        <v>3.4</v>
      </c>
      <c r="Y35" s="35">
        <v>0</v>
      </c>
      <c r="Z35" s="30" t="s">
        <v>56</v>
      </c>
      <c r="AA35" s="30"/>
      <c r="AB35" s="30"/>
      <c r="AC35" s="30"/>
      <c r="AD35" s="30"/>
      <c r="AE35" s="30"/>
      <c r="AF35" s="30"/>
      <c r="AG35" s="30"/>
      <c r="AH35" s="30"/>
    </row>
    <row r="36" spans="1:34" s="26" customFormat="1">
      <c r="A36" s="30" t="s">
        <v>119</v>
      </c>
      <c r="B36" s="30" t="s">
        <v>300</v>
      </c>
      <c r="C36" s="30" t="s">
        <v>337</v>
      </c>
      <c r="D36" s="31">
        <v>9213293</v>
      </c>
      <c r="E36" s="30" t="s">
        <v>383</v>
      </c>
      <c r="F36" s="30" t="s">
        <v>380</v>
      </c>
      <c r="G36" s="30" t="s">
        <v>120</v>
      </c>
      <c r="H36" s="30" t="s">
        <v>121</v>
      </c>
      <c r="I36" s="30" t="s">
        <v>122</v>
      </c>
      <c r="J36" s="30" t="s">
        <v>123</v>
      </c>
      <c r="K36" s="30" t="s">
        <v>124</v>
      </c>
      <c r="L36" s="30" t="s">
        <v>320</v>
      </c>
      <c r="M36" s="30" t="s">
        <v>368</v>
      </c>
      <c r="N36" s="30" t="s">
        <v>125</v>
      </c>
      <c r="O36" s="32">
        <v>46296</v>
      </c>
      <c r="P36" s="30" t="s">
        <v>57</v>
      </c>
      <c r="Q36" s="33">
        <v>1</v>
      </c>
      <c r="R36" s="34">
        <v>545.76</v>
      </c>
      <c r="S36" s="34">
        <f>R36*W36</f>
        <v>38.203200000000002</v>
      </c>
      <c r="T36" s="35">
        <v>48.57</v>
      </c>
      <c r="U36" s="30" t="s">
        <v>84</v>
      </c>
      <c r="V36" s="30" t="s">
        <v>85</v>
      </c>
      <c r="W36" s="36">
        <v>7.0000000000000007E-2</v>
      </c>
      <c r="X36" s="35">
        <v>3.4</v>
      </c>
      <c r="Y36" s="35">
        <v>0</v>
      </c>
      <c r="Z36" s="30" t="s">
        <v>56</v>
      </c>
      <c r="AA36" s="30"/>
      <c r="AB36" s="30"/>
      <c r="AC36" s="30"/>
      <c r="AD36" s="30"/>
      <c r="AE36" s="30"/>
      <c r="AF36" s="30"/>
      <c r="AG36" s="30"/>
      <c r="AH36" s="30"/>
    </row>
    <row r="37" spans="1:34">
      <c r="A37" s="30" t="s">
        <v>119</v>
      </c>
      <c r="B37" s="30" t="s">
        <v>300</v>
      </c>
      <c r="C37" s="30" t="s">
        <v>337</v>
      </c>
      <c r="D37" s="31">
        <v>9213293</v>
      </c>
      <c r="E37" s="30" t="s">
        <v>383</v>
      </c>
      <c r="F37" s="30" t="s">
        <v>380</v>
      </c>
      <c r="G37" s="30" t="s">
        <v>120</v>
      </c>
      <c r="H37" s="30" t="s">
        <v>121</v>
      </c>
      <c r="I37" s="30" t="s">
        <v>122</v>
      </c>
      <c r="J37" s="30" t="s">
        <v>123</v>
      </c>
      <c r="K37" s="30" t="s">
        <v>124</v>
      </c>
      <c r="L37" s="30" t="s">
        <v>320</v>
      </c>
      <c r="M37" s="30" t="s">
        <v>368</v>
      </c>
      <c r="N37" s="30" t="s">
        <v>125</v>
      </c>
      <c r="O37" s="32">
        <v>46266</v>
      </c>
      <c r="P37" s="30" t="s">
        <v>57</v>
      </c>
      <c r="Q37" s="33">
        <v>1</v>
      </c>
      <c r="R37" s="34">
        <v>545.76</v>
      </c>
      <c r="S37" s="34">
        <f>R37*W37</f>
        <v>38.203200000000002</v>
      </c>
      <c r="T37" s="35">
        <v>48.57</v>
      </c>
      <c r="U37" s="30" t="s">
        <v>84</v>
      </c>
      <c r="V37" s="30" t="s">
        <v>85</v>
      </c>
      <c r="W37" s="36">
        <v>7.0000000000000007E-2</v>
      </c>
      <c r="X37" s="35">
        <v>3.4</v>
      </c>
      <c r="Y37" s="35">
        <v>0</v>
      </c>
      <c r="Z37" s="30" t="s">
        <v>56</v>
      </c>
      <c r="AA37" s="30"/>
      <c r="AB37" s="30"/>
      <c r="AC37" s="30"/>
      <c r="AD37" s="30"/>
      <c r="AE37" s="30"/>
      <c r="AF37" s="30"/>
      <c r="AG37" s="30"/>
      <c r="AH37" s="30"/>
    </row>
    <row r="38" spans="1:34">
      <c r="A38" s="1" t="s">
        <v>149</v>
      </c>
      <c r="B38" s="1" t="s">
        <v>304</v>
      </c>
      <c r="C38" s="1" t="s">
        <v>339</v>
      </c>
      <c r="D38" s="11">
        <v>19491313</v>
      </c>
      <c r="E38" s="1" t="s">
        <v>383</v>
      </c>
      <c r="F38" s="1" t="s">
        <v>381</v>
      </c>
      <c r="G38" s="1" t="s">
        <v>150</v>
      </c>
      <c r="H38" s="1" t="s">
        <v>151</v>
      </c>
      <c r="I38" s="1" t="s">
        <v>152</v>
      </c>
      <c r="J38" s="1" t="s">
        <v>131</v>
      </c>
      <c r="K38" s="1" t="s">
        <v>132</v>
      </c>
      <c r="L38" s="1" t="s">
        <v>321</v>
      </c>
      <c r="M38" s="1" t="s">
        <v>370</v>
      </c>
      <c r="N38" s="1" t="s">
        <v>153</v>
      </c>
      <c r="O38" s="11" t="s">
        <v>154</v>
      </c>
      <c r="P38" s="1" t="s">
        <v>57</v>
      </c>
      <c r="Q38" s="24">
        <v>1</v>
      </c>
      <c r="R38" s="18">
        <v>56.05</v>
      </c>
      <c r="S38" s="18">
        <f>R38*W38</f>
        <v>75.667500000000004</v>
      </c>
      <c r="T38" s="12">
        <v>56.05</v>
      </c>
      <c r="U38" s="1" t="s">
        <v>60</v>
      </c>
      <c r="V38" s="1" t="s">
        <v>61</v>
      </c>
      <c r="W38" s="13">
        <v>1.35</v>
      </c>
      <c r="X38" s="12">
        <v>75.67</v>
      </c>
      <c r="Y38" s="12">
        <v>0</v>
      </c>
      <c r="Z38" s="1" t="s">
        <v>56</v>
      </c>
    </row>
    <row r="39" spans="1:34">
      <c r="A39" s="1" t="s">
        <v>119</v>
      </c>
      <c r="B39" s="1" t="s">
        <v>300</v>
      </c>
      <c r="C39" s="1" t="s">
        <v>337</v>
      </c>
      <c r="D39" s="11">
        <v>9213293</v>
      </c>
      <c r="E39" s="1" t="s">
        <v>383</v>
      </c>
      <c r="F39" s="1" t="s">
        <v>380</v>
      </c>
      <c r="G39" s="1" t="s">
        <v>178</v>
      </c>
      <c r="H39" s="1" t="s">
        <v>179</v>
      </c>
      <c r="I39" s="1" t="s">
        <v>51</v>
      </c>
      <c r="J39" s="1" t="s">
        <v>52</v>
      </c>
      <c r="K39" s="1" t="s">
        <v>124</v>
      </c>
      <c r="L39" s="1" t="s">
        <v>320</v>
      </c>
      <c r="M39" s="1" t="s">
        <v>374</v>
      </c>
      <c r="N39" s="1" t="s">
        <v>180</v>
      </c>
      <c r="O39" s="11" t="s">
        <v>181</v>
      </c>
      <c r="P39" s="1" t="s">
        <v>57</v>
      </c>
      <c r="Q39" s="24">
        <v>1</v>
      </c>
      <c r="R39" s="18">
        <v>54.98</v>
      </c>
      <c r="S39" s="18">
        <f>R39*W39</f>
        <v>74.222999999999999</v>
      </c>
      <c r="T39" s="12">
        <v>54.98</v>
      </c>
      <c r="U39" s="1" t="s">
        <v>60</v>
      </c>
      <c r="V39" s="1" t="s">
        <v>61</v>
      </c>
      <c r="W39" s="13">
        <v>1.35</v>
      </c>
      <c r="X39" s="12">
        <v>74.22</v>
      </c>
      <c r="Y39" s="12">
        <v>0</v>
      </c>
      <c r="Z39" s="1" t="s">
        <v>56</v>
      </c>
    </row>
    <row r="40" spans="1:34">
      <c r="A40" s="1" t="s">
        <v>194</v>
      </c>
      <c r="B40" s="1" t="s">
        <v>306</v>
      </c>
      <c r="C40" s="1" t="s">
        <v>341</v>
      </c>
      <c r="D40" s="11">
        <v>21104854</v>
      </c>
      <c r="E40" s="1" t="s">
        <v>383</v>
      </c>
      <c r="F40" s="1" t="s">
        <v>381</v>
      </c>
      <c r="G40" s="1" t="s">
        <v>195</v>
      </c>
      <c r="H40" s="1" t="s">
        <v>196</v>
      </c>
      <c r="I40" s="1" t="s">
        <v>51</v>
      </c>
      <c r="J40" s="1" t="s">
        <v>131</v>
      </c>
      <c r="K40" s="1" t="s">
        <v>165</v>
      </c>
      <c r="L40" s="1" t="s">
        <v>324</v>
      </c>
      <c r="M40" s="1" t="s">
        <v>372</v>
      </c>
      <c r="N40" s="1" t="s">
        <v>197</v>
      </c>
      <c r="O40" s="11" t="s">
        <v>198</v>
      </c>
      <c r="P40" s="1" t="s">
        <v>57</v>
      </c>
      <c r="Q40" s="24">
        <v>1</v>
      </c>
      <c r="R40" s="18">
        <v>342.93</v>
      </c>
      <c r="S40" s="18">
        <f>R40*W40</f>
        <v>432.09180000000003</v>
      </c>
      <c r="T40" s="12">
        <v>337.55</v>
      </c>
      <c r="U40" s="1" t="s">
        <v>60</v>
      </c>
      <c r="V40" s="1" t="s">
        <v>61</v>
      </c>
      <c r="W40" s="13">
        <v>1.26</v>
      </c>
      <c r="X40" s="12">
        <v>425.31</v>
      </c>
      <c r="Y40" s="12">
        <v>0</v>
      </c>
      <c r="Z40" s="1" t="s">
        <v>56</v>
      </c>
    </row>
    <row r="41" spans="1:34" s="19" customFormat="1">
      <c r="A41" s="1" t="s">
        <v>64</v>
      </c>
      <c r="B41" s="1" t="s">
        <v>294</v>
      </c>
      <c r="C41" s="1" t="s">
        <v>331</v>
      </c>
      <c r="D41" s="11">
        <v>16228684</v>
      </c>
      <c r="E41" s="1" t="s">
        <v>383</v>
      </c>
      <c r="F41" s="1" t="s">
        <v>380</v>
      </c>
      <c r="G41" s="1" t="s">
        <v>184</v>
      </c>
      <c r="H41" s="1" t="s">
        <v>185</v>
      </c>
      <c r="I41" s="1" t="s">
        <v>51</v>
      </c>
      <c r="J41" s="1" t="s">
        <v>88</v>
      </c>
      <c r="K41" s="1" t="s">
        <v>132</v>
      </c>
      <c r="L41" s="1" t="s">
        <v>321</v>
      </c>
      <c r="M41" s="1" t="s">
        <v>370</v>
      </c>
      <c r="N41" s="1" t="s">
        <v>186</v>
      </c>
      <c r="O41" s="11" t="s">
        <v>55</v>
      </c>
      <c r="P41" s="1" t="s">
        <v>57</v>
      </c>
      <c r="Q41" s="24">
        <v>1</v>
      </c>
      <c r="R41" s="18">
        <v>153.93</v>
      </c>
      <c r="S41" s="18">
        <f>R41*W41</f>
        <v>207.80550000000002</v>
      </c>
      <c r="T41" s="12">
        <v>153.93</v>
      </c>
      <c r="U41" s="1" t="s">
        <v>60</v>
      </c>
      <c r="V41" s="1" t="s">
        <v>61</v>
      </c>
      <c r="W41" s="13">
        <v>1.35</v>
      </c>
      <c r="X41" s="12">
        <v>207.81</v>
      </c>
      <c r="Y41" s="12">
        <v>0</v>
      </c>
      <c r="Z41" s="1" t="s">
        <v>56</v>
      </c>
      <c r="AA41" s="1"/>
      <c r="AB41" s="1"/>
      <c r="AC41" s="1"/>
      <c r="AD41" s="1"/>
      <c r="AE41" s="1"/>
      <c r="AF41" s="1"/>
      <c r="AG41" s="1"/>
      <c r="AH41" s="1"/>
    </row>
    <row r="42" spans="1:34">
      <c r="A42" s="1" t="s">
        <v>190</v>
      </c>
      <c r="B42" s="1" t="s">
        <v>305</v>
      </c>
      <c r="C42" s="1" t="s">
        <v>340</v>
      </c>
      <c r="D42" s="11">
        <v>7470776</v>
      </c>
      <c r="E42" s="1" t="s">
        <v>383</v>
      </c>
      <c r="F42" s="1" t="s">
        <v>379</v>
      </c>
      <c r="G42" s="1" t="s">
        <v>191</v>
      </c>
      <c r="H42" s="1" t="s">
        <v>192</v>
      </c>
      <c r="I42" s="1" t="s">
        <v>51</v>
      </c>
      <c r="J42" s="1" t="s">
        <v>123</v>
      </c>
      <c r="K42" s="1" t="s">
        <v>140</v>
      </c>
      <c r="L42" s="1" t="s">
        <v>322</v>
      </c>
      <c r="M42" s="1" t="s">
        <v>375</v>
      </c>
      <c r="N42" s="1" t="s">
        <v>193</v>
      </c>
      <c r="O42" s="11" t="s">
        <v>154</v>
      </c>
      <c r="P42" s="1" t="s">
        <v>57</v>
      </c>
      <c r="Q42" s="24">
        <v>1</v>
      </c>
      <c r="R42" s="18">
        <v>34.75</v>
      </c>
      <c r="S42" s="18">
        <f>R42*W42</f>
        <v>39.962499999999999</v>
      </c>
      <c r="T42" s="12">
        <v>34.75</v>
      </c>
      <c r="U42" s="1" t="s">
        <v>60</v>
      </c>
      <c r="V42" s="1" t="s">
        <v>61</v>
      </c>
      <c r="W42" s="13">
        <v>1.1499999999999999</v>
      </c>
      <c r="X42" s="12">
        <v>39.96</v>
      </c>
      <c r="Y42" s="12">
        <v>0</v>
      </c>
      <c r="Z42" s="1" t="s">
        <v>56</v>
      </c>
    </row>
    <row r="43" spans="1:34">
      <c r="A43" s="1" t="s">
        <v>213</v>
      </c>
      <c r="B43" s="1" t="s">
        <v>310</v>
      </c>
      <c r="C43" s="1" t="s">
        <v>345</v>
      </c>
      <c r="D43" s="11" t="s">
        <v>357</v>
      </c>
      <c r="E43" s="1" t="s">
        <v>383</v>
      </c>
      <c r="F43" s="1" t="s">
        <v>380</v>
      </c>
      <c r="G43" s="1" t="s">
        <v>214</v>
      </c>
      <c r="H43" s="1" t="s">
        <v>215</v>
      </c>
      <c r="I43" s="1" t="s">
        <v>102</v>
      </c>
      <c r="J43" s="1" t="s">
        <v>131</v>
      </c>
      <c r="K43" s="1" t="s">
        <v>124</v>
      </c>
      <c r="L43" s="1" t="s">
        <v>320</v>
      </c>
      <c r="M43" s="1" t="s">
        <v>368</v>
      </c>
      <c r="N43" s="1" t="s">
        <v>216</v>
      </c>
      <c r="O43" s="11" t="s">
        <v>217</v>
      </c>
      <c r="P43" s="1" t="s">
        <v>57</v>
      </c>
      <c r="Q43" s="24">
        <v>1</v>
      </c>
      <c r="R43" s="18">
        <v>59.91</v>
      </c>
      <c r="S43" s="18">
        <f>R43*W43</f>
        <v>80.878500000000003</v>
      </c>
      <c r="T43" s="12">
        <v>59.91</v>
      </c>
      <c r="U43" s="1" t="s">
        <v>60</v>
      </c>
      <c r="V43" s="1" t="s">
        <v>61</v>
      </c>
      <c r="W43" s="13">
        <v>1.35</v>
      </c>
      <c r="X43" s="12">
        <v>0</v>
      </c>
      <c r="Y43" s="12">
        <v>-80.88</v>
      </c>
      <c r="Z43" s="1" t="s">
        <v>56</v>
      </c>
    </row>
    <row r="44" spans="1:34">
      <c r="A44" s="1" t="s">
        <v>204</v>
      </c>
      <c r="B44" s="1" t="s">
        <v>308</v>
      </c>
      <c r="C44" s="1" t="s">
        <v>343</v>
      </c>
      <c r="D44" s="11">
        <v>21561165</v>
      </c>
      <c r="E44" s="1" t="s">
        <v>383</v>
      </c>
      <c r="F44" s="1" t="s">
        <v>379</v>
      </c>
      <c r="G44" s="1" t="s">
        <v>205</v>
      </c>
      <c r="H44" s="1" t="s">
        <v>206</v>
      </c>
      <c r="I44" s="1" t="s">
        <v>207</v>
      </c>
      <c r="J44" s="1" t="s">
        <v>131</v>
      </c>
      <c r="K44" s="1" t="s">
        <v>132</v>
      </c>
      <c r="L44" s="1" t="s">
        <v>321</v>
      </c>
      <c r="M44" s="1" t="s">
        <v>369</v>
      </c>
      <c r="N44" s="1" t="s">
        <v>208</v>
      </c>
      <c r="O44" s="11" t="s">
        <v>90</v>
      </c>
      <c r="P44" s="1" t="s">
        <v>57</v>
      </c>
      <c r="Q44" s="24">
        <v>1</v>
      </c>
      <c r="R44" s="18">
        <v>90.66</v>
      </c>
      <c r="S44" s="18">
        <f>R44*W44</f>
        <v>122.39100000000001</v>
      </c>
      <c r="T44" s="12">
        <v>90.66</v>
      </c>
      <c r="U44" s="1" t="s">
        <v>60</v>
      </c>
      <c r="V44" s="1" t="s">
        <v>61</v>
      </c>
      <c r="W44" s="13">
        <v>1.35</v>
      </c>
      <c r="X44" s="12">
        <v>122.39</v>
      </c>
      <c r="Y44" s="12">
        <v>0</v>
      </c>
      <c r="Z44" s="1" t="s">
        <v>56</v>
      </c>
    </row>
    <row r="45" spans="1:34">
      <c r="A45" s="1" t="s">
        <v>75</v>
      </c>
      <c r="B45" s="1" t="s">
        <v>296</v>
      </c>
      <c r="C45" s="1" t="s">
        <v>333</v>
      </c>
      <c r="D45" s="11">
        <v>8307933</v>
      </c>
      <c r="E45" s="1" t="s">
        <v>383</v>
      </c>
      <c r="F45" s="1" t="s">
        <v>380</v>
      </c>
      <c r="G45" s="1" t="s">
        <v>173</v>
      </c>
      <c r="H45" s="1" t="s">
        <v>174</v>
      </c>
      <c r="I45" s="1" t="s">
        <v>175</v>
      </c>
      <c r="J45" s="1" t="s">
        <v>131</v>
      </c>
      <c r="K45" s="1" t="s">
        <v>132</v>
      </c>
      <c r="L45" s="1" t="s">
        <v>321</v>
      </c>
      <c r="M45" s="1" t="s">
        <v>373</v>
      </c>
      <c r="N45" s="1" t="s">
        <v>176</v>
      </c>
      <c r="O45" s="11" t="s">
        <v>177</v>
      </c>
      <c r="P45" s="1" t="s">
        <v>57</v>
      </c>
      <c r="Q45" s="24">
        <v>1</v>
      </c>
      <c r="R45" s="18">
        <v>299.45999999999998</v>
      </c>
      <c r="S45" s="18">
        <f>R45*W45</f>
        <v>202.13550000000001</v>
      </c>
      <c r="T45" s="12">
        <v>299.45999999999998</v>
      </c>
      <c r="U45" s="1" t="s">
        <v>60</v>
      </c>
      <c r="V45" s="1" t="s">
        <v>61</v>
      </c>
      <c r="W45" s="13">
        <v>0.67500000000000004</v>
      </c>
      <c r="X45" s="12">
        <v>0</v>
      </c>
      <c r="Y45" s="12">
        <v>-202.14</v>
      </c>
      <c r="Z45" s="1" t="s">
        <v>56</v>
      </c>
    </row>
    <row r="46" spans="1:34">
      <c r="A46" s="1" t="s">
        <v>75</v>
      </c>
      <c r="B46" s="1" t="s">
        <v>296</v>
      </c>
      <c r="C46" s="1" t="s">
        <v>333</v>
      </c>
      <c r="D46" s="11">
        <v>8307933</v>
      </c>
      <c r="E46" s="1" t="s">
        <v>383</v>
      </c>
      <c r="F46" s="1" t="s">
        <v>380</v>
      </c>
      <c r="G46" s="1" t="s">
        <v>187</v>
      </c>
      <c r="H46" s="1" t="s">
        <v>188</v>
      </c>
      <c r="I46" s="1" t="s">
        <v>175</v>
      </c>
      <c r="J46" s="1" t="s">
        <v>131</v>
      </c>
      <c r="K46" s="1" t="s">
        <v>132</v>
      </c>
      <c r="L46" s="1" t="s">
        <v>321</v>
      </c>
      <c r="M46" s="1" t="s">
        <v>373</v>
      </c>
      <c r="N46" s="1" t="s">
        <v>189</v>
      </c>
      <c r="O46" s="11" t="s">
        <v>70</v>
      </c>
      <c r="P46" s="1" t="s">
        <v>57</v>
      </c>
      <c r="Q46" s="24">
        <v>1</v>
      </c>
      <c r="R46" s="18">
        <v>173.17</v>
      </c>
      <c r="S46" s="18">
        <f>R46*W46</f>
        <v>116.88974999999999</v>
      </c>
      <c r="T46" s="12">
        <v>173.17</v>
      </c>
      <c r="U46" s="1" t="s">
        <v>60</v>
      </c>
      <c r="V46" s="1" t="s">
        <v>61</v>
      </c>
      <c r="W46" s="13">
        <v>0.67500000000000004</v>
      </c>
      <c r="X46" s="12">
        <v>0</v>
      </c>
      <c r="Y46" s="12">
        <v>-116.89</v>
      </c>
      <c r="Z46" s="1" t="s">
        <v>56</v>
      </c>
    </row>
    <row r="47" spans="1:34">
      <c r="A47" s="1" t="s">
        <v>143</v>
      </c>
      <c r="B47" s="1" t="s">
        <v>303</v>
      </c>
      <c r="C47" s="1" t="s">
        <v>338</v>
      </c>
      <c r="D47" s="11">
        <v>20220688</v>
      </c>
      <c r="E47" s="1" t="s">
        <v>383</v>
      </c>
      <c r="F47" s="1" t="s">
        <v>379</v>
      </c>
      <c r="G47" s="1" t="s">
        <v>144</v>
      </c>
      <c r="H47" s="1" t="s">
        <v>145</v>
      </c>
      <c r="I47" s="1" t="s">
        <v>51</v>
      </c>
      <c r="J47" s="1" t="s">
        <v>131</v>
      </c>
      <c r="K47" s="1" t="s">
        <v>132</v>
      </c>
      <c r="L47" s="1" t="s">
        <v>321</v>
      </c>
      <c r="M47" s="1" t="s">
        <v>369</v>
      </c>
      <c r="N47" s="1" t="s">
        <v>146</v>
      </c>
      <c r="O47" s="11" t="s">
        <v>70</v>
      </c>
      <c r="P47" s="1" t="s">
        <v>57</v>
      </c>
      <c r="Q47" s="24">
        <v>1</v>
      </c>
      <c r="R47" s="18">
        <v>142.93</v>
      </c>
      <c r="S47" s="18">
        <f>R47*W47</f>
        <v>192.95550000000003</v>
      </c>
      <c r="T47" s="12">
        <v>142.93</v>
      </c>
      <c r="U47" s="1" t="s">
        <v>60</v>
      </c>
      <c r="V47" s="1" t="s">
        <v>61</v>
      </c>
      <c r="W47" s="13">
        <v>1.35</v>
      </c>
      <c r="X47" s="12">
        <v>0</v>
      </c>
      <c r="Y47" s="12">
        <v>-192.96</v>
      </c>
      <c r="Z47" s="1" t="s">
        <v>56</v>
      </c>
    </row>
    <row r="48" spans="1:34">
      <c r="A48" s="1" t="s">
        <v>75</v>
      </c>
      <c r="B48" s="1" t="s">
        <v>296</v>
      </c>
      <c r="C48" s="1" t="s">
        <v>333</v>
      </c>
      <c r="D48" s="11">
        <v>8307933</v>
      </c>
      <c r="E48" s="1" t="s">
        <v>383</v>
      </c>
      <c r="F48" s="1" t="s">
        <v>380</v>
      </c>
      <c r="G48" s="1" t="s">
        <v>169</v>
      </c>
      <c r="H48" s="1" t="s">
        <v>170</v>
      </c>
      <c r="I48" s="1" t="s">
        <v>171</v>
      </c>
      <c r="J48" s="1" t="s">
        <v>131</v>
      </c>
      <c r="K48" s="1" t="s">
        <v>132</v>
      </c>
      <c r="L48" s="1" t="s">
        <v>321</v>
      </c>
      <c r="M48" s="1" t="s">
        <v>373</v>
      </c>
      <c r="N48" s="1" t="s">
        <v>172</v>
      </c>
      <c r="O48" s="11" t="s">
        <v>154</v>
      </c>
      <c r="P48" s="1" t="s">
        <v>57</v>
      </c>
      <c r="Q48" s="24">
        <v>1</v>
      </c>
      <c r="R48" s="18">
        <v>180.28</v>
      </c>
      <c r="S48" s="18">
        <f>R48*W48</f>
        <v>121.68900000000001</v>
      </c>
      <c r="T48" s="12">
        <v>180.28</v>
      </c>
      <c r="U48" s="1" t="s">
        <v>60</v>
      </c>
      <c r="V48" s="1" t="s">
        <v>61</v>
      </c>
      <c r="W48" s="13">
        <v>0.67500000000000004</v>
      </c>
      <c r="X48" s="12">
        <v>0</v>
      </c>
      <c r="Y48" s="12">
        <v>-121.69</v>
      </c>
      <c r="Z48" s="1" t="s">
        <v>56</v>
      </c>
      <c r="AG48" s="19"/>
      <c r="AH48" s="19"/>
    </row>
    <row r="49" spans="1:32">
      <c r="A49" s="1" t="s">
        <v>149</v>
      </c>
      <c r="B49" s="1" t="s">
        <v>304</v>
      </c>
      <c r="C49" s="1" t="s">
        <v>339</v>
      </c>
      <c r="D49" s="11">
        <v>19491313</v>
      </c>
      <c r="E49" s="1" t="s">
        <v>383</v>
      </c>
      <c r="F49" s="1" t="s">
        <v>380</v>
      </c>
      <c r="G49" s="1" t="s">
        <v>155</v>
      </c>
      <c r="H49" s="1" t="s">
        <v>156</v>
      </c>
      <c r="I49" s="1" t="s">
        <v>152</v>
      </c>
      <c r="J49" s="1" t="s">
        <v>88</v>
      </c>
      <c r="K49" s="1" t="s">
        <v>157</v>
      </c>
      <c r="L49" s="1" t="s">
        <v>323</v>
      </c>
      <c r="M49" s="1" t="s">
        <v>371</v>
      </c>
      <c r="N49" s="1" t="s">
        <v>158</v>
      </c>
      <c r="O49" s="11" t="s">
        <v>159</v>
      </c>
      <c r="P49" s="1" t="s">
        <v>57</v>
      </c>
      <c r="Q49" s="24">
        <v>1</v>
      </c>
      <c r="R49" s="18">
        <v>72.959999999999994</v>
      </c>
      <c r="S49" s="18">
        <f>R49*W49</f>
        <v>109.44</v>
      </c>
      <c r="T49" s="12">
        <v>72.959999999999994</v>
      </c>
      <c r="U49" s="1" t="s">
        <v>60</v>
      </c>
      <c r="V49" s="1" t="s">
        <v>61</v>
      </c>
      <c r="W49" s="13">
        <v>1.5</v>
      </c>
      <c r="X49" s="12">
        <v>0</v>
      </c>
      <c r="Y49" s="12">
        <v>-109.44</v>
      </c>
      <c r="Z49" s="1" t="s">
        <v>56</v>
      </c>
    </row>
    <row r="50" spans="1:32">
      <c r="A50" s="1" t="s">
        <v>149</v>
      </c>
      <c r="B50" s="1" t="s">
        <v>304</v>
      </c>
      <c r="C50" s="1" t="s">
        <v>339</v>
      </c>
      <c r="D50" s="11">
        <v>19491313</v>
      </c>
      <c r="E50" s="1" t="s">
        <v>383</v>
      </c>
      <c r="F50" s="1" t="s">
        <v>380</v>
      </c>
      <c r="G50" s="1" t="s">
        <v>160</v>
      </c>
      <c r="H50" s="1" t="s">
        <v>161</v>
      </c>
      <c r="I50" s="1" t="s">
        <v>152</v>
      </c>
      <c r="J50" s="1" t="s">
        <v>131</v>
      </c>
      <c r="K50" s="1" t="s">
        <v>157</v>
      </c>
      <c r="L50" s="1" t="s">
        <v>323</v>
      </c>
      <c r="M50" s="1" t="s">
        <v>371</v>
      </c>
      <c r="N50" s="1" t="s">
        <v>162</v>
      </c>
      <c r="O50" s="11" t="s">
        <v>70</v>
      </c>
      <c r="P50" s="1" t="s">
        <v>57</v>
      </c>
      <c r="Q50" s="24">
        <v>1</v>
      </c>
      <c r="R50" s="18">
        <v>98.99</v>
      </c>
      <c r="S50" s="18">
        <f>R50*W50</f>
        <v>148.48499999999999</v>
      </c>
      <c r="T50" s="12">
        <v>98.99</v>
      </c>
      <c r="U50" s="1" t="s">
        <v>60</v>
      </c>
      <c r="V50" s="1" t="s">
        <v>61</v>
      </c>
      <c r="W50" s="13">
        <v>1.5</v>
      </c>
      <c r="X50" s="12">
        <v>0</v>
      </c>
      <c r="Y50" s="12">
        <v>-148.49</v>
      </c>
      <c r="Z50" s="1" t="s">
        <v>56</v>
      </c>
    </row>
    <row r="51" spans="1:32">
      <c r="A51" s="1" t="s">
        <v>149</v>
      </c>
      <c r="B51" s="1" t="s">
        <v>304</v>
      </c>
      <c r="C51" s="1" t="s">
        <v>339</v>
      </c>
      <c r="D51" s="11">
        <v>19491313</v>
      </c>
      <c r="E51" s="1" t="s">
        <v>383</v>
      </c>
      <c r="F51" s="1" t="s">
        <v>380</v>
      </c>
      <c r="G51" s="1" t="s">
        <v>163</v>
      </c>
      <c r="H51" s="1" t="s">
        <v>164</v>
      </c>
      <c r="I51" s="1" t="s">
        <v>152</v>
      </c>
      <c r="J51" s="1" t="s">
        <v>88</v>
      </c>
      <c r="K51" s="1" t="s">
        <v>165</v>
      </c>
      <c r="L51" s="1" t="s">
        <v>324</v>
      </c>
      <c r="M51" s="1" t="s">
        <v>372</v>
      </c>
      <c r="N51" s="1" t="s">
        <v>166</v>
      </c>
      <c r="O51" s="11" t="s">
        <v>167</v>
      </c>
      <c r="P51" s="1" t="s">
        <v>57</v>
      </c>
      <c r="Q51" s="24">
        <v>1</v>
      </c>
      <c r="R51" s="18">
        <v>59.81</v>
      </c>
      <c r="S51" s="18">
        <f>R51*W51</f>
        <v>75.360600000000005</v>
      </c>
      <c r="T51" s="12">
        <v>59.81</v>
      </c>
      <c r="U51" s="1" t="s">
        <v>60</v>
      </c>
      <c r="V51" s="1" t="s">
        <v>168</v>
      </c>
      <c r="W51" s="13">
        <v>1.26</v>
      </c>
      <c r="X51" s="12">
        <v>0</v>
      </c>
      <c r="Y51" s="12">
        <v>-75.36</v>
      </c>
      <c r="Z51" s="1" t="s">
        <v>56</v>
      </c>
    </row>
    <row r="52" spans="1:32">
      <c r="A52" s="1" t="s">
        <v>209</v>
      </c>
      <c r="B52" s="1" t="s">
        <v>309</v>
      </c>
      <c r="C52" s="1" t="s">
        <v>344</v>
      </c>
      <c r="D52" s="11">
        <v>8977234</v>
      </c>
      <c r="E52" s="1" t="s">
        <v>383</v>
      </c>
      <c r="F52" s="1" t="s">
        <v>380</v>
      </c>
      <c r="G52" s="1" t="s">
        <v>210</v>
      </c>
      <c r="H52" s="1" t="s">
        <v>211</v>
      </c>
      <c r="I52" s="1" t="s">
        <v>212</v>
      </c>
      <c r="J52" s="1" t="s">
        <v>52</v>
      </c>
      <c r="K52" s="1" t="s">
        <v>157</v>
      </c>
      <c r="L52" s="1" t="s">
        <v>323</v>
      </c>
      <c r="M52" s="1" t="s">
        <v>371</v>
      </c>
      <c r="N52" s="1" t="s">
        <v>123</v>
      </c>
      <c r="O52" s="11" t="s">
        <v>159</v>
      </c>
      <c r="P52" s="1" t="s">
        <v>57</v>
      </c>
      <c r="Q52" s="24">
        <v>1</v>
      </c>
      <c r="R52" s="18">
        <v>116.37</v>
      </c>
      <c r="S52" s="18">
        <f>R52*W52</f>
        <v>174.55500000000001</v>
      </c>
      <c r="T52" s="12">
        <v>116.37</v>
      </c>
      <c r="U52" s="1" t="s">
        <v>60</v>
      </c>
      <c r="V52" s="1" t="s">
        <v>168</v>
      </c>
      <c r="W52" s="13">
        <v>1.5</v>
      </c>
      <c r="X52" s="12">
        <v>0</v>
      </c>
      <c r="Y52" s="12">
        <v>-174.56</v>
      </c>
      <c r="Z52" s="1" t="s">
        <v>56</v>
      </c>
    </row>
    <row r="53" spans="1:32">
      <c r="A53" s="1" t="s">
        <v>199</v>
      </c>
      <c r="B53" s="1" t="s">
        <v>307</v>
      </c>
      <c r="C53" s="1" t="s">
        <v>342</v>
      </c>
      <c r="D53" s="11">
        <v>22106234</v>
      </c>
      <c r="E53" s="1" t="s">
        <v>383</v>
      </c>
      <c r="F53" s="1" t="s">
        <v>379</v>
      </c>
      <c r="G53" s="1" t="s">
        <v>200</v>
      </c>
      <c r="H53" s="1" t="s">
        <v>201</v>
      </c>
      <c r="I53" s="1" t="s">
        <v>202</v>
      </c>
      <c r="J53" s="1" t="s">
        <v>131</v>
      </c>
      <c r="K53" s="1" t="s">
        <v>132</v>
      </c>
      <c r="L53" s="1" t="s">
        <v>321</v>
      </c>
      <c r="M53" s="1" t="s">
        <v>369</v>
      </c>
      <c r="N53" s="1" t="s">
        <v>203</v>
      </c>
      <c r="O53" s="11" t="s">
        <v>159</v>
      </c>
      <c r="P53" s="1" t="s">
        <v>57</v>
      </c>
      <c r="Q53" s="24">
        <v>1</v>
      </c>
      <c r="R53" s="18">
        <v>388.13</v>
      </c>
      <c r="S53" s="18">
        <f>R53*W53</f>
        <v>523.97550000000001</v>
      </c>
      <c r="T53" s="12">
        <v>388.13</v>
      </c>
      <c r="U53" s="1" t="s">
        <v>60</v>
      </c>
      <c r="V53" s="1" t="s">
        <v>61</v>
      </c>
      <c r="W53" s="13">
        <v>1.35</v>
      </c>
      <c r="X53" s="12">
        <v>0</v>
      </c>
      <c r="Y53" s="12">
        <v>-523.98</v>
      </c>
      <c r="Z53" s="1" t="s">
        <v>56</v>
      </c>
    </row>
    <row r="54" spans="1:32">
      <c r="A54" s="19" t="s">
        <v>137</v>
      </c>
      <c r="B54" s="19" t="s">
        <v>302</v>
      </c>
      <c r="C54" s="19" t="s">
        <v>384</v>
      </c>
      <c r="D54" s="20">
        <v>20411454</v>
      </c>
      <c r="E54" s="19" t="s">
        <v>383</v>
      </c>
      <c r="F54" s="19" t="s">
        <v>380</v>
      </c>
      <c r="G54" s="19" t="s">
        <v>138</v>
      </c>
      <c r="H54" s="19" t="s">
        <v>139</v>
      </c>
      <c r="I54" s="19" t="s">
        <v>51</v>
      </c>
      <c r="J54" s="19" t="s">
        <v>52</v>
      </c>
      <c r="K54" s="19" t="s">
        <v>140</v>
      </c>
      <c r="L54" s="19" t="s">
        <v>322</v>
      </c>
      <c r="M54" s="19" t="s">
        <v>385</v>
      </c>
      <c r="N54" s="19" t="s">
        <v>52</v>
      </c>
      <c r="O54" s="20" t="s">
        <v>52</v>
      </c>
      <c r="P54" s="19" t="s">
        <v>57</v>
      </c>
      <c r="Q54" s="25">
        <v>1</v>
      </c>
      <c r="R54" s="21">
        <v>0.46100000000000008</v>
      </c>
      <c r="S54" s="21">
        <v>0.46100000000000008</v>
      </c>
      <c r="T54" s="22">
        <v>41.49</v>
      </c>
      <c r="U54" s="19" t="s">
        <v>60</v>
      </c>
      <c r="V54" s="19" t="s">
        <v>134</v>
      </c>
      <c r="W54" s="23">
        <v>0.1</v>
      </c>
      <c r="X54" s="22">
        <v>4.1399999999999997</v>
      </c>
      <c r="Y54" s="22">
        <v>4.1399999999999997</v>
      </c>
      <c r="Z54" s="19" t="s">
        <v>56</v>
      </c>
      <c r="AA54" s="19"/>
      <c r="AB54" s="19"/>
      <c r="AC54" s="19"/>
      <c r="AD54" s="19"/>
      <c r="AE54" s="19"/>
      <c r="AF54" s="19"/>
    </row>
    <row r="55" spans="1:32">
      <c r="A55" s="19" t="s">
        <v>137</v>
      </c>
      <c r="B55" s="19" t="s">
        <v>302</v>
      </c>
      <c r="C55" s="19" t="s">
        <v>384</v>
      </c>
      <c r="D55" s="20">
        <v>20411454</v>
      </c>
      <c r="E55" s="19" t="s">
        <v>383</v>
      </c>
      <c r="F55" s="19" t="s">
        <v>380</v>
      </c>
      <c r="G55" s="19" t="s">
        <v>141</v>
      </c>
      <c r="H55" s="19" t="s">
        <v>142</v>
      </c>
      <c r="I55" s="19" t="s">
        <v>51</v>
      </c>
      <c r="J55" s="19" t="s">
        <v>52</v>
      </c>
      <c r="K55" s="19" t="s">
        <v>140</v>
      </c>
      <c r="L55" s="19" t="s">
        <v>322</v>
      </c>
      <c r="M55" s="19" t="s">
        <v>385</v>
      </c>
      <c r="N55" s="19" t="s">
        <v>52</v>
      </c>
      <c r="O55" s="20" t="s">
        <v>52</v>
      </c>
      <c r="P55" s="19" t="s">
        <v>57</v>
      </c>
      <c r="Q55" s="25">
        <v>1</v>
      </c>
      <c r="R55" s="21">
        <v>0.46100000000000008</v>
      </c>
      <c r="S55" s="21">
        <v>0.46100000000000008</v>
      </c>
      <c r="T55" s="22">
        <v>41.49</v>
      </c>
      <c r="U55" s="19" t="s">
        <v>60</v>
      </c>
      <c r="V55" s="19" t="s">
        <v>134</v>
      </c>
      <c r="W55" s="23">
        <v>0.1</v>
      </c>
      <c r="X55" s="22">
        <v>4.1399999999999997</v>
      </c>
      <c r="Y55" s="22">
        <v>4.1399999999999997</v>
      </c>
      <c r="Z55" s="19" t="s">
        <v>56</v>
      </c>
      <c r="AA55" s="19"/>
      <c r="AB55" s="19"/>
      <c r="AC55" s="19"/>
      <c r="AD55" s="19"/>
      <c r="AE55" s="19"/>
      <c r="AF55" s="19"/>
    </row>
    <row r="56" spans="1:32">
      <c r="A56" s="19" t="s">
        <v>127</v>
      </c>
      <c r="B56" s="19" t="s">
        <v>301</v>
      </c>
      <c r="C56" s="19" t="s">
        <v>301</v>
      </c>
      <c r="D56" s="20">
        <v>5442438</v>
      </c>
      <c r="E56" s="19" t="s">
        <v>383</v>
      </c>
      <c r="F56" s="19" t="s">
        <v>380</v>
      </c>
      <c r="G56" s="19" t="s">
        <v>128</v>
      </c>
      <c r="H56" s="19" t="s">
        <v>129</v>
      </c>
      <c r="I56" s="19" t="s">
        <v>130</v>
      </c>
      <c r="J56" s="19" t="s">
        <v>131</v>
      </c>
      <c r="K56" s="19" t="s">
        <v>132</v>
      </c>
      <c r="L56" s="19" t="s">
        <v>321</v>
      </c>
      <c r="M56" s="19" t="s">
        <v>369</v>
      </c>
      <c r="N56" s="19" t="s">
        <v>133</v>
      </c>
      <c r="O56" s="20" t="s">
        <v>133</v>
      </c>
      <c r="P56" s="19" t="s">
        <v>57</v>
      </c>
      <c r="Q56" s="25">
        <v>1</v>
      </c>
      <c r="R56" s="21">
        <v>30.19</v>
      </c>
      <c r="S56" s="21">
        <f>R56*W56</f>
        <v>40.756500000000003</v>
      </c>
      <c r="T56" s="22">
        <v>271.70999999999998</v>
      </c>
      <c r="U56" s="19" t="s">
        <v>60</v>
      </c>
      <c r="V56" s="19" t="s">
        <v>134</v>
      </c>
      <c r="W56" s="23">
        <v>1.35</v>
      </c>
      <c r="X56" s="22">
        <v>366.81</v>
      </c>
      <c r="Y56" s="22">
        <v>366.81</v>
      </c>
      <c r="Z56" s="19" t="s">
        <v>56</v>
      </c>
      <c r="AA56" s="19"/>
      <c r="AB56" s="19"/>
      <c r="AC56" s="19"/>
      <c r="AD56" s="19"/>
      <c r="AE56" s="19"/>
      <c r="AF56" s="19"/>
    </row>
    <row r="57" spans="1:32">
      <c r="A57" s="19" t="s">
        <v>127</v>
      </c>
      <c r="B57" s="19" t="s">
        <v>301</v>
      </c>
      <c r="C57" s="19" t="s">
        <v>301</v>
      </c>
      <c r="D57" s="20">
        <v>5442438</v>
      </c>
      <c r="E57" s="19" t="s">
        <v>383</v>
      </c>
      <c r="F57" s="19" t="s">
        <v>380</v>
      </c>
      <c r="G57" s="19" t="s">
        <v>135</v>
      </c>
      <c r="H57" s="19" t="s">
        <v>136</v>
      </c>
      <c r="I57" s="19" t="s">
        <v>130</v>
      </c>
      <c r="J57" s="19" t="s">
        <v>52</v>
      </c>
      <c r="K57" s="19" t="s">
        <v>132</v>
      </c>
      <c r="L57" s="19" t="s">
        <v>321</v>
      </c>
      <c r="M57" s="19" t="s">
        <v>369</v>
      </c>
      <c r="N57" s="19" t="s">
        <v>52</v>
      </c>
      <c r="O57" s="20" t="s">
        <v>52</v>
      </c>
      <c r="P57" s="19" t="s">
        <v>57</v>
      </c>
      <c r="Q57" s="25">
        <v>1</v>
      </c>
      <c r="R57" s="21">
        <v>65.650000000000006</v>
      </c>
      <c r="S57" s="21">
        <f>R57*W57</f>
        <v>88.627500000000012</v>
      </c>
      <c r="T57" s="22">
        <v>590.85</v>
      </c>
      <c r="U57" s="19" t="s">
        <v>60</v>
      </c>
      <c r="V57" s="19" t="s">
        <v>134</v>
      </c>
      <c r="W57" s="23">
        <v>1.35</v>
      </c>
      <c r="X57" s="22">
        <v>797.65</v>
      </c>
      <c r="Y57" s="22">
        <v>797.65</v>
      </c>
      <c r="Z57" s="19" t="s">
        <v>56</v>
      </c>
      <c r="AA57" s="19"/>
      <c r="AB57" s="19"/>
      <c r="AC57" s="19"/>
      <c r="AD57" s="19"/>
      <c r="AE57" s="19"/>
      <c r="AF57" s="19"/>
    </row>
    <row r="58" spans="1:32">
      <c r="A58" s="19" t="s">
        <v>127</v>
      </c>
      <c r="B58" s="19" t="s">
        <v>301</v>
      </c>
      <c r="C58" s="19" t="s">
        <v>301</v>
      </c>
      <c r="D58" s="20">
        <v>5442438</v>
      </c>
      <c r="E58" s="19" t="s">
        <v>383</v>
      </c>
      <c r="F58" s="19" t="s">
        <v>380</v>
      </c>
      <c r="G58" s="19" t="s">
        <v>147</v>
      </c>
      <c r="H58" s="19" t="s">
        <v>148</v>
      </c>
      <c r="I58" s="19" t="s">
        <v>130</v>
      </c>
      <c r="J58" s="19" t="s">
        <v>52</v>
      </c>
      <c r="K58" s="19" t="s">
        <v>132</v>
      </c>
      <c r="L58" s="19" t="s">
        <v>321</v>
      </c>
      <c r="M58" s="19" t="s">
        <v>369</v>
      </c>
      <c r="N58" s="19" t="s">
        <v>52</v>
      </c>
      <c r="O58" s="20" t="s">
        <v>52</v>
      </c>
      <c r="P58" s="19" t="s">
        <v>57</v>
      </c>
      <c r="Q58" s="25">
        <v>1</v>
      </c>
      <c r="R58" s="21">
        <v>40.590000000000003</v>
      </c>
      <c r="S58" s="21">
        <f>R58*W58</f>
        <v>54.796500000000009</v>
      </c>
      <c r="T58" s="22">
        <v>365.31</v>
      </c>
      <c r="U58" s="19" t="s">
        <v>60</v>
      </c>
      <c r="V58" s="19" t="s">
        <v>134</v>
      </c>
      <c r="W58" s="23">
        <v>1.35</v>
      </c>
      <c r="X58" s="22">
        <v>493.17</v>
      </c>
      <c r="Y58" s="22">
        <v>493.17</v>
      </c>
      <c r="Z58" s="19" t="s">
        <v>56</v>
      </c>
      <c r="AA58" s="19"/>
      <c r="AB58" s="19"/>
      <c r="AC58" s="19"/>
      <c r="AD58" s="19"/>
      <c r="AE58" s="19"/>
      <c r="AF58" s="19"/>
    </row>
  </sheetData>
  <sortState xmlns:xlrd2="http://schemas.microsoft.com/office/spreadsheetml/2017/richdata2" ref="A2:AH58">
    <sortCondition ref="E2:E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DETAILS</vt:lpstr>
      <vt:lpstr>Sheet1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Loula Irene Cabel</cp:lastModifiedBy>
  <dcterms:created xsi:type="dcterms:W3CDTF">2026-06-19T06:56:54Z</dcterms:created>
  <dcterms:modified xsi:type="dcterms:W3CDTF">2026-06-24T14:55:49Z</dcterms:modified>
</cp:coreProperties>
</file>