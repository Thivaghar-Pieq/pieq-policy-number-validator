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S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ZKcBX8+OOhqFklwgjhpFgqhieNfiv6mqKnKP6k7PFp8="/>
    </ext>
  </extLst>
</workbook>
</file>

<file path=xl/sharedStrings.xml><?xml version="1.0" encoding="utf-8"?>
<sst xmlns="http://schemas.openxmlformats.org/spreadsheetml/2006/main" count="3221" uniqueCount="543">
  <si>
    <t>MUTUAL OF OMAHA</t>
  </si>
  <si>
    <t>SUMMARY COMPENSATION STATEMENT</t>
  </si>
  <si>
    <t>For Period Ending 05/19/2026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</si>
  <si>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</si>
  <si>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</si>
  <si>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</si>
  <si>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</si>
  <si>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</si>
  <si>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</si>
  <si>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</si>
  <si>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</si>
  <si>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</si>
  <si>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</si>
  <si>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</si>
  <si>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</si>
  <si>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OMAHA INS CO</t>
  </si>
  <si>
    <t xml:space="preserve">              OMAHA SUPP</t>
  </si>
  <si>
    <t>OTHER ACCOUNT ACTIVITY</t>
  </si>
  <si>
    <t xml:space="preserve">              BALANCE ADJUSTMENT        05/15/2026</t>
  </si>
  <si>
    <t xml:space="preserve">              TOTAL OTHER ACCOUNT ACTIVITY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</si>
  <si>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</si>
  <si>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</si>
  <si>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</si>
  <si>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</si>
  <si>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</si>
  <si>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</si>
  <si>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</si>
  <si>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</si>
  <si>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</si>
  <si>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</si>
  <si>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</si>
  <si>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</si>
  <si>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</si>
  <si>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</si>
  <si>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</si>
  <si>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</si>
  <si>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</si>
  <si>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</si>
  <si>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</si>
  <si>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</si>
  <si>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</si>
  <si>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</si>
  <si>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</si>
  <si>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</si>
  <si>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</si>
  <si>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</si>
  <si>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</si>
  <si>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SUPP</t>
  </si>
  <si>
    <t>1055790</t>
  </si>
  <si>
    <t>GURU INSURANCE MARKETING, LLC</t>
  </si>
  <si>
    <t>0893387</t>
  </si>
  <si>
    <t>416716-97</t>
  </si>
  <si>
    <t>GOSSETT CANDY</t>
  </si>
  <si>
    <t>TN</t>
  </si>
  <si>
    <t>05/15/2026</t>
  </si>
  <si>
    <t>SM25L</t>
  </si>
  <si>
    <t>12/01/2024</t>
  </si>
  <si>
    <t>06/01/2026</t>
  </si>
  <si>
    <t/>
  </si>
  <si>
    <t>M</t>
  </si>
  <si>
    <t>BSP</t>
  </si>
  <si>
    <t>001</t>
  </si>
  <si>
    <t>R</t>
  </si>
  <si>
    <t>RENEWAL PYMT</t>
  </si>
  <si>
    <t>100.0%</t>
  </si>
  <si>
    <t>OMAHA INS CO</t>
  </si>
  <si>
    <t>910206-96</t>
  </si>
  <si>
    <t>BARKER GREGG</t>
  </si>
  <si>
    <t>IL</t>
  </si>
  <si>
    <t>05/18/2026</t>
  </si>
  <si>
    <t>NM24HTL</t>
  </si>
  <si>
    <t>03/16/2024</t>
  </si>
  <si>
    <t>06/16/2026</t>
  </si>
  <si>
    <t>1174646</t>
  </si>
  <si>
    <t>512529-97</t>
  </si>
  <si>
    <t>MAHNKE PEGGY</t>
  </si>
  <si>
    <t>NM24HL</t>
  </si>
  <si>
    <t>01/01/2025</t>
  </si>
  <si>
    <t>583853-97</t>
  </si>
  <si>
    <t>DAVIS MAURICE</t>
  </si>
  <si>
    <t>02/01/2025</t>
  </si>
  <si>
    <t>0732257</t>
  </si>
  <si>
    <t>523666-97</t>
  </si>
  <si>
    <t>MOE NELS</t>
  </si>
  <si>
    <t>910205-96</t>
  </si>
  <si>
    <t>BARKER IRENE</t>
  </si>
  <si>
    <t>0891923</t>
  </si>
  <si>
    <t>691883-97</t>
  </si>
  <si>
    <t>DUNN BARRY</t>
  </si>
  <si>
    <t>05/01/2025</t>
  </si>
  <si>
    <t>HEARTLAND FINANCIAL GROUP LLC</t>
  </si>
  <si>
    <t>0893214</t>
  </si>
  <si>
    <t>401788-41</t>
  </si>
  <si>
    <t>NICHOLSON LINDA</t>
  </si>
  <si>
    <t>01/01/2026</t>
  </si>
  <si>
    <t>F</t>
  </si>
  <si>
    <t>BFY PAYMENT</t>
  </si>
  <si>
    <t>850902-97</t>
  </si>
  <si>
    <t>BERKLEY DONALD</t>
  </si>
  <si>
    <t>05/14/2026</t>
  </si>
  <si>
    <t>11/01/2025</t>
  </si>
  <si>
    <t>0684147</t>
  </si>
  <si>
    <t>472388-41</t>
  </si>
  <si>
    <t>DENNEY JACK</t>
  </si>
  <si>
    <t>02/09/2026</t>
  </si>
  <si>
    <t>06/09/2026</t>
  </si>
  <si>
    <t>UNITED</t>
  </si>
  <si>
    <t>0815797</t>
  </si>
  <si>
    <t>BU5619694</t>
  </si>
  <si>
    <t>STEPHENS CAROL</t>
  </si>
  <si>
    <t>PA</t>
  </si>
  <si>
    <t>FEPL 1</t>
  </si>
  <si>
    <t>10/08/2025</t>
  </si>
  <si>
    <t>06/08/2026</t>
  </si>
  <si>
    <t>BU6205379</t>
  </si>
  <si>
    <t>KETTER LISA</t>
  </si>
  <si>
    <t>IXEXP1</t>
  </si>
  <si>
    <t>11/10/2025</t>
  </si>
  <si>
    <t>06/10/2026</t>
  </si>
  <si>
    <t>0816910</t>
  </si>
  <si>
    <t>BU6476892</t>
  </si>
  <si>
    <t>KAUFFMAN CYNTHIA</t>
  </si>
  <si>
    <t>MD</t>
  </si>
  <si>
    <t>02/19/2026</t>
  </si>
  <si>
    <t>06/19/2026</t>
  </si>
  <si>
    <t>0894080</t>
  </si>
  <si>
    <t>BU6433394</t>
  </si>
  <si>
    <t>LUDWIG WILLIAM</t>
  </si>
  <si>
    <t>03/01/2026</t>
  </si>
  <si>
    <t>0899216</t>
  </si>
  <si>
    <t>BU6564727</t>
  </si>
  <si>
    <t>SIEGEL KIMBERLY</t>
  </si>
  <si>
    <t>TE15 1</t>
  </si>
  <si>
    <t>04/16/2026</t>
  </si>
  <si>
    <t>0910791</t>
  </si>
  <si>
    <t>BU5338311</t>
  </si>
  <si>
    <t>WILL ROBERT</t>
  </si>
  <si>
    <t>OH</t>
  </si>
  <si>
    <t>08/11/2025</t>
  </si>
  <si>
    <t>06/11/2026</t>
  </si>
  <si>
    <t>BU6444063</t>
  </si>
  <si>
    <t>CLINE MICHAEL</t>
  </si>
  <si>
    <t>0928275</t>
  </si>
  <si>
    <t>BU6377072</t>
  </si>
  <si>
    <t>KUNDE MEGAN</t>
  </si>
  <si>
    <t>E20201</t>
  </si>
  <si>
    <t>02/02/2026</t>
  </si>
  <si>
    <t>06/02/2026</t>
  </si>
  <si>
    <t>BU5595351</t>
  </si>
  <si>
    <t>THOMAS KATHLEEN</t>
  </si>
  <si>
    <t>09/12/2025</t>
  </si>
  <si>
    <t>06/12/2026</t>
  </si>
  <si>
    <t>BU5323945</t>
  </si>
  <si>
    <t>MATTHEWS WILLIAM</t>
  </si>
  <si>
    <t>NC</t>
  </si>
  <si>
    <t>06/01/2025</t>
  </si>
  <si>
    <t>0257168</t>
  </si>
  <si>
    <t>BU5308223</t>
  </si>
  <si>
    <t>TCHOUDEU ANNE</t>
  </si>
  <si>
    <t>OK</t>
  </si>
  <si>
    <t>BU6509808</t>
  </si>
  <si>
    <t>WILSON TREVOR</t>
  </si>
  <si>
    <t>03/24/2026</t>
  </si>
  <si>
    <t>06/24/2026</t>
  </si>
  <si>
    <t>BU6509850</t>
  </si>
  <si>
    <t>WILSON LINDSEY</t>
  </si>
  <si>
    <t>03/25/2026</t>
  </si>
  <si>
    <t>06/25/2026</t>
  </si>
  <si>
    <t>0468247</t>
  </si>
  <si>
    <t>BU5516561</t>
  </si>
  <si>
    <t>PURALEWSKI GIANNA</t>
  </si>
  <si>
    <t>JVWL 1</t>
  </si>
  <si>
    <t>08/25/2025</t>
  </si>
  <si>
    <t>BU5516597</t>
  </si>
  <si>
    <t>PURALEWSKI AMARA</t>
  </si>
  <si>
    <t>08/26/2025</t>
  </si>
  <si>
    <t>06/26/2026</t>
  </si>
  <si>
    <t>0571232</t>
  </si>
  <si>
    <t>BU6556794</t>
  </si>
  <si>
    <t>WESTERLUND MARK</t>
  </si>
  <si>
    <t>05/13/2026</t>
  </si>
  <si>
    <t>30GPT1</t>
  </si>
  <si>
    <t>05/01/2026</t>
  </si>
  <si>
    <t>NEW ISS PYMT</t>
  </si>
  <si>
    <t>0606680</t>
  </si>
  <si>
    <t>BU5476019</t>
  </si>
  <si>
    <t>TOBIN DIANA</t>
  </si>
  <si>
    <t>IN</t>
  </si>
  <si>
    <t>08/15/2025</t>
  </si>
  <si>
    <t>06/15/2026</t>
  </si>
  <si>
    <t>BU6235224</t>
  </si>
  <si>
    <t>BROMUND AMATA</t>
  </si>
  <si>
    <t>12/15/2025</t>
  </si>
  <si>
    <t>BU6502224</t>
  </si>
  <si>
    <t>HOWARD LAURIE</t>
  </si>
  <si>
    <t>05/19/2026</t>
  </si>
  <si>
    <t>04/18/2026</t>
  </si>
  <si>
    <t>06/18/2026</t>
  </si>
  <si>
    <t>BU6550719</t>
  </si>
  <si>
    <t>BUSH VIVIANA</t>
  </si>
  <si>
    <t>FL</t>
  </si>
  <si>
    <t>04/13/2026</t>
  </si>
  <si>
    <t>06/13/2026</t>
  </si>
  <si>
    <t>BU6635539</t>
  </si>
  <si>
    <t>GOOD RYAN</t>
  </si>
  <si>
    <t>SC</t>
  </si>
  <si>
    <t>NEW COV ISS</t>
  </si>
  <si>
    <t>0613147</t>
  </si>
  <si>
    <t>BU6495990</t>
  </si>
  <si>
    <t>ROESCH ZAK</t>
  </si>
  <si>
    <t>03/18/2026</t>
  </si>
  <si>
    <t>BU5610346</t>
  </si>
  <si>
    <t>YOKOKAWA MASAHIRO</t>
  </si>
  <si>
    <t>10/15/2025</t>
  </si>
  <si>
    <t>BU5547008</t>
  </si>
  <si>
    <t>ELLIS CAROLYNN</t>
  </si>
  <si>
    <t>TX</t>
  </si>
  <si>
    <t>09/14/2025</t>
  </si>
  <si>
    <t>06/14/2026</t>
  </si>
  <si>
    <t>BU5601741</t>
  </si>
  <si>
    <t>JETER PAUL</t>
  </si>
  <si>
    <t>09/15/2025</t>
  </si>
  <si>
    <t>BU5431854</t>
  </si>
  <si>
    <t>MOAG CHRISTOPHER</t>
  </si>
  <si>
    <t>07/17/2025</t>
  </si>
  <si>
    <t>05/17/2026</t>
  </si>
  <si>
    <t>A</t>
  </si>
  <si>
    <t>REG</t>
  </si>
  <si>
    <t>000</t>
  </si>
  <si>
    <t>NB COMM ADJ</t>
  </si>
  <si>
    <t>0819525</t>
  </si>
  <si>
    <t>BU6651732</t>
  </si>
  <si>
    <t>TURNER YVETTE</t>
  </si>
  <si>
    <t>0891882</t>
  </si>
  <si>
    <t>BU6658493</t>
  </si>
  <si>
    <t>OH IRENE</t>
  </si>
  <si>
    <t>E30301</t>
  </si>
  <si>
    <t>0818994</t>
  </si>
  <si>
    <t>BU6482770</t>
  </si>
  <si>
    <t>LINTNER DONALD</t>
  </si>
  <si>
    <t>03/13/2026</t>
  </si>
  <si>
    <t>BU5428116</t>
  </si>
  <si>
    <t>KHAN MUHAMMAD</t>
  </si>
  <si>
    <t>07/14/2025</t>
  </si>
  <si>
    <t>BU6496753</t>
  </si>
  <si>
    <t>MIJAILOVIC VERONA</t>
  </si>
  <si>
    <t>1121105</t>
  </si>
  <si>
    <t>BU5346759</t>
  </si>
  <si>
    <t>MAJIGSUREN NYAMJARGAL</t>
  </si>
  <si>
    <t>06/05/2025</t>
  </si>
  <si>
    <t>06/05/2026</t>
  </si>
  <si>
    <t>1099222</t>
  </si>
  <si>
    <t>BU6212512</t>
  </si>
  <si>
    <t>HAYNES LORI</t>
  </si>
  <si>
    <t>LA</t>
  </si>
  <si>
    <t>BU6216469</t>
  </si>
  <si>
    <t>SESTER MEGAN</t>
  </si>
  <si>
    <t>OR</t>
  </si>
  <si>
    <t>12/17/2025</t>
  </si>
  <si>
    <t>06/17/2026</t>
  </si>
  <si>
    <t>BU6216990</t>
  </si>
  <si>
    <t>MCGHEE GAIL</t>
  </si>
  <si>
    <t>BU6226945</t>
  </si>
  <si>
    <t>RIEDMANN KAREN</t>
  </si>
  <si>
    <t>AZ</t>
  </si>
  <si>
    <t>BU6228957</t>
  </si>
  <si>
    <t>TEJANI SALEM</t>
  </si>
  <si>
    <t>12/10/2025</t>
  </si>
  <si>
    <t>02/10/2026</t>
  </si>
  <si>
    <t>LAPSE</t>
  </si>
  <si>
    <t>BU6190433</t>
  </si>
  <si>
    <t>KING BOBBY</t>
  </si>
  <si>
    <t>AL</t>
  </si>
  <si>
    <t>11/15/2025</t>
  </si>
  <si>
    <t>BU6219134</t>
  </si>
  <si>
    <t>FOLEY SHANE</t>
  </si>
  <si>
    <t>SD</t>
  </si>
  <si>
    <t>BU6219853</t>
  </si>
  <si>
    <t>KILLIAN JOHN</t>
  </si>
  <si>
    <t>MO</t>
  </si>
  <si>
    <t>BU6370498</t>
  </si>
  <si>
    <t>HATFIELD KIM</t>
  </si>
  <si>
    <t>02/18/2026</t>
  </si>
  <si>
    <t>BU6431496</t>
  </si>
  <si>
    <t>ALLEN LEWIS VICKI</t>
  </si>
  <si>
    <t>02/01/2026</t>
  </si>
  <si>
    <t>BU6648240</t>
  </si>
  <si>
    <t>SHIPWASH HOWARD</t>
  </si>
  <si>
    <t>CONV NEW BUS</t>
  </si>
  <si>
    <t>BU6648241</t>
  </si>
  <si>
    <t>SWAIN LYDELL</t>
  </si>
  <si>
    <t>05/20/2026</t>
  </si>
  <si>
    <t>BU6652817</t>
  </si>
  <si>
    <t>PINNICK PAUL</t>
  </si>
  <si>
    <t>1227344</t>
  </si>
  <si>
    <t>BU5477819</t>
  </si>
  <si>
    <t>FLEMING TYRELLE</t>
  </si>
  <si>
    <t>08/07/2025</t>
  </si>
  <si>
    <t>06/07/2026</t>
  </si>
  <si>
    <t>BU6524472</t>
  </si>
  <si>
    <t>DAVIS PREDEST</t>
  </si>
  <si>
    <t>04/10/2026</t>
  </si>
  <si>
    <t>BU6577657</t>
  </si>
  <si>
    <t>SEAWELL KEITH</t>
  </si>
  <si>
    <t>04/21/2026</t>
  </si>
  <si>
    <t>05/21/2026</t>
  </si>
  <si>
    <t>1301664</t>
  </si>
  <si>
    <t>BU6637621</t>
  </si>
  <si>
    <t>TOA NICOLE</t>
  </si>
  <si>
    <t>05/12/2026</t>
  </si>
  <si>
    <t>BU6577702</t>
  </si>
  <si>
    <t>SEAWELL TAYLOR</t>
  </si>
  <si>
    <t>04/24/2026</t>
  </si>
  <si>
    <t>05/24/2026</t>
  </si>
  <si>
    <t>1282681</t>
  </si>
  <si>
    <t>BU6389935</t>
  </si>
  <si>
    <t>ALCIDE RONAL</t>
  </si>
  <si>
    <t>20GPT1</t>
  </si>
  <si>
    <t>03/06/2026</t>
  </si>
  <si>
    <t>06/06/2026</t>
  </si>
  <si>
    <t>BU6212432</t>
  </si>
  <si>
    <t>HAYNES CHRISTOPHER</t>
  </si>
  <si>
    <t>BU5428088</t>
  </si>
  <si>
    <t>GHADIALY NOORJEHAN</t>
  </si>
  <si>
    <t>BU5653756</t>
  </si>
  <si>
    <t>SCADUTO JACQUELINE</t>
  </si>
  <si>
    <t>10/22/2025</t>
  </si>
  <si>
    <t>05/22/2026</t>
  </si>
  <si>
    <t>0495210</t>
  </si>
  <si>
    <t>BU6627789</t>
  </si>
  <si>
    <t>ANDERSON CHRISTINE</t>
  </si>
  <si>
    <t>WI</t>
  </si>
  <si>
    <t>E10101</t>
  </si>
  <si>
    <t>05/11/2026</t>
  </si>
  <si>
    <t>BU5539645</t>
  </si>
  <si>
    <t>BRADLEY JOSEPHINE</t>
  </si>
  <si>
    <t>BU6657728</t>
  </si>
  <si>
    <t>FIGUEROA ALEXANDER</t>
  </si>
  <si>
    <t>0957310</t>
  </si>
  <si>
    <t>978415-96</t>
  </si>
  <si>
    <t>LOPEZ FRANCES</t>
  </si>
  <si>
    <t>UM35HLV</t>
  </si>
  <si>
    <t>06/01/2024</t>
  </si>
  <si>
    <t>INNOVATIVE FINANCIAL PARTNERS LLC</t>
  </si>
  <si>
    <t>BU5062572</t>
  </si>
  <si>
    <t>MARSHALL JOHNNIETTE</t>
  </si>
  <si>
    <t>01/15/2025</t>
  </si>
  <si>
    <t>BU5045360</t>
  </si>
  <si>
    <t>JOHNSON SHELLEY</t>
  </si>
  <si>
    <t>BU5305630</t>
  </si>
  <si>
    <t>QUESADA DIANA</t>
  </si>
  <si>
    <t>06/17/2025</t>
  </si>
  <si>
    <t>BU5062646</t>
  </si>
  <si>
    <t>MARSHALL FREDDIE</t>
  </si>
  <si>
    <t>01/24/2025</t>
  </si>
  <si>
    <t>1093959</t>
  </si>
  <si>
    <t>BU4854427</t>
  </si>
  <si>
    <t>CURCIO KIMBERLY</t>
  </si>
  <si>
    <t>09/18/2024</t>
  </si>
  <si>
    <t>BU5108099</t>
  </si>
  <si>
    <t>MATTHEWS DONNETTE</t>
  </si>
  <si>
    <t>03/02/2025</t>
  </si>
  <si>
    <t>MUTUAL</t>
  </si>
  <si>
    <t>0938286</t>
  </si>
  <si>
    <t>660202-97</t>
  </si>
  <si>
    <t>FINN PATTY</t>
  </si>
  <si>
    <t>DNT2IL</t>
  </si>
  <si>
    <t>03/28/2025</t>
  </si>
  <si>
    <t>06/28/2026</t>
  </si>
  <si>
    <t>360629-97</t>
  </si>
  <si>
    <t>MORGAN ROBERT</t>
  </si>
  <si>
    <t>MM35HL</t>
  </si>
  <si>
    <t>08/01/2024</t>
  </si>
  <si>
    <t>0513364</t>
  </si>
  <si>
    <t>650330-97</t>
  </si>
  <si>
    <t>MCCALL YOLANDA</t>
  </si>
  <si>
    <t>DNT5IL</t>
  </si>
  <si>
    <t>03/19/2025</t>
  </si>
  <si>
    <t>650319-97</t>
  </si>
  <si>
    <t>MCCALL HUGH</t>
  </si>
  <si>
    <t>637501-97</t>
  </si>
  <si>
    <t>ALPIZAR DANIELA</t>
  </si>
  <si>
    <t>03/07/2025</t>
  </si>
  <si>
    <t>564582-97</t>
  </si>
  <si>
    <t>SEPSEY ARACELIS</t>
  </si>
  <si>
    <t>552778-97</t>
  </si>
  <si>
    <t>ADAMS KAYLA</t>
  </si>
  <si>
    <t>421672-97</t>
  </si>
  <si>
    <t>SEPSIS DEMETRI</t>
  </si>
  <si>
    <t>09/15/2024</t>
  </si>
  <si>
    <t>579927-97</t>
  </si>
  <si>
    <t>GREEN JODIE</t>
  </si>
  <si>
    <t>DNT2BL</t>
  </si>
  <si>
    <t>1301278</t>
  </si>
  <si>
    <t>568558-41</t>
  </si>
  <si>
    <t>WILSON BELINDA</t>
  </si>
  <si>
    <t>DNT2EL</t>
  </si>
  <si>
    <t>1169782</t>
  </si>
  <si>
    <t>413598-41</t>
  </si>
  <si>
    <t>TORRES JUAN</t>
  </si>
  <si>
    <t>12/14/2025</t>
  </si>
  <si>
    <t>0892698</t>
  </si>
  <si>
    <t>567413-41</t>
  </si>
  <si>
    <t>ROHRBAUGH CHRISTINA</t>
  </si>
  <si>
    <t>WV</t>
  </si>
  <si>
    <t>818227-97</t>
  </si>
  <si>
    <t>HARRIS JAMES</t>
  </si>
  <si>
    <t>09/01/2025</t>
  </si>
  <si>
    <t>818239-97</t>
  </si>
  <si>
    <t>HARRIS KATHRYN</t>
  </si>
  <si>
    <t>568686-41</t>
  </si>
  <si>
    <t>MCGAHEE VINCENT</t>
  </si>
  <si>
    <t>MM25HL</t>
  </si>
  <si>
    <t>07/01/2026</t>
  </si>
  <si>
    <t>08/01/2026</t>
  </si>
  <si>
    <t>403893-41</t>
  </si>
  <si>
    <t>OCONNELL THOMAS</t>
  </si>
  <si>
    <t>1093252</t>
  </si>
  <si>
    <t>807015-97</t>
  </si>
  <si>
    <t>JONES RENEE</t>
  </si>
  <si>
    <t>08/01/2025</t>
  </si>
  <si>
    <t>826678-97</t>
  </si>
  <si>
    <t>BENITEZ JOVITO</t>
  </si>
  <si>
    <t>856935-97</t>
  </si>
  <si>
    <t>ANDRE JAMES</t>
  </si>
  <si>
    <t>564998-41</t>
  </si>
  <si>
    <t>JONES DARLENE</t>
  </si>
  <si>
    <t>BOB Agent</t>
  </si>
  <si>
    <t>MLB Agent</t>
  </si>
  <si>
    <t>BOB Prod</t>
  </si>
  <si>
    <t>MLB Prod</t>
  </si>
  <si>
    <t>BOB Premium</t>
  </si>
  <si>
    <t>Commission</t>
  </si>
  <si>
    <t>Gary Portugal</t>
  </si>
  <si>
    <t>Living Promise - Level Benefit</t>
  </si>
  <si>
    <t>FEX Level Ages 45-80</t>
  </si>
  <si>
    <t>RN</t>
  </si>
  <si>
    <t>AE</t>
  </si>
  <si>
    <t>18710070N</t>
  </si>
  <si>
    <t>Michelle Mccorkle</t>
  </si>
  <si>
    <t>Protection Plan (c) Dnt5i</t>
  </si>
  <si>
    <t>National Dental</t>
  </si>
  <si>
    <t>22160550AV9</t>
  </si>
  <si>
    <t>Alexander Kim</t>
  </si>
  <si>
    <t>Preferred Plan (a) Dnt2e</t>
  </si>
  <si>
    <t>NB</t>
  </si>
  <si>
    <t>AV</t>
  </si>
  <si>
    <t>7470776AV9</t>
  </si>
  <si>
    <t>Andrew Choi</t>
  </si>
  <si>
    <t>Term Life Express 10 15 20 30</t>
  </si>
  <si>
    <t>Term Life Express</t>
  </si>
  <si>
    <t>Gregory Teipel</t>
  </si>
  <si>
    <t>Iul Express</t>
  </si>
  <si>
    <t>Universal Life</t>
  </si>
  <si>
    <t>Matthew Daugherty</t>
  </si>
  <si>
    <t>Tle 20-20yr Guar</t>
  </si>
  <si>
    <t>Adam Richter</t>
  </si>
  <si>
    <t>Medicare Supplement Plan N</t>
  </si>
  <si>
    <t>Med Supp IL/DE/TX/IN Ages 65-83</t>
  </si>
  <si>
    <t>Ryan Caltagirone</t>
  </si>
  <si>
    <t>Medicare Supplement Plan G</t>
  </si>
  <si>
    <t>Med Supp MD/NJ/TN/VA/WY Ages 65-83 2025</t>
  </si>
  <si>
    <t>William Peppler</t>
  </si>
  <si>
    <t>WILLIAM  PEPPLER</t>
  </si>
  <si>
    <t>Term Life Express 10 Year</t>
  </si>
  <si>
    <t>Taliah Ferguson</t>
  </si>
  <si>
    <t>TALIAH  FERGUSON</t>
  </si>
  <si>
    <t>IUL express</t>
  </si>
  <si>
    <t>Nicole Toa</t>
  </si>
  <si>
    <t>NICOLE  TOA</t>
  </si>
  <si>
    <t>IULE TP</t>
  </si>
  <si>
    <t>Andrea Petrungaro</t>
  </si>
  <si>
    <t>ANDREA  PETRUNGARO</t>
  </si>
  <si>
    <t>Children S - Whole Life</t>
  </si>
  <si>
    <t>Thomas Pardue</t>
  </si>
  <si>
    <t>THOMAS  PARDUE</t>
  </si>
  <si>
    <t>8812322L3</t>
  </si>
  <si>
    <t>Matthew Sherman</t>
  </si>
  <si>
    <t>MATTHEW  SHERMAN</t>
  </si>
  <si>
    <t>IL replacement Medicare Supplement Plan G</t>
  </si>
  <si>
    <t>GREG  TEIPEL</t>
  </si>
  <si>
    <t>AV1</t>
  </si>
  <si>
    <t>Christian Taugner</t>
  </si>
  <si>
    <t>CHRISTIAN  TAUGNER</t>
  </si>
  <si>
    <t>Victor Fuentes</t>
  </si>
  <si>
    <t>VICTOR  FUENTES</t>
  </si>
  <si>
    <t>Preferred Plan (a) Dnt2i</t>
  </si>
  <si>
    <t>7565575old</t>
  </si>
  <si>
    <t>Robert Shapiro</t>
  </si>
  <si>
    <t>ROBERT  SHAPIRO</t>
  </si>
  <si>
    <t>Preferred Plan (a) Dnt2b</t>
  </si>
  <si>
    <t>Steven Brandt</t>
  </si>
  <si>
    <t>STEVEN  BRANDT</t>
  </si>
  <si>
    <t>2024 Term Life Express: IXEXP1 Term Life Conversion to IUL in years 6+ of term issue date</t>
  </si>
  <si>
    <t>371819L4</t>
  </si>
  <si>
    <t>Final Expense: Level Product Commission Ages 81-85</t>
  </si>
  <si>
    <t>Ricardo Santos</t>
  </si>
  <si>
    <t>RICARDO  SANTOS</t>
  </si>
  <si>
    <t>Dale Walenga</t>
  </si>
  <si>
    <t>DALE  WALENGA</t>
  </si>
  <si>
    <t>Michael Dunavant</t>
  </si>
  <si>
    <t>MICHAEL  DUNAVANT</t>
  </si>
  <si>
    <t>Gregory Hansford</t>
  </si>
  <si>
    <t>GREGORY  HANSFORD</t>
  </si>
  <si>
    <t>Arick Martin</t>
  </si>
  <si>
    <t>ARICK  MARTIN</t>
  </si>
  <si>
    <t>Term Life Answer 10 15 20 30</t>
  </si>
  <si>
    <t>Term Life Answers- 20 &amp; 30 year terms</t>
  </si>
  <si>
    <t>RYAN  CALTAGIRONE</t>
  </si>
  <si>
    <t>5442438O</t>
  </si>
  <si>
    <t>Ronald Max</t>
  </si>
  <si>
    <t>RONALD  MAX</t>
  </si>
  <si>
    <t>Ronal Alcide</t>
  </si>
  <si>
    <t>RONAL  ALCIDE</t>
  </si>
  <si>
    <t>Ryan Shepard</t>
  </si>
  <si>
    <t>RYAN  SHEPARD</t>
  </si>
  <si>
    <t>2024 Final Expense: Level Product Commission Ages 45-80</t>
  </si>
  <si>
    <t>Jacob Yale</t>
  </si>
  <si>
    <t>JACOB  YALE</t>
  </si>
  <si>
    <t>GARY  PORTUGAL</t>
  </si>
  <si>
    <t>ADAM  RICHTER</t>
  </si>
  <si>
    <t>Patsamon Thanadabouth</t>
  </si>
  <si>
    <t>PATSAMON  THANADABOUTH</t>
  </si>
  <si>
    <t>Jason Roller</t>
  </si>
  <si>
    <t>JASON  ROLLER</t>
  </si>
  <si>
    <t>MATTHEW  DAUGHERTY</t>
  </si>
  <si>
    <t>17528908N</t>
  </si>
  <si>
    <t>Deborah Inskipt</t>
  </si>
  <si>
    <t>DEBORAH  INSKIPT</t>
  </si>
  <si>
    <t>Pamela Deaton</t>
  </si>
  <si>
    <t>PAMELA  DEATON</t>
  </si>
  <si>
    <t>Odmaa Enkhtur</t>
  </si>
  <si>
    <t>ODMAA  ENKHTUR</t>
  </si>
  <si>
    <t>Timothy Powers</t>
  </si>
  <si>
    <t>TIMOTHY  POWERS</t>
  </si>
  <si>
    <t>Medicare Supp- AR High Deductible Plan F&amp;G&amp;Plan N Age 65-74</t>
  </si>
  <si>
    <t>MD HD F,G,N</t>
  </si>
  <si>
    <t>19278370old</t>
  </si>
  <si>
    <t>Anne Marie Kozacheck</t>
  </si>
  <si>
    <t>ANNE MARIE  KOZACHECK</t>
  </si>
  <si>
    <t>Medicare Supp- PA Plans High Deductible F,G,&amp;N 65+</t>
  </si>
  <si>
    <t>Did not process. Its annually</t>
  </si>
  <si>
    <t>Did not process, Lapsed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</si>
</sst>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\ \ \ \ \ \ \ \ \ \ \ \ \ \ \ \ \ \ \ \ "/>
    <numFmt numFmtId="165" formatCode="#,##0.00000"/>
    <numFmt numFmtId="166" formatCode="&quot;$&quot;#,##0.00_);[Red]\(&quot;$&quot;#,##0.00\)"/>
  </numFmts>
  <fonts count="4">
    <font>
      <sz val="11.0"/>
      <color rgb="FF000000"/>
      <name val="Calibri"/>
      <scheme val="minor"/>
    </font>
    <font>
      <sz val="11.0"/>
      <color theme="1"/>
      <name val="Arial"/>
    </font>
    <font/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1" numFmtId="0" xfId="0" applyBorder="1" applyFont="1"/>
    <xf borderId="5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right"/>
    </xf>
    <xf borderId="6" fillId="0" fontId="1" numFmtId="0" xfId="0" applyBorder="1" applyFont="1"/>
    <xf borderId="6" fillId="0" fontId="1" numFmtId="164" xfId="0" applyAlignment="1" applyBorder="1" applyFont="1" applyNumberFormat="1">
      <alignment horizontal="right"/>
    </xf>
    <xf borderId="4" fillId="0" fontId="1" numFmtId="164" xfId="0" applyAlignment="1" applyBorder="1" applyFont="1" applyNumberFormat="1">
      <alignment horizontal="right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0" fillId="0" fontId="1" numFmtId="4" xfId="0" applyFont="1" applyNumberFormat="1"/>
    <xf borderId="0" fillId="0" fontId="1" numFmtId="0" xfId="0" applyAlignment="1" applyFont="1">
      <alignment horizontal="right"/>
    </xf>
    <xf borderId="0" fillId="0" fontId="1" numFmtId="165" xfId="0" applyFont="1" applyNumberFormat="1"/>
    <xf borderId="7" fillId="2" fontId="1" numFmtId="0" xfId="0" applyBorder="1" applyFill="1" applyFont="1"/>
    <xf borderId="7" fillId="2" fontId="1" numFmtId="0" xfId="0" applyAlignment="1" applyBorder="1" applyFont="1">
      <alignment horizontal="left"/>
    </xf>
    <xf borderId="7" fillId="2" fontId="1" numFmtId="4" xfId="0" applyBorder="1" applyFont="1" applyNumberFormat="1"/>
    <xf borderId="7" fillId="2" fontId="1" numFmtId="0" xfId="0" applyAlignment="1" applyBorder="1" applyFont="1">
      <alignment horizontal="right"/>
    </xf>
    <xf borderId="7" fillId="2" fontId="1" numFmtId="165" xfId="0" applyBorder="1" applyFont="1" applyNumberFormat="1"/>
    <xf borderId="7" fillId="2" fontId="3" numFmtId="0" xfId="0" applyAlignment="1" applyBorder="1" applyFont="1">
      <alignment horizontal="center" vertical="center"/>
    </xf>
    <xf borderId="0" fillId="0" fontId="3" numFmtId="14" xfId="0" applyAlignment="1" applyFont="1" applyNumberFormat="1">
      <alignment horizontal="center" vertical="center"/>
    </xf>
    <xf borderId="7" fillId="3" fontId="1" numFmtId="0" xfId="0" applyAlignment="1" applyBorder="1" applyFill="1" applyFont="1">
      <alignment horizontal="left"/>
    </xf>
    <xf borderId="7" fillId="3" fontId="1" numFmtId="0" xfId="0" applyBorder="1" applyFont="1"/>
    <xf borderId="7" fillId="3" fontId="1" numFmtId="14" xfId="0" applyBorder="1" applyFont="1" applyNumberFormat="1"/>
    <xf borderId="7" fillId="3" fontId="1" numFmtId="166" xfId="0" applyBorder="1" applyFont="1" applyNumberFormat="1"/>
    <xf borderId="7" fillId="3" fontId="1" numFmtId="4" xfId="0" applyBorder="1" applyFont="1" applyNumberFormat="1"/>
    <xf borderId="7" fillId="3" fontId="1" numFmtId="165" xfId="0" applyBorder="1" applyFont="1" applyNumberFormat="1"/>
    <xf borderId="7" fillId="2" fontId="1" numFmtId="14" xfId="0" applyBorder="1" applyFont="1" applyNumberFormat="1"/>
    <xf borderId="7" fillId="2" fontId="1" numFmtId="166" xfId="0" applyBorder="1" applyFont="1" applyNumberFormat="1"/>
    <xf borderId="0" fillId="0" fontId="1" numFmtId="14" xfId="0" applyFont="1" applyNumberFormat="1"/>
    <xf borderId="0" fillId="0" fontId="1" numFmtId="166" xfId="0" applyFont="1" applyNumberFormat="1"/>
    <xf borderId="0" fillId="4" fontId="1" numFmtId="0" xfId="0" applyAlignment="1" applyFill="1" applyFont="1">
      <alignment horizontal="left"/>
    </xf>
    <xf borderId="0" fillId="4" fontId="1" numFmtId="0" xfId="0" applyFont="1"/>
    <xf borderId="0" fillId="4" fontId="1" numFmtId="14" xfId="0" applyFont="1" applyNumberFormat="1"/>
    <xf borderId="0" fillId="4" fontId="1" numFmtId="166" xfId="0" applyFont="1" applyNumberFormat="1"/>
    <xf borderId="7" fillId="4" fontId="1" numFmtId="166" xfId="0" applyBorder="1" applyFont="1" applyNumberFormat="1"/>
    <xf borderId="0" fillId="4" fontId="1" numFmtId="4" xfId="0" applyFont="1" applyNumberFormat="1"/>
    <xf borderId="0" fillId="4" fontId="1" numFmtId="165" xfId="0" applyFont="1" applyNumberFormat="1"/>
    <xf borderId="7" fillId="5" fontId="1" numFmtId="0" xfId="0" applyAlignment="1" applyBorder="1" applyFill="1" applyFont="1">
      <alignment horizontal="left"/>
    </xf>
    <xf borderId="7" fillId="5" fontId="1" numFmtId="0" xfId="0" applyBorder="1" applyFont="1"/>
    <xf borderId="7" fillId="5" fontId="1" numFmtId="14" xfId="0" applyBorder="1" applyFont="1" applyNumberFormat="1"/>
    <xf borderId="7" fillId="5" fontId="1" numFmtId="166" xfId="0" applyBorder="1" applyFont="1" applyNumberFormat="1"/>
    <xf borderId="7" fillId="5" fontId="1" numFmtId="4" xfId="0" applyBorder="1" applyFont="1" applyNumberFormat="1"/>
    <xf borderId="7" fillId="5" fontId="1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0.0"/>
    <col customWidth="1" min="2" max="3" width="30.0"/>
    <col customWidth="1" min="4" max="6" width="9.14"/>
    <col customWidth="1" min="7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2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2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 t="s">
        <v>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3"/>
      <c r="B12" s="4" t="s">
        <v>5</v>
      </c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6"/>
      <c r="B13" s="7" t="s">
        <v>6</v>
      </c>
      <c r="C13" s="7" t="s">
        <v>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3" t="s">
        <v>8</v>
      </c>
      <c r="B14" s="8"/>
      <c r="C14" s="8">
        <v>0.0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9" t="s">
        <v>9</v>
      </c>
      <c r="B15" s="10"/>
      <c r="C15" s="10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9"/>
      <c r="B16" s="10"/>
      <c r="C16" s="10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9" t="s">
        <v>10</v>
      </c>
      <c r="B17" s="10"/>
      <c r="C17" s="10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9" t="s">
        <v>11</v>
      </c>
      <c r="B18" s="10"/>
      <c r="C18" s="10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9" t="s">
        <v>12</v>
      </c>
      <c r="B19" s="10">
        <v>404.96</v>
      </c>
      <c r="C19" s="10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9" t="s">
        <v>13</v>
      </c>
      <c r="B20" s="10">
        <v>44.21</v>
      </c>
      <c r="C20" s="10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9"/>
      <c r="B21" s="10"/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9" t="s">
        <v>14</v>
      </c>
      <c r="B22" s="10"/>
      <c r="C22" s="1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9" t="s">
        <v>11</v>
      </c>
      <c r="B23" s="10"/>
      <c r="C23" s="1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9" t="s">
        <v>12</v>
      </c>
      <c r="B24" s="10">
        <v>9893.74</v>
      </c>
      <c r="C24" s="1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9" t="s">
        <v>13</v>
      </c>
      <c r="B25" s="10">
        <v>62.71</v>
      </c>
      <c r="C25" s="1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9"/>
      <c r="B26" s="10"/>
      <c r="C26" s="1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9" t="s">
        <v>15</v>
      </c>
      <c r="B27" s="10"/>
      <c r="C27" s="1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9" t="s">
        <v>11</v>
      </c>
      <c r="B28" s="10"/>
      <c r="C28" s="1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9" t="s">
        <v>12</v>
      </c>
      <c r="B29" s="10">
        <v>90.96</v>
      </c>
      <c r="C29" s="1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9" t="s">
        <v>13</v>
      </c>
      <c r="B30" s="10">
        <v>207.66</v>
      </c>
      <c r="C30" s="10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9"/>
      <c r="B31" s="10"/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9" t="s">
        <v>16</v>
      </c>
      <c r="B32" s="10"/>
      <c r="C32" s="10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9" t="s">
        <v>11</v>
      </c>
      <c r="B33" s="10"/>
      <c r="C33" s="1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9" t="s">
        <v>12</v>
      </c>
      <c r="B34" s="10">
        <v>37.4</v>
      </c>
      <c r="C34" s="1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9" t="s">
        <v>13</v>
      </c>
      <c r="B35" s="10">
        <v>24.35</v>
      </c>
      <c r="C35" s="1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9"/>
      <c r="B36" s="10"/>
      <c r="C36" s="1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9" t="s">
        <v>17</v>
      </c>
      <c r="B37" s="10"/>
      <c r="C37" s="10">
        <v>10765.99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9" t="s">
        <v>18</v>
      </c>
      <c r="B38" s="10">
        <v>90.0</v>
      </c>
      <c r="C38" s="1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9"/>
      <c r="B39" s="10"/>
      <c r="C39" s="1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9" t="s">
        <v>19</v>
      </c>
      <c r="B40" s="10"/>
      <c r="C40" s="10">
        <v>90.0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9"/>
      <c r="B41" s="10"/>
      <c r="C41" s="10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9" t="s">
        <v>20</v>
      </c>
      <c r="B42" s="10"/>
      <c r="C42" s="1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9"/>
      <c r="B43" s="10"/>
      <c r="C43" s="1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9" t="s">
        <v>10</v>
      </c>
      <c r="B44" s="10">
        <v>-539.17</v>
      </c>
      <c r="C44" s="1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9" t="s">
        <v>14</v>
      </c>
      <c r="B45" s="10">
        <v>-9956.45</v>
      </c>
      <c r="C45" s="1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9" t="s">
        <v>15</v>
      </c>
      <c r="B46" s="10">
        <v>-298.62</v>
      </c>
      <c r="C46" s="1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9" t="s">
        <v>16</v>
      </c>
      <c r="B47" s="10">
        <v>-61.75</v>
      </c>
      <c r="C47" s="1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9"/>
      <c r="B48" s="10"/>
      <c r="C48" s="1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9" t="s">
        <v>21</v>
      </c>
      <c r="B49" s="10"/>
      <c r="C49" s="10">
        <v>-10855.99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9" t="s">
        <v>22</v>
      </c>
      <c r="B50" s="10"/>
      <c r="C50" s="10">
        <v>0.0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9"/>
      <c r="B51" s="10"/>
      <c r="C51" s="1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6"/>
      <c r="B52" s="11"/>
      <c r="C52" s="1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2:C2"/>
    <mergeCell ref="A3:C3"/>
    <mergeCell ref="A4:C4"/>
    <mergeCell ref="B12:C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45.0"/>
    <col customWidth="1" min="4" max="4" width="12.0"/>
    <col customWidth="1" min="5" max="5" width="14.0"/>
    <col customWidth="1" min="6" max="6" width="30.0"/>
    <col customWidth="1" min="7" max="7" width="13.0"/>
    <col customWidth="1" min="8" max="11" width="15.0"/>
    <col customWidth="1" min="12" max="12" width="8.0"/>
    <col customWidth="1" min="13" max="13" width="10.0"/>
    <col customWidth="1" min="14" max="14" width="12.0"/>
    <col customWidth="1" min="15" max="15" width="9.0"/>
    <col customWidth="1" min="16" max="16" width="20.0"/>
    <col customWidth="1" min="17" max="17" width="18.0"/>
    <col customWidth="1" min="18" max="18" width="12.0"/>
    <col customWidth="1" min="19" max="19" width="20.0"/>
    <col customWidth="1" min="20" max="20" width="13.0"/>
    <col customWidth="1" min="21" max="23" width="15.0"/>
    <col customWidth="1" min="24" max="24" width="40.0"/>
    <col customWidth="1" min="25" max="26" width="8.71"/>
  </cols>
  <sheetData>
    <row r="1" ht="30.0" customHeight="1">
      <c r="A1" s="12" t="s">
        <v>23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  <c r="H1" s="12" t="s">
        <v>30</v>
      </c>
      <c r="I1" s="12" t="s">
        <v>31</v>
      </c>
      <c r="J1" s="12" t="s">
        <v>32</v>
      </c>
      <c r="K1" s="12" t="s">
        <v>33</v>
      </c>
      <c r="L1" s="12" t="s">
        <v>34</v>
      </c>
      <c r="M1" s="12" t="s">
        <v>35</v>
      </c>
      <c r="N1" s="12" t="s">
        <v>36</v>
      </c>
      <c r="O1" s="12" t="s">
        <v>37</v>
      </c>
      <c r="P1" s="12" t="s">
        <v>38</v>
      </c>
      <c r="Q1" s="12" t="s">
        <v>39</v>
      </c>
      <c r="R1" s="12" t="s">
        <v>40</v>
      </c>
      <c r="S1" s="12" t="s">
        <v>41</v>
      </c>
      <c r="T1" s="12" t="s">
        <v>42</v>
      </c>
      <c r="U1" s="12" t="s">
        <v>43</v>
      </c>
      <c r="V1" s="12" t="s">
        <v>44</v>
      </c>
      <c r="W1" s="12" t="s">
        <v>45</v>
      </c>
      <c r="X1" s="12" t="s">
        <v>46</v>
      </c>
      <c r="Y1" s="1"/>
      <c r="Z1" s="1"/>
    </row>
    <row r="2" ht="14.25" customHeight="1">
      <c r="A2" s="1" t="s">
        <v>47</v>
      </c>
      <c r="B2" s="1" t="s">
        <v>48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  <c r="J2" s="1" t="s">
        <v>56</v>
      </c>
      <c r="K2" s="1" t="s">
        <v>57</v>
      </c>
      <c r="L2" s="13" t="s">
        <v>58</v>
      </c>
      <c r="M2" s="1" t="s">
        <v>59</v>
      </c>
      <c r="N2" s="1" t="s">
        <v>60</v>
      </c>
      <c r="O2" s="1" t="s">
        <v>61</v>
      </c>
      <c r="P2" s="1">
        <v>0.0</v>
      </c>
      <c r="Q2" s="14">
        <v>105.87</v>
      </c>
      <c r="R2" s="1" t="s">
        <v>62</v>
      </c>
      <c r="S2" s="1" t="s">
        <v>63</v>
      </c>
      <c r="T2" s="15" t="s">
        <v>64</v>
      </c>
      <c r="U2" s="16">
        <v>0.23</v>
      </c>
      <c r="V2" s="14">
        <v>24.35</v>
      </c>
      <c r="W2" s="14">
        <v>0.0</v>
      </c>
      <c r="X2" s="1" t="s">
        <v>58</v>
      </c>
      <c r="Y2" s="1"/>
      <c r="Z2" s="1"/>
    </row>
    <row r="3" ht="14.25" customHeight="1">
      <c r="A3" s="1" t="s">
        <v>65</v>
      </c>
      <c r="B3" s="1" t="s">
        <v>48</v>
      </c>
      <c r="C3" s="1" t="s">
        <v>49</v>
      </c>
      <c r="D3" s="1" t="s">
        <v>50</v>
      </c>
      <c r="E3" s="1" t="s">
        <v>66</v>
      </c>
      <c r="F3" s="1" t="s">
        <v>67</v>
      </c>
      <c r="G3" s="1" t="s">
        <v>68</v>
      </c>
      <c r="H3" s="1" t="s">
        <v>69</v>
      </c>
      <c r="I3" s="1" t="s">
        <v>70</v>
      </c>
      <c r="J3" s="1" t="s">
        <v>71</v>
      </c>
      <c r="K3" s="1" t="s">
        <v>72</v>
      </c>
      <c r="L3" s="13" t="s">
        <v>58</v>
      </c>
      <c r="M3" s="1" t="s">
        <v>59</v>
      </c>
      <c r="N3" s="1" t="s">
        <v>60</v>
      </c>
      <c r="O3" s="1" t="s">
        <v>61</v>
      </c>
      <c r="P3" s="1">
        <v>0.0</v>
      </c>
      <c r="Q3" s="14">
        <v>160.36</v>
      </c>
      <c r="R3" s="1" t="s">
        <v>62</v>
      </c>
      <c r="S3" s="1" t="s">
        <v>63</v>
      </c>
      <c r="T3" s="15" t="s">
        <v>64</v>
      </c>
      <c r="U3" s="16">
        <v>0.23</v>
      </c>
      <c r="V3" s="14">
        <v>36.88</v>
      </c>
      <c r="W3" s="14">
        <v>0.0</v>
      </c>
      <c r="X3" s="1" t="s">
        <v>58</v>
      </c>
      <c r="Y3" s="1"/>
      <c r="Z3" s="1"/>
    </row>
    <row r="4" ht="14.25" customHeight="1">
      <c r="A4" s="1" t="s">
        <v>65</v>
      </c>
      <c r="B4" s="1" t="s">
        <v>48</v>
      </c>
      <c r="C4" s="1" t="s">
        <v>49</v>
      </c>
      <c r="D4" s="1" t="s">
        <v>73</v>
      </c>
      <c r="E4" s="1" t="s">
        <v>74</v>
      </c>
      <c r="F4" s="1" t="s">
        <v>75</v>
      </c>
      <c r="G4" s="1" t="s">
        <v>68</v>
      </c>
      <c r="H4" s="1" t="s">
        <v>69</v>
      </c>
      <c r="I4" s="1" t="s">
        <v>76</v>
      </c>
      <c r="J4" s="1" t="s">
        <v>77</v>
      </c>
      <c r="K4" s="1" t="s">
        <v>57</v>
      </c>
      <c r="L4" s="13" t="s">
        <v>58</v>
      </c>
      <c r="M4" s="1" t="s">
        <v>59</v>
      </c>
      <c r="N4" s="1" t="s">
        <v>60</v>
      </c>
      <c r="O4" s="1" t="s">
        <v>61</v>
      </c>
      <c r="P4" s="1">
        <v>0.0</v>
      </c>
      <c r="Q4" s="14">
        <v>146.42</v>
      </c>
      <c r="R4" s="1" t="s">
        <v>62</v>
      </c>
      <c r="S4" s="1" t="s">
        <v>63</v>
      </c>
      <c r="T4" s="15" t="s">
        <v>64</v>
      </c>
      <c r="U4" s="16">
        <v>0.23</v>
      </c>
      <c r="V4" s="14">
        <v>33.68</v>
      </c>
      <c r="W4" s="14">
        <v>0.0</v>
      </c>
      <c r="X4" s="1" t="s">
        <v>58</v>
      </c>
      <c r="Y4" s="1"/>
      <c r="Z4" s="1"/>
    </row>
    <row r="5" ht="14.25" customHeight="1">
      <c r="A5" s="1" t="s">
        <v>65</v>
      </c>
      <c r="B5" s="1" t="s">
        <v>48</v>
      </c>
      <c r="C5" s="1" t="s">
        <v>49</v>
      </c>
      <c r="D5" s="1" t="s">
        <v>73</v>
      </c>
      <c r="E5" s="1" t="s">
        <v>78</v>
      </c>
      <c r="F5" s="1" t="s">
        <v>79</v>
      </c>
      <c r="G5" s="1" t="s">
        <v>68</v>
      </c>
      <c r="H5" s="1" t="s">
        <v>69</v>
      </c>
      <c r="I5" s="1" t="s">
        <v>76</v>
      </c>
      <c r="J5" s="1" t="s">
        <v>80</v>
      </c>
      <c r="K5" s="1" t="s">
        <v>57</v>
      </c>
      <c r="L5" s="13" t="s">
        <v>58</v>
      </c>
      <c r="M5" s="1" t="s">
        <v>59</v>
      </c>
      <c r="N5" s="1" t="s">
        <v>60</v>
      </c>
      <c r="O5" s="1" t="s">
        <v>61</v>
      </c>
      <c r="P5" s="1">
        <v>0.0</v>
      </c>
      <c r="Q5" s="14">
        <v>128.67</v>
      </c>
      <c r="R5" s="1" t="s">
        <v>62</v>
      </c>
      <c r="S5" s="1" t="s">
        <v>63</v>
      </c>
      <c r="T5" s="15" t="s">
        <v>64</v>
      </c>
      <c r="U5" s="16">
        <v>0.23</v>
      </c>
      <c r="V5" s="14">
        <v>29.59</v>
      </c>
      <c r="W5" s="14">
        <v>0.0</v>
      </c>
      <c r="X5" s="1" t="s">
        <v>58</v>
      </c>
      <c r="Y5" s="1"/>
      <c r="Z5" s="1"/>
    </row>
    <row r="6" ht="14.25" customHeight="1">
      <c r="A6" s="1" t="s">
        <v>65</v>
      </c>
      <c r="B6" s="1" t="s">
        <v>48</v>
      </c>
      <c r="C6" s="1" t="s">
        <v>49</v>
      </c>
      <c r="D6" s="1" t="s">
        <v>81</v>
      </c>
      <c r="E6" s="1" t="s">
        <v>82</v>
      </c>
      <c r="F6" s="1" t="s">
        <v>83</v>
      </c>
      <c r="G6" s="1" t="s">
        <v>68</v>
      </c>
      <c r="H6" s="1" t="s">
        <v>54</v>
      </c>
      <c r="I6" s="1" t="s">
        <v>76</v>
      </c>
      <c r="J6" s="1" t="s">
        <v>77</v>
      </c>
      <c r="K6" s="1" t="s">
        <v>57</v>
      </c>
      <c r="L6" s="13" t="s">
        <v>58</v>
      </c>
      <c r="M6" s="1" t="s">
        <v>59</v>
      </c>
      <c r="N6" s="1" t="s">
        <v>60</v>
      </c>
      <c r="O6" s="1" t="s">
        <v>61</v>
      </c>
      <c r="P6" s="1">
        <v>0.0</v>
      </c>
      <c r="Q6" s="14">
        <v>192.36</v>
      </c>
      <c r="R6" s="1" t="s">
        <v>62</v>
      </c>
      <c r="S6" s="1" t="s">
        <v>63</v>
      </c>
      <c r="T6" s="15" t="s">
        <v>64</v>
      </c>
      <c r="U6" s="16">
        <v>0.23</v>
      </c>
      <c r="V6" s="14">
        <v>44.24</v>
      </c>
      <c r="W6" s="14">
        <v>0.0</v>
      </c>
      <c r="X6" s="1" t="s">
        <v>58</v>
      </c>
      <c r="Y6" s="1"/>
      <c r="Z6" s="1"/>
    </row>
    <row r="7" ht="14.25" customHeight="1">
      <c r="A7" s="1" t="s">
        <v>65</v>
      </c>
      <c r="B7" s="1" t="s">
        <v>48</v>
      </c>
      <c r="C7" s="1" t="s">
        <v>49</v>
      </c>
      <c r="D7" s="1" t="s">
        <v>50</v>
      </c>
      <c r="E7" s="1" t="s">
        <v>84</v>
      </c>
      <c r="F7" s="1" t="s">
        <v>85</v>
      </c>
      <c r="G7" s="1" t="s">
        <v>68</v>
      </c>
      <c r="H7" s="1" t="s">
        <v>69</v>
      </c>
      <c r="I7" s="1" t="s">
        <v>76</v>
      </c>
      <c r="J7" s="1" t="s">
        <v>71</v>
      </c>
      <c r="K7" s="1" t="s">
        <v>72</v>
      </c>
      <c r="L7" s="13" t="s">
        <v>58</v>
      </c>
      <c r="M7" s="1" t="s">
        <v>59</v>
      </c>
      <c r="N7" s="1" t="s">
        <v>60</v>
      </c>
      <c r="O7" s="1" t="s">
        <v>61</v>
      </c>
      <c r="P7" s="1">
        <v>0.0</v>
      </c>
      <c r="Q7" s="14">
        <v>112.82</v>
      </c>
      <c r="R7" s="1" t="s">
        <v>62</v>
      </c>
      <c r="S7" s="1" t="s">
        <v>63</v>
      </c>
      <c r="T7" s="15" t="s">
        <v>64</v>
      </c>
      <c r="U7" s="16">
        <v>0.23</v>
      </c>
      <c r="V7" s="14">
        <v>25.95</v>
      </c>
      <c r="W7" s="14">
        <v>0.0</v>
      </c>
      <c r="X7" s="1" t="s">
        <v>58</v>
      </c>
      <c r="Y7" s="1"/>
      <c r="Z7" s="1"/>
    </row>
    <row r="8" ht="14.25" customHeight="1">
      <c r="A8" s="1" t="s">
        <v>65</v>
      </c>
      <c r="B8" s="1" t="s">
        <v>48</v>
      </c>
      <c r="C8" s="1" t="s">
        <v>49</v>
      </c>
      <c r="D8" s="1" t="s">
        <v>86</v>
      </c>
      <c r="E8" s="1" t="s">
        <v>87</v>
      </c>
      <c r="F8" s="1" t="s">
        <v>88</v>
      </c>
      <c r="G8" s="1" t="s">
        <v>68</v>
      </c>
      <c r="H8" s="1" t="s">
        <v>54</v>
      </c>
      <c r="I8" s="1" t="s">
        <v>76</v>
      </c>
      <c r="J8" s="1" t="s">
        <v>89</v>
      </c>
      <c r="K8" s="1" t="s">
        <v>57</v>
      </c>
      <c r="L8" s="13" t="s">
        <v>58</v>
      </c>
      <c r="M8" s="1" t="s">
        <v>59</v>
      </c>
      <c r="N8" s="1" t="s">
        <v>60</v>
      </c>
      <c r="O8" s="1" t="s">
        <v>61</v>
      </c>
      <c r="P8" s="1">
        <v>0.0</v>
      </c>
      <c r="Q8" s="14">
        <v>162.27</v>
      </c>
      <c r="R8" s="1" t="s">
        <v>62</v>
      </c>
      <c r="S8" s="1" t="s">
        <v>63</v>
      </c>
      <c r="T8" s="15" t="s">
        <v>64</v>
      </c>
      <c r="U8" s="16">
        <v>0.23</v>
      </c>
      <c r="V8" s="14">
        <v>37.32</v>
      </c>
      <c r="W8" s="14">
        <v>0.0</v>
      </c>
      <c r="X8" s="1" t="s">
        <v>58</v>
      </c>
      <c r="Y8" s="1"/>
      <c r="Z8" s="1"/>
    </row>
    <row r="9" ht="14.25" customHeight="1">
      <c r="A9" s="1" t="s">
        <v>47</v>
      </c>
      <c r="B9" s="1" t="s">
        <v>48</v>
      </c>
      <c r="C9" s="1" t="s">
        <v>90</v>
      </c>
      <c r="D9" s="1" t="s">
        <v>91</v>
      </c>
      <c r="E9" s="1" t="s">
        <v>92</v>
      </c>
      <c r="F9" s="1" t="s">
        <v>93</v>
      </c>
      <c r="G9" s="1" t="s">
        <v>53</v>
      </c>
      <c r="H9" s="1" t="s">
        <v>54</v>
      </c>
      <c r="I9" s="1" t="s">
        <v>55</v>
      </c>
      <c r="J9" s="1" t="s">
        <v>94</v>
      </c>
      <c r="K9" s="1" t="s">
        <v>57</v>
      </c>
      <c r="L9" s="13" t="s">
        <v>58</v>
      </c>
      <c r="M9" s="1" t="s">
        <v>59</v>
      </c>
      <c r="N9" s="1" t="s">
        <v>60</v>
      </c>
      <c r="O9" s="1" t="s">
        <v>61</v>
      </c>
      <c r="P9" s="1">
        <v>0.0</v>
      </c>
      <c r="Q9" s="14">
        <v>155.84</v>
      </c>
      <c r="R9" s="1" t="s">
        <v>95</v>
      </c>
      <c r="S9" s="1" t="s">
        <v>96</v>
      </c>
      <c r="T9" s="15" t="s">
        <v>64</v>
      </c>
      <c r="U9" s="16">
        <v>0.24</v>
      </c>
      <c r="V9" s="14">
        <v>37.4</v>
      </c>
      <c r="W9" s="14">
        <v>0.0</v>
      </c>
      <c r="X9" s="1" t="s">
        <v>58</v>
      </c>
      <c r="Y9" s="1"/>
      <c r="Z9" s="1"/>
    </row>
    <row r="10" ht="14.25" customHeight="1">
      <c r="A10" s="1" t="s">
        <v>65</v>
      </c>
      <c r="B10" s="1" t="s">
        <v>48</v>
      </c>
      <c r="C10" s="1" t="s">
        <v>90</v>
      </c>
      <c r="D10" s="1" t="s">
        <v>50</v>
      </c>
      <c r="E10" s="1" t="s">
        <v>97</v>
      </c>
      <c r="F10" s="1" t="s">
        <v>98</v>
      </c>
      <c r="G10" s="1" t="s">
        <v>68</v>
      </c>
      <c r="H10" s="1" t="s">
        <v>99</v>
      </c>
      <c r="I10" s="1" t="s">
        <v>76</v>
      </c>
      <c r="J10" s="1" t="s">
        <v>100</v>
      </c>
      <c r="K10" s="1" t="s">
        <v>57</v>
      </c>
      <c r="L10" s="13" t="s">
        <v>58</v>
      </c>
      <c r="M10" s="1" t="s">
        <v>59</v>
      </c>
      <c r="N10" s="1" t="s">
        <v>60</v>
      </c>
      <c r="O10" s="1" t="s">
        <v>61</v>
      </c>
      <c r="P10" s="1">
        <v>0.0</v>
      </c>
      <c r="Q10" s="14">
        <v>180.14</v>
      </c>
      <c r="R10" s="1" t="s">
        <v>95</v>
      </c>
      <c r="S10" s="1" t="s">
        <v>96</v>
      </c>
      <c r="T10" s="15" t="s">
        <v>64</v>
      </c>
      <c r="U10" s="16">
        <v>0.23</v>
      </c>
      <c r="V10" s="14">
        <v>41.43</v>
      </c>
      <c r="W10" s="14">
        <v>0.0</v>
      </c>
      <c r="X10" s="1" t="s">
        <v>58</v>
      </c>
      <c r="Y10" s="1"/>
      <c r="Z10" s="1"/>
    </row>
    <row r="11" ht="14.25" customHeight="1">
      <c r="A11" s="1" t="s">
        <v>65</v>
      </c>
      <c r="B11" s="1" t="s">
        <v>48</v>
      </c>
      <c r="C11" s="1" t="s">
        <v>90</v>
      </c>
      <c r="D11" s="1" t="s">
        <v>101</v>
      </c>
      <c r="E11" s="1" t="s">
        <v>102</v>
      </c>
      <c r="F11" s="1" t="s">
        <v>103</v>
      </c>
      <c r="G11" s="1" t="s">
        <v>68</v>
      </c>
      <c r="H11" s="1" t="s">
        <v>54</v>
      </c>
      <c r="I11" s="1" t="s">
        <v>76</v>
      </c>
      <c r="J11" s="1" t="s">
        <v>104</v>
      </c>
      <c r="K11" s="1" t="s">
        <v>105</v>
      </c>
      <c r="L11" s="13" t="s">
        <v>58</v>
      </c>
      <c r="M11" s="1" t="s">
        <v>59</v>
      </c>
      <c r="N11" s="1" t="s">
        <v>60</v>
      </c>
      <c r="O11" s="1" t="s">
        <v>61</v>
      </c>
      <c r="P11" s="1">
        <v>0.0</v>
      </c>
      <c r="Q11" s="14">
        <v>239.28</v>
      </c>
      <c r="R11" s="1" t="s">
        <v>95</v>
      </c>
      <c r="S11" s="1" t="s">
        <v>96</v>
      </c>
      <c r="T11" s="15" t="s">
        <v>64</v>
      </c>
      <c r="U11" s="16">
        <v>0.207</v>
      </c>
      <c r="V11" s="14">
        <v>49.53</v>
      </c>
      <c r="W11" s="14">
        <v>0.0</v>
      </c>
      <c r="X11" s="1" t="s">
        <v>58</v>
      </c>
      <c r="Y11" s="1"/>
      <c r="Z11" s="1"/>
    </row>
    <row r="12" ht="14.25" customHeight="1">
      <c r="A12" s="1" t="s">
        <v>106</v>
      </c>
      <c r="B12" s="1" t="s">
        <v>48</v>
      </c>
      <c r="C12" s="1" t="s">
        <v>90</v>
      </c>
      <c r="D12" s="1" t="s">
        <v>107</v>
      </c>
      <c r="E12" s="1" t="s">
        <v>108</v>
      </c>
      <c r="F12" s="1" t="s">
        <v>109</v>
      </c>
      <c r="G12" s="1" t="s">
        <v>110</v>
      </c>
      <c r="H12" s="1" t="s">
        <v>99</v>
      </c>
      <c r="I12" s="1" t="s">
        <v>111</v>
      </c>
      <c r="J12" s="1" t="s">
        <v>112</v>
      </c>
      <c r="K12" s="1" t="s">
        <v>113</v>
      </c>
      <c r="L12" s="13">
        <v>65.0</v>
      </c>
      <c r="M12" s="1" t="s">
        <v>59</v>
      </c>
      <c r="N12" s="1" t="s">
        <v>60</v>
      </c>
      <c r="O12" s="1" t="s">
        <v>61</v>
      </c>
      <c r="P12" s="1">
        <v>15.0</v>
      </c>
      <c r="Q12" s="14">
        <v>59.91</v>
      </c>
      <c r="R12" s="1" t="s">
        <v>95</v>
      </c>
      <c r="S12" s="1" t="s">
        <v>96</v>
      </c>
      <c r="T12" s="15" t="s">
        <v>64</v>
      </c>
      <c r="U12" s="16">
        <v>1.35</v>
      </c>
      <c r="V12" s="14">
        <v>0.0</v>
      </c>
      <c r="W12" s="14">
        <v>-80.88</v>
      </c>
      <c r="X12" s="1" t="s">
        <v>58</v>
      </c>
      <c r="Y12" s="1"/>
      <c r="Z12" s="1"/>
    </row>
    <row r="13" ht="14.25" customHeight="1">
      <c r="A13" s="1" t="s">
        <v>106</v>
      </c>
      <c r="B13" s="1" t="s">
        <v>48</v>
      </c>
      <c r="C13" s="1" t="s">
        <v>90</v>
      </c>
      <c r="D13" s="1" t="s">
        <v>107</v>
      </c>
      <c r="E13" s="1" t="s">
        <v>114</v>
      </c>
      <c r="F13" s="1" t="s">
        <v>115</v>
      </c>
      <c r="G13" s="1" t="s">
        <v>110</v>
      </c>
      <c r="H13" s="1" t="s">
        <v>69</v>
      </c>
      <c r="I13" s="1" t="s">
        <v>116</v>
      </c>
      <c r="J13" s="1" t="s">
        <v>117</v>
      </c>
      <c r="K13" s="1" t="s">
        <v>118</v>
      </c>
      <c r="L13" s="13">
        <v>57.0</v>
      </c>
      <c r="M13" s="1" t="s">
        <v>59</v>
      </c>
      <c r="N13" s="1" t="s">
        <v>60</v>
      </c>
      <c r="O13" s="1" t="s">
        <v>61</v>
      </c>
      <c r="P13" s="1">
        <v>100.0</v>
      </c>
      <c r="Q13" s="14">
        <v>144.24</v>
      </c>
      <c r="R13" s="1" t="s">
        <v>95</v>
      </c>
      <c r="S13" s="1" t="s">
        <v>96</v>
      </c>
      <c r="T13" s="15" t="s">
        <v>64</v>
      </c>
      <c r="U13" s="16">
        <v>1.35</v>
      </c>
      <c r="V13" s="14">
        <v>0.0</v>
      </c>
      <c r="W13" s="14">
        <v>-194.72</v>
      </c>
      <c r="X13" s="1" t="s">
        <v>58</v>
      </c>
      <c r="Y13" s="1"/>
      <c r="Z13" s="1"/>
    </row>
    <row r="14" ht="14.25" customHeight="1">
      <c r="A14" s="1" t="s">
        <v>106</v>
      </c>
      <c r="B14" s="1" t="s">
        <v>48</v>
      </c>
      <c r="C14" s="1" t="s">
        <v>90</v>
      </c>
      <c r="D14" s="1" t="s">
        <v>119</v>
      </c>
      <c r="E14" s="1" t="s">
        <v>120</v>
      </c>
      <c r="F14" s="1" t="s">
        <v>121</v>
      </c>
      <c r="G14" s="1" t="s">
        <v>122</v>
      </c>
      <c r="H14" s="1" t="s">
        <v>69</v>
      </c>
      <c r="I14" s="1" t="s">
        <v>116</v>
      </c>
      <c r="J14" s="1" t="s">
        <v>123</v>
      </c>
      <c r="K14" s="1" t="s">
        <v>124</v>
      </c>
      <c r="L14" s="13">
        <v>63.0</v>
      </c>
      <c r="M14" s="1" t="s">
        <v>59</v>
      </c>
      <c r="N14" s="1" t="s">
        <v>60</v>
      </c>
      <c r="O14" s="1" t="s">
        <v>61</v>
      </c>
      <c r="P14" s="1">
        <v>75.0</v>
      </c>
      <c r="Q14" s="14">
        <v>164.95</v>
      </c>
      <c r="R14" s="1" t="s">
        <v>95</v>
      </c>
      <c r="S14" s="1" t="s">
        <v>96</v>
      </c>
      <c r="T14" s="15" t="s">
        <v>64</v>
      </c>
      <c r="U14" s="16">
        <v>0.675</v>
      </c>
      <c r="V14" s="14">
        <v>0.0</v>
      </c>
      <c r="W14" s="14">
        <v>-111.34</v>
      </c>
      <c r="X14" s="1" t="s">
        <v>58</v>
      </c>
      <c r="Y14" s="1"/>
      <c r="Z14" s="1"/>
    </row>
    <row r="15" ht="14.25" customHeight="1">
      <c r="A15" s="1" t="s">
        <v>106</v>
      </c>
      <c r="B15" s="1" t="s">
        <v>48</v>
      </c>
      <c r="C15" s="1" t="s">
        <v>90</v>
      </c>
      <c r="D15" s="1" t="s">
        <v>125</v>
      </c>
      <c r="E15" s="1" t="s">
        <v>126</v>
      </c>
      <c r="F15" s="1" t="s">
        <v>127</v>
      </c>
      <c r="G15" s="1" t="s">
        <v>68</v>
      </c>
      <c r="H15" s="1" t="s">
        <v>69</v>
      </c>
      <c r="I15" s="1" t="s">
        <v>116</v>
      </c>
      <c r="J15" s="1" t="s">
        <v>128</v>
      </c>
      <c r="K15" s="1" t="s">
        <v>57</v>
      </c>
      <c r="L15" s="13">
        <v>70.0</v>
      </c>
      <c r="M15" s="1" t="s">
        <v>59</v>
      </c>
      <c r="N15" s="1" t="s">
        <v>60</v>
      </c>
      <c r="O15" s="1" t="s">
        <v>61</v>
      </c>
      <c r="P15" s="1">
        <v>50.0</v>
      </c>
      <c r="Q15" s="14">
        <v>213.38</v>
      </c>
      <c r="R15" s="1" t="s">
        <v>95</v>
      </c>
      <c r="S15" s="1" t="s">
        <v>96</v>
      </c>
      <c r="T15" s="15" t="s">
        <v>64</v>
      </c>
      <c r="U15" s="16">
        <v>1.35</v>
      </c>
      <c r="V15" s="14">
        <v>0.0</v>
      </c>
      <c r="W15" s="14">
        <v>-288.06</v>
      </c>
      <c r="X15" s="1" t="s">
        <v>58</v>
      </c>
      <c r="Y15" s="1"/>
      <c r="Z15" s="1"/>
    </row>
    <row r="16" ht="14.25" customHeight="1">
      <c r="A16" s="1" t="s">
        <v>106</v>
      </c>
      <c r="B16" s="1" t="s">
        <v>48</v>
      </c>
      <c r="C16" s="1" t="s">
        <v>90</v>
      </c>
      <c r="D16" s="1" t="s">
        <v>129</v>
      </c>
      <c r="E16" s="1" t="s">
        <v>130</v>
      </c>
      <c r="F16" s="1" t="s">
        <v>131</v>
      </c>
      <c r="G16" s="1" t="s">
        <v>122</v>
      </c>
      <c r="H16" s="1" t="s">
        <v>69</v>
      </c>
      <c r="I16" s="1" t="s">
        <v>132</v>
      </c>
      <c r="J16" s="1" t="s">
        <v>133</v>
      </c>
      <c r="K16" s="1" t="s">
        <v>72</v>
      </c>
      <c r="L16" s="13">
        <v>63.0</v>
      </c>
      <c r="M16" s="1" t="s">
        <v>59</v>
      </c>
      <c r="N16" s="1" t="s">
        <v>60</v>
      </c>
      <c r="O16" s="1" t="s">
        <v>61</v>
      </c>
      <c r="P16" s="1">
        <v>30.0</v>
      </c>
      <c r="Q16" s="14">
        <v>117.99</v>
      </c>
      <c r="R16" s="1" t="s">
        <v>95</v>
      </c>
      <c r="S16" s="1" t="s">
        <v>96</v>
      </c>
      <c r="T16" s="15" t="s">
        <v>64</v>
      </c>
      <c r="U16" s="16">
        <v>1.5</v>
      </c>
      <c r="V16" s="14">
        <v>0.0</v>
      </c>
      <c r="W16" s="14">
        <v>-176.99</v>
      </c>
      <c r="X16" s="1" t="s">
        <v>58</v>
      </c>
      <c r="Y16" s="1"/>
      <c r="Z16" s="1"/>
    </row>
    <row r="17" ht="14.25" customHeight="1">
      <c r="A17" s="1" t="s">
        <v>106</v>
      </c>
      <c r="B17" s="1" t="s">
        <v>48</v>
      </c>
      <c r="C17" s="1" t="s">
        <v>90</v>
      </c>
      <c r="D17" s="1" t="s">
        <v>134</v>
      </c>
      <c r="E17" s="1" t="s">
        <v>135</v>
      </c>
      <c r="F17" s="1" t="s">
        <v>136</v>
      </c>
      <c r="G17" s="1" t="s">
        <v>137</v>
      </c>
      <c r="H17" s="1" t="s">
        <v>99</v>
      </c>
      <c r="I17" s="1" t="s">
        <v>116</v>
      </c>
      <c r="J17" s="1" t="s">
        <v>138</v>
      </c>
      <c r="K17" s="1" t="s">
        <v>139</v>
      </c>
      <c r="L17" s="13">
        <v>43.0</v>
      </c>
      <c r="M17" s="1" t="s">
        <v>59</v>
      </c>
      <c r="N17" s="1" t="s">
        <v>60</v>
      </c>
      <c r="O17" s="1" t="s">
        <v>61</v>
      </c>
      <c r="P17" s="1">
        <v>40.0</v>
      </c>
      <c r="Q17" s="14">
        <v>56.05</v>
      </c>
      <c r="R17" s="1" t="s">
        <v>95</v>
      </c>
      <c r="S17" s="1" t="s">
        <v>96</v>
      </c>
      <c r="T17" s="15" t="s">
        <v>64</v>
      </c>
      <c r="U17" s="16">
        <v>1.35</v>
      </c>
      <c r="V17" s="14">
        <v>75.67</v>
      </c>
      <c r="W17" s="14">
        <v>0.0</v>
      </c>
      <c r="X17" s="1" t="s">
        <v>58</v>
      </c>
      <c r="Y17" s="1"/>
      <c r="Z17" s="1"/>
    </row>
    <row r="18" ht="14.25" customHeight="1">
      <c r="A18" s="1" t="s">
        <v>106</v>
      </c>
      <c r="B18" s="1" t="s">
        <v>48</v>
      </c>
      <c r="C18" s="1" t="s">
        <v>90</v>
      </c>
      <c r="D18" s="1" t="s">
        <v>134</v>
      </c>
      <c r="E18" s="1" t="s">
        <v>140</v>
      </c>
      <c r="F18" s="1" t="s">
        <v>141</v>
      </c>
      <c r="G18" s="1" t="s">
        <v>137</v>
      </c>
      <c r="H18" s="1" t="s">
        <v>69</v>
      </c>
      <c r="I18" s="1" t="s">
        <v>132</v>
      </c>
      <c r="J18" s="1" t="s">
        <v>128</v>
      </c>
      <c r="K18" s="1" t="s">
        <v>57</v>
      </c>
      <c r="L18" s="13">
        <v>34.0</v>
      </c>
      <c r="M18" s="1" t="s">
        <v>59</v>
      </c>
      <c r="N18" s="1" t="s">
        <v>60</v>
      </c>
      <c r="O18" s="1" t="s">
        <v>61</v>
      </c>
      <c r="P18" s="1">
        <v>250.0</v>
      </c>
      <c r="Q18" s="14">
        <v>92.12</v>
      </c>
      <c r="R18" s="1" t="s">
        <v>95</v>
      </c>
      <c r="S18" s="1" t="s">
        <v>96</v>
      </c>
      <c r="T18" s="15" t="s">
        <v>64</v>
      </c>
      <c r="U18" s="16">
        <v>1.5</v>
      </c>
      <c r="V18" s="14">
        <v>0.0</v>
      </c>
      <c r="W18" s="14">
        <v>-138.18</v>
      </c>
      <c r="X18" s="1" t="s">
        <v>58</v>
      </c>
      <c r="Y18" s="1"/>
      <c r="Z18" s="1"/>
    </row>
    <row r="19" ht="14.25" customHeight="1">
      <c r="A19" s="1" t="s">
        <v>106</v>
      </c>
      <c r="B19" s="1" t="s">
        <v>48</v>
      </c>
      <c r="C19" s="1" t="s">
        <v>90</v>
      </c>
      <c r="D19" s="1" t="s">
        <v>142</v>
      </c>
      <c r="E19" s="1" t="s">
        <v>143</v>
      </c>
      <c r="F19" s="1" t="s">
        <v>144</v>
      </c>
      <c r="G19" s="1" t="s">
        <v>68</v>
      </c>
      <c r="H19" s="1" t="s">
        <v>69</v>
      </c>
      <c r="I19" s="1" t="s">
        <v>145</v>
      </c>
      <c r="J19" s="1" t="s">
        <v>146</v>
      </c>
      <c r="K19" s="1" t="s">
        <v>147</v>
      </c>
      <c r="L19" s="13">
        <v>28.0</v>
      </c>
      <c r="M19" s="1" t="s">
        <v>59</v>
      </c>
      <c r="N19" s="1" t="s">
        <v>60</v>
      </c>
      <c r="O19" s="1" t="s">
        <v>61</v>
      </c>
      <c r="P19" s="1">
        <v>70.0</v>
      </c>
      <c r="Q19" s="14">
        <v>16.58</v>
      </c>
      <c r="R19" s="1" t="s">
        <v>95</v>
      </c>
      <c r="S19" s="1" t="s">
        <v>96</v>
      </c>
      <c r="T19" s="15" t="s">
        <v>64</v>
      </c>
      <c r="U19" s="16">
        <v>1.5</v>
      </c>
      <c r="V19" s="14">
        <v>0.0</v>
      </c>
      <c r="W19" s="14">
        <v>-24.87</v>
      </c>
      <c r="X19" s="1" t="s">
        <v>58</v>
      </c>
      <c r="Y19" s="1"/>
      <c r="Z19" s="1"/>
    </row>
    <row r="20" ht="14.25" customHeight="1">
      <c r="A20" s="1" t="s">
        <v>106</v>
      </c>
      <c r="B20" s="1" t="s">
        <v>48</v>
      </c>
      <c r="C20" s="1" t="s">
        <v>90</v>
      </c>
      <c r="D20" s="1" t="s">
        <v>91</v>
      </c>
      <c r="E20" s="1" t="s">
        <v>148</v>
      </c>
      <c r="F20" s="1" t="s">
        <v>149</v>
      </c>
      <c r="G20" s="1" t="s">
        <v>68</v>
      </c>
      <c r="H20" s="1" t="s">
        <v>99</v>
      </c>
      <c r="I20" s="1" t="s">
        <v>116</v>
      </c>
      <c r="J20" s="1" t="s">
        <v>150</v>
      </c>
      <c r="K20" s="1" t="s">
        <v>151</v>
      </c>
      <c r="L20" s="13">
        <v>61.0</v>
      </c>
      <c r="M20" s="1" t="s">
        <v>59</v>
      </c>
      <c r="N20" s="1" t="s">
        <v>60</v>
      </c>
      <c r="O20" s="1" t="s">
        <v>61</v>
      </c>
      <c r="P20" s="1">
        <v>50.0</v>
      </c>
      <c r="Q20" s="14">
        <v>99.07</v>
      </c>
      <c r="R20" s="1" t="s">
        <v>95</v>
      </c>
      <c r="S20" s="1" t="s">
        <v>96</v>
      </c>
      <c r="T20" s="15" t="s">
        <v>64</v>
      </c>
      <c r="U20" s="16">
        <v>1.35</v>
      </c>
      <c r="V20" s="14">
        <v>0.0</v>
      </c>
      <c r="W20" s="14">
        <v>-133.74</v>
      </c>
      <c r="X20" s="1" t="s">
        <v>58</v>
      </c>
      <c r="Y20" s="1"/>
      <c r="Z20" s="1"/>
    </row>
    <row r="21" ht="14.25" customHeight="1">
      <c r="A21" s="1" t="s">
        <v>106</v>
      </c>
      <c r="B21" s="1" t="s">
        <v>48</v>
      </c>
      <c r="C21" s="1" t="s">
        <v>90</v>
      </c>
      <c r="D21" s="1" t="s">
        <v>50</v>
      </c>
      <c r="E21" s="1" t="s">
        <v>152</v>
      </c>
      <c r="F21" s="1" t="s">
        <v>153</v>
      </c>
      <c r="G21" s="1" t="s">
        <v>154</v>
      </c>
      <c r="H21" s="1" t="s">
        <v>69</v>
      </c>
      <c r="I21" s="1" t="s">
        <v>116</v>
      </c>
      <c r="J21" s="1" t="s">
        <v>155</v>
      </c>
      <c r="K21" s="1" t="s">
        <v>57</v>
      </c>
      <c r="L21" s="13">
        <v>59.0</v>
      </c>
      <c r="M21" s="1" t="s">
        <v>59</v>
      </c>
      <c r="N21" s="1" t="s">
        <v>60</v>
      </c>
      <c r="O21" s="1" t="s">
        <v>61</v>
      </c>
      <c r="P21" s="1">
        <v>50.0</v>
      </c>
      <c r="Q21" s="14">
        <v>123.4</v>
      </c>
      <c r="R21" s="1" t="s">
        <v>95</v>
      </c>
      <c r="S21" s="1" t="s">
        <v>96</v>
      </c>
      <c r="T21" s="15" t="s">
        <v>64</v>
      </c>
      <c r="U21" s="16">
        <v>0.675</v>
      </c>
      <c r="V21" s="14">
        <v>83.3</v>
      </c>
      <c r="W21" s="14">
        <v>0.0</v>
      </c>
      <c r="X21" s="1" t="s">
        <v>58</v>
      </c>
      <c r="Y21" s="1"/>
      <c r="Z21" s="1"/>
    </row>
    <row r="22" ht="14.25" customHeight="1">
      <c r="A22" s="1" t="s">
        <v>106</v>
      </c>
      <c r="B22" s="1" t="s">
        <v>48</v>
      </c>
      <c r="C22" s="1" t="s">
        <v>90</v>
      </c>
      <c r="D22" s="1" t="s">
        <v>156</v>
      </c>
      <c r="E22" s="1" t="s">
        <v>157</v>
      </c>
      <c r="F22" s="1" t="s">
        <v>158</v>
      </c>
      <c r="G22" s="1" t="s">
        <v>159</v>
      </c>
      <c r="H22" s="1" t="s">
        <v>69</v>
      </c>
      <c r="I22" s="1" t="s">
        <v>111</v>
      </c>
      <c r="J22" s="1" t="s">
        <v>155</v>
      </c>
      <c r="K22" s="1" t="s">
        <v>57</v>
      </c>
      <c r="L22" s="13">
        <v>81.0</v>
      </c>
      <c r="M22" s="1" t="s">
        <v>59</v>
      </c>
      <c r="N22" s="1" t="s">
        <v>60</v>
      </c>
      <c r="O22" s="1" t="s">
        <v>61</v>
      </c>
      <c r="P22" s="1">
        <v>10.0</v>
      </c>
      <c r="Q22" s="14">
        <v>106.21</v>
      </c>
      <c r="R22" s="1" t="s">
        <v>95</v>
      </c>
      <c r="S22" s="1" t="s">
        <v>96</v>
      </c>
      <c r="T22" s="15" t="s">
        <v>64</v>
      </c>
      <c r="U22" s="16">
        <v>0.95</v>
      </c>
      <c r="V22" s="14">
        <v>100.9</v>
      </c>
      <c r="W22" s="14">
        <v>0.0</v>
      </c>
      <c r="X22" s="1" t="s">
        <v>58</v>
      </c>
      <c r="Y22" s="1"/>
      <c r="Z22" s="1"/>
    </row>
    <row r="23" ht="14.25" customHeight="1">
      <c r="A23" s="1" t="s">
        <v>106</v>
      </c>
      <c r="B23" s="1" t="s">
        <v>48</v>
      </c>
      <c r="C23" s="1" t="s">
        <v>90</v>
      </c>
      <c r="D23" s="1" t="s">
        <v>156</v>
      </c>
      <c r="E23" s="1" t="s">
        <v>160</v>
      </c>
      <c r="F23" s="1" t="s">
        <v>161</v>
      </c>
      <c r="G23" s="1" t="s">
        <v>159</v>
      </c>
      <c r="H23" s="1" t="s">
        <v>69</v>
      </c>
      <c r="I23" s="1" t="s">
        <v>132</v>
      </c>
      <c r="J23" s="1" t="s">
        <v>162</v>
      </c>
      <c r="K23" s="1" t="s">
        <v>163</v>
      </c>
      <c r="L23" s="13">
        <v>32.0</v>
      </c>
      <c r="M23" s="1" t="s">
        <v>59</v>
      </c>
      <c r="N23" s="1" t="s">
        <v>60</v>
      </c>
      <c r="O23" s="1" t="s">
        <v>61</v>
      </c>
      <c r="P23" s="1">
        <v>250.0</v>
      </c>
      <c r="Q23" s="14">
        <v>47.39</v>
      </c>
      <c r="R23" s="1" t="s">
        <v>95</v>
      </c>
      <c r="S23" s="1" t="s">
        <v>96</v>
      </c>
      <c r="T23" s="15" t="s">
        <v>64</v>
      </c>
      <c r="U23" s="16">
        <v>1.5</v>
      </c>
      <c r="V23" s="14">
        <v>0.0</v>
      </c>
      <c r="W23" s="14">
        <v>-71.09</v>
      </c>
      <c r="X23" s="1" t="s">
        <v>58</v>
      </c>
      <c r="Y23" s="1"/>
      <c r="Z23" s="1"/>
    </row>
    <row r="24" ht="14.25" customHeight="1">
      <c r="A24" s="1" t="s">
        <v>106</v>
      </c>
      <c r="B24" s="1" t="s">
        <v>48</v>
      </c>
      <c r="C24" s="1" t="s">
        <v>90</v>
      </c>
      <c r="D24" s="1" t="s">
        <v>156</v>
      </c>
      <c r="E24" s="1" t="s">
        <v>164</v>
      </c>
      <c r="F24" s="1" t="s">
        <v>165</v>
      </c>
      <c r="G24" s="1" t="s">
        <v>159</v>
      </c>
      <c r="H24" s="1" t="s">
        <v>69</v>
      </c>
      <c r="I24" s="1" t="s">
        <v>132</v>
      </c>
      <c r="J24" s="1" t="s">
        <v>166</v>
      </c>
      <c r="K24" s="1" t="s">
        <v>167</v>
      </c>
      <c r="L24" s="13">
        <v>30.0</v>
      </c>
      <c r="M24" s="1" t="s">
        <v>59</v>
      </c>
      <c r="N24" s="1" t="s">
        <v>60</v>
      </c>
      <c r="O24" s="1" t="s">
        <v>61</v>
      </c>
      <c r="P24" s="1">
        <v>250.0</v>
      </c>
      <c r="Q24" s="14">
        <v>48.24</v>
      </c>
      <c r="R24" s="1" t="s">
        <v>95</v>
      </c>
      <c r="S24" s="1" t="s">
        <v>96</v>
      </c>
      <c r="T24" s="15" t="s">
        <v>64</v>
      </c>
      <c r="U24" s="16">
        <v>1.5</v>
      </c>
      <c r="V24" s="14">
        <v>0.0</v>
      </c>
      <c r="W24" s="14">
        <v>-72.36</v>
      </c>
      <c r="X24" s="1" t="s">
        <v>58</v>
      </c>
      <c r="Y24" s="1"/>
      <c r="Z24" s="1"/>
    </row>
    <row r="25" ht="14.25" customHeight="1">
      <c r="A25" s="1" t="s">
        <v>106</v>
      </c>
      <c r="B25" s="1" t="s">
        <v>48</v>
      </c>
      <c r="C25" s="1" t="s">
        <v>90</v>
      </c>
      <c r="D25" s="1" t="s">
        <v>168</v>
      </c>
      <c r="E25" s="1" t="s">
        <v>169</v>
      </c>
      <c r="F25" s="1" t="s">
        <v>170</v>
      </c>
      <c r="G25" s="1" t="s">
        <v>68</v>
      </c>
      <c r="H25" s="1" t="s">
        <v>69</v>
      </c>
      <c r="I25" s="1" t="s">
        <v>171</v>
      </c>
      <c r="J25" s="1" t="s">
        <v>172</v>
      </c>
      <c r="K25" s="1" t="s">
        <v>167</v>
      </c>
      <c r="L25" s="13">
        <v>0.0</v>
      </c>
      <c r="M25" s="1" t="s">
        <v>59</v>
      </c>
      <c r="N25" s="1" t="s">
        <v>60</v>
      </c>
      <c r="O25" s="1" t="s">
        <v>61</v>
      </c>
      <c r="P25" s="1">
        <v>50.0</v>
      </c>
      <c r="Q25" s="14">
        <v>19.04</v>
      </c>
      <c r="R25" s="1" t="s">
        <v>95</v>
      </c>
      <c r="S25" s="1" t="s">
        <v>96</v>
      </c>
      <c r="T25" s="15" t="s">
        <v>64</v>
      </c>
      <c r="U25" s="16">
        <v>1.15</v>
      </c>
      <c r="V25" s="14">
        <v>21.9</v>
      </c>
      <c r="W25" s="14">
        <v>0.0</v>
      </c>
      <c r="X25" s="1" t="s">
        <v>58</v>
      </c>
      <c r="Y25" s="1"/>
      <c r="Z25" s="1"/>
    </row>
    <row r="26" ht="14.25" customHeight="1">
      <c r="A26" s="1" t="s">
        <v>106</v>
      </c>
      <c r="B26" s="1" t="s">
        <v>48</v>
      </c>
      <c r="C26" s="1" t="s">
        <v>90</v>
      </c>
      <c r="D26" s="1" t="s">
        <v>168</v>
      </c>
      <c r="E26" s="1" t="s">
        <v>173</v>
      </c>
      <c r="F26" s="1" t="s">
        <v>174</v>
      </c>
      <c r="G26" s="1" t="s">
        <v>68</v>
      </c>
      <c r="H26" s="1" t="s">
        <v>69</v>
      </c>
      <c r="I26" s="1" t="s">
        <v>171</v>
      </c>
      <c r="J26" s="1" t="s">
        <v>175</v>
      </c>
      <c r="K26" s="1" t="s">
        <v>176</v>
      </c>
      <c r="L26" s="13">
        <v>0.0</v>
      </c>
      <c r="M26" s="1" t="s">
        <v>59</v>
      </c>
      <c r="N26" s="1" t="s">
        <v>60</v>
      </c>
      <c r="O26" s="1" t="s">
        <v>61</v>
      </c>
      <c r="P26" s="1">
        <v>50.0</v>
      </c>
      <c r="Q26" s="14">
        <v>19.04</v>
      </c>
      <c r="R26" s="1" t="s">
        <v>95</v>
      </c>
      <c r="S26" s="1" t="s">
        <v>96</v>
      </c>
      <c r="T26" s="15" t="s">
        <v>64</v>
      </c>
      <c r="U26" s="16">
        <v>1.15</v>
      </c>
      <c r="V26" s="14">
        <v>21.9</v>
      </c>
      <c r="W26" s="14">
        <v>0.0</v>
      </c>
      <c r="X26" s="1" t="s">
        <v>58</v>
      </c>
      <c r="Y26" s="1"/>
      <c r="Z26" s="1"/>
    </row>
    <row r="27" ht="14.25" customHeight="1">
      <c r="A27" s="1" t="s">
        <v>106</v>
      </c>
      <c r="B27" s="1" t="s">
        <v>48</v>
      </c>
      <c r="C27" s="1" t="s">
        <v>90</v>
      </c>
      <c r="D27" s="1" t="s">
        <v>177</v>
      </c>
      <c r="E27" s="1" t="s">
        <v>178</v>
      </c>
      <c r="F27" s="1" t="s">
        <v>179</v>
      </c>
      <c r="G27" s="1" t="s">
        <v>110</v>
      </c>
      <c r="H27" s="1" t="s">
        <v>180</v>
      </c>
      <c r="I27" s="1" t="s">
        <v>181</v>
      </c>
      <c r="J27" s="1" t="s">
        <v>182</v>
      </c>
      <c r="K27" s="1" t="s">
        <v>57</v>
      </c>
      <c r="L27" s="13">
        <v>38.0</v>
      </c>
      <c r="M27" s="1" t="s">
        <v>59</v>
      </c>
      <c r="N27" s="1" t="s">
        <v>60</v>
      </c>
      <c r="O27" s="1" t="s">
        <v>61</v>
      </c>
      <c r="P27" s="1">
        <v>500.0</v>
      </c>
      <c r="Q27" s="14">
        <v>218.87</v>
      </c>
      <c r="R27" s="1" t="s">
        <v>95</v>
      </c>
      <c r="S27" s="1" t="s">
        <v>183</v>
      </c>
      <c r="T27" s="15" t="s">
        <v>64</v>
      </c>
      <c r="U27" s="16">
        <v>1.26</v>
      </c>
      <c r="V27" s="14">
        <v>0.0</v>
      </c>
      <c r="W27" s="14">
        <v>-275.78</v>
      </c>
      <c r="X27" s="1" t="s">
        <v>58</v>
      </c>
      <c r="Y27" s="1"/>
      <c r="Z27" s="1"/>
    </row>
    <row r="28" ht="14.25" customHeight="1">
      <c r="A28" s="1" t="s">
        <v>106</v>
      </c>
      <c r="B28" s="1" t="s">
        <v>48</v>
      </c>
      <c r="C28" s="1" t="s">
        <v>90</v>
      </c>
      <c r="D28" s="1" t="s">
        <v>184</v>
      </c>
      <c r="E28" s="1" t="s">
        <v>185</v>
      </c>
      <c r="F28" s="1" t="s">
        <v>186</v>
      </c>
      <c r="G28" s="1" t="s">
        <v>187</v>
      </c>
      <c r="H28" s="1" t="s">
        <v>69</v>
      </c>
      <c r="I28" s="1" t="s">
        <v>132</v>
      </c>
      <c r="J28" s="1" t="s">
        <v>188</v>
      </c>
      <c r="K28" s="1" t="s">
        <v>189</v>
      </c>
      <c r="L28" s="13">
        <v>63.0</v>
      </c>
      <c r="M28" s="1" t="s">
        <v>59</v>
      </c>
      <c r="N28" s="1" t="s">
        <v>60</v>
      </c>
      <c r="O28" s="1" t="s">
        <v>61</v>
      </c>
      <c r="P28" s="1">
        <v>30.0</v>
      </c>
      <c r="Q28" s="14">
        <v>58.85</v>
      </c>
      <c r="R28" s="1" t="s">
        <v>95</v>
      </c>
      <c r="S28" s="1" t="s">
        <v>96</v>
      </c>
      <c r="T28" s="15" t="s">
        <v>64</v>
      </c>
      <c r="U28" s="16">
        <v>1.5</v>
      </c>
      <c r="V28" s="14">
        <v>88.28</v>
      </c>
      <c r="W28" s="14">
        <v>0.0</v>
      </c>
      <c r="X28" s="1" t="s">
        <v>58</v>
      </c>
      <c r="Y28" s="1"/>
      <c r="Z28" s="1"/>
    </row>
    <row r="29" ht="14.25" customHeight="1">
      <c r="A29" s="1" t="s">
        <v>106</v>
      </c>
      <c r="B29" s="1" t="s">
        <v>48</v>
      </c>
      <c r="C29" s="1" t="s">
        <v>90</v>
      </c>
      <c r="D29" s="1" t="s">
        <v>184</v>
      </c>
      <c r="E29" s="1" t="s">
        <v>190</v>
      </c>
      <c r="F29" s="1" t="s">
        <v>191</v>
      </c>
      <c r="G29" s="1" t="s">
        <v>154</v>
      </c>
      <c r="H29" s="1" t="s">
        <v>69</v>
      </c>
      <c r="I29" s="1" t="s">
        <v>116</v>
      </c>
      <c r="J29" s="1" t="s">
        <v>192</v>
      </c>
      <c r="K29" s="1" t="s">
        <v>189</v>
      </c>
      <c r="L29" s="13">
        <v>58.0</v>
      </c>
      <c r="M29" s="1" t="s">
        <v>59</v>
      </c>
      <c r="N29" s="1" t="s">
        <v>60</v>
      </c>
      <c r="O29" s="1" t="s">
        <v>61</v>
      </c>
      <c r="P29" s="1">
        <v>100.0</v>
      </c>
      <c r="Q29" s="14">
        <v>153.03</v>
      </c>
      <c r="R29" s="1" t="s">
        <v>95</v>
      </c>
      <c r="S29" s="1" t="s">
        <v>96</v>
      </c>
      <c r="T29" s="15" t="s">
        <v>64</v>
      </c>
      <c r="U29" s="16">
        <v>0.675</v>
      </c>
      <c r="V29" s="14">
        <v>0.0</v>
      </c>
      <c r="W29" s="14">
        <v>-103.3</v>
      </c>
      <c r="X29" s="1" t="s">
        <v>58</v>
      </c>
      <c r="Y29" s="1"/>
      <c r="Z29" s="1"/>
    </row>
    <row r="30" ht="14.25" customHeight="1">
      <c r="A30" s="1" t="s">
        <v>106</v>
      </c>
      <c r="B30" s="1" t="s">
        <v>48</v>
      </c>
      <c r="C30" s="1" t="s">
        <v>90</v>
      </c>
      <c r="D30" s="1" t="s">
        <v>184</v>
      </c>
      <c r="E30" s="1" t="s">
        <v>193</v>
      </c>
      <c r="F30" s="1" t="s">
        <v>194</v>
      </c>
      <c r="G30" s="1" t="s">
        <v>137</v>
      </c>
      <c r="H30" s="1" t="s">
        <v>195</v>
      </c>
      <c r="I30" s="1" t="s">
        <v>116</v>
      </c>
      <c r="J30" s="1" t="s">
        <v>196</v>
      </c>
      <c r="K30" s="1" t="s">
        <v>197</v>
      </c>
      <c r="L30" s="13">
        <v>66.0</v>
      </c>
      <c r="M30" s="1" t="s">
        <v>59</v>
      </c>
      <c r="N30" s="1" t="s">
        <v>60</v>
      </c>
      <c r="O30" s="1" t="s">
        <v>61</v>
      </c>
      <c r="P30" s="1">
        <v>67.0</v>
      </c>
      <c r="Q30" s="14">
        <v>179.85</v>
      </c>
      <c r="R30" s="1" t="s">
        <v>95</v>
      </c>
      <c r="S30" s="1" t="s">
        <v>96</v>
      </c>
      <c r="T30" s="15" t="s">
        <v>64</v>
      </c>
      <c r="U30" s="16">
        <v>0.675</v>
      </c>
      <c r="V30" s="14">
        <v>0.0</v>
      </c>
      <c r="W30" s="14">
        <v>-121.4</v>
      </c>
      <c r="X30" s="1" t="s">
        <v>58</v>
      </c>
      <c r="Y30" s="1"/>
      <c r="Z30" s="1"/>
    </row>
    <row r="31" ht="14.25" customHeight="1">
      <c r="A31" s="1" t="s">
        <v>106</v>
      </c>
      <c r="B31" s="1" t="s">
        <v>48</v>
      </c>
      <c r="C31" s="1" t="s">
        <v>90</v>
      </c>
      <c r="D31" s="1" t="s">
        <v>184</v>
      </c>
      <c r="E31" s="1" t="s">
        <v>198</v>
      </c>
      <c r="F31" s="1" t="s">
        <v>199</v>
      </c>
      <c r="G31" s="1" t="s">
        <v>200</v>
      </c>
      <c r="H31" s="1" t="s">
        <v>99</v>
      </c>
      <c r="I31" s="1" t="s">
        <v>132</v>
      </c>
      <c r="J31" s="1" t="s">
        <v>201</v>
      </c>
      <c r="K31" s="1" t="s">
        <v>202</v>
      </c>
      <c r="L31" s="13">
        <v>53.0</v>
      </c>
      <c r="M31" s="1" t="s">
        <v>59</v>
      </c>
      <c r="N31" s="1" t="s">
        <v>60</v>
      </c>
      <c r="O31" s="1" t="s">
        <v>61</v>
      </c>
      <c r="P31" s="1">
        <v>120.0</v>
      </c>
      <c r="Q31" s="14">
        <v>98.04</v>
      </c>
      <c r="R31" s="1" t="s">
        <v>95</v>
      </c>
      <c r="S31" s="1" t="s">
        <v>96</v>
      </c>
      <c r="T31" s="15" t="s">
        <v>64</v>
      </c>
      <c r="U31" s="16">
        <v>1.5</v>
      </c>
      <c r="V31" s="14">
        <v>0.0</v>
      </c>
      <c r="W31" s="14">
        <v>-147.06</v>
      </c>
      <c r="X31" s="1" t="s">
        <v>58</v>
      </c>
      <c r="Y31" s="1"/>
      <c r="Z31" s="1"/>
    </row>
    <row r="32" ht="14.25" customHeight="1">
      <c r="A32" s="1" t="s">
        <v>106</v>
      </c>
      <c r="B32" s="1" t="s">
        <v>48</v>
      </c>
      <c r="C32" s="1" t="s">
        <v>90</v>
      </c>
      <c r="D32" s="1" t="s">
        <v>184</v>
      </c>
      <c r="E32" s="1" t="s">
        <v>203</v>
      </c>
      <c r="F32" s="1" t="s">
        <v>204</v>
      </c>
      <c r="G32" s="1" t="s">
        <v>205</v>
      </c>
      <c r="H32" s="1" t="s">
        <v>69</v>
      </c>
      <c r="I32" s="1" t="s">
        <v>132</v>
      </c>
      <c r="J32" s="1" t="s">
        <v>151</v>
      </c>
      <c r="K32" s="1" t="s">
        <v>151</v>
      </c>
      <c r="L32" s="13">
        <v>46.0</v>
      </c>
      <c r="M32" s="1" t="s">
        <v>59</v>
      </c>
      <c r="N32" s="1" t="s">
        <v>60</v>
      </c>
      <c r="O32" s="1" t="s">
        <v>61</v>
      </c>
      <c r="P32" s="1">
        <v>250.0</v>
      </c>
      <c r="Q32" s="14">
        <v>1047.33</v>
      </c>
      <c r="R32" s="1" t="s">
        <v>95</v>
      </c>
      <c r="S32" s="1" t="s">
        <v>206</v>
      </c>
      <c r="T32" s="15" t="s">
        <v>64</v>
      </c>
      <c r="U32" s="16">
        <v>1.5</v>
      </c>
      <c r="V32" s="14">
        <v>1571.04</v>
      </c>
      <c r="W32" s="14">
        <v>1571.04</v>
      </c>
      <c r="X32" s="1" t="s">
        <v>58</v>
      </c>
      <c r="Y32" s="1"/>
      <c r="Z32" s="1"/>
    </row>
    <row r="33" ht="14.25" customHeight="1">
      <c r="A33" s="1" t="s">
        <v>106</v>
      </c>
      <c r="B33" s="1" t="s">
        <v>48</v>
      </c>
      <c r="C33" s="1" t="s">
        <v>90</v>
      </c>
      <c r="D33" s="1" t="s">
        <v>207</v>
      </c>
      <c r="E33" s="1" t="s">
        <v>208</v>
      </c>
      <c r="F33" s="1" t="s">
        <v>209</v>
      </c>
      <c r="G33" s="1" t="s">
        <v>68</v>
      </c>
      <c r="H33" s="1" t="s">
        <v>99</v>
      </c>
      <c r="I33" s="1" t="s">
        <v>171</v>
      </c>
      <c r="J33" s="1" t="s">
        <v>210</v>
      </c>
      <c r="K33" s="1" t="s">
        <v>197</v>
      </c>
      <c r="L33" s="13">
        <v>17.0</v>
      </c>
      <c r="M33" s="1" t="s">
        <v>59</v>
      </c>
      <c r="N33" s="1" t="s">
        <v>60</v>
      </c>
      <c r="O33" s="1" t="s">
        <v>61</v>
      </c>
      <c r="P33" s="1">
        <v>50.0</v>
      </c>
      <c r="Q33" s="14">
        <v>34.75</v>
      </c>
      <c r="R33" s="1" t="s">
        <v>95</v>
      </c>
      <c r="S33" s="1" t="s">
        <v>96</v>
      </c>
      <c r="T33" s="15" t="s">
        <v>64</v>
      </c>
      <c r="U33" s="16">
        <v>1.15</v>
      </c>
      <c r="V33" s="14">
        <v>0.0</v>
      </c>
      <c r="W33" s="14">
        <v>-39.96</v>
      </c>
      <c r="X33" s="1" t="s">
        <v>58</v>
      </c>
      <c r="Y33" s="1"/>
      <c r="Z33" s="1"/>
    </row>
    <row r="34" ht="14.25" customHeight="1">
      <c r="A34" s="1" t="s">
        <v>106</v>
      </c>
      <c r="B34" s="1" t="s">
        <v>48</v>
      </c>
      <c r="C34" s="1" t="s">
        <v>90</v>
      </c>
      <c r="D34" s="1" t="s">
        <v>50</v>
      </c>
      <c r="E34" s="1" t="s">
        <v>211</v>
      </c>
      <c r="F34" s="1" t="s">
        <v>212</v>
      </c>
      <c r="G34" s="1" t="s">
        <v>68</v>
      </c>
      <c r="H34" s="1" t="s">
        <v>99</v>
      </c>
      <c r="I34" s="1" t="s">
        <v>116</v>
      </c>
      <c r="J34" s="1" t="s">
        <v>213</v>
      </c>
      <c r="K34" s="1" t="s">
        <v>189</v>
      </c>
      <c r="L34" s="13">
        <v>71.0</v>
      </c>
      <c r="M34" s="1" t="s">
        <v>59</v>
      </c>
      <c r="N34" s="1" t="s">
        <v>60</v>
      </c>
      <c r="O34" s="1" t="s">
        <v>61</v>
      </c>
      <c r="P34" s="1">
        <v>50.0</v>
      </c>
      <c r="Q34" s="14">
        <v>241.54</v>
      </c>
      <c r="R34" s="1" t="s">
        <v>95</v>
      </c>
      <c r="S34" s="1" t="s">
        <v>96</v>
      </c>
      <c r="T34" s="15" t="s">
        <v>64</v>
      </c>
      <c r="U34" s="16">
        <v>1.35</v>
      </c>
      <c r="V34" s="14">
        <v>326.08</v>
      </c>
      <c r="W34" s="14">
        <v>0.0</v>
      </c>
      <c r="X34" s="1" t="s">
        <v>58</v>
      </c>
      <c r="Y34" s="1"/>
      <c r="Z34" s="1"/>
    </row>
    <row r="35" ht="14.25" customHeight="1">
      <c r="A35" s="1" t="s">
        <v>106</v>
      </c>
      <c r="B35" s="1" t="s">
        <v>48</v>
      </c>
      <c r="C35" s="1" t="s">
        <v>90</v>
      </c>
      <c r="D35" s="1" t="s">
        <v>50</v>
      </c>
      <c r="E35" s="1" t="s">
        <v>214</v>
      </c>
      <c r="F35" s="1" t="s">
        <v>215</v>
      </c>
      <c r="G35" s="1" t="s">
        <v>216</v>
      </c>
      <c r="H35" s="1" t="s">
        <v>69</v>
      </c>
      <c r="I35" s="1" t="s">
        <v>116</v>
      </c>
      <c r="J35" s="1" t="s">
        <v>217</v>
      </c>
      <c r="K35" s="1" t="s">
        <v>218</v>
      </c>
      <c r="L35" s="13">
        <v>62.0</v>
      </c>
      <c r="M35" s="1" t="s">
        <v>59</v>
      </c>
      <c r="N35" s="1" t="s">
        <v>60</v>
      </c>
      <c r="O35" s="1" t="s">
        <v>61</v>
      </c>
      <c r="P35" s="1">
        <v>100.0</v>
      </c>
      <c r="Q35" s="14">
        <v>202.13</v>
      </c>
      <c r="R35" s="1" t="s">
        <v>95</v>
      </c>
      <c r="S35" s="1" t="s">
        <v>96</v>
      </c>
      <c r="T35" s="15" t="s">
        <v>64</v>
      </c>
      <c r="U35" s="16">
        <v>0.675</v>
      </c>
      <c r="V35" s="14">
        <v>0.02</v>
      </c>
      <c r="W35" s="14">
        <v>-136.42</v>
      </c>
      <c r="X35" s="1" t="s">
        <v>58</v>
      </c>
      <c r="Y35" s="1"/>
      <c r="Z35" s="1"/>
    </row>
    <row r="36" ht="14.25" customHeight="1">
      <c r="A36" s="1" t="s">
        <v>106</v>
      </c>
      <c r="B36" s="1" t="s">
        <v>48</v>
      </c>
      <c r="C36" s="1" t="s">
        <v>90</v>
      </c>
      <c r="D36" s="1" t="s">
        <v>50</v>
      </c>
      <c r="E36" s="1" t="s">
        <v>219</v>
      </c>
      <c r="F36" s="1" t="s">
        <v>220</v>
      </c>
      <c r="G36" s="1" t="s">
        <v>154</v>
      </c>
      <c r="H36" s="1" t="s">
        <v>69</v>
      </c>
      <c r="I36" s="1" t="s">
        <v>116</v>
      </c>
      <c r="J36" s="1" t="s">
        <v>221</v>
      </c>
      <c r="K36" s="1" t="s">
        <v>189</v>
      </c>
      <c r="L36" s="13">
        <v>53.0</v>
      </c>
      <c r="M36" s="1" t="s">
        <v>59</v>
      </c>
      <c r="N36" s="1" t="s">
        <v>60</v>
      </c>
      <c r="O36" s="1" t="s">
        <v>61</v>
      </c>
      <c r="P36" s="1">
        <v>125.0</v>
      </c>
      <c r="Q36" s="14">
        <v>198.23</v>
      </c>
      <c r="R36" s="1" t="s">
        <v>95</v>
      </c>
      <c r="S36" s="1" t="s">
        <v>96</v>
      </c>
      <c r="T36" s="15" t="s">
        <v>64</v>
      </c>
      <c r="U36" s="16">
        <v>0.675</v>
      </c>
      <c r="V36" s="14">
        <v>0.04</v>
      </c>
      <c r="W36" s="14">
        <v>-133.77</v>
      </c>
      <c r="X36" s="1" t="s">
        <v>58</v>
      </c>
      <c r="Y36" s="1"/>
      <c r="Z36" s="1"/>
    </row>
    <row r="37" ht="14.25" customHeight="1">
      <c r="A37" s="1" t="s">
        <v>106</v>
      </c>
      <c r="B37" s="1" t="s">
        <v>48</v>
      </c>
      <c r="C37" s="1" t="s">
        <v>90</v>
      </c>
      <c r="D37" s="1" t="s">
        <v>91</v>
      </c>
      <c r="E37" s="1" t="s">
        <v>222</v>
      </c>
      <c r="F37" s="1" t="s">
        <v>223</v>
      </c>
      <c r="G37" s="1" t="s">
        <v>68</v>
      </c>
      <c r="H37" s="1" t="s">
        <v>195</v>
      </c>
      <c r="I37" s="1" t="s">
        <v>111</v>
      </c>
      <c r="J37" s="1" t="s">
        <v>224</v>
      </c>
      <c r="K37" s="1" t="s">
        <v>225</v>
      </c>
      <c r="L37" s="13">
        <v>59.0</v>
      </c>
      <c r="M37" s="1" t="s">
        <v>226</v>
      </c>
      <c r="N37" s="1" t="s">
        <v>227</v>
      </c>
      <c r="O37" s="1" t="s">
        <v>228</v>
      </c>
      <c r="P37" s="1">
        <v>50.0</v>
      </c>
      <c r="Q37" s="14">
        <v>0.0</v>
      </c>
      <c r="R37" s="1" t="s">
        <v>95</v>
      </c>
      <c r="S37" s="1" t="s">
        <v>229</v>
      </c>
      <c r="T37" s="15" t="s">
        <v>64</v>
      </c>
      <c r="U37" s="16">
        <v>1.35</v>
      </c>
      <c r="V37" s="14">
        <v>-568.18</v>
      </c>
      <c r="W37" s="14">
        <v>0.0</v>
      </c>
      <c r="X37" s="1" t="s">
        <v>58</v>
      </c>
      <c r="Y37" s="1"/>
      <c r="Z37" s="1"/>
    </row>
    <row r="38" ht="14.25" customHeight="1">
      <c r="A38" s="1" t="s">
        <v>106</v>
      </c>
      <c r="B38" s="1" t="s">
        <v>48</v>
      </c>
      <c r="C38" s="1" t="s">
        <v>90</v>
      </c>
      <c r="D38" s="1" t="s">
        <v>230</v>
      </c>
      <c r="E38" s="1" t="s">
        <v>231</v>
      </c>
      <c r="F38" s="1" t="s">
        <v>232</v>
      </c>
      <c r="G38" s="1" t="s">
        <v>68</v>
      </c>
      <c r="H38" s="1" t="s">
        <v>69</v>
      </c>
      <c r="I38" s="1" t="s">
        <v>111</v>
      </c>
      <c r="J38" s="1" t="s">
        <v>69</v>
      </c>
      <c r="K38" s="1" t="s">
        <v>69</v>
      </c>
      <c r="L38" s="13">
        <v>65.0</v>
      </c>
      <c r="M38" s="1" t="s">
        <v>59</v>
      </c>
      <c r="N38" s="1" t="s">
        <v>60</v>
      </c>
      <c r="O38" s="1" t="s">
        <v>61</v>
      </c>
      <c r="P38" s="1">
        <v>35.0</v>
      </c>
      <c r="Q38" s="14">
        <v>1329.93</v>
      </c>
      <c r="R38" s="1" t="s">
        <v>95</v>
      </c>
      <c r="S38" s="1" t="s">
        <v>206</v>
      </c>
      <c r="T38" s="15" t="s">
        <v>64</v>
      </c>
      <c r="U38" s="16">
        <v>1.35</v>
      </c>
      <c r="V38" s="14">
        <v>1795.41</v>
      </c>
      <c r="W38" s="14">
        <v>1795.41</v>
      </c>
      <c r="X38" s="1" t="s">
        <v>58</v>
      </c>
      <c r="Y38" s="1"/>
      <c r="Z38" s="1"/>
    </row>
    <row r="39" ht="14.25" customHeight="1">
      <c r="A39" s="1" t="s">
        <v>106</v>
      </c>
      <c r="B39" s="1" t="s">
        <v>48</v>
      </c>
      <c r="C39" s="1" t="s">
        <v>90</v>
      </c>
      <c r="D39" s="1" t="s">
        <v>233</v>
      </c>
      <c r="E39" s="1" t="s">
        <v>234</v>
      </c>
      <c r="F39" s="1" t="s">
        <v>235</v>
      </c>
      <c r="G39" s="1" t="s">
        <v>68</v>
      </c>
      <c r="H39" s="1" t="s">
        <v>195</v>
      </c>
      <c r="I39" s="1" t="s">
        <v>236</v>
      </c>
      <c r="J39" s="1" t="s">
        <v>195</v>
      </c>
      <c r="K39" s="1" t="s">
        <v>195</v>
      </c>
      <c r="L39" s="13">
        <v>49.0</v>
      </c>
      <c r="M39" s="1" t="s">
        <v>59</v>
      </c>
      <c r="N39" s="1" t="s">
        <v>60</v>
      </c>
      <c r="O39" s="1" t="s">
        <v>61</v>
      </c>
      <c r="P39" s="1">
        <v>150.0</v>
      </c>
      <c r="Q39" s="14">
        <v>1295.19</v>
      </c>
      <c r="R39" s="1" t="s">
        <v>95</v>
      </c>
      <c r="S39" s="1" t="s">
        <v>206</v>
      </c>
      <c r="T39" s="15" t="s">
        <v>64</v>
      </c>
      <c r="U39" s="16">
        <v>1.5</v>
      </c>
      <c r="V39" s="14">
        <v>1942.83</v>
      </c>
      <c r="W39" s="14">
        <v>1942.83</v>
      </c>
      <c r="X39" s="1" t="s">
        <v>58</v>
      </c>
      <c r="Y39" s="1"/>
      <c r="Z39" s="1"/>
    </row>
    <row r="40" ht="14.25" customHeight="1">
      <c r="A40" s="1" t="s">
        <v>106</v>
      </c>
      <c r="B40" s="1" t="s">
        <v>48</v>
      </c>
      <c r="C40" s="1" t="s">
        <v>90</v>
      </c>
      <c r="D40" s="1" t="s">
        <v>237</v>
      </c>
      <c r="E40" s="1" t="s">
        <v>238</v>
      </c>
      <c r="F40" s="1" t="s">
        <v>239</v>
      </c>
      <c r="G40" s="1" t="s">
        <v>137</v>
      </c>
      <c r="H40" s="1" t="s">
        <v>69</v>
      </c>
      <c r="I40" s="1" t="s">
        <v>111</v>
      </c>
      <c r="J40" s="1" t="s">
        <v>240</v>
      </c>
      <c r="K40" s="1" t="s">
        <v>202</v>
      </c>
      <c r="L40" s="13">
        <v>72.0</v>
      </c>
      <c r="M40" s="1" t="s">
        <v>59</v>
      </c>
      <c r="N40" s="1" t="s">
        <v>60</v>
      </c>
      <c r="O40" s="1" t="s">
        <v>61</v>
      </c>
      <c r="P40" s="1">
        <v>10.0</v>
      </c>
      <c r="Q40" s="14">
        <v>83.99</v>
      </c>
      <c r="R40" s="1" t="s">
        <v>95</v>
      </c>
      <c r="S40" s="1" t="s">
        <v>96</v>
      </c>
      <c r="T40" s="15" t="s">
        <v>64</v>
      </c>
      <c r="U40" s="16">
        <v>1.35</v>
      </c>
      <c r="V40" s="14">
        <v>0.0</v>
      </c>
      <c r="W40" s="14">
        <v>-113.39</v>
      </c>
      <c r="X40" s="1" t="s">
        <v>58</v>
      </c>
      <c r="Y40" s="1"/>
      <c r="Z40" s="1"/>
    </row>
    <row r="41" ht="14.25" customHeight="1">
      <c r="A41" s="1" t="s">
        <v>106</v>
      </c>
      <c r="B41" s="1" t="s">
        <v>48</v>
      </c>
      <c r="C41" s="1" t="s">
        <v>90</v>
      </c>
      <c r="D41" s="1" t="s">
        <v>230</v>
      </c>
      <c r="E41" s="1" t="s">
        <v>241</v>
      </c>
      <c r="F41" s="1" t="s">
        <v>242</v>
      </c>
      <c r="G41" s="1" t="s">
        <v>68</v>
      </c>
      <c r="H41" s="1" t="s">
        <v>180</v>
      </c>
      <c r="I41" s="1" t="s">
        <v>111</v>
      </c>
      <c r="J41" s="1" t="s">
        <v>243</v>
      </c>
      <c r="K41" s="1" t="s">
        <v>218</v>
      </c>
      <c r="L41" s="13">
        <v>64.0</v>
      </c>
      <c r="M41" s="1" t="s">
        <v>59</v>
      </c>
      <c r="N41" s="1" t="s">
        <v>60</v>
      </c>
      <c r="O41" s="1" t="s">
        <v>61</v>
      </c>
      <c r="P41" s="1">
        <v>12.0</v>
      </c>
      <c r="Q41" s="14">
        <v>63.65</v>
      </c>
      <c r="R41" s="1" t="s">
        <v>95</v>
      </c>
      <c r="S41" s="1" t="s">
        <v>96</v>
      </c>
      <c r="T41" s="15" t="s">
        <v>64</v>
      </c>
      <c r="U41" s="16">
        <v>1.35</v>
      </c>
      <c r="V41" s="14">
        <v>85.93</v>
      </c>
      <c r="W41" s="14">
        <v>0.0</v>
      </c>
      <c r="X41" s="1" t="s">
        <v>58</v>
      </c>
      <c r="Y41" s="1"/>
      <c r="Z41" s="1"/>
    </row>
    <row r="42" ht="14.25" customHeight="1">
      <c r="A42" s="1" t="s">
        <v>106</v>
      </c>
      <c r="B42" s="1" t="s">
        <v>48</v>
      </c>
      <c r="C42" s="1" t="s">
        <v>90</v>
      </c>
      <c r="D42" s="1" t="s">
        <v>230</v>
      </c>
      <c r="E42" s="1" t="s">
        <v>244</v>
      </c>
      <c r="F42" s="1" t="s">
        <v>245</v>
      </c>
      <c r="G42" s="1" t="s">
        <v>68</v>
      </c>
      <c r="H42" s="1" t="s">
        <v>195</v>
      </c>
      <c r="I42" s="1" t="s">
        <v>111</v>
      </c>
      <c r="J42" s="1" t="s">
        <v>210</v>
      </c>
      <c r="K42" s="1" t="s">
        <v>197</v>
      </c>
      <c r="L42" s="13">
        <v>77.0</v>
      </c>
      <c r="M42" s="1" t="s">
        <v>59</v>
      </c>
      <c r="N42" s="1" t="s">
        <v>60</v>
      </c>
      <c r="O42" s="1" t="s">
        <v>61</v>
      </c>
      <c r="P42" s="1">
        <v>10.0</v>
      </c>
      <c r="Q42" s="14">
        <v>83.51</v>
      </c>
      <c r="R42" s="1" t="s">
        <v>95</v>
      </c>
      <c r="S42" s="1" t="s">
        <v>96</v>
      </c>
      <c r="T42" s="15" t="s">
        <v>64</v>
      </c>
      <c r="U42" s="16">
        <v>1.35</v>
      </c>
      <c r="V42" s="14">
        <v>0.0</v>
      </c>
      <c r="W42" s="14">
        <v>-112.74</v>
      </c>
      <c r="X42" s="1" t="s">
        <v>58</v>
      </c>
      <c r="Y42" s="1"/>
      <c r="Z42" s="1"/>
    </row>
    <row r="43" ht="14.25" customHeight="1">
      <c r="A43" s="1" t="s">
        <v>106</v>
      </c>
      <c r="B43" s="1" t="s">
        <v>48</v>
      </c>
      <c r="C43" s="1" t="s">
        <v>90</v>
      </c>
      <c r="D43" s="1" t="s">
        <v>246</v>
      </c>
      <c r="E43" s="1" t="s">
        <v>247</v>
      </c>
      <c r="F43" s="1" t="s">
        <v>248</v>
      </c>
      <c r="G43" s="1" t="s">
        <v>68</v>
      </c>
      <c r="H43" s="1" t="s">
        <v>69</v>
      </c>
      <c r="I43" s="1" t="s">
        <v>116</v>
      </c>
      <c r="J43" s="1" t="s">
        <v>249</v>
      </c>
      <c r="K43" s="1" t="s">
        <v>250</v>
      </c>
      <c r="L43" s="13">
        <v>47.0</v>
      </c>
      <c r="M43" s="1" t="s">
        <v>59</v>
      </c>
      <c r="N43" s="1" t="s">
        <v>60</v>
      </c>
      <c r="O43" s="1" t="s">
        <v>61</v>
      </c>
      <c r="P43" s="1">
        <v>110.0</v>
      </c>
      <c r="Q43" s="14">
        <v>100.06</v>
      </c>
      <c r="R43" s="1" t="s">
        <v>95</v>
      </c>
      <c r="S43" s="1" t="s">
        <v>96</v>
      </c>
      <c r="T43" s="15" t="s">
        <v>64</v>
      </c>
      <c r="U43" s="16">
        <v>1.35</v>
      </c>
      <c r="V43" s="14">
        <v>135.08</v>
      </c>
      <c r="W43" s="14">
        <v>0.0</v>
      </c>
      <c r="X43" s="1" t="s">
        <v>58</v>
      </c>
      <c r="Y43" s="1"/>
      <c r="Z43" s="1"/>
    </row>
    <row r="44" ht="14.25" customHeight="1">
      <c r="A44" s="1" t="s">
        <v>106</v>
      </c>
      <c r="B44" s="1" t="s">
        <v>48</v>
      </c>
      <c r="C44" s="1" t="s">
        <v>90</v>
      </c>
      <c r="D44" s="1" t="s">
        <v>251</v>
      </c>
      <c r="E44" s="1" t="s">
        <v>252</v>
      </c>
      <c r="F44" s="1" t="s">
        <v>253</v>
      </c>
      <c r="G44" s="1" t="s">
        <v>254</v>
      </c>
      <c r="H44" s="1" t="s">
        <v>69</v>
      </c>
      <c r="I44" s="1" t="s">
        <v>132</v>
      </c>
      <c r="J44" s="1" t="s">
        <v>192</v>
      </c>
      <c r="K44" s="1" t="s">
        <v>189</v>
      </c>
      <c r="L44" s="13">
        <v>55.0</v>
      </c>
      <c r="M44" s="1" t="s">
        <v>59</v>
      </c>
      <c r="N44" s="1" t="s">
        <v>60</v>
      </c>
      <c r="O44" s="1" t="s">
        <v>61</v>
      </c>
      <c r="P44" s="1">
        <v>200.0</v>
      </c>
      <c r="Q44" s="14">
        <v>182.98</v>
      </c>
      <c r="R44" s="1" t="s">
        <v>95</v>
      </c>
      <c r="S44" s="1" t="s">
        <v>96</v>
      </c>
      <c r="T44" s="15" t="s">
        <v>64</v>
      </c>
      <c r="U44" s="16">
        <v>1.5</v>
      </c>
      <c r="V44" s="14">
        <v>0.0</v>
      </c>
      <c r="W44" s="14">
        <v>-274.47</v>
      </c>
      <c r="X44" s="1" t="s">
        <v>58</v>
      </c>
      <c r="Y44" s="1"/>
      <c r="Z44" s="1"/>
    </row>
    <row r="45" ht="14.25" customHeight="1">
      <c r="A45" s="1" t="s">
        <v>106</v>
      </c>
      <c r="B45" s="1" t="s">
        <v>48</v>
      </c>
      <c r="C45" s="1" t="s">
        <v>90</v>
      </c>
      <c r="D45" s="1" t="s">
        <v>251</v>
      </c>
      <c r="E45" s="1" t="s">
        <v>255</v>
      </c>
      <c r="F45" s="1" t="s">
        <v>256</v>
      </c>
      <c r="G45" s="1" t="s">
        <v>257</v>
      </c>
      <c r="H45" s="1" t="s">
        <v>195</v>
      </c>
      <c r="I45" s="1" t="s">
        <v>236</v>
      </c>
      <c r="J45" s="1" t="s">
        <v>258</v>
      </c>
      <c r="K45" s="1" t="s">
        <v>259</v>
      </c>
      <c r="L45" s="13">
        <v>25.0</v>
      </c>
      <c r="M45" s="1" t="s">
        <v>59</v>
      </c>
      <c r="N45" s="1" t="s">
        <v>60</v>
      </c>
      <c r="O45" s="1" t="s">
        <v>61</v>
      </c>
      <c r="P45" s="1">
        <v>300.0</v>
      </c>
      <c r="Q45" s="14">
        <v>62.57</v>
      </c>
      <c r="R45" s="1" t="s">
        <v>95</v>
      </c>
      <c r="S45" s="1" t="s">
        <v>96</v>
      </c>
      <c r="T45" s="15" t="s">
        <v>64</v>
      </c>
      <c r="U45" s="16">
        <v>1.5</v>
      </c>
      <c r="V45" s="14">
        <v>0.0</v>
      </c>
      <c r="W45" s="14">
        <v>-93.86</v>
      </c>
      <c r="X45" s="1" t="s">
        <v>58</v>
      </c>
      <c r="Y45" s="1"/>
      <c r="Z45" s="1"/>
    </row>
    <row r="46" ht="14.25" customHeight="1">
      <c r="A46" s="1" t="s">
        <v>106</v>
      </c>
      <c r="B46" s="1" t="s">
        <v>48</v>
      </c>
      <c r="C46" s="1" t="s">
        <v>90</v>
      </c>
      <c r="D46" s="1" t="s">
        <v>251</v>
      </c>
      <c r="E46" s="1" t="s">
        <v>260</v>
      </c>
      <c r="F46" s="1" t="s">
        <v>261</v>
      </c>
      <c r="G46" s="1" t="s">
        <v>216</v>
      </c>
      <c r="H46" s="1" t="s">
        <v>195</v>
      </c>
      <c r="I46" s="1" t="s">
        <v>132</v>
      </c>
      <c r="J46" s="1" t="s">
        <v>258</v>
      </c>
      <c r="K46" s="1" t="s">
        <v>259</v>
      </c>
      <c r="L46" s="13">
        <v>62.0</v>
      </c>
      <c r="M46" s="1" t="s">
        <v>59</v>
      </c>
      <c r="N46" s="1" t="s">
        <v>60</v>
      </c>
      <c r="O46" s="1" t="s">
        <v>61</v>
      </c>
      <c r="P46" s="1">
        <v>25.0</v>
      </c>
      <c r="Q46" s="14">
        <v>87.87</v>
      </c>
      <c r="R46" s="1" t="s">
        <v>95</v>
      </c>
      <c r="S46" s="1" t="s">
        <v>96</v>
      </c>
      <c r="T46" s="15" t="s">
        <v>64</v>
      </c>
      <c r="U46" s="16">
        <v>1.5</v>
      </c>
      <c r="V46" s="14">
        <v>0.0</v>
      </c>
      <c r="W46" s="14">
        <v>-131.81</v>
      </c>
      <c r="X46" s="1" t="s">
        <v>58</v>
      </c>
      <c r="Y46" s="1"/>
      <c r="Z46" s="1"/>
    </row>
    <row r="47" ht="14.25" customHeight="1">
      <c r="A47" s="1" t="s">
        <v>106</v>
      </c>
      <c r="B47" s="1" t="s">
        <v>48</v>
      </c>
      <c r="C47" s="1" t="s">
        <v>90</v>
      </c>
      <c r="D47" s="1" t="s">
        <v>251</v>
      </c>
      <c r="E47" s="1" t="s">
        <v>262</v>
      </c>
      <c r="F47" s="1" t="s">
        <v>263</v>
      </c>
      <c r="G47" s="1" t="s">
        <v>264</v>
      </c>
      <c r="H47" s="1" t="s">
        <v>69</v>
      </c>
      <c r="I47" s="1" t="s">
        <v>132</v>
      </c>
      <c r="J47" s="1" t="s">
        <v>192</v>
      </c>
      <c r="K47" s="1" t="s">
        <v>189</v>
      </c>
      <c r="L47" s="13">
        <v>58.0</v>
      </c>
      <c r="M47" s="1" t="s">
        <v>59</v>
      </c>
      <c r="N47" s="1" t="s">
        <v>60</v>
      </c>
      <c r="O47" s="1" t="s">
        <v>61</v>
      </c>
      <c r="P47" s="1">
        <v>125.0</v>
      </c>
      <c r="Q47" s="14">
        <v>141.96</v>
      </c>
      <c r="R47" s="1" t="s">
        <v>95</v>
      </c>
      <c r="S47" s="1" t="s">
        <v>96</v>
      </c>
      <c r="T47" s="15" t="s">
        <v>64</v>
      </c>
      <c r="U47" s="16">
        <v>1.5</v>
      </c>
      <c r="V47" s="14">
        <v>0.0</v>
      </c>
      <c r="W47" s="14">
        <v>-212.94</v>
      </c>
      <c r="X47" s="1" t="s">
        <v>58</v>
      </c>
      <c r="Y47" s="1"/>
      <c r="Z47" s="1"/>
    </row>
    <row r="48" ht="14.25" customHeight="1">
      <c r="A48" s="1" t="s">
        <v>106</v>
      </c>
      <c r="B48" s="1" t="s">
        <v>48</v>
      </c>
      <c r="C48" s="1" t="s">
        <v>90</v>
      </c>
      <c r="D48" s="1" t="s">
        <v>251</v>
      </c>
      <c r="E48" s="1" t="s">
        <v>265</v>
      </c>
      <c r="F48" s="1" t="s">
        <v>266</v>
      </c>
      <c r="G48" s="1" t="s">
        <v>216</v>
      </c>
      <c r="H48" s="1" t="s">
        <v>180</v>
      </c>
      <c r="I48" s="1" t="s">
        <v>132</v>
      </c>
      <c r="J48" s="1" t="s">
        <v>267</v>
      </c>
      <c r="K48" s="1" t="s">
        <v>268</v>
      </c>
      <c r="L48" s="13">
        <v>60.0</v>
      </c>
      <c r="M48" s="1" t="s">
        <v>59</v>
      </c>
      <c r="N48" s="1" t="s">
        <v>60</v>
      </c>
      <c r="O48" s="1" t="s">
        <v>61</v>
      </c>
      <c r="P48" s="1">
        <v>125.0</v>
      </c>
      <c r="Q48" s="14">
        <v>0.0</v>
      </c>
      <c r="R48" s="1" t="s">
        <v>95</v>
      </c>
      <c r="S48" s="1" t="s">
        <v>269</v>
      </c>
      <c r="T48" s="15" t="s">
        <v>64</v>
      </c>
      <c r="U48" s="16">
        <v>0.0</v>
      </c>
      <c r="V48" s="14">
        <v>-1485.02</v>
      </c>
      <c r="W48" s="14">
        <v>-1485.02</v>
      </c>
      <c r="X48" s="1" t="s">
        <v>58</v>
      </c>
      <c r="Y48" s="1"/>
      <c r="Z48" s="1"/>
    </row>
    <row r="49" ht="14.25" customHeight="1">
      <c r="A49" s="1" t="s">
        <v>106</v>
      </c>
      <c r="B49" s="1" t="s">
        <v>48</v>
      </c>
      <c r="C49" s="1" t="s">
        <v>90</v>
      </c>
      <c r="D49" s="1" t="s">
        <v>50</v>
      </c>
      <c r="E49" s="1" t="s">
        <v>270</v>
      </c>
      <c r="F49" s="1" t="s">
        <v>271</v>
      </c>
      <c r="G49" s="1" t="s">
        <v>272</v>
      </c>
      <c r="H49" s="1" t="s">
        <v>69</v>
      </c>
      <c r="I49" s="1" t="s">
        <v>132</v>
      </c>
      <c r="J49" s="1" t="s">
        <v>273</v>
      </c>
      <c r="K49" s="1" t="s">
        <v>189</v>
      </c>
      <c r="L49" s="13">
        <v>63.0</v>
      </c>
      <c r="M49" s="1" t="s">
        <v>59</v>
      </c>
      <c r="N49" s="1" t="s">
        <v>60</v>
      </c>
      <c r="O49" s="1" t="s">
        <v>61</v>
      </c>
      <c r="P49" s="1">
        <v>100.0</v>
      </c>
      <c r="Q49" s="14">
        <v>192.42</v>
      </c>
      <c r="R49" s="1" t="s">
        <v>95</v>
      </c>
      <c r="S49" s="1" t="s">
        <v>96</v>
      </c>
      <c r="T49" s="15" t="s">
        <v>64</v>
      </c>
      <c r="U49" s="16">
        <v>1.5</v>
      </c>
      <c r="V49" s="14">
        <v>20.41</v>
      </c>
      <c r="W49" s="14">
        <v>-268.22</v>
      </c>
      <c r="X49" s="1" t="s">
        <v>58</v>
      </c>
      <c r="Y49" s="1"/>
      <c r="Z49" s="1"/>
    </row>
    <row r="50" ht="14.25" customHeight="1">
      <c r="A50" s="1" t="s">
        <v>106</v>
      </c>
      <c r="B50" s="1" t="s">
        <v>48</v>
      </c>
      <c r="C50" s="1" t="s">
        <v>90</v>
      </c>
      <c r="D50" s="1" t="s">
        <v>50</v>
      </c>
      <c r="E50" s="1" t="s">
        <v>274</v>
      </c>
      <c r="F50" s="1" t="s">
        <v>275</v>
      </c>
      <c r="G50" s="1" t="s">
        <v>276</v>
      </c>
      <c r="H50" s="1" t="s">
        <v>69</v>
      </c>
      <c r="I50" s="1" t="s">
        <v>132</v>
      </c>
      <c r="J50" s="1" t="s">
        <v>192</v>
      </c>
      <c r="K50" s="1" t="s">
        <v>189</v>
      </c>
      <c r="L50" s="13">
        <v>63.0</v>
      </c>
      <c r="M50" s="1" t="s">
        <v>59</v>
      </c>
      <c r="N50" s="1" t="s">
        <v>60</v>
      </c>
      <c r="O50" s="1" t="s">
        <v>61</v>
      </c>
      <c r="P50" s="1">
        <v>100.0</v>
      </c>
      <c r="Q50" s="14">
        <v>192.42</v>
      </c>
      <c r="R50" s="1" t="s">
        <v>95</v>
      </c>
      <c r="S50" s="1" t="s">
        <v>96</v>
      </c>
      <c r="T50" s="15" t="s">
        <v>64</v>
      </c>
      <c r="U50" s="16">
        <v>1.5</v>
      </c>
      <c r="V50" s="14">
        <v>0.0</v>
      </c>
      <c r="W50" s="14">
        <v>-288.63</v>
      </c>
      <c r="X50" s="1" t="s">
        <v>58</v>
      </c>
      <c r="Y50" s="1"/>
      <c r="Z50" s="1"/>
    </row>
    <row r="51" ht="14.25" customHeight="1">
      <c r="A51" s="1" t="s">
        <v>106</v>
      </c>
      <c r="B51" s="1" t="s">
        <v>48</v>
      </c>
      <c r="C51" s="1" t="s">
        <v>90</v>
      </c>
      <c r="D51" s="1" t="s">
        <v>50</v>
      </c>
      <c r="E51" s="1" t="s">
        <v>277</v>
      </c>
      <c r="F51" s="1" t="s">
        <v>278</v>
      </c>
      <c r="G51" s="1" t="s">
        <v>279</v>
      </c>
      <c r="H51" s="1" t="s">
        <v>69</v>
      </c>
      <c r="I51" s="1" t="s">
        <v>132</v>
      </c>
      <c r="J51" s="1" t="s">
        <v>273</v>
      </c>
      <c r="K51" s="1" t="s">
        <v>189</v>
      </c>
      <c r="L51" s="13">
        <v>52.0</v>
      </c>
      <c r="M51" s="1" t="s">
        <v>59</v>
      </c>
      <c r="N51" s="1" t="s">
        <v>60</v>
      </c>
      <c r="O51" s="1" t="s">
        <v>61</v>
      </c>
      <c r="P51" s="1">
        <v>250.0</v>
      </c>
      <c r="Q51" s="14">
        <v>194.02</v>
      </c>
      <c r="R51" s="1" t="s">
        <v>95</v>
      </c>
      <c r="S51" s="1" t="s">
        <v>96</v>
      </c>
      <c r="T51" s="15" t="s">
        <v>64</v>
      </c>
      <c r="U51" s="16">
        <v>1.5</v>
      </c>
      <c r="V51" s="14">
        <v>37.21</v>
      </c>
      <c r="W51" s="14">
        <v>-253.82</v>
      </c>
      <c r="X51" s="1" t="s">
        <v>58</v>
      </c>
      <c r="Y51" s="1"/>
      <c r="Z51" s="1"/>
    </row>
    <row r="52" ht="14.25" customHeight="1">
      <c r="A52" s="1" t="s">
        <v>106</v>
      </c>
      <c r="B52" s="1" t="s">
        <v>48</v>
      </c>
      <c r="C52" s="1" t="s">
        <v>90</v>
      </c>
      <c r="D52" s="1" t="s">
        <v>50</v>
      </c>
      <c r="E52" s="1" t="s">
        <v>280</v>
      </c>
      <c r="F52" s="1" t="s">
        <v>281</v>
      </c>
      <c r="G52" s="1" t="s">
        <v>200</v>
      </c>
      <c r="H52" s="1" t="s">
        <v>195</v>
      </c>
      <c r="I52" s="1" t="s">
        <v>116</v>
      </c>
      <c r="J52" s="1" t="s">
        <v>282</v>
      </c>
      <c r="K52" s="1" t="s">
        <v>197</v>
      </c>
      <c r="L52" s="13">
        <v>67.0</v>
      </c>
      <c r="M52" s="1" t="s">
        <v>59</v>
      </c>
      <c r="N52" s="1" t="s">
        <v>60</v>
      </c>
      <c r="O52" s="1" t="s">
        <v>61</v>
      </c>
      <c r="P52" s="1">
        <v>55.0</v>
      </c>
      <c r="Q52" s="14">
        <v>156.77</v>
      </c>
      <c r="R52" s="1" t="s">
        <v>95</v>
      </c>
      <c r="S52" s="1" t="s">
        <v>96</v>
      </c>
      <c r="T52" s="15" t="s">
        <v>64</v>
      </c>
      <c r="U52" s="16">
        <v>0.675</v>
      </c>
      <c r="V52" s="14">
        <v>0.0</v>
      </c>
      <c r="W52" s="14">
        <v>-105.82</v>
      </c>
      <c r="X52" s="1" t="s">
        <v>58</v>
      </c>
      <c r="Y52" s="1"/>
      <c r="Z52" s="1"/>
    </row>
    <row r="53" ht="14.25" customHeight="1">
      <c r="A53" s="1" t="s">
        <v>106</v>
      </c>
      <c r="B53" s="1" t="s">
        <v>48</v>
      </c>
      <c r="C53" s="1" t="s">
        <v>90</v>
      </c>
      <c r="D53" s="1" t="s">
        <v>50</v>
      </c>
      <c r="E53" s="1" t="s">
        <v>283</v>
      </c>
      <c r="F53" s="1" t="s">
        <v>284</v>
      </c>
      <c r="G53" s="1" t="s">
        <v>68</v>
      </c>
      <c r="H53" s="1" t="s">
        <v>69</v>
      </c>
      <c r="I53" s="1" t="s">
        <v>116</v>
      </c>
      <c r="J53" s="1" t="s">
        <v>285</v>
      </c>
      <c r="K53" s="1" t="s">
        <v>57</v>
      </c>
      <c r="L53" s="13">
        <v>62.0</v>
      </c>
      <c r="M53" s="1" t="s">
        <v>59</v>
      </c>
      <c r="N53" s="1" t="s">
        <v>60</v>
      </c>
      <c r="O53" s="1" t="s">
        <v>61</v>
      </c>
      <c r="P53" s="1">
        <v>80.0</v>
      </c>
      <c r="Q53" s="14">
        <v>163.99</v>
      </c>
      <c r="R53" s="1" t="s">
        <v>95</v>
      </c>
      <c r="S53" s="1" t="s">
        <v>96</v>
      </c>
      <c r="T53" s="15" t="s">
        <v>64</v>
      </c>
      <c r="U53" s="16">
        <v>0.675</v>
      </c>
      <c r="V53" s="14">
        <v>0.0</v>
      </c>
      <c r="W53" s="14">
        <v>-110.69</v>
      </c>
      <c r="X53" s="1" t="s">
        <v>58</v>
      </c>
      <c r="Y53" s="1"/>
      <c r="Z53" s="1"/>
    </row>
    <row r="54" ht="14.25" customHeight="1">
      <c r="A54" s="1" t="s">
        <v>106</v>
      </c>
      <c r="B54" s="1" t="s">
        <v>48</v>
      </c>
      <c r="C54" s="1" t="s">
        <v>90</v>
      </c>
      <c r="D54" s="1" t="s">
        <v>50</v>
      </c>
      <c r="E54" s="1" t="s">
        <v>286</v>
      </c>
      <c r="F54" s="1" t="s">
        <v>287</v>
      </c>
      <c r="G54" s="1" t="s">
        <v>279</v>
      </c>
      <c r="H54" s="1" t="s">
        <v>180</v>
      </c>
      <c r="I54" s="1" t="s">
        <v>116</v>
      </c>
      <c r="J54" s="1" t="s">
        <v>57</v>
      </c>
      <c r="K54" s="1" t="s">
        <v>57</v>
      </c>
      <c r="L54" s="13">
        <v>60.0</v>
      </c>
      <c r="M54" s="1" t="s">
        <v>59</v>
      </c>
      <c r="N54" s="1" t="s">
        <v>60</v>
      </c>
      <c r="O54" s="1" t="s">
        <v>61</v>
      </c>
      <c r="P54" s="1">
        <v>100.0</v>
      </c>
      <c r="Q54" s="14">
        <v>2132.19</v>
      </c>
      <c r="R54" s="1" t="s">
        <v>95</v>
      </c>
      <c r="S54" s="1" t="s">
        <v>288</v>
      </c>
      <c r="T54" s="15" t="s">
        <v>64</v>
      </c>
      <c r="U54" s="16">
        <v>0.675</v>
      </c>
      <c r="V54" s="14">
        <v>1439.23</v>
      </c>
      <c r="W54" s="14">
        <v>1439.23</v>
      </c>
      <c r="X54" s="1" t="s">
        <v>58</v>
      </c>
      <c r="Y54" s="1"/>
      <c r="Z54" s="1"/>
    </row>
    <row r="55" ht="14.25" customHeight="1">
      <c r="A55" s="1" t="s">
        <v>106</v>
      </c>
      <c r="B55" s="1" t="s">
        <v>48</v>
      </c>
      <c r="C55" s="1" t="s">
        <v>90</v>
      </c>
      <c r="D55" s="1" t="s">
        <v>50</v>
      </c>
      <c r="E55" s="1" t="s">
        <v>289</v>
      </c>
      <c r="F55" s="1" t="s">
        <v>290</v>
      </c>
      <c r="G55" s="1" t="s">
        <v>272</v>
      </c>
      <c r="H55" s="1" t="s">
        <v>99</v>
      </c>
      <c r="I55" s="1" t="s">
        <v>116</v>
      </c>
      <c r="J55" s="1" t="s">
        <v>291</v>
      </c>
      <c r="K55" s="1" t="s">
        <v>291</v>
      </c>
      <c r="L55" s="13">
        <v>55.0</v>
      </c>
      <c r="M55" s="1" t="s">
        <v>59</v>
      </c>
      <c r="N55" s="1" t="s">
        <v>60</v>
      </c>
      <c r="O55" s="1" t="s">
        <v>61</v>
      </c>
      <c r="P55" s="1">
        <v>150.0</v>
      </c>
      <c r="Q55" s="14">
        <v>2295.0</v>
      </c>
      <c r="R55" s="1" t="s">
        <v>95</v>
      </c>
      <c r="S55" s="1" t="s">
        <v>288</v>
      </c>
      <c r="T55" s="15" t="s">
        <v>64</v>
      </c>
      <c r="U55" s="16">
        <v>0.675</v>
      </c>
      <c r="V55" s="14">
        <v>1549.13</v>
      </c>
      <c r="W55" s="14">
        <v>1549.13</v>
      </c>
      <c r="X55" s="1" t="s">
        <v>58</v>
      </c>
      <c r="Y55" s="1"/>
      <c r="Z55" s="1"/>
    </row>
    <row r="56" ht="14.25" customHeight="1">
      <c r="A56" s="1" t="s">
        <v>106</v>
      </c>
      <c r="B56" s="1" t="s">
        <v>48</v>
      </c>
      <c r="C56" s="1" t="s">
        <v>90</v>
      </c>
      <c r="D56" s="1" t="s">
        <v>50</v>
      </c>
      <c r="E56" s="1" t="s">
        <v>292</v>
      </c>
      <c r="F56" s="1" t="s">
        <v>293</v>
      </c>
      <c r="G56" s="1" t="s">
        <v>53</v>
      </c>
      <c r="H56" s="1" t="s">
        <v>54</v>
      </c>
      <c r="I56" s="1" t="s">
        <v>116</v>
      </c>
      <c r="J56" s="1" t="s">
        <v>57</v>
      </c>
      <c r="K56" s="1" t="s">
        <v>57</v>
      </c>
      <c r="L56" s="13">
        <v>62.0</v>
      </c>
      <c r="M56" s="1" t="s">
        <v>59</v>
      </c>
      <c r="N56" s="1" t="s">
        <v>60</v>
      </c>
      <c r="O56" s="1" t="s">
        <v>61</v>
      </c>
      <c r="P56" s="1">
        <v>55.0</v>
      </c>
      <c r="Q56" s="14">
        <v>1338.84</v>
      </c>
      <c r="R56" s="1" t="s">
        <v>95</v>
      </c>
      <c r="S56" s="1" t="s">
        <v>288</v>
      </c>
      <c r="T56" s="15" t="s">
        <v>64</v>
      </c>
      <c r="U56" s="16">
        <v>0.675</v>
      </c>
      <c r="V56" s="14">
        <v>903.72</v>
      </c>
      <c r="W56" s="14">
        <v>903.72</v>
      </c>
      <c r="X56" s="1" t="s">
        <v>58</v>
      </c>
      <c r="Y56" s="1"/>
      <c r="Z56" s="1"/>
    </row>
    <row r="57" ht="14.25" customHeight="1">
      <c r="A57" s="1" t="s">
        <v>106</v>
      </c>
      <c r="B57" s="1" t="s">
        <v>48</v>
      </c>
      <c r="C57" s="1" t="s">
        <v>90</v>
      </c>
      <c r="D57" s="1" t="s">
        <v>294</v>
      </c>
      <c r="E57" s="1" t="s">
        <v>295</v>
      </c>
      <c r="F57" s="1" t="s">
        <v>296</v>
      </c>
      <c r="G57" s="1" t="s">
        <v>122</v>
      </c>
      <c r="H57" s="1" t="s">
        <v>69</v>
      </c>
      <c r="I57" s="1" t="s">
        <v>236</v>
      </c>
      <c r="J57" s="1" t="s">
        <v>297</v>
      </c>
      <c r="K57" s="1" t="s">
        <v>298</v>
      </c>
      <c r="L57" s="13">
        <v>37.0</v>
      </c>
      <c r="M57" s="1" t="s">
        <v>59</v>
      </c>
      <c r="N57" s="1" t="s">
        <v>60</v>
      </c>
      <c r="O57" s="1" t="s">
        <v>61</v>
      </c>
      <c r="P57" s="1">
        <v>42.0</v>
      </c>
      <c r="Q57" s="14">
        <v>19.69</v>
      </c>
      <c r="R57" s="1" t="s">
        <v>95</v>
      </c>
      <c r="S57" s="1" t="s">
        <v>96</v>
      </c>
      <c r="T57" s="15" t="s">
        <v>64</v>
      </c>
      <c r="U57" s="16">
        <v>1.5</v>
      </c>
      <c r="V57" s="14">
        <v>29.54</v>
      </c>
      <c r="W57" s="14">
        <v>0.0</v>
      </c>
      <c r="X57" s="1" t="s">
        <v>58</v>
      </c>
      <c r="Y57" s="1"/>
      <c r="Z57" s="1"/>
    </row>
    <row r="58" ht="14.25" customHeight="1">
      <c r="A58" s="1" t="s">
        <v>106</v>
      </c>
      <c r="B58" s="1" t="s">
        <v>48</v>
      </c>
      <c r="C58" s="1" t="s">
        <v>90</v>
      </c>
      <c r="D58" s="1" t="s">
        <v>294</v>
      </c>
      <c r="E58" s="1" t="s">
        <v>299</v>
      </c>
      <c r="F58" s="1" t="s">
        <v>300</v>
      </c>
      <c r="G58" s="1" t="s">
        <v>122</v>
      </c>
      <c r="H58" s="1" t="s">
        <v>69</v>
      </c>
      <c r="I58" s="1" t="s">
        <v>111</v>
      </c>
      <c r="J58" s="1" t="s">
        <v>301</v>
      </c>
      <c r="K58" s="1" t="s">
        <v>118</v>
      </c>
      <c r="L58" s="13">
        <v>76.0</v>
      </c>
      <c r="M58" s="1" t="s">
        <v>59</v>
      </c>
      <c r="N58" s="1" t="s">
        <v>60</v>
      </c>
      <c r="O58" s="1" t="s">
        <v>61</v>
      </c>
      <c r="P58" s="1">
        <v>25.0</v>
      </c>
      <c r="Q58" s="14">
        <v>262.79</v>
      </c>
      <c r="R58" s="1" t="s">
        <v>95</v>
      </c>
      <c r="S58" s="1" t="s">
        <v>96</v>
      </c>
      <c r="T58" s="15" t="s">
        <v>64</v>
      </c>
      <c r="U58" s="16">
        <v>1.35</v>
      </c>
      <c r="V58" s="14">
        <v>0.0</v>
      </c>
      <c r="W58" s="14">
        <v>-354.77</v>
      </c>
      <c r="X58" s="1" t="s">
        <v>58</v>
      </c>
      <c r="Y58" s="1"/>
      <c r="Z58" s="1"/>
    </row>
    <row r="59" ht="14.25" customHeight="1">
      <c r="A59" s="1" t="s">
        <v>106</v>
      </c>
      <c r="B59" s="1" t="s">
        <v>48</v>
      </c>
      <c r="C59" s="1" t="s">
        <v>90</v>
      </c>
      <c r="D59" s="1" t="s">
        <v>294</v>
      </c>
      <c r="E59" s="1" t="s">
        <v>302</v>
      </c>
      <c r="F59" s="1" t="s">
        <v>303</v>
      </c>
      <c r="G59" s="1" t="s">
        <v>122</v>
      </c>
      <c r="H59" s="1" t="s">
        <v>69</v>
      </c>
      <c r="I59" s="1" t="s">
        <v>116</v>
      </c>
      <c r="J59" s="1" t="s">
        <v>304</v>
      </c>
      <c r="K59" s="1" t="s">
        <v>305</v>
      </c>
      <c r="L59" s="13">
        <v>36.0</v>
      </c>
      <c r="M59" s="1" t="s">
        <v>59</v>
      </c>
      <c r="N59" s="1" t="s">
        <v>60</v>
      </c>
      <c r="O59" s="1" t="s">
        <v>61</v>
      </c>
      <c r="P59" s="1">
        <v>250.0</v>
      </c>
      <c r="Q59" s="14">
        <v>152.0</v>
      </c>
      <c r="R59" s="1" t="s">
        <v>95</v>
      </c>
      <c r="S59" s="1" t="s">
        <v>96</v>
      </c>
      <c r="T59" s="15" t="s">
        <v>64</v>
      </c>
      <c r="U59" s="16">
        <v>1.35</v>
      </c>
      <c r="V59" s="14">
        <v>0.0</v>
      </c>
      <c r="W59" s="14">
        <v>-205.2</v>
      </c>
      <c r="X59" s="1" t="s">
        <v>58</v>
      </c>
      <c r="Y59" s="1"/>
      <c r="Z59" s="1"/>
    </row>
    <row r="60" ht="14.25" customHeight="1">
      <c r="A60" s="17" t="s">
        <v>106</v>
      </c>
      <c r="B60" s="17" t="s">
        <v>48</v>
      </c>
      <c r="C60" s="17" t="s">
        <v>90</v>
      </c>
      <c r="D60" s="17" t="s">
        <v>306</v>
      </c>
      <c r="E60" s="17" t="s">
        <v>307</v>
      </c>
      <c r="F60" s="17" t="s">
        <v>308</v>
      </c>
      <c r="G60" s="17" t="s">
        <v>216</v>
      </c>
      <c r="H60" s="17" t="s">
        <v>54</v>
      </c>
      <c r="I60" s="17" t="s">
        <v>116</v>
      </c>
      <c r="J60" s="17" t="s">
        <v>309</v>
      </c>
      <c r="K60" s="17" t="s">
        <v>151</v>
      </c>
      <c r="L60" s="18">
        <v>49.0</v>
      </c>
      <c r="M60" s="17" t="s">
        <v>59</v>
      </c>
      <c r="N60" s="17" t="s">
        <v>60</v>
      </c>
      <c r="O60" s="17" t="s">
        <v>61</v>
      </c>
      <c r="P60" s="17">
        <v>400.0</v>
      </c>
      <c r="Q60" s="19">
        <v>388.13</v>
      </c>
      <c r="R60" s="17" t="s">
        <v>95</v>
      </c>
      <c r="S60" s="17" t="s">
        <v>183</v>
      </c>
      <c r="T60" s="20" t="s">
        <v>64</v>
      </c>
      <c r="U60" s="21">
        <v>1.35</v>
      </c>
      <c r="V60" s="19">
        <v>0.0</v>
      </c>
      <c r="W60" s="19">
        <v>-523.98</v>
      </c>
      <c r="X60" s="17" t="s">
        <v>58</v>
      </c>
      <c r="Y60" s="17"/>
      <c r="Z60" s="17"/>
    </row>
    <row r="61" ht="14.25" customHeight="1">
      <c r="A61" s="1" t="s">
        <v>106</v>
      </c>
      <c r="B61" s="1" t="s">
        <v>48</v>
      </c>
      <c r="C61" s="1" t="s">
        <v>90</v>
      </c>
      <c r="D61" s="1" t="s">
        <v>294</v>
      </c>
      <c r="E61" s="1" t="s">
        <v>310</v>
      </c>
      <c r="F61" s="1" t="s">
        <v>311</v>
      </c>
      <c r="G61" s="1" t="s">
        <v>122</v>
      </c>
      <c r="H61" s="1" t="s">
        <v>69</v>
      </c>
      <c r="I61" s="1" t="s">
        <v>116</v>
      </c>
      <c r="J61" s="1" t="s">
        <v>312</v>
      </c>
      <c r="K61" s="1" t="s">
        <v>313</v>
      </c>
      <c r="L61" s="13">
        <v>31.0</v>
      </c>
      <c r="M61" s="1" t="s">
        <v>59</v>
      </c>
      <c r="N61" s="1" t="s">
        <v>60</v>
      </c>
      <c r="O61" s="1" t="s">
        <v>61</v>
      </c>
      <c r="P61" s="1">
        <v>250.0</v>
      </c>
      <c r="Q61" s="14">
        <v>82.25</v>
      </c>
      <c r="R61" s="1" t="s">
        <v>95</v>
      </c>
      <c r="S61" s="1" t="s">
        <v>96</v>
      </c>
      <c r="T61" s="15" t="s">
        <v>64</v>
      </c>
      <c r="U61" s="16">
        <v>1.35</v>
      </c>
      <c r="V61" s="14">
        <v>0.0</v>
      </c>
      <c r="W61" s="14">
        <v>-111.04</v>
      </c>
      <c r="X61" s="1" t="s">
        <v>58</v>
      </c>
      <c r="Y61" s="1"/>
      <c r="Z61" s="1"/>
    </row>
    <row r="62" ht="14.25" customHeight="1">
      <c r="A62" s="1" t="s">
        <v>106</v>
      </c>
      <c r="B62" s="1" t="s">
        <v>48</v>
      </c>
      <c r="C62" s="1" t="s">
        <v>90</v>
      </c>
      <c r="D62" s="1" t="s">
        <v>314</v>
      </c>
      <c r="E62" s="1" t="s">
        <v>315</v>
      </c>
      <c r="F62" s="1" t="s">
        <v>316</v>
      </c>
      <c r="G62" s="1" t="s">
        <v>200</v>
      </c>
      <c r="H62" s="1" t="s">
        <v>69</v>
      </c>
      <c r="I62" s="1" t="s">
        <v>317</v>
      </c>
      <c r="J62" s="1" t="s">
        <v>318</v>
      </c>
      <c r="K62" s="1" t="s">
        <v>319</v>
      </c>
      <c r="L62" s="13">
        <v>30.0</v>
      </c>
      <c r="M62" s="1" t="s">
        <v>59</v>
      </c>
      <c r="N62" s="1" t="s">
        <v>60</v>
      </c>
      <c r="O62" s="1" t="s">
        <v>61</v>
      </c>
      <c r="P62" s="1">
        <v>1000.0</v>
      </c>
      <c r="Q62" s="14">
        <v>39.56</v>
      </c>
      <c r="R62" s="1" t="s">
        <v>95</v>
      </c>
      <c r="S62" s="1" t="s">
        <v>96</v>
      </c>
      <c r="T62" s="15" t="s">
        <v>64</v>
      </c>
      <c r="U62" s="16">
        <v>1.26</v>
      </c>
      <c r="V62" s="14">
        <v>0.0</v>
      </c>
      <c r="W62" s="14">
        <v>-49.85</v>
      </c>
      <c r="X62" s="1" t="s">
        <v>58</v>
      </c>
      <c r="Y62" s="1"/>
      <c r="Z62" s="1"/>
    </row>
    <row r="63" ht="14.25" customHeight="1">
      <c r="A63" s="1" t="s">
        <v>106</v>
      </c>
      <c r="B63" s="1" t="s">
        <v>48</v>
      </c>
      <c r="C63" s="1" t="s">
        <v>90</v>
      </c>
      <c r="D63" s="1" t="s">
        <v>251</v>
      </c>
      <c r="E63" s="1" t="s">
        <v>320</v>
      </c>
      <c r="F63" s="1" t="s">
        <v>321</v>
      </c>
      <c r="G63" s="1" t="s">
        <v>254</v>
      </c>
      <c r="H63" s="1" t="s">
        <v>69</v>
      </c>
      <c r="I63" s="1" t="s">
        <v>132</v>
      </c>
      <c r="J63" s="1" t="s">
        <v>192</v>
      </c>
      <c r="K63" s="1" t="s">
        <v>189</v>
      </c>
      <c r="L63" s="13">
        <v>55.0</v>
      </c>
      <c r="M63" s="1" t="s">
        <v>59</v>
      </c>
      <c r="N63" s="1" t="s">
        <v>60</v>
      </c>
      <c r="O63" s="1" t="s">
        <v>61</v>
      </c>
      <c r="P63" s="1">
        <v>200.0</v>
      </c>
      <c r="Q63" s="14">
        <v>193.84</v>
      </c>
      <c r="R63" s="1" t="s">
        <v>95</v>
      </c>
      <c r="S63" s="1" t="s">
        <v>96</v>
      </c>
      <c r="T63" s="15" t="s">
        <v>64</v>
      </c>
      <c r="U63" s="16">
        <v>1.5</v>
      </c>
      <c r="V63" s="14">
        <v>0.0</v>
      </c>
      <c r="W63" s="14">
        <v>-290.76</v>
      </c>
      <c r="X63" s="1" t="s">
        <v>58</v>
      </c>
      <c r="Y63" s="1"/>
      <c r="Z63" s="1"/>
    </row>
    <row r="64" ht="14.25" customHeight="1">
      <c r="A64" s="1" t="s">
        <v>106</v>
      </c>
      <c r="B64" s="1" t="s">
        <v>48</v>
      </c>
      <c r="C64" s="1" t="s">
        <v>90</v>
      </c>
      <c r="D64" s="1" t="s">
        <v>230</v>
      </c>
      <c r="E64" s="1" t="s">
        <v>322</v>
      </c>
      <c r="F64" s="1" t="s">
        <v>323</v>
      </c>
      <c r="G64" s="1" t="s">
        <v>68</v>
      </c>
      <c r="H64" s="1" t="s">
        <v>180</v>
      </c>
      <c r="I64" s="1" t="s">
        <v>111</v>
      </c>
      <c r="J64" s="1" t="s">
        <v>243</v>
      </c>
      <c r="K64" s="1" t="s">
        <v>218</v>
      </c>
      <c r="L64" s="13">
        <v>63.0</v>
      </c>
      <c r="M64" s="1" t="s">
        <v>59</v>
      </c>
      <c r="N64" s="1" t="s">
        <v>60</v>
      </c>
      <c r="O64" s="1" t="s">
        <v>61</v>
      </c>
      <c r="P64" s="1">
        <v>15.0</v>
      </c>
      <c r="Q64" s="14">
        <v>54.98</v>
      </c>
      <c r="R64" s="1" t="s">
        <v>95</v>
      </c>
      <c r="S64" s="1" t="s">
        <v>96</v>
      </c>
      <c r="T64" s="15" t="s">
        <v>64</v>
      </c>
      <c r="U64" s="16">
        <v>1.35</v>
      </c>
      <c r="V64" s="14">
        <v>74.22</v>
      </c>
      <c r="W64" s="14">
        <v>0.0</v>
      </c>
      <c r="X64" s="1" t="s">
        <v>58</v>
      </c>
      <c r="Y64" s="1"/>
      <c r="Z64" s="1"/>
    </row>
    <row r="65" ht="14.25" customHeight="1">
      <c r="A65" s="1" t="s">
        <v>106</v>
      </c>
      <c r="B65" s="1" t="s">
        <v>48</v>
      </c>
      <c r="C65" s="1" t="s">
        <v>90</v>
      </c>
      <c r="D65" s="1" t="s">
        <v>50</v>
      </c>
      <c r="E65" s="1" t="s">
        <v>324</v>
      </c>
      <c r="F65" s="1" t="s">
        <v>325</v>
      </c>
      <c r="G65" s="1" t="s">
        <v>200</v>
      </c>
      <c r="H65" s="1" t="s">
        <v>195</v>
      </c>
      <c r="I65" s="1" t="s">
        <v>116</v>
      </c>
      <c r="J65" s="1" t="s">
        <v>326</v>
      </c>
      <c r="K65" s="1" t="s">
        <v>327</v>
      </c>
      <c r="L65" s="13">
        <v>64.0</v>
      </c>
      <c r="M65" s="1" t="s">
        <v>59</v>
      </c>
      <c r="N65" s="1" t="s">
        <v>60</v>
      </c>
      <c r="O65" s="1" t="s">
        <v>61</v>
      </c>
      <c r="P65" s="1">
        <v>100.0</v>
      </c>
      <c r="Q65" s="14">
        <v>234.36</v>
      </c>
      <c r="R65" s="1" t="s">
        <v>95</v>
      </c>
      <c r="S65" s="1" t="s">
        <v>96</v>
      </c>
      <c r="T65" s="15" t="s">
        <v>64</v>
      </c>
      <c r="U65" s="16">
        <v>0.675</v>
      </c>
      <c r="V65" s="14">
        <v>0.0</v>
      </c>
      <c r="W65" s="14">
        <v>-158.19</v>
      </c>
      <c r="X65" s="1" t="s">
        <v>58</v>
      </c>
      <c r="Y65" s="1"/>
      <c r="Z65" s="1"/>
    </row>
    <row r="66" ht="14.25" customHeight="1">
      <c r="A66" s="1" t="s">
        <v>106</v>
      </c>
      <c r="B66" s="1" t="s">
        <v>48</v>
      </c>
      <c r="C66" s="1" t="s">
        <v>90</v>
      </c>
      <c r="D66" s="1" t="s">
        <v>328</v>
      </c>
      <c r="E66" s="1" t="s">
        <v>329</v>
      </c>
      <c r="F66" s="1" t="s">
        <v>330</v>
      </c>
      <c r="G66" s="1" t="s">
        <v>331</v>
      </c>
      <c r="H66" s="1" t="s">
        <v>99</v>
      </c>
      <c r="I66" s="1" t="s">
        <v>332</v>
      </c>
      <c r="J66" s="1" t="s">
        <v>333</v>
      </c>
      <c r="K66" s="1" t="s">
        <v>139</v>
      </c>
      <c r="L66" s="13">
        <v>57.0</v>
      </c>
      <c r="M66" s="1" t="s">
        <v>59</v>
      </c>
      <c r="N66" s="1" t="s">
        <v>60</v>
      </c>
      <c r="O66" s="1" t="s">
        <v>61</v>
      </c>
      <c r="P66" s="1">
        <v>100.0</v>
      </c>
      <c r="Q66" s="14">
        <v>67.28</v>
      </c>
      <c r="R66" s="1" t="s">
        <v>95</v>
      </c>
      <c r="S66" s="1" t="s">
        <v>183</v>
      </c>
      <c r="T66" s="15" t="s">
        <v>64</v>
      </c>
      <c r="U66" s="16">
        <v>1.3</v>
      </c>
      <c r="V66" s="14">
        <v>0.0</v>
      </c>
      <c r="W66" s="14">
        <v>-87.46</v>
      </c>
      <c r="X66" s="1" t="s">
        <v>58</v>
      </c>
      <c r="Y66" s="1"/>
      <c r="Z66" s="1"/>
    </row>
    <row r="67" ht="14.25" customHeight="1">
      <c r="A67" s="1" t="s">
        <v>106</v>
      </c>
      <c r="B67" s="1" t="s">
        <v>48</v>
      </c>
      <c r="C67" s="1" t="s">
        <v>90</v>
      </c>
      <c r="D67" s="1" t="s">
        <v>91</v>
      </c>
      <c r="E67" s="1" t="s">
        <v>334</v>
      </c>
      <c r="F67" s="1" t="s">
        <v>335</v>
      </c>
      <c r="G67" s="1" t="s">
        <v>68</v>
      </c>
      <c r="H67" s="1" t="s">
        <v>69</v>
      </c>
      <c r="I67" s="1" t="s">
        <v>116</v>
      </c>
      <c r="J67" s="1" t="s">
        <v>221</v>
      </c>
      <c r="K67" s="1" t="s">
        <v>189</v>
      </c>
      <c r="L67" s="13">
        <v>65.0</v>
      </c>
      <c r="M67" s="1" t="s">
        <v>59</v>
      </c>
      <c r="N67" s="1" t="s">
        <v>60</v>
      </c>
      <c r="O67" s="1" t="s">
        <v>61</v>
      </c>
      <c r="P67" s="1">
        <v>50.0</v>
      </c>
      <c r="Q67" s="14">
        <v>128.75</v>
      </c>
      <c r="R67" s="1" t="s">
        <v>95</v>
      </c>
      <c r="S67" s="1" t="s">
        <v>96</v>
      </c>
      <c r="T67" s="15" t="s">
        <v>64</v>
      </c>
      <c r="U67" s="16">
        <v>1.35</v>
      </c>
      <c r="V67" s="14">
        <v>0.0</v>
      </c>
      <c r="W67" s="14">
        <v>-173.81</v>
      </c>
      <c r="X67" s="1" t="s">
        <v>58</v>
      </c>
      <c r="Y67" s="1"/>
      <c r="Z67" s="1"/>
    </row>
    <row r="68" ht="14.25" customHeight="1">
      <c r="A68" s="1" t="s">
        <v>106</v>
      </c>
      <c r="B68" s="1" t="s">
        <v>48</v>
      </c>
      <c r="C68" s="1" t="s">
        <v>90</v>
      </c>
      <c r="D68" s="1" t="s">
        <v>251</v>
      </c>
      <c r="E68" s="1" t="s">
        <v>336</v>
      </c>
      <c r="F68" s="1" t="s">
        <v>337</v>
      </c>
      <c r="G68" s="1" t="s">
        <v>200</v>
      </c>
      <c r="H68" s="1" t="s">
        <v>195</v>
      </c>
      <c r="I68" s="1" t="s">
        <v>236</v>
      </c>
      <c r="J68" s="1" t="s">
        <v>57</v>
      </c>
      <c r="K68" s="1" t="s">
        <v>57</v>
      </c>
      <c r="L68" s="13">
        <v>24.0</v>
      </c>
      <c r="M68" s="1" t="s">
        <v>59</v>
      </c>
      <c r="N68" s="1" t="s">
        <v>60</v>
      </c>
      <c r="O68" s="1" t="s">
        <v>61</v>
      </c>
      <c r="P68" s="1">
        <v>550.0</v>
      </c>
      <c r="Q68" s="14">
        <v>893.88</v>
      </c>
      <c r="R68" s="1" t="s">
        <v>95</v>
      </c>
      <c r="S68" s="1" t="s">
        <v>206</v>
      </c>
      <c r="T68" s="15" t="s">
        <v>64</v>
      </c>
      <c r="U68" s="16">
        <v>1.5</v>
      </c>
      <c r="V68" s="14">
        <v>1340.82</v>
      </c>
      <c r="W68" s="14">
        <v>1340.82</v>
      </c>
      <c r="X68" s="1" t="s">
        <v>58</v>
      </c>
      <c r="Y68" s="1"/>
      <c r="Z68" s="1"/>
    </row>
    <row r="69" ht="14.25" customHeight="1">
      <c r="A69" s="1" t="s">
        <v>106</v>
      </c>
      <c r="B69" s="1" t="s">
        <v>48</v>
      </c>
      <c r="C69" s="1" t="s">
        <v>49</v>
      </c>
      <c r="D69" s="1" t="s">
        <v>338</v>
      </c>
      <c r="E69" s="1" t="s">
        <v>339</v>
      </c>
      <c r="F69" s="1" t="s">
        <v>340</v>
      </c>
      <c r="G69" s="1" t="s">
        <v>110</v>
      </c>
      <c r="H69" s="1" t="s">
        <v>54</v>
      </c>
      <c r="I69" s="1" t="s">
        <v>341</v>
      </c>
      <c r="J69" s="1" t="s">
        <v>342</v>
      </c>
      <c r="K69" s="1" t="s">
        <v>57</v>
      </c>
      <c r="L69" s="13" t="s">
        <v>58</v>
      </c>
      <c r="M69" s="1" t="s">
        <v>59</v>
      </c>
      <c r="N69" s="1" t="s">
        <v>60</v>
      </c>
      <c r="O69" s="1" t="s">
        <v>61</v>
      </c>
      <c r="P69" s="1">
        <v>0.0</v>
      </c>
      <c r="Q69" s="14">
        <v>99.8</v>
      </c>
      <c r="R69" s="1" t="s">
        <v>62</v>
      </c>
      <c r="S69" s="1" t="s">
        <v>63</v>
      </c>
      <c r="T69" s="15" t="s">
        <v>64</v>
      </c>
      <c r="U69" s="16">
        <v>0.255</v>
      </c>
      <c r="V69" s="14">
        <v>25.45</v>
      </c>
      <c r="W69" s="14">
        <v>0.0</v>
      </c>
      <c r="X69" s="1" t="s">
        <v>58</v>
      </c>
      <c r="Y69" s="1"/>
      <c r="Z69" s="1"/>
    </row>
    <row r="70" ht="14.25" customHeight="1">
      <c r="A70" s="1" t="s">
        <v>106</v>
      </c>
      <c r="B70" s="1" t="s">
        <v>48</v>
      </c>
      <c r="C70" s="1" t="s">
        <v>343</v>
      </c>
      <c r="D70" s="1" t="s">
        <v>230</v>
      </c>
      <c r="E70" s="1" t="s">
        <v>344</v>
      </c>
      <c r="F70" s="1" t="s">
        <v>345</v>
      </c>
      <c r="G70" s="1" t="s">
        <v>68</v>
      </c>
      <c r="H70" s="1" t="s">
        <v>195</v>
      </c>
      <c r="I70" s="1" t="s">
        <v>111</v>
      </c>
      <c r="J70" s="1" t="s">
        <v>346</v>
      </c>
      <c r="K70" s="1" t="s">
        <v>189</v>
      </c>
      <c r="L70" s="13">
        <v>66.0</v>
      </c>
      <c r="M70" s="1" t="s">
        <v>59</v>
      </c>
      <c r="N70" s="1" t="s">
        <v>60</v>
      </c>
      <c r="O70" s="1" t="s">
        <v>61</v>
      </c>
      <c r="P70" s="1">
        <v>12.0</v>
      </c>
      <c r="Q70" s="14">
        <v>71.62</v>
      </c>
      <c r="R70" s="1" t="s">
        <v>62</v>
      </c>
      <c r="S70" s="1" t="s">
        <v>63</v>
      </c>
      <c r="T70" s="15" t="s">
        <v>64</v>
      </c>
      <c r="U70" s="16">
        <v>0.07</v>
      </c>
      <c r="V70" s="14">
        <v>5.01</v>
      </c>
      <c r="W70" s="14">
        <v>0.0</v>
      </c>
      <c r="X70" s="1" t="s">
        <v>58</v>
      </c>
      <c r="Y70" s="1"/>
      <c r="Z70" s="1"/>
    </row>
    <row r="71" ht="14.25" customHeight="1">
      <c r="A71" s="1" t="s">
        <v>106</v>
      </c>
      <c r="B71" s="1" t="s">
        <v>48</v>
      </c>
      <c r="C71" s="1" t="s">
        <v>343</v>
      </c>
      <c r="D71" s="1" t="s">
        <v>50</v>
      </c>
      <c r="E71" s="1" t="s">
        <v>347</v>
      </c>
      <c r="F71" s="1" t="s">
        <v>348</v>
      </c>
      <c r="G71" s="1" t="s">
        <v>272</v>
      </c>
      <c r="H71" s="1" t="s">
        <v>69</v>
      </c>
      <c r="I71" s="1" t="s">
        <v>111</v>
      </c>
      <c r="J71" s="1" t="s">
        <v>346</v>
      </c>
      <c r="K71" s="1" t="s">
        <v>189</v>
      </c>
      <c r="L71" s="13">
        <v>62.0</v>
      </c>
      <c r="M71" s="1" t="s">
        <v>59</v>
      </c>
      <c r="N71" s="1" t="s">
        <v>60</v>
      </c>
      <c r="O71" s="1" t="s">
        <v>61</v>
      </c>
      <c r="P71" s="1">
        <v>50.0</v>
      </c>
      <c r="Q71" s="14">
        <v>167.5</v>
      </c>
      <c r="R71" s="1" t="s">
        <v>62</v>
      </c>
      <c r="S71" s="1" t="s">
        <v>63</v>
      </c>
      <c r="T71" s="15" t="s">
        <v>64</v>
      </c>
      <c r="U71" s="16">
        <v>0.07</v>
      </c>
      <c r="V71" s="14">
        <v>11.73</v>
      </c>
      <c r="W71" s="14">
        <v>0.0</v>
      </c>
      <c r="X71" s="1" t="s">
        <v>58</v>
      </c>
      <c r="Y71" s="1"/>
      <c r="Z71" s="1"/>
    </row>
    <row r="72" ht="14.25" customHeight="1">
      <c r="A72" s="1" t="s">
        <v>106</v>
      </c>
      <c r="B72" s="1" t="s">
        <v>48</v>
      </c>
      <c r="C72" s="1" t="s">
        <v>343</v>
      </c>
      <c r="D72" s="1" t="s">
        <v>50</v>
      </c>
      <c r="E72" s="1" t="s">
        <v>349</v>
      </c>
      <c r="F72" s="1" t="s">
        <v>350</v>
      </c>
      <c r="G72" s="1" t="s">
        <v>68</v>
      </c>
      <c r="H72" s="1" t="s">
        <v>195</v>
      </c>
      <c r="I72" s="1" t="s">
        <v>116</v>
      </c>
      <c r="J72" s="1" t="s">
        <v>351</v>
      </c>
      <c r="K72" s="1" t="s">
        <v>259</v>
      </c>
      <c r="L72" s="13">
        <v>68.0</v>
      </c>
      <c r="M72" s="1" t="s">
        <v>59</v>
      </c>
      <c r="N72" s="1" t="s">
        <v>60</v>
      </c>
      <c r="O72" s="1" t="s">
        <v>61</v>
      </c>
      <c r="P72" s="1">
        <v>75.0</v>
      </c>
      <c r="Q72" s="14">
        <v>225.39</v>
      </c>
      <c r="R72" s="1" t="s">
        <v>95</v>
      </c>
      <c r="S72" s="1" t="s">
        <v>96</v>
      </c>
      <c r="T72" s="15" t="s">
        <v>64</v>
      </c>
      <c r="U72" s="16">
        <v>1.35</v>
      </c>
      <c r="V72" s="14">
        <v>304.28</v>
      </c>
      <c r="W72" s="14">
        <v>0.0</v>
      </c>
      <c r="X72" s="1" t="s">
        <v>58</v>
      </c>
      <c r="Y72" s="1"/>
      <c r="Z72" s="1"/>
    </row>
    <row r="73" ht="14.25" customHeight="1">
      <c r="A73" s="1" t="s">
        <v>106</v>
      </c>
      <c r="B73" s="1" t="s">
        <v>48</v>
      </c>
      <c r="C73" s="1" t="s">
        <v>343</v>
      </c>
      <c r="D73" s="1" t="s">
        <v>230</v>
      </c>
      <c r="E73" s="1" t="s">
        <v>352</v>
      </c>
      <c r="F73" s="1" t="s">
        <v>353</v>
      </c>
      <c r="G73" s="1" t="s">
        <v>68</v>
      </c>
      <c r="H73" s="1" t="s">
        <v>195</v>
      </c>
      <c r="I73" s="1" t="s">
        <v>111</v>
      </c>
      <c r="J73" s="1" t="s">
        <v>354</v>
      </c>
      <c r="K73" s="1" t="s">
        <v>163</v>
      </c>
      <c r="L73" s="13">
        <v>71.0</v>
      </c>
      <c r="M73" s="1" t="s">
        <v>59</v>
      </c>
      <c r="N73" s="1" t="s">
        <v>60</v>
      </c>
      <c r="O73" s="1" t="s">
        <v>61</v>
      </c>
      <c r="P73" s="1">
        <v>12.0</v>
      </c>
      <c r="Q73" s="14">
        <v>137.37</v>
      </c>
      <c r="R73" s="1" t="s">
        <v>62</v>
      </c>
      <c r="S73" s="1" t="s">
        <v>63</v>
      </c>
      <c r="T73" s="15" t="s">
        <v>64</v>
      </c>
      <c r="U73" s="16">
        <v>0.07</v>
      </c>
      <c r="V73" s="14">
        <v>9.62</v>
      </c>
      <c r="W73" s="14">
        <v>0.0</v>
      </c>
      <c r="X73" s="1" t="s">
        <v>58</v>
      </c>
      <c r="Y73" s="1"/>
      <c r="Z73" s="1"/>
    </row>
    <row r="74" ht="14.25" customHeight="1">
      <c r="A74" s="1" t="s">
        <v>106</v>
      </c>
      <c r="B74" s="1" t="s">
        <v>48</v>
      </c>
      <c r="C74" s="1" t="s">
        <v>343</v>
      </c>
      <c r="D74" s="1" t="s">
        <v>355</v>
      </c>
      <c r="E74" s="1" t="s">
        <v>356</v>
      </c>
      <c r="F74" s="1" t="s">
        <v>357</v>
      </c>
      <c r="G74" s="1" t="s">
        <v>110</v>
      </c>
      <c r="H74" s="1" t="s">
        <v>195</v>
      </c>
      <c r="I74" s="1" t="s">
        <v>111</v>
      </c>
      <c r="J74" s="1" t="s">
        <v>358</v>
      </c>
      <c r="K74" s="1" t="s">
        <v>197</v>
      </c>
      <c r="L74" s="13">
        <v>63.0</v>
      </c>
      <c r="M74" s="1" t="s">
        <v>59</v>
      </c>
      <c r="N74" s="1" t="s">
        <v>60</v>
      </c>
      <c r="O74" s="1" t="s">
        <v>61</v>
      </c>
      <c r="P74" s="1">
        <v>10.0</v>
      </c>
      <c r="Q74" s="14">
        <v>52.07</v>
      </c>
      <c r="R74" s="1" t="s">
        <v>62</v>
      </c>
      <c r="S74" s="1" t="s">
        <v>63</v>
      </c>
      <c r="T74" s="15" t="s">
        <v>64</v>
      </c>
      <c r="U74" s="16">
        <v>0.025</v>
      </c>
      <c r="V74" s="14">
        <v>1.3</v>
      </c>
      <c r="W74" s="14">
        <v>0.0</v>
      </c>
      <c r="X74" s="1" t="s">
        <v>58</v>
      </c>
      <c r="Y74" s="1"/>
      <c r="Z74" s="1"/>
    </row>
    <row r="75" ht="14.25" customHeight="1">
      <c r="A75" s="1" t="s">
        <v>106</v>
      </c>
      <c r="B75" s="1" t="s">
        <v>48</v>
      </c>
      <c r="C75" s="1" t="s">
        <v>343</v>
      </c>
      <c r="D75" s="1" t="s">
        <v>50</v>
      </c>
      <c r="E75" s="1" t="s">
        <v>359</v>
      </c>
      <c r="F75" s="1" t="s">
        <v>360</v>
      </c>
      <c r="G75" s="1" t="s">
        <v>154</v>
      </c>
      <c r="H75" s="1" t="s">
        <v>195</v>
      </c>
      <c r="I75" s="1" t="s">
        <v>111</v>
      </c>
      <c r="J75" s="1" t="s">
        <v>361</v>
      </c>
      <c r="K75" s="1" t="s">
        <v>147</v>
      </c>
      <c r="L75" s="13">
        <v>57.0</v>
      </c>
      <c r="M75" s="1" t="s">
        <v>59</v>
      </c>
      <c r="N75" s="1" t="s">
        <v>60</v>
      </c>
      <c r="O75" s="1" t="s">
        <v>61</v>
      </c>
      <c r="P75" s="1">
        <v>50.0</v>
      </c>
      <c r="Q75" s="14">
        <v>137.1</v>
      </c>
      <c r="R75" s="1" t="s">
        <v>62</v>
      </c>
      <c r="S75" s="1" t="s">
        <v>63</v>
      </c>
      <c r="T75" s="15" t="s">
        <v>64</v>
      </c>
      <c r="U75" s="16">
        <v>0.07</v>
      </c>
      <c r="V75" s="14">
        <v>9.6</v>
      </c>
      <c r="W75" s="14">
        <v>0.0</v>
      </c>
      <c r="X75" s="1" t="s">
        <v>58</v>
      </c>
      <c r="Y75" s="1"/>
      <c r="Z75" s="1"/>
    </row>
    <row r="76" ht="14.25" customHeight="1">
      <c r="A76" s="1" t="s">
        <v>362</v>
      </c>
      <c r="B76" s="1" t="s">
        <v>48</v>
      </c>
      <c r="C76" s="1" t="s">
        <v>49</v>
      </c>
      <c r="D76" s="1" t="s">
        <v>363</v>
      </c>
      <c r="E76" s="1" t="s">
        <v>364</v>
      </c>
      <c r="F76" s="1" t="s">
        <v>365</v>
      </c>
      <c r="G76" s="1" t="s">
        <v>68</v>
      </c>
      <c r="H76" s="1" t="s">
        <v>69</v>
      </c>
      <c r="I76" s="1" t="s">
        <v>366</v>
      </c>
      <c r="J76" s="1" t="s">
        <v>367</v>
      </c>
      <c r="K76" s="1" t="s">
        <v>368</v>
      </c>
      <c r="L76" s="13" t="s">
        <v>58</v>
      </c>
      <c r="M76" s="1" t="s">
        <v>59</v>
      </c>
      <c r="N76" s="1" t="s">
        <v>227</v>
      </c>
      <c r="O76" s="1" t="s">
        <v>61</v>
      </c>
      <c r="P76" s="1">
        <v>0.0</v>
      </c>
      <c r="Q76" s="14">
        <v>81.28</v>
      </c>
      <c r="R76" s="1" t="s">
        <v>62</v>
      </c>
      <c r="S76" s="1" t="s">
        <v>63</v>
      </c>
      <c r="T76" s="15" t="s">
        <v>64</v>
      </c>
      <c r="U76" s="16">
        <v>0.03</v>
      </c>
      <c r="V76" s="14">
        <v>2.44</v>
      </c>
      <c r="W76" s="14">
        <v>0.0</v>
      </c>
      <c r="X76" s="1" t="s">
        <v>58</v>
      </c>
      <c r="Y76" s="1"/>
      <c r="Z76" s="1"/>
    </row>
    <row r="77" ht="14.25" customHeight="1">
      <c r="A77" s="1" t="s">
        <v>362</v>
      </c>
      <c r="B77" s="1" t="s">
        <v>48</v>
      </c>
      <c r="C77" s="1" t="s">
        <v>49</v>
      </c>
      <c r="D77" s="1" t="s">
        <v>119</v>
      </c>
      <c r="E77" s="1" t="s">
        <v>369</v>
      </c>
      <c r="F77" s="1" t="s">
        <v>370</v>
      </c>
      <c r="G77" s="1" t="s">
        <v>122</v>
      </c>
      <c r="H77" s="1" t="s">
        <v>54</v>
      </c>
      <c r="I77" s="1" t="s">
        <v>371</v>
      </c>
      <c r="J77" s="1" t="s">
        <v>372</v>
      </c>
      <c r="K77" s="1" t="s">
        <v>57</v>
      </c>
      <c r="L77" s="13" t="s">
        <v>58</v>
      </c>
      <c r="M77" s="1" t="s">
        <v>59</v>
      </c>
      <c r="N77" s="1" t="s">
        <v>60</v>
      </c>
      <c r="O77" s="1" t="s">
        <v>61</v>
      </c>
      <c r="P77" s="1">
        <v>0.0</v>
      </c>
      <c r="Q77" s="14">
        <v>120.5</v>
      </c>
      <c r="R77" s="1" t="s">
        <v>62</v>
      </c>
      <c r="S77" s="1" t="s">
        <v>63</v>
      </c>
      <c r="T77" s="15" t="s">
        <v>64</v>
      </c>
      <c r="U77" s="16">
        <v>0.27</v>
      </c>
      <c r="V77" s="14">
        <v>32.54</v>
      </c>
      <c r="W77" s="14">
        <v>0.0</v>
      </c>
      <c r="X77" s="1" t="s">
        <v>58</v>
      </c>
      <c r="Y77" s="1"/>
      <c r="Z77" s="1"/>
    </row>
    <row r="78" ht="14.25" customHeight="1">
      <c r="A78" s="1" t="s">
        <v>362</v>
      </c>
      <c r="B78" s="1" t="s">
        <v>48</v>
      </c>
      <c r="C78" s="1" t="s">
        <v>49</v>
      </c>
      <c r="D78" s="1" t="s">
        <v>373</v>
      </c>
      <c r="E78" s="1" t="s">
        <v>374</v>
      </c>
      <c r="F78" s="1" t="s">
        <v>375</v>
      </c>
      <c r="G78" s="1" t="s">
        <v>68</v>
      </c>
      <c r="H78" s="1" t="s">
        <v>195</v>
      </c>
      <c r="I78" s="1" t="s">
        <v>376</v>
      </c>
      <c r="J78" s="1" t="s">
        <v>377</v>
      </c>
      <c r="K78" s="1" t="s">
        <v>124</v>
      </c>
      <c r="L78" s="13" t="s">
        <v>58</v>
      </c>
      <c r="M78" s="1" t="s">
        <v>59</v>
      </c>
      <c r="N78" s="1" t="s">
        <v>60</v>
      </c>
      <c r="O78" s="1" t="s">
        <v>61</v>
      </c>
      <c r="P78" s="1">
        <v>0.0</v>
      </c>
      <c r="Q78" s="14">
        <v>36.08</v>
      </c>
      <c r="R78" s="1" t="s">
        <v>62</v>
      </c>
      <c r="S78" s="1" t="s">
        <v>63</v>
      </c>
      <c r="T78" s="15" t="s">
        <v>64</v>
      </c>
      <c r="U78" s="16">
        <v>0.03</v>
      </c>
      <c r="V78" s="14">
        <v>1.08</v>
      </c>
      <c r="W78" s="14">
        <v>0.0</v>
      </c>
      <c r="X78" s="1" t="s">
        <v>58</v>
      </c>
      <c r="Y78" s="1"/>
      <c r="Z78" s="1"/>
    </row>
    <row r="79" ht="14.25" customHeight="1">
      <c r="A79" s="1" t="s">
        <v>362</v>
      </c>
      <c r="B79" s="1" t="s">
        <v>48</v>
      </c>
      <c r="C79" s="1" t="s">
        <v>49</v>
      </c>
      <c r="D79" s="1" t="s">
        <v>373</v>
      </c>
      <c r="E79" s="1" t="s">
        <v>378</v>
      </c>
      <c r="F79" s="1" t="s">
        <v>379</v>
      </c>
      <c r="G79" s="1" t="s">
        <v>68</v>
      </c>
      <c r="H79" s="1" t="s">
        <v>195</v>
      </c>
      <c r="I79" s="1" t="s">
        <v>376</v>
      </c>
      <c r="J79" s="1" t="s">
        <v>377</v>
      </c>
      <c r="K79" s="1" t="s">
        <v>124</v>
      </c>
      <c r="L79" s="13" t="s">
        <v>58</v>
      </c>
      <c r="M79" s="1" t="s">
        <v>59</v>
      </c>
      <c r="N79" s="1" t="s">
        <v>60</v>
      </c>
      <c r="O79" s="1" t="s">
        <v>61</v>
      </c>
      <c r="P79" s="1">
        <v>0.0</v>
      </c>
      <c r="Q79" s="14">
        <v>36.08</v>
      </c>
      <c r="R79" s="1" t="s">
        <v>62</v>
      </c>
      <c r="S79" s="1" t="s">
        <v>63</v>
      </c>
      <c r="T79" s="15" t="s">
        <v>64</v>
      </c>
      <c r="U79" s="16">
        <v>0.03</v>
      </c>
      <c r="V79" s="14">
        <v>1.08</v>
      </c>
      <c r="W79" s="14">
        <v>0.0</v>
      </c>
      <c r="X79" s="1" t="s">
        <v>58</v>
      </c>
      <c r="Y79" s="1"/>
      <c r="Z79" s="1"/>
    </row>
    <row r="80" ht="14.25" customHeight="1">
      <c r="A80" s="1" t="s">
        <v>362</v>
      </c>
      <c r="B80" s="1" t="s">
        <v>48</v>
      </c>
      <c r="C80" s="1" t="s">
        <v>49</v>
      </c>
      <c r="D80" s="1" t="s">
        <v>373</v>
      </c>
      <c r="E80" s="1" t="s">
        <v>380</v>
      </c>
      <c r="F80" s="1" t="s">
        <v>381</v>
      </c>
      <c r="G80" s="1" t="s">
        <v>68</v>
      </c>
      <c r="H80" s="1" t="s">
        <v>99</v>
      </c>
      <c r="I80" s="1" t="s">
        <v>376</v>
      </c>
      <c r="J80" s="1" t="s">
        <v>382</v>
      </c>
      <c r="K80" s="1" t="s">
        <v>298</v>
      </c>
      <c r="L80" s="13" t="s">
        <v>58</v>
      </c>
      <c r="M80" s="1" t="s">
        <v>59</v>
      </c>
      <c r="N80" s="1" t="s">
        <v>60</v>
      </c>
      <c r="O80" s="1" t="s">
        <v>61</v>
      </c>
      <c r="P80" s="1">
        <v>0.0</v>
      </c>
      <c r="Q80" s="14">
        <v>36.08</v>
      </c>
      <c r="R80" s="1" t="s">
        <v>62</v>
      </c>
      <c r="S80" s="1" t="s">
        <v>63</v>
      </c>
      <c r="T80" s="15" t="s">
        <v>64</v>
      </c>
      <c r="U80" s="16">
        <v>0.03</v>
      </c>
      <c r="V80" s="14">
        <v>1.08</v>
      </c>
      <c r="W80" s="14">
        <v>0.0</v>
      </c>
      <c r="X80" s="1" t="s">
        <v>58</v>
      </c>
      <c r="Y80" s="1"/>
      <c r="Z80" s="1"/>
    </row>
    <row r="81" ht="14.25" customHeight="1">
      <c r="A81" s="1" t="s">
        <v>362</v>
      </c>
      <c r="B81" s="1" t="s">
        <v>48</v>
      </c>
      <c r="C81" s="1" t="s">
        <v>49</v>
      </c>
      <c r="D81" s="1" t="s">
        <v>373</v>
      </c>
      <c r="E81" s="1" t="s">
        <v>383</v>
      </c>
      <c r="F81" s="1" t="s">
        <v>384</v>
      </c>
      <c r="G81" s="1" t="s">
        <v>68</v>
      </c>
      <c r="H81" s="1" t="s">
        <v>54</v>
      </c>
      <c r="I81" s="1" t="s">
        <v>376</v>
      </c>
      <c r="J81" s="1" t="s">
        <v>77</v>
      </c>
      <c r="K81" s="1" t="s">
        <v>57</v>
      </c>
      <c r="L81" s="13" t="s">
        <v>58</v>
      </c>
      <c r="M81" s="1" t="s">
        <v>59</v>
      </c>
      <c r="N81" s="1" t="s">
        <v>60</v>
      </c>
      <c r="O81" s="1" t="s">
        <v>61</v>
      </c>
      <c r="P81" s="1">
        <v>0.0</v>
      </c>
      <c r="Q81" s="14">
        <v>36.08</v>
      </c>
      <c r="R81" s="1" t="s">
        <v>62</v>
      </c>
      <c r="S81" s="1" t="s">
        <v>63</v>
      </c>
      <c r="T81" s="15" t="s">
        <v>64</v>
      </c>
      <c r="U81" s="16">
        <v>0.03</v>
      </c>
      <c r="V81" s="14">
        <v>1.08</v>
      </c>
      <c r="W81" s="14">
        <v>0.0</v>
      </c>
      <c r="X81" s="1" t="s">
        <v>58</v>
      </c>
      <c r="Y81" s="1"/>
      <c r="Z81" s="1"/>
    </row>
    <row r="82" ht="14.25" customHeight="1">
      <c r="A82" s="1" t="s">
        <v>362</v>
      </c>
      <c r="B82" s="1" t="s">
        <v>48</v>
      </c>
      <c r="C82" s="1" t="s">
        <v>49</v>
      </c>
      <c r="D82" s="1" t="s">
        <v>373</v>
      </c>
      <c r="E82" s="1" t="s">
        <v>385</v>
      </c>
      <c r="F82" s="1" t="s">
        <v>386</v>
      </c>
      <c r="G82" s="1" t="s">
        <v>68</v>
      </c>
      <c r="H82" s="1" t="s">
        <v>195</v>
      </c>
      <c r="I82" s="1" t="s">
        <v>366</v>
      </c>
      <c r="J82" s="1" t="s">
        <v>77</v>
      </c>
      <c r="K82" s="1" t="s">
        <v>57</v>
      </c>
      <c r="L82" s="13" t="s">
        <v>58</v>
      </c>
      <c r="M82" s="1" t="s">
        <v>59</v>
      </c>
      <c r="N82" s="1" t="s">
        <v>60</v>
      </c>
      <c r="O82" s="1" t="s">
        <v>61</v>
      </c>
      <c r="P82" s="1">
        <v>0.0</v>
      </c>
      <c r="Q82" s="14">
        <v>68.76</v>
      </c>
      <c r="R82" s="1" t="s">
        <v>62</v>
      </c>
      <c r="S82" s="1" t="s">
        <v>63</v>
      </c>
      <c r="T82" s="15" t="s">
        <v>64</v>
      </c>
      <c r="U82" s="16">
        <v>0.03</v>
      </c>
      <c r="V82" s="14">
        <v>2.06</v>
      </c>
      <c r="W82" s="14">
        <v>0.0</v>
      </c>
      <c r="X82" s="1" t="s">
        <v>58</v>
      </c>
      <c r="Y82" s="1"/>
      <c r="Z82" s="1"/>
    </row>
    <row r="83" ht="14.25" customHeight="1">
      <c r="A83" s="1" t="s">
        <v>362</v>
      </c>
      <c r="B83" s="1" t="s">
        <v>48</v>
      </c>
      <c r="C83" s="1" t="s">
        <v>49</v>
      </c>
      <c r="D83" s="1" t="s">
        <v>373</v>
      </c>
      <c r="E83" s="1" t="s">
        <v>387</v>
      </c>
      <c r="F83" s="1" t="s">
        <v>388</v>
      </c>
      <c r="G83" s="1" t="s">
        <v>68</v>
      </c>
      <c r="H83" s="1" t="s">
        <v>54</v>
      </c>
      <c r="I83" s="1" t="s">
        <v>376</v>
      </c>
      <c r="J83" s="1" t="s">
        <v>389</v>
      </c>
      <c r="K83" s="1" t="s">
        <v>189</v>
      </c>
      <c r="L83" s="13" t="s">
        <v>58</v>
      </c>
      <c r="M83" s="1" t="s">
        <v>59</v>
      </c>
      <c r="N83" s="1" t="s">
        <v>60</v>
      </c>
      <c r="O83" s="1" t="s">
        <v>61</v>
      </c>
      <c r="P83" s="1">
        <v>0.0</v>
      </c>
      <c r="Q83" s="14">
        <v>36.08</v>
      </c>
      <c r="R83" s="1" t="s">
        <v>62</v>
      </c>
      <c r="S83" s="1" t="s">
        <v>63</v>
      </c>
      <c r="T83" s="15" t="s">
        <v>64</v>
      </c>
      <c r="U83" s="16">
        <v>0.03</v>
      </c>
      <c r="V83" s="14">
        <v>1.08</v>
      </c>
      <c r="W83" s="14">
        <v>0.0</v>
      </c>
      <c r="X83" s="1" t="s">
        <v>58</v>
      </c>
      <c r="Y83" s="1"/>
      <c r="Z83" s="1"/>
    </row>
    <row r="84" ht="14.25" customHeight="1">
      <c r="A84" s="1" t="s">
        <v>362</v>
      </c>
      <c r="B84" s="1" t="s">
        <v>48</v>
      </c>
      <c r="C84" s="1" t="s">
        <v>49</v>
      </c>
      <c r="D84" s="1" t="s">
        <v>156</v>
      </c>
      <c r="E84" s="1" t="s">
        <v>390</v>
      </c>
      <c r="F84" s="1" t="s">
        <v>391</v>
      </c>
      <c r="G84" s="1" t="s">
        <v>279</v>
      </c>
      <c r="H84" s="1" t="s">
        <v>54</v>
      </c>
      <c r="I84" s="1" t="s">
        <v>392</v>
      </c>
      <c r="J84" s="1" t="s">
        <v>346</v>
      </c>
      <c r="K84" s="1" t="s">
        <v>189</v>
      </c>
      <c r="L84" s="13" t="s">
        <v>58</v>
      </c>
      <c r="M84" s="1" t="s">
        <v>59</v>
      </c>
      <c r="N84" s="1" t="s">
        <v>60</v>
      </c>
      <c r="O84" s="1" t="s">
        <v>61</v>
      </c>
      <c r="P84" s="1">
        <v>0.0</v>
      </c>
      <c r="Q84" s="14">
        <v>59.14</v>
      </c>
      <c r="R84" s="1" t="s">
        <v>62</v>
      </c>
      <c r="S84" s="1" t="s">
        <v>63</v>
      </c>
      <c r="T84" s="15" t="s">
        <v>64</v>
      </c>
      <c r="U84" s="16">
        <v>0.03</v>
      </c>
      <c r="V84" s="14">
        <v>1.77</v>
      </c>
      <c r="W84" s="14">
        <v>0.0</v>
      </c>
      <c r="X84" s="1" t="s">
        <v>58</v>
      </c>
      <c r="Y84" s="1"/>
      <c r="Z84" s="1"/>
    </row>
    <row r="85" ht="14.25" customHeight="1">
      <c r="A85" s="1" t="s">
        <v>362</v>
      </c>
      <c r="B85" s="1" t="s">
        <v>48</v>
      </c>
      <c r="C85" s="1" t="s">
        <v>90</v>
      </c>
      <c r="D85" s="1" t="s">
        <v>393</v>
      </c>
      <c r="E85" s="1" t="s">
        <v>394</v>
      </c>
      <c r="F85" s="1" t="s">
        <v>395</v>
      </c>
      <c r="G85" s="1" t="s">
        <v>264</v>
      </c>
      <c r="H85" s="1" t="s">
        <v>195</v>
      </c>
      <c r="I85" s="1" t="s">
        <v>396</v>
      </c>
      <c r="J85" s="1" t="s">
        <v>69</v>
      </c>
      <c r="K85" s="1" t="s">
        <v>197</v>
      </c>
      <c r="L85" s="13" t="s">
        <v>58</v>
      </c>
      <c r="M85" s="1" t="s">
        <v>59</v>
      </c>
      <c r="N85" s="1" t="s">
        <v>60</v>
      </c>
      <c r="O85" s="1" t="s">
        <v>61</v>
      </c>
      <c r="P85" s="1">
        <v>0.0</v>
      </c>
      <c r="Q85" s="14">
        <v>75.49</v>
      </c>
      <c r="R85" s="1" t="s">
        <v>95</v>
      </c>
      <c r="S85" s="1" t="s">
        <v>206</v>
      </c>
      <c r="T85" s="15" t="s">
        <v>64</v>
      </c>
      <c r="U85" s="16">
        <v>0.52</v>
      </c>
      <c r="V85" s="14">
        <v>39.25</v>
      </c>
      <c r="W85" s="14">
        <v>0.0</v>
      </c>
      <c r="X85" s="1" t="s">
        <v>58</v>
      </c>
      <c r="Y85" s="1"/>
      <c r="Z85" s="1"/>
    </row>
    <row r="86" ht="14.25" customHeight="1">
      <c r="A86" s="1" t="s">
        <v>362</v>
      </c>
      <c r="B86" s="1" t="s">
        <v>48</v>
      </c>
      <c r="C86" s="1" t="s">
        <v>90</v>
      </c>
      <c r="D86" s="1" t="s">
        <v>397</v>
      </c>
      <c r="E86" s="1" t="s">
        <v>398</v>
      </c>
      <c r="F86" s="1" t="s">
        <v>399</v>
      </c>
      <c r="G86" s="1" t="s">
        <v>68</v>
      </c>
      <c r="H86" s="1" t="s">
        <v>99</v>
      </c>
      <c r="I86" s="1" t="s">
        <v>366</v>
      </c>
      <c r="J86" s="1" t="s">
        <v>400</v>
      </c>
      <c r="K86" s="1" t="s">
        <v>218</v>
      </c>
      <c r="L86" s="13" t="s">
        <v>58</v>
      </c>
      <c r="M86" s="1" t="s">
        <v>59</v>
      </c>
      <c r="N86" s="1" t="s">
        <v>60</v>
      </c>
      <c r="O86" s="1" t="s">
        <v>61</v>
      </c>
      <c r="P86" s="1">
        <v>0.0</v>
      </c>
      <c r="Q86" s="14">
        <v>79.28</v>
      </c>
      <c r="R86" s="1" t="s">
        <v>95</v>
      </c>
      <c r="S86" s="1" t="s">
        <v>96</v>
      </c>
      <c r="T86" s="15" t="s">
        <v>64</v>
      </c>
      <c r="U86" s="16">
        <v>0.52</v>
      </c>
      <c r="V86" s="14">
        <v>41.23</v>
      </c>
      <c r="W86" s="14">
        <v>0.0</v>
      </c>
      <c r="X86" s="1" t="s">
        <v>58</v>
      </c>
      <c r="Y86" s="1"/>
      <c r="Z86" s="1"/>
    </row>
    <row r="87" ht="14.25" customHeight="1">
      <c r="A87" s="1" t="s">
        <v>362</v>
      </c>
      <c r="B87" s="1" t="s">
        <v>48</v>
      </c>
      <c r="C87" s="1" t="s">
        <v>90</v>
      </c>
      <c r="D87" s="1" t="s">
        <v>401</v>
      </c>
      <c r="E87" s="1" t="s">
        <v>402</v>
      </c>
      <c r="F87" s="1" t="s">
        <v>403</v>
      </c>
      <c r="G87" s="1" t="s">
        <v>404</v>
      </c>
      <c r="H87" s="1" t="s">
        <v>69</v>
      </c>
      <c r="I87" s="1" t="s">
        <v>376</v>
      </c>
      <c r="J87" s="1" t="s">
        <v>69</v>
      </c>
      <c r="K87" s="1" t="s">
        <v>197</v>
      </c>
      <c r="L87" s="13" t="s">
        <v>58</v>
      </c>
      <c r="M87" s="1" t="s">
        <v>59</v>
      </c>
      <c r="N87" s="1" t="s">
        <v>60</v>
      </c>
      <c r="O87" s="1" t="s">
        <v>61</v>
      </c>
      <c r="P87" s="1">
        <v>0.0</v>
      </c>
      <c r="Q87" s="14">
        <v>25.85</v>
      </c>
      <c r="R87" s="1" t="s">
        <v>95</v>
      </c>
      <c r="S87" s="1" t="s">
        <v>206</v>
      </c>
      <c r="T87" s="15" t="s">
        <v>64</v>
      </c>
      <c r="U87" s="16">
        <v>0.52</v>
      </c>
      <c r="V87" s="14">
        <v>13.44</v>
      </c>
      <c r="W87" s="14">
        <v>0.0</v>
      </c>
      <c r="X87" s="1" t="s">
        <v>58</v>
      </c>
      <c r="Y87" s="1"/>
      <c r="Z87" s="1"/>
    </row>
    <row r="88" ht="14.25" customHeight="1">
      <c r="A88" s="1" t="s">
        <v>362</v>
      </c>
      <c r="B88" s="1" t="s">
        <v>48</v>
      </c>
      <c r="C88" s="1" t="s">
        <v>90</v>
      </c>
      <c r="D88" s="1" t="s">
        <v>91</v>
      </c>
      <c r="E88" s="1" t="s">
        <v>405</v>
      </c>
      <c r="F88" s="1" t="s">
        <v>406</v>
      </c>
      <c r="G88" s="1" t="s">
        <v>264</v>
      </c>
      <c r="H88" s="1" t="s">
        <v>54</v>
      </c>
      <c r="I88" s="1" t="s">
        <v>396</v>
      </c>
      <c r="J88" s="1" t="s">
        <v>407</v>
      </c>
      <c r="K88" s="1" t="s">
        <v>57</v>
      </c>
      <c r="L88" s="13" t="s">
        <v>58</v>
      </c>
      <c r="M88" s="1" t="s">
        <v>59</v>
      </c>
      <c r="N88" s="1" t="s">
        <v>60</v>
      </c>
      <c r="O88" s="1" t="s">
        <v>61</v>
      </c>
      <c r="P88" s="1">
        <v>0.0</v>
      </c>
      <c r="Q88" s="14">
        <v>74.21</v>
      </c>
      <c r="R88" s="1" t="s">
        <v>95</v>
      </c>
      <c r="S88" s="1" t="s">
        <v>96</v>
      </c>
      <c r="T88" s="15" t="s">
        <v>64</v>
      </c>
      <c r="U88" s="16">
        <v>0.52</v>
      </c>
      <c r="V88" s="14">
        <v>38.59</v>
      </c>
      <c r="W88" s="14">
        <v>0.0</v>
      </c>
      <c r="X88" s="1" t="s">
        <v>58</v>
      </c>
      <c r="Y88" s="1"/>
      <c r="Z88" s="1"/>
    </row>
    <row r="89" ht="14.25" customHeight="1">
      <c r="A89" s="1" t="s">
        <v>362</v>
      </c>
      <c r="B89" s="1" t="s">
        <v>48</v>
      </c>
      <c r="C89" s="1" t="s">
        <v>90</v>
      </c>
      <c r="D89" s="1" t="s">
        <v>91</v>
      </c>
      <c r="E89" s="1" t="s">
        <v>408</v>
      </c>
      <c r="F89" s="1" t="s">
        <v>409</v>
      </c>
      <c r="G89" s="1" t="s">
        <v>264</v>
      </c>
      <c r="H89" s="1" t="s">
        <v>54</v>
      </c>
      <c r="I89" s="1" t="s">
        <v>396</v>
      </c>
      <c r="J89" s="1" t="s">
        <v>407</v>
      </c>
      <c r="K89" s="1" t="s">
        <v>57</v>
      </c>
      <c r="L89" s="13" t="s">
        <v>58</v>
      </c>
      <c r="M89" s="1" t="s">
        <v>59</v>
      </c>
      <c r="N89" s="1" t="s">
        <v>60</v>
      </c>
      <c r="O89" s="1" t="s">
        <v>61</v>
      </c>
      <c r="P89" s="1">
        <v>0.0</v>
      </c>
      <c r="Q89" s="14">
        <v>74.21</v>
      </c>
      <c r="R89" s="1" t="s">
        <v>95</v>
      </c>
      <c r="S89" s="1" t="s">
        <v>96</v>
      </c>
      <c r="T89" s="15" t="s">
        <v>64</v>
      </c>
      <c r="U89" s="16">
        <v>0.52</v>
      </c>
      <c r="V89" s="14">
        <v>38.59</v>
      </c>
      <c r="W89" s="14">
        <v>0.0</v>
      </c>
      <c r="X89" s="1" t="s">
        <v>58</v>
      </c>
      <c r="Y89" s="1"/>
      <c r="Z89" s="1"/>
    </row>
    <row r="90" ht="14.25" customHeight="1">
      <c r="A90" s="1" t="s">
        <v>362</v>
      </c>
      <c r="B90" s="1" t="s">
        <v>48</v>
      </c>
      <c r="C90" s="1" t="s">
        <v>90</v>
      </c>
      <c r="D90" s="1" t="s">
        <v>50</v>
      </c>
      <c r="E90" s="1" t="s">
        <v>410</v>
      </c>
      <c r="F90" s="1" t="s">
        <v>411</v>
      </c>
      <c r="G90" s="1" t="s">
        <v>216</v>
      </c>
      <c r="H90" s="1" t="s">
        <v>69</v>
      </c>
      <c r="I90" s="1" t="s">
        <v>412</v>
      </c>
      <c r="J90" s="1" t="s">
        <v>413</v>
      </c>
      <c r="K90" s="1" t="s">
        <v>414</v>
      </c>
      <c r="L90" s="13" t="s">
        <v>58</v>
      </c>
      <c r="M90" s="1" t="s">
        <v>59</v>
      </c>
      <c r="N90" s="1" t="s">
        <v>60</v>
      </c>
      <c r="O90" s="1" t="s">
        <v>61</v>
      </c>
      <c r="P90" s="1">
        <v>0.0</v>
      </c>
      <c r="Q90" s="14">
        <v>215.55</v>
      </c>
      <c r="R90" s="1" t="s">
        <v>95</v>
      </c>
      <c r="S90" s="1" t="s">
        <v>206</v>
      </c>
      <c r="T90" s="15" t="s">
        <v>64</v>
      </c>
      <c r="U90" s="16">
        <v>0.24</v>
      </c>
      <c r="V90" s="14">
        <v>51.73</v>
      </c>
      <c r="W90" s="14">
        <v>0.0</v>
      </c>
      <c r="X90" s="1" t="s">
        <v>58</v>
      </c>
      <c r="Y90" s="1"/>
      <c r="Z90" s="1"/>
    </row>
    <row r="91" ht="14.25" customHeight="1">
      <c r="A91" s="1" t="s">
        <v>362</v>
      </c>
      <c r="B91" s="1" t="s">
        <v>48</v>
      </c>
      <c r="C91" s="1" t="s">
        <v>90</v>
      </c>
      <c r="D91" s="1" t="s">
        <v>363</v>
      </c>
      <c r="E91" s="1" t="s">
        <v>415</v>
      </c>
      <c r="F91" s="1" t="s">
        <v>416</v>
      </c>
      <c r="G91" s="1" t="s">
        <v>68</v>
      </c>
      <c r="H91" s="1" t="s">
        <v>54</v>
      </c>
      <c r="I91" s="1" t="s">
        <v>396</v>
      </c>
      <c r="J91" s="1" t="s">
        <v>94</v>
      </c>
      <c r="K91" s="1" t="s">
        <v>57</v>
      </c>
      <c r="L91" s="13" t="s">
        <v>58</v>
      </c>
      <c r="M91" s="1" t="s">
        <v>59</v>
      </c>
      <c r="N91" s="1" t="s">
        <v>60</v>
      </c>
      <c r="O91" s="1" t="s">
        <v>61</v>
      </c>
      <c r="P91" s="1">
        <v>0.0</v>
      </c>
      <c r="Q91" s="14">
        <v>72.33</v>
      </c>
      <c r="R91" s="1" t="s">
        <v>95</v>
      </c>
      <c r="S91" s="1" t="s">
        <v>96</v>
      </c>
      <c r="T91" s="15" t="s">
        <v>64</v>
      </c>
      <c r="U91" s="16">
        <v>0.52</v>
      </c>
      <c r="V91" s="14">
        <v>37.61</v>
      </c>
      <c r="W91" s="14">
        <v>0.0</v>
      </c>
      <c r="X91" s="1" t="s">
        <v>58</v>
      </c>
      <c r="Y91" s="1"/>
      <c r="Z91" s="1"/>
    </row>
    <row r="92" ht="14.25" customHeight="1">
      <c r="A92" s="1" t="s">
        <v>362</v>
      </c>
      <c r="B92" s="1" t="s">
        <v>48</v>
      </c>
      <c r="C92" s="1" t="s">
        <v>90</v>
      </c>
      <c r="D92" s="1" t="s">
        <v>417</v>
      </c>
      <c r="E92" s="1" t="s">
        <v>418</v>
      </c>
      <c r="F92" s="1" t="s">
        <v>419</v>
      </c>
      <c r="G92" s="1" t="s">
        <v>68</v>
      </c>
      <c r="H92" s="1" t="s">
        <v>69</v>
      </c>
      <c r="I92" s="1" t="s">
        <v>366</v>
      </c>
      <c r="J92" s="1" t="s">
        <v>420</v>
      </c>
      <c r="K92" s="1" t="s">
        <v>57</v>
      </c>
      <c r="L92" s="13" t="s">
        <v>58</v>
      </c>
      <c r="M92" s="1" t="s">
        <v>59</v>
      </c>
      <c r="N92" s="1" t="s">
        <v>60</v>
      </c>
      <c r="O92" s="1" t="s">
        <v>61</v>
      </c>
      <c r="P92" s="1">
        <v>0.0</v>
      </c>
      <c r="Q92" s="14">
        <v>79.28</v>
      </c>
      <c r="R92" s="1" t="s">
        <v>95</v>
      </c>
      <c r="S92" s="1" t="s">
        <v>96</v>
      </c>
      <c r="T92" s="15" t="s">
        <v>64</v>
      </c>
      <c r="U92" s="16">
        <v>0.52</v>
      </c>
      <c r="V92" s="14">
        <v>41.23</v>
      </c>
      <c r="W92" s="14">
        <v>0.0</v>
      </c>
      <c r="X92" s="1" t="s">
        <v>58</v>
      </c>
      <c r="Y92" s="1"/>
      <c r="Z92" s="1"/>
    </row>
    <row r="93" ht="14.25" customHeight="1">
      <c r="A93" s="1" t="s">
        <v>362</v>
      </c>
      <c r="B93" s="1" t="s">
        <v>48</v>
      </c>
      <c r="C93" s="1" t="s">
        <v>90</v>
      </c>
      <c r="D93" s="1" t="s">
        <v>417</v>
      </c>
      <c r="E93" s="1" t="s">
        <v>421</v>
      </c>
      <c r="F93" s="1" t="s">
        <v>422</v>
      </c>
      <c r="G93" s="1" t="s">
        <v>68</v>
      </c>
      <c r="H93" s="1" t="s">
        <v>54</v>
      </c>
      <c r="I93" s="1" t="s">
        <v>392</v>
      </c>
      <c r="J93" s="1" t="s">
        <v>407</v>
      </c>
      <c r="K93" s="1" t="s">
        <v>57</v>
      </c>
      <c r="L93" s="13" t="s">
        <v>58</v>
      </c>
      <c r="M93" s="1" t="s">
        <v>59</v>
      </c>
      <c r="N93" s="1" t="s">
        <v>60</v>
      </c>
      <c r="O93" s="1" t="s">
        <v>61</v>
      </c>
      <c r="P93" s="1">
        <v>0.0</v>
      </c>
      <c r="Q93" s="14">
        <v>63.16</v>
      </c>
      <c r="R93" s="1" t="s">
        <v>95</v>
      </c>
      <c r="S93" s="1" t="s">
        <v>96</v>
      </c>
      <c r="T93" s="15" t="s">
        <v>64</v>
      </c>
      <c r="U93" s="16">
        <v>0.52</v>
      </c>
      <c r="V93" s="14">
        <v>32.84</v>
      </c>
      <c r="W93" s="14">
        <v>0.0</v>
      </c>
      <c r="X93" s="1" t="s">
        <v>58</v>
      </c>
      <c r="Y93" s="1"/>
      <c r="Z93" s="1"/>
    </row>
    <row r="94" ht="14.25" customHeight="1">
      <c r="A94" s="1" t="s">
        <v>362</v>
      </c>
      <c r="B94" s="1" t="s">
        <v>48</v>
      </c>
      <c r="C94" s="1" t="s">
        <v>90</v>
      </c>
      <c r="D94" s="1" t="s">
        <v>417</v>
      </c>
      <c r="E94" s="1" t="s">
        <v>423</v>
      </c>
      <c r="F94" s="1" t="s">
        <v>424</v>
      </c>
      <c r="G94" s="1" t="s">
        <v>68</v>
      </c>
      <c r="H94" s="1" t="s">
        <v>54</v>
      </c>
      <c r="I94" s="1" t="s">
        <v>396</v>
      </c>
      <c r="J94" s="1" t="s">
        <v>100</v>
      </c>
      <c r="K94" s="1" t="s">
        <v>57</v>
      </c>
      <c r="L94" s="13" t="s">
        <v>58</v>
      </c>
      <c r="M94" s="1" t="s">
        <v>59</v>
      </c>
      <c r="N94" s="1" t="s">
        <v>60</v>
      </c>
      <c r="O94" s="1" t="s">
        <v>61</v>
      </c>
      <c r="P94" s="1">
        <v>0.0</v>
      </c>
      <c r="Q94" s="14">
        <v>72.33</v>
      </c>
      <c r="R94" s="1" t="s">
        <v>95</v>
      </c>
      <c r="S94" s="1" t="s">
        <v>96</v>
      </c>
      <c r="T94" s="15" t="s">
        <v>64</v>
      </c>
      <c r="U94" s="16">
        <v>0.52</v>
      </c>
      <c r="V94" s="14">
        <v>37.61</v>
      </c>
      <c r="W94" s="14">
        <v>0.0</v>
      </c>
      <c r="X94" s="1" t="s">
        <v>58</v>
      </c>
      <c r="Y94" s="1"/>
      <c r="Z94" s="1"/>
    </row>
    <row r="95" ht="14.25" customHeight="1">
      <c r="A95" s="1" t="s">
        <v>362</v>
      </c>
      <c r="B95" s="1" t="s">
        <v>48</v>
      </c>
      <c r="C95" s="1" t="s">
        <v>90</v>
      </c>
      <c r="D95" s="1" t="s">
        <v>119</v>
      </c>
      <c r="E95" s="1" t="s">
        <v>425</v>
      </c>
      <c r="F95" s="1" t="s">
        <v>426</v>
      </c>
      <c r="G95" s="1" t="s">
        <v>122</v>
      </c>
      <c r="H95" s="1" t="s">
        <v>99</v>
      </c>
      <c r="I95" s="1" t="s">
        <v>371</v>
      </c>
      <c r="J95" s="1" t="s">
        <v>57</v>
      </c>
      <c r="K95" s="1" t="s">
        <v>413</v>
      </c>
      <c r="L95" s="13" t="s">
        <v>58</v>
      </c>
      <c r="M95" s="1" t="s">
        <v>59</v>
      </c>
      <c r="N95" s="1" t="s">
        <v>60</v>
      </c>
      <c r="O95" s="1" t="s">
        <v>61</v>
      </c>
      <c r="P95" s="1">
        <v>0.0</v>
      </c>
      <c r="Q95" s="14">
        <v>142.79</v>
      </c>
      <c r="R95" s="1" t="s">
        <v>95</v>
      </c>
      <c r="S95" s="1" t="s">
        <v>206</v>
      </c>
      <c r="T95" s="15" t="s">
        <v>64</v>
      </c>
      <c r="U95" s="16">
        <v>0.23</v>
      </c>
      <c r="V95" s="14">
        <v>32.84</v>
      </c>
      <c r="W95" s="14">
        <v>0.0</v>
      </c>
      <c r="X95" s="1" t="s">
        <v>58</v>
      </c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8.57"/>
    <col customWidth="1" min="3" max="3" width="19.86"/>
    <col customWidth="1" min="4" max="4" width="14.0"/>
    <col customWidth="1" min="5" max="5" width="20.29"/>
    <col customWidth="1" min="6" max="6" width="7.14"/>
    <col customWidth="1" min="7" max="7" width="15.0"/>
    <col customWidth="1" min="8" max="8" width="29.57"/>
    <col customWidth="1" min="9" max="9" width="86.29"/>
    <col customWidth="1" min="10" max="11" width="15.0"/>
    <col customWidth="1" min="12" max="12" width="10.0"/>
    <col customWidth="1" min="13" max="13" width="9.0"/>
    <col customWidth="1" min="14" max="14" width="15.29"/>
    <col customWidth="1" min="15" max="15" width="13.71"/>
    <col customWidth="1" min="16" max="18" width="9.0"/>
    <col customWidth="1" min="19" max="19" width="20.14"/>
    <col customWidth="1" min="20" max="20" width="6.14"/>
    <col customWidth="1" min="21" max="21" width="18.14"/>
    <col customWidth="1" min="22" max="22" width="11.0"/>
    <col customWidth="1" min="23" max="23" width="9.71"/>
    <col customWidth="1" min="24" max="24" width="15.0"/>
    <col customWidth="1" min="25" max="25" width="40.0"/>
    <col customWidth="1" min="26" max="34" width="9.14"/>
  </cols>
  <sheetData>
    <row r="1" ht="30.0" customHeight="1">
      <c r="A1" s="12" t="s">
        <v>26</v>
      </c>
      <c r="B1" s="22" t="s">
        <v>427</v>
      </c>
      <c r="C1" s="22" t="s">
        <v>428</v>
      </c>
      <c r="D1" s="12" t="s">
        <v>27</v>
      </c>
      <c r="E1" s="12" t="s">
        <v>28</v>
      </c>
      <c r="F1" s="12" t="s">
        <v>29</v>
      </c>
      <c r="G1" s="12" t="s">
        <v>30</v>
      </c>
      <c r="H1" s="22" t="s">
        <v>429</v>
      </c>
      <c r="I1" s="22" t="s">
        <v>430</v>
      </c>
      <c r="J1" s="23" t="s">
        <v>32</v>
      </c>
      <c r="K1" s="23" t="s">
        <v>33</v>
      </c>
      <c r="L1" s="12" t="s">
        <v>35</v>
      </c>
      <c r="M1" s="12" t="s">
        <v>37</v>
      </c>
      <c r="N1" s="22" t="s">
        <v>431</v>
      </c>
      <c r="O1" s="22" t="s">
        <v>432</v>
      </c>
      <c r="P1" s="22"/>
      <c r="Q1" s="22"/>
      <c r="R1" s="22"/>
      <c r="S1" s="12" t="s">
        <v>39</v>
      </c>
      <c r="T1" s="12" t="s">
        <v>40</v>
      </c>
      <c r="U1" s="12" t="s">
        <v>41</v>
      </c>
      <c r="V1" s="12" t="s">
        <v>43</v>
      </c>
      <c r="W1" s="12" t="s">
        <v>44</v>
      </c>
      <c r="X1" s="12" t="s">
        <v>45</v>
      </c>
      <c r="Y1" s="12" t="s">
        <v>46</v>
      </c>
      <c r="Z1" s="1"/>
      <c r="AA1" s="1"/>
      <c r="AB1" s="1"/>
      <c r="AC1" s="1"/>
      <c r="AD1" s="1"/>
      <c r="AE1" s="1"/>
      <c r="AF1" s="1"/>
      <c r="AG1" s="1"/>
      <c r="AH1" s="1"/>
    </row>
    <row r="2" ht="14.25" customHeight="1">
      <c r="A2" s="24">
        <v>9213293.0</v>
      </c>
      <c r="B2" s="25" t="s">
        <v>433</v>
      </c>
      <c r="C2" s="25" t="s">
        <v>433</v>
      </c>
      <c r="D2" s="25" t="s">
        <v>231</v>
      </c>
      <c r="E2" s="25" t="s">
        <v>232</v>
      </c>
      <c r="F2" s="25" t="s">
        <v>68</v>
      </c>
      <c r="G2" s="25" t="s">
        <v>69</v>
      </c>
      <c r="H2" s="25" t="s">
        <v>434</v>
      </c>
      <c r="I2" s="25" t="s">
        <v>435</v>
      </c>
      <c r="J2" s="26">
        <v>46160.0</v>
      </c>
      <c r="K2" s="26">
        <v>46191.0</v>
      </c>
      <c r="L2" s="25" t="s">
        <v>59</v>
      </c>
      <c r="M2" s="25" t="s">
        <v>61</v>
      </c>
      <c r="N2" s="27">
        <v>147.77</v>
      </c>
      <c r="O2" s="27">
        <f t="shared" ref="O2:O93" si="1">N2*V2</f>
        <v>199.4895</v>
      </c>
      <c r="P2" s="25">
        <f t="shared" ref="P2:P93" si="2">DATEDIF(J2,K2,"M")</f>
        <v>1</v>
      </c>
      <c r="Q2" s="27" t="s">
        <v>436</v>
      </c>
      <c r="R2" s="25" t="s">
        <v>437</v>
      </c>
      <c r="S2" s="28">
        <v>1329.93</v>
      </c>
      <c r="T2" s="25" t="s">
        <v>95</v>
      </c>
      <c r="U2" s="25" t="s">
        <v>206</v>
      </c>
      <c r="V2" s="29">
        <v>1.35</v>
      </c>
      <c r="W2" s="28">
        <v>1795.41</v>
      </c>
      <c r="X2" s="28">
        <v>1795.41</v>
      </c>
      <c r="Y2" s="25" t="s">
        <v>58</v>
      </c>
      <c r="Z2" s="25"/>
      <c r="AA2" s="25"/>
      <c r="AB2" s="25"/>
      <c r="AC2" s="25"/>
      <c r="AD2" s="25"/>
      <c r="AE2" s="25"/>
      <c r="AF2" s="25"/>
      <c r="AG2" s="25"/>
      <c r="AH2" s="25"/>
    </row>
    <row r="3" ht="14.25" customHeight="1">
      <c r="A3" s="24" t="s">
        <v>438</v>
      </c>
      <c r="B3" s="25" t="s">
        <v>439</v>
      </c>
      <c r="C3" s="25" t="s">
        <v>439</v>
      </c>
      <c r="D3" s="25" t="s">
        <v>402</v>
      </c>
      <c r="E3" s="25" t="s">
        <v>403</v>
      </c>
      <c r="F3" s="25" t="s">
        <v>404</v>
      </c>
      <c r="G3" s="25" t="s">
        <v>69</v>
      </c>
      <c r="H3" s="25" t="s">
        <v>440</v>
      </c>
      <c r="I3" s="25" t="s">
        <v>441</v>
      </c>
      <c r="J3" s="26">
        <v>46160.0</v>
      </c>
      <c r="K3" s="26">
        <v>46191.0</v>
      </c>
      <c r="L3" s="25" t="s">
        <v>59</v>
      </c>
      <c r="M3" s="25" t="s">
        <v>61</v>
      </c>
      <c r="N3" s="27">
        <v>25.85</v>
      </c>
      <c r="O3" s="27">
        <f t="shared" si="1"/>
        <v>13.442</v>
      </c>
      <c r="P3" s="25">
        <f t="shared" si="2"/>
        <v>1</v>
      </c>
      <c r="Q3" s="27" t="s">
        <v>436</v>
      </c>
      <c r="R3" s="25" t="s">
        <v>437</v>
      </c>
      <c r="S3" s="28">
        <v>25.85</v>
      </c>
      <c r="T3" s="25" t="s">
        <v>95</v>
      </c>
      <c r="U3" s="25" t="s">
        <v>206</v>
      </c>
      <c r="V3" s="29">
        <v>0.52</v>
      </c>
      <c r="W3" s="28">
        <v>13.44</v>
      </c>
      <c r="X3" s="28">
        <v>0.0</v>
      </c>
      <c r="Y3" s="25" t="s">
        <v>58</v>
      </c>
      <c r="Z3" s="25"/>
      <c r="AA3" s="25"/>
      <c r="AB3" s="25"/>
      <c r="AC3" s="25"/>
      <c r="AD3" s="25"/>
      <c r="AE3" s="25"/>
      <c r="AF3" s="25"/>
      <c r="AG3" s="25"/>
      <c r="AH3" s="25"/>
    </row>
    <row r="4" ht="14.25" customHeight="1">
      <c r="A4" s="24" t="s">
        <v>442</v>
      </c>
      <c r="B4" s="25" t="s">
        <v>443</v>
      </c>
      <c r="C4" s="25" t="s">
        <v>443</v>
      </c>
      <c r="D4" s="25" t="s">
        <v>394</v>
      </c>
      <c r="E4" s="25" t="s">
        <v>395</v>
      </c>
      <c r="F4" s="25" t="s">
        <v>264</v>
      </c>
      <c r="G4" s="25" t="s">
        <v>195</v>
      </c>
      <c r="H4" s="25" t="s">
        <v>444</v>
      </c>
      <c r="I4" s="25" t="s">
        <v>441</v>
      </c>
      <c r="J4" s="26">
        <v>46160.0</v>
      </c>
      <c r="K4" s="26">
        <v>46436.0</v>
      </c>
      <c r="L4" s="25" t="s">
        <v>59</v>
      </c>
      <c r="M4" s="25" t="s">
        <v>61</v>
      </c>
      <c r="N4" s="27">
        <v>75.49</v>
      </c>
      <c r="O4" s="27">
        <f t="shared" si="1"/>
        <v>39.2548</v>
      </c>
      <c r="P4" s="25">
        <f t="shared" si="2"/>
        <v>9</v>
      </c>
      <c r="Q4" s="27" t="s">
        <v>445</v>
      </c>
      <c r="R4" s="25" t="s">
        <v>446</v>
      </c>
      <c r="S4" s="28">
        <v>75.49</v>
      </c>
      <c r="T4" s="25" t="s">
        <v>95</v>
      </c>
      <c r="U4" s="25" t="s">
        <v>206</v>
      </c>
      <c r="V4" s="29">
        <v>0.52</v>
      </c>
      <c r="W4" s="28">
        <v>39.25</v>
      </c>
      <c r="X4" s="28">
        <v>0.0</v>
      </c>
      <c r="Y4" s="25" t="s">
        <v>58</v>
      </c>
      <c r="Z4" s="25"/>
      <c r="AA4" s="25"/>
      <c r="AB4" s="25"/>
      <c r="AC4" s="25"/>
      <c r="AD4" s="25"/>
      <c r="AE4" s="25"/>
      <c r="AF4" s="25"/>
      <c r="AG4" s="25"/>
      <c r="AH4" s="25"/>
    </row>
    <row r="5" ht="14.25" customHeight="1">
      <c r="A5" s="24" t="s">
        <v>447</v>
      </c>
      <c r="B5" s="25" t="s">
        <v>448</v>
      </c>
      <c r="C5" s="25" t="s">
        <v>448</v>
      </c>
      <c r="D5" s="25" t="s">
        <v>234</v>
      </c>
      <c r="E5" s="25" t="s">
        <v>235</v>
      </c>
      <c r="F5" s="25" t="s">
        <v>68</v>
      </c>
      <c r="G5" s="25" t="s">
        <v>195</v>
      </c>
      <c r="H5" s="25" t="s">
        <v>449</v>
      </c>
      <c r="I5" s="25" t="s">
        <v>450</v>
      </c>
      <c r="J5" s="26">
        <v>46161.0</v>
      </c>
      <c r="K5" s="26">
        <v>46437.0</v>
      </c>
      <c r="L5" s="25" t="s">
        <v>59</v>
      </c>
      <c r="M5" s="25" t="s">
        <v>61</v>
      </c>
      <c r="N5" s="27">
        <v>143.91</v>
      </c>
      <c r="O5" s="27">
        <f t="shared" si="1"/>
        <v>215.865</v>
      </c>
      <c r="P5" s="25">
        <f t="shared" si="2"/>
        <v>9</v>
      </c>
      <c r="Q5" s="27" t="s">
        <v>445</v>
      </c>
      <c r="R5" s="25" t="s">
        <v>446</v>
      </c>
      <c r="S5" s="28">
        <v>1295.19</v>
      </c>
      <c r="T5" s="25" t="s">
        <v>95</v>
      </c>
      <c r="U5" s="25" t="s">
        <v>206</v>
      </c>
      <c r="V5" s="29">
        <v>1.5</v>
      </c>
      <c r="W5" s="28">
        <v>1942.83</v>
      </c>
      <c r="X5" s="28">
        <v>1942.83</v>
      </c>
      <c r="Y5" s="25" t="s">
        <v>58</v>
      </c>
      <c r="Z5" s="25"/>
      <c r="AA5" s="25"/>
      <c r="AB5" s="25"/>
      <c r="AC5" s="25"/>
      <c r="AD5" s="25"/>
      <c r="AE5" s="25"/>
      <c r="AF5" s="25"/>
      <c r="AG5" s="25"/>
      <c r="AH5" s="25"/>
    </row>
    <row r="6" ht="14.25" customHeight="1">
      <c r="A6" s="24">
        <v>8307933.0</v>
      </c>
      <c r="B6" s="25" t="s">
        <v>451</v>
      </c>
      <c r="C6" s="25" t="s">
        <v>451</v>
      </c>
      <c r="D6" s="25" t="s">
        <v>289</v>
      </c>
      <c r="E6" s="25" t="s">
        <v>290</v>
      </c>
      <c r="F6" s="25" t="s">
        <v>272</v>
      </c>
      <c r="G6" s="25" t="s">
        <v>99</v>
      </c>
      <c r="H6" s="25" t="s">
        <v>452</v>
      </c>
      <c r="I6" s="25" t="s">
        <v>453</v>
      </c>
      <c r="J6" s="26">
        <v>46162.0</v>
      </c>
      <c r="K6" s="26">
        <v>46193.0</v>
      </c>
      <c r="L6" s="25" t="s">
        <v>59</v>
      </c>
      <c r="M6" s="25" t="s">
        <v>61</v>
      </c>
      <c r="N6" s="27">
        <v>255.0</v>
      </c>
      <c r="O6" s="27">
        <f t="shared" si="1"/>
        <v>172.125</v>
      </c>
      <c r="P6" s="25">
        <f t="shared" si="2"/>
        <v>1</v>
      </c>
      <c r="Q6" s="27" t="s">
        <v>436</v>
      </c>
      <c r="R6" s="25" t="s">
        <v>437</v>
      </c>
      <c r="S6" s="28">
        <v>2295.0</v>
      </c>
      <c r="T6" s="25" t="s">
        <v>95</v>
      </c>
      <c r="U6" s="25" t="s">
        <v>288</v>
      </c>
      <c r="V6" s="29">
        <v>0.675</v>
      </c>
      <c r="W6" s="28">
        <v>1549.13</v>
      </c>
      <c r="X6" s="28">
        <v>1549.13</v>
      </c>
      <c r="Y6" s="25" t="s">
        <v>58</v>
      </c>
      <c r="Z6" s="25"/>
      <c r="AA6" s="25"/>
      <c r="AB6" s="25"/>
      <c r="AC6" s="25"/>
      <c r="AD6" s="25"/>
      <c r="AE6" s="25"/>
      <c r="AF6" s="25"/>
      <c r="AG6" s="25"/>
      <c r="AH6" s="25"/>
    </row>
    <row r="7" ht="14.25" customHeight="1">
      <c r="A7" s="24">
        <v>1706194.0</v>
      </c>
      <c r="B7" s="25" t="s">
        <v>454</v>
      </c>
      <c r="C7" s="25" t="s">
        <v>454</v>
      </c>
      <c r="D7" s="25" t="s">
        <v>336</v>
      </c>
      <c r="E7" s="25" t="s">
        <v>337</v>
      </c>
      <c r="F7" s="25" t="s">
        <v>200</v>
      </c>
      <c r="G7" s="25" t="s">
        <v>195</v>
      </c>
      <c r="H7" s="25" t="s">
        <v>455</v>
      </c>
      <c r="I7" s="25" t="s">
        <v>450</v>
      </c>
      <c r="J7" s="26">
        <v>46174.0</v>
      </c>
      <c r="K7" s="26">
        <v>46204.0</v>
      </c>
      <c r="L7" s="25" t="s">
        <v>59</v>
      </c>
      <c r="M7" s="25" t="s">
        <v>61</v>
      </c>
      <c r="N7" s="27">
        <v>99.32</v>
      </c>
      <c r="O7" s="27">
        <f t="shared" si="1"/>
        <v>148.98</v>
      </c>
      <c r="P7" s="25">
        <f t="shared" si="2"/>
        <v>1</v>
      </c>
      <c r="Q7" s="27" t="s">
        <v>436</v>
      </c>
      <c r="R7" s="25" t="s">
        <v>437</v>
      </c>
      <c r="S7" s="28">
        <v>893.88</v>
      </c>
      <c r="T7" s="25" t="s">
        <v>95</v>
      </c>
      <c r="U7" s="25" t="s">
        <v>206</v>
      </c>
      <c r="V7" s="29">
        <v>1.5</v>
      </c>
      <c r="W7" s="28">
        <v>1340.82</v>
      </c>
      <c r="X7" s="28">
        <v>1340.82</v>
      </c>
      <c r="Y7" s="25" t="s">
        <v>58</v>
      </c>
      <c r="Z7" s="25"/>
      <c r="AA7" s="25"/>
      <c r="AB7" s="25"/>
      <c r="AC7" s="25"/>
      <c r="AD7" s="25"/>
      <c r="AE7" s="25"/>
      <c r="AF7" s="25"/>
      <c r="AG7" s="25"/>
      <c r="AH7" s="25"/>
    </row>
    <row r="8" ht="14.25" customHeight="1">
      <c r="A8" s="24">
        <v>8307933.0</v>
      </c>
      <c r="B8" s="25" t="s">
        <v>451</v>
      </c>
      <c r="C8" s="25" t="s">
        <v>451</v>
      </c>
      <c r="D8" s="25" t="s">
        <v>292</v>
      </c>
      <c r="E8" s="25" t="s">
        <v>293</v>
      </c>
      <c r="F8" s="25" t="s">
        <v>53</v>
      </c>
      <c r="G8" s="25" t="s">
        <v>54</v>
      </c>
      <c r="H8" s="25" t="s">
        <v>452</v>
      </c>
      <c r="I8" s="25" t="s">
        <v>453</v>
      </c>
      <c r="J8" s="26">
        <v>46174.0</v>
      </c>
      <c r="K8" s="26">
        <v>46204.0</v>
      </c>
      <c r="L8" s="25" t="s">
        <v>59</v>
      </c>
      <c r="M8" s="25" t="s">
        <v>61</v>
      </c>
      <c r="N8" s="27">
        <v>148.76</v>
      </c>
      <c r="O8" s="27">
        <f t="shared" si="1"/>
        <v>100.413</v>
      </c>
      <c r="P8" s="25">
        <f t="shared" si="2"/>
        <v>1</v>
      </c>
      <c r="Q8" s="27" t="s">
        <v>436</v>
      </c>
      <c r="R8" s="25" t="s">
        <v>437</v>
      </c>
      <c r="S8" s="28">
        <v>1338.84</v>
      </c>
      <c r="T8" s="25" t="s">
        <v>95</v>
      </c>
      <c r="U8" s="25" t="s">
        <v>288</v>
      </c>
      <c r="V8" s="29">
        <v>0.675</v>
      </c>
      <c r="W8" s="28">
        <v>903.72</v>
      </c>
      <c r="X8" s="28">
        <v>903.72</v>
      </c>
      <c r="Y8" s="25" t="s">
        <v>58</v>
      </c>
      <c r="Z8" s="25"/>
      <c r="AA8" s="25"/>
      <c r="AB8" s="25"/>
      <c r="AC8" s="25"/>
      <c r="AD8" s="25"/>
      <c r="AE8" s="25"/>
      <c r="AF8" s="25"/>
      <c r="AG8" s="25"/>
      <c r="AH8" s="25"/>
    </row>
    <row r="9" ht="14.25" customHeight="1">
      <c r="A9" s="24">
        <v>8307933.0</v>
      </c>
      <c r="B9" s="25" t="s">
        <v>451</v>
      </c>
      <c r="C9" s="25" t="s">
        <v>451</v>
      </c>
      <c r="D9" s="25" t="s">
        <v>286</v>
      </c>
      <c r="E9" s="25" t="s">
        <v>287</v>
      </c>
      <c r="F9" s="25" t="s">
        <v>279</v>
      </c>
      <c r="G9" s="25" t="s">
        <v>180</v>
      </c>
      <c r="H9" s="25" t="s">
        <v>452</v>
      </c>
      <c r="I9" s="25" t="s">
        <v>453</v>
      </c>
      <c r="J9" s="26">
        <v>46174.0</v>
      </c>
      <c r="K9" s="26">
        <v>46204.0</v>
      </c>
      <c r="L9" s="25" t="s">
        <v>59</v>
      </c>
      <c r="M9" s="25" t="s">
        <v>61</v>
      </c>
      <c r="N9" s="27">
        <v>236.91</v>
      </c>
      <c r="O9" s="27">
        <f t="shared" si="1"/>
        <v>159.91425</v>
      </c>
      <c r="P9" s="25">
        <f t="shared" si="2"/>
        <v>1</v>
      </c>
      <c r="Q9" s="27" t="s">
        <v>436</v>
      </c>
      <c r="R9" s="25" t="s">
        <v>437</v>
      </c>
      <c r="S9" s="28">
        <v>2132.19</v>
      </c>
      <c r="T9" s="25" t="s">
        <v>95</v>
      </c>
      <c r="U9" s="25" t="s">
        <v>288</v>
      </c>
      <c r="V9" s="29">
        <v>0.675</v>
      </c>
      <c r="W9" s="28">
        <v>1439.23</v>
      </c>
      <c r="X9" s="28">
        <v>1439.23</v>
      </c>
      <c r="Y9" s="25" t="s">
        <v>58</v>
      </c>
      <c r="Z9" s="25"/>
      <c r="AA9" s="25"/>
      <c r="AB9" s="25"/>
      <c r="AC9" s="25"/>
      <c r="AD9" s="25"/>
      <c r="AE9" s="25"/>
      <c r="AF9" s="25"/>
      <c r="AG9" s="25"/>
      <c r="AH9" s="25"/>
    </row>
    <row r="10" ht="14.25" customHeight="1">
      <c r="A10" s="24">
        <v>9079571.0</v>
      </c>
      <c r="B10" s="25" t="s">
        <v>456</v>
      </c>
      <c r="C10" s="25" t="s">
        <v>456</v>
      </c>
      <c r="D10" s="25" t="s">
        <v>425</v>
      </c>
      <c r="E10" s="25" t="s">
        <v>426</v>
      </c>
      <c r="F10" s="25" t="s">
        <v>122</v>
      </c>
      <c r="G10" s="25" t="s">
        <v>99</v>
      </c>
      <c r="H10" s="25" t="s">
        <v>457</v>
      </c>
      <c r="I10" s="25" t="s">
        <v>458</v>
      </c>
      <c r="J10" s="26">
        <v>46174.0</v>
      </c>
      <c r="K10" s="26">
        <v>46204.0</v>
      </c>
      <c r="L10" s="25" t="s">
        <v>59</v>
      </c>
      <c r="M10" s="25" t="s">
        <v>61</v>
      </c>
      <c r="N10" s="27">
        <v>142.79</v>
      </c>
      <c r="O10" s="27">
        <f t="shared" si="1"/>
        <v>32.8417</v>
      </c>
      <c r="P10" s="25">
        <f t="shared" si="2"/>
        <v>1</v>
      </c>
      <c r="Q10" s="27" t="s">
        <v>436</v>
      </c>
      <c r="R10" s="25" t="s">
        <v>437</v>
      </c>
      <c r="S10" s="28">
        <v>142.79</v>
      </c>
      <c r="T10" s="25" t="s">
        <v>95</v>
      </c>
      <c r="U10" s="25" t="s">
        <v>206</v>
      </c>
      <c r="V10" s="29">
        <v>0.23</v>
      </c>
      <c r="W10" s="28">
        <v>32.84</v>
      </c>
      <c r="X10" s="28">
        <v>0.0</v>
      </c>
      <c r="Y10" s="25" t="s">
        <v>58</v>
      </c>
      <c r="Z10" s="25"/>
      <c r="AA10" s="25"/>
      <c r="AB10" s="25"/>
      <c r="AC10" s="25"/>
      <c r="AD10" s="25"/>
      <c r="AE10" s="25"/>
      <c r="AF10" s="25"/>
      <c r="AG10" s="25"/>
      <c r="AH10" s="25"/>
    </row>
    <row r="11" ht="14.25" customHeight="1">
      <c r="A11" s="24">
        <v>8977234.0</v>
      </c>
      <c r="B11" s="25" t="s">
        <v>459</v>
      </c>
      <c r="C11" s="25" t="s">
        <v>459</v>
      </c>
      <c r="D11" s="25" t="s">
        <v>203</v>
      </c>
      <c r="E11" s="25" t="s">
        <v>204</v>
      </c>
      <c r="F11" s="25" t="s">
        <v>205</v>
      </c>
      <c r="G11" s="25" t="s">
        <v>69</v>
      </c>
      <c r="H11" s="25" t="s">
        <v>449</v>
      </c>
      <c r="I11" s="25" t="s">
        <v>450</v>
      </c>
      <c r="J11" s="26">
        <v>46185.0</v>
      </c>
      <c r="K11" s="26">
        <v>46215.0</v>
      </c>
      <c r="L11" s="25" t="s">
        <v>59</v>
      </c>
      <c r="M11" s="25" t="s">
        <v>61</v>
      </c>
      <c r="N11" s="27">
        <v>116.37</v>
      </c>
      <c r="O11" s="27">
        <f t="shared" si="1"/>
        <v>174.555</v>
      </c>
      <c r="P11" s="25">
        <f t="shared" si="2"/>
        <v>1</v>
      </c>
      <c r="Q11" s="27" t="s">
        <v>436</v>
      </c>
      <c r="R11" s="25" t="s">
        <v>437</v>
      </c>
      <c r="S11" s="28">
        <v>1047.33</v>
      </c>
      <c r="T11" s="25" t="s">
        <v>95</v>
      </c>
      <c r="U11" s="25" t="s">
        <v>206</v>
      </c>
      <c r="V11" s="29">
        <v>1.5</v>
      </c>
      <c r="W11" s="28">
        <v>1571.04</v>
      </c>
      <c r="X11" s="28">
        <v>1571.04</v>
      </c>
      <c r="Y11" s="25" t="s">
        <v>58</v>
      </c>
      <c r="Z11" s="25"/>
      <c r="AA11" s="25"/>
      <c r="AB11" s="25"/>
      <c r="AC11" s="25"/>
      <c r="AD11" s="25"/>
      <c r="AE11" s="25"/>
      <c r="AF11" s="25"/>
      <c r="AG11" s="25"/>
      <c r="AH11" s="25"/>
    </row>
    <row r="12" ht="14.25" customHeight="1">
      <c r="A12" s="24">
        <v>8307933.0</v>
      </c>
      <c r="B12" s="25" t="s">
        <v>451</v>
      </c>
      <c r="C12" s="25" t="s">
        <v>451</v>
      </c>
      <c r="D12" s="25" t="s">
        <v>410</v>
      </c>
      <c r="E12" s="25" t="s">
        <v>411</v>
      </c>
      <c r="F12" s="25" t="s">
        <v>216</v>
      </c>
      <c r="G12" s="25" t="s">
        <v>69</v>
      </c>
      <c r="H12" s="25" t="s">
        <v>460</v>
      </c>
      <c r="I12" s="25" t="s">
        <v>461</v>
      </c>
      <c r="J12" s="26">
        <v>46204.0</v>
      </c>
      <c r="K12" s="26">
        <v>46235.0</v>
      </c>
      <c r="L12" s="25" t="s">
        <v>59</v>
      </c>
      <c r="M12" s="25" t="s">
        <v>61</v>
      </c>
      <c r="N12" s="27">
        <v>215.55</v>
      </c>
      <c r="O12" s="27">
        <f t="shared" si="1"/>
        <v>51.732</v>
      </c>
      <c r="P12" s="25">
        <f t="shared" si="2"/>
        <v>1</v>
      </c>
      <c r="Q12" s="27" t="s">
        <v>436</v>
      </c>
      <c r="R12" s="25" t="s">
        <v>437</v>
      </c>
      <c r="S12" s="28">
        <v>215.55</v>
      </c>
      <c r="T12" s="25" t="s">
        <v>95</v>
      </c>
      <c r="U12" s="25" t="s">
        <v>206</v>
      </c>
      <c r="V12" s="29">
        <v>0.24</v>
      </c>
      <c r="W12" s="28">
        <v>51.73</v>
      </c>
      <c r="X12" s="28">
        <v>0.0</v>
      </c>
      <c r="Y12" s="25" t="s">
        <v>58</v>
      </c>
      <c r="Z12" s="25"/>
      <c r="AA12" s="25"/>
      <c r="AB12" s="25"/>
      <c r="AC12" s="25"/>
      <c r="AD12" s="25"/>
      <c r="AE12" s="25"/>
      <c r="AF12" s="25"/>
      <c r="AG12" s="25"/>
      <c r="AH12" s="25"/>
    </row>
    <row r="13" ht="14.25" customHeight="1">
      <c r="A13" s="18">
        <v>1.4903711E7</v>
      </c>
      <c r="B13" s="17" t="s">
        <v>462</v>
      </c>
      <c r="C13" s="17" t="s">
        <v>463</v>
      </c>
      <c r="D13" s="17" t="s">
        <v>329</v>
      </c>
      <c r="E13" s="17" t="s">
        <v>330</v>
      </c>
      <c r="F13" s="17" t="s">
        <v>331</v>
      </c>
      <c r="G13" s="17" t="s">
        <v>99</v>
      </c>
      <c r="H13" s="17" t="s">
        <v>449</v>
      </c>
      <c r="I13" s="17" t="s">
        <v>464</v>
      </c>
      <c r="J13" s="30">
        <v>46153.0</v>
      </c>
      <c r="K13" s="30">
        <v>46184.0</v>
      </c>
      <c r="L13" s="17" t="s">
        <v>59</v>
      </c>
      <c r="M13" s="17" t="s">
        <v>61</v>
      </c>
      <c r="N13" s="31">
        <v>67.28</v>
      </c>
      <c r="O13" s="31">
        <f t="shared" si="1"/>
        <v>87.464</v>
      </c>
      <c r="P13" s="17">
        <f t="shared" si="2"/>
        <v>1</v>
      </c>
      <c r="Q13" s="31" t="s">
        <v>436</v>
      </c>
      <c r="R13" s="17" t="s">
        <v>446</v>
      </c>
      <c r="S13" s="19">
        <v>67.28</v>
      </c>
      <c r="T13" s="17" t="s">
        <v>95</v>
      </c>
      <c r="U13" s="17" t="s">
        <v>183</v>
      </c>
      <c r="V13" s="21">
        <v>1.3</v>
      </c>
      <c r="W13" s="19">
        <v>0.0</v>
      </c>
      <c r="X13" s="19">
        <v>-87.46</v>
      </c>
      <c r="Y13" s="17" t="s">
        <v>58</v>
      </c>
      <c r="Z13" s="17"/>
      <c r="AA13" s="17"/>
      <c r="AB13" s="17"/>
      <c r="AC13" s="17"/>
      <c r="AD13" s="17"/>
      <c r="AE13" s="17"/>
      <c r="AF13" s="17"/>
      <c r="AG13" s="17"/>
      <c r="AH13" s="17"/>
    </row>
    <row r="14" ht="14.25" customHeight="1">
      <c r="A14" s="18">
        <v>2.1561165E7</v>
      </c>
      <c r="B14" s="17" t="s">
        <v>465</v>
      </c>
      <c r="C14" s="17" t="s">
        <v>466</v>
      </c>
      <c r="D14" s="17" t="s">
        <v>302</v>
      </c>
      <c r="E14" s="17" t="s">
        <v>303</v>
      </c>
      <c r="F14" s="17" t="s">
        <v>122</v>
      </c>
      <c r="G14" s="17" t="s">
        <v>69</v>
      </c>
      <c r="H14" s="17" t="s">
        <v>452</v>
      </c>
      <c r="I14" s="17" t="s">
        <v>467</v>
      </c>
      <c r="J14" s="30">
        <v>46133.0</v>
      </c>
      <c r="K14" s="30">
        <v>46163.0</v>
      </c>
      <c r="L14" s="17" t="s">
        <v>59</v>
      </c>
      <c r="M14" s="17" t="s">
        <v>61</v>
      </c>
      <c r="N14" s="31">
        <v>152.0</v>
      </c>
      <c r="O14" s="31">
        <f t="shared" si="1"/>
        <v>205.2</v>
      </c>
      <c r="P14" s="17">
        <f t="shared" si="2"/>
        <v>1</v>
      </c>
      <c r="Q14" s="31" t="s">
        <v>436</v>
      </c>
      <c r="R14" s="17" t="s">
        <v>446</v>
      </c>
      <c r="S14" s="19">
        <v>152.0</v>
      </c>
      <c r="T14" s="17" t="s">
        <v>95</v>
      </c>
      <c r="U14" s="17" t="s">
        <v>96</v>
      </c>
      <c r="V14" s="21">
        <v>1.35</v>
      </c>
      <c r="W14" s="19">
        <v>0.0</v>
      </c>
      <c r="X14" s="19">
        <v>-205.2</v>
      </c>
      <c r="Y14" s="17" t="s">
        <v>58</v>
      </c>
      <c r="Z14" s="17"/>
      <c r="AA14" s="17"/>
      <c r="AB14" s="17"/>
      <c r="AC14" s="17"/>
      <c r="AD14" s="17"/>
      <c r="AE14" s="17"/>
      <c r="AF14" s="17"/>
      <c r="AG14" s="17"/>
      <c r="AH14" s="17"/>
    </row>
    <row r="15" ht="14.25" customHeight="1">
      <c r="A15" s="18">
        <v>2.1561165E7</v>
      </c>
      <c r="B15" s="17" t="s">
        <v>465</v>
      </c>
      <c r="C15" s="17" t="s">
        <v>466</v>
      </c>
      <c r="D15" s="17" t="s">
        <v>310</v>
      </c>
      <c r="E15" s="17" t="s">
        <v>311</v>
      </c>
      <c r="F15" s="17" t="s">
        <v>122</v>
      </c>
      <c r="G15" s="17" t="s">
        <v>69</v>
      </c>
      <c r="H15" s="17" t="s">
        <v>452</v>
      </c>
      <c r="I15" s="17" t="s">
        <v>467</v>
      </c>
      <c r="J15" s="30">
        <v>46136.0</v>
      </c>
      <c r="K15" s="30">
        <v>46166.0</v>
      </c>
      <c r="L15" s="17" t="s">
        <v>59</v>
      </c>
      <c r="M15" s="17" t="s">
        <v>61</v>
      </c>
      <c r="N15" s="31">
        <v>82.25</v>
      </c>
      <c r="O15" s="31">
        <f t="shared" si="1"/>
        <v>111.0375</v>
      </c>
      <c r="P15" s="17">
        <f t="shared" si="2"/>
        <v>1</v>
      </c>
      <c r="Q15" s="31" t="s">
        <v>436</v>
      </c>
      <c r="R15" s="17" t="s">
        <v>446</v>
      </c>
      <c r="S15" s="19">
        <v>82.25</v>
      </c>
      <c r="T15" s="17" t="s">
        <v>95</v>
      </c>
      <c r="U15" s="17" t="s">
        <v>96</v>
      </c>
      <c r="V15" s="21">
        <v>1.35</v>
      </c>
      <c r="W15" s="19">
        <v>0.0</v>
      </c>
      <c r="X15" s="19">
        <v>-111.04</v>
      </c>
      <c r="Y15" s="17" t="s">
        <v>58</v>
      </c>
      <c r="Z15" s="17"/>
      <c r="AA15" s="17"/>
      <c r="AB15" s="17"/>
      <c r="AC15" s="17"/>
      <c r="AD15" s="17"/>
      <c r="AE15" s="17"/>
      <c r="AF15" s="17"/>
      <c r="AG15" s="17"/>
      <c r="AH15" s="17"/>
    </row>
    <row r="16" ht="14.25" customHeight="1">
      <c r="A16" s="18">
        <v>2.2106234E7</v>
      </c>
      <c r="B16" s="17" t="s">
        <v>468</v>
      </c>
      <c r="C16" s="17" t="s">
        <v>469</v>
      </c>
      <c r="D16" s="17" t="s">
        <v>307</v>
      </c>
      <c r="E16" s="17" t="s">
        <v>308</v>
      </c>
      <c r="F16" s="17" t="s">
        <v>216</v>
      </c>
      <c r="G16" s="17" t="s">
        <v>54</v>
      </c>
      <c r="H16" s="17" t="s">
        <v>452</v>
      </c>
      <c r="I16" s="17" t="s">
        <v>467</v>
      </c>
      <c r="J16" s="30">
        <v>46154.0</v>
      </c>
      <c r="K16" s="30">
        <v>46185.0</v>
      </c>
      <c r="L16" s="17" t="s">
        <v>59</v>
      </c>
      <c r="M16" s="17" t="s">
        <v>61</v>
      </c>
      <c r="N16" s="31">
        <v>388.13</v>
      </c>
      <c r="O16" s="31">
        <f t="shared" si="1"/>
        <v>523.9755</v>
      </c>
      <c r="P16" s="17">
        <f t="shared" si="2"/>
        <v>1</v>
      </c>
      <c r="Q16" s="31" t="s">
        <v>436</v>
      </c>
      <c r="R16" s="17" t="s">
        <v>446</v>
      </c>
      <c r="S16" s="19">
        <v>388.13</v>
      </c>
      <c r="T16" s="17" t="s">
        <v>95</v>
      </c>
      <c r="U16" s="17" t="s">
        <v>183</v>
      </c>
      <c r="V16" s="21">
        <v>1.35</v>
      </c>
      <c r="W16" s="19">
        <v>0.0</v>
      </c>
      <c r="X16" s="19">
        <v>-523.98</v>
      </c>
      <c r="Y16" s="17" t="s">
        <v>58</v>
      </c>
      <c r="Z16" s="17"/>
      <c r="AA16" s="17"/>
      <c r="AB16" s="17"/>
      <c r="AC16" s="17"/>
      <c r="AD16" s="17"/>
      <c r="AE16" s="17"/>
      <c r="AF16" s="17"/>
      <c r="AG16" s="17"/>
      <c r="AH16" s="17"/>
    </row>
    <row r="17" ht="14.25" customHeight="1">
      <c r="A17" s="18">
        <v>2.1561165E7</v>
      </c>
      <c r="B17" s="17" t="s">
        <v>465</v>
      </c>
      <c r="C17" s="17" t="s">
        <v>466</v>
      </c>
      <c r="D17" s="17" t="s">
        <v>299</v>
      </c>
      <c r="E17" s="17" t="s">
        <v>300</v>
      </c>
      <c r="F17" s="17" t="s">
        <v>122</v>
      </c>
      <c r="G17" s="17" t="s">
        <v>69</v>
      </c>
      <c r="H17" s="17" t="s">
        <v>434</v>
      </c>
      <c r="I17" s="17" t="s">
        <v>470</v>
      </c>
      <c r="J17" s="30">
        <v>46122.0</v>
      </c>
      <c r="K17" s="30">
        <v>46183.0</v>
      </c>
      <c r="L17" s="17" t="s">
        <v>59</v>
      </c>
      <c r="M17" s="17" t="s">
        <v>61</v>
      </c>
      <c r="N17" s="31">
        <v>262.79</v>
      </c>
      <c r="O17" s="31">
        <f t="shared" si="1"/>
        <v>354.7665</v>
      </c>
      <c r="P17" s="17">
        <f t="shared" si="2"/>
        <v>2</v>
      </c>
      <c r="Q17" s="31" t="s">
        <v>436</v>
      </c>
      <c r="R17" s="17" t="s">
        <v>446</v>
      </c>
      <c r="S17" s="19">
        <v>262.79</v>
      </c>
      <c r="T17" s="17" t="s">
        <v>95</v>
      </c>
      <c r="U17" s="17" t="s">
        <v>96</v>
      </c>
      <c r="V17" s="21">
        <v>1.35</v>
      </c>
      <c r="W17" s="19">
        <v>0.0</v>
      </c>
      <c r="X17" s="19">
        <v>-354.77</v>
      </c>
      <c r="Y17" s="17" t="s">
        <v>58</v>
      </c>
      <c r="Z17" s="17"/>
      <c r="AA17" s="17"/>
      <c r="AB17" s="17"/>
      <c r="AC17" s="17"/>
      <c r="AD17" s="17"/>
      <c r="AE17" s="17"/>
      <c r="AF17" s="17"/>
      <c r="AG17" s="17"/>
      <c r="AH17" s="17"/>
    </row>
    <row r="18" ht="14.25" customHeight="1">
      <c r="A18" s="18">
        <v>1.6912722E7</v>
      </c>
      <c r="B18" s="17" t="s">
        <v>471</v>
      </c>
      <c r="C18" s="17" t="s">
        <v>472</v>
      </c>
      <c r="D18" s="17" t="s">
        <v>208</v>
      </c>
      <c r="E18" s="17" t="s">
        <v>209</v>
      </c>
      <c r="F18" s="17" t="s">
        <v>68</v>
      </c>
      <c r="G18" s="17" t="s">
        <v>99</v>
      </c>
      <c r="H18" s="17" t="s">
        <v>473</v>
      </c>
      <c r="I18" s="17" t="s">
        <v>473</v>
      </c>
      <c r="J18" s="30">
        <v>46099.0</v>
      </c>
      <c r="K18" s="30">
        <v>46191.0</v>
      </c>
      <c r="L18" s="17" t="s">
        <v>59</v>
      </c>
      <c r="M18" s="17" t="s">
        <v>61</v>
      </c>
      <c r="N18" s="31">
        <v>34.75</v>
      </c>
      <c r="O18" s="31">
        <f t="shared" si="1"/>
        <v>39.9625</v>
      </c>
      <c r="P18" s="17">
        <f t="shared" si="2"/>
        <v>3</v>
      </c>
      <c r="Q18" s="31" t="s">
        <v>436</v>
      </c>
      <c r="R18" s="17" t="s">
        <v>446</v>
      </c>
      <c r="S18" s="19">
        <v>34.75</v>
      </c>
      <c r="T18" s="17" t="s">
        <v>95</v>
      </c>
      <c r="U18" s="17" t="s">
        <v>96</v>
      </c>
      <c r="V18" s="21">
        <v>1.15</v>
      </c>
      <c r="W18" s="19">
        <v>0.0</v>
      </c>
      <c r="X18" s="19">
        <v>-39.96</v>
      </c>
      <c r="Y18" s="17" t="s">
        <v>58</v>
      </c>
      <c r="Z18" s="17"/>
      <c r="AA18" s="17"/>
      <c r="AB18" s="17"/>
      <c r="AC18" s="17"/>
      <c r="AD18" s="17"/>
      <c r="AE18" s="17"/>
      <c r="AF18" s="17"/>
      <c r="AG18" s="17"/>
      <c r="AH18" s="17"/>
    </row>
    <row r="19" ht="14.25" customHeight="1">
      <c r="A19" s="18">
        <v>371819.0</v>
      </c>
      <c r="B19" s="17" t="s">
        <v>474</v>
      </c>
      <c r="C19" s="17" t="s">
        <v>475</v>
      </c>
      <c r="D19" s="17" t="s">
        <v>164</v>
      </c>
      <c r="E19" s="17" t="s">
        <v>165</v>
      </c>
      <c r="F19" s="17" t="s">
        <v>159</v>
      </c>
      <c r="G19" s="17" t="s">
        <v>69</v>
      </c>
      <c r="H19" s="17" t="s">
        <v>449</v>
      </c>
      <c r="I19" s="17" t="s">
        <v>450</v>
      </c>
      <c r="J19" s="30">
        <v>46106.0</v>
      </c>
      <c r="K19" s="30">
        <v>46198.0</v>
      </c>
      <c r="L19" s="17" t="s">
        <v>59</v>
      </c>
      <c r="M19" s="17" t="s">
        <v>61</v>
      </c>
      <c r="N19" s="31">
        <v>48.24</v>
      </c>
      <c r="O19" s="31">
        <f t="shared" si="1"/>
        <v>72.36</v>
      </c>
      <c r="P19" s="17">
        <f t="shared" si="2"/>
        <v>3</v>
      </c>
      <c r="Q19" s="31" t="s">
        <v>436</v>
      </c>
      <c r="R19" s="17" t="s">
        <v>446</v>
      </c>
      <c r="S19" s="19">
        <v>48.24</v>
      </c>
      <c r="T19" s="17" t="s">
        <v>95</v>
      </c>
      <c r="U19" s="17" t="s">
        <v>96</v>
      </c>
      <c r="V19" s="21">
        <v>1.5</v>
      </c>
      <c r="W19" s="19">
        <v>0.0</v>
      </c>
      <c r="X19" s="19">
        <v>-72.36</v>
      </c>
      <c r="Y19" s="17" t="s">
        <v>58</v>
      </c>
      <c r="Z19" s="17"/>
      <c r="AA19" s="17"/>
      <c r="AB19" s="17"/>
      <c r="AC19" s="17"/>
      <c r="AD19" s="17"/>
      <c r="AE19" s="17"/>
      <c r="AF19" s="17"/>
      <c r="AG19" s="17"/>
      <c r="AH19" s="17"/>
    </row>
    <row r="20" ht="14.25" customHeight="1">
      <c r="A20" s="18">
        <v>371819.0</v>
      </c>
      <c r="B20" s="17" t="s">
        <v>474</v>
      </c>
      <c r="C20" s="17" t="s">
        <v>475</v>
      </c>
      <c r="D20" s="17" t="s">
        <v>160</v>
      </c>
      <c r="E20" s="17" t="s">
        <v>161</v>
      </c>
      <c r="F20" s="17" t="s">
        <v>159</v>
      </c>
      <c r="G20" s="17" t="s">
        <v>69</v>
      </c>
      <c r="H20" s="17" t="s">
        <v>449</v>
      </c>
      <c r="I20" s="17" t="s">
        <v>450</v>
      </c>
      <c r="J20" s="30">
        <v>46105.0</v>
      </c>
      <c r="K20" s="30">
        <v>46197.0</v>
      </c>
      <c r="L20" s="17" t="s">
        <v>59</v>
      </c>
      <c r="M20" s="17" t="s">
        <v>61</v>
      </c>
      <c r="N20" s="31">
        <v>47.39</v>
      </c>
      <c r="O20" s="31">
        <f t="shared" si="1"/>
        <v>71.085</v>
      </c>
      <c r="P20" s="17">
        <f t="shared" si="2"/>
        <v>3</v>
      </c>
      <c r="Q20" s="31" t="s">
        <v>436</v>
      </c>
      <c r="R20" s="17" t="s">
        <v>446</v>
      </c>
      <c r="S20" s="19">
        <v>47.39</v>
      </c>
      <c r="T20" s="17" t="s">
        <v>95</v>
      </c>
      <c r="U20" s="17" t="s">
        <v>96</v>
      </c>
      <c r="V20" s="21">
        <v>1.5</v>
      </c>
      <c r="W20" s="19">
        <v>0.0</v>
      </c>
      <c r="X20" s="19">
        <v>-71.09</v>
      </c>
      <c r="Y20" s="17" t="s">
        <v>58</v>
      </c>
      <c r="Z20" s="17"/>
      <c r="AA20" s="17"/>
      <c r="AB20" s="17"/>
      <c r="AC20" s="17"/>
      <c r="AD20" s="17"/>
      <c r="AE20" s="17"/>
      <c r="AF20" s="17"/>
      <c r="AG20" s="17"/>
      <c r="AH20" s="17"/>
    </row>
    <row r="21" ht="14.25" customHeight="1">
      <c r="A21" s="18" t="s">
        <v>476</v>
      </c>
      <c r="B21" s="17" t="s">
        <v>477</v>
      </c>
      <c r="C21" s="17" t="s">
        <v>478</v>
      </c>
      <c r="D21" s="17" t="s">
        <v>102</v>
      </c>
      <c r="E21" s="17" t="s">
        <v>103</v>
      </c>
      <c r="F21" s="17" t="s">
        <v>68</v>
      </c>
      <c r="G21" s="17" t="s">
        <v>54</v>
      </c>
      <c r="H21" s="17" t="s">
        <v>460</v>
      </c>
      <c r="I21" s="17" t="s">
        <v>479</v>
      </c>
      <c r="J21" s="30">
        <v>46062.0</v>
      </c>
      <c r="K21" s="30">
        <v>46182.0</v>
      </c>
      <c r="L21" s="17" t="s">
        <v>59</v>
      </c>
      <c r="M21" s="17" t="s">
        <v>61</v>
      </c>
      <c r="N21" s="31">
        <v>239.28</v>
      </c>
      <c r="O21" s="31">
        <f t="shared" si="1"/>
        <v>49.53096</v>
      </c>
      <c r="P21" s="17">
        <f t="shared" si="2"/>
        <v>4</v>
      </c>
      <c r="Q21" s="31" t="s">
        <v>436</v>
      </c>
      <c r="R21" s="17" t="s">
        <v>446</v>
      </c>
      <c r="S21" s="19">
        <v>239.28</v>
      </c>
      <c r="T21" s="17" t="s">
        <v>95</v>
      </c>
      <c r="U21" s="17" t="s">
        <v>96</v>
      </c>
      <c r="V21" s="21">
        <v>0.207</v>
      </c>
      <c r="W21" s="19">
        <v>49.53</v>
      </c>
      <c r="X21" s="19">
        <v>0.0</v>
      </c>
      <c r="Y21" s="17" t="s">
        <v>58</v>
      </c>
      <c r="Z21" s="17"/>
      <c r="AA21" s="17"/>
      <c r="AB21" s="17"/>
      <c r="AC21" s="17"/>
      <c r="AD21" s="17"/>
      <c r="AE21" s="17"/>
      <c r="AF21" s="17"/>
      <c r="AG21" s="17"/>
      <c r="AH21" s="17"/>
    </row>
    <row r="22" ht="14.25" customHeight="1">
      <c r="A22" s="18">
        <v>8307933.0</v>
      </c>
      <c r="B22" s="17" t="s">
        <v>451</v>
      </c>
      <c r="C22" s="17" t="s">
        <v>480</v>
      </c>
      <c r="D22" s="17" t="s">
        <v>280</v>
      </c>
      <c r="E22" s="17" t="s">
        <v>281</v>
      </c>
      <c r="F22" s="17" t="s">
        <v>200</v>
      </c>
      <c r="G22" s="17" t="s">
        <v>195</v>
      </c>
      <c r="H22" s="17" t="s">
        <v>452</v>
      </c>
      <c r="I22" s="17" t="s">
        <v>453</v>
      </c>
      <c r="J22" s="30">
        <v>46071.0</v>
      </c>
      <c r="K22" s="30">
        <v>46191.0</v>
      </c>
      <c r="L22" s="17" t="s">
        <v>59</v>
      </c>
      <c r="M22" s="17" t="s">
        <v>61</v>
      </c>
      <c r="N22" s="31">
        <v>156.77</v>
      </c>
      <c r="O22" s="31">
        <f t="shared" si="1"/>
        <v>105.81975</v>
      </c>
      <c r="P22" s="17">
        <f t="shared" si="2"/>
        <v>4</v>
      </c>
      <c r="Q22" s="31" t="s">
        <v>436</v>
      </c>
      <c r="R22" s="17" t="s">
        <v>481</v>
      </c>
      <c r="S22" s="19">
        <v>156.77</v>
      </c>
      <c r="T22" s="17" t="s">
        <v>95</v>
      </c>
      <c r="U22" s="17" t="s">
        <v>96</v>
      </c>
      <c r="V22" s="21">
        <v>0.675</v>
      </c>
      <c r="W22" s="19">
        <v>0.0</v>
      </c>
      <c r="X22" s="19">
        <v>-105.82</v>
      </c>
      <c r="Y22" s="17" t="s">
        <v>58</v>
      </c>
      <c r="Z22" s="17"/>
      <c r="AA22" s="17"/>
      <c r="AB22" s="17"/>
      <c r="AC22" s="17"/>
      <c r="AD22" s="17"/>
      <c r="AE22" s="17"/>
      <c r="AF22" s="17"/>
      <c r="AG22" s="17"/>
      <c r="AH22" s="17"/>
    </row>
    <row r="23" ht="14.25" customHeight="1">
      <c r="A23" s="18">
        <v>1.9681796E7</v>
      </c>
      <c r="B23" s="17" t="s">
        <v>482</v>
      </c>
      <c r="C23" s="17" t="s">
        <v>483</v>
      </c>
      <c r="D23" s="17" t="s">
        <v>415</v>
      </c>
      <c r="E23" s="17" t="s">
        <v>416</v>
      </c>
      <c r="F23" s="17" t="s">
        <v>68</v>
      </c>
      <c r="G23" s="17" t="s">
        <v>54</v>
      </c>
      <c r="H23" s="17" t="s">
        <v>444</v>
      </c>
      <c r="I23" s="17" t="s">
        <v>441</v>
      </c>
      <c r="J23" s="30">
        <v>46023.0</v>
      </c>
      <c r="K23" s="30">
        <v>46174.0</v>
      </c>
      <c r="L23" s="17" t="s">
        <v>59</v>
      </c>
      <c r="M23" s="17" t="s">
        <v>61</v>
      </c>
      <c r="N23" s="31">
        <v>72.33</v>
      </c>
      <c r="O23" s="31">
        <f t="shared" si="1"/>
        <v>37.6116</v>
      </c>
      <c r="P23" s="17">
        <f t="shared" si="2"/>
        <v>5</v>
      </c>
      <c r="Q23" s="31" t="s">
        <v>436</v>
      </c>
      <c r="R23" s="17" t="s">
        <v>481</v>
      </c>
      <c r="S23" s="19">
        <v>72.33</v>
      </c>
      <c r="T23" s="17" t="s">
        <v>95</v>
      </c>
      <c r="U23" s="17" t="s">
        <v>96</v>
      </c>
      <c r="V23" s="21">
        <v>0.52</v>
      </c>
      <c r="W23" s="19">
        <v>37.61</v>
      </c>
      <c r="X23" s="19">
        <v>0.0</v>
      </c>
      <c r="Y23" s="17" t="s">
        <v>58</v>
      </c>
      <c r="Z23" s="17"/>
      <c r="AA23" s="17"/>
      <c r="AB23" s="17"/>
      <c r="AC23" s="17"/>
      <c r="AD23" s="17"/>
      <c r="AE23" s="17"/>
      <c r="AF23" s="17"/>
      <c r="AG23" s="17"/>
      <c r="AH23" s="17"/>
    </row>
    <row r="24" ht="14.25" customHeight="1">
      <c r="A24" s="18">
        <v>2.1283956E7</v>
      </c>
      <c r="B24" s="17" t="s">
        <v>484</v>
      </c>
      <c r="C24" s="17" t="s">
        <v>485</v>
      </c>
      <c r="D24" s="17" t="s">
        <v>398</v>
      </c>
      <c r="E24" s="17" t="s">
        <v>399</v>
      </c>
      <c r="F24" s="17" t="s">
        <v>68</v>
      </c>
      <c r="G24" s="17" t="s">
        <v>99</v>
      </c>
      <c r="H24" s="17" t="s">
        <v>486</v>
      </c>
      <c r="I24" s="17" t="s">
        <v>441</v>
      </c>
      <c r="J24" s="30">
        <v>46005.0</v>
      </c>
      <c r="K24" s="30">
        <v>46187.0</v>
      </c>
      <c r="L24" s="17" t="s">
        <v>59</v>
      </c>
      <c r="M24" s="17" t="s">
        <v>61</v>
      </c>
      <c r="N24" s="31">
        <v>79.28</v>
      </c>
      <c r="O24" s="31">
        <f t="shared" si="1"/>
        <v>41.2256</v>
      </c>
      <c r="P24" s="17">
        <f t="shared" si="2"/>
        <v>6</v>
      </c>
      <c r="Q24" s="31" t="s">
        <v>436</v>
      </c>
      <c r="R24" s="17" t="s">
        <v>481</v>
      </c>
      <c r="S24" s="19">
        <v>79.28</v>
      </c>
      <c r="T24" s="17" t="s">
        <v>95</v>
      </c>
      <c r="U24" s="17" t="s">
        <v>96</v>
      </c>
      <c r="V24" s="21">
        <v>0.52</v>
      </c>
      <c r="W24" s="19">
        <v>41.23</v>
      </c>
      <c r="X24" s="19">
        <v>0.0</v>
      </c>
      <c r="Y24" s="17" t="s">
        <v>58</v>
      </c>
      <c r="Z24" s="17"/>
      <c r="AA24" s="17"/>
      <c r="AB24" s="17"/>
      <c r="AC24" s="17"/>
      <c r="AD24" s="17"/>
      <c r="AE24" s="17"/>
      <c r="AF24" s="17"/>
      <c r="AG24" s="17"/>
      <c r="AH24" s="17"/>
    </row>
    <row r="25" ht="14.25" customHeight="1">
      <c r="A25" s="18" t="s">
        <v>487</v>
      </c>
      <c r="B25" s="17" t="s">
        <v>488</v>
      </c>
      <c r="C25" s="17" t="s">
        <v>489</v>
      </c>
      <c r="D25" s="17" t="s">
        <v>423</v>
      </c>
      <c r="E25" s="17" t="s">
        <v>424</v>
      </c>
      <c r="F25" s="17" t="s">
        <v>68</v>
      </c>
      <c r="G25" s="17" t="s">
        <v>54</v>
      </c>
      <c r="H25" s="17" t="s">
        <v>444</v>
      </c>
      <c r="I25" s="17" t="s">
        <v>441</v>
      </c>
      <c r="J25" s="30">
        <v>45962.0</v>
      </c>
      <c r="K25" s="30">
        <v>46174.0</v>
      </c>
      <c r="L25" s="17" t="s">
        <v>59</v>
      </c>
      <c r="M25" s="17" t="s">
        <v>61</v>
      </c>
      <c r="N25" s="31">
        <v>72.33</v>
      </c>
      <c r="O25" s="31">
        <f t="shared" si="1"/>
        <v>37.6116</v>
      </c>
      <c r="P25" s="17">
        <f t="shared" si="2"/>
        <v>7</v>
      </c>
      <c r="Q25" s="31" t="s">
        <v>436</v>
      </c>
      <c r="R25" s="17" t="s">
        <v>446</v>
      </c>
      <c r="S25" s="19">
        <v>72.33</v>
      </c>
      <c r="T25" s="17" t="s">
        <v>95</v>
      </c>
      <c r="U25" s="17" t="s">
        <v>96</v>
      </c>
      <c r="V25" s="21">
        <v>0.52</v>
      </c>
      <c r="W25" s="19">
        <v>37.61</v>
      </c>
      <c r="X25" s="19">
        <v>0.0</v>
      </c>
      <c r="Y25" s="17" t="s">
        <v>58</v>
      </c>
      <c r="Z25" s="17"/>
      <c r="AA25" s="17"/>
      <c r="AB25" s="17"/>
      <c r="AC25" s="17"/>
      <c r="AD25" s="17"/>
      <c r="AE25" s="17"/>
      <c r="AF25" s="17"/>
      <c r="AG25" s="17"/>
      <c r="AH25" s="17"/>
    </row>
    <row r="26" ht="14.25" customHeight="1">
      <c r="A26" s="18" t="s">
        <v>487</v>
      </c>
      <c r="B26" s="17" t="s">
        <v>488</v>
      </c>
      <c r="C26" s="17" t="s">
        <v>489</v>
      </c>
      <c r="D26" s="17" t="s">
        <v>421</v>
      </c>
      <c r="E26" s="17" t="s">
        <v>422</v>
      </c>
      <c r="F26" s="17" t="s">
        <v>68</v>
      </c>
      <c r="G26" s="17" t="s">
        <v>54</v>
      </c>
      <c r="H26" s="17" t="s">
        <v>490</v>
      </c>
      <c r="I26" s="17" t="s">
        <v>441</v>
      </c>
      <c r="J26" s="30">
        <v>45901.0</v>
      </c>
      <c r="K26" s="30">
        <v>46174.0</v>
      </c>
      <c r="L26" s="17" t="s">
        <v>59</v>
      </c>
      <c r="M26" s="17" t="s">
        <v>61</v>
      </c>
      <c r="N26" s="31">
        <v>63.16</v>
      </c>
      <c r="O26" s="31">
        <f t="shared" si="1"/>
        <v>32.8432</v>
      </c>
      <c r="P26" s="17">
        <f t="shared" si="2"/>
        <v>9</v>
      </c>
      <c r="Q26" s="31" t="s">
        <v>436</v>
      </c>
      <c r="R26" s="17" t="s">
        <v>446</v>
      </c>
      <c r="S26" s="19">
        <v>63.16</v>
      </c>
      <c r="T26" s="17" t="s">
        <v>95</v>
      </c>
      <c r="U26" s="17" t="s">
        <v>96</v>
      </c>
      <c r="V26" s="21">
        <v>0.52</v>
      </c>
      <c r="W26" s="19">
        <v>32.84</v>
      </c>
      <c r="X26" s="19">
        <v>0.0</v>
      </c>
      <c r="Y26" s="17" t="s">
        <v>58</v>
      </c>
      <c r="Z26" s="17"/>
      <c r="AA26" s="17"/>
      <c r="AB26" s="17"/>
      <c r="AC26" s="17"/>
      <c r="AD26" s="17"/>
      <c r="AE26" s="17"/>
      <c r="AF26" s="17"/>
      <c r="AG26" s="17"/>
      <c r="AH26" s="17"/>
    </row>
    <row r="27" ht="14.25" customHeight="1">
      <c r="A27" s="18" t="s">
        <v>487</v>
      </c>
      <c r="B27" s="17" t="s">
        <v>488</v>
      </c>
      <c r="C27" s="17" t="s">
        <v>489</v>
      </c>
      <c r="D27" s="17" t="s">
        <v>418</v>
      </c>
      <c r="E27" s="17" t="s">
        <v>419</v>
      </c>
      <c r="F27" s="17" t="s">
        <v>68</v>
      </c>
      <c r="G27" s="17" t="s">
        <v>69</v>
      </c>
      <c r="H27" s="17" t="s">
        <v>486</v>
      </c>
      <c r="I27" s="17" t="s">
        <v>441</v>
      </c>
      <c r="J27" s="30">
        <v>45870.0</v>
      </c>
      <c r="K27" s="30">
        <v>46174.0</v>
      </c>
      <c r="L27" s="17" t="s">
        <v>59</v>
      </c>
      <c r="M27" s="17" t="s">
        <v>61</v>
      </c>
      <c r="N27" s="31">
        <v>79.28</v>
      </c>
      <c r="O27" s="31">
        <f t="shared" si="1"/>
        <v>41.2256</v>
      </c>
      <c r="P27" s="17">
        <f t="shared" si="2"/>
        <v>10</v>
      </c>
      <c r="Q27" s="31" t="s">
        <v>436</v>
      </c>
      <c r="R27" s="17" t="s">
        <v>481</v>
      </c>
      <c r="S27" s="19">
        <v>79.28</v>
      </c>
      <c r="T27" s="17" t="s">
        <v>95</v>
      </c>
      <c r="U27" s="17" t="s">
        <v>96</v>
      </c>
      <c r="V27" s="21">
        <v>0.52</v>
      </c>
      <c r="W27" s="19">
        <v>41.23</v>
      </c>
      <c r="X27" s="19">
        <v>0.0</v>
      </c>
      <c r="Y27" s="17" t="s">
        <v>58</v>
      </c>
      <c r="Z27" s="17"/>
      <c r="AA27" s="17"/>
      <c r="AB27" s="17"/>
      <c r="AC27" s="17"/>
      <c r="AD27" s="17"/>
      <c r="AE27" s="17"/>
      <c r="AF27" s="17"/>
      <c r="AG27" s="17"/>
      <c r="AH27" s="17"/>
    </row>
    <row r="28" ht="14.25" customHeight="1">
      <c r="A28" s="18">
        <v>1.9491313E7</v>
      </c>
      <c r="B28" s="17" t="s">
        <v>491</v>
      </c>
      <c r="C28" s="17" t="s">
        <v>492</v>
      </c>
      <c r="D28" s="17" t="s">
        <v>135</v>
      </c>
      <c r="E28" s="17" t="s">
        <v>136</v>
      </c>
      <c r="F28" s="17" t="s">
        <v>137</v>
      </c>
      <c r="G28" s="17" t="s">
        <v>99</v>
      </c>
      <c r="H28" s="17" t="s">
        <v>452</v>
      </c>
      <c r="I28" s="17" t="s">
        <v>493</v>
      </c>
      <c r="J28" s="30">
        <v>45880.0</v>
      </c>
      <c r="K28" s="30">
        <v>46184.0</v>
      </c>
      <c r="L28" s="17" t="s">
        <v>59</v>
      </c>
      <c r="M28" s="17" t="s">
        <v>61</v>
      </c>
      <c r="N28" s="31">
        <v>56.05</v>
      </c>
      <c r="O28" s="31">
        <f t="shared" si="1"/>
        <v>75.6675</v>
      </c>
      <c r="P28" s="17">
        <f t="shared" si="2"/>
        <v>10</v>
      </c>
      <c r="Q28" s="31" t="s">
        <v>436</v>
      </c>
      <c r="R28" s="17" t="s">
        <v>481</v>
      </c>
      <c r="S28" s="19">
        <v>56.05</v>
      </c>
      <c r="T28" s="17" t="s">
        <v>95</v>
      </c>
      <c r="U28" s="17" t="s">
        <v>96</v>
      </c>
      <c r="V28" s="21">
        <v>1.35</v>
      </c>
      <c r="W28" s="19">
        <v>75.67</v>
      </c>
      <c r="X28" s="19">
        <v>0.0</v>
      </c>
      <c r="Y28" s="17" t="s">
        <v>58</v>
      </c>
      <c r="Z28" s="17"/>
      <c r="AA28" s="17"/>
      <c r="AB28" s="17"/>
      <c r="AC28" s="17"/>
      <c r="AD28" s="17"/>
      <c r="AE28" s="17"/>
      <c r="AF28" s="17"/>
      <c r="AG28" s="17"/>
      <c r="AH28" s="17"/>
    </row>
    <row r="29" ht="14.25" customHeight="1">
      <c r="A29" s="18" t="s">
        <v>494</v>
      </c>
      <c r="B29" s="17" t="s">
        <v>474</v>
      </c>
      <c r="C29" s="17" t="s">
        <v>475</v>
      </c>
      <c r="D29" s="17" t="s">
        <v>157</v>
      </c>
      <c r="E29" s="17" t="s">
        <v>158</v>
      </c>
      <c r="F29" s="17" t="s">
        <v>159</v>
      </c>
      <c r="G29" s="17" t="s">
        <v>69</v>
      </c>
      <c r="H29" s="17" t="s">
        <v>434</v>
      </c>
      <c r="I29" s="17" t="s">
        <v>495</v>
      </c>
      <c r="J29" s="30">
        <v>45809.0</v>
      </c>
      <c r="K29" s="30">
        <v>46174.0</v>
      </c>
      <c r="L29" s="17" t="s">
        <v>59</v>
      </c>
      <c r="M29" s="17" t="s">
        <v>61</v>
      </c>
      <c r="N29" s="31">
        <v>106.21</v>
      </c>
      <c r="O29" s="31">
        <f t="shared" si="1"/>
        <v>100.8995</v>
      </c>
      <c r="P29" s="17">
        <f t="shared" si="2"/>
        <v>12</v>
      </c>
      <c r="Q29" s="31" t="s">
        <v>436</v>
      </c>
      <c r="R29" s="17" t="s">
        <v>481</v>
      </c>
      <c r="S29" s="19">
        <v>106.21</v>
      </c>
      <c r="T29" s="17" t="s">
        <v>95</v>
      </c>
      <c r="U29" s="17" t="s">
        <v>96</v>
      </c>
      <c r="V29" s="21">
        <v>0.95</v>
      </c>
      <c r="W29" s="19">
        <v>100.9</v>
      </c>
      <c r="X29" s="19">
        <v>0.0</v>
      </c>
      <c r="Y29" s="17" t="s">
        <v>58</v>
      </c>
      <c r="Z29" s="17"/>
      <c r="AA29" s="17"/>
      <c r="AB29" s="17"/>
      <c r="AC29" s="17"/>
      <c r="AD29" s="17"/>
      <c r="AE29" s="17"/>
      <c r="AF29" s="17"/>
      <c r="AG29" s="17"/>
      <c r="AH29" s="17"/>
    </row>
    <row r="30" ht="14.25" customHeight="1">
      <c r="A30" s="18">
        <v>1.9200754E7</v>
      </c>
      <c r="B30" s="17" t="s">
        <v>496</v>
      </c>
      <c r="C30" s="17" t="s">
        <v>497</v>
      </c>
      <c r="D30" s="17" t="s">
        <v>87</v>
      </c>
      <c r="E30" s="17" t="s">
        <v>88</v>
      </c>
      <c r="F30" s="17" t="s">
        <v>68</v>
      </c>
      <c r="G30" s="17" t="s">
        <v>54</v>
      </c>
      <c r="H30" s="17" t="s">
        <v>460</v>
      </c>
      <c r="I30" s="17" t="s">
        <v>458</v>
      </c>
      <c r="J30" s="30">
        <v>45778.0</v>
      </c>
      <c r="K30" s="30">
        <v>46174.0</v>
      </c>
      <c r="L30" s="17" t="s">
        <v>59</v>
      </c>
      <c r="M30" s="17" t="s">
        <v>61</v>
      </c>
      <c r="N30" s="31">
        <v>227.17</v>
      </c>
      <c r="O30" s="31">
        <f t="shared" si="1"/>
        <v>52.2491</v>
      </c>
      <c r="P30" s="17">
        <f t="shared" si="2"/>
        <v>13</v>
      </c>
      <c r="Q30" s="31" t="s">
        <v>436</v>
      </c>
      <c r="R30" s="17" t="s">
        <v>481</v>
      </c>
      <c r="S30" s="19">
        <v>162.27</v>
      </c>
      <c r="T30" s="17" t="s">
        <v>62</v>
      </c>
      <c r="U30" s="17" t="s">
        <v>63</v>
      </c>
      <c r="V30" s="21">
        <v>0.23</v>
      </c>
      <c r="W30" s="19">
        <v>37.32</v>
      </c>
      <c r="X30" s="19">
        <v>0.0</v>
      </c>
      <c r="Y30" s="17" t="s">
        <v>58</v>
      </c>
      <c r="Z30" s="17"/>
      <c r="AA30" s="17"/>
      <c r="AB30" s="17"/>
      <c r="AC30" s="17"/>
      <c r="AD30" s="17"/>
      <c r="AE30" s="17"/>
      <c r="AF30" s="17"/>
      <c r="AG30" s="17"/>
      <c r="AH30" s="17"/>
    </row>
    <row r="31" ht="14.25" customHeight="1">
      <c r="A31" s="18">
        <v>8325282.0</v>
      </c>
      <c r="B31" s="17" t="s">
        <v>498</v>
      </c>
      <c r="C31" s="17" t="s">
        <v>499</v>
      </c>
      <c r="D31" s="17" t="s">
        <v>380</v>
      </c>
      <c r="E31" s="17" t="s">
        <v>381</v>
      </c>
      <c r="F31" s="17" t="s">
        <v>68</v>
      </c>
      <c r="G31" s="17" t="s">
        <v>99</v>
      </c>
      <c r="H31" s="17" t="s">
        <v>440</v>
      </c>
      <c r="I31" s="17" t="s">
        <v>441</v>
      </c>
      <c r="J31" s="30">
        <v>45723.0</v>
      </c>
      <c r="K31" s="30">
        <v>46180.0</v>
      </c>
      <c r="L31" s="17" t="s">
        <v>59</v>
      </c>
      <c r="M31" s="17" t="s">
        <v>61</v>
      </c>
      <c r="N31" s="31">
        <v>36.08</v>
      </c>
      <c r="O31" s="31">
        <f t="shared" si="1"/>
        <v>1.0824</v>
      </c>
      <c r="P31" s="17">
        <f t="shared" si="2"/>
        <v>15</v>
      </c>
      <c r="Q31" s="31" t="s">
        <v>436</v>
      </c>
      <c r="R31" s="17" t="s">
        <v>437</v>
      </c>
      <c r="S31" s="19">
        <v>36.08</v>
      </c>
      <c r="T31" s="17" t="s">
        <v>62</v>
      </c>
      <c r="U31" s="17" t="s">
        <v>63</v>
      </c>
      <c r="V31" s="21">
        <v>0.03</v>
      </c>
      <c r="W31" s="19">
        <v>1.08</v>
      </c>
      <c r="X31" s="19">
        <v>0.0</v>
      </c>
      <c r="Y31" s="17" t="s">
        <v>58</v>
      </c>
      <c r="Z31" s="17"/>
      <c r="AA31" s="17"/>
      <c r="AB31" s="17"/>
      <c r="AC31" s="17"/>
      <c r="AD31" s="17"/>
      <c r="AE31" s="17"/>
      <c r="AF31" s="17"/>
      <c r="AG31" s="17"/>
      <c r="AH31" s="17"/>
    </row>
    <row r="32" ht="14.25" customHeight="1">
      <c r="A32" s="18">
        <v>1.9681796E7</v>
      </c>
      <c r="B32" s="17" t="s">
        <v>482</v>
      </c>
      <c r="C32" s="17" t="s">
        <v>483</v>
      </c>
      <c r="D32" s="17" t="s">
        <v>364</v>
      </c>
      <c r="E32" s="17" t="s">
        <v>365</v>
      </c>
      <c r="F32" s="17" t="s">
        <v>68</v>
      </c>
      <c r="G32" s="17" t="s">
        <v>69</v>
      </c>
      <c r="H32" s="17" t="s">
        <v>486</v>
      </c>
      <c r="I32" s="17" t="s">
        <v>441</v>
      </c>
      <c r="J32" s="30">
        <v>45744.0</v>
      </c>
      <c r="K32" s="30">
        <v>46201.0</v>
      </c>
      <c r="L32" s="17" t="s">
        <v>59</v>
      </c>
      <c r="M32" s="17" t="s">
        <v>61</v>
      </c>
      <c r="N32" s="31">
        <v>81.28</v>
      </c>
      <c r="O32" s="31">
        <f t="shared" si="1"/>
        <v>2.4384</v>
      </c>
      <c r="P32" s="17">
        <f t="shared" si="2"/>
        <v>15</v>
      </c>
      <c r="Q32" s="31" t="s">
        <v>436</v>
      </c>
      <c r="R32" s="17" t="s">
        <v>481</v>
      </c>
      <c r="S32" s="19">
        <v>81.28</v>
      </c>
      <c r="T32" s="17" t="s">
        <v>62</v>
      </c>
      <c r="U32" s="17" t="s">
        <v>63</v>
      </c>
      <c r="V32" s="21">
        <v>0.03</v>
      </c>
      <c r="W32" s="19">
        <v>2.44</v>
      </c>
      <c r="X32" s="19">
        <v>0.0</v>
      </c>
      <c r="Y32" s="17" t="s">
        <v>58</v>
      </c>
      <c r="Z32" s="17"/>
      <c r="AA32" s="17"/>
      <c r="AB32" s="17"/>
      <c r="AC32" s="17"/>
      <c r="AD32" s="17"/>
      <c r="AE32" s="17"/>
      <c r="AF32" s="17"/>
      <c r="AG32" s="17"/>
      <c r="AH32" s="17"/>
    </row>
    <row r="33" ht="14.25" customHeight="1">
      <c r="A33" s="18">
        <v>8325282.0</v>
      </c>
      <c r="B33" s="17" t="s">
        <v>498</v>
      </c>
      <c r="C33" s="17" t="s">
        <v>499</v>
      </c>
      <c r="D33" s="17" t="s">
        <v>378</v>
      </c>
      <c r="E33" s="17" t="s">
        <v>379</v>
      </c>
      <c r="F33" s="17" t="s">
        <v>68</v>
      </c>
      <c r="G33" s="17" t="s">
        <v>195</v>
      </c>
      <c r="H33" s="17" t="s">
        <v>440</v>
      </c>
      <c r="I33" s="17" t="s">
        <v>441</v>
      </c>
      <c r="J33" s="30">
        <v>45735.0</v>
      </c>
      <c r="K33" s="30">
        <v>46192.0</v>
      </c>
      <c r="L33" s="17" t="s">
        <v>59</v>
      </c>
      <c r="M33" s="17" t="s">
        <v>61</v>
      </c>
      <c r="N33" s="31">
        <v>36.08</v>
      </c>
      <c r="O33" s="31">
        <f t="shared" si="1"/>
        <v>1.0824</v>
      </c>
      <c r="P33" s="17">
        <f t="shared" si="2"/>
        <v>15</v>
      </c>
      <c r="Q33" s="31" t="s">
        <v>436</v>
      </c>
      <c r="R33" s="17" t="s">
        <v>481</v>
      </c>
      <c r="S33" s="19">
        <v>36.08</v>
      </c>
      <c r="T33" s="17" t="s">
        <v>62</v>
      </c>
      <c r="U33" s="17" t="s">
        <v>63</v>
      </c>
      <c r="V33" s="21">
        <v>0.03</v>
      </c>
      <c r="W33" s="19">
        <v>1.08</v>
      </c>
      <c r="X33" s="19">
        <v>0.0</v>
      </c>
      <c r="Y33" s="17" t="s">
        <v>58</v>
      </c>
      <c r="Z33" s="17"/>
      <c r="AA33" s="17"/>
      <c r="AB33" s="17"/>
      <c r="AC33" s="17"/>
      <c r="AD33" s="17"/>
      <c r="AE33" s="17"/>
      <c r="AF33" s="17"/>
      <c r="AG33" s="17"/>
      <c r="AH33" s="17"/>
    </row>
    <row r="34" ht="14.25" customHeight="1">
      <c r="A34" s="18">
        <v>8325282.0</v>
      </c>
      <c r="B34" s="17" t="s">
        <v>498</v>
      </c>
      <c r="C34" s="17" t="s">
        <v>499</v>
      </c>
      <c r="D34" s="17" t="s">
        <v>374</v>
      </c>
      <c r="E34" s="17" t="s">
        <v>375</v>
      </c>
      <c r="F34" s="17" t="s">
        <v>68</v>
      </c>
      <c r="G34" s="17" t="s">
        <v>195</v>
      </c>
      <c r="H34" s="17" t="s">
        <v>440</v>
      </c>
      <c r="I34" s="17" t="s">
        <v>441</v>
      </c>
      <c r="J34" s="30">
        <v>45735.0</v>
      </c>
      <c r="K34" s="30">
        <v>46192.0</v>
      </c>
      <c r="L34" s="17" t="s">
        <v>59</v>
      </c>
      <c r="M34" s="17" t="s">
        <v>61</v>
      </c>
      <c r="N34" s="31">
        <v>36.08</v>
      </c>
      <c r="O34" s="31">
        <f t="shared" si="1"/>
        <v>1.0824</v>
      </c>
      <c r="P34" s="17">
        <f t="shared" si="2"/>
        <v>15</v>
      </c>
      <c r="Q34" s="31" t="s">
        <v>436</v>
      </c>
      <c r="R34" s="17" t="s">
        <v>481</v>
      </c>
      <c r="S34" s="19">
        <v>36.08</v>
      </c>
      <c r="T34" s="17" t="s">
        <v>62</v>
      </c>
      <c r="U34" s="17" t="s">
        <v>63</v>
      </c>
      <c r="V34" s="21">
        <v>0.03</v>
      </c>
      <c r="W34" s="19">
        <v>1.08</v>
      </c>
      <c r="X34" s="19">
        <v>0.0</v>
      </c>
      <c r="Y34" s="17" t="s">
        <v>58</v>
      </c>
      <c r="Z34" s="17"/>
      <c r="AA34" s="17"/>
      <c r="AB34" s="17"/>
      <c r="AC34" s="17"/>
      <c r="AD34" s="17"/>
      <c r="AE34" s="17"/>
      <c r="AF34" s="17"/>
      <c r="AG34" s="17"/>
      <c r="AH34" s="17"/>
    </row>
    <row r="35" ht="14.25" customHeight="1">
      <c r="A35" s="18">
        <v>1.8828278E7</v>
      </c>
      <c r="B35" s="17" t="s">
        <v>500</v>
      </c>
      <c r="C35" s="17" t="s">
        <v>501</v>
      </c>
      <c r="D35" s="17" t="s">
        <v>78</v>
      </c>
      <c r="E35" s="17" t="s">
        <v>79</v>
      </c>
      <c r="F35" s="17" t="s">
        <v>68</v>
      </c>
      <c r="G35" s="17" t="s">
        <v>69</v>
      </c>
      <c r="H35" s="17" t="s">
        <v>460</v>
      </c>
      <c r="I35" s="17" t="s">
        <v>458</v>
      </c>
      <c r="J35" s="30">
        <v>45689.0</v>
      </c>
      <c r="K35" s="30">
        <v>46174.0</v>
      </c>
      <c r="L35" s="17" t="s">
        <v>59</v>
      </c>
      <c r="M35" s="17" t="s">
        <v>61</v>
      </c>
      <c r="N35" s="31">
        <v>180.14</v>
      </c>
      <c r="O35" s="31">
        <f t="shared" si="1"/>
        <v>41.4322</v>
      </c>
      <c r="P35" s="17">
        <f t="shared" si="2"/>
        <v>16</v>
      </c>
      <c r="Q35" s="31" t="s">
        <v>436</v>
      </c>
      <c r="R35" s="17" t="s">
        <v>481</v>
      </c>
      <c r="S35" s="19">
        <v>128.67</v>
      </c>
      <c r="T35" s="17" t="s">
        <v>62</v>
      </c>
      <c r="U35" s="17" t="s">
        <v>63</v>
      </c>
      <c r="V35" s="21">
        <v>0.23</v>
      </c>
      <c r="W35" s="19">
        <v>29.59</v>
      </c>
      <c r="X35" s="19">
        <v>0.0</v>
      </c>
      <c r="Y35" s="17" t="s">
        <v>58</v>
      </c>
      <c r="Z35" s="17"/>
      <c r="AA35" s="17"/>
      <c r="AB35" s="17"/>
      <c r="AC35" s="17"/>
      <c r="AD35" s="17"/>
      <c r="AE35" s="17"/>
      <c r="AF35" s="17"/>
      <c r="AG35" s="17"/>
      <c r="AH35" s="17"/>
    </row>
    <row r="36" ht="14.25" customHeight="1">
      <c r="A36" s="18">
        <v>8325282.0</v>
      </c>
      <c r="B36" s="17" t="s">
        <v>498</v>
      </c>
      <c r="C36" s="17" t="s">
        <v>499</v>
      </c>
      <c r="D36" s="17" t="s">
        <v>385</v>
      </c>
      <c r="E36" s="17" t="s">
        <v>386</v>
      </c>
      <c r="F36" s="17" t="s">
        <v>68</v>
      </c>
      <c r="G36" s="17" t="s">
        <v>195</v>
      </c>
      <c r="H36" s="17" t="s">
        <v>486</v>
      </c>
      <c r="I36" s="17" t="s">
        <v>441</v>
      </c>
      <c r="J36" s="30">
        <v>45658.0</v>
      </c>
      <c r="K36" s="30">
        <v>46174.0</v>
      </c>
      <c r="L36" s="17" t="s">
        <v>59</v>
      </c>
      <c r="M36" s="17" t="s">
        <v>61</v>
      </c>
      <c r="N36" s="31">
        <v>68.76</v>
      </c>
      <c r="O36" s="31">
        <f t="shared" si="1"/>
        <v>2.0628</v>
      </c>
      <c r="P36" s="17">
        <f t="shared" si="2"/>
        <v>17</v>
      </c>
      <c r="Q36" s="31" t="s">
        <v>436</v>
      </c>
      <c r="R36" s="17" t="s">
        <v>481</v>
      </c>
      <c r="S36" s="19">
        <v>68.76</v>
      </c>
      <c r="T36" s="17" t="s">
        <v>62</v>
      </c>
      <c r="U36" s="17" t="s">
        <v>63</v>
      </c>
      <c r="V36" s="21">
        <v>0.03</v>
      </c>
      <c r="W36" s="19">
        <v>2.06</v>
      </c>
      <c r="X36" s="19">
        <v>0.0</v>
      </c>
      <c r="Y36" s="17" t="s">
        <v>58</v>
      </c>
      <c r="Z36" s="17"/>
      <c r="AA36" s="17"/>
      <c r="AB36" s="17"/>
      <c r="AC36" s="17"/>
      <c r="AD36" s="17"/>
      <c r="AE36" s="17"/>
      <c r="AF36" s="17"/>
      <c r="AG36" s="17"/>
      <c r="AH36" s="17"/>
    </row>
    <row r="37" ht="14.25" customHeight="1">
      <c r="A37" s="18" t="s">
        <v>494</v>
      </c>
      <c r="B37" s="17" t="s">
        <v>474</v>
      </c>
      <c r="C37" s="17" t="s">
        <v>475</v>
      </c>
      <c r="D37" s="17" t="s">
        <v>390</v>
      </c>
      <c r="E37" s="17" t="s">
        <v>391</v>
      </c>
      <c r="F37" s="17" t="s">
        <v>279</v>
      </c>
      <c r="G37" s="17" t="s">
        <v>54</v>
      </c>
      <c r="H37" s="17" t="s">
        <v>490</v>
      </c>
      <c r="I37" s="17" t="s">
        <v>441</v>
      </c>
      <c r="J37" s="30">
        <v>45672.0</v>
      </c>
      <c r="K37" s="30">
        <v>46188.0</v>
      </c>
      <c r="L37" s="17" t="s">
        <v>59</v>
      </c>
      <c r="M37" s="17" t="s">
        <v>61</v>
      </c>
      <c r="N37" s="31">
        <v>59.14</v>
      </c>
      <c r="O37" s="31">
        <f t="shared" si="1"/>
        <v>1.7742</v>
      </c>
      <c r="P37" s="17">
        <f t="shared" si="2"/>
        <v>17</v>
      </c>
      <c r="Q37" s="31" t="s">
        <v>436</v>
      </c>
      <c r="R37" s="17" t="s">
        <v>481</v>
      </c>
      <c r="S37" s="19">
        <v>59.14</v>
      </c>
      <c r="T37" s="17" t="s">
        <v>62</v>
      </c>
      <c r="U37" s="17" t="s">
        <v>63</v>
      </c>
      <c r="V37" s="21">
        <v>0.03</v>
      </c>
      <c r="W37" s="19">
        <v>1.77</v>
      </c>
      <c r="X37" s="19">
        <v>0.0</v>
      </c>
      <c r="Y37" s="17" t="s">
        <v>58</v>
      </c>
      <c r="Z37" s="17"/>
      <c r="AA37" s="17"/>
      <c r="AB37" s="17"/>
      <c r="AC37" s="17"/>
      <c r="AD37" s="17"/>
      <c r="AE37" s="17"/>
      <c r="AF37" s="17"/>
      <c r="AG37" s="17"/>
      <c r="AH37" s="17"/>
    </row>
    <row r="38" ht="14.25" customHeight="1">
      <c r="A38" s="18">
        <v>1.8828278E7</v>
      </c>
      <c r="B38" s="17" t="s">
        <v>500</v>
      </c>
      <c r="C38" s="17" t="s">
        <v>501</v>
      </c>
      <c r="D38" s="17" t="s">
        <v>74</v>
      </c>
      <c r="E38" s="17" t="s">
        <v>75</v>
      </c>
      <c r="F38" s="17" t="s">
        <v>68</v>
      </c>
      <c r="G38" s="17" t="s">
        <v>69</v>
      </c>
      <c r="H38" s="17" t="s">
        <v>460</v>
      </c>
      <c r="I38" s="17" t="s">
        <v>458</v>
      </c>
      <c r="J38" s="30">
        <v>45658.0</v>
      </c>
      <c r="K38" s="30">
        <v>46174.0</v>
      </c>
      <c r="L38" s="17" t="s">
        <v>59</v>
      </c>
      <c r="M38" s="17" t="s">
        <v>61</v>
      </c>
      <c r="N38" s="31">
        <v>211.74</v>
      </c>
      <c r="O38" s="31">
        <f t="shared" si="1"/>
        <v>48.7002</v>
      </c>
      <c r="P38" s="17">
        <f t="shared" si="2"/>
        <v>17</v>
      </c>
      <c r="Q38" s="31" t="s">
        <v>436</v>
      </c>
      <c r="R38" s="17" t="s">
        <v>481</v>
      </c>
      <c r="S38" s="19">
        <v>146.42</v>
      </c>
      <c r="T38" s="17" t="s">
        <v>62</v>
      </c>
      <c r="U38" s="17" t="s">
        <v>63</v>
      </c>
      <c r="V38" s="21">
        <v>0.23</v>
      </c>
      <c r="W38" s="19">
        <v>33.68</v>
      </c>
      <c r="X38" s="19">
        <v>0.0</v>
      </c>
      <c r="Y38" s="17" t="s">
        <v>58</v>
      </c>
      <c r="Z38" s="17"/>
      <c r="AA38" s="17"/>
      <c r="AB38" s="17"/>
      <c r="AC38" s="17"/>
      <c r="AD38" s="17"/>
      <c r="AE38" s="17"/>
      <c r="AF38" s="17"/>
      <c r="AG38" s="17"/>
      <c r="AH38" s="17"/>
    </row>
    <row r="39" ht="14.25" customHeight="1">
      <c r="A39" s="18">
        <v>1.7094718E7</v>
      </c>
      <c r="B39" s="17" t="s">
        <v>502</v>
      </c>
      <c r="C39" s="17" t="s">
        <v>503</v>
      </c>
      <c r="D39" s="17" t="s">
        <v>82</v>
      </c>
      <c r="E39" s="17" t="s">
        <v>83</v>
      </c>
      <c r="F39" s="17" t="s">
        <v>68</v>
      </c>
      <c r="G39" s="17" t="s">
        <v>54</v>
      </c>
      <c r="H39" s="17" t="s">
        <v>460</v>
      </c>
      <c r="I39" s="17" t="s">
        <v>458</v>
      </c>
      <c r="J39" s="30">
        <v>45658.0</v>
      </c>
      <c r="K39" s="30">
        <v>46174.0</v>
      </c>
      <c r="L39" s="17" t="s">
        <v>59</v>
      </c>
      <c r="M39" s="17" t="s">
        <v>61</v>
      </c>
      <c r="N39" s="31">
        <v>279.66</v>
      </c>
      <c r="O39" s="31">
        <f t="shared" si="1"/>
        <v>64.3218</v>
      </c>
      <c r="P39" s="17">
        <f t="shared" si="2"/>
        <v>17</v>
      </c>
      <c r="Q39" s="31" t="s">
        <v>436</v>
      </c>
      <c r="R39" s="17" t="s">
        <v>481</v>
      </c>
      <c r="S39" s="19">
        <v>192.36</v>
      </c>
      <c r="T39" s="17" t="s">
        <v>62</v>
      </c>
      <c r="U39" s="17" t="s">
        <v>63</v>
      </c>
      <c r="V39" s="21">
        <v>0.23</v>
      </c>
      <c r="W39" s="19">
        <v>44.24</v>
      </c>
      <c r="X39" s="19">
        <v>0.0</v>
      </c>
      <c r="Y39" s="17" t="s">
        <v>58</v>
      </c>
      <c r="Z39" s="17"/>
      <c r="AA39" s="17"/>
      <c r="AB39" s="17"/>
      <c r="AC39" s="17"/>
      <c r="AD39" s="17"/>
      <c r="AE39" s="17"/>
      <c r="AF39" s="17"/>
      <c r="AG39" s="17"/>
      <c r="AH39" s="17"/>
    </row>
    <row r="40" ht="14.25" customHeight="1">
      <c r="A40" s="18">
        <v>8325282.0</v>
      </c>
      <c r="B40" s="17" t="s">
        <v>498</v>
      </c>
      <c r="C40" s="17" t="s">
        <v>499</v>
      </c>
      <c r="D40" s="17" t="s">
        <v>383</v>
      </c>
      <c r="E40" s="17" t="s">
        <v>384</v>
      </c>
      <c r="F40" s="17" t="s">
        <v>68</v>
      </c>
      <c r="G40" s="17" t="s">
        <v>54</v>
      </c>
      <c r="H40" s="17" t="s">
        <v>440</v>
      </c>
      <c r="I40" s="17" t="s">
        <v>441</v>
      </c>
      <c r="J40" s="30">
        <v>45658.0</v>
      </c>
      <c r="K40" s="30">
        <v>46174.0</v>
      </c>
      <c r="L40" s="17" t="s">
        <v>59</v>
      </c>
      <c r="M40" s="17" t="s">
        <v>61</v>
      </c>
      <c r="N40" s="31">
        <v>36.08</v>
      </c>
      <c r="O40" s="31">
        <f t="shared" si="1"/>
        <v>1.0824</v>
      </c>
      <c r="P40" s="17">
        <f t="shared" si="2"/>
        <v>17</v>
      </c>
      <c r="Q40" s="31" t="s">
        <v>436</v>
      </c>
      <c r="R40" s="17" t="s">
        <v>481</v>
      </c>
      <c r="S40" s="19">
        <v>36.08</v>
      </c>
      <c r="T40" s="17" t="s">
        <v>62</v>
      </c>
      <c r="U40" s="17" t="s">
        <v>63</v>
      </c>
      <c r="V40" s="21">
        <v>0.03</v>
      </c>
      <c r="W40" s="19">
        <v>1.08</v>
      </c>
      <c r="X40" s="19">
        <v>0.0</v>
      </c>
      <c r="Y40" s="17" t="s">
        <v>58</v>
      </c>
      <c r="Z40" s="17"/>
      <c r="AA40" s="17"/>
      <c r="AB40" s="17"/>
      <c r="AC40" s="17"/>
      <c r="AD40" s="17"/>
      <c r="AE40" s="17"/>
      <c r="AF40" s="17"/>
      <c r="AG40" s="17"/>
      <c r="AH40" s="17"/>
    </row>
    <row r="41" ht="14.25" customHeight="1">
      <c r="A41" s="13">
        <v>1.570725E7</v>
      </c>
      <c r="B41" s="1" t="s">
        <v>504</v>
      </c>
      <c r="C41" s="1" t="s">
        <v>505</v>
      </c>
      <c r="D41" s="1" t="s">
        <v>178</v>
      </c>
      <c r="E41" s="1" t="s">
        <v>179</v>
      </c>
      <c r="F41" s="1" t="s">
        <v>110</v>
      </c>
      <c r="G41" s="1" t="s">
        <v>180</v>
      </c>
      <c r="H41" s="1" t="s">
        <v>506</v>
      </c>
      <c r="I41" s="1" t="s">
        <v>507</v>
      </c>
      <c r="J41" s="32">
        <v>46143.0</v>
      </c>
      <c r="K41" s="32">
        <v>46174.0</v>
      </c>
      <c r="L41" s="1" t="s">
        <v>59</v>
      </c>
      <c r="M41" s="1" t="s">
        <v>61</v>
      </c>
      <c r="N41" s="33">
        <v>224.25</v>
      </c>
      <c r="O41" s="33">
        <f t="shared" si="1"/>
        <v>282.555</v>
      </c>
      <c r="P41" s="1">
        <f t="shared" si="2"/>
        <v>1</v>
      </c>
      <c r="Q41" s="31" t="s">
        <v>436</v>
      </c>
      <c r="R41" s="1" t="s">
        <v>437</v>
      </c>
      <c r="S41" s="14">
        <v>218.87</v>
      </c>
      <c r="T41" s="1" t="s">
        <v>95</v>
      </c>
      <c r="U41" s="1" t="s">
        <v>183</v>
      </c>
      <c r="V41" s="16">
        <v>1.26</v>
      </c>
      <c r="W41" s="14">
        <v>0.0</v>
      </c>
      <c r="X41" s="14">
        <v>-275.78</v>
      </c>
      <c r="Y41" s="1" t="s">
        <v>58</v>
      </c>
      <c r="Z41" s="1"/>
      <c r="AA41" s="1"/>
      <c r="AB41" s="1"/>
      <c r="AC41" s="1"/>
      <c r="AD41" s="1"/>
      <c r="AE41" s="1"/>
      <c r="AF41" s="1"/>
      <c r="AG41" s="1"/>
      <c r="AH41" s="1"/>
    </row>
    <row r="42" ht="14.25" customHeight="1">
      <c r="A42" s="13">
        <v>8977234.0</v>
      </c>
      <c r="B42" s="1" t="s">
        <v>459</v>
      </c>
      <c r="C42" s="1" t="s">
        <v>508</v>
      </c>
      <c r="D42" s="1" t="s">
        <v>198</v>
      </c>
      <c r="E42" s="1" t="s">
        <v>199</v>
      </c>
      <c r="F42" s="1" t="s">
        <v>200</v>
      </c>
      <c r="G42" s="1" t="s">
        <v>99</v>
      </c>
      <c r="H42" s="1" t="s">
        <v>455</v>
      </c>
      <c r="I42" s="1" t="s">
        <v>450</v>
      </c>
      <c r="J42" s="32">
        <v>46125.0</v>
      </c>
      <c r="K42" s="32">
        <v>46186.0</v>
      </c>
      <c r="L42" s="1" t="s">
        <v>59</v>
      </c>
      <c r="M42" s="1" t="s">
        <v>61</v>
      </c>
      <c r="N42" s="33">
        <v>98.04</v>
      </c>
      <c r="O42" s="33">
        <f t="shared" si="1"/>
        <v>147.06</v>
      </c>
      <c r="P42" s="1">
        <f t="shared" si="2"/>
        <v>2</v>
      </c>
      <c r="Q42" s="31" t="s">
        <v>436</v>
      </c>
      <c r="R42" s="1" t="s">
        <v>437</v>
      </c>
      <c r="S42" s="14">
        <v>98.04</v>
      </c>
      <c r="T42" s="1" t="s">
        <v>95</v>
      </c>
      <c r="U42" s="1" t="s">
        <v>96</v>
      </c>
      <c r="V42" s="16">
        <v>1.5</v>
      </c>
      <c r="W42" s="14">
        <v>0.0</v>
      </c>
      <c r="X42" s="14">
        <v>-147.06</v>
      </c>
      <c r="Y42" s="1" t="s">
        <v>58</v>
      </c>
      <c r="Z42" s="1"/>
      <c r="AA42" s="1"/>
      <c r="AB42" s="1"/>
      <c r="AC42" s="1"/>
      <c r="AD42" s="1"/>
      <c r="AE42" s="1"/>
      <c r="AF42" s="1"/>
      <c r="AG42" s="1"/>
      <c r="AH42" s="1"/>
    </row>
    <row r="43" ht="14.25" customHeight="1">
      <c r="A43" s="13">
        <v>8977234.0</v>
      </c>
      <c r="B43" s="1" t="s">
        <v>459</v>
      </c>
      <c r="C43" s="1" t="s">
        <v>508</v>
      </c>
      <c r="D43" s="1" t="s">
        <v>193</v>
      </c>
      <c r="E43" s="1" t="s">
        <v>194</v>
      </c>
      <c r="F43" s="1" t="s">
        <v>137</v>
      </c>
      <c r="G43" s="1" t="s">
        <v>195</v>
      </c>
      <c r="H43" s="1" t="s">
        <v>452</v>
      </c>
      <c r="I43" s="1" t="s">
        <v>453</v>
      </c>
      <c r="J43" s="32">
        <v>46130.0</v>
      </c>
      <c r="K43" s="32">
        <v>46191.0</v>
      </c>
      <c r="L43" s="1" t="s">
        <v>59</v>
      </c>
      <c r="M43" s="1" t="s">
        <v>61</v>
      </c>
      <c r="N43" s="33">
        <v>179.85</v>
      </c>
      <c r="O43" s="33">
        <f t="shared" si="1"/>
        <v>121.39875</v>
      </c>
      <c r="P43" s="1">
        <f t="shared" si="2"/>
        <v>2</v>
      </c>
      <c r="Q43" s="31" t="s">
        <v>436</v>
      </c>
      <c r="R43" s="1" t="s">
        <v>437</v>
      </c>
      <c r="S43" s="14">
        <v>179.85</v>
      </c>
      <c r="T43" s="1" t="s">
        <v>95</v>
      </c>
      <c r="U43" s="1" t="s">
        <v>96</v>
      </c>
      <c r="V43" s="16">
        <v>0.675</v>
      </c>
      <c r="W43" s="14">
        <v>0.0</v>
      </c>
      <c r="X43" s="14">
        <v>-121.4</v>
      </c>
      <c r="Y43" s="1" t="s">
        <v>58</v>
      </c>
      <c r="Z43" s="1"/>
      <c r="AA43" s="1"/>
      <c r="AB43" s="1"/>
      <c r="AC43" s="1"/>
      <c r="AD43" s="1"/>
      <c r="AE43" s="1"/>
      <c r="AF43" s="1"/>
      <c r="AG43" s="1"/>
      <c r="AH43" s="1"/>
    </row>
    <row r="44" ht="14.25" customHeight="1">
      <c r="A44" s="34" t="s">
        <v>509</v>
      </c>
      <c r="B44" s="35" t="s">
        <v>510</v>
      </c>
      <c r="C44" s="35" t="s">
        <v>511</v>
      </c>
      <c r="D44" s="35" t="s">
        <v>130</v>
      </c>
      <c r="E44" s="35" t="s">
        <v>131</v>
      </c>
      <c r="F44" s="35" t="s">
        <v>122</v>
      </c>
      <c r="G44" s="35" t="s">
        <v>69</v>
      </c>
      <c r="H44" s="35" t="s">
        <v>449</v>
      </c>
      <c r="I44" s="35" t="s">
        <v>450</v>
      </c>
      <c r="J44" s="36">
        <v>46128.0</v>
      </c>
      <c r="K44" s="36">
        <v>46189.0</v>
      </c>
      <c r="L44" s="35" t="s">
        <v>59</v>
      </c>
      <c r="M44" s="35" t="s">
        <v>61</v>
      </c>
      <c r="N44" s="37">
        <v>117.99</v>
      </c>
      <c r="O44" s="37">
        <f t="shared" si="1"/>
        <v>176.985</v>
      </c>
      <c r="P44" s="35">
        <f t="shared" si="2"/>
        <v>2</v>
      </c>
      <c r="Q44" s="38" t="s">
        <v>436</v>
      </c>
      <c r="R44" s="35" t="s">
        <v>437</v>
      </c>
      <c r="S44" s="39">
        <v>117.99</v>
      </c>
      <c r="T44" s="35" t="s">
        <v>95</v>
      </c>
      <c r="U44" s="35" t="s">
        <v>96</v>
      </c>
      <c r="V44" s="40">
        <v>1.5</v>
      </c>
      <c r="W44" s="39">
        <v>0.0</v>
      </c>
      <c r="X44" s="39">
        <v>-176.99</v>
      </c>
      <c r="Y44" s="35" t="s">
        <v>58</v>
      </c>
      <c r="Z44" s="35"/>
      <c r="AA44" s="35"/>
      <c r="AB44" s="35"/>
      <c r="AC44" s="35"/>
      <c r="AD44" s="35"/>
      <c r="AE44" s="35"/>
      <c r="AF44" s="35"/>
      <c r="AG44" s="35"/>
      <c r="AH44" s="35"/>
    </row>
    <row r="45" ht="14.25" customHeight="1">
      <c r="A45" s="13">
        <v>2.0703542E7</v>
      </c>
      <c r="B45" s="1" t="s">
        <v>512</v>
      </c>
      <c r="C45" s="1" t="s">
        <v>513</v>
      </c>
      <c r="D45" s="1" t="s">
        <v>315</v>
      </c>
      <c r="E45" s="1" t="s">
        <v>316</v>
      </c>
      <c r="F45" s="1" t="s">
        <v>200</v>
      </c>
      <c r="G45" s="1" t="s">
        <v>69</v>
      </c>
      <c r="H45" s="1" t="s">
        <v>506</v>
      </c>
      <c r="I45" s="1" t="s">
        <v>507</v>
      </c>
      <c r="J45" s="32">
        <v>46087.0</v>
      </c>
      <c r="K45" s="32">
        <v>46179.0</v>
      </c>
      <c r="L45" s="1" t="s">
        <v>59</v>
      </c>
      <c r="M45" s="1" t="s">
        <v>61</v>
      </c>
      <c r="N45" s="33">
        <v>44.94</v>
      </c>
      <c r="O45" s="33">
        <f t="shared" si="1"/>
        <v>56.6244</v>
      </c>
      <c r="P45" s="1">
        <f t="shared" si="2"/>
        <v>3</v>
      </c>
      <c r="Q45" s="31" t="s">
        <v>436</v>
      </c>
      <c r="R45" s="1" t="s">
        <v>437</v>
      </c>
      <c r="S45" s="14">
        <v>39.56</v>
      </c>
      <c r="T45" s="1" t="s">
        <v>95</v>
      </c>
      <c r="U45" s="1" t="s">
        <v>96</v>
      </c>
      <c r="V45" s="16">
        <v>1.26</v>
      </c>
      <c r="W45" s="14">
        <v>0.0</v>
      </c>
      <c r="X45" s="14">
        <v>-49.85</v>
      </c>
      <c r="Y45" s="1" t="s">
        <v>58</v>
      </c>
      <c r="Z45" s="1"/>
      <c r="AA45" s="1"/>
      <c r="AB45" s="1"/>
      <c r="AC45" s="1"/>
      <c r="AD45" s="1"/>
      <c r="AE45" s="1"/>
      <c r="AF45" s="1"/>
      <c r="AG45" s="1"/>
      <c r="AH45" s="1"/>
    </row>
    <row r="46" ht="14.25" customHeight="1">
      <c r="A46" s="13">
        <v>1.9491313E7</v>
      </c>
      <c r="B46" s="1" t="s">
        <v>491</v>
      </c>
      <c r="C46" s="1" t="s">
        <v>492</v>
      </c>
      <c r="D46" s="1" t="s">
        <v>140</v>
      </c>
      <c r="E46" s="1" t="s">
        <v>141</v>
      </c>
      <c r="F46" s="1" t="s">
        <v>137</v>
      </c>
      <c r="G46" s="1" t="s">
        <v>69</v>
      </c>
      <c r="H46" s="1" t="s">
        <v>449</v>
      </c>
      <c r="I46" s="1" t="s">
        <v>450</v>
      </c>
      <c r="J46" s="32">
        <v>46082.0</v>
      </c>
      <c r="K46" s="32">
        <v>46174.0</v>
      </c>
      <c r="L46" s="1" t="s">
        <v>59</v>
      </c>
      <c r="M46" s="1" t="s">
        <v>61</v>
      </c>
      <c r="N46" s="33">
        <v>92.12</v>
      </c>
      <c r="O46" s="33">
        <f t="shared" si="1"/>
        <v>138.18</v>
      </c>
      <c r="P46" s="1">
        <f t="shared" si="2"/>
        <v>3</v>
      </c>
      <c r="Q46" s="31" t="s">
        <v>436</v>
      </c>
      <c r="R46" s="1" t="s">
        <v>437</v>
      </c>
      <c r="S46" s="14">
        <v>92.12</v>
      </c>
      <c r="T46" s="1" t="s">
        <v>95</v>
      </c>
      <c r="U46" s="1" t="s">
        <v>96</v>
      </c>
      <c r="V46" s="16">
        <v>1.5</v>
      </c>
      <c r="W46" s="14">
        <v>0.0</v>
      </c>
      <c r="X46" s="14">
        <v>-138.18</v>
      </c>
      <c r="Y46" s="1" t="s">
        <v>58</v>
      </c>
      <c r="Z46" s="1"/>
      <c r="AA46" s="1"/>
      <c r="AB46" s="1"/>
      <c r="AC46" s="1"/>
      <c r="AD46" s="1"/>
      <c r="AE46" s="1"/>
      <c r="AF46" s="1"/>
      <c r="AG46" s="1"/>
      <c r="AH46" s="1"/>
    </row>
    <row r="47" ht="14.25" customHeight="1">
      <c r="A47" s="13">
        <v>1.6170994E7</v>
      </c>
      <c r="B47" s="1" t="s">
        <v>514</v>
      </c>
      <c r="C47" s="1" t="s">
        <v>515</v>
      </c>
      <c r="D47" s="1" t="s">
        <v>238</v>
      </c>
      <c r="E47" s="1" t="s">
        <v>239</v>
      </c>
      <c r="F47" s="1" t="s">
        <v>137</v>
      </c>
      <c r="G47" s="1" t="s">
        <v>69</v>
      </c>
      <c r="H47" s="1" t="s">
        <v>434</v>
      </c>
      <c r="I47" s="1" t="s">
        <v>516</v>
      </c>
      <c r="J47" s="32">
        <v>46094.0</v>
      </c>
      <c r="K47" s="32">
        <v>46186.0</v>
      </c>
      <c r="L47" s="1" t="s">
        <v>59</v>
      </c>
      <c r="M47" s="1" t="s">
        <v>61</v>
      </c>
      <c r="N47" s="33">
        <v>83.99</v>
      </c>
      <c r="O47" s="33">
        <f t="shared" si="1"/>
        <v>113.3865</v>
      </c>
      <c r="P47" s="1">
        <f t="shared" si="2"/>
        <v>3</v>
      </c>
      <c r="Q47" s="31" t="s">
        <v>436</v>
      </c>
      <c r="R47" s="1" t="s">
        <v>437</v>
      </c>
      <c r="S47" s="14">
        <v>83.99</v>
      </c>
      <c r="T47" s="1" t="s">
        <v>95</v>
      </c>
      <c r="U47" s="1" t="s">
        <v>96</v>
      </c>
      <c r="V47" s="16">
        <v>1.35</v>
      </c>
      <c r="W47" s="14">
        <v>0.0</v>
      </c>
      <c r="X47" s="14">
        <v>-113.39</v>
      </c>
      <c r="Y47" s="1" t="s">
        <v>58</v>
      </c>
      <c r="Z47" s="1"/>
      <c r="AA47" s="1"/>
      <c r="AB47" s="1"/>
      <c r="AC47" s="1"/>
      <c r="AD47" s="1"/>
      <c r="AE47" s="1"/>
      <c r="AF47" s="1"/>
      <c r="AG47" s="1"/>
      <c r="AH47" s="1"/>
    </row>
    <row r="48" ht="14.25" customHeight="1">
      <c r="A48" s="13">
        <v>1.8754354E7</v>
      </c>
      <c r="B48" s="1" t="s">
        <v>517</v>
      </c>
      <c r="C48" s="1" t="s">
        <v>518</v>
      </c>
      <c r="D48" s="1" t="s">
        <v>126</v>
      </c>
      <c r="E48" s="1" t="s">
        <v>127</v>
      </c>
      <c r="F48" s="1" t="s">
        <v>68</v>
      </c>
      <c r="G48" s="1" t="s">
        <v>69</v>
      </c>
      <c r="H48" s="1" t="s">
        <v>452</v>
      </c>
      <c r="I48" s="1" t="s">
        <v>467</v>
      </c>
      <c r="J48" s="32">
        <v>46082.0</v>
      </c>
      <c r="K48" s="32">
        <v>46174.0</v>
      </c>
      <c r="L48" s="1" t="s">
        <v>59</v>
      </c>
      <c r="M48" s="1" t="s">
        <v>61</v>
      </c>
      <c r="N48" s="33">
        <v>213.38</v>
      </c>
      <c r="O48" s="33">
        <f t="shared" si="1"/>
        <v>288.063</v>
      </c>
      <c r="P48" s="1">
        <f t="shared" si="2"/>
        <v>3</v>
      </c>
      <c r="Q48" s="31" t="s">
        <v>436</v>
      </c>
      <c r="R48" s="1" t="s">
        <v>437</v>
      </c>
      <c r="S48" s="14">
        <v>213.38</v>
      </c>
      <c r="T48" s="1" t="s">
        <v>95</v>
      </c>
      <c r="U48" s="1" t="s">
        <v>96</v>
      </c>
      <c r="V48" s="16">
        <v>1.35</v>
      </c>
      <c r="W48" s="14">
        <v>0.0</v>
      </c>
      <c r="X48" s="14">
        <v>-288.06</v>
      </c>
      <c r="Y48" s="1" t="s">
        <v>58</v>
      </c>
      <c r="Z48" s="1"/>
      <c r="AA48" s="1"/>
      <c r="AB48" s="1"/>
      <c r="AC48" s="1"/>
      <c r="AD48" s="1"/>
      <c r="AE48" s="1"/>
      <c r="AF48" s="1"/>
      <c r="AG48" s="1"/>
      <c r="AH48" s="1"/>
    </row>
    <row r="49" ht="14.25" customHeight="1">
      <c r="A49" s="13">
        <v>9213293.0</v>
      </c>
      <c r="B49" s="1" t="s">
        <v>433</v>
      </c>
      <c r="C49" s="1" t="s">
        <v>519</v>
      </c>
      <c r="D49" s="1" t="s">
        <v>244</v>
      </c>
      <c r="E49" s="1" t="s">
        <v>245</v>
      </c>
      <c r="F49" s="1" t="s">
        <v>68</v>
      </c>
      <c r="G49" s="1" t="s">
        <v>195</v>
      </c>
      <c r="H49" s="1" t="s">
        <v>434</v>
      </c>
      <c r="I49" s="1" t="s">
        <v>435</v>
      </c>
      <c r="J49" s="32">
        <v>46099.0</v>
      </c>
      <c r="K49" s="32">
        <v>46191.0</v>
      </c>
      <c r="L49" s="1" t="s">
        <v>59</v>
      </c>
      <c r="M49" s="1" t="s">
        <v>61</v>
      </c>
      <c r="N49" s="33">
        <v>83.51</v>
      </c>
      <c r="O49" s="33">
        <f t="shared" si="1"/>
        <v>112.7385</v>
      </c>
      <c r="P49" s="1">
        <f t="shared" si="2"/>
        <v>3</v>
      </c>
      <c r="Q49" s="31" t="s">
        <v>436</v>
      </c>
      <c r="R49" s="1" t="s">
        <v>437</v>
      </c>
      <c r="S49" s="14">
        <v>83.51</v>
      </c>
      <c r="T49" s="1" t="s">
        <v>95</v>
      </c>
      <c r="U49" s="1" t="s">
        <v>96</v>
      </c>
      <c r="V49" s="16">
        <v>1.35</v>
      </c>
      <c r="W49" s="14">
        <v>0.0</v>
      </c>
      <c r="X49" s="14">
        <v>-112.74</v>
      </c>
      <c r="Y49" s="1" t="s">
        <v>58</v>
      </c>
      <c r="Z49" s="1"/>
      <c r="AA49" s="1"/>
      <c r="AB49" s="1"/>
      <c r="AC49" s="1"/>
      <c r="AD49" s="1"/>
      <c r="AE49" s="1"/>
      <c r="AF49" s="1"/>
      <c r="AG49" s="1"/>
      <c r="AH49" s="1"/>
    </row>
    <row r="50" ht="14.25" customHeight="1">
      <c r="A50" s="13">
        <v>8307933.0</v>
      </c>
      <c r="B50" s="1" t="s">
        <v>451</v>
      </c>
      <c r="C50" s="1" t="s">
        <v>480</v>
      </c>
      <c r="D50" s="1" t="s">
        <v>283</v>
      </c>
      <c r="E50" s="1" t="s">
        <v>284</v>
      </c>
      <c r="F50" s="1" t="s">
        <v>68</v>
      </c>
      <c r="G50" s="1" t="s">
        <v>69</v>
      </c>
      <c r="H50" s="1" t="s">
        <v>452</v>
      </c>
      <c r="I50" s="1" t="s">
        <v>453</v>
      </c>
      <c r="J50" s="32">
        <v>46054.0</v>
      </c>
      <c r="K50" s="32">
        <v>46174.0</v>
      </c>
      <c r="L50" s="1" t="s">
        <v>59</v>
      </c>
      <c r="M50" s="1" t="s">
        <v>61</v>
      </c>
      <c r="N50" s="33">
        <v>163.99</v>
      </c>
      <c r="O50" s="33">
        <f t="shared" si="1"/>
        <v>110.69325</v>
      </c>
      <c r="P50" s="1">
        <f t="shared" si="2"/>
        <v>4</v>
      </c>
      <c r="Q50" s="31" t="s">
        <v>436</v>
      </c>
      <c r="R50" s="1" t="s">
        <v>437</v>
      </c>
      <c r="S50" s="14">
        <v>163.99</v>
      </c>
      <c r="T50" s="1" t="s">
        <v>95</v>
      </c>
      <c r="U50" s="1" t="s">
        <v>96</v>
      </c>
      <c r="V50" s="16">
        <v>0.675</v>
      </c>
      <c r="W50" s="14">
        <v>0.0</v>
      </c>
      <c r="X50" s="14">
        <v>-110.69</v>
      </c>
      <c r="Y50" s="1" t="s">
        <v>58</v>
      </c>
      <c r="Z50" s="1"/>
      <c r="AA50" s="1"/>
      <c r="AB50" s="1"/>
      <c r="AC50" s="1"/>
      <c r="AD50" s="1"/>
      <c r="AE50" s="1"/>
      <c r="AF50" s="1"/>
      <c r="AG50" s="1"/>
      <c r="AH50" s="1"/>
    </row>
    <row r="51" ht="14.25" customHeight="1">
      <c r="A51" s="13">
        <v>9079571.0</v>
      </c>
      <c r="B51" s="1" t="s">
        <v>456</v>
      </c>
      <c r="C51" s="1" t="s">
        <v>520</v>
      </c>
      <c r="D51" s="1" t="s">
        <v>120</v>
      </c>
      <c r="E51" s="1" t="s">
        <v>121</v>
      </c>
      <c r="F51" s="1" t="s">
        <v>122</v>
      </c>
      <c r="G51" s="1" t="s">
        <v>69</v>
      </c>
      <c r="H51" s="1" t="s">
        <v>452</v>
      </c>
      <c r="I51" s="1" t="s">
        <v>453</v>
      </c>
      <c r="J51" s="32">
        <v>46072.0</v>
      </c>
      <c r="K51" s="32">
        <v>46192.0</v>
      </c>
      <c r="L51" s="1" t="s">
        <v>59</v>
      </c>
      <c r="M51" s="1" t="s">
        <v>61</v>
      </c>
      <c r="N51" s="33">
        <v>164.95</v>
      </c>
      <c r="O51" s="33">
        <f t="shared" si="1"/>
        <v>111.34125</v>
      </c>
      <c r="P51" s="1">
        <f t="shared" si="2"/>
        <v>4</v>
      </c>
      <c r="Q51" s="31" t="s">
        <v>436</v>
      </c>
      <c r="R51" s="1" t="s">
        <v>437</v>
      </c>
      <c r="S51" s="14">
        <v>164.95</v>
      </c>
      <c r="T51" s="1" t="s">
        <v>95</v>
      </c>
      <c r="U51" s="1" t="s">
        <v>96</v>
      </c>
      <c r="V51" s="16">
        <v>0.675</v>
      </c>
      <c r="W51" s="14">
        <v>0.0</v>
      </c>
      <c r="X51" s="14">
        <v>-111.34</v>
      </c>
      <c r="Y51" s="1" t="s">
        <v>58</v>
      </c>
      <c r="Z51" s="1"/>
      <c r="AA51" s="1"/>
      <c r="AB51" s="1"/>
      <c r="AC51" s="1"/>
      <c r="AD51" s="1"/>
      <c r="AE51" s="1"/>
      <c r="AF51" s="1"/>
      <c r="AG51" s="1"/>
      <c r="AH51" s="1"/>
    </row>
    <row r="52" ht="14.25" customHeight="1">
      <c r="A52" s="13">
        <v>8405446.0</v>
      </c>
      <c r="B52" s="1" t="s">
        <v>521</v>
      </c>
      <c r="C52" s="1" t="s">
        <v>522</v>
      </c>
      <c r="D52" s="1" t="s">
        <v>143</v>
      </c>
      <c r="E52" s="1" t="s">
        <v>144</v>
      </c>
      <c r="F52" s="1" t="s">
        <v>68</v>
      </c>
      <c r="G52" s="1" t="s">
        <v>69</v>
      </c>
      <c r="H52" s="1" t="s">
        <v>449</v>
      </c>
      <c r="I52" s="1" t="s">
        <v>450</v>
      </c>
      <c r="J52" s="32">
        <v>46055.0</v>
      </c>
      <c r="K52" s="32">
        <v>46175.0</v>
      </c>
      <c r="L52" s="1" t="s">
        <v>59</v>
      </c>
      <c r="M52" s="1" t="s">
        <v>61</v>
      </c>
      <c r="N52" s="33">
        <v>16.58</v>
      </c>
      <c r="O52" s="33">
        <f t="shared" si="1"/>
        <v>24.87</v>
      </c>
      <c r="P52" s="1">
        <f t="shared" si="2"/>
        <v>4</v>
      </c>
      <c r="Q52" s="31" t="s">
        <v>436</v>
      </c>
      <c r="R52" s="1" t="s">
        <v>437</v>
      </c>
      <c r="S52" s="14">
        <v>16.58</v>
      </c>
      <c r="T52" s="1" t="s">
        <v>95</v>
      </c>
      <c r="U52" s="1" t="s">
        <v>96</v>
      </c>
      <c r="V52" s="16">
        <v>1.5</v>
      </c>
      <c r="W52" s="14">
        <v>0.0</v>
      </c>
      <c r="X52" s="14">
        <v>-24.87</v>
      </c>
      <c r="Y52" s="1" t="s">
        <v>58</v>
      </c>
      <c r="Z52" s="1"/>
      <c r="AA52" s="1"/>
      <c r="AB52" s="1"/>
      <c r="AC52" s="1"/>
      <c r="AD52" s="1"/>
      <c r="AE52" s="1"/>
      <c r="AF52" s="1"/>
      <c r="AG52" s="1"/>
      <c r="AH52" s="1"/>
    </row>
    <row r="53" ht="14.25" customHeight="1">
      <c r="A53" s="13">
        <v>1.6228684E7</v>
      </c>
      <c r="B53" s="1" t="s">
        <v>523</v>
      </c>
      <c r="C53" s="1" t="s">
        <v>524</v>
      </c>
      <c r="D53" s="1" t="s">
        <v>92</v>
      </c>
      <c r="E53" s="1" t="s">
        <v>93</v>
      </c>
      <c r="F53" s="1" t="s">
        <v>53</v>
      </c>
      <c r="G53" s="1" t="s">
        <v>54</v>
      </c>
      <c r="H53" s="1" t="s">
        <v>460</v>
      </c>
      <c r="I53" s="1" t="s">
        <v>461</v>
      </c>
      <c r="J53" s="32">
        <v>46023.0</v>
      </c>
      <c r="K53" s="32">
        <v>46174.0</v>
      </c>
      <c r="L53" s="1" t="s">
        <v>59</v>
      </c>
      <c r="M53" s="1" t="s">
        <v>61</v>
      </c>
      <c r="N53" s="33">
        <v>155.84</v>
      </c>
      <c r="O53" s="33">
        <f t="shared" si="1"/>
        <v>37.4016</v>
      </c>
      <c r="P53" s="1">
        <f t="shared" si="2"/>
        <v>5</v>
      </c>
      <c r="Q53" s="31" t="s">
        <v>436</v>
      </c>
      <c r="R53" s="1" t="s">
        <v>437</v>
      </c>
      <c r="S53" s="14">
        <v>155.84</v>
      </c>
      <c r="T53" s="1" t="s">
        <v>95</v>
      </c>
      <c r="U53" s="1" t="s">
        <v>96</v>
      </c>
      <c r="V53" s="16">
        <v>0.24</v>
      </c>
      <c r="W53" s="14">
        <v>37.4</v>
      </c>
      <c r="X53" s="14">
        <v>0.0</v>
      </c>
      <c r="Y53" s="1" t="s">
        <v>58</v>
      </c>
      <c r="Z53" s="1"/>
      <c r="AA53" s="1"/>
      <c r="AB53" s="1"/>
      <c r="AC53" s="1"/>
      <c r="AD53" s="1"/>
      <c r="AE53" s="1"/>
      <c r="AF53" s="1"/>
      <c r="AG53" s="1"/>
      <c r="AH53" s="1"/>
    </row>
    <row r="54" ht="14.25" customHeight="1">
      <c r="A54" s="13">
        <v>8977234.0</v>
      </c>
      <c r="B54" s="1" t="s">
        <v>459</v>
      </c>
      <c r="C54" s="1" t="s">
        <v>508</v>
      </c>
      <c r="D54" s="1" t="s">
        <v>190</v>
      </c>
      <c r="E54" s="1" t="s">
        <v>191</v>
      </c>
      <c r="F54" s="1" t="s">
        <v>154</v>
      </c>
      <c r="G54" s="1" t="s">
        <v>69</v>
      </c>
      <c r="H54" s="1" t="s">
        <v>452</v>
      </c>
      <c r="I54" s="1" t="s">
        <v>453</v>
      </c>
      <c r="J54" s="32">
        <v>46006.0</v>
      </c>
      <c r="K54" s="32">
        <v>46188.0</v>
      </c>
      <c r="L54" s="1" t="s">
        <v>59</v>
      </c>
      <c r="M54" s="1" t="s">
        <v>61</v>
      </c>
      <c r="N54" s="33">
        <v>153.03</v>
      </c>
      <c r="O54" s="33">
        <f t="shared" si="1"/>
        <v>103.29525</v>
      </c>
      <c r="P54" s="1">
        <f t="shared" si="2"/>
        <v>6</v>
      </c>
      <c r="Q54" s="31" t="s">
        <v>436</v>
      </c>
      <c r="R54" s="1" t="s">
        <v>437</v>
      </c>
      <c r="S54" s="14">
        <v>153.03</v>
      </c>
      <c r="T54" s="1" t="s">
        <v>95</v>
      </c>
      <c r="U54" s="1" t="s">
        <v>96</v>
      </c>
      <c r="V54" s="16">
        <v>0.675</v>
      </c>
      <c r="W54" s="14">
        <v>0.0</v>
      </c>
      <c r="X54" s="14">
        <v>-103.3</v>
      </c>
      <c r="Y54" s="1" t="s">
        <v>58</v>
      </c>
      <c r="Z54" s="1"/>
      <c r="AA54" s="1"/>
      <c r="AB54" s="1"/>
      <c r="AC54" s="1"/>
      <c r="AD54" s="1"/>
      <c r="AE54" s="1"/>
      <c r="AF54" s="1"/>
      <c r="AG54" s="1"/>
      <c r="AH54" s="1"/>
    </row>
    <row r="55" ht="14.25" customHeight="1">
      <c r="A55" s="13">
        <v>8307933.0</v>
      </c>
      <c r="B55" s="1" t="s">
        <v>451</v>
      </c>
      <c r="C55" s="1" t="s">
        <v>480</v>
      </c>
      <c r="D55" s="1" t="s">
        <v>274</v>
      </c>
      <c r="E55" s="1" t="s">
        <v>275</v>
      </c>
      <c r="F55" s="1" t="s">
        <v>276</v>
      </c>
      <c r="G55" s="1" t="s">
        <v>69</v>
      </c>
      <c r="H55" s="1" t="s">
        <v>455</v>
      </c>
      <c r="I55" s="1" t="s">
        <v>450</v>
      </c>
      <c r="J55" s="32">
        <v>46006.0</v>
      </c>
      <c r="K55" s="32">
        <v>46188.0</v>
      </c>
      <c r="L55" s="1" t="s">
        <v>59</v>
      </c>
      <c r="M55" s="1" t="s">
        <v>61</v>
      </c>
      <c r="N55" s="33">
        <v>192.42</v>
      </c>
      <c r="O55" s="33">
        <f t="shared" si="1"/>
        <v>288.63</v>
      </c>
      <c r="P55" s="1">
        <f t="shared" si="2"/>
        <v>6</v>
      </c>
      <c r="Q55" s="31" t="s">
        <v>436</v>
      </c>
      <c r="R55" s="1" t="s">
        <v>437</v>
      </c>
      <c r="S55" s="14">
        <v>192.42</v>
      </c>
      <c r="T55" s="1" t="s">
        <v>95</v>
      </c>
      <c r="U55" s="1" t="s">
        <v>96</v>
      </c>
      <c r="V55" s="16">
        <v>1.5</v>
      </c>
      <c r="W55" s="14">
        <v>0.0</v>
      </c>
      <c r="X55" s="14">
        <v>-288.63</v>
      </c>
      <c r="Y55" s="1" t="s">
        <v>58</v>
      </c>
      <c r="Z55" s="1"/>
      <c r="AA55" s="1"/>
      <c r="AB55" s="1"/>
      <c r="AC55" s="1"/>
      <c r="AD55" s="1"/>
      <c r="AE55" s="1"/>
      <c r="AF55" s="1"/>
      <c r="AG55" s="1"/>
      <c r="AH55" s="1"/>
    </row>
    <row r="56" ht="14.25" customHeight="1">
      <c r="A56" s="13">
        <v>1706194.0</v>
      </c>
      <c r="B56" s="1" t="s">
        <v>454</v>
      </c>
      <c r="C56" s="1" t="s">
        <v>525</v>
      </c>
      <c r="D56" s="1" t="s">
        <v>320</v>
      </c>
      <c r="E56" s="1" t="s">
        <v>321</v>
      </c>
      <c r="F56" s="1" t="s">
        <v>254</v>
      </c>
      <c r="G56" s="1" t="s">
        <v>69</v>
      </c>
      <c r="H56" s="1" t="s">
        <v>449</v>
      </c>
      <c r="I56" s="1" t="s">
        <v>450</v>
      </c>
      <c r="J56" s="32">
        <v>46006.0</v>
      </c>
      <c r="K56" s="32">
        <v>46188.0</v>
      </c>
      <c r="L56" s="1" t="s">
        <v>59</v>
      </c>
      <c r="M56" s="1" t="s">
        <v>61</v>
      </c>
      <c r="N56" s="33">
        <v>193.84</v>
      </c>
      <c r="O56" s="33">
        <f t="shared" si="1"/>
        <v>290.76</v>
      </c>
      <c r="P56" s="1">
        <f t="shared" si="2"/>
        <v>6</v>
      </c>
      <c r="Q56" s="31" t="s">
        <v>436</v>
      </c>
      <c r="R56" s="1" t="s">
        <v>437</v>
      </c>
      <c r="S56" s="14">
        <v>193.84</v>
      </c>
      <c r="T56" s="1" t="s">
        <v>95</v>
      </c>
      <c r="U56" s="1" t="s">
        <v>96</v>
      </c>
      <c r="V56" s="16">
        <v>1.5</v>
      </c>
      <c r="W56" s="14">
        <v>0.0</v>
      </c>
      <c r="X56" s="14">
        <v>-290.76</v>
      </c>
      <c r="Y56" s="1" t="s">
        <v>58</v>
      </c>
      <c r="Z56" s="1"/>
      <c r="AA56" s="1"/>
      <c r="AB56" s="1"/>
      <c r="AC56" s="1"/>
      <c r="AD56" s="1"/>
      <c r="AE56" s="1"/>
      <c r="AF56" s="1"/>
      <c r="AG56" s="1"/>
      <c r="AH56" s="1"/>
    </row>
    <row r="57" ht="14.25" customHeight="1">
      <c r="A57" s="13">
        <v>1706194.0</v>
      </c>
      <c r="B57" s="1" t="s">
        <v>454</v>
      </c>
      <c r="C57" s="1" t="s">
        <v>525</v>
      </c>
      <c r="D57" s="1" t="s">
        <v>252</v>
      </c>
      <c r="E57" s="1" t="s">
        <v>253</v>
      </c>
      <c r="F57" s="1" t="s">
        <v>254</v>
      </c>
      <c r="G57" s="1" t="s">
        <v>69</v>
      </c>
      <c r="H57" s="1" t="s">
        <v>449</v>
      </c>
      <c r="I57" s="1" t="s">
        <v>450</v>
      </c>
      <c r="J57" s="32">
        <v>46006.0</v>
      </c>
      <c r="K57" s="32">
        <v>46188.0</v>
      </c>
      <c r="L57" s="1" t="s">
        <v>59</v>
      </c>
      <c r="M57" s="1" t="s">
        <v>61</v>
      </c>
      <c r="N57" s="33">
        <v>182.98</v>
      </c>
      <c r="O57" s="33">
        <f t="shared" si="1"/>
        <v>274.47</v>
      </c>
      <c r="P57" s="1">
        <f t="shared" si="2"/>
        <v>6</v>
      </c>
      <c r="Q57" s="31" t="s">
        <v>436</v>
      </c>
      <c r="R57" s="1" t="s">
        <v>437</v>
      </c>
      <c r="S57" s="14">
        <v>182.98</v>
      </c>
      <c r="T57" s="1" t="s">
        <v>95</v>
      </c>
      <c r="U57" s="1" t="s">
        <v>96</v>
      </c>
      <c r="V57" s="16">
        <v>1.5</v>
      </c>
      <c r="W57" s="14">
        <v>0.0</v>
      </c>
      <c r="X57" s="14">
        <v>-274.47</v>
      </c>
      <c r="Y57" s="1" t="s">
        <v>58</v>
      </c>
      <c r="Z57" s="1"/>
      <c r="AA57" s="1"/>
      <c r="AB57" s="1"/>
      <c r="AC57" s="1"/>
      <c r="AD57" s="1"/>
      <c r="AE57" s="1"/>
      <c r="AF57" s="1"/>
      <c r="AG57" s="1"/>
      <c r="AH57" s="1"/>
    </row>
    <row r="58" ht="14.25" customHeight="1">
      <c r="A58" s="13">
        <v>1706194.0</v>
      </c>
      <c r="B58" s="1" t="s">
        <v>454</v>
      </c>
      <c r="C58" s="1" t="s">
        <v>525</v>
      </c>
      <c r="D58" s="1" t="s">
        <v>260</v>
      </c>
      <c r="E58" s="1" t="s">
        <v>261</v>
      </c>
      <c r="F58" s="1" t="s">
        <v>216</v>
      </c>
      <c r="G58" s="1" t="s">
        <v>195</v>
      </c>
      <c r="H58" s="1" t="s">
        <v>449</v>
      </c>
      <c r="I58" s="1" t="s">
        <v>450</v>
      </c>
      <c r="J58" s="32">
        <v>46008.0</v>
      </c>
      <c r="K58" s="32">
        <v>46190.0</v>
      </c>
      <c r="L58" s="1" t="s">
        <v>59</v>
      </c>
      <c r="M58" s="1" t="s">
        <v>61</v>
      </c>
      <c r="N58" s="33">
        <v>87.87</v>
      </c>
      <c r="O58" s="33">
        <f t="shared" si="1"/>
        <v>131.805</v>
      </c>
      <c r="P58" s="1">
        <f t="shared" si="2"/>
        <v>6</v>
      </c>
      <c r="Q58" s="31" t="s">
        <v>436</v>
      </c>
      <c r="R58" s="1" t="s">
        <v>437</v>
      </c>
      <c r="S58" s="14">
        <v>87.87</v>
      </c>
      <c r="T58" s="1" t="s">
        <v>95</v>
      </c>
      <c r="U58" s="1" t="s">
        <v>96</v>
      </c>
      <c r="V58" s="16">
        <v>1.5</v>
      </c>
      <c r="W58" s="14">
        <v>0.0</v>
      </c>
      <c r="X58" s="14">
        <v>-131.81</v>
      </c>
      <c r="Y58" s="1" t="s">
        <v>58</v>
      </c>
      <c r="Z58" s="1"/>
      <c r="AA58" s="1"/>
      <c r="AB58" s="1"/>
      <c r="AC58" s="1"/>
      <c r="AD58" s="1"/>
      <c r="AE58" s="1"/>
      <c r="AF58" s="1"/>
      <c r="AG58" s="1"/>
      <c r="AH58" s="1"/>
    </row>
    <row r="59" ht="14.25" customHeight="1">
      <c r="A59" s="13">
        <v>1706194.0</v>
      </c>
      <c r="B59" s="1" t="s">
        <v>454</v>
      </c>
      <c r="C59" s="1" t="s">
        <v>525</v>
      </c>
      <c r="D59" s="1" t="s">
        <v>262</v>
      </c>
      <c r="E59" s="1" t="s">
        <v>263</v>
      </c>
      <c r="F59" s="1" t="s">
        <v>264</v>
      </c>
      <c r="G59" s="1" t="s">
        <v>69</v>
      </c>
      <c r="H59" s="1" t="s">
        <v>455</v>
      </c>
      <c r="I59" s="1" t="s">
        <v>450</v>
      </c>
      <c r="J59" s="32">
        <v>46006.0</v>
      </c>
      <c r="K59" s="32">
        <v>46188.0</v>
      </c>
      <c r="L59" s="1" t="s">
        <v>59</v>
      </c>
      <c r="M59" s="1" t="s">
        <v>61</v>
      </c>
      <c r="N59" s="33">
        <v>141.96</v>
      </c>
      <c r="O59" s="33">
        <f t="shared" si="1"/>
        <v>212.94</v>
      </c>
      <c r="P59" s="1">
        <f t="shared" si="2"/>
        <v>6</v>
      </c>
      <c r="Q59" s="31" t="s">
        <v>436</v>
      </c>
      <c r="R59" s="1" t="s">
        <v>437</v>
      </c>
      <c r="S59" s="14">
        <v>141.96</v>
      </c>
      <c r="T59" s="1" t="s">
        <v>95</v>
      </c>
      <c r="U59" s="1" t="s">
        <v>96</v>
      </c>
      <c r="V59" s="16">
        <v>1.5</v>
      </c>
      <c r="W59" s="14">
        <v>0.0</v>
      </c>
      <c r="X59" s="14">
        <v>-212.94</v>
      </c>
      <c r="Y59" s="1" t="s">
        <v>58</v>
      </c>
      <c r="Z59" s="1"/>
      <c r="AA59" s="1"/>
      <c r="AB59" s="1"/>
      <c r="AC59" s="1"/>
      <c r="AD59" s="1"/>
      <c r="AE59" s="1"/>
      <c r="AF59" s="1"/>
      <c r="AG59" s="1"/>
      <c r="AH59" s="1"/>
    </row>
    <row r="60" ht="14.25" customHeight="1">
      <c r="A60" s="13">
        <v>1706194.0</v>
      </c>
      <c r="B60" s="1" t="s">
        <v>454</v>
      </c>
      <c r="C60" s="1" t="s">
        <v>525</v>
      </c>
      <c r="D60" s="1" t="s">
        <v>255</v>
      </c>
      <c r="E60" s="1" t="s">
        <v>256</v>
      </c>
      <c r="F60" s="1" t="s">
        <v>257</v>
      </c>
      <c r="G60" s="1" t="s">
        <v>195</v>
      </c>
      <c r="H60" s="1" t="s">
        <v>449</v>
      </c>
      <c r="I60" s="1" t="s">
        <v>450</v>
      </c>
      <c r="J60" s="32">
        <v>46008.0</v>
      </c>
      <c r="K60" s="32">
        <v>46190.0</v>
      </c>
      <c r="L60" s="1" t="s">
        <v>59</v>
      </c>
      <c r="M60" s="1" t="s">
        <v>61</v>
      </c>
      <c r="N60" s="33">
        <v>62.57</v>
      </c>
      <c r="O60" s="33">
        <f t="shared" si="1"/>
        <v>93.855</v>
      </c>
      <c r="P60" s="1">
        <f t="shared" si="2"/>
        <v>6</v>
      </c>
      <c r="Q60" s="31" t="s">
        <v>436</v>
      </c>
      <c r="R60" s="1" t="s">
        <v>437</v>
      </c>
      <c r="S60" s="14">
        <v>62.57</v>
      </c>
      <c r="T60" s="1" t="s">
        <v>95</v>
      </c>
      <c r="U60" s="1" t="s">
        <v>96</v>
      </c>
      <c r="V60" s="16">
        <v>1.5</v>
      </c>
      <c r="W60" s="14">
        <v>0.0</v>
      </c>
      <c r="X60" s="14">
        <v>-93.86</v>
      </c>
      <c r="Y60" s="1" t="s">
        <v>58</v>
      </c>
      <c r="Z60" s="1"/>
      <c r="AA60" s="1"/>
      <c r="AB60" s="1"/>
      <c r="AC60" s="1"/>
      <c r="AD60" s="1"/>
      <c r="AE60" s="1"/>
      <c r="AF60" s="1"/>
      <c r="AG60" s="1"/>
      <c r="AH60" s="1"/>
    </row>
    <row r="61" ht="14.25" customHeight="1">
      <c r="A61" s="13">
        <v>8307933.0</v>
      </c>
      <c r="B61" s="1" t="s">
        <v>451</v>
      </c>
      <c r="C61" s="1" t="s">
        <v>480</v>
      </c>
      <c r="D61" s="1" t="s">
        <v>97</v>
      </c>
      <c r="E61" s="1" t="s">
        <v>98</v>
      </c>
      <c r="F61" s="1" t="s">
        <v>68</v>
      </c>
      <c r="G61" s="1" t="s">
        <v>99</v>
      </c>
      <c r="H61" s="1" t="s">
        <v>460</v>
      </c>
      <c r="I61" s="1" t="s">
        <v>458</v>
      </c>
      <c r="J61" s="32">
        <v>45962.0</v>
      </c>
      <c r="K61" s="32">
        <v>46174.0</v>
      </c>
      <c r="L61" s="1" t="s">
        <v>59</v>
      </c>
      <c r="M61" s="1" t="s">
        <v>61</v>
      </c>
      <c r="N61" s="33">
        <v>180.14</v>
      </c>
      <c r="O61" s="33">
        <f t="shared" si="1"/>
        <v>41.4322</v>
      </c>
      <c r="P61" s="1">
        <f t="shared" si="2"/>
        <v>7</v>
      </c>
      <c r="Q61" s="31" t="s">
        <v>436</v>
      </c>
      <c r="R61" s="1" t="s">
        <v>437</v>
      </c>
      <c r="S61" s="14">
        <v>180.14</v>
      </c>
      <c r="T61" s="1" t="s">
        <v>95</v>
      </c>
      <c r="U61" s="1" t="s">
        <v>96</v>
      </c>
      <c r="V61" s="16">
        <v>0.23</v>
      </c>
      <c r="W61" s="14">
        <v>41.43</v>
      </c>
      <c r="X61" s="14">
        <v>0.0</v>
      </c>
      <c r="Y61" s="1" t="s">
        <v>58</v>
      </c>
      <c r="Z61" s="1"/>
      <c r="AA61" s="1"/>
      <c r="AB61" s="1"/>
      <c r="AC61" s="1"/>
      <c r="AD61" s="1"/>
      <c r="AE61" s="1"/>
      <c r="AF61" s="1"/>
      <c r="AG61" s="1"/>
      <c r="AH61" s="1"/>
    </row>
    <row r="62" ht="14.25" customHeight="1">
      <c r="A62" s="13" t="s">
        <v>526</v>
      </c>
      <c r="B62" s="1" t="s">
        <v>527</v>
      </c>
      <c r="C62" s="1" t="s">
        <v>528</v>
      </c>
      <c r="D62" s="1" t="s">
        <v>114</v>
      </c>
      <c r="E62" s="1" t="s">
        <v>115</v>
      </c>
      <c r="F62" s="1" t="s">
        <v>110</v>
      </c>
      <c r="G62" s="1" t="s">
        <v>69</v>
      </c>
      <c r="H62" s="1" t="s">
        <v>452</v>
      </c>
      <c r="I62" s="1" t="s">
        <v>467</v>
      </c>
      <c r="J62" s="32">
        <v>45971.0</v>
      </c>
      <c r="K62" s="32">
        <v>46183.0</v>
      </c>
      <c r="L62" s="1" t="s">
        <v>59</v>
      </c>
      <c r="M62" s="1" t="s">
        <v>61</v>
      </c>
      <c r="N62" s="33">
        <v>144.24</v>
      </c>
      <c r="O62" s="33">
        <f t="shared" si="1"/>
        <v>194.724</v>
      </c>
      <c r="P62" s="1">
        <f t="shared" si="2"/>
        <v>7</v>
      </c>
      <c r="Q62" s="31" t="s">
        <v>436</v>
      </c>
      <c r="R62" s="1" t="s">
        <v>437</v>
      </c>
      <c r="S62" s="14">
        <v>144.24</v>
      </c>
      <c r="T62" s="1" t="s">
        <v>95</v>
      </c>
      <c r="U62" s="1" t="s">
        <v>96</v>
      </c>
      <c r="V62" s="16">
        <v>1.35</v>
      </c>
      <c r="W62" s="14">
        <v>0.0</v>
      </c>
      <c r="X62" s="14">
        <v>-194.72</v>
      </c>
      <c r="Y62" s="1" t="s">
        <v>58</v>
      </c>
      <c r="Z62" s="1"/>
      <c r="AA62" s="1"/>
      <c r="AB62" s="1"/>
      <c r="AC62" s="1"/>
      <c r="AD62" s="1"/>
      <c r="AE62" s="1"/>
      <c r="AF62" s="1"/>
      <c r="AG62" s="1"/>
      <c r="AH62" s="1"/>
    </row>
    <row r="63" ht="14.25" customHeight="1">
      <c r="A63" s="13">
        <v>8307933.0</v>
      </c>
      <c r="B63" s="1" t="s">
        <v>451</v>
      </c>
      <c r="C63" s="1" t="s">
        <v>480</v>
      </c>
      <c r="D63" s="1" t="s">
        <v>277</v>
      </c>
      <c r="E63" s="1" t="s">
        <v>278</v>
      </c>
      <c r="F63" s="1" t="s">
        <v>279</v>
      </c>
      <c r="G63" s="1" t="s">
        <v>69</v>
      </c>
      <c r="H63" s="1" t="s">
        <v>449</v>
      </c>
      <c r="I63" s="1" t="s">
        <v>450</v>
      </c>
      <c r="J63" s="32">
        <v>45976.0</v>
      </c>
      <c r="K63" s="32">
        <v>46188.0</v>
      </c>
      <c r="L63" s="1" t="s">
        <v>59</v>
      </c>
      <c r="M63" s="1" t="s">
        <v>61</v>
      </c>
      <c r="N63" s="33">
        <v>194.02</v>
      </c>
      <c r="O63" s="33">
        <f t="shared" si="1"/>
        <v>291.03</v>
      </c>
      <c r="P63" s="1">
        <f t="shared" si="2"/>
        <v>7</v>
      </c>
      <c r="Q63" s="31" t="s">
        <v>436</v>
      </c>
      <c r="R63" s="1" t="s">
        <v>437</v>
      </c>
      <c r="S63" s="14">
        <v>194.02</v>
      </c>
      <c r="T63" s="1" t="s">
        <v>95</v>
      </c>
      <c r="U63" s="1" t="s">
        <v>96</v>
      </c>
      <c r="V63" s="16">
        <v>1.5</v>
      </c>
      <c r="W63" s="14">
        <v>37.21</v>
      </c>
      <c r="X63" s="14">
        <v>-253.82</v>
      </c>
      <c r="Y63" s="1" t="s">
        <v>58</v>
      </c>
      <c r="Z63" s="1"/>
      <c r="AA63" s="1"/>
      <c r="AB63" s="1"/>
      <c r="AC63" s="1"/>
      <c r="AD63" s="1"/>
      <c r="AE63" s="1"/>
      <c r="AF63" s="1"/>
      <c r="AG63" s="1"/>
      <c r="AH63" s="1"/>
    </row>
    <row r="64" ht="14.25" customHeight="1">
      <c r="A64" s="13">
        <v>8307933.0</v>
      </c>
      <c r="B64" s="1" t="s">
        <v>451</v>
      </c>
      <c r="C64" s="1" t="s">
        <v>480</v>
      </c>
      <c r="D64" s="1" t="s">
        <v>270</v>
      </c>
      <c r="E64" s="1" t="s">
        <v>271</v>
      </c>
      <c r="F64" s="1" t="s">
        <v>272</v>
      </c>
      <c r="G64" s="1" t="s">
        <v>69</v>
      </c>
      <c r="H64" s="1" t="s">
        <v>449</v>
      </c>
      <c r="I64" s="1" t="s">
        <v>450</v>
      </c>
      <c r="J64" s="32">
        <v>45976.0</v>
      </c>
      <c r="K64" s="32">
        <v>46188.0</v>
      </c>
      <c r="L64" s="1" t="s">
        <v>59</v>
      </c>
      <c r="M64" s="1" t="s">
        <v>61</v>
      </c>
      <c r="N64" s="33">
        <v>192.42</v>
      </c>
      <c r="O64" s="33">
        <f t="shared" si="1"/>
        <v>288.63</v>
      </c>
      <c r="P64" s="1">
        <f t="shared" si="2"/>
        <v>7</v>
      </c>
      <c r="Q64" s="31" t="s">
        <v>436</v>
      </c>
      <c r="R64" s="1" t="s">
        <v>437</v>
      </c>
      <c r="S64" s="14">
        <v>192.42</v>
      </c>
      <c r="T64" s="1" t="s">
        <v>95</v>
      </c>
      <c r="U64" s="1" t="s">
        <v>96</v>
      </c>
      <c r="V64" s="16">
        <v>1.5</v>
      </c>
      <c r="W64" s="14">
        <v>20.41</v>
      </c>
      <c r="X64" s="14">
        <v>-268.22</v>
      </c>
      <c r="Y64" s="1" t="s">
        <v>58</v>
      </c>
      <c r="Z64" s="1"/>
      <c r="AA64" s="1"/>
      <c r="AB64" s="1"/>
      <c r="AC64" s="1"/>
      <c r="AD64" s="1"/>
      <c r="AE64" s="1"/>
      <c r="AF64" s="1"/>
      <c r="AG64" s="1"/>
      <c r="AH64" s="1"/>
    </row>
    <row r="65" ht="14.25" customHeight="1">
      <c r="A65" s="13">
        <v>8307933.0</v>
      </c>
      <c r="B65" s="1" t="s">
        <v>451</v>
      </c>
      <c r="C65" s="1" t="s">
        <v>480</v>
      </c>
      <c r="D65" s="1" t="s">
        <v>324</v>
      </c>
      <c r="E65" s="1" t="s">
        <v>325</v>
      </c>
      <c r="F65" s="1" t="s">
        <v>200</v>
      </c>
      <c r="G65" s="1" t="s">
        <v>195</v>
      </c>
      <c r="H65" s="1" t="s">
        <v>452</v>
      </c>
      <c r="I65" s="1" t="s">
        <v>453</v>
      </c>
      <c r="J65" s="32">
        <v>45952.0</v>
      </c>
      <c r="K65" s="32">
        <v>46164.0</v>
      </c>
      <c r="L65" s="1" t="s">
        <v>59</v>
      </c>
      <c r="M65" s="1" t="s">
        <v>61</v>
      </c>
      <c r="N65" s="33">
        <v>234.36</v>
      </c>
      <c r="O65" s="33">
        <f t="shared" si="1"/>
        <v>158.193</v>
      </c>
      <c r="P65" s="1">
        <f t="shared" si="2"/>
        <v>7</v>
      </c>
      <c r="Q65" s="31" t="s">
        <v>436</v>
      </c>
      <c r="R65" s="1" t="s">
        <v>437</v>
      </c>
      <c r="S65" s="14">
        <v>234.36</v>
      </c>
      <c r="T65" s="1" t="s">
        <v>95</v>
      </c>
      <c r="U65" s="1" t="s">
        <v>96</v>
      </c>
      <c r="V65" s="16">
        <v>0.675</v>
      </c>
      <c r="W65" s="14">
        <v>0.0</v>
      </c>
      <c r="X65" s="14">
        <v>-158.19</v>
      </c>
      <c r="Y65" s="1" t="s">
        <v>58</v>
      </c>
      <c r="Z65" s="1"/>
      <c r="AA65" s="1"/>
      <c r="AB65" s="1"/>
      <c r="AC65" s="1"/>
      <c r="AD65" s="1"/>
      <c r="AE65" s="1"/>
      <c r="AF65" s="1"/>
      <c r="AG65" s="1"/>
      <c r="AH65" s="1"/>
    </row>
    <row r="66" ht="14.25" customHeight="1">
      <c r="A66" s="13" t="s">
        <v>526</v>
      </c>
      <c r="B66" s="1" t="s">
        <v>527</v>
      </c>
      <c r="C66" s="1" t="s">
        <v>528</v>
      </c>
      <c r="D66" s="1" t="s">
        <v>108</v>
      </c>
      <c r="E66" s="1" t="s">
        <v>109</v>
      </c>
      <c r="F66" s="1" t="s">
        <v>110</v>
      </c>
      <c r="G66" s="1" t="s">
        <v>99</v>
      </c>
      <c r="H66" s="1" t="s">
        <v>434</v>
      </c>
      <c r="I66" s="1" t="s">
        <v>516</v>
      </c>
      <c r="J66" s="32">
        <v>45938.0</v>
      </c>
      <c r="K66" s="32">
        <v>46181.0</v>
      </c>
      <c r="L66" s="1" t="s">
        <v>59</v>
      </c>
      <c r="M66" s="1" t="s">
        <v>61</v>
      </c>
      <c r="N66" s="33">
        <v>59.91</v>
      </c>
      <c r="O66" s="33">
        <f t="shared" si="1"/>
        <v>80.8785</v>
      </c>
      <c r="P66" s="1">
        <f t="shared" si="2"/>
        <v>8</v>
      </c>
      <c r="Q66" s="31" t="s">
        <v>436</v>
      </c>
      <c r="R66" s="1" t="s">
        <v>437</v>
      </c>
      <c r="S66" s="14">
        <v>59.91</v>
      </c>
      <c r="T66" s="1" t="s">
        <v>95</v>
      </c>
      <c r="U66" s="1" t="s">
        <v>96</v>
      </c>
      <c r="V66" s="16">
        <v>1.35</v>
      </c>
      <c r="W66" s="14">
        <v>0.0</v>
      </c>
      <c r="X66" s="14">
        <v>-80.88</v>
      </c>
      <c r="Y66" s="1" t="s">
        <v>58</v>
      </c>
      <c r="Z66" s="1"/>
      <c r="AA66" s="1"/>
      <c r="AB66" s="1"/>
      <c r="AC66" s="1"/>
      <c r="AD66" s="1"/>
      <c r="AE66" s="1"/>
      <c r="AF66" s="1"/>
      <c r="AG66" s="1"/>
      <c r="AH66" s="1"/>
    </row>
    <row r="67" ht="14.25" customHeight="1">
      <c r="A67" s="13">
        <v>8307933.0</v>
      </c>
      <c r="B67" s="1" t="s">
        <v>451</v>
      </c>
      <c r="C67" s="1" t="s">
        <v>480</v>
      </c>
      <c r="D67" s="1" t="s">
        <v>211</v>
      </c>
      <c r="E67" s="1" t="s">
        <v>212</v>
      </c>
      <c r="F67" s="1" t="s">
        <v>68</v>
      </c>
      <c r="G67" s="1" t="s">
        <v>99</v>
      </c>
      <c r="H67" s="1" t="s">
        <v>452</v>
      </c>
      <c r="I67" s="1" t="s">
        <v>467</v>
      </c>
      <c r="J67" s="32">
        <v>45945.0</v>
      </c>
      <c r="K67" s="32">
        <v>46188.0</v>
      </c>
      <c r="L67" s="1" t="s">
        <v>59</v>
      </c>
      <c r="M67" s="1" t="s">
        <v>61</v>
      </c>
      <c r="N67" s="33">
        <v>241.54</v>
      </c>
      <c r="O67" s="33">
        <f t="shared" si="1"/>
        <v>326.079</v>
      </c>
      <c r="P67" s="1">
        <f t="shared" si="2"/>
        <v>8</v>
      </c>
      <c r="Q67" s="31" t="s">
        <v>436</v>
      </c>
      <c r="R67" s="1" t="s">
        <v>437</v>
      </c>
      <c r="S67" s="14">
        <v>241.54</v>
      </c>
      <c r="T67" s="1" t="s">
        <v>95</v>
      </c>
      <c r="U67" s="1" t="s">
        <v>96</v>
      </c>
      <c r="V67" s="16">
        <v>1.35</v>
      </c>
      <c r="W67" s="14">
        <v>326.08</v>
      </c>
      <c r="X67" s="14">
        <v>0.0</v>
      </c>
      <c r="Y67" s="1" t="s">
        <v>58</v>
      </c>
      <c r="Z67" s="1"/>
      <c r="AA67" s="1"/>
      <c r="AB67" s="1"/>
      <c r="AC67" s="1"/>
      <c r="AD67" s="1"/>
      <c r="AE67" s="1"/>
      <c r="AF67" s="1"/>
      <c r="AG67" s="1"/>
      <c r="AH67" s="1"/>
    </row>
    <row r="68" ht="14.25" customHeight="1">
      <c r="A68" s="13">
        <v>1.6228684E7</v>
      </c>
      <c r="B68" s="1" t="s">
        <v>523</v>
      </c>
      <c r="C68" s="1" t="s">
        <v>524</v>
      </c>
      <c r="D68" s="1" t="s">
        <v>334</v>
      </c>
      <c r="E68" s="1" t="s">
        <v>335</v>
      </c>
      <c r="F68" s="1" t="s">
        <v>68</v>
      </c>
      <c r="G68" s="1" t="s">
        <v>69</v>
      </c>
      <c r="H68" s="1" t="s">
        <v>452</v>
      </c>
      <c r="I68" s="1" t="s">
        <v>435</v>
      </c>
      <c r="J68" s="32">
        <v>45915.0</v>
      </c>
      <c r="K68" s="32">
        <v>46188.0</v>
      </c>
      <c r="L68" s="1" t="s">
        <v>59</v>
      </c>
      <c r="M68" s="1" t="s">
        <v>61</v>
      </c>
      <c r="N68" s="33">
        <v>128.75</v>
      </c>
      <c r="O68" s="33">
        <f t="shared" si="1"/>
        <v>173.8125</v>
      </c>
      <c r="P68" s="1">
        <f t="shared" si="2"/>
        <v>9</v>
      </c>
      <c r="Q68" s="31" t="s">
        <v>436</v>
      </c>
      <c r="R68" s="1" t="s">
        <v>437</v>
      </c>
      <c r="S68" s="14">
        <v>128.75</v>
      </c>
      <c r="T68" s="1" t="s">
        <v>95</v>
      </c>
      <c r="U68" s="1" t="s">
        <v>96</v>
      </c>
      <c r="V68" s="16">
        <v>1.35</v>
      </c>
      <c r="W68" s="14">
        <v>0.0</v>
      </c>
      <c r="X68" s="14">
        <v>-173.81</v>
      </c>
      <c r="Y68" s="1" t="s">
        <v>58</v>
      </c>
      <c r="Z68" s="1"/>
      <c r="AA68" s="1"/>
      <c r="AB68" s="1"/>
      <c r="AC68" s="1"/>
      <c r="AD68" s="1"/>
      <c r="AE68" s="1"/>
      <c r="AF68" s="1"/>
      <c r="AG68" s="1"/>
      <c r="AH68" s="1"/>
    </row>
    <row r="69" ht="14.25" customHeight="1">
      <c r="A69" s="13">
        <v>8307933.0</v>
      </c>
      <c r="B69" s="1" t="s">
        <v>451</v>
      </c>
      <c r="C69" s="1" t="s">
        <v>480</v>
      </c>
      <c r="D69" s="1" t="s">
        <v>214</v>
      </c>
      <c r="E69" s="1" t="s">
        <v>215</v>
      </c>
      <c r="F69" s="1" t="s">
        <v>216</v>
      </c>
      <c r="G69" s="1" t="s">
        <v>69</v>
      </c>
      <c r="H69" s="1" t="s">
        <v>452</v>
      </c>
      <c r="I69" s="1" t="s">
        <v>453</v>
      </c>
      <c r="J69" s="32">
        <v>45914.0</v>
      </c>
      <c r="K69" s="32">
        <v>46187.0</v>
      </c>
      <c r="L69" s="1" t="s">
        <v>59</v>
      </c>
      <c r="M69" s="1" t="s">
        <v>61</v>
      </c>
      <c r="N69" s="33">
        <v>202.13</v>
      </c>
      <c r="O69" s="33">
        <f t="shared" si="1"/>
        <v>136.43775</v>
      </c>
      <c r="P69" s="1">
        <f t="shared" si="2"/>
        <v>9</v>
      </c>
      <c r="Q69" s="31" t="s">
        <v>436</v>
      </c>
      <c r="R69" s="1" t="s">
        <v>437</v>
      </c>
      <c r="S69" s="14">
        <v>202.13</v>
      </c>
      <c r="T69" s="1" t="s">
        <v>95</v>
      </c>
      <c r="U69" s="1" t="s">
        <v>96</v>
      </c>
      <c r="V69" s="16">
        <v>0.675</v>
      </c>
      <c r="W69" s="14">
        <v>0.02</v>
      </c>
      <c r="X69" s="14">
        <v>-136.42</v>
      </c>
      <c r="Y69" s="1" t="s">
        <v>58</v>
      </c>
      <c r="Z69" s="1"/>
      <c r="AA69" s="1"/>
      <c r="AB69" s="1"/>
      <c r="AC69" s="1"/>
      <c r="AD69" s="1"/>
      <c r="AE69" s="1"/>
      <c r="AF69" s="1"/>
      <c r="AG69" s="1"/>
      <c r="AH69" s="1"/>
    </row>
    <row r="70" ht="14.25" customHeight="1">
      <c r="A70" s="13">
        <v>1.6228684E7</v>
      </c>
      <c r="B70" s="1" t="s">
        <v>523</v>
      </c>
      <c r="C70" s="1" t="s">
        <v>524</v>
      </c>
      <c r="D70" s="1" t="s">
        <v>405</v>
      </c>
      <c r="E70" s="1" t="s">
        <v>406</v>
      </c>
      <c r="F70" s="1" t="s">
        <v>264</v>
      </c>
      <c r="G70" s="1" t="s">
        <v>54</v>
      </c>
      <c r="H70" s="1" t="s">
        <v>444</v>
      </c>
      <c r="I70" s="1" t="s">
        <v>441</v>
      </c>
      <c r="J70" s="32">
        <v>45901.0</v>
      </c>
      <c r="K70" s="32">
        <v>46174.0</v>
      </c>
      <c r="L70" s="1" t="s">
        <v>59</v>
      </c>
      <c r="M70" s="1" t="s">
        <v>61</v>
      </c>
      <c r="N70" s="33">
        <v>74.21</v>
      </c>
      <c r="O70" s="33">
        <f t="shared" si="1"/>
        <v>38.5892</v>
      </c>
      <c r="P70" s="1">
        <f t="shared" si="2"/>
        <v>9</v>
      </c>
      <c r="Q70" s="31" t="s">
        <v>436</v>
      </c>
      <c r="R70" s="1" t="s">
        <v>437</v>
      </c>
      <c r="S70" s="14">
        <v>74.21</v>
      </c>
      <c r="T70" s="1" t="s">
        <v>95</v>
      </c>
      <c r="U70" s="1" t="s">
        <v>96</v>
      </c>
      <c r="V70" s="16">
        <v>0.52</v>
      </c>
      <c r="W70" s="14">
        <v>38.59</v>
      </c>
      <c r="X70" s="14">
        <v>0.0</v>
      </c>
      <c r="Y70" s="1" t="s">
        <v>58</v>
      </c>
      <c r="Z70" s="1"/>
      <c r="AA70" s="1"/>
      <c r="AB70" s="1"/>
      <c r="AC70" s="1"/>
      <c r="AD70" s="1"/>
      <c r="AE70" s="1"/>
      <c r="AF70" s="1"/>
      <c r="AG70" s="1"/>
      <c r="AH70" s="1"/>
    </row>
    <row r="71" ht="14.25" customHeight="1">
      <c r="A71" s="13">
        <v>1.6228684E7</v>
      </c>
      <c r="B71" s="1" t="s">
        <v>523</v>
      </c>
      <c r="C71" s="1" t="s">
        <v>524</v>
      </c>
      <c r="D71" s="1" t="s">
        <v>408</v>
      </c>
      <c r="E71" s="1" t="s">
        <v>409</v>
      </c>
      <c r="F71" s="1" t="s">
        <v>264</v>
      </c>
      <c r="G71" s="1" t="s">
        <v>54</v>
      </c>
      <c r="H71" s="1" t="s">
        <v>444</v>
      </c>
      <c r="I71" s="1" t="s">
        <v>441</v>
      </c>
      <c r="J71" s="32">
        <v>45901.0</v>
      </c>
      <c r="K71" s="32">
        <v>46174.0</v>
      </c>
      <c r="L71" s="1" t="s">
        <v>59</v>
      </c>
      <c r="M71" s="1" t="s">
        <v>61</v>
      </c>
      <c r="N71" s="33">
        <v>74.21</v>
      </c>
      <c r="O71" s="33">
        <f t="shared" si="1"/>
        <v>38.5892</v>
      </c>
      <c r="P71" s="1">
        <f t="shared" si="2"/>
        <v>9</v>
      </c>
      <c r="Q71" s="31" t="s">
        <v>436</v>
      </c>
      <c r="R71" s="1" t="s">
        <v>437</v>
      </c>
      <c r="S71" s="14">
        <v>74.21</v>
      </c>
      <c r="T71" s="1" t="s">
        <v>95</v>
      </c>
      <c r="U71" s="1" t="s">
        <v>96</v>
      </c>
      <c r="V71" s="16">
        <v>0.52</v>
      </c>
      <c r="W71" s="14">
        <v>38.59</v>
      </c>
      <c r="X71" s="14">
        <v>0.0</v>
      </c>
      <c r="Y71" s="1" t="s">
        <v>58</v>
      </c>
      <c r="Z71" s="1"/>
      <c r="AA71" s="1"/>
      <c r="AB71" s="1"/>
      <c r="AC71" s="1"/>
      <c r="AD71" s="1"/>
      <c r="AE71" s="1"/>
      <c r="AF71" s="1"/>
      <c r="AG71" s="1"/>
      <c r="AH71" s="1"/>
    </row>
    <row r="72" ht="14.25" customHeight="1">
      <c r="A72" s="13">
        <v>8307933.0</v>
      </c>
      <c r="B72" s="1" t="s">
        <v>451</v>
      </c>
      <c r="C72" s="1" t="s">
        <v>480</v>
      </c>
      <c r="D72" s="1" t="s">
        <v>219</v>
      </c>
      <c r="E72" s="1" t="s">
        <v>220</v>
      </c>
      <c r="F72" s="1" t="s">
        <v>154</v>
      </c>
      <c r="G72" s="1" t="s">
        <v>69</v>
      </c>
      <c r="H72" s="1" t="s">
        <v>452</v>
      </c>
      <c r="I72" s="1" t="s">
        <v>453</v>
      </c>
      <c r="J72" s="32">
        <v>45915.0</v>
      </c>
      <c r="K72" s="32">
        <v>46188.0</v>
      </c>
      <c r="L72" s="1" t="s">
        <v>59</v>
      </c>
      <c r="M72" s="1" t="s">
        <v>61</v>
      </c>
      <c r="N72" s="33">
        <v>198.23</v>
      </c>
      <c r="O72" s="33">
        <f t="shared" si="1"/>
        <v>133.80525</v>
      </c>
      <c r="P72" s="1">
        <f t="shared" si="2"/>
        <v>9</v>
      </c>
      <c r="Q72" s="31" t="s">
        <v>436</v>
      </c>
      <c r="R72" s="1" t="s">
        <v>437</v>
      </c>
      <c r="S72" s="14">
        <v>198.23</v>
      </c>
      <c r="T72" s="1" t="s">
        <v>95</v>
      </c>
      <c r="U72" s="1" t="s">
        <v>96</v>
      </c>
      <c r="V72" s="16">
        <v>0.675</v>
      </c>
      <c r="W72" s="14">
        <v>0.04</v>
      </c>
      <c r="X72" s="14">
        <v>-133.77</v>
      </c>
      <c r="Y72" s="1" t="s">
        <v>58</v>
      </c>
      <c r="Z72" s="1"/>
      <c r="AA72" s="1"/>
      <c r="AB72" s="1"/>
      <c r="AC72" s="1"/>
      <c r="AD72" s="1"/>
      <c r="AE72" s="1"/>
      <c r="AF72" s="1"/>
      <c r="AG72" s="1"/>
      <c r="AH72" s="1"/>
    </row>
    <row r="73" ht="14.25" customHeight="1">
      <c r="A73" s="13">
        <v>1.6228684E7</v>
      </c>
      <c r="B73" s="1" t="s">
        <v>523</v>
      </c>
      <c r="C73" s="1" t="s">
        <v>524</v>
      </c>
      <c r="D73" s="1" t="s">
        <v>148</v>
      </c>
      <c r="E73" s="1" t="s">
        <v>149</v>
      </c>
      <c r="F73" s="1" t="s">
        <v>68</v>
      </c>
      <c r="G73" s="1" t="s">
        <v>99</v>
      </c>
      <c r="H73" s="1" t="s">
        <v>452</v>
      </c>
      <c r="I73" s="1" t="s">
        <v>493</v>
      </c>
      <c r="J73" s="32">
        <v>45912.0</v>
      </c>
      <c r="K73" s="32">
        <v>46185.0</v>
      </c>
      <c r="L73" s="1" t="s">
        <v>59</v>
      </c>
      <c r="M73" s="1" t="s">
        <v>61</v>
      </c>
      <c r="N73" s="33">
        <v>99.07</v>
      </c>
      <c r="O73" s="33">
        <f t="shared" si="1"/>
        <v>133.7445</v>
      </c>
      <c r="P73" s="1">
        <f t="shared" si="2"/>
        <v>9</v>
      </c>
      <c r="Q73" s="31" t="s">
        <v>436</v>
      </c>
      <c r="R73" s="1" t="s">
        <v>437</v>
      </c>
      <c r="S73" s="14">
        <v>99.07</v>
      </c>
      <c r="T73" s="1" t="s">
        <v>95</v>
      </c>
      <c r="U73" s="1" t="s">
        <v>96</v>
      </c>
      <c r="V73" s="16">
        <v>1.35</v>
      </c>
      <c r="W73" s="14">
        <v>0.0</v>
      </c>
      <c r="X73" s="14">
        <v>-133.74</v>
      </c>
      <c r="Y73" s="1" t="s">
        <v>58</v>
      </c>
      <c r="Z73" s="1"/>
      <c r="AA73" s="1"/>
      <c r="AB73" s="1"/>
      <c r="AC73" s="1"/>
      <c r="AD73" s="1"/>
      <c r="AE73" s="1"/>
      <c r="AF73" s="1"/>
      <c r="AG73" s="1"/>
      <c r="AH73" s="1"/>
    </row>
    <row r="74" ht="14.25" customHeight="1">
      <c r="A74" s="13">
        <v>2.1561165E7</v>
      </c>
      <c r="B74" s="1" t="s">
        <v>465</v>
      </c>
      <c r="C74" s="1" t="s">
        <v>466</v>
      </c>
      <c r="D74" s="1" t="s">
        <v>295</v>
      </c>
      <c r="E74" s="1" t="s">
        <v>296</v>
      </c>
      <c r="F74" s="1" t="s">
        <v>122</v>
      </c>
      <c r="G74" s="1" t="s">
        <v>69</v>
      </c>
      <c r="H74" s="1" t="s">
        <v>449</v>
      </c>
      <c r="I74" s="1" t="s">
        <v>450</v>
      </c>
      <c r="J74" s="32">
        <v>45876.0</v>
      </c>
      <c r="K74" s="32">
        <v>46180.0</v>
      </c>
      <c r="L74" s="1" t="s">
        <v>59</v>
      </c>
      <c r="M74" s="1" t="s">
        <v>61</v>
      </c>
      <c r="N74" s="33">
        <v>19.69</v>
      </c>
      <c r="O74" s="33">
        <f t="shared" si="1"/>
        <v>29.535</v>
      </c>
      <c r="P74" s="1">
        <f t="shared" si="2"/>
        <v>10</v>
      </c>
      <c r="Q74" s="31" t="s">
        <v>436</v>
      </c>
      <c r="R74" s="1" t="s">
        <v>437</v>
      </c>
      <c r="S74" s="14">
        <v>19.69</v>
      </c>
      <c r="T74" s="1" t="s">
        <v>95</v>
      </c>
      <c r="U74" s="1" t="s">
        <v>96</v>
      </c>
      <c r="V74" s="16">
        <v>1.5</v>
      </c>
      <c r="W74" s="14">
        <v>29.54</v>
      </c>
      <c r="X74" s="14">
        <v>0.0</v>
      </c>
      <c r="Y74" s="1" t="s">
        <v>58</v>
      </c>
      <c r="Z74" s="1"/>
      <c r="AA74" s="1"/>
      <c r="AB74" s="1"/>
      <c r="AC74" s="1"/>
      <c r="AD74" s="1"/>
      <c r="AE74" s="1"/>
      <c r="AF74" s="1"/>
      <c r="AG74" s="1"/>
      <c r="AH74" s="1"/>
    </row>
    <row r="75" ht="14.25" customHeight="1">
      <c r="A75" s="13">
        <v>8244481.0</v>
      </c>
      <c r="B75" s="1" t="s">
        <v>529</v>
      </c>
      <c r="C75" s="1" t="s">
        <v>530</v>
      </c>
      <c r="D75" s="1" t="s">
        <v>173</v>
      </c>
      <c r="E75" s="1" t="s">
        <v>174</v>
      </c>
      <c r="F75" s="1" t="s">
        <v>68</v>
      </c>
      <c r="G75" s="1" t="s">
        <v>69</v>
      </c>
      <c r="H75" s="1" t="s">
        <v>473</v>
      </c>
      <c r="I75" s="1" t="s">
        <v>473</v>
      </c>
      <c r="J75" s="32">
        <v>45895.0</v>
      </c>
      <c r="K75" s="32">
        <v>46199.0</v>
      </c>
      <c r="L75" s="1" t="s">
        <v>59</v>
      </c>
      <c r="M75" s="1" t="s">
        <v>61</v>
      </c>
      <c r="N75" s="33">
        <v>19.04</v>
      </c>
      <c r="O75" s="33">
        <f t="shared" si="1"/>
        <v>21.896</v>
      </c>
      <c r="P75" s="1">
        <f t="shared" si="2"/>
        <v>10</v>
      </c>
      <c r="Q75" s="31" t="s">
        <v>436</v>
      </c>
      <c r="R75" s="1" t="s">
        <v>437</v>
      </c>
      <c r="S75" s="14">
        <v>19.04</v>
      </c>
      <c r="T75" s="1" t="s">
        <v>95</v>
      </c>
      <c r="U75" s="1" t="s">
        <v>96</v>
      </c>
      <c r="V75" s="16">
        <v>1.15</v>
      </c>
      <c r="W75" s="14">
        <v>21.9</v>
      </c>
      <c r="X75" s="14">
        <v>0.0</v>
      </c>
      <c r="Y75" s="1" t="s">
        <v>58</v>
      </c>
      <c r="Z75" s="1"/>
      <c r="AA75" s="1"/>
      <c r="AB75" s="1"/>
      <c r="AC75" s="1"/>
      <c r="AD75" s="1"/>
      <c r="AE75" s="1"/>
      <c r="AF75" s="1"/>
      <c r="AG75" s="1"/>
      <c r="AH75" s="1"/>
    </row>
    <row r="76" ht="14.25" customHeight="1">
      <c r="A76" s="13">
        <v>8244481.0</v>
      </c>
      <c r="B76" s="1" t="s">
        <v>529</v>
      </c>
      <c r="C76" s="1" t="s">
        <v>530</v>
      </c>
      <c r="D76" s="1" t="s">
        <v>169</v>
      </c>
      <c r="E76" s="1" t="s">
        <v>170</v>
      </c>
      <c r="F76" s="1" t="s">
        <v>68</v>
      </c>
      <c r="G76" s="1" t="s">
        <v>69</v>
      </c>
      <c r="H76" s="1" t="s">
        <v>473</v>
      </c>
      <c r="I76" s="1" t="s">
        <v>473</v>
      </c>
      <c r="J76" s="32">
        <v>45894.0</v>
      </c>
      <c r="K76" s="32">
        <v>46198.0</v>
      </c>
      <c r="L76" s="1" t="s">
        <v>59</v>
      </c>
      <c r="M76" s="1" t="s">
        <v>61</v>
      </c>
      <c r="N76" s="33">
        <v>19.04</v>
      </c>
      <c r="O76" s="33">
        <f t="shared" si="1"/>
        <v>21.896</v>
      </c>
      <c r="P76" s="1">
        <f t="shared" si="2"/>
        <v>10</v>
      </c>
      <c r="Q76" s="31" t="s">
        <v>436</v>
      </c>
      <c r="R76" s="1" t="s">
        <v>437</v>
      </c>
      <c r="S76" s="14">
        <v>19.04</v>
      </c>
      <c r="T76" s="1" t="s">
        <v>95</v>
      </c>
      <c r="U76" s="1" t="s">
        <v>96</v>
      </c>
      <c r="V76" s="16">
        <v>1.15</v>
      </c>
      <c r="W76" s="14">
        <v>21.9</v>
      </c>
      <c r="X76" s="14">
        <v>0.0</v>
      </c>
      <c r="Y76" s="1" t="s">
        <v>58</v>
      </c>
      <c r="Z76" s="1"/>
      <c r="AA76" s="1"/>
      <c r="AB76" s="1"/>
      <c r="AC76" s="1"/>
      <c r="AD76" s="1"/>
      <c r="AE76" s="1"/>
      <c r="AF76" s="1"/>
      <c r="AG76" s="1"/>
      <c r="AH76" s="1"/>
    </row>
    <row r="77" ht="14.25" customHeight="1">
      <c r="A77" s="13">
        <v>8977234.0</v>
      </c>
      <c r="B77" s="1" t="s">
        <v>459</v>
      </c>
      <c r="C77" s="1" t="s">
        <v>508</v>
      </c>
      <c r="D77" s="1" t="s">
        <v>185</v>
      </c>
      <c r="E77" s="1" t="s">
        <v>186</v>
      </c>
      <c r="F77" s="1" t="s">
        <v>187</v>
      </c>
      <c r="G77" s="1" t="s">
        <v>69</v>
      </c>
      <c r="H77" s="1" t="s">
        <v>449</v>
      </c>
      <c r="I77" s="1" t="s">
        <v>450</v>
      </c>
      <c r="J77" s="32">
        <v>45884.0</v>
      </c>
      <c r="K77" s="32">
        <v>46188.0</v>
      </c>
      <c r="L77" s="1" t="s">
        <v>59</v>
      </c>
      <c r="M77" s="1" t="s">
        <v>61</v>
      </c>
      <c r="N77" s="33">
        <v>58.85</v>
      </c>
      <c r="O77" s="33">
        <f t="shared" si="1"/>
        <v>88.275</v>
      </c>
      <c r="P77" s="1">
        <f t="shared" si="2"/>
        <v>10</v>
      </c>
      <c r="Q77" s="31" t="s">
        <v>436</v>
      </c>
      <c r="R77" s="1" t="s">
        <v>437</v>
      </c>
      <c r="S77" s="14">
        <v>58.85</v>
      </c>
      <c r="T77" s="1" t="s">
        <v>95</v>
      </c>
      <c r="U77" s="1" t="s">
        <v>96</v>
      </c>
      <c r="V77" s="16">
        <v>1.5</v>
      </c>
      <c r="W77" s="14">
        <v>88.28</v>
      </c>
      <c r="X77" s="14">
        <v>0.0</v>
      </c>
      <c r="Y77" s="1" t="s">
        <v>58</v>
      </c>
      <c r="Z77" s="1"/>
      <c r="AA77" s="1"/>
      <c r="AB77" s="1"/>
      <c r="AC77" s="1"/>
      <c r="AD77" s="1"/>
      <c r="AE77" s="1"/>
      <c r="AF77" s="1"/>
      <c r="AG77" s="1"/>
      <c r="AH77" s="1"/>
    </row>
    <row r="78" ht="14.25" customHeight="1">
      <c r="A78" s="13">
        <v>9213293.0</v>
      </c>
      <c r="B78" s="1" t="s">
        <v>433</v>
      </c>
      <c r="C78" s="1" t="s">
        <v>519</v>
      </c>
      <c r="D78" s="1" t="s">
        <v>322</v>
      </c>
      <c r="E78" s="1" t="s">
        <v>323</v>
      </c>
      <c r="F78" s="1" t="s">
        <v>68</v>
      </c>
      <c r="G78" s="1" t="s">
        <v>180</v>
      </c>
      <c r="H78" s="1" t="s">
        <v>434</v>
      </c>
      <c r="I78" s="1" t="s">
        <v>435</v>
      </c>
      <c r="J78" s="32">
        <v>45852.0</v>
      </c>
      <c r="K78" s="32">
        <v>46187.0</v>
      </c>
      <c r="L78" s="1" t="s">
        <v>59</v>
      </c>
      <c r="M78" s="1" t="s">
        <v>61</v>
      </c>
      <c r="N78" s="33">
        <v>54.98</v>
      </c>
      <c r="O78" s="33">
        <f t="shared" si="1"/>
        <v>74.223</v>
      </c>
      <c r="P78" s="1">
        <f t="shared" si="2"/>
        <v>11</v>
      </c>
      <c r="Q78" s="31" t="s">
        <v>436</v>
      </c>
      <c r="R78" s="1" t="s">
        <v>437</v>
      </c>
      <c r="S78" s="14">
        <v>54.98</v>
      </c>
      <c r="T78" s="1" t="s">
        <v>95</v>
      </c>
      <c r="U78" s="1" t="s">
        <v>96</v>
      </c>
      <c r="V78" s="16">
        <v>1.35</v>
      </c>
      <c r="W78" s="14">
        <v>74.22</v>
      </c>
      <c r="X78" s="14">
        <v>0.0</v>
      </c>
      <c r="Y78" s="1" t="s">
        <v>58</v>
      </c>
      <c r="Z78" s="1"/>
      <c r="AA78" s="1"/>
      <c r="AB78" s="1"/>
      <c r="AC78" s="1"/>
      <c r="AD78" s="1"/>
      <c r="AE78" s="1"/>
      <c r="AF78" s="1"/>
      <c r="AG78" s="1"/>
      <c r="AH78" s="1"/>
    </row>
    <row r="79" ht="14.25" customHeight="1">
      <c r="A79" s="13">
        <v>9213293.0</v>
      </c>
      <c r="B79" s="1" t="s">
        <v>519</v>
      </c>
      <c r="C79" s="1" t="s">
        <v>519</v>
      </c>
      <c r="D79" s="1" t="s">
        <v>241</v>
      </c>
      <c r="E79" s="1" t="s">
        <v>242</v>
      </c>
      <c r="F79" s="1" t="s">
        <v>68</v>
      </c>
      <c r="G79" s="1" t="s">
        <v>180</v>
      </c>
      <c r="H79" s="1" t="e">
        <v>#N/A</v>
      </c>
      <c r="I79" s="1" t="s">
        <v>435</v>
      </c>
      <c r="J79" s="32">
        <v>45852.0</v>
      </c>
      <c r="K79" s="32">
        <v>46187.0</v>
      </c>
      <c r="L79" s="1" t="s">
        <v>59</v>
      </c>
      <c r="M79" s="1" t="s">
        <v>61</v>
      </c>
      <c r="N79" s="33">
        <v>63.65</v>
      </c>
      <c r="O79" s="33">
        <f t="shared" si="1"/>
        <v>85.9275</v>
      </c>
      <c r="P79" s="1">
        <f t="shared" si="2"/>
        <v>11</v>
      </c>
      <c r="Q79" s="31" t="s">
        <v>436</v>
      </c>
      <c r="R79" s="1" t="s">
        <v>437</v>
      </c>
      <c r="S79" s="14">
        <v>63.65</v>
      </c>
      <c r="T79" s="1" t="s">
        <v>95</v>
      </c>
      <c r="U79" s="1" t="s">
        <v>96</v>
      </c>
      <c r="V79" s="16">
        <v>1.35</v>
      </c>
      <c r="W79" s="14">
        <v>85.93</v>
      </c>
      <c r="X79" s="14">
        <v>0.0</v>
      </c>
      <c r="Y79" s="1" t="s">
        <v>58</v>
      </c>
      <c r="Z79" s="1"/>
      <c r="AA79" s="1"/>
      <c r="AB79" s="1"/>
      <c r="AC79" s="1"/>
      <c r="AD79" s="1"/>
      <c r="AE79" s="1"/>
      <c r="AF79" s="1"/>
      <c r="AG79" s="1"/>
      <c r="AH79" s="1"/>
    </row>
    <row r="80" ht="14.25" customHeight="1">
      <c r="A80" s="13">
        <v>2.0999157E7</v>
      </c>
      <c r="B80" s="1" t="s">
        <v>531</v>
      </c>
      <c r="C80" s="1" t="s">
        <v>532</v>
      </c>
      <c r="D80" s="1" t="s">
        <v>247</v>
      </c>
      <c r="E80" s="1" t="s">
        <v>248</v>
      </c>
      <c r="F80" s="1" t="s">
        <v>68</v>
      </c>
      <c r="G80" s="1" t="s">
        <v>69</v>
      </c>
      <c r="H80" s="1" t="s">
        <v>452</v>
      </c>
      <c r="I80" s="1" t="s">
        <v>493</v>
      </c>
      <c r="J80" s="32">
        <v>45813.0</v>
      </c>
      <c r="K80" s="32">
        <v>46178.0</v>
      </c>
      <c r="L80" s="1" t="s">
        <v>59</v>
      </c>
      <c r="M80" s="1" t="s">
        <v>61</v>
      </c>
      <c r="N80" s="33">
        <v>100.06</v>
      </c>
      <c r="O80" s="33">
        <f t="shared" si="1"/>
        <v>135.081</v>
      </c>
      <c r="P80" s="1">
        <f t="shared" si="2"/>
        <v>12</v>
      </c>
      <c r="Q80" s="31" t="s">
        <v>436</v>
      </c>
      <c r="R80" s="1" t="s">
        <v>481</v>
      </c>
      <c r="S80" s="14">
        <v>100.06</v>
      </c>
      <c r="T80" s="1" t="s">
        <v>95</v>
      </c>
      <c r="U80" s="1" t="s">
        <v>96</v>
      </c>
      <c r="V80" s="16">
        <v>1.35</v>
      </c>
      <c r="W80" s="14">
        <v>135.08</v>
      </c>
      <c r="X80" s="14">
        <v>0.0</v>
      </c>
      <c r="Y80" s="1" t="s">
        <v>58</v>
      </c>
      <c r="Z80" s="1"/>
      <c r="AA80" s="1"/>
      <c r="AB80" s="1"/>
      <c r="AC80" s="1"/>
      <c r="AD80" s="1"/>
      <c r="AE80" s="1"/>
      <c r="AF80" s="1"/>
      <c r="AG80" s="1"/>
      <c r="AH80" s="1"/>
    </row>
    <row r="81" ht="14.25" customHeight="1">
      <c r="A81" s="13">
        <v>8307933.0</v>
      </c>
      <c r="B81" s="1" t="s">
        <v>451</v>
      </c>
      <c r="C81" s="1" t="s">
        <v>480</v>
      </c>
      <c r="D81" s="1" t="s">
        <v>152</v>
      </c>
      <c r="E81" s="1" t="s">
        <v>153</v>
      </c>
      <c r="F81" s="1" t="s">
        <v>154</v>
      </c>
      <c r="G81" s="1" t="s">
        <v>69</v>
      </c>
      <c r="H81" s="1" t="s">
        <v>452</v>
      </c>
      <c r="I81" s="1" t="s">
        <v>453</v>
      </c>
      <c r="J81" s="32">
        <v>45809.0</v>
      </c>
      <c r="K81" s="32">
        <v>46174.0</v>
      </c>
      <c r="L81" s="1" t="s">
        <v>59</v>
      </c>
      <c r="M81" s="1" t="s">
        <v>61</v>
      </c>
      <c r="N81" s="33">
        <v>123.4</v>
      </c>
      <c r="O81" s="33">
        <f t="shared" si="1"/>
        <v>83.295</v>
      </c>
      <c r="P81" s="1">
        <f t="shared" si="2"/>
        <v>12</v>
      </c>
      <c r="Q81" s="31" t="s">
        <v>436</v>
      </c>
      <c r="R81" s="1" t="s">
        <v>437</v>
      </c>
      <c r="S81" s="14">
        <v>123.4</v>
      </c>
      <c r="T81" s="1" t="s">
        <v>95</v>
      </c>
      <c r="U81" s="1" t="s">
        <v>96</v>
      </c>
      <c r="V81" s="16">
        <v>0.675</v>
      </c>
      <c r="W81" s="14">
        <v>83.3</v>
      </c>
      <c r="X81" s="14">
        <v>0.0</v>
      </c>
      <c r="Y81" s="1" t="s">
        <v>58</v>
      </c>
      <c r="Z81" s="1"/>
      <c r="AA81" s="1"/>
      <c r="AB81" s="1"/>
      <c r="AC81" s="1"/>
      <c r="AD81" s="1"/>
      <c r="AE81" s="1"/>
      <c r="AF81" s="1"/>
      <c r="AG81" s="1"/>
      <c r="AH81" s="1"/>
    </row>
    <row r="82" ht="14.25" customHeight="1">
      <c r="A82" s="13">
        <v>8307933.0</v>
      </c>
      <c r="B82" s="1" t="s">
        <v>451</v>
      </c>
      <c r="C82" s="1" t="s">
        <v>480</v>
      </c>
      <c r="D82" s="1" t="s">
        <v>349</v>
      </c>
      <c r="E82" s="1" t="s">
        <v>350</v>
      </c>
      <c r="F82" s="1" t="s">
        <v>68</v>
      </c>
      <c r="G82" s="1" t="s">
        <v>195</v>
      </c>
      <c r="H82" s="1" t="s">
        <v>452</v>
      </c>
      <c r="I82" s="1" t="s">
        <v>435</v>
      </c>
      <c r="J82" s="32">
        <v>45825.0</v>
      </c>
      <c r="K82" s="32">
        <v>46190.0</v>
      </c>
      <c r="L82" s="1" t="s">
        <v>59</v>
      </c>
      <c r="M82" s="1" t="s">
        <v>61</v>
      </c>
      <c r="N82" s="33">
        <v>225.39</v>
      </c>
      <c r="O82" s="33">
        <f t="shared" si="1"/>
        <v>304.2765</v>
      </c>
      <c r="P82" s="1">
        <f t="shared" si="2"/>
        <v>12</v>
      </c>
      <c r="Q82" s="31" t="s">
        <v>436</v>
      </c>
      <c r="R82" s="1" t="s">
        <v>437</v>
      </c>
      <c r="S82" s="14">
        <v>225.39</v>
      </c>
      <c r="T82" s="1" t="s">
        <v>95</v>
      </c>
      <c r="U82" s="1" t="s">
        <v>96</v>
      </c>
      <c r="V82" s="16">
        <v>1.35</v>
      </c>
      <c r="W82" s="14">
        <v>304.28</v>
      </c>
      <c r="X82" s="14">
        <v>0.0</v>
      </c>
      <c r="Y82" s="1" t="s">
        <v>58</v>
      </c>
      <c r="Z82" s="1"/>
      <c r="AA82" s="1"/>
      <c r="AB82" s="1"/>
      <c r="AC82" s="1"/>
      <c r="AD82" s="1"/>
      <c r="AE82" s="1"/>
      <c r="AF82" s="1"/>
      <c r="AG82" s="1"/>
      <c r="AH82" s="1"/>
    </row>
    <row r="83" ht="14.25" customHeight="1">
      <c r="A83" s="13">
        <v>8307933.0</v>
      </c>
      <c r="B83" s="1" t="s">
        <v>451</v>
      </c>
      <c r="C83" s="1" t="s">
        <v>480</v>
      </c>
      <c r="D83" s="1" t="s">
        <v>359</v>
      </c>
      <c r="E83" s="1" t="s">
        <v>360</v>
      </c>
      <c r="F83" s="1" t="s">
        <v>154</v>
      </c>
      <c r="G83" s="1" t="s">
        <v>195</v>
      </c>
      <c r="H83" s="1" t="s">
        <v>434</v>
      </c>
      <c r="I83" s="1" t="s">
        <v>435</v>
      </c>
      <c r="J83" s="32">
        <v>45718.0</v>
      </c>
      <c r="K83" s="32">
        <v>46175.0</v>
      </c>
      <c r="L83" s="1" t="s">
        <v>59</v>
      </c>
      <c r="M83" s="1" t="s">
        <v>61</v>
      </c>
      <c r="N83" s="33">
        <v>137.1</v>
      </c>
      <c r="O83" s="33">
        <f t="shared" si="1"/>
        <v>9.597</v>
      </c>
      <c r="P83" s="1">
        <f t="shared" si="2"/>
        <v>15</v>
      </c>
      <c r="Q83" s="31" t="s">
        <v>436</v>
      </c>
      <c r="R83" s="1" t="s">
        <v>437</v>
      </c>
      <c r="S83" s="14">
        <v>137.1</v>
      </c>
      <c r="T83" s="1" t="s">
        <v>62</v>
      </c>
      <c r="U83" s="1" t="s">
        <v>63</v>
      </c>
      <c r="V83" s="16">
        <v>0.07</v>
      </c>
      <c r="W83" s="14">
        <v>9.6</v>
      </c>
      <c r="X83" s="14">
        <v>0.0</v>
      </c>
      <c r="Y83" s="1" t="s">
        <v>58</v>
      </c>
      <c r="Z83" s="1"/>
      <c r="AA83" s="1"/>
      <c r="AB83" s="1"/>
      <c r="AC83" s="1"/>
      <c r="AD83" s="1"/>
      <c r="AE83" s="1"/>
      <c r="AF83" s="1"/>
      <c r="AG83" s="1"/>
      <c r="AH83" s="1"/>
    </row>
    <row r="84" ht="14.25" customHeight="1">
      <c r="A84" s="13">
        <v>8307933.0</v>
      </c>
      <c r="B84" s="1" t="s">
        <v>451</v>
      </c>
      <c r="C84" s="1" t="s">
        <v>480</v>
      </c>
      <c r="D84" s="1" t="s">
        <v>347</v>
      </c>
      <c r="E84" s="1" t="s">
        <v>348</v>
      </c>
      <c r="F84" s="1" t="s">
        <v>272</v>
      </c>
      <c r="G84" s="1" t="s">
        <v>69</v>
      </c>
      <c r="H84" s="1" t="s">
        <v>434</v>
      </c>
      <c r="I84" s="1" t="s">
        <v>516</v>
      </c>
      <c r="J84" s="32">
        <v>45672.0</v>
      </c>
      <c r="K84" s="32">
        <v>46188.0</v>
      </c>
      <c r="L84" s="1" t="s">
        <v>59</v>
      </c>
      <c r="M84" s="1" t="s">
        <v>61</v>
      </c>
      <c r="N84" s="33">
        <v>167.5</v>
      </c>
      <c r="O84" s="33">
        <f t="shared" si="1"/>
        <v>11.725</v>
      </c>
      <c r="P84" s="1">
        <f t="shared" si="2"/>
        <v>17</v>
      </c>
      <c r="Q84" s="31" t="s">
        <v>436</v>
      </c>
      <c r="R84" s="1" t="s">
        <v>437</v>
      </c>
      <c r="S84" s="14">
        <v>167.5</v>
      </c>
      <c r="T84" s="1" t="s">
        <v>62</v>
      </c>
      <c r="U84" s="1" t="s">
        <v>63</v>
      </c>
      <c r="V84" s="16">
        <v>0.07</v>
      </c>
      <c r="W84" s="14">
        <v>11.73</v>
      </c>
      <c r="X84" s="14">
        <v>0.0</v>
      </c>
      <c r="Y84" s="1" t="s">
        <v>58</v>
      </c>
      <c r="Z84" s="1"/>
      <c r="AA84" s="1"/>
      <c r="AB84" s="1"/>
      <c r="AC84" s="1"/>
      <c r="AD84" s="1"/>
      <c r="AE84" s="1"/>
      <c r="AF84" s="1"/>
      <c r="AG84" s="1"/>
      <c r="AH84" s="1"/>
    </row>
    <row r="85" ht="14.25" customHeight="1">
      <c r="A85" s="13">
        <v>9213293.0</v>
      </c>
      <c r="B85" s="1" t="s">
        <v>433</v>
      </c>
      <c r="C85" s="1" t="s">
        <v>519</v>
      </c>
      <c r="D85" s="1" t="s">
        <v>352</v>
      </c>
      <c r="E85" s="1" t="s">
        <v>353</v>
      </c>
      <c r="F85" s="1" t="s">
        <v>68</v>
      </c>
      <c r="G85" s="1" t="s">
        <v>195</v>
      </c>
      <c r="H85" s="1" t="s">
        <v>434</v>
      </c>
      <c r="I85" s="1" t="s">
        <v>435</v>
      </c>
      <c r="J85" s="32">
        <v>45681.0</v>
      </c>
      <c r="K85" s="32">
        <v>46197.0</v>
      </c>
      <c r="L85" s="1" t="s">
        <v>59</v>
      </c>
      <c r="M85" s="1" t="s">
        <v>61</v>
      </c>
      <c r="N85" s="33">
        <v>137.37</v>
      </c>
      <c r="O85" s="33">
        <f t="shared" si="1"/>
        <v>9.6159</v>
      </c>
      <c r="P85" s="1">
        <f t="shared" si="2"/>
        <v>17</v>
      </c>
      <c r="Q85" s="31" t="s">
        <v>436</v>
      </c>
      <c r="R85" s="1" t="s">
        <v>437</v>
      </c>
      <c r="S85" s="14">
        <v>137.37</v>
      </c>
      <c r="T85" s="1" t="s">
        <v>62</v>
      </c>
      <c r="U85" s="1" t="s">
        <v>63</v>
      </c>
      <c r="V85" s="16">
        <v>0.07</v>
      </c>
      <c r="W85" s="14">
        <v>9.62</v>
      </c>
      <c r="X85" s="14">
        <v>0.0</v>
      </c>
      <c r="Y85" s="1" t="s">
        <v>58</v>
      </c>
      <c r="Z85" s="1"/>
      <c r="AA85" s="1"/>
      <c r="AB85" s="1"/>
      <c r="AC85" s="1"/>
      <c r="AD85" s="1"/>
      <c r="AE85" s="1"/>
      <c r="AF85" s="1"/>
      <c r="AG85" s="1"/>
      <c r="AH85" s="1"/>
    </row>
    <row r="86" ht="14.25" customHeight="1">
      <c r="A86" s="13">
        <v>9213293.0</v>
      </c>
      <c r="B86" s="1" t="s">
        <v>433</v>
      </c>
      <c r="C86" s="1" t="s">
        <v>519</v>
      </c>
      <c r="D86" s="1" t="s">
        <v>344</v>
      </c>
      <c r="E86" s="1" t="s">
        <v>345</v>
      </c>
      <c r="F86" s="1" t="s">
        <v>68</v>
      </c>
      <c r="G86" s="1" t="s">
        <v>195</v>
      </c>
      <c r="H86" s="1" t="s">
        <v>434</v>
      </c>
      <c r="I86" s="1" t="s">
        <v>435</v>
      </c>
      <c r="J86" s="32">
        <v>45672.0</v>
      </c>
      <c r="K86" s="32">
        <v>46188.0</v>
      </c>
      <c r="L86" s="1" t="s">
        <v>59</v>
      </c>
      <c r="M86" s="1" t="s">
        <v>61</v>
      </c>
      <c r="N86" s="33">
        <v>71.62</v>
      </c>
      <c r="O86" s="33">
        <f t="shared" si="1"/>
        <v>5.0134</v>
      </c>
      <c r="P86" s="1">
        <f t="shared" si="2"/>
        <v>17</v>
      </c>
      <c r="Q86" s="31" t="s">
        <v>436</v>
      </c>
      <c r="R86" s="1" t="s">
        <v>437</v>
      </c>
      <c r="S86" s="14">
        <v>71.62</v>
      </c>
      <c r="T86" s="1" t="s">
        <v>62</v>
      </c>
      <c r="U86" s="1" t="s">
        <v>63</v>
      </c>
      <c r="V86" s="16">
        <v>0.07</v>
      </c>
      <c r="W86" s="14">
        <v>5.01</v>
      </c>
      <c r="X86" s="14">
        <v>0.0</v>
      </c>
      <c r="Y86" s="1" t="s">
        <v>58</v>
      </c>
      <c r="Z86" s="1"/>
      <c r="AA86" s="1"/>
      <c r="AB86" s="1"/>
      <c r="AC86" s="1"/>
      <c r="AD86" s="1"/>
      <c r="AE86" s="1"/>
      <c r="AF86" s="1"/>
      <c r="AG86" s="1"/>
      <c r="AH86" s="1"/>
    </row>
    <row r="87" ht="14.25" customHeight="1">
      <c r="A87" s="13">
        <v>8307933.0</v>
      </c>
      <c r="B87" s="1" t="s">
        <v>451</v>
      </c>
      <c r="C87" s="1" t="s">
        <v>480</v>
      </c>
      <c r="D87" s="1" t="s">
        <v>51</v>
      </c>
      <c r="E87" s="1" t="s">
        <v>52</v>
      </c>
      <c r="F87" s="1" t="s">
        <v>53</v>
      </c>
      <c r="G87" s="1" t="s">
        <v>54</v>
      </c>
      <c r="H87" s="1" t="s">
        <v>460</v>
      </c>
      <c r="I87" s="1" t="s">
        <v>458</v>
      </c>
      <c r="J87" s="32">
        <v>45627.0</v>
      </c>
      <c r="K87" s="32">
        <v>46174.0</v>
      </c>
      <c r="L87" s="1" t="s">
        <v>59</v>
      </c>
      <c r="M87" s="1" t="s">
        <v>61</v>
      </c>
      <c r="N87" s="33">
        <v>124.93</v>
      </c>
      <c r="O87" s="33">
        <f t="shared" si="1"/>
        <v>28.7339</v>
      </c>
      <c r="P87" s="1">
        <f t="shared" si="2"/>
        <v>18</v>
      </c>
      <c r="Q87" s="31" t="s">
        <v>436</v>
      </c>
      <c r="R87" s="1" t="s">
        <v>437</v>
      </c>
      <c r="S87" s="14">
        <v>105.87</v>
      </c>
      <c r="T87" s="1" t="s">
        <v>62</v>
      </c>
      <c r="U87" s="1" t="s">
        <v>63</v>
      </c>
      <c r="V87" s="16">
        <v>0.23</v>
      </c>
      <c r="W87" s="14">
        <v>24.35</v>
      </c>
      <c r="X87" s="14">
        <v>0.0</v>
      </c>
      <c r="Y87" s="1" t="s">
        <v>58</v>
      </c>
      <c r="Z87" s="1"/>
      <c r="AA87" s="1"/>
      <c r="AB87" s="1"/>
      <c r="AC87" s="1"/>
      <c r="AD87" s="1"/>
      <c r="AE87" s="1"/>
      <c r="AF87" s="1"/>
      <c r="AG87" s="1"/>
      <c r="AH87" s="1"/>
    </row>
    <row r="88" ht="14.25" customHeight="1">
      <c r="A88" s="13">
        <v>1.7886092E7</v>
      </c>
      <c r="B88" s="1" t="s">
        <v>533</v>
      </c>
      <c r="C88" s="1" t="s">
        <v>534</v>
      </c>
      <c r="D88" s="1" t="s">
        <v>356</v>
      </c>
      <c r="E88" s="1" t="s">
        <v>357</v>
      </c>
      <c r="F88" s="1" t="s">
        <v>110</v>
      </c>
      <c r="G88" s="1" t="s">
        <v>195</v>
      </c>
      <c r="H88" s="1" t="s">
        <v>434</v>
      </c>
      <c r="I88" s="1" t="s">
        <v>535</v>
      </c>
      <c r="J88" s="32">
        <v>45553.0</v>
      </c>
      <c r="K88" s="32">
        <v>46191.0</v>
      </c>
      <c r="L88" s="1" t="s">
        <v>59</v>
      </c>
      <c r="M88" s="1" t="s">
        <v>61</v>
      </c>
      <c r="N88" s="33">
        <v>52.07</v>
      </c>
      <c r="O88" s="33">
        <f t="shared" si="1"/>
        <v>1.30175</v>
      </c>
      <c r="P88" s="1">
        <f t="shared" si="2"/>
        <v>21</v>
      </c>
      <c r="Q88" s="31" t="s">
        <v>436</v>
      </c>
      <c r="R88" s="1" t="s">
        <v>437</v>
      </c>
      <c r="S88" s="14">
        <v>52.07</v>
      </c>
      <c r="T88" s="1" t="s">
        <v>62</v>
      </c>
      <c r="U88" s="1" t="s">
        <v>63</v>
      </c>
      <c r="V88" s="16">
        <v>0.025</v>
      </c>
      <c r="W88" s="14">
        <v>1.3</v>
      </c>
      <c r="X88" s="14">
        <v>0.0</v>
      </c>
      <c r="Y88" s="1" t="s">
        <v>58</v>
      </c>
      <c r="Z88" s="1"/>
      <c r="AA88" s="1"/>
      <c r="AB88" s="1"/>
      <c r="AC88" s="1"/>
      <c r="AD88" s="1"/>
      <c r="AE88" s="1"/>
      <c r="AF88" s="1"/>
      <c r="AG88" s="1"/>
      <c r="AH88" s="1"/>
    </row>
    <row r="89" ht="14.25" customHeight="1">
      <c r="A89" s="13">
        <v>8325282.0</v>
      </c>
      <c r="B89" s="1" t="s">
        <v>498</v>
      </c>
      <c r="C89" s="1" t="s">
        <v>499</v>
      </c>
      <c r="D89" s="1" t="s">
        <v>387</v>
      </c>
      <c r="E89" s="1" t="s">
        <v>388</v>
      </c>
      <c r="F89" s="1" t="s">
        <v>68</v>
      </c>
      <c r="G89" s="1" t="s">
        <v>54</v>
      </c>
      <c r="H89" s="1" t="s">
        <v>440</v>
      </c>
      <c r="I89" s="1" t="s">
        <v>441</v>
      </c>
      <c r="J89" s="32">
        <v>45550.0</v>
      </c>
      <c r="K89" s="32">
        <v>46188.0</v>
      </c>
      <c r="L89" s="1" t="s">
        <v>59</v>
      </c>
      <c r="M89" s="1" t="s">
        <v>61</v>
      </c>
      <c r="N89" s="33">
        <v>36.08</v>
      </c>
      <c r="O89" s="33">
        <f t="shared" si="1"/>
        <v>1.0824</v>
      </c>
      <c r="P89" s="1">
        <f t="shared" si="2"/>
        <v>21</v>
      </c>
      <c r="Q89" s="31" t="s">
        <v>436</v>
      </c>
      <c r="R89" s="1" t="s">
        <v>437</v>
      </c>
      <c r="S89" s="14">
        <v>36.08</v>
      </c>
      <c r="T89" s="1" t="s">
        <v>62</v>
      </c>
      <c r="U89" s="1" t="s">
        <v>63</v>
      </c>
      <c r="V89" s="16">
        <v>0.03</v>
      </c>
      <c r="W89" s="14">
        <v>1.08</v>
      </c>
      <c r="X89" s="14">
        <v>0.0</v>
      </c>
      <c r="Y89" s="1" t="s">
        <v>58</v>
      </c>
      <c r="Z89" s="1"/>
      <c r="AA89" s="1"/>
      <c r="AB89" s="1"/>
      <c r="AC89" s="1"/>
      <c r="AD89" s="1"/>
      <c r="AE89" s="1"/>
      <c r="AF89" s="1"/>
      <c r="AG89" s="1"/>
      <c r="AH89" s="1"/>
    </row>
    <row r="90" ht="14.25" customHeight="1">
      <c r="A90" s="13">
        <v>9079571.0</v>
      </c>
      <c r="B90" s="1" t="s">
        <v>456</v>
      </c>
      <c r="C90" s="1" t="s">
        <v>520</v>
      </c>
      <c r="D90" s="1" t="s">
        <v>369</v>
      </c>
      <c r="E90" s="1" t="s">
        <v>370</v>
      </c>
      <c r="F90" s="1" t="s">
        <v>122</v>
      </c>
      <c r="G90" s="1" t="s">
        <v>54</v>
      </c>
      <c r="H90" s="1" t="s">
        <v>457</v>
      </c>
      <c r="I90" s="1" t="s">
        <v>536</v>
      </c>
      <c r="J90" s="32">
        <v>45505.0</v>
      </c>
      <c r="K90" s="32">
        <v>46174.0</v>
      </c>
      <c r="L90" s="1" t="s">
        <v>59</v>
      </c>
      <c r="M90" s="1" t="s">
        <v>61</v>
      </c>
      <c r="N90" s="33">
        <v>120.5</v>
      </c>
      <c r="O90" s="33">
        <f t="shared" si="1"/>
        <v>32.535</v>
      </c>
      <c r="P90" s="1">
        <f t="shared" si="2"/>
        <v>22</v>
      </c>
      <c r="Q90" s="31" t="s">
        <v>436</v>
      </c>
      <c r="R90" s="1" t="s">
        <v>437</v>
      </c>
      <c r="S90" s="14">
        <v>120.5</v>
      </c>
      <c r="T90" s="1" t="s">
        <v>62</v>
      </c>
      <c r="U90" s="1" t="s">
        <v>63</v>
      </c>
      <c r="V90" s="16">
        <v>0.27</v>
      </c>
      <c r="W90" s="14">
        <v>32.54</v>
      </c>
      <c r="X90" s="14">
        <v>0.0</v>
      </c>
      <c r="Y90" s="1" t="s">
        <v>58</v>
      </c>
      <c r="Z90" s="1"/>
      <c r="AA90" s="1"/>
      <c r="AB90" s="1"/>
      <c r="AC90" s="1"/>
      <c r="AD90" s="1"/>
      <c r="AE90" s="1"/>
      <c r="AF90" s="1"/>
      <c r="AG90" s="1"/>
      <c r="AH90" s="1"/>
    </row>
    <row r="91" ht="14.25" customHeight="1">
      <c r="A91" s="13" t="s">
        <v>537</v>
      </c>
      <c r="B91" s="1" t="s">
        <v>538</v>
      </c>
      <c r="C91" s="1" t="s">
        <v>539</v>
      </c>
      <c r="D91" s="1" t="s">
        <v>339</v>
      </c>
      <c r="E91" s="1" t="s">
        <v>340</v>
      </c>
      <c r="F91" s="1" t="s">
        <v>110</v>
      </c>
      <c r="G91" s="1" t="s">
        <v>54</v>
      </c>
      <c r="H91" s="1" t="s">
        <v>457</v>
      </c>
      <c r="I91" s="1" t="s">
        <v>540</v>
      </c>
      <c r="J91" s="32">
        <v>45444.0</v>
      </c>
      <c r="K91" s="32">
        <v>46174.0</v>
      </c>
      <c r="L91" s="1" t="s">
        <v>59</v>
      </c>
      <c r="M91" s="1" t="s">
        <v>61</v>
      </c>
      <c r="N91" s="33">
        <v>118.77</v>
      </c>
      <c r="O91" s="33">
        <f t="shared" si="1"/>
        <v>30.28635</v>
      </c>
      <c r="P91" s="1">
        <f t="shared" si="2"/>
        <v>24</v>
      </c>
      <c r="Q91" s="31" t="s">
        <v>436</v>
      </c>
      <c r="R91" s="1" t="s">
        <v>437</v>
      </c>
      <c r="S91" s="14">
        <v>99.8</v>
      </c>
      <c r="T91" s="1" t="s">
        <v>62</v>
      </c>
      <c r="U91" s="1" t="s">
        <v>63</v>
      </c>
      <c r="V91" s="16">
        <v>0.255</v>
      </c>
      <c r="W91" s="14">
        <v>25.45</v>
      </c>
      <c r="X91" s="14">
        <v>0.0</v>
      </c>
      <c r="Y91" s="1" t="s">
        <v>58</v>
      </c>
      <c r="Z91" s="1"/>
      <c r="AA91" s="1"/>
      <c r="AB91" s="1"/>
      <c r="AC91" s="1"/>
      <c r="AD91" s="1"/>
      <c r="AE91" s="1"/>
      <c r="AF91" s="1"/>
      <c r="AG91" s="1"/>
      <c r="AH91" s="1"/>
    </row>
    <row r="92" ht="14.25" customHeight="1">
      <c r="A92" s="13">
        <v>8307933.0</v>
      </c>
      <c r="B92" s="1" t="s">
        <v>451</v>
      </c>
      <c r="C92" s="1" t="s">
        <v>480</v>
      </c>
      <c r="D92" s="1" t="s">
        <v>66</v>
      </c>
      <c r="E92" s="1" t="s">
        <v>67</v>
      </c>
      <c r="F92" s="1" t="s">
        <v>68</v>
      </c>
      <c r="G92" s="1" t="s">
        <v>69</v>
      </c>
      <c r="H92" s="1" t="s">
        <v>460</v>
      </c>
      <c r="I92" s="1" t="s">
        <v>458</v>
      </c>
      <c r="J92" s="32">
        <v>45367.0</v>
      </c>
      <c r="K92" s="32">
        <v>46189.0</v>
      </c>
      <c r="L92" s="1" t="s">
        <v>59</v>
      </c>
      <c r="M92" s="1" t="s">
        <v>61</v>
      </c>
      <c r="N92" s="33">
        <v>268.6</v>
      </c>
      <c r="O92" s="33">
        <f t="shared" si="1"/>
        <v>61.778</v>
      </c>
      <c r="P92" s="1">
        <f t="shared" si="2"/>
        <v>27</v>
      </c>
      <c r="Q92" s="31" t="s">
        <v>436</v>
      </c>
      <c r="R92" s="1" t="s">
        <v>437</v>
      </c>
      <c r="S92" s="14">
        <v>160.36</v>
      </c>
      <c r="T92" s="1" t="s">
        <v>62</v>
      </c>
      <c r="U92" s="1" t="s">
        <v>63</v>
      </c>
      <c r="V92" s="16">
        <v>0.23</v>
      </c>
      <c r="W92" s="14">
        <v>36.88</v>
      </c>
      <c r="X92" s="14">
        <v>0.0</v>
      </c>
      <c r="Y92" s="1" t="s">
        <v>58</v>
      </c>
      <c r="Z92" s="1"/>
      <c r="AA92" s="1"/>
      <c r="AB92" s="1"/>
      <c r="AC92" s="1"/>
      <c r="AD92" s="1"/>
      <c r="AE92" s="1"/>
      <c r="AF92" s="1"/>
      <c r="AG92" s="1"/>
      <c r="AH92" s="1"/>
    </row>
    <row r="93" ht="14.25" customHeight="1">
      <c r="A93" s="13">
        <v>8307933.0</v>
      </c>
      <c r="B93" s="1" t="s">
        <v>451</v>
      </c>
      <c r="C93" s="1" t="s">
        <v>480</v>
      </c>
      <c r="D93" s="1" t="s">
        <v>84</v>
      </c>
      <c r="E93" s="1" t="s">
        <v>85</v>
      </c>
      <c r="F93" s="1" t="s">
        <v>68</v>
      </c>
      <c r="G93" s="1" t="s">
        <v>69</v>
      </c>
      <c r="H93" s="1" t="s">
        <v>460</v>
      </c>
      <c r="I93" s="1" t="s">
        <v>458</v>
      </c>
      <c r="J93" s="32">
        <v>45367.0</v>
      </c>
      <c r="K93" s="32">
        <v>46189.0</v>
      </c>
      <c r="L93" s="1" t="s">
        <v>59</v>
      </c>
      <c r="M93" s="1" t="s">
        <v>61</v>
      </c>
      <c r="N93" s="33">
        <v>183.64</v>
      </c>
      <c r="O93" s="33">
        <f t="shared" si="1"/>
        <v>42.2372</v>
      </c>
      <c r="P93" s="1">
        <f t="shared" si="2"/>
        <v>27</v>
      </c>
      <c r="Q93" s="31" t="s">
        <v>436</v>
      </c>
      <c r="R93" s="1" t="s">
        <v>437</v>
      </c>
      <c r="S93" s="14">
        <v>112.82</v>
      </c>
      <c r="T93" s="1" t="s">
        <v>62</v>
      </c>
      <c r="U93" s="1" t="s">
        <v>63</v>
      </c>
      <c r="V93" s="16">
        <v>0.23</v>
      </c>
      <c r="W93" s="14">
        <v>25.95</v>
      </c>
      <c r="X93" s="14">
        <v>0.0</v>
      </c>
      <c r="Y93" s="1" t="s">
        <v>58</v>
      </c>
      <c r="Z93" s="1"/>
      <c r="AA93" s="1"/>
      <c r="AB93" s="1"/>
      <c r="AC93" s="1"/>
      <c r="AD93" s="1"/>
      <c r="AE93" s="1"/>
      <c r="AF93" s="1"/>
      <c r="AG93" s="1"/>
      <c r="AH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32"/>
      <c r="K94" s="3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32"/>
      <c r="K95" s="3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32"/>
      <c r="K96" s="3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32"/>
      <c r="K97" s="3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ht="14.25" customHeight="1">
      <c r="A98" s="41">
        <v>1.6228684E7</v>
      </c>
      <c r="B98" s="42" t="e">
        <v>#N/A</v>
      </c>
      <c r="C98" s="42" t="s">
        <v>524</v>
      </c>
      <c r="D98" s="42" t="s">
        <v>222</v>
      </c>
      <c r="E98" s="42" t="s">
        <v>223</v>
      </c>
      <c r="F98" s="42" t="s">
        <v>68</v>
      </c>
      <c r="G98" s="42" t="s">
        <v>195</v>
      </c>
      <c r="H98" s="42" t="e">
        <v>#N/A</v>
      </c>
      <c r="I98" s="42" t="s">
        <v>435</v>
      </c>
      <c r="J98" s="43">
        <v>45855.0</v>
      </c>
      <c r="K98" s="43">
        <v>46159.0</v>
      </c>
      <c r="L98" s="42" t="s">
        <v>226</v>
      </c>
      <c r="M98" s="42" t="s">
        <v>228</v>
      </c>
      <c r="N98" s="44" t="e">
        <v>#N/A</v>
      </c>
      <c r="O98" s="44" t="str">
        <f t="shared" ref="O98:O99" si="3">N98*V98</f>
        <v>#N/A</v>
      </c>
      <c r="P98" s="42"/>
      <c r="Q98" s="44"/>
      <c r="R98" s="42" t="s">
        <v>437</v>
      </c>
      <c r="S98" s="45">
        <v>0.0</v>
      </c>
      <c r="T98" s="42" t="s">
        <v>95</v>
      </c>
      <c r="U98" s="42" t="s">
        <v>229</v>
      </c>
      <c r="V98" s="46">
        <v>1.35</v>
      </c>
      <c r="W98" s="45">
        <v>-568.18</v>
      </c>
      <c r="X98" s="45">
        <v>0.0</v>
      </c>
      <c r="Y98" s="42" t="s">
        <v>541</v>
      </c>
      <c r="Z98" s="42"/>
      <c r="AA98" s="42"/>
      <c r="AB98" s="42"/>
      <c r="AC98" s="42"/>
      <c r="AD98" s="42"/>
      <c r="AE98" s="42"/>
      <c r="AF98" s="42"/>
      <c r="AG98" s="42"/>
      <c r="AH98" s="42"/>
    </row>
    <row r="99" ht="14.25" customHeight="1">
      <c r="A99" s="41">
        <v>1706194.0</v>
      </c>
      <c r="B99" s="42" t="e">
        <v>#N/A</v>
      </c>
      <c r="C99" s="42" t="s">
        <v>525</v>
      </c>
      <c r="D99" s="42" t="s">
        <v>265</v>
      </c>
      <c r="E99" s="42" t="s">
        <v>266</v>
      </c>
      <c r="F99" s="42" t="s">
        <v>216</v>
      </c>
      <c r="G99" s="42" t="s">
        <v>180</v>
      </c>
      <c r="H99" s="42" t="e">
        <v>#N/A</v>
      </c>
      <c r="I99" s="42" t="s">
        <v>450</v>
      </c>
      <c r="J99" s="43">
        <v>46001.0</v>
      </c>
      <c r="K99" s="43">
        <v>46063.0</v>
      </c>
      <c r="L99" s="42" t="s">
        <v>59</v>
      </c>
      <c r="M99" s="42" t="s">
        <v>61</v>
      </c>
      <c r="N99" s="44" t="e">
        <v>#N/A</v>
      </c>
      <c r="O99" s="44" t="str">
        <f t="shared" si="3"/>
        <v>#N/A</v>
      </c>
      <c r="P99" s="42"/>
      <c r="Q99" s="44"/>
      <c r="R99" s="42" t="s">
        <v>437</v>
      </c>
      <c r="S99" s="45">
        <v>0.0</v>
      </c>
      <c r="T99" s="42" t="s">
        <v>95</v>
      </c>
      <c r="U99" s="42" t="s">
        <v>269</v>
      </c>
      <c r="V99" s="46">
        <v>0.0</v>
      </c>
      <c r="W99" s="45">
        <v>-1485.02</v>
      </c>
      <c r="X99" s="45">
        <v>-1485.02</v>
      </c>
      <c r="Y99" s="42" t="s">
        <v>542</v>
      </c>
      <c r="Z99" s="42"/>
      <c r="AA99" s="42"/>
      <c r="AB99" s="42"/>
      <c r="AC99" s="42"/>
      <c r="AD99" s="42"/>
      <c r="AE99" s="42"/>
      <c r="AF99" s="42"/>
      <c r="AG99" s="42"/>
      <c r="AH99" s="42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32"/>
      <c r="K100" s="3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32"/>
      <c r="K101" s="3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32"/>
      <c r="K102" s="3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32"/>
      <c r="K103" s="3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32"/>
      <c r="K104" s="3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32"/>
      <c r="K105" s="3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32"/>
      <c r="K106" s="3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32"/>
      <c r="K107" s="3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32"/>
      <c r="K108" s="3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32"/>
      <c r="K109" s="3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32"/>
      <c r="K110" s="3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32"/>
      <c r="K111" s="3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32"/>
      <c r="K112" s="3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32"/>
      <c r="K113" s="3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32"/>
      <c r="K114" s="3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32"/>
      <c r="K115" s="3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32"/>
      <c r="K116" s="3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32"/>
      <c r="K117" s="3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32"/>
      <c r="K118" s="3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32"/>
      <c r="K119" s="3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32"/>
      <c r="K120" s="3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32"/>
      <c r="K121" s="3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32"/>
      <c r="K122" s="3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32"/>
      <c r="K123" s="3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32"/>
      <c r="K124" s="3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32"/>
      <c r="K125" s="3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32"/>
      <c r="K126" s="3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32"/>
      <c r="K127" s="3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32"/>
      <c r="K128" s="3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32"/>
      <c r="K129" s="3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32"/>
      <c r="K130" s="3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32"/>
      <c r="K131" s="3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32"/>
      <c r="K132" s="3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32"/>
      <c r="K133" s="3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32"/>
      <c r="K134" s="3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32"/>
      <c r="K135" s="3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32"/>
      <c r="K136" s="3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32"/>
      <c r="K137" s="3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32"/>
      <c r="K138" s="3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32"/>
      <c r="K139" s="3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32"/>
      <c r="K140" s="3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32"/>
      <c r="K141" s="3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32"/>
      <c r="K142" s="3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32"/>
      <c r="K143" s="3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32"/>
      <c r="K144" s="3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32"/>
      <c r="K145" s="3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32"/>
      <c r="K146" s="3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32"/>
      <c r="K147" s="3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32"/>
      <c r="K148" s="3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32"/>
      <c r="K149" s="3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32"/>
      <c r="K150" s="3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32"/>
      <c r="K151" s="3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32"/>
      <c r="K152" s="3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32"/>
      <c r="K153" s="3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32"/>
      <c r="K154" s="3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32"/>
      <c r="K155" s="3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32"/>
      <c r="K156" s="3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32"/>
      <c r="K157" s="3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32"/>
      <c r="K158" s="3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32"/>
      <c r="K159" s="3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32"/>
      <c r="K160" s="3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32"/>
      <c r="K161" s="3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32"/>
      <c r="K162" s="3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32"/>
      <c r="K163" s="3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32"/>
      <c r="K164" s="3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32"/>
      <c r="K165" s="3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32"/>
      <c r="K166" s="3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32"/>
      <c r="K167" s="3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32"/>
      <c r="K168" s="3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32"/>
      <c r="K169" s="3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32"/>
      <c r="K170" s="3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32"/>
      <c r="K171" s="3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32"/>
      <c r="K172" s="3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32"/>
      <c r="K173" s="3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32"/>
      <c r="K174" s="3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32"/>
      <c r="K175" s="3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32"/>
      <c r="K176" s="3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32"/>
      <c r="K177" s="3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32"/>
      <c r="K178" s="3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32"/>
      <c r="K179" s="3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32"/>
      <c r="K180" s="3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32"/>
      <c r="K181" s="3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32"/>
      <c r="K182" s="3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32"/>
      <c r="K183" s="3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32"/>
      <c r="K184" s="3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32"/>
      <c r="K185" s="3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32"/>
      <c r="K186" s="3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32"/>
      <c r="K187" s="3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32"/>
      <c r="K188" s="3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32"/>
      <c r="K189" s="3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32"/>
      <c r="K190" s="3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32"/>
      <c r="K191" s="3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32"/>
      <c r="K192" s="3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32"/>
      <c r="K193" s="3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32"/>
      <c r="K194" s="3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32"/>
      <c r="K195" s="3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32"/>
      <c r="K196" s="3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32"/>
      <c r="K197" s="3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32"/>
      <c r="K198" s="3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32"/>
      <c r="K199" s="3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32"/>
      <c r="K200" s="3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32"/>
      <c r="K201" s="3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32"/>
      <c r="K202" s="3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32"/>
      <c r="K203" s="3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32"/>
      <c r="K204" s="3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32"/>
      <c r="K205" s="3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32"/>
      <c r="K206" s="3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32"/>
      <c r="K207" s="3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32"/>
      <c r="K208" s="3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32"/>
      <c r="K209" s="3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32"/>
      <c r="K210" s="3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32"/>
      <c r="K211" s="3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32"/>
      <c r="K212" s="3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32"/>
      <c r="K213" s="3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32"/>
      <c r="K214" s="3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32"/>
      <c r="K215" s="3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32"/>
      <c r="K216" s="3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32"/>
      <c r="K217" s="3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32"/>
      <c r="K218" s="3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32"/>
      <c r="K219" s="3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32"/>
      <c r="K220" s="3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32"/>
      <c r="K221" s="3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32"/>
      <c r="K222" s="3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32"/>
      <c r="K223" s="3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32"/>
      <c r="K224" s="3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32"/>
      <c r="K225" s="3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32"/>
      <c r="K226" s="3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32"/>
      <c r="K227" s="3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32"/>
      <c r="K228" s="3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32"/>
      <c r="K229" s="3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32"/>
      <c r="K230" s="3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32"/>
      <c r="K231" s="3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32"/>
      <c r="K232" s="3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32"/>
      <c r="K233" s="3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32"/>
      <c r="K234" s="3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32"/>
      <c r="K235" s="3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32"/>
      <c r="K236" s="3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32"/>
      <c r="K237" s="3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32"/>
      <c r="K238" s="3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32"/>
      <c r="K239" s="3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32"/>
      <c r="K240" s="3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32"/>
      <c r="K241" s="3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32"/>
      <c r="K242" s="3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32"/>
      <c r="K243" s="3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32"/>
      <c r="K244" s="3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32"/>
      <c r="K245" s="3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32"/>
      <c r="K246" s="3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32"/>
      <c r="K247" s="3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32"/>
      <c r="K248" s="3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32"/>
      <c r="K249" s="3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32"/>
      <c r="K250" s="3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32"/>
      <c r="K251" s="3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32"/>
      <c r="K252" s="32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32"/>
      <c r="K253" s="32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32"/>
      <c r="K254" s="32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32"/>
      <c r="K255" s="32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32"/>
      <c r="K256" s="32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32"/>
      <c r="K257" s="32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32"/>
      <c r="K258" s="32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32"/>
      <c r="K259" s="32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32"/>
      <c r="K260" s="32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32"/>
      <c r="K261" s="32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32"/>
      <c r="K262" s="32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32"/>
      <c r="K263" s="32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32"/>
      <c r="K264" s="32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32"/>
      <c r="K265" s="32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32"/>
      <c r="K266" s="32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32"/>
      <c r="K267" s="32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32"/>
      <c r="K268" s="32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32"/>
      <c r="K269" s="32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32"/>
      <c r="K270" s="32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32"/>
      <c r="K271" s="32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32"/>
      <c r="K272" s="32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32"/>
      <c r="K273" s="32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32"/>
      <c r="K274" s="32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32"/>
      <c r="K275" s="32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32"/>
      <c r="K276" s="32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32"/>
      <c r="K277" s="32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32"/>
      <c r="K278" s="32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32"/>
      <c r="K279" s="3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32"/>
      <c r="K280" s="3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32"/>
      <c r="K281" s="3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32"/>
      <c r="K282" s="3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32"/>
      <c r="K283" s="32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32"/>
      <c r="K284" s="32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32"/>
      <c r="K285" s="32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32"/>
      <c r="K286" s="32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32"/>
      <c r="K287" s="32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32"/>
      <c r="K288" s="32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32"/>
      <c r="K289" s="32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32"/>
      <c r="K290" s="32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32"/>
      <c r="K291" s="32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32"/>
      <c r="K292" s="32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32"/>
      <c r="K293" s="32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32"/>
      <c r="K294" s="32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32"/>
      <c r="K295" s="32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32"/>
      <c r="K296" s="32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32"/>
      <c r="K297" s="32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32"/>
      <c r="K298" s="32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32"/>
      <c r="K299" s="32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32"/>
      <c r="K300" s="32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32"/>
      <c r="K301" s="32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32"/>
      <c r="K302" s="32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32"/>
      <c r="K303" s="32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32"/>
      <c r="K304" s="32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32"/>
      <c r="K305" s="32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32"/>
      <c r="K306" s="32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32"/>
      <c r="K307" s="3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32"/>
      <c r="K308" s="32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32"/>
      <c r="K309" s="32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32"/>
      <c r="K310" s="32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32"/>
      <c r="K311" s="32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32"/>
      <c r="K312" s="32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32"/>
      <c r="K313" s="32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32"/>
      <c r="K314" s="32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32"/>
      <c r="K315" s="3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32"/>
      <c r="K316" s="3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32"/>
      <c r="K317" s="3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32"/>
      <c r="K318" s="32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32"/>
      <c r="K319" s="3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32"/>
      <c r="K320" s="32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32"/>
      <c r="K321" s="3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32"/>
      <c r="K322" s="3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32"/>
      <c r="K323" s="3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32"/>
      <c r="K324" s="32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32"/>
      <c r="K325" s="32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32"/>
      <c r="K326" s="32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32"/>
      <c r="K327" s="32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32"/>
      <c r="K328" s="32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32"/>
      <c r="K329" s="32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32"/>
      <c r="K330" s="32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32"/>
      <c r="K331" s="32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32"/>
      <c r="K332" s="32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32"/>
      <c r="K333" s="32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32"/>
      <c r="K334" s="32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32"/>
      <c r="K335" s="32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32"/>
      <c r="K336" s="32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32"/>
      <c r="K337" s="32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32"/>
      <c r="K338" s="32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32"/>
      <c r="K339" s="3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32"/>
      <c r="K340" s="32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32"/>
      <c r="K341" s="3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32"/>
      <c r="K342" s="3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32"/>
      <c r="K343" s="32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32"/>
      <c r="K344" s="32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32"/>
      <c r="K345" s="32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32"/>
      <c r="K346" s="3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32"/>
      <c r="K347" s="3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32"/>
      <c r="K348" s="3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32"/>
      <c r="K349" s="32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32"/>
      <c r="K350" s="32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32"/>
      <c r="K351" s="32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32"/>
      <c r="K352" s="32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32"/>
      <c r="K353" s="32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32"/>
      <c r="K354" s="32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32"/>
      <c r="K355" s="3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32"/>
      <c r="K356" s="3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32"/>
      <c r="K357" s="3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32"/>
      <c r="K358" s="3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32"/>
      <c r="K359" s="3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32"/>
      <c r="K360" s="32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32"/>
      <c r="K361" s="32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32"/>
      <c r="K362" s="32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32"/>
      <c r="K363" s="3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32"/>
      <c r="K364" s="32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32"/>
      <c r="K365" s="32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32"/>
      <c r="K366" s="32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32"/>
      <c r="K367" s="32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32"/>
      <c r="K368" s="3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32"/>
      <c r="K369" s="32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32"/>
      <c r="K370" s="32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32"/>
      <c r="K371" s="3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32"/>
      <c r="K372" s="32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32"/>
      <c r="K373" s="3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32"/>
      <c r="K374" s="3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32"/>
      <c r="K375" s="3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32"/>
      <c r="K376" s="3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32"/>
      <c r="K377" s="3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32"/>
      <c r="K378" s="3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32"/>
      <c r="K379" s="32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32"/>
      <c r="K380" s="3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32"/>
      <c r="K381" s="32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32"/>
      <c r="K382" s="3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32"/>
      <c r="K383" s="32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32"/>
      <c r="K384" s="3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32"/>
      <c r="K385" s="3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32"/>
      <c r="K386" s="3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32"/>
      <c r="K387" s="3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32"/>
      <c r="K388" s="32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32"/>
      <c r="K389" s="32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32"/>
      <c r="K390" s="3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32"/>
      <c r="K391" s="32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32"/>
      <c r="K392" s="3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32"/>
      <c r="K393" s="3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32"/>
      <c r="K394" s="32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32"/>
      <c r="K395" s="3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32"/>
      <c r="K396" s="3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32"/>
      <c r="K397" s="3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32"/>
      <c r="K398" s="3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32"/>
      <c r="K399" s="3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32"/>
      <c r="K400" s="3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32"/>
      <c r="K401" s="3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32"/>
      <c r="K402" s="3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32"/>
      <c r="K403" s="3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32"/>
      <c r="K404" s="3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32"/>
      <c r="K405" s="3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32"/>
      <c r="K406" s="32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32"/>
      <c r="K407" s="3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32"/>
      <c r="K408" s="32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32"/>
      <c r="K409" s="32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32"/>
      <c r="K410" s="3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32"/>
      <c r="K411" s="3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32"/>
      <c r="K412" s="32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32"/>
      <c r="K413" s="32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32"/>
      <c r="K414" s="32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32"/>
      <c r="K415" s="32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32"/>
      <c r="K416" s="32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32"/>
      <c r="K417" s="32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32"/>
      <c r="K418" s="32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32"/>
      <c r="K419" s="32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32"/>
      <c r="K420" s="32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32"/>
      <c r="K421" s="32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32"/>
      <c r="K422" s="32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32"/>
      <c r="K423" s="32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32"/>
      <c r="K424" s="32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32"/>
      <c r="K425" s="32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32"/>
      <c r="K426" s="3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32"/>
      <c r="K427" s="32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32"/>
      <c r="K428" s="32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32"/>
      <c r="K429" s="3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32"/>
      <c r="K430" s="3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32"/>
      <c r="K431" s="3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32"/>
      <c r="K432" s="3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32"/>
      <c r="K433" s="3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32"/>
      <c r="K434" s="3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32"/>
      <c r="K435" s="3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32"/>
      <c r="K436" s="3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32"/>
      <c r="K437" s="3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32"/>
      <c r="K438" s="3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32"/>
      <c r="K439" s="3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32"/>
      <c r="K440" s="3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32"/>
      <c r="K441" s="3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32"/>
      <c r="K442" s="3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32"/>
      <c r="K443" s="3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32"/>
      <c r="K444" s="3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32"/>
      <c r="K445" s="3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32"/>
      <c r="K446" s="3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32"/>
      <c r="K447" s="3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32"/>
      <c r="K448" s="3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32"/>
      <c r="K449" s="3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32"/>
      <c r="K450" s="3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32"/>
      <c r="K451" s="3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32"/>
      <c r="K452" s="3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32"/>
      <c r="K453" s="3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32"/>
      <c r="K454" s="3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32"/>
      <c r="K455" s="3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32"/>
      <c r="K456" s="3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32"/>
      <c r="K457" s="3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32"/>
      <c r="K458" s="3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32"/>
      <c r="K459" s="3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32"/>
      <c r="K460" s="3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32"/>
      <c r="K461" s="3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32"/>
      <c r="K462" s="3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32"/>
      <c r="K463" s="3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32"/>
      <c r="K464" s="3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32"/>
      <c r="K465" s="3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32"/>
      <c r="K466" s="3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32"/>
      <c r="K467" s="3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32"/>
      <c r="K468" s="3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32"/>
      <c r="K469" s="3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32"/>
      <c r="K470" s="3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32"/>
      <c r="K471" s="3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32"/>
      <c r="K472" s="3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32"/>
      <c r="K473" s="3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32"/>
      <c r="K474" s="3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32"/>
      <c r="K475" s="3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32"/>
      <c r="K476" s="3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32"/>
      <c r="K477" s="3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32"/>
      <c r="K478" s="3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32"/>
      <c r="K479" s="3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32"/>
      <c r="K480" s="3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32"/>
      <c r="K481" s="3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32"/>
      <c r="K482" s="3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32"/>
      <c r="K483" s="3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32"/>
      <c r="K484" s="3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32"/>
      <c r="K485" s="3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32"/>
      <c r="K486" s="3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32"/>
      <c r="K487" s="3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32"/>
      <c r="K488" s="3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32"/>
      <c r="K489" s="3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32"/>
      <c r="K490" s="3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32"/>
      <c r="K491" s="3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32"/>
      <c r="K492" s="3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32"/>
      <c r="K493" s="3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32"/>
      <c r="K494" s="3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32"/>
      <c r="K495" s="3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32"/>
      <c r="K496" s="3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32"/>
      <c r="K497" s="3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32"/>
      <c r="K498" s="3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32"/>
      <c r="K499" s="3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32"/>
      <c r="K500" s="3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32"/>
      <c r="K501" s="3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32"/>
      <c r="K502" s="3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32"/>
      <c r="K503" s="3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32"/>
      <c r="K504" s="3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32"/>
      <c r="K505" s="3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32"/>
      <c r="K506" s="3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32"/>
      <c r="K507" s="3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32"/>
      <c r="K508" s="3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32"/>
      <c r="K509" s="3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32"/>
      <c r="K510" s="3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32"/>
      <c r="K511" s="3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32"/>
      <c r="K512" s="3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32"/>
      <c r="K513" s="3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32"/>
      <c r="K514" s="3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32"/>
      <c r="K515" s="3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32"/>
      <c r="K516" s="3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32"/>
      <c r="K517" s="3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32"/>
      <c r="K518" s="3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32"/>
      <c r="K519" s="3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32"/>
      <c r="K520" s="3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32"/>
      <c r="K521" s="3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32"/>
      <c r="K522" s="3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32"/>
      <c r="K523" s="3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32"/>
      <c r="K524" s="3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32"/>
      <c r="K525" s="3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32"/>
      <c r="K526" s="3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32"/>
      <c r="K527" s="3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32"/>
      <c r="K528" s="3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32"/>
      <c r="K529" s="3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32"/>
      <c r="K530" s="3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32"/>
      <c r="K531" s="3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32"/>
      <c r="K532" s="3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32"/>
      <c r="K533" s="3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32"/>
      <c r="K534" s="3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32"/>
      <c r="K535" s="3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32"/>
      <c r="K536" s="3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32"/>
      <c r="K537" s="3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32"/>
      <c r="K538" s="3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32"/>
      <c r="K539" s="3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32"/>
      <c r="K540" s="3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32"/>
      <c r="K541" s="3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32"/>
      <c r="K542" s="3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32"/>
      <c r="K543" s="3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32"/>
      <c r="K544" s="3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32"/>
      <c r="K545" s="3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32"/>
      <c r="K546" s="3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32"/>
      <c r="K547" s="3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32"/>
      <c r="K548" s="3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32"/>
      <c r="K549" s="3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32"/>
      <c r="K550" s="3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32"/>
      <c r="K551" s="3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32"/>
      <c r="K552" s="3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32"/>
      <c r="K553" s="3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32"/>
      <c r="K554" s="3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32"/>
      <c r="K555" s="3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32"/>
      <c r="K556" s="3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32"/>
      <c r="K557" s="3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32"/>
      <c r="K558" s="3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32"/>
      <c r="K559" s="3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32"/>
      <c r="K560" s="3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32"/>
      <c r="K561" s="3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32"/>
      <c r="K562" s="3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32"/>
      <c r="K563" s="3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32"/>
      <c r="K564" s="3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32"/>
      <c r="K565" s="3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32"/>
      <c r="K566" s="3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32"/>
      <c r="K567" s="3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32"/>
      <c r="K568" s="3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32"/>
      <c r="K569" s="3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32"/>
      <c r="K570" s="3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32"/>
      <c r="K571" s="3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32"/>
      <c r="K572" s="3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32"/>
      <c r="K573" s="3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32"/>
      <c r="K574" s="3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32"/>
      <c r="K575" s="3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32"/>
      <c r="K576" s="3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32"/>
      <c r="K577" s="3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32"/>
      <c r="K578" s="3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32"/>
      <c r="K579" s="3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32"/>
      <c r="K580" s="3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32"/>
      <c r="K581" s="3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32"/>
      <c r="K582" s="3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32"/>
      <c r="K583" s="3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32"/>
      <c r="K584" s="3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32"/>
      <c r="K585" s="3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32"/>
      <c r="K586" s="3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32"/>
      <c r="K587" s="3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32"/>
      <c r="K588" s="3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32"/>
      <c r="K589" s="3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32"/>
      <c r="K590" s="3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32"/>
      <c r="K591" s="3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32"/>
      <c r="K592" s="3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32"/>
      <c r="K593" s="3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32"/>
      <c r="K594" s="3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32"/>
      <c r="K595" s="3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32"/>
      <c r="K596" s="3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32"/>
      <c r="K597" s="3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32"/>
      <c r="K598" s="3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32"/>
      <c r="K599" s="3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32"/>
      <c r="K600" s="3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32"/>
      <c r="K601" s="3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32"/>
      <c r="K602" s="3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32"/>
      <c r="K603" s="3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32"/>
      <c r="K604" s="3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32"/>
      <c r="K605" s="3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32"/>
      <c r="K606" s="3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32"/>
      <c r="K607" s="3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32"/>
      <c r="K608" s="3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32"/>
      <c r="K609" s="3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32"/>
      <c r="K610" s="3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32"/>
      <c r="K611" s="3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32"/>
      <c r="K612" s="3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32"/>
      <c r="K613" s="3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32"/>
      <c r="K614" s="3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32"/>
      <c r="K615" s="3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32"/>
      <c r="K616" s="3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32"/>
      <c r="K617" s="3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32"/>
      <c r="K618" s="3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32"/>
      <c r="K619" s="3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32"/>
      <c r="K620" s="3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32"/>
      <c r="K621" s="3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32"/>
      <c r="K622" s="3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32"/>
      <c r="K623" s="3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32"/>
      <c r="K624" s="3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32"/>
      <c r="K625" s="3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32"/>
      <c r="K626" s="3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32"/>
      <c r="K627" s="3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32"/>
      <c r="K628" s="3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32"/>
      <c r="K629" s="3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32"/>
      <c r="K630" s="3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32"/>
      <c r="K631" s="3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32"/>
      <c r="K632" s="3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32"/>
      <c r="K633" s="3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32"/>
      <c r="K634" s="3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32"/>
      <c r="K635" s="3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32"/>
      <c r="K636" s="3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32"/>
      <c r="K637" s="3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32"/>
      <c r="K638" s="3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32"/>
      <c r="K639" s="3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32"/>
      <c r="K640" s="3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32"/>
      <c r="K641" s="3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32"/>
      <c r="K642" s="3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32"/>
      <c r="K643" s="3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32"/>
      <c r="K644" s="3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32"/>
      <c r="K645" s="3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32"/>
      <c r="K646" s="3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32"/>
      <c r="K647" s="3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32"/>
      <c r="K648" s="3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32"/>
      <c r="K649" s="3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32"/>
      <c r="K650" s="3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32"/>
      <c r="K651" s="3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32"/>
      <c r="K652" s="3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32"/>
      <c r="K653" s="3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32"/>
      <c r="K654" s="3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32"/>
      <c r="K655" s="3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32"/>
      <c r="K656" s="3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32"/>
      <c r="K657" s="3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32"/>
      <c r="K658" s="3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32"/>
      <c r="K659" s="3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32"/>
      <c r="K660" s="3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32"/>
      <c r="K661" s="3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32"/>
      <c r="K662" s="3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32"/>
      <c r="K663" s="3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32"/>
      <c r="K664" s="3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32"/>
      <c r="K665" s="3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32"/>
      <c r="K666" s="3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32"/>
      <c r="K667" s="3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32"/>
      <c r="K668" s="3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32"/>
      <c r="K669" s="3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32"/>
      <c r="K670" s="3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32"/>
      <c r="K671" s="3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32"/>
      <c r="K672" s="3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32"/>
      <c r="K673" s="3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32"/>
      <c r="K674" s="3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32"/>
      <c r="K675" s="3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32"/>
      <c r="K676" s="3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32"/>
      <c r="K677" s="3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32"/>
      <c r="K678" s="3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32"/>
      <c r="K679" s="3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32"/>
      <c r="K680" s="3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32"/>
      <c r="K681" s="3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32"/>
      <c r="K682" s="3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32"/>
      <c r="K683" s="3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32"/>
      <c r="K684" s="3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32"/>
      <c r="K685" s="3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32"/>
      <c r="K686" s="3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32"/>
      <c r="K687" s="3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32"/>
      <c r="K688" s="3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32"/>
      <c r="K689" s="3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32"/>
      <c r="K690" s="3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32"/>
      <c r="K691" s="3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32"/>
      <c r="K692" s="3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32"/>
      <c r="K693" s="3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32"/>
      <c r="K694" s="3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32"/>
      <c r="K695" s="3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32"/>
      <c r="K696" s="3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32"/>
      <c r="K697" s="3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32"/>
      <c r="K698" s="3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32"/>
      <c r="K699" s="3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32"/>
      <c r="K700" s="3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32"/>
      <c r="K701" s="3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32"/>
      <c r="K702" s="3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32"/>
      <c r="K703" s="3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32"/>
      <c r="K704" s="3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32"/>
      <c r="K705" s="3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32"/>
      <c r="K706" s="3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32"/>
      <c r="K707" s="3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32"/>
      <c r="K708" s="3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32"/>
      <c r="K709" s="3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32"/>
      <c r="K710" s="3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32"/>
      <c r="K711" s="3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32"/>
      <c r="K712" s="3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32"/>
      <c r="K713" s="3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32"/>
      <c r="K714" s="3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32"/>
      <c r="K715" s="3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32"/>
      <c r="K716" s="3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32"/>
      <c r="K717" s="3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32"/>
      <c r="K718" s="3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32"/>
      <c r="K719" s="3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32"/>
      <c r="K720" s="3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32"/>
      <c r="K721" s="3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32"/>
      <c r="K722" s="3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32"/>
      <c r="K723" s="3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32"/>
      <c r="K724" s="3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32"/>
      <c r="K725" s="3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32"/>
      <c r="K726" s="3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32"/>
      <c r="K727" s="3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32"/>
      <c r="K728" s="3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32"/>
      <c r="K729" s="3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32"/>
      <c r="K730" s="3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32"/>
      <c r="K731" s="3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32"/>
      <c r="K732" s="3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32"/>
      <c r="K733" s="3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32"/>
      <c r="K734" s="3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32"/>
      <c r="K735" s="3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32"/>
      <c r="K736" s="3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32"/>
      <c r="K737" s="3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32"/>
      <c r="K738" s="3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32"/>
      <c r="K739" s="3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32"/>
      <c r="K740" s="3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32"/>
      <c r="K741" s="3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32"/>
      <c r="K742" s="3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32"/>
      <c r="K743" s="3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32"/>
      <c r="K744" s="3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32"/>
      <c r="K745" s="3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32"/>
      <c r="K746" s="3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32"/>
      <c r="K747" s="3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32"/>
      <c r="K748" s="3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32"/>
      <c r="K749" s="3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32"/>
      <c r="K750" s="3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32"/>
      <c r="K751" s="3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32"/>
      <c r="K752" s="3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32"/>
      <c r="K753" s="3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32"/>
      <c r="K754" s="3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32"/>
      <c r="K755" s="3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32"/>
      <c r="K756" s="3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32"/>
      <c r="K757" s="3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32"/>
      <c r="K758" s="3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32"/>
      <c r="K759" s="3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32"/>
      <c r="K760" s="3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32"/>
      <c r="K761" s="3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32"/>
      <c r="K762" s="3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32"/>
      <c r="K763" s="3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32"/>
      <c r="K764" s="3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32"/>
      <c r="K765" s="3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32"/>
      <c r="K766" s="3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32"/>
      <c r="K767" s="3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32"/>
      <c r="K768" s="3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32"/>
      <c r="K769" s="3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32"/>
      <c r="K770" s="3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32"/>
      <c r="K771" s="3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32"/>
      <c r="K772" s="3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32"/>
      <c r="K773" s="3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32"/>
      <c r="K774" s="3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32"/>
      <c r="K775" s="3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32"/>
      <c r="K776" s="3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32"/>
      <c r="K777" s="3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32"/>
      <c r="K778" s="3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32"/>
      <c r="K779" s="3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32"/>
      <c r="K780" s="3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32"/>
      <c r="K781" s="3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32"/>
      <c r="K782" s="3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32"/>
      <c r="K783" s="3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32"/>
      <c r="K784" s="3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32"/>
      <c r="K785" s="3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32"/>
      <c r="K786" s="3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32"/>
      <c r="K787" s="3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32"/>
      <c r="K788" s="3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32"/>
      <c r="K789" s="3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32"/>
      <c r="K790" s="3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32"/>
      <c r="K791" s="3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32"/>
      <c r="K792" s="3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32"/>
      <c r="K793" s="3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32"/>
      <c r="K794" s="3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32"/>
      <c r="K795" s="3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32"/>
      <c r="K796" s="3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32"/>
      <c r="K797" s="3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32"/>
      <c r="K798" s="3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32"/>
      <c r="K799" s="3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32"/>
      <c r="K800" s="3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32"/>
      <c r="K801" s="3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32"/>
      <c r="K802" s="3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32"/>
      <c r="K803" s="3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32"/>
      <c r="K804" s="3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32"/>
      <c r="K805" s="3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32"/>
      <c r="K806" s="3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32"/>
      <c r="K807" s="3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32"/>
      <c r="K808" s="3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32"/>
      <c r="K809" s="3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32"/>
      <c r="K810" s="3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32"/>
      <c r="K811" s="3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32"/>
      <c r="K812" s="3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32"/>
      <c r="K813" s="3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32"/>
      <c r="K814" s="3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32"/>
      <c r="K815" s="3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32"/>
      <c r="K816" s="3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32"/>
      <c r="K817" s="3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32"/>
      <c r="K818" s="3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32"/>
      <c r="K819" s="3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32"/>
      <c r="K820" s="3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32"/>
      <c r="K821" s="3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32"/>
      <c r="K822" s="3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32"/>
      <c r="K823" s="3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32"/>
      <c r="K824" s="3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32"/>
      <c r="K825" s="3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32"/>
      <c r="K826" s="3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32"/>
      <c r="K827" s="3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32"/>
      <c r="K828" s="3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32"/>
      <c r="K829" s="3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32"/>
      <c r="K830" s="3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32"/>
      <c r="K831" s="3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32"/>
      <c r="K832" s="3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32"/>
      <c r="K833" s="3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32"/>
      <c r="K834" s="3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32"/>
      <c r="K835" s="3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32"/>
      <c r="K836" s="3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32"/>
      <c r="K837" s="3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32"/>
      <c r="K838" s="3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32"/>
      <c r="K839" s="3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32"/>
      <c r="K840" s="3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32"/>
      <c r="K841" s="3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32"/>
      <c r="K842" s="3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32"/>
      <c r="K843" s="3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32"/>
      <c r="K844" s="3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32"/>
      <c r="K845" s="3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32"/>
      <c r="K846" s="3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32"/>
      <c r="K847" s="3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32"/>
      <c r="K848" s="3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32"/>
      <c r="K849" s="3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32"/>
      <c r="K850" s="3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32"/>
      <c r="K851" s="3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32"/>
      <c r="K852" s="3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32"/>
      <c r="K853" s="3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32"/>
      <c r="K854" s="3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32"/>
      <c r="K855" s="3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32"/>
      <c r="K856" s="3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32"/>
      <c r="K857" s="3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32"/>
      <c r="K858" s="3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32"/>
      <c r="K859" s="3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32"/>
      <c r="K860" s="3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32"/>
      <c r="K861" s="3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32"/>
      <c r="K862" s="3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32"/>
      <c r="K863" s="3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32"/>
      <c r="K864" s="3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32"/>
      <c r="K865" s="3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32"/>
      <c r="K866" s="3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32"/>
      <c r="K867" s="3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32"/>
      <c r="K868" s="3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32"/>
      <c r="K869" s="3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32"/>
      <c r="K870" s="3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32"/>
      <c r="K871" s="3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32"/>
      <c r="K872" s="3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32"/>
      <c r="K873" s="3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32"/>
      <c r="K874" s="3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32"/>
      <c r="K875" s="3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32"/>
      <c r="K876" s="3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32"/>
      <c r="K877" s="3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32"/>
      <c r="K878" s="3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32"/>
      <c r="K879" s="3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32"/>
      <c r="K880" s="3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32"/>
      <c r="K881" s="3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32"/>
      <c r="K882" s="3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32"/>
      <c r="K883" s="3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32"/>
      <c r="K884" s="3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32"/>
      <c r="K885" s="3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32"/>
      <c r="K886" s="3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32"/>
      <c r="K887" s="3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32"/>
      <c r="K888" s="3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32"/>
      <c r="K889" s="3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32"/>
      <c r="K890" s="3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32"/>
      <c r="K891" s="3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32"/>
      <c r="K892" s="3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32"/>
      <c r="K893" s="3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32"/>
      <c r="K894" s="3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32"/>
      <c r="K895" s="3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32"/>
      <c r="K896" s="3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32"/>
      <c r="K897" s="3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32"/>
      <c r="K898" s="3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32"/>
      <c r="K899" s="3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32"/>
      <c r="K900" s="3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32"/>
      <c r="K901" s="3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32"/>
      <c r="K902" s="3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32"/>
      <c r="K903" s="3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32"/>
      <c r="K904" s="3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32"/>
      <c r="K905" s="3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32"/>
      <c r="K906" s="3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32"/>
      <c r="K907" s="3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32"/>
      <c r="K908" s="3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32"/>
      <c r="K909" s="3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32"/>
      <c r="K910" s="3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32"/>
      <c r="K911" s="3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32"/>
      <c r="K912" s="3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32"/>
      <c r="K913" s="3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32"/>
      <c r="K914" s="3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32"/>
      <c r="K915" s="3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32"/>
      <c r="K916" s="3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32"/>
      <c r="K917" s="3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32"/>
      <c r="K918" s="3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32"/>
      <c r="K919" s="3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32"/>
      <c r="K920" s="3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32"/>
      <c r="K921" s="3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32"/>
      <c r="K922" s="3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32"/>
      <c r="K923" s="3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32"/>
      <c r="K924" s="3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32"/>
      <c r="K925" s="3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32"/>
      <c r="K926" s="3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32"/>
      <c r="K927" s="3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32"/>
      <c r="K928" s="3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32"/>
      <c r="K929" s="3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32"/>
      <c r="K930" s="3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32"/>
      <c r="K931" s="3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32"/>
      <c r="K932" s="3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32"/>
      <c r="K933" s="3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32"/>
      <c r="K934" s="3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32"/>
      <c r="K935" s="3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32"/>
      <c r="K936" s="3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32"/>
      <c r="K937" s="3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32"/>
      <c r="K938" s="3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32"/>
      <c r="K939" s="3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32"/>
      <c r="K940" s="3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32"/>
      <c r="K941" s="3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32"/>
      <c r="K942" s="3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32"/>
      <c r="K943" s="3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32"/>
      <c r="K944" s="3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32"/>
      <c r="K945" s="3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32"/>
      <c r="K946" s="3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32"/>
      <c r="K947" s="3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32"/>
      <c r="K948" s="3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32"/>
      <c r="K949" s="3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32"/>
      <c r="K950" s="3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32"/>
      <c r="K951" s="3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32"/>
      <c r="K952" s="3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32"/>
      <c r="K953" s="3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32"/>
      <c r="K954" s="3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32"/>
      <c r="K955" s="3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32"/>
      <c r="K956" s="3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32"/>
      <c r="K957" s="3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32"/>
      <c r="K958" s="3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32"/>
      <c r="K959" s="3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32"/>
      <c r="K960" s="3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32"/>
      <c r="K961" s="3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32"/>
      <c r="K962" s="3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32"/>
      <c r="K963" s="3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32"/>
      <c r="K964" s="3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32"/>
      <c r="K965" s="3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32"/>
      <c r="K966" s="3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32"/>
      <c r="K967" s="3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32"/>
      <c r="K968" s="3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32"/>
      <c r="K969" s="3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32"/>
      <c r="K970" s="3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32"/>
      <c r="K971" s="3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32"/>
      <c r="K972" s="3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32"/>
      <c r="K973" s="3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32"/>
      <c r="K974" s="3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32"/>
      <c r="K975" s="3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32"/>
      <c r="K976" s="3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32"/>
      <c r="K977" s="3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32"/>
      <c r="K978" s="3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32"/>
      <c r="K979" s="3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32"/>
      <c r="K980" s="3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32"/>
      <c r="K981" s="3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32"/>
      <c r="K982" s="3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32"/>
      <c r="K983" s="3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32"/>
      <c r="K984" s="3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32"/>
      <c r="K985" s="3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32"/>
      <c r="K986" s="3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32"/>
      <c r="K987" s="3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32"/>
      <c r="K988" s="3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32"/>
      <c r="K989" s="3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32"/>
      <c r="K990" s="3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32"/>
      <c r="K991" s="3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32"/>
      <c r="K992" s="3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32"/>
      <c r="K993" s="3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32"/>
      <c r="K994" s="3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32"/>
      <c r="K995" s="3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32"/>
      <c r="K996" s="3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32"/>
      <c r="K997" s="3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32"/>
      <c r="K998" s="3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32"/>
      <c r="K999" s="32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32"/>
      <c r="K1000" s="32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2026-05-22T08:31:06Z</dcterms:created>
  <dc:creator>Mutual of Omaha - IS IFS Distribution Support - Cameron Gaines</dc:creator>
</cp:coreProperties>
</file>