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6\2-19-26\"/>
    </mc:Choice>
  </mc:AlternateContent>
  <xr:revisionPtr revIDLastSave="0" documentId="13_ncr:1_{A8A82DB3-8FD9-4CA1-BA0E-1A869F8B1ABA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  <sheet name="Sheet2" sheetId="4" r:id="rId4"/>
  </sheets>
  <externalReferences>
    <externalReference r:id="rId5"/>
  </externalReferences>
  <definedNames>
    <definedName name="_xlnm._FilterDatabase" localSheetId="2" hidden="1">'clean sheet'!$A$1:$U$79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" l="1" a="1"/>
  <c r="B1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<sst xmlns="http://schemas.openxmlformats.org/spreadsheetml/2006/main" count="2637" uniqueCount="432">
  <si>
    <t>MUTUAL OF OMAHA</t>
  </si>
  <si>
    <t>SUMMARY COMPENSATION STATEMENT</t>
  </si>
  <si>
    <t>For Period Ending 02/17/2026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</si>
  <si>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</si>
  <si>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</si>
  <si>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</si>
  <si>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</si>
  <si>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</si>
  <si>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</si>
  <si>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</si>
  <si>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</si>
  <si>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</si>
  <si>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</si>
  <si>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</si>
  <si>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</si>
  <si>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</si>
  <si>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</si>
  <si>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</si>
  <si>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</si>
  <si>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</si>
  <si>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</si>
  <si>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</si>
  <si>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</si>
  <si>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</si>
  <si>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</si>
  <si>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</si>
  <si>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</si>
  <si>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</si>
  <si>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</si>
  <si>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</si>
  <si>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</si>
  <si>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</si>
  <si>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</si>
  <si>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</si>
  <si>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</si>
  <si>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</si>
  <si>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</si>
  <si>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</si>
  <si>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</si>
  <si>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</si>
  <si>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</si>
  <si>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</si>
  <si>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</si>
  <si>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</si>
  <si>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</si>
  <si>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</si>
  <si>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</si>
  <si>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</si>
  <si>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0732257</t>
  </si>
  <si>
    <t>523666-97</t>
  </si>
  <si>
    <t>MOE NELS</t>
  </si>
  <si>
    <t>IL</t>
  </si>
  <si>
    <t>02/16/2026</t>
  </si>
  <si>
    <t>NM24HL</t>
  </si>
  <si>
    <t>01/01/2025</t>
  </si>
  <si>
    <t>03/01/2026</t>
  </si>
  <si>
    <t/>
  </si>
  <si>
    <t>M</t>
  </si>
  <si>
    <t>BSP</t>
  </si>
  <si>
    <t>001</t>
  </si>
  <si>
    <t>R</t>
  </si>
  <si>
    <t>RENEWAL PYMT</t>
  </si>
  <si>
    <t>100.0%</t>
  </si>
  <si>
    <t>0891923</t>
  </si>
  <si>
    <t>691883-97</t>
  </si>
  <si>
    <t>DUNN BARRY</t>
  </si>
  <si>
    <t>05/01/2025</t>
  </si>
  <si>
    <t>F</t>
  </si>
  <si>
    <t>BFY PAYMENT</t>
  </si>
  <si>
    <t>OMAHA SUPP</t>
  </si>
  <si>
    <t>0893387</t>
  </si>
  <si>
    <t>416716-97</t>
  </si>
  <si>
    <t>GOSSETT CANDY</t>
  </si>
  <si>
    <t>TN</t>
  </si>
  <si>
    <t>SM25L</t>
  </si>
  <si>
    <t>12/01/2024</t>
  </si>
  <si>
    <t>910206-96</t>
  </si>
  <si>
    <t>BARKER GREGG</t>
  </si>
  <si>
    <t>NM24HTL</t>
  </si>
  <si>
    <t>03/16/2024</t>
  </si>
  <si>
    <t>03/16/2026</t>
  </si>
  <si>
    <t>910205-96</t>
  </si>
  <si>
    <t>BARKER IRENE</t>
  </si>
  <si>
    <t>1174646</t>
  </si>
  <si>
    <t>583853-97</t>
  </si>
  <si>
    <t>DAVIS MAURICE</t>
  </si>
  <si>
    <t>02/01/2025</t>
  </si>
  <si>
    <t>512529-97</t>
  </si>
  <si>
    <t>MAHNKE PEGGY</t>
  </si>
  <si>
    <t>HEARTLAND FINANCIAL GROUP LLC</t>
  </si>
  <si>
    <t>850902-97</t>
  </si>
  <si>
    <t>BERKLEY DONALD</t>
  </si>
  <si>
    <t>11/01/2025</t>
  </si>
  <si>
    <t>0893214</t>
  </si>
  <si>
    <t>401788-41</t>
  </si>
  <si>
    <t>NICHOLSON LINDA</t>
  </si>
  <si>
    <t>01/01/2026</t>
  </si>
  <si>
    <t>UNITED</t>
  </si>
  <si>
    <t>BU5595351</t>
  </si>
  <si>
    <t>THOMAS KATHLEEN</t>
  </si>
  <si>
    <t>IXEXP1</t>
  </si>
  <si>
    <t>09/12/2025</t>
  </si>
  <si>
    <t>03/12/2026</t>
  </si>
  <si>
    <t>BU5547008</t>
  </si>
  <si>
    <t>ELLIS CAROLYNN</t>
  </si>
  <si>
    <t>TX</t>
  </si>
  <si>
    <t>02/17/2026</t>
  </si>
  <si>
    <t>09/14/2025</t>
  </si>
  <si>
    <t>03/14/2026</t>
  </si>
  <si>
    <t>BU5601741</t>
  </si>
  <si>
    <t>JETER PAUL</t>
  </si>
  <si>
    <t>NC</t>
  </si>
  <si>
    <t>09/15/2025</t>
  </si>
  <si>
    <t>03/15/2026</t>
  </si>
  <si>
    <t>BU5610346</t>
  </si>
  <si>
    <t>YOKOKAWA MASAHIRO</t>
  </si>
  <si>
    <t>10/15/2025</t>
  </si>
  <si>
    <t>BU6190433</t>
  </si>
  <si>
    <t>KING BOBBY</t>
  </si>
  <si>
    <t>AL</t>
  </si>
  <si>
    <t>TE15 1</t>
  </si>
  <si>
    <t>11/15/2025</t>
  </si>
  <si>
    <t>BU6217775</t>
  </si>
  <si>
    <t>FORD BARBARA</t>
  </si>
  <si>
    <t>02/11/2026</t>
  </si>
  <si>
    <t>12/01/2025</t>
  </si>
  <si>
    <t>02/13/2026</t>
  </si>
  <si>
    <t>BFY REVERSAL</t>
  </si>
  <si>
    <t>BU6219134</t>
  </si>
  <si>
    <t>FOLEY SHANE</t>
  </si>
  <si>
    <t>SD</t>
  </si>
  <si>
    <t>12/15/2025</t>
  </si>
  <si>
    <t>BU6219853</t>
  </si>
  <si>
    <t>KILLIAN JOHN</t>
  </si>
  <si>
    <t>MO</t>
  </si>
  <si>
    <t>BU6405705</t>
  </si>
  <si>
    <t>WALKER ALAN</t>
  </si>
  <si>
    <t>02/12/2026</t>
  </si>
  <si>
    <t>FEPG 1</t>
  </si>
  <si>
    <t>NEW COV ISS</t>
  </si>
  <si>
    <t>BU6409843</t>
  </si>
  <si>
    <t>EVERS LYDIA</t>
  </si>
  <si>
    <t>BU6417810</t>
  </si>
  <si>
    <t>SIMMONS DENISE</t>
  </si>
  <si>
    <t>CONV NEW BUS</t>
  </si>
  <si>
    <t>BU6420358</t>
  </si>
  <si>
    <t>VAUGHN LARA</t>
  </si>
  <si>
    <t>0910791</t>
  </si>
  <si>
    <t>BU5338311</t>
  </si>
  <si>
    <t>WILL ROBERT</t>
  </si>
  <si>
    <t>OH</t>
  </si>
  <si>
    <t>08/11/2025</t>
  </si>
  <si>
    <t>03/11/2026</t>
  </si>
  <si>
    <t>0819525</t>
  </si>
  <si>
    <t>BU6400042</t>
  </si>
  <si>
    <t>WILSON ILENE</t>
  </si>
  <si>
    <t>02/10/2026</t>
  </si>
  <si>
    <t>03/10/2026</t>
  </si>
  <si>
    <t>NEW ISS PYMT</t>
  </si>
  <si>
    <t>BU5428116</t>
  </si>
  <si>
    <t>KHAN MUHAMMAD</t>
  </si>
  <si>
    <t>FEPL 1</t>
  </si>
  <si>
    <t>07/14/2025</t>
  </si>
  <si>
    <t>0606680</t>
  </si>
  <si>
    <t>BU6413811</t>
  </si>
  <si>
    <t>CORNELL LINNEA</t>
  </si>
  <si>
    <t>FL</t>
  </si>
  <si>
    <t>E20201</t>
  </si>
  <si>
    <t>0815797</t>
  </si>
  <si>
    <t>BU5619694</t>
  </si>
  <si>
    <t>STEPHENS CAROL</t>
  </si>
  <si>
    <t>PA</t>
  </si>
  <si>
    <t>10/08/2025</t>
  </si>
  <si>
    <t>03/08/2026</t>
  </si>
  <si>
    <t>0891882</t>
  </si>
  <si>
    <t>BU5592709</t>
  </si>
  <si>
    <t>RODRICKS KEVIN</t>
  </si>
  <si>
    <t>JVWL 1</t>
  </si>
  <si>
    <t>09/11/2025</t>
  </si>
  <si>
    <t>0892048</t>
  </si>
  <si>
    <t>BU6358699</t>
  </si>
  <si>
    <t>CLARK LA</t>
  </si>
  <si>
    <t>02/06/2026</t>
  </si>
  <si>
    <t>03/06/2026</t>
  </si>
  <si>
    <t>1121105</t>
  </si>
  <si>
    <t>BU5346759</t>
  </si>
  <si>
    <t>MAJIGSUREN NYAMJARGAL</t>
  </si>
  <si>
    <t>06/05/2025</t>
  </si>
  <si>
    <t>03/05/2026</t>
  </si>
  <si>
    <t>BU6217774</t>
  </si>
  <si>
    <t>BUSBY CONSTANCE</t>
  </si>
  <si>
    <t>12/13/2025</t>
  </si>
  <si>
    <t>03/13/2026</t>
  </si>
  <si>
    <t>BU5539645</t>
  </si>
  <si>
    <t>BRADLEY JOSEPHINE</t>
  </si>
  <si>
    <t>BU5428088</t>
  </si>
  <si>
    <t>GHADIALY NOORJEHAN</t>
  </si>
  <si>
    <t>1099222</t>
  </si>
  <si>
    <t>BU6212432</t>
  </si>
  <si>
    <t>HAYNES CHRISTOPHER</t>
  </si>
  <si>
    <t>LA</t>
  </si>
  <si>
    <t>BU6398368</t>
  </si>
  <si>
    <t>RIVERA LIANGIELI</t>
  </si>
  <si>
    <t>02/09/2026</t>
  </si>
  <si>
    <t>NEW ISS REV</t>
  </si>
  <si>
    <t>0257168</t>
  </si>
  <si>
    <t>BU5308223</t>
  </si>
  <si>
    <t>TCHOUDEU ANNE</t>
  </si>
  <si>
    <t>OK</t>
  </si>
  <si>
    <t>06/01/2025</t>
  </si>
  <si>
    <t>BU5437791</t>
  </si>
  <si>
    <t>JOHNSON NICOLE</t>
  </si>
  <si>
    <t>07/17/2025</t>
  </si>
  <si>
    <t>03/17/2026</t>
  </si>
  <si>
    <t>0468247</t>
  </si>
  <si>
    <t>BU5516561</t>
  </si>
  <si>
    <t>PURALEWSKI GIANNA</t>
  </si>
  <si>
    <t>08/25/2025</t>
  </si>
  <si>
    <t>03/25/2026</t>
  </si>
  <si>
    <t>BU5516597</t>
  </si>
  <si>
    <t>PURALEWSKI AMARA</t>
  </si>
  <si>
    <t>08/26/2025</t>
  </si>
  <si>
    <t>03/26/2026</t>
  </si>
  <si>
    <t>BU5476019</t>
  </si>
  <si>
    <t>TOBIN DIANA</t>
  </si>
  <si>
    <t>IN</t>
  </si>
  <si>
    <t>08/15/2025</t>
  </si>
  <si>
    <t>BU6235224</t>
  </si>
  <si>
    <t>BROMUND AMATA</t>
  </si>
  <si>
    <t>BU6404920</t>
  </si>
  <si>
    <t>CORNELL CORBIN</t>
  </si>
  <si>
    <t>BU6212512</t>
  </si>
  <si>
    <t>HAYNES LORI</t>
  </si>
  <si>
    <t>BU6226945</t>
  </si>
  <si>
    <t>RIEDMANN KAREN</t>
  </si>
  <si>
    <t>AZ</t>
  </si>
  <si>
    <t>BU6228957</t>
  </si>
  <si>
    <t>TEJANI SALEM</t>
  </si>
  <si>
    <t>12/10/2025</t>
  </si>
  <si>
    <t>1164992</t>
  </si>
  <si>
    <t>BU5485340</t>
  </si>
  <si>
    <t>RAMIREZ STEWART</t>
  </si>
  <si>
    <t>20GPT1</t>
  </si>
  <si>
    <t>11/20/2025</t>
  </si>
  <si>
    <t>03/20/2026</t>
  </si>
  <si>
    <t>1227344</t>
  </si>
  <si>
    <t>BU5477819</t>
  </si>
  <si>
    <t>FLEMING TYRELLE</t>
  </si>
  <si>
    <t>MD</t>
  </si>
  <si>
    <t>E30301</t>
  </si>
  <si>
    <t>08/07/2025</t>
  </si>
  <si>
    <t>03/07/2026</t>
  </si>
  <si>
    <t>BU5650906</t>
  </si>
  <si>
    <t>MOORE GARY</t>
  </si>
  <si>
    <t>KS</t>
  </si>
  <si>
    <t>10/10/2025</t>
  </si>
  <si>
    <t>0957310</t>
  </si>
  <si>
    <t>978415-96</t>
  </si>
  <si>
    <t>LOPEZ FRANCES</t>
  </si>
  <si>
    <t>UM35HLV</t>
  </si>
  <si>
    <t>06/01/2024</t>
  </si>
  <si>
    <t>0648177</t>
  </si>
  <si>
    <t>691951-96</t>
  </si>
  <si>
    <t>MCDEVITT PAUL</t>
  </si>
  <si>
    <t>11/01/2023</t>
  </si>
  <si>
    <t>06/01/2026</t>
  </si>
  <si>
    <t>Q</t>
  </si>
  <si>
    <t>REG</t>
  </si>
  <si>
    <t>003</t>
  </si>
  <si>
    <t>INNOVATIVE FINANCIAL PARTNERS LLC</t>
  </si>
  <si>
    <t>BU5062572</t>
  </si>
  <si>
    <t>MARSHALL JOHNNIETTE</t>
  </si>
  <si>
    <t>01/15/2025</t>
  </si>
  <si>
    <t>BU5182312</t>
  </si>
  <si>
    <t>JOHNSON BRET</t>
  </si>
  <si>
    <t>MT</t>
  </si>
  <si>
    <t>04/16/2025</t>
  </si>
  <si>
    <t>BU5168075</t>
  </si>
  <si>
    <t>HARTRY NATHAN</t>
  </si>
  <si>
    <t>04/10/2025</t>
  </si>
  <si>
    <t>BU5168071</t>
  </si>
  <si>
    <t>HEINERT JOLENE</t>
  </si>
  <si>
    <t>03/15/2025</t>
  </si>
  <si>
    <t>BU5108099</t>
  </si>
  <si>
    <t>MATTHEWS DONNETTE</t>
  </si>
  <si>
    <t>03/02/2025</t>
  </si>
  <si>
    <t>01/02/2026</t>
  </si>
  <si>
    <t>BU5169532</t>
  </si>
  <si>
    <t>GONZALEZ LORENA</t>
  </si>
  <si>
    <t>03/10/2025</t>
  </si>
  <si>
    <t>BU5169468</t>
  </si>
  <si>
    <t>GONZALEZ ANGEL</t>
  </si>
  <si>
    <t>BU5062646</t>
  </si>
  <si>
    <t>MARSHALL FREDDIE</t>
  </si>
  <si>
    <t>01/24/2025</t>
  </si>
  <si>
    <t>03/24/2026</t>
  </si>
  <si>
    <t>BU5045360</t>
  </si>
  <si>
    <t>JOHNSON SHELLEY</t>
  </si>
  <si>
    <t>BU5255661</t>
  </si>
  <si>
    <t>OSBORNE DAVID</t>
  </si>
  <si>
    <t>05/15/2025</t>
  </si>
  <si>
    <t>BU5255660</t>
  </si>
  <si>
    <t>OSBORNE CARRIE</t>
  </si>
  <si>
    <t>MUTUAL</t>
  </si>
  <si>
    <t>0816910</t>
  </si>
  <si>
    <t>961571-96</t>
  </si>
  <si>
    <t>BIEBERICH JANE</t>
  </si>
  <si>
    <t>MM25HL</t>
  </si>
  <si>
    <t>871900-96</t>
  </si>
  <si>
    <t>BIEBERICH DAVID</t>
  </si>
  <si>
    <t>03/01/2024</t>
  </si>
  <si>
    <t>360629-97</t>
  </si>
  <si>
    <t>MORGAN ROBERT</t>
  </si>
  <si>
    <t>MM35HL</t>
  </si>
  <si>
    <t>08/01/2024</t>
  </si>
  <si>
    <t>0513364</t>
  </si>
  <si>
    <t>564587-97</t>
  </si>
  <si>
    <t>SEPSEY DAVID</t>
  </si>
  <si>
    <t>DNT5IL</t>
  </si>
  <si>
    <t>564582-97</t>
  </si>
  <si>
    <t>SEPSEY ARACELIS</t>
  </si>
  <si>
    <t>552778-97</t>
  </si>
  <si>
    <t>ADAMS KAYLA</t>
  </si>
  <si>
    <t>DNT2IL</t>
  </si>
  <si>
    <t>421672-97</t>
  </si>
  <si>
    <t>SEPSIS DEMETRI</t>
  </si>
  <si>
    <t>09/15/2024</t>
  </si>
  <si>
    <t>637501-97</t>
  </si>
  <si>
    <t>ALPIZAR DANIELA</t>
  </si>
  <si>
    <t>03/07/2025</t>
  </si>
  <si>
    <t>579927-97</t>
  </si>
  <si>
    <t>GREEN JODIE</t>
  </si>
  <si>
    <t>DNT2BL</t>
  </si>
  <si>
    <t>1169782</t>
  </si>
  <si>
    <t>413598-41</t>
  </si>
  <si>
    <t>TORRES JUAN</t>
  </si>
  <si>
    <t>12/14/2025</t>
  </si>
  <si>
    <t>322331-41</t>
  </si>
  <si>
    <t>MERRICK DAVID</t>
  </si>
  <si>
    <t>353822-41</t>
  </si>
  <si>
    <t>KOSIAK CARRIE</t>
  </si>
  <si>
    <t>12/05/2025</t>
  </si>
  <si>
    <t>04/05/2026</t>
  </si>
  <si>
    <t>818227-97</t>
  </si>
  <si>
    <t>HARRIS JAMES</t>
  </si>
  <si>
    <t>DNT2EL</t>
  </si>
  <si>
    <t>09/01/2025</t>
  </si>
  <si>
    <t>818239-97</t>
  </si>
  <si>
    <t>HARRIS KATHRYN</t>
  </si>
  <si>
    <t>1093252</t>
  </si>
  <si>
    <t>856935-97</t>
  </si>
  <si>
    <t>ANDRE JAMES</t>
  </si>
  <si>
    <t>807015-97</t>
  </si>
  <si>
    <t>JONES RENEE</t>
  </si>
  <si>
    <t>08/01/2025</t>
  </si>
  <si>
    <t>826678-97</t>
  </si>
  <si>
    <t>BENITEZ JOVITO</t>
  </si>
  <si>
    <t>0938286</t>
  </si>
  <si>
    <t>403893-41</t>
  </si>
  <si>
    <t>OCONNELL THOMAS</t>
  </si>
  <si>
    <t>0899216</t>
  </si>
  <si>
    <t>390478-41</t>
  </si>
  <si>
    <t>NOGER ERIC</t>
  </si>
  <si>
    <t>MM20HL</t>
  </si>
  <si>
    <t>Med Supp IL/DE/TX/IN Ages 65-83</t>
  </si>
  <si>
    <t>Med Supp MD/NJ/TN/VA/WY Ages 65-83 2025</t>
  </si>
  <si>
    <t>2024 Term Life Express: IXEXP1 Term Life Conversion to IUL in years 6+ of term issue date</t>
  </si>
  <si>
    <t>Universal Life</t>
  </si>
  <si>
    <t>IUL express</t>
  </si>
  <si>
    <t>Term Life Express</t>
  </si>
  <si>
    <t>Living Promise Graded</t>
  </si>
  <si>
    <t>FEX Level Ages 45-80</t>
  </si>
  <si>
    <t>2024 Final Expense: Level Product Commission Ages 45-80</t>
  </si>
  <si>
    <t>ACCUM UL TP</t>
  </si>
  <si>
    <t>Children S - Whole Life</t>
  </si>
  <si>
    <t>Final Expense: Level Product Commission Ages 81-85</t>
  </si>
  <si>
    <t>Term Life Answers- 20 &amp; 30 year terms</t>
  </si>
  <si>
    <t>Medicare Supp- PA Plans High Deductible F,G,&amp;N 65+</t>
  </si>
  <si>
    <t>MD HD F,G,N</t>
  </si>
  <si>
    <t>National Dental</t>
  </si>
  <si>
    <t>MD Plan A NB, Internal &amp; External Replace (Open Enrollment, Underwritten) Ages 65-80</t>
  </si>
  <si>
    <t>MLB product</t>
  </si>
  <si>
    <t>17528908N</t>
  </si>
  <si>
    <t>19278370old</t>
  </si>
  <si>
    <t>7565575old</t>
  </si>
  <si>
    <t>agent name</t>
  </si>
  <si>
    <t>Gregory Hansford</t>
  </si>
  <si>
    <t>Ricardo Santos</t>
  </si>
  <si>
    <t>Gregory Teipel</t>
  </si>
  <si>
    <t>Michael Dunavant</t>
  </si>
  <si>
    <t>Jason Roller</t>
  </si>
  <si>
    <t>Steven Brandt</t>
  </si>
  <si>
    <t>Gary Portugal</t>
  </si>
  <si>
    <t>Ryan Caltagirone</t>
  </si>
  <si>
    <t>Deborah Inskipt</t>
  </si>
  <si>
    <t>Andrew Choi</t>
  </si>
  <si>
    <t>Richard Yale</t>
  </si>
  <si>
    <t>Odmaa Enkhtur</t>
  </si>
  <si>
    <t>Matthew Daugherty</t>
  </si>
  <si>
    <t>Thomas Pardue</t>
  </si>
  <si>
    <t>Pamela Deaton</t>
  </si>
  <si>
    <t>Brian Strohman</t>
  </si>
  <si>
    <t>Taliah Ferguson</t>
  </si>
  <si>
    <t>Anne Marie Kozacheck</t>
  </si>
  <si>
    <t>Jason Hoffmann</t>
  </si>
  <si>
    <t>Adam Richter</t>
  </si>
  <si>
    <t>Dale Walenga</t>
  </si>
  <si>
    <t>Victor Fuentes</t>
  </si>
  <si>
    <t>Robert Shapiro</t>
  </si>
  <si>
    <t>Christian Taugner</t>
  </si>
  <si>
    <t>Ronald Max</t>
  </si>
  <si>
    <t>monthly premium</t>
  </si>
  <si>
    <t>GREGORY TEIPEL</t>
  </si>
  <si>
    <t>Medicare Supplement Plan G</t>
  </si>
  <si>
    <t>Iul Express</t>
  </si>
  <si>
    <t>Term Life Express 10 15 20 30</t>
  </si>
  <si>
    <t>Tle 20-20yr Guar</t>
  </si>
  <si>
    <t xml:space="preserve">Living Promise-graded                   </t>
  </si>
  <si>
    <t xml:space="preserve">Living Promise - Level  Benefit         </t>
  </si>
  <si>
    <t xml:space="preserve">Children S - Whole Life                 </t>
  </si>
  <si>
    <t>Term Life Answer 10 15 20 30</t>
  </si>
  <si>
    <t>Medicare Supplement Plan N</t>
  </si>
  <si>
    <t xml:space="preserve">Protection  Plan (c) Dnt5i              </t>
  </si>
  <si>
    <t xml:space="preserve">Preferred Plan (a) Dnt2i                </t>
  </si>
  <si>
    <t xml:space="preserve">Preferred Plan (a) Dnt2b                </t>
  </si>
  <si>
    <t xml:space="preserve">Preferred Plan (a) Dnt2e                </t>
  </si>
  <si>
    <t>Medicare Supplement Plan A</t>
  </si>
  <si>
    <t>bob product</t>
  </si>
  <si>
    <t>monthly comm</t>
  </si>
  <si>
    <t>paycode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</si>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</sst>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5" x14ac:knownFonts="1">
    <font>
      <sz val="11"/>
      <name val="Calibri"/>
    </font>
    <font>
      <sz val="11"/>
      <name val="Arial"/>
    </font>
    <font>
      <b/>
      <sz val="11"/>
      <name val="Arial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4" fontId="1" fillId="2" borderId="0" xfId="0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MOO\BOB.xlsx" TargetMode="External"/><Relationship Id="rId1" Type="http://schemas.openxmlformats.org/officeDocument/2006/relationships/externalLinkPath" Target="/Shared%20drives/Main%20Line%20Benefits%20Office/Commissions/Commission%20Processing/Carrier%20Statements/MOO/B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55790-1771959152635"/>
      <sheetName val="Sheet1"/>
    </sheetNames>
    <sheetDataSet>
      <sheetData sheetId="0" refreshError="1"/>
      <sheetData sheetId="1">
        <row r="1">
          <cell r="A1" t="str">
            <v>BU4980964</v>
          </cell>
          <cell r="B1" t="str">
            <v>Gregory Teipel</v>
          </cell>
          <cell r="C1">
            <v>237.63</v>
          </cell>
          <cell r="D1" t="str">
            <v>Term Life Express 10 15 20 30</v>
          </cell>
        </row>
        <row r="2">
          <cell r="A2" t="str">
            <v>BU4446545</v>
          </cell>
          <cell r="B2" t="str">
            <v>Matthew Daugherty</v>
          </cell>
          <cell r="C2">
            <v>121.94</v>
          </cell>
          <cell r="D2" t="str">
            <v>Term Life</v>
          </cell>
        </row>
        <row r="3">
          <cell r="A3" t="str">
            <v>BU4920815</v>
          </cell>
          <cell r="B3" t="str">
            <v>Ronald Max</v>
          </cell>
          <cell r="C3">
            <v>102.89</v>
          </cell>
          <cell r="D3" t="str">
            <v>Iul Express</v>
          </cell>
        </row>
        <row r="4">
          <cell r="A4" t="str">
            <v>693332-97</v>
          </cell>
          <cell r="B4" t="str">
            <v>Chad Bender</v>
          </cell>
          <cell r="C4">
            <v>104.8</v>
          </cell>
          <cell r="D4" t="str">
            <v>Medicare Supplement Plan N</v>
          </cell>
        </row>
        <row r="5">
          <cell r="A5" t="str">
            <v>322331-41</v>
          </cell>
          <cell r="B5" t="str">
            <v>Dale Walenga</v>
          </cell>
          <cell r="C5">
            <v>36.08</v>
          </cell>
          <cell r="D5" t="str">
            <v xml:space="preserve">Protection  Plan (c) Dnt5i              </v>
          </cell>
        </row>
        <row r="6">
          <cell r="A6" t="str">
            <v>BU4474389</v>
          </cell>
          <cell r="B6" t="str">
            <v>Matthew Daugherty</v>
          </cell>
          <cell r="C6">
            <v>75.83</v>
          </cell>
          <cell r="D6" t="str">
            <v>Term Life Express 10 15 20 30</v>
          </cell>
        </row>
        <row r="7">
          <cell r="A7" t="str">
            <v>BU6328041</v>
          </cell>
          <cell r="B7" t="str">
            <v>Gregory Teipel</v>
          </cell>
          <cell r="C7">
            <v>186.64</v>
          </cell>
          <cell r="D7" t="str">
            <v>Iul Express</v>
          </cell>
        </row>
        <row r="8">
          <cell r="A8" t="str">
            <v>BU5431854</v>
          </cell>
          <cell r="B8" t="str">
            <v>Jason Roller</v>
          </cell>
          <cell r="C8">
            <v>2364.5</v>
          </cell>
          <cell r="D8" t="str">
            <v xml:space="preserve">Living Promise - Level  Benefit         </v>
          </cell>
        </row>
        <row r="9">
          <cell r="A9" t="str">
            <v>415807-41</v>
          </cell>
          <cell r="B9" t="str">
            <v>Victor Fuentes</v>
          </cell>
          <cell r="C9">
            <v>72.33</v>
          </cell>
          <cell r="D9" t="str">
            <v xml:space="preserve">Preferred Plan (a) Dnt2e                </v>
          </cell>
        </row>
        <row r="10">
          <cell r="A10" t="str">
            <v>412741-97</v>
          </cell>
          <cell r="B10" t="str">
            <v>Adam Richter</v>
          </cell>
          <cell r="C10">
            <v>150.13999999999999</v>
          </cell>
          <cell r="D10" t="str">
            <v>Medicare Supplement Plan G</v>
          </cell>
        </row>
        <row r="11">
          <cell r="A11" t="str">
            <v>BU6285679</v>
          </cell>
          <cell r="B11" t="str">
            <v>Matthew Daugherty</v>
          </cell>
          <cell r="C11">
            <v>233.74</v>
          </cell>
          <cell r="D11" t="str">
            <v>Iul Express</v>
          </cell>
        </row>
        <row r="12">
          <cell r="A12" t="str">
            <v>BU6330150</v>
          </cell>
          <cell r="B12" t="str">
            <v>Gregory Teipel</v>
          </cell>
          <cell r="C12">
            <v>211.13</v>
          </cell>
          <cell r="D12" t="str">
            <v>Term Life Express 10 15 20 30</v>
          </cell>
        </row>
        <row r="13">
          <cell r="A13" t="str">
            <v>BU6235205</v>
          </cell>
          <cell r="B13" t="str">
            <v>Matthew Daugherty</v>
          </cell>
          <cell r="C13">
            <v>292.95</v>
          </cell>
          <cell r="D13" t="str">
            <v>Iul Express</v>
          </cell>
        </row>
        <row r="14">
          <cell r="A14" t="str">
            <v>522991-97</v>
          </cell>
          <cell r="B14" t="str">
            <v>Richard Yale</v>
          </cell>
          <cell r="C14">
            <v>36.72</v>
          </cell>
          <cell r="D14" t="str">
            <v xml:space="preserve">Protection  Plan (c) Dnt5i              </v>
          </cell>
        </row>
        <row r="15">
          <cell r="A15" t="str">
            <v>BU3851564</v>
          </cell>
          <cell r="B15" t="str">
            <v>Adam Richter</v>
          </cell>
          <cell r="C15">
            <v>98.88</v>
          </cell>
          <cell r="D15" t="str">
            <v>Term Life Express 10 15 20 30</v>
          </cell>
        </row>
        <row r="16">
          <cell r="A16" t="str">
            <v>BU5509175</v>
          </cell>
          <cell r="B16" t="str">
            <v>Gregory Teipel</v>
          </cell>
          <cell r="C16">
            <v>63.9</v>
          </cell>
          <cell r="D16" t="str">
            <v xml:space="preserve">Living Promise-graded                   </v>
          </cell>
        </row>
        <row r="17">
          <cell r="A17" t="str">
            <v>BU6219853</v>
          </cell>
          <cell r="B17" t="str">
            <v>Gregory Teipel</v>
          </cell>
          <cell r="C17">
            <v>194.02</v>
          </cell>
          <cell r="D17" t="str">
            <v>Term Life Express 10 15 20 30</v>
          </cell>
        </row>
        <row r="18">
          <cell r="A18" t="str">
            <v>BU5009533</v>
          </cell>
          <cell r="B18" t="str">
            <v>Colleen Finnigan</v>
          </cell>
          <cell r="C18">
            <v>122.58</v>
          </cell>
          <cell r="D18" t="str">
            <v>Iul Express</v>
          </cell>
        </row>
        <row r="19">
          <cell r="A19" t="str">
            <v>BU5055579</v>
          </cell>
          <cell r="B19" t="str">
            <v>Gregory Teipel</v>
          </cell>
          <cell r="C19">
            <v>105.74</v>
          </cell>
          <cell r="D19" t="str">
            <v>Iul Express</v>
          </cell>
        </row>
        <row r="20">
          <cell r="A20" t="str">
            <v>811513-97</v>
          </cell>
          <cell r="B20" t="str">
            <v>Chad Yale</v>
          </cell>
          <cell r="C20">
            <v>44.36</v>
          </cell>
          <cell r="D20" t="str">
            <v xml:space="preserve">Protection  Plan (c) Dnt5i              </v>
          </cell>
        </row>
        <row r="21">
          <cell r="A21" t="str">
            <v>BU4995452</v>
          </cell>
          <cell r="B21" t="str">
            <v>Thomas Pardue</v>
          </cell>
          <cell r="C21">
            <v>28.66</v>
          </cell>
          <cell r="D21" t="str">
            <v>Term Life Express 10 15 20 30</v>
          </cell>
        </row>
        <row r="22">
          <cell r="A22" t="str">
            <v>BU6235097</v>
          </cell>
          <cell r="B22" t="str">
            <v>Matthew Daugherty</v>
          </cell>
          <cell r="C22">
            <v>141.84</v>
          </cell>
          <cell r="D22" t="str">
            <v>Term Life Express 10 15 20 30</v>
          </cell>
        </row>
        <row r="23">
          <cell r="A23" t="str">
            <v>548895-97</v>
          </cell>
          <cell r="B23" t="str">
            <v>Jacob Yale</v>
          </cell>
          <cell r="C23">
            <v>32.82</v>
          </cell>
          <cell r="D23" t="str">
            <v xml:space="preserve">Protection  Plan (c) Dnt5b              </v>
          </cell>
        </row>
        <row r="24">
          <cell r="A24" t="str">
            <v>BU5065764</v>
          </cell>
          <cell r="B24" t="str">
            <v>Thomas Pardue</v>
          </cell>
          <cell r="C24">
            <v>32.49</v>
          </cell>
          <cell r="D24" t="str">
            <v xml:space="preserve">Living Promise-graded                   </v>
          </cell>
        </row>
        <row r="25">
          <cell r="A25" t="str">
            <v>373674-97</v>
          </cell>
          <cell r="B25" t="str">
            <v>Adam Richter</v>
          </cell>
          <cell r="C25">
            <v>204.03</v>
          </cell>
          <cell r="D25" t="str">
            <v>Medicare Supplement Plan G</v>
          </cell>
        </row>
        <row r="26">
          <cell r="A26" t="str">
            <v>403893-41</v>
          </cell>
          <cell r="B26" t="str">
            <v>Christian Taugner</v>
          </cell>
          <cell r="C26">
            <v>72.33</v>
          </cell>
          <cell r="D26" t="str">
            <v xml:space="preserve">Preferred Plan (a) Dnt2e                </v>
          </cell>
        </row>
        <row r="27">
          <cell r="A27" t="str">
            <v>BU5305579</v>
          </cell>
          <cell r="B27" t="str">
            <v>Gregory Teipel</v>
          </cell>
          <cell r="C27">
            <v>220.93</v>
          </cell>
          <cell r="D27" t="str">
            <v>Iul Express</v>
          </cell>
        </row>
        <row r="28">
          <cell r="A28" t="str">
            <v>BU3882061</v>
          </cell>
          <cell r="B28" t="str">
            <v>Ashley Teipel</v>
          </cell>
          <cell r="C28">
            <v>130.21</v>
          </cell>
          <cell r="D28" t="str">
            <v>Term Life Express 10 15 20 30</v>
          </cell>
        </row>
        <row r="29">
          <cell r="A29" t="str">
            <v>780733-96</v>
          </cell>
          <cell r="B29" t="str">
            <v>Adam Richter</v>
          </cell>
          <cell r="C29">
            <v>250.85</v>
          </cell>
          <cell r="D29" t="str">
            <v>Medicare Supplement Plan G</v>
          </cell>
        </row>
        <row r="30">
          <cell r="A30" t="str">
            <v>BU5516959</v>
          </cell>
          <cell r="B30" t="str">
            <v>Ryan Caltagirone</v>
          </cell>
          <cell r="C30">
            <v>114.92</v>
          </cell>
          <cell r="D30" t="str">
            <v>Iul Express</v>
          </cell>
        </row>
        <row r="31">
          <cell r="A31" t="str">
            <v>BU5398833</v>
          </cell>
          <cell r="B31" t="str">
            <v>Ryan Caltagirone</v>
          </cell>
          <cell r="C31">
            <v>164.03</v>
          </cell>
          <cell r="D31" t="str">
            <v>Tle 20-20yr Guar</v>
          </cell>
        </row>
        <row r="32">
          <cell r="A32" t="str">
            <v>BU4389626</v>
          </cell>
          <cell r="B32" t="str">
            <v>Gregory Teipel</v>
          </cell>
          <cell r="C32">
            <v>60.97</v>
          </cell>
          <cell r="D32" t="str">
            <v>Term Life Express 10 15 20 30</v>
          </cell>
        </row>
        <row r="33">
          <cell r="A33" t="str">
            <v>BU6431498</v>
          </cell>
          <cell r="B33" t="str">
            <v>Gregory Teipel</v>
          </cell>
          <cell r="C33">
            <v>165.02</v>
          </cell>
          <cell r="D33" t="str">
            <v>Iul Express</v>
          </cell>
        </row>
        <row r="34">
          <cell r="A34" t="str">
            <v>BU6248315</v>
          </cell>
          <cell r="B34" t="str">
            <v>Gregory Teipel</v>
          </cell>
          <cell r="C34">
            <v>105.35</v>
          </cell>
          <cell r="D34" t="str">
            <v>Iul Express</v>
          </cell>
        </row>
        <row r="35">
          <cell r="A35" t="str">
            <v>BU4732784</v>
          </cell>
          <cell r="B35" t="str">
            <v>Gregory Teipel</v>
          </cell>
          <cell r="C35">
            <v>229.18</v>
          </cell>
          <cell r="D35" t="str">
            <v>Term Life Express 10 15 20 30</v>
          </cell>
        </row>
        <row r="36">
          <cell r="A36" t="str">
            <v>BU3843863</v>
          </cell>
          <cell r="B36" t="str">
            <v>Adam Richter</v>
          </cell>
          <cell r="C36">
            <v>84.64</v>
          </cell>
          <cell r="D36" t="str">
            <v>Term Life Express 10 15 20 30</v>
          </cell>
        </row>
        <row r="37">
          <cell r="A37" t="str">
            <v>BU5028859</v>
          </cell>
          <cell r="B37" t="str">
            <v>Jared Kinyua</v>
          </cell>
          <cell r="C37">
            <v>100</v>
          </cell>
          <cell r="D37" t="str">
            <v>Iul Express</v>
          </cell>
        </row>
        <row r="38">
          <cell r="A38" t="str">
            <v>691951-96</v>
          </cell>
          <cell r="B38" t="str">
            <v>Jason Hoffmann</v>
          </cell>
          <cell r="C38">
            <v>450.75</v>
          </cell>
          <cell r="D38" t="str">
            <v>Medicare Supplement Plan N</v>
          </cell>
        </row>
        <row r="39">
          <cell r="A39" t="str">
            <v>359735-41</v>
          </cell>
          <cell r="B39" t="str">
            <v>Jacob Yale</v>
          </cell>
          <cell r="C39">
            <v>55.89</v>
          </cell>
          <cell r="D39" t="str">
            <v xml:space="preserve">Preferred Plan (a) Dnt2b                </v>
          </cell>
        </row>
        <row r="40">
          <cell r="A40" t="str">
            <v>BU4206123</v>
          </cell>
          <cell r="B40" t="str">
            <v>Gregory Teipel</v>
          </cell>
          <cell r="C40">
            <v>411.18</v>
          </cell>
          <cell r="D40" t="str">
            <v>Iul Express</v>
          </cell>
        </row>
        <row r="41">
          <cell r="A41" t="str">
            <v>BU3862022</v>
          </cell>
          <cell r="B41" t="str">
            <v>Ashley Teipel</v>
          </cell>
          <cell r="C41">
            <v>138.57</v>
          </cell>
          <cell r="D41" t="str">
            <v>Term Life Express 10 15 20 30</v>
          </cell>
        </row>
        <row r="42">
          <cell r="A42" t="str">
            <v>BU6269839</v>
          </cell>
          <cell r="B42" t="str">
            <v>Ryan Caltagirone</v>
          </cell>
          <cell r="C42">
            <v>72.239999999999995</v>
          </cell>
          <cell r="D42" t="str">
            <v>Tle 20-20yr Guar</v>
          </cell>
        </row>
        <row r="43">
          <cell r="A43" t="str">
            <v>BU4394266</v>
          </cell>
          <cell r="B43" t="str">
            <v>Matthew Daugherty</v>
          </cell>
          <cell r="C43">
            <v>300.51</v>
          </cell>
          <cell r="D43" t="str">
            <v>Term Life Express 10 15 20 30</v>
          </cell>
        </row>
        <row r="44">
          <cell r="A44" t="str">
            <v>BU4404761</v>
          </cell>
          <cell r="B44" t="str">
            <v>Matthew Daugherty</v>
          </cell>
          <cell r="C44">
            <v>147.52000000000001</v>
          </cell>
          <cell r="D44" t="str">
            <v>Term Life Express 10 15 20 30</v>
          </cell>
        </row>
        <row r="45">
          <cell r="A45" t="str">
            <v>BU4522870</v>
          </cell>
          <cell r="B45" t="str">
            <v>Gregory Teipel</v>
          </cell>
          <cell r="C45">
            <v>212.23</v>
          </cell>
          <cell r="D45" t="str">
            <v>Iul Express</v>
          </cell>
        </row>
        <row r="46">
          <cell r="A46" t="str">
            <v>BU4407930</v>
          </cell>
          <cell r="B46" t="str">
            <v>Gregory Teipel</v>
          </cell>
          <cell r="C46">
            <v>156.28</v>
          </cell>
          <cell r="D46" t="str">
            <v>Term Life Express 10 15 20 30</v>
          </cell>
        </row>
        <row r="47">
          <cell r="A47" t="str">
            <v>BU5137979</v>
          </cell>
          <cell r="B47" t="str">
            <v>Andrea Petrungaro</v>
          </cell>
          <cell r="C47">
            <v>167.49</v>
          </cell>
          <cell r="D47" t="str">
            <v>Term Life Answer 10 15 20 30</v>
          </cell>
        </row>
        <row r="48">
          <cell r="A48" t="str">
            <v>BU4705352</v>
          </cell>
          <cell r="B48" t="str">
            <v>Ryan Caltagirone</v>
          </cell>
          <cell r="C48">
            <v>136.29</v>
          </cell>
          <cell r="D48" t="str">
            <v>Term Life Express 10 15 20 30</v>
          </cell>
        </row>
        <row r="49">
          <cell r="A49" t="str">
            <v>BU4377430</v>
          </cell>
          <cell r="B49" t="str">
            <v>Thomas Kucan</v>
          </cell>
          <cell r="C49">
            <v>191.04</v>
          </cell>
          <cell r="D49" t="str">
            <v xml:space="preserve">Living Promise - Level  Benefit         </v>
          </cell>
        </row>
        <row r="50">
          <cell r="A50" t="str">
            <v>579998-97</v>
          </cell>
          <cell r="B50" t="str">
            <v>Gregory Teipel</v>
          </cell>
          <cell r="C50">
            <v>592.83000000000004</v>
          </cell>
          <cell r="D50" t="str">
            <v>Medicare Supplement Plan G</v>
          </cell>
        </row>
        <row r="51">
          <cell r="A51" t="str">
            <v>412731-97</v>
          </cell>
          <cell r="B51" t="str">
            <v>Adam Richter</v>
          </cell>
          <cell r="C51">
            <v>130.55000000000001</v>
          </cell>
          <cell r="D51" t="str">
            <v>Medicare Supplement Plan G</v>
          </cell>
        </row>
        <row r="52">
          <cell r="A52" t="str">
            <v>BU4880184</v>
          </cell>
          <cell r="B52" t="str">
            <v>Gregory Teipel</v>
          </cell>
          <cell r="C52">
            <v>118.83</v>
          </cell>
          <cell r="D52" t="str">
            <v xml:space="preserve">Living Promise-graded                   </v>
          </cell>
        </row>
        <row r="53">
          <cell r="A53" t="str">
            <v>BU5391914</v>
          </cell>
          <cell r="B53" t="str">
            <v>Gregory Teipel</v>
          </cell>
          <cell r="C53">
            <v>116.41</v>
          </cell>
          <cell r="D53" t="str">
            <v>Tle 20-20yr Guar</v>
          </cell>
        </row>
        <row r="54">
          <cell r="A54" t="str">
            <v>399021-41</v>
          </cell>
          <cell r="B54" t="str">
            <v>Gregory Teipel</v>
          </cell>
          <cell r="C54">
            <v>176.19</v>
          </cell>
          <cell r="D54" t="str">
            <v>Medicare Supplement Plan G</v>
          </cell>
        </row>
        <row r="55">
          <cell r="A55" t="str">
            <v>BU4617432</v>
          </cell>
          <cell r="B55" t="str">
            <v>Ryan Caltagirone</v>
          </cell>
          <cell r="C55">
            <v>118.76</v>
          </cell>
          <cell r="D55" t="str">
            <v>Term Life Express 10 15 20 30</v>
          </cell>
        </row>
        <row r="56">
          <cell r="A56" t="str">
            <v>BU5476019</v>
          </cell>
          <cell r="B56" t="str">
            <v>Ryan Caltagirone</v>
          </cell>
          <cell r="C56">
            <v>58.85</v>
          </cell>
          <cell r="D56" t="str">
            <v>Term Life Express 10 15 20 30</v>
          </cell>
        </row>
        <row r="57">
          <cell r="A57" t="str">
            <v>BU5627548</v>
          </cell>
          <cell r="B57" t="str">
            <v>Gregory Teipel</v>
          </cell>
          <cell r="C57">
            <v>197.9</v>
          </cell>
          <cell r="D57" t="str">
            <v>Iul Express</v>
          </cell>
        </row>
        <row r="58">
          <cell r="A58" t="str">
            <v>931240-96</v>
          </cell>
          <cell r="B58" t="str">
            <v>Carol Foley</v>
          </cell>
          <cell r="C58">
            <v>244.11</v>
          </cell>
          <cell r="D58" t="str">
            <v>Medicare Supplement Plan F</v>
          </cell>
        </row>
        <row r="59">
          <cell r="A59" t="str">
            <v>BU6222056</v>
          </cell>
          <cell r="B59" t="str">
            <v>Gregory Teipel</v>
          </cell>
          <cell r="C59">
            <v>121.47</v>
          </cell>
          <cell r="D59" t="str">
            <v>Iul Express</v>
          </cell>
        </row>
        <row r="60">
          <cell r="A60" t="str">
            <v>915616-96</v>
          </cell>
          <cell r="B60" t="str">
            <v>Carol Foley</v>
          </cell>
          <cell r="C60">
            <v>183.59</v>
          </cell>
          <cell r="D60" t="str">
            <v>Medicare Supplement Plan G</v>
          </cell>
        </row>
        <row r="61">
          <cell r="A61" t="str">
            <v>BU4944276</v>
          </cell>
          <cell r="B61" t="str">
            <v>Ryan Caltagirone</v>
          </cell>
          <cell r="C61">
            <v>122.68</v>
          </cell>
          <cell r="D61" t="str">
            <v>Iul Express</v>
          </cell>
        </row>
        <row r="62">
          <cell r="A62" t="str">
            <v>BU4124639</v>
          </cell>
          <cell r="B62" t="str">
            <v>Gregory Teipel</v>
          </cell>
          <cell r="C62">
            <v>226.31</v>
          </cell>
          <cell r="D62" t="str">
            <v>Iul Express</v>
          </cell>
        </row>
        <row r="63">
          <cell r="A63" t="str">
            <v>BU4473707</v>
          </cell>
          <cell r="B63" t="str">
            <v>Matthew Daugherty</v>
          </cell>
          <cell r="C63">
            <v>86.86</v>
          </cell>
          <cell r="D63" t="str">
            <v>Term Life Express 10 15 20 30</v>
          </cell>
        </row>
        <row r="64">
          <cell r="A64" t="str">
            <v>800385-96</v>
          </cell>
          <cell r="B64" t="str">
            <v>Adam Richter</v>
          </cell>
          <cell r="C64">
            <v>204.03</v>
          </cell>
          <cell r="D64" t="str">
            <v>Medicare Supplement Plan G</v>
          </cell>
        </row>
        <row r="65">
          <cell r="A65" t="str">
            <v>BU4697639</v>
          </cell>
          <cell r="B65" t="str">
            <v>Gregory Teipel</v>
          </cell>
          <cell r="C65">
            <v>340.07</v>
          </cell>
          <cell r="D65" t="str">
            <v>Iul Express</v>
          </cell>
        </row>
        <row r="66">
          <cell r="A66" t="str">
            <v>BU6167001</v>
          </cell>
          <cell r="B66" t="str">
            <v>Gregory Teipel</v>
          </cell>
          <cell r="C66">
            <v>210.04</v>
          </cell>
          <cell r="D66" t="str">
            <v>Term Life Express 10 15 20 30</v>
          </cell>
        </row>
        <row r="67">
          <cell r="A67" t="str">
            <v>BU5621187</v>
          </cell>
          <cell r="B67" t="str">
            <v>Gregory Teipel</v>
          </cell>
          <cell r="C67">
            <v>138.91</v>
          </cell>
          <cell r="D67" t="str">
            <v>Term Life Express 10 15 20 30</v>
          </cell>
        </row>
        <row r="68">
          <cell r="A68" t="str">
            <v>BU4635569</v>
          </cell>
          <cell r="B68" t="str">
            <v>Ryan Caltagirone</v>
          </cell>
          <cell r="C68">
            <v>104.02</v>
          </cell>
          <cell r="D68" t="str">
            <v>Term Life Express 10 15 20 30</v>
          </cell>
        </row>
        <row r="69">
          <cell r="A69" t="str">
            <v>BU5164017</v>
          </cell>
          <cell r="B69" t="str">
            <v>Ryan Caltagirone</v>
          </cell>
          <cell r="C69">
            <v>163.63999999999999</v>
          </cell>
          <cell r="D69" t="str">
            <v>Iul Express</v>
          </cell>
        </row>
        <row r="70">
          <cell r="A70" t="str">
            <v>BU5013584</v>
          </cell>
          <cell r="B70" t="str">
            <v>Colleen Finnigan</v>
          </cell>
          <cell r="C70">
            <v>324.08</v>
          </cell>
          <cell r="D70" t="str">
            <v>Iul Express</v>
          </cell>
        </row>
        <row r="71">
          <cell r="A71" t="str">
            <v>BU4621516</v>
          </cell>
          <cell r="B71" t="str">
            <v>Deborah Inskipt</v>
          </cell>
          <cell r="C71">
            <v>22.16</v>
          </cell>
          <cell r="D71" t="str">
            <v>Iul Express</v>
          </cell>
        </row>
        <row r="72">
          <cell r="A72" t="str">
            <v>BU4706358</v>
          </cell>
          <cell r="B72" t="str">
            <v>Matthew Daugherty</v>
          </cell>
          <cell r="C72">
            <v>174.44</v>
          </cell>
          <cell r="D72" t="str">
            <v>Term Life Express 10 15 20 30</v>
          </cell>
        </row>
        <row r="73">
          <cell r="A73" t="str">
            <v>BU4855055</v>
          </cell>
          <cell r="B73" t="str">
            <v>Gregory Teipel</v>
          </cell>
          <cell r="C73">
            <v>86.69</v>
          </cell>
          <cell r="D73" t="str">
            <v>Term Life Express 10 15 20 30</v>
          </cell>
        </row>
        <row r="74">
          <cell r="A74" t="str">
            <v>BU6251289</v>
          </cell>
          <cell r="B74" t="str">
            <v>Matthew Daugherty</v>
          </cell>
          <cell r="C74">
            <v>223.61</v>
          </cell>
          <cell r="D74" t="str">
            <v>Term Life Express 10 15 20 30</v>
          </cell>
        </row>
        <row r="75">
          <cell r="A75" t="str">
            <v>BU3912915</v>
          </cell>
          <cell r="B75" t="str">
            <v>Ashley Teipel</v>
          </cell>
          <cell r="C75">
            <v>159.19999999999999</v>
          </cell>
          <cell r="D75" t="str">
            <v>Term Life Express 10 15 20 30</v>
          </cell>
        </row>
        <row r="76">
          <cell r="A76" t="str">
            <v>406849-41</v>
          </cell>
          <cell r="B76" t="str">
            <v>Victor Fuentes</v>
          </cell>
          <cell r="C76">
            <v>216.99</v>
          </cell>
          <cell r="D76" t="str">
            <v xml:space="preserve">Preferred Plan (a) Dnt2e                </v>
          </cell>
        </row>
        <row r="77">
          <cell r="A77" t="str">
            <v>BU4893860</v>
          </cell>
          <cell r="B77" t="str">
            <v>Carol Foley</v>
          </cell>
          <cell r="C77">
            <v>284.87</v>
          </cell>
          <cell r="D77" t="str">
            <v xml:space="preserve">Living Promise - Level  Benefit         </v>
          </cell>
        </row>
        <row r="78">
          <cell r="A78" t="str">
            <v>992897-96</v>
          </cell>
          <cell r="B78" t="str">
            <v>Adam Richter</v>
          </cell>
          <cell r="C78">
            <v>147.96</v>
          </cell>
          <cell r="D78" t="str">
            <v>Medicare Supplement Plan G</v>
          </cell>
        </row>
        <row r="79">
          <cell r="A79" t="str">
            <v>BU4112014</v>
          </cell>
          <cell r="B79" t="str">
            <v>Ryan Caltagirone</v>
          </cell>
          <cell r="C79">
            <v>219.56</v>
          </cell>
          <cell r="D79" t="str">
            <v>Iul Express</v>
          </cell>
        </row>
        <row r="80">
          <cell r="A80" t="str">
            <v>BU6431497</v>
          </cell>
          <cell r="B80" t="str">
            <v>Gregory Teipel</v>
          </cell>
          <cell r="C80">
            <v>165.09</v>
          </cell>
          <cell r="D80" t="str">
            <v>Iul Express</v>
          </cell>
        </row>
        <row r="81">
          <cell r="A81" t="str">
            <v>BU5044937</v>
          </cell>
          <cell r="B81" t="str">
            <v>Gregory Teipel</v>
          </cell>
          <cell r="C81">
            <v>65.209999999999994</v>
          </cell>
          <cell r="D81" t="str">
            <v>Term Life Express 10 15 20 30</v>
          </cell>
        </row>
        <row r="82">
          <cell r="A82" t="str">
            <v>BU5238232</v>
          </cell>
          <cell r="B82" t="str">
            <v>Gregory Teipel</v>
          </cell>
          <cell r="C82">
            <v>187.59</v>
          </cell>
          <cell r="D82" t="str">
            <v>Iul Express</v>
          </cell>
        </row>
        <row r="83">
          <cell r="A83" t="str">
            <v>BU6386651</v>
          </cell>
          <cell r="B83" t="str">
            <v>Thomas Pardue</v>
          </cell>
          <cell r="C83">
            <v>76.180000000000007</v>
          </cell>
          <cell r="D83" t="str">
            <v>Term Life Express 10 15 20 30</v>
          </cell>
        </row>
        <row r="84">
          <cell r="A84" t="str">
            <v>BU4872440</v>
          </cell>
          <cell r="B84" t="str">
            <v>Ryan Caltagirone</v>
          </cell>
          <cell r="C84">
            <v>300.39</v>
          </cell>
          <cell r="D84" t="str">
            <v>Iul Express</v>
          </cell>
        </row>
        <row r="85">
          <cell r="A85" t="str">
            <v>BU4427840</v>
          </cell>
          <cell r="B85" t="str">
            <v>Gregory Teipel</v>
          </cell>
          <cell r="C85">
            <v>174.44</v>
          </cell>
          <cell r="D85" t="str">
            <v>Term Life Express 10 15 20 30</v>
          </cell>
        </row>
        <row r="86">
          <cell r="A86" t="str">
            <v>BU4969261</v>
          </cell>
          <cell r="B86" t="str">
            <v>Gregory Teipel</v>
          </cell>
          <cell r="C86">
            <v>66.930000000000007</v>
          </cell>
          <cell r="D86" t="str">
            <v xml:space="preserve">Living Promise-graded                   </v>
          </cell>
        </row>
        <row r="87">
          <cell r="A87" t="str">
            <v>BU4521007</v>
          </cell>
          <cell r="B87" t="str">
            <v>Matthew Daugherty</v>
          </cell>
          <cell r="C87">
            <v>77.27</v>
          </cell>
          <cell r="D87" t="str">
            <v>Term Life Express 10 15 20 30</v>
          </cell>
        </row>
        <row r="88">
          <cell r="A88" t="str">
            <v>BU4684842</v>
          </cell>
          <cell r="B88" t="str">
            <v>Gregory Teipel</v>
          </cell>
          <cell r="C88">
            <v>164.36</v>
          </cell>
          <cell r="D88" t="str">
            <v>Term Life Express 10 15 20 30</v>
          </cell>
        </row>
        <row r="89">
          <cell r="A89" t="str">
            <v>BU4939237</v>
          </cell>
          <cell r="B89" t="str">
            <v>Ryan Caltagirone</v>
          </cell>
          <cell r="C89">
            <v>58.17</v>
          </cell>
          <cell r="D89" t="str">
            <v>Term Life Express 10 15 20 30</v>
          </cell>
        </row>
        <row r="90">
          <cell r="A90" t="str">
            <v>BU5037208</v>
          </cell>
          <cell r="B90" t="str">
            <v>Ronald Max</v>
          </cell>
          <cell r="C90">
            <v>174.55</v>
          </cell>
          <cell r="D90" t="str">
            <v>Iul Express</v>
          </cell>
        </row>
        <row r="91">
          <cell r="A91" t="str">
            <v>BU6330162</v>
          </cell>
          <cell r="B91" t="str">
            <v>Gregory Teipel</v>
          </cell>
          <cell r="C91">
            <v>161.19999999999999</v>
          </cell>
          <cell r="D91" t="str">
            <v>Term Life Express 10 15 20 30</v>
          </cell>
        </row>
        <row r="92">
          <cell r="A92" t="str">
            <v>BU4786657</v>
          </cell>
          <cell r="B92" t="str">
            <v>Gary Portugal</v>
          </cell>
          <cell r="C92">
            <v>56.48</v>
          </cell>
          <cell r="D92" t="str">
            <v xml:space="preserve">Living Promise - Level  Benefit         </v>
          </cell>
        </row>
        <row r="93">
          <cell r="A93" t="str">
            <v>BU6239044</v>
          </cell>
          <cell r="B93" t="str">
            <v>Ryan Caltagirone</v>
          </cell>
          <cell r="C93">
            <v>43.28</v>
          </cell>
          <cell r="D93" t="str">
            <v>Term Life Express 10 15 20 30</v>
          </cell>
        </row>
        <row r="94">
          <cell r="A94" t="str">
            <v>BU6213731</v>
          </cell>
          <cell r="B94" t="str">
            <v>Gregory Teipel</v>
          </cell>
          <cell r="C94">
            <v>237.38</v>
          </cell>
          <cell r="D94" t="str">
            <v>Iul Express</v>
          </cell>
        </row>
        <row r="95">
          <cell r="A95" t="str">
            <v>986494-96</v>
          </cell>
          <cell r="B95" t="str">
            <v>Adam Richter</v>
          </cell>
          <cell r="C95">
            <v>104.8</v>
          </cell>
          <cell r="D95" t="str">
            <v>Medicare Supplement Plan N</v>
          </cell>
        </row>
        <row r="96">
          <cell r="A96" t="str">
            <v>BU4417814</v>
          </cell>
          <cell r="B96" t="str">
            <v>Carol Foley</v>
          </cell>
          <cell r="C96">
            <v>209.17</v>
          </cell>
          <cell r="D96" t="str">
            <v>Life Pro Advantage</v>
          </cell>
        </row>
        <row r="97">
          <cell r="A97" t="str">
            <v>BU4257415</v>
          </cell>
          <cell r="B97" t="str">
            <v>Gregory Teipel</v>
          </cell>
          <cell r="C97">
            <v>116.94</v>
          </cell>
          <cell r="D97" t="str">
            <v>Iul Express</v>
          </cell>
        </row>
        <row r="98">
          <cell r="A98" t="str">
            <v>941769-96</v>
          </cell>
          <cell r="B98" t="str">
            <v>Adam Richter</v>
          </cell>
          <cell r="C98">
            <v>147.96</v>
          </cell>
          <cell r="D98" t="str">
            <v>Medicare Supplement Plan G</v>
          </cell>
        </row>
        <row r="99">
          <cell r="A99" t="str">
            <v>BU4383508</v>
          </cell>
          <cell r="B99" t="str">
            <v>Matthew Daugherty</v>
          </cell>
          <cell r="C99">
            <v>257.66000000000003</v>
          </cell>
          <cell r="D99" t="str">
            <v>Term Life Express 10 15 20 30</v>
          </cell>
        </row>
        <row r="100">
          <cell r="A100" t="str">
            <v>BU5650906</v>
          </cell>
          <cell r="B100" t="str">
            <v>Taliah Ferguson</v>
          </cell>
          <cell r="C100">
            <v>90.66</v>
          </cell>
          <cell r="D100" t="str">
            <v>Iul Express</v>
          </cell>
        </row>
        <row r="101">
          <cell r="A101" t="str">
            <v>BU6409843</v>
          </cell>
          <cell r="B101" t="str">
            <v>Gregory Teipel</v>
          </cell>
          <cell r="C101">
            <v>224.65</v>
          </cell>
          <cell r="D101" t="str">
            <v>Iul Express</v>
          </cell>
        </row>
        <row r="102">
          <cell r="A102" t="str">
            <v>BU5016016</v>
          </cell>
          <cell r="B102" t="str">
            <v>Ryan Caltagirone</v>
          </cell>
          <cell r="C102">
            <v>54.93</v>
          </cell>
          <cell r="D102" t="str">
            <v>Tle 20-20yr Guar</v>
          </cell>
        </row>
        <row r="103">
          <cell r="A103" t="str">
            <v>BU6148828</v>
          </cell>
          <cell r="B103" t="str">
            <v>Gregory Teipel</v>
          </cell>
          <cell r="C103">
            <v>164.92</v>
          </cell>
          <cell r="D103" t="str">
            <v>Iul Express</v>
          </cell>
        </row>
        <row r="104">
          <cell r="A104" t="str">
            <v>515267-97</v>
          </cell>
          <cell r="B104" t="str">
            <v>Adam Richter</v>
          </cell>
          <cell r="C104">
            <v>78.319999999999993</v>
          </cell>
          <cell r="D104" t="str">
            <v>Medicare Supplement Plan G High Deductible</v>
          </cell>
        </row>
        <row r="105">
          <cell r="A105" t="str">
            <v>BU4957353</v>
          </cell>
          <cell r="B105" t="str">
            <v>Gregory Teipel</v>
          </cell>
          <cell r="C105">
            <v>157.80000000000001</v>
          </cell>
          <cell r="D105" t="str">
            <v>Term Life Express 10 15 20 30</v>
          </cell>
        </row>
        <row r="106">
          <cell r="A106" t="str">
            <v>BU4257417</v>
          </cell>
          <cell r="B106" t="str">
            <v>Gregory Teipel</v>
          </cell>
          <cell r="C106">
            <v>126.17</v>
          </cell>
          <cell r="D106" t="str">
            <v>Iul Express</v>
          </cell>
        </row>
        <row r="107">
          <cell r="A107" t="str">
            <v>BU4124638</v>
          </cell>
          <cell r="B107" t="str">
            <v>Gregory Teipel</v>
          </cell>
          <cell r="C107">
            <v>250</v>
          </cell>
          <cell r="D107" t="str">
            <v>Iul Express</v>
          </cell>
        </row>
        <row r="108">
          <cell r="A108" t="str">
            <v>BU4308232</v>
          </cell>
          <cell r="B108" t="str">
            <v>Ryan Caltagirone</v>
          </cell>
          <cell r="C108">
            <v>139.11000000000001</v>
          </cell>
          <cell r="D108" t="str">
            <v>Tle 20-20yr Guar</v>
          </cell>
        </row>
        <row r="109">
          <cell r="A109" t="str">
            <v>458537-97</v>
          </cell>
          <cell r="B109" t="str">
            <v>Carol Foley</v>
          </cell>
          <cell r="C109">
            <v>304.67</v>
          </cell>
          <cell r="D109" t="str">
            <v>Medicare Supplement Plan F</v>
          </cell>
        </row>
        <row r="110">
          <cell r="A110" t="str">
            <v>BU3904896</v>
          </cell>
          <cell r="B110" t="str">
            <v>Ashley Teipel</v>
          </cell>
          <cell r="C110">
            <v>174.72</v>
          </cell>
          <cell r="D110" t="str">
            <v>Term Life Express 10 15 20 30</v>
          </cell>
        </row>
        <row r="111">
          <cell r="A111" t="str">
            <v>427493-41</v>
          </cell>
          <cell r="B111" t="str">
            <v>Thomas Kucan</v>
          </cell>
          <cell r="C111">
            <v>210.33</v>
          </cell>
          <cell r="D111" t="str">
            <v>Medicare Supplement Plan A</v>
          </cell>
        </row>
        <row r="112">
          <cell r="A112" t="str">
            <v>400134-97</v>
          </cell>
          <cell r="B112" t="str">
            <v>Richard Yale</v>
          </cell>
          <cell r="C112">
            <v>36.08</v>
          </cell>
          <cell r="D112" t="str">
            <v xml:space="preserve">Protection  Plan (c) Dnt5i              </v>
          </cell>
        </row>
        <row r="113">
          <cell r="A113" t="str">
            <v>372782-97</v>
          </cell>
          <cell r="B113" t="str">
            <v>Murray Sterner</v>
          </cell>
          <cell r="C113">
            <v>271.94</v>
          </cell>
          <cell r="D113" t="str">
            <v>Medicare Supplement Plan G</v>
          </cell>
        </row>
        <row r="114">
          <cell r="A114" t="str">
            <v>BU4823853</v>
          </cell>
          <cell r="B114" t="str">
            <v>Ryan Caltagirone</v>
          </cell>
          <cell r="C114">
            <v>158.13</v>
          </cell>
          <cell r="D114" t="str">
            <v>Tle 20-20yr Guar</v>
          </cell>
        </row>
        <row r="115">
          <cell r="A115" t="str">
            <v>BU6371178</v>
          </cell>
          <cell r="B115" t="str">
            <v>Nasandelger Zana</v>
          </cell>
          <cell r="C115">
            <v>142.93</v>
          </cell>
          <cell r="D115" t="str">
            <v>Iul Express</v>
          </cell>
        </row>
        <row r="116">
          <cell r="A116" t="str">
            <v>BU4390281</v>
          </cell>
          <cell r="B116" t="str">
            <v>Gregory Teipel</v>
          </cell>
          <cell r="C116">
            <v>150.52000000000001</v>
          </cell>
          <cell r="D116" t="str">
            <v>Term Life Express 10 15 20 30</v>
          </cell>
        </row>
        <row r="117">
          <cell r="A117" t="str">
            <v>986500-96</v>
          </cell>
          <cell r="B117" t="str">
            <v>Adam Richter</v>
          </cell>
          <cell r="C117">
            <v>124.61</v>
          </cell>
          <cell r="D117" t="str">
            <v>Medicare Supplement Plan N</v>
          </cell>
        </row>
        <row r="118">
          <cell r="A118" t="str">
            <v>722082-97</v>
          </cell>
          <cell r="B118" t="str">
            <v>Gregory Teipel</v>
          </cell>
          <cell r="C118">
            <v>197.61</v>
          </cell>
          <cell r="D118" t="str">
            <v>Medicare Supplement Plan G</v>
          </cell>
        </row>
        <row r="119">
          <cell r="A119" t="str">
            <v>BU4950433</v>
          </cell>
          <cell r="B119" t="str">
            <v>Matthew Daugherty</v>
          </cell>
          <cell r="C119">
            <v>196.51</v>
          </cell>
          <cell r="D119" t="str">
            <v>Term Life Express 10 15 20 30</v>
          </cell>
        </row>
        <row r="120">
          <cell r="A120" t="str">
            <v>BU4960769</v>
          </cell>
          <cell r="B120" t="str">
            <v>Gregory Teipel</v>
          </cell>
          <cell r="C120">
            <v>66.09</v>
          </cell>
          <cell r="D120" t="str">
            <v>Iul Express</v>
          </cell>
        </row>
        <row r="121">
          <cell r="A121" t="str">
            <v>BU4777043</v>
          </cell>
          <cell r="B121" t="str">
            <v>Ryan Caltagirone</v>
          </cell>
          <cell r="C121">
            <v>67.52</v>
          </cell>
          <cell r="D121" t="str">
            <v>Tle 20-20yr Guar</v>
          </cell>
        </row>
        <row r="122">
          <cell r="A122" t="str">
            <v>BU4539576</v>
          </cell>
          <cell r="B122" t="str">
            <v>Matthew Daugherty</v>
          </cell>
          <cell r="C122">
            <v>81.52</v>
          </cell>
          <cell r="D122" t="str">
            <v>Term Life Express 10 15 20 30</v>
          </cell>
        </row>
        <row r="123">
          <cell r="A123" t="str">
            <v>BU4841867</v>
          </cell>
          <cell r="B123" t="str">
            <v>Gregory Teipel</v>
          </cell>
          <cell r="C123">
            <v>128.63999999999999</v>
          </cell>
          <cell r="D123" t="str">
            <v>Tle 20-20yr Guar</v>
          </cell>
        </row>
        <row r="124">
          <cell r="A124" t="str">
            <v>BU3852538</v>
          </cell>
          <cell r="B124" t="str">
            <v>Adam Richter</v>
          </cell>
          <cell r="C124">
            <v>62.48</v>
          </cell>
          <cell r="D124" t="str">
            <v>Term Life Express 10 15 20 30</v>
          </cell>
        </row>
        <row r="125">
          <cell r="A125" t="str">
            <v>BU5045360</v>
          </cell>
          <cell r="B125" t="str">
            <v>Gregory Teipel</v>
          </cell>
          <cell r="C125">
            <v>167.5</v>
          </cell>
          <cell r="D125" t="str">
            <v xml:space="preserve">Living Promise - Level  Benefit         </v>
          </cell>
        </row>
        <row r="126">
          <cell r="A126" t="str">
            <v>BU4261646</v>
          </cell>
          <cell r="B126" t="str">
            <v>Gregory Teipel</v>
          </cell>
          <cell r="C126">
            <v>152.22</v>
          </cell>
          <cell r="D126" t="str">
            <v>Iul Express</v>
          </cell>
        </row>
        <row r="127">
          <cell r="A127" t="str">
            <v>BU4402995</v>
          </cell>
          <cell r="B127" t="str">
            <v>Matthew Daugherty</v>
          </cell>
          <cell r="C127">
            <v>342.43</v>
          </cell>
          <cell r="D127" t="str">
            <v>Term Life Express 10 15 20 30</v>
          </cell>
        </row>
        <row r="128">
          <cell r="A128" t="str">
            <v>421672-97</v>
          </cell>
          <cell r="B128" t="str">
            <v>Dale Walenga</v>
          </cell>
          <cell r="C128">
            <v>36.08</v>
          </cell>
          <cell r="D128" t="str">
            <v xml:space="preserve">Protection  Plan (c) Dnt5i              </v>
          </cell>
        </row>
        <row r="129">
          <cell r="A129" t="str">
            <v>372064-41</v>
          </cell>
          <cell r="B129" t="str">
            <v>Adam Richter</v>
          </cell>
          <cell r="C129">
            <v>226.06</v>
          </cell>
          <cell r="D129" t="str">
            <v>Medicare Supplement Plan G</v>
          </cell>
        </row>
        <row r="130">
          <cell r="A130" t="str">
            <v>BU6264931</v>
          </cell>
          <cell r="B130" t="str">
            <v>Matthew Daugherty</v>
          </cell>
          <cell r="C130">
            <v>293.87</v>
          </cell>
          <cell r="D130" t="str">
            <v>Iul Express</v>
          </cell>
        </row>
        <row r="131">
          <cell r="A131" t="str">
            <v>BU4855146</v>
          </cell>
          <cell r="B131" t="str">
            <v>Gregory Teipel</v>
          </cell>
          <cell r="C131">
            <v>70.84</v>
          </cell>
          <cell r="D131" t="str">
            <v>Term Life Express 10 15 20 30</v>
          </cell>
        </row>
        <row r="132">
          <cell r="A132" t="str">
            <v>BU5149560</v>
          </cell>
          <cell r="B132" t="str">
            <v>Ryan Caltagirone</v>
          </cell>
          <cell r="C132">
            <v>106.98</v>
          </cell>
          <cell r="D132" t="str">
            <v>Tle 20-20yr Guar</v>
          </cell>
        </row>
        <row r="133">
          <cell r="A133" t="str">
            <v>BU4259551</v>
          </cell>
          <cell r="B133" t="str">
            <v>Gregory Teipel</v>
          </cell>
          <cell r="C133">
            <v>165.87</v>
          </cell>
          <cell r="D133" t="str">
            <v>Iul Express</v>
          </cell>
        </row>
        <row r="134">
          <cell r="A134" t="str">
            <v>BU4227378</v>
          </cell>
          <cell r="B134" t="str">
            <v>Ryan Caltagirone</v>
          </cell>
          <cell r="C134">
            <v>276.29000000000002</v>
          </cell>
          <cell r="D134" t="str">
            <v>Iul Express</v>
          </cell>
        </row>
        <row r="135">
          <cell r="A135" t="str">
            <v>BU5516561</v>
          </cell>
          <cell r="B135" t="str">
            <v>Pamela Deaton</v>
          </cell>
          <cell r="C135">
            <v>19.04</v>
          </cell>
          <cell r="D135" t="str">
            <v xml:space="preserve">Children S - Whole Life                 </v>
          </cell>
        </row>
        <row r="136">
          <cell r="A136" t="str">
            <v>BU4036842</v>
          </cell>
          <cell r="B136" t="str">
            <v>Ryan Caltagirone</v>
          </cell>
          <cell r="C136">
            <v>60.16</v>
          </cell>
          <cell r="D136" t="str">
            <v>Term Life Express 10 15 20 30</v>
          </cell>
        </row>
        <row r="137">
          <cell r="A137" t="str">
            <v>BU4880554</v>
          </cell>
          <cell r="B137" t="str">
            <v>Gregory Teipel</v>
          </cell>
          <cell r="C137">
            <v>151.52000000000001</v>
          </cell>
          <cell r="D137" t="str">
            <v>Term Life Express 10 15 20 30</v>
          </cell>
        </row>
        <row r="138">
          <cell r="A138" t="str">
            <v>BU5244661</v>
          </cell>
          <cell r="B138" t="str">
            <v>Gregory Teipel</v>
          </cell>
          <cell r="C138">
            <v>174.78</v>
          </cell>
          <cell r="D138" t="str">
            <v>Term Life Express 10 15 20 30</v>
          </cell>
        </row>
        <row r="139">
          <cell r="A139" t="str">
            <v>BU5173014</v>
          </cell>
          <cell r="B139" t="str">
            <v>Gregory Teipel</v>
          </cell>
          <cell r="C139">
            <v>103.09</v>
          </cell>
          <cell r="D139" t="str">
            <v>Iul Express</v>
          </cell>
        </row>
        <row r="140">
          <cell r="A140" t="str">
            <v>BU4956432</v>
          </cell>
          <cell r="B140" t="str">
            <v>Gregory Teipel</v>
          </cell>
          <cell r="C140">
            <v>63.41</v>
          </cell>
          <cell r="D140" t="str">
            <v>Term Life Express 10 15 20 30</v>
          </cell>
        </row>
        <row r="141">
          <cell r="A141" t="str">
            <v>BU5159761</v>
          </cell>
          <cell r="B141" t="str">
            <v>Ryan Caltagirone</v>
          </cell>
          <cell r="C141">
            <v>252.77</v>
          </cell>
          <cell r="D141" t="str">
            <v>Iul Express</v>
          </cell>
        </row>
        <row r="142">
          <cell r="A142" t="str">
            <v>807015-97</v>
          </cell>
          <cell r="B142" t="str">
            <v>Robert Shapiro</v>
          </cell>
          <cell r="C142">
            <v>79.28</v>
          </cell>
          <cell r="D142" t="str">
            <v xml:space="preserve">Preferred Plan (a) Dnt2i                </v>
          </cell>
        </row>
        <row r="143">
          <cell r="A143" t="str">
            <v>BU4419036</v>
          </cell>
          <cell r="B143" t="str">
            <v>Matthew Daugherty</v>
          </cell>
          <cell r="C143">
            <v>56.6</v>
          </cell>
          <cell r="D143" t="str">
            <v>Term Life Express 10 15 20 30</v>
          </cell>
        </row>
        <row r="144">
          <cell r="A144" t="str">
            <v>710987-97</v>
          </cell>
          <cell r="B144" t="str">
            <v>Adam Richter</v>
          </cell>
          <cell r="C144">
            <v>121.45</v>
          </cell>
          <cell r="D144" t="str">
            <v>Medicare Supplement Plan G</v>
          </cell>
        </row>
        <row r="145">
          <cell r="A145" t="str">
            <v>BU4350111</v>
          </cell>
          <cell r="B145" t="str">
            <v>Ryan Caltagirone</v>
          </cell>
          <cell r="C145">
            <v>152.05000000000001</v>
          </cell>
          <cell r="D145" t="str">
            <v>Iul Express</v>
          </cell>
        </row>
        <row r="146">
          <cell r="A146" t="str">
            <v>BU5539063</v>
          </cell>
          <cell r="B146" t="str">
            <v>Gregory Teipel</v>
          </cell>
          <cell r="C146">
            <v>251.31</v>
          </cell>
          <cell r="D146" t="str">
            <v>Term Life Express 10 15 20 30</v>
          </cell>
        </row>
        <row r="147">
          <cell r="A147" t="str">
            <v>BU6231181</v>
          </cell>
          <cell r="B147" t="str">
            <v>Gregory Teipel</v>
          </cell>
          <cell r="C147">
            <v>210.11</v>
          </cell>
          <cell r="D147" t="str">
            <v>Iul Express</v>
          </cell>
        </row>
        <row r="148">
          <cell r="A148" t="str">
            <v>569217-96</v>
          </cell>
          <cell r="B148" t="str">
            <v>Jason Hoffmann</v>
          </cell>
          <cell r="C148">
            <v>1639.07</v>
          </cell>
          <cell r="D148" t="str">
            <v>Medicare Supplement Plan N</v>
          </cell>
        </row>
        <row r="149">
          <cell r="A149" t="str">
            <v>BU5350400</v>
          </cell>
          <cell r="B149" t="str">
            <v>Matthew Daugherty</v>
          </cell>
          <cell r="C149">
            <v>80.290000000000006</v>
          </cell>
          <cell r="D149" t="str">
            <v>Term Life Express 10 15 20 30</v>
          </cell>
        </row>
        <row r="150">
          <cell r="A150" t="str">
            <v>BU4538331</v>
          </cell>
          <cell r="B150" t="str">
            <v>Ryan Caltagirone</v>
          </cell>
          <cell r="C150">
            <v>23.17</v>
          </cell>
          <cell r="D150" t="str">
            <v xml:space="preserve">Children S - Whole Life                 </v>
          </cell>
        </row>
        <row r="151">
          <cell r="A151" t="str">
            <v>BU5345147</v>
          </cell>
          <cell r="B151" t="str">
            <v>Ryan Caltagirone</v>
          </cell>
          <cell r="C151">
            <v>76.760000000000005</v>
          </cell>
          <cell r="D151" t="str">
            <v>Iul Express</v>
          </cell>
        </row>
        <row r="152">
          <cell r="A152" t="str">
            <v>BU6269164</v>
          </cell>
          <cell r="B152" t="str">
            <v>Gregory Teipel</v>
          </cell>
          <cell r="C152">
            <v>181.41</v>
          </cell>
          <cell r="D152" t="str">
            <v>Iul Express</v>
          </cell>
        </row>
        <row r="153">
          <cell r="A153" t="str">
            <v>BU5378945</v>
          </cell>
          <cell r="B153" t="str">
            <v>James Allen</v>
          </cell>
          <cell r="C153">
            <v>71.34</v>
          </cell>
          <cell r="D153" t="str">
            <v>Term Life Answer 10 15 20 30</v>
          </cell>
        </row>
        <row r="154">
          <cell r="A154" t="str">
            <v>941740-96</v>
          </cell>
          <cell r="B154" t="str">
            <v>Adam Richter</v>
          </cell>
          <cell r="C154">
            <v>176.29</v>
          </cell>
          <cell r="D154" t="str">
            <v>Medicare Supplement Plan G</v>
          </cell>
        </row>
        <row r="155">
          <cell r="A155" t="str">
            <v>BU5039629</v>
          </cell>
          <cell r="B155" t="str">
            <v>Gregory Teipel</v>
          </cell>
          <cell r="C155">
            <v>46.99</v>
          </cell>
          <cell r="D155" t="str">
            <v>Term Life Express 10 15 20 30</v>
          </cell>
        </row>
        <row r="156">
          <cell r="A156" t="str">
            <v>BU4767839</v>
          </cell>
          <cell r="B156" t="str">
            <v>Gregory Teipel</v>
          </cell>
          <cell r="C156">
            <v>272.87</v>
          </cell>
          <cell r="D156" t="str">
            <v>Term Life Express 10 15 20 30</v>
          </cell>
        </row>
        <row r="157">
          <cell r="A157" t="str">
            <v>BU4489869</v>
          </cell>
          <cell r="B157" t="str">
            <v>Gregory Teipel</v>
          </cell>
          <cell r="C157">
            <v>243.64</v>
          </cell>
          <cell r="D157" t="str">
            <v>Term Life Express 10 15 20 30</v>
          </cell>
        </row>
        <row r="158">
          <cell r="A158" t="str">
            <v>BU5155533</v>
          </cell>
          <cell r="B158" t="str">
            <v>Gregory Teipel</v>
          </cell>
          <cell r="C158">
            <v>149.22</v>
          </cell>
          <cell r="D158" t="str">
            <v>Iul Express</v>
          </cell>
        </row>
        <row r="159">
          <cell r="A159" t="str">
            <v>BU4221783</v>
          </cell>
          <cell r="B159" t="str">
            <v>Gregory Teipel</v>
          </cell>
          <cell r="C159">
            <v>258.99</v>
          </cell>
          <cell r="D159" t="str">
            <v>Term Life Express 10 15 20 30</v>
          </cell>
        </row>
        <row r="160">
          <cell r="A160" t="str">
            <v>BU5168071</v>
          </cell>
          <cell r="B160" t="str">
            <v>Gregory Teipel</v>
          </cell>
          <cell r="C160">
            <v>208.27</v>
          </cell>
          <cell r="D160" t="str">
            <v>Iul Express</v>
          </cell>
        </row>
        <row r="161">
          <cell r="A161" t="str">
            <v>BU5050059</v>
          </cell>
          <cell r="B161" t="str">
            <v>Ronald Max</v>
          </cell>
          <cell r="C161">
            <v>71.87</v>
          </cell>
          <cell r="D161" t="str">
            <v>Term Life Express 10 15 20 30</v>
          </cell>
        </row>
        <row r="162">
          <cell r="A162" t="str">
            <v>BU5059669</v>
          </cell>
          <cell r="B162" t="str">
            <v>Ryan Caltagirone</v>
          </cell>
          <cell r="C162">
            <v>180</v>
          </cell>
          <cell r="D162" t="str">
            <v>Iul Express</v>
          </cell>
        </row>
        <row r="163">
          <cell r="A163" t="str">
            <v>BU6169909</v>
          </cell>
          <cell r="B163" t="str">
            <v>Gregory Teipel</v>
          </cell>
          <cell r="C163">
            <v>75.55</v>
          </cell>
          <cell r="D163" t="str">
            <v>Iul Express</v>
          </cell>
        </row>
        <row r="164">
          <cell r="A164" t="str">
            <v>BU6323171</v>
          </cell>
          <cell r="B164" t="str">
            <v>Joel Lee</v>
          </cell>
          <cell r="C164">
            <v>65.36</v>
          </cell>
          <cell r="D164" t="str">
            <v>Term Life Answer 10 15 20 30</v>
          </cell>
        </row>
        <row r="165">
          <cell r="A165" t="str">
            <v>757536-97</v>
          </cell>
          <cell r="B165" t="str">
            <v>Ronald Max</v>
          </cell>
          <cell r="C165">
            <v>154.37</v>
          </cell>
          <cell r="D165" t="str">
            <v>Medicare Supplement Plan A</v>
          </cell>
        </row>
        <row r="166">
          <cell r="A166" t="str">
            <v>BU4256587</v>
          </cell>
          <cell r="B166" t="str">
            <v>Ryan Caltagirone</v>
          </cell>
          <cell r="C166">
            <v>216.41</v>
          </cell>
          <cell r="D166" t="str">
            <v>Iul Express</v>
          </cell>
        </row>
        <row r="167">
          <cell r="A167" t="str">
            <v>808254-97</v>
          </cell>
          <cell r="B167" t="str">
            <v>Dale Walenga</v>
          </cell>
          <cell r="C167">
            <v>108.24</v>
          </cell>
          <cell r="D167" t="str">
            <v xml:space="preserve">Protection  Plan (c) Dnt5i              </v>
          </cell>
        </row>
        <row r="168">
          <cell r="A168" t="str">
            <v>BU5190668</v>
          </cell>
          <cell r="B168" t="str">
            <v>Ronald Max</v>
          </cell>
          <cell r="C168">
            <v>108.45</v>
          </cell>
          <cell r="D168" t="str">
            <v>Term Life Express 10 15 20 30</v>
          </cell>
        </row>
        <row r="169">
          <cell r="A169" t="str">
            <v>BU4446778</v>
          </cell>
          <cell r="B169" t="str">
            <v>Matthew Daugherty</v>
          </cell>
          <cell r="C169">
            <v>109.47</v>
          </cell>
          <cell r="D169" t="str">
            <v>Term Life Express 10 15 20 30</v>
          </cell>
        </row>
        <row r="170">
          <cell r="A170" t="str">
            <v>BU4257391</v>
          </cell>
          <cell r="B170" t="str">
            <v>Ryan Caltagirone</v>
          </cell>
          <cell r="C170">
            <v>167.36</v>
          </cell>
          <cell r="D170" t="str">
            <v>Iul Express</v>
          </cell>
        </row>
        <row r="171">
          <cell r="A171" t="str">
            <v>BU3931243</v>
          </cell>
          <cell r="B171" t="str">
            <v>Gregory Teipel</v>
          </cell>
          <cell r="C171">
            <v>99.68</v>
          </cell>
          <cell r="D171" t="str">
            <v>Term Life Express 10 15 20 30</v>
          </cell>
        </row>
        <row r="172">
          <cell r="A172" t="str">
            <v>430516-97</v>
          </cell>
          <cell r="B172" t="str">
            <v>Richard Yale</v>
          </cell>
          <cell r="C172">
            <v>101.74</v>
          </cell>
          <cell r="D172" t="str">
            <v xml:space="preserve">Protection  Plan (c) Dnt5i              </v>
          </cell>
        </row>
        <row r="173">
          <cell r="A173" t="str">
            <v>BU5395477</v>
          </cell>
          <cell r="B173" t="str">
            <v>Ryan Caltagirone</v>
          </cell>
          <cell r="C173">
            <v>115.26</v>
          </cell>
          <cell r="D173" t="str">
            <v>Term Life Express 10 15 20 30</v>
          </cell>
        </row>
        <row r="174">
          <cell r="A174" t="str">
            <v>522900-97</v>
          </cell>
          <cell r="B174" t="str">
            <v>Richard Yale</v>
          </cell>
          <cell r="C174">
            <v>29.06</v>
          </cell>
          <cell r="D174" t="str">
            <v xml:space="preserve">Protection  Plan (c) Dnt5i              </v>
          </cell>
        </row>
        <row r="175">
          <cell r="A175" t="str">
            <v>BU5074244</v>
          </cell>
          <cell r="B175" t="str">
            <v>Ryan Caltagirone</v>
          </cell>
          <cell r="C175">
            <v>103.57</v>
          </cell>
          <cell r="D175" t="str">
            <v>Term Life Express 10 15 20 30</v>
          </cell>
        </row>
        <row r="176">
          <cell r="A176" t="str">
            <v>952374-96</v>
          </cell>
          <cell r="B176" t="str">
            <v>Adam Richter</v>
          </cell>
          <cell r="C176">
            <v>217.66</v>
          </cell>
          <cell r="D176" t="str">
            <v>Medicare Supplement Plan G</v>
          </cell>
        </row>
        <row r="177">
          <cell r="A177" t="str">
            <v>BU5332383</v>
          </cell>
          <cell r="B177" t="str">
            <v>Ryan Caltagirone</v>
          </cell>
          <cell r="C177">
            <v>197.05</v>
          </cell>
          <cell r="D177" t="str">
            <v>Iul Express</v>
          </cell>
        </row>
        <row r="178">
          <cell r="A178" t="str">
            <v>BU4678614</v>
          </cell>
          <cell r="B178" t="str">
            <v>Gregory Teipel</v>
          </cell>
          <cell r="C178">
            <v>38.270000000000003</v>
          </cell>
          <cell r="D178" t="str">
            <v>Term Life Express 10 15 20 30</v>
          </cell>
        </row>
        <row r="179">
          <cell r="A179" t="str">
            <v>871900-96</v>
          </cell>
          <cell r="B179" t="str">
            <v>Adam Richter</v>
          </cell>
          <cell r="C179">
            <v>170.16</v>
          </cell>
          <cell r="D179" t="str">
            <v>Medicare Supplement Plan G</v>
          </cell>
        </row>
        <row r="180">
          <cell r="A180" t="str">
            <v>BU4133179</v>
          </cell>
          <cell r="B180" t="str">
            <v>Gregory Teipel</v>
          </cell>
          <cell r="C180">
            <v>284.04000000000002</v>
          </cell>
          <cell r="D180" t="str">
            <v>Iul Express</v>
          </cell>
        </row>
        <row r="181">
          <cell r="A181" t="str">
            <v>BU5194609</v>
          </cell>
          <cell r="B181" t="str">
            <v>Gregory Teipel</v>
          </cell>
          <cell r="C181">
            <v>188.82</v>
          </cell>
          <cell r="D181" t="str">
            <v>Iul Express</v>
          </cell>
        </row>
        <row r="182">
          <cell r="A182" t="str">
            <v>BU4688027</v>
          </cell>
          <cell r="B182" t="str">
            <v>Ryan Caltagirone</v>
          </cell>
          <cell r="C182">
            <v>76.38</v>
          </cell>
          <cell r="D182" t="str">
            <v>Term Life Express 10 15 20 30</v>
          </cell>
        </row>
        <row r="183">
          <cell r="A183" t="str">
            <v>BU6283257</v>
          </cell>
          <cell r="B183" t="str">
            <v>Ryan Caltagirone</v>
          </cell>
          <cell r="C183">
            <v>66.430000000000007</v>
          </cell>
          <cell r="D183" t="str">
            <v>Tle 20-20yr Guar</v>
          </cell>
        </row>
        <row r="184">
          <cell r="A184" t="str">
            <v>BU5019618</v>
          </cell>
          <cell r="B184" t="str">
            <v>Matthew Daugherty</v>
          </cell>
          <cell r="C184">
            <v>65.5</v>
          </cell>
          <cell r="D184" t="str">
            <v>Term Life Express 10 15 20 30</v>
          </cell>
        </row>
        <row r="185">
          <cell r="A185" t="str">
            <v>BU4379263</v>
          </cell>
          <cell r="B185" t="str">
            <v>Gregory Teipel</v>
          </cell>
          <cell r="C185">
            <v>188.82</v>
          </cell>
          <cell r="D185" t="str">
            <v>Iul Express</v>
          </cell>
        </row>
        <row r="186">
          <cell r="A186" t="str">
            <v>BU5220982</v>
          </cell>
          <cell r="B186" t="str">
            <v>James Allen</v>
          </cell>
          <cell r="C186">
            <v>152.65</v>
          </cell>
          <cell r="D186" t="str">
            <v xml:space="preserve">Living Promise - Level  Benefit         </v>
          </cell>
        </row>
        <row r="187">
          <cell r="A187" t="str">
            <v>329096-41</v>
          </cell>
          <cell r="B187" t="str">
            <v>Jason Roller</v>
          </cell>
          <cell r="C187">
            <v>58.23</v>
          </cell>
          <cell r="D187" t="str">
            <v xml:space="preserve">Preferred Plan (a) Dnt2i                </v>
          </cell>
        </row>
        <row r="188">
          <cell r="A188" t="str">
            <v>BU4857940</v>
          </cell>
          <cell r="B188" t="str">
            <v>Gregory Teipel</v>
          </cell>
          <cell r="C188">
            <v>114.48</v>
          </cell>
          <cell r="D188" t="str">
            <v>Term Life Express 10 15 20 30</v>
          </cell>
        </row>
        <row r="189">
          <cell r="A189" t="str">
            <v>BU4730834</v>
          </cell>
          <cell r="B189" t="str">
            <v>Ryan Caltagirone</v>
          </cell>
          <cell r="C189">
            <v>22.43</v>
          </cell>
          <cell r="D189" t="str">
            <v>Term Life Express 10 15 20 30</v>
          </cell>
        </row>
        <row r="190">
          <cell r="A190" t="str">
            <v>522909-97</v>
          </cell>
          <cell r="B190" t="str">
            <v>Richard Yale</v>
          </cell>
          <cell r="C190">
            <v>29.06</v>
          </cell>
          <cell r="D190" t="str">
            <v xml:space="preserve">Protection  Plan (c) Dnt5i              </v>
          </cell>
        </row>
        <row r="191">
          <cell r="A191" t="str">
            <v>BU3895778</v>
          </cell>
          <cell r="B191" t="str">
            <v>Katelenn Caltagirone</v>
          </cell>
          <cell r="C191">
            <v>71.959999999999994</v>
          </cell>
          <cell r="D191" t="str">
            <v>Tle 20-20yr Guar</v>
          </cell>
        </row>
        <row r="192">
          <cell r="A192" t="str">
            <v>BU4410183</v>
          </cell>
          <cell r="B192" t="str">
            <v>Matthew Daugherty</v>
          </cell>
          <cell r="C192">
            <v>180.23</v>
          </cell>
          <cell r="D192" t="str">
            <v>Term Life Express 10 15 20 30</v>
          </cell>
        </row>
        <row r="193">
          <cell r="A193" t="str">
            <v>BU5007793</v>
          </cell>
          <cell r="B193" t="str">
            <v>Joel Lee</v>
          </cell>
          <cell r="C193">
            <v>9.5</v>
          </cell>
          <cell r="D193" t="str">
            <v>Term Life Express 10 15 20 30</v>
          </cell>
        </row>
        <row r="194">
          <cell r="A194" t="str">
            <v>BU3877435</v>
          </cell>
          <cell r="B194" t="str">
            <v>Ashley Teipel</v>
          </cell>
          <cell r="C194">
            <v>285.95999999999998</v>
          </cell>
          <cell r="D194" t="str">
            <v>Term Life Express 10 15 20 30</v>
          </cell>
        </row>
        <row r="195">
          <cell r="A195" t="str">
            <v>485725-97</v>
          </cell>
          <cell r="B195" t="str">
            <v>Dale Walenga</v>
          </cell>
          <cell r="C195">
            <v>36.08</v>
          </cell>
          <cell r="D195" t="str">
            <v xml:space="preserve">Protection  Plan (c) Dnt5i              </v>
          </cell>
        </row>
        <row r="196">
          <cell r="A196" t="str">
            <v>BU4416691</v>
          </cell>
          <cell r="B196" t="str">
            <v>Gregory Teipel</v>
          </cell>
          <cell r="C196">
            <v>54.47</v>
          </cell>
          <cell r="D196" t="str">
            <v>Term Life Express 10 15 20 30</v>
          </cell>
        </row>
        <row r="197">
          <cell r="A197" t="str">
            <v>369673-41</v>
          </cell>
          <cell r="B197" t="str">
            <v>Jacob Yale</v>
          </cell>
          <cell r="C197">
            <v>83.85</v>
          </cell>
          <cell r="D197" t="str">
            <v xml:space="preserve">Preferred Plan (a) Dnt2e                </v>
          </cell>
        </row>
        <row r="198">
          <cell r="A198" t="str">
            <v>617655-97</v>
          </cell>
          <cell r="B198" t="str">
            <v>Carol Foley</v>
          </cell>
          <cell r="C198">
            <v>154.27000000000001</v>
          </cell>
          <cell r="D198" t="str">
            <v>Medicare Supplement Plan G</v>
          </cell>
        </row>
        <row r="199">
          <cell r="A199" t="str">
            <v>BU4927721</v>
          </cell>
          <cell r="B199" t="str">
            <v>Ryan Caltagirone</v>
          </cell>
          <cell r="C199">
            <v>178.25</v>
          </cell>
          <cell r="D199" t="str">
            <v>Iul Express</v>
          </cell>
        </row>
        <row r="200">
          <cell r="A200" t="str">
            <v>BU6307837</v>
          </cell>
          <cell r="B200" t="str">
            <v>Matthew Daugherty</v>
          </cell>
          <cell r="C200">
            <v>64.349999999999994</v>
          </cell>
          <cell r="D200" t="str">
            <v>Term Life Express 10 15 20 30</v>
          </cell>
        </row>
        <row r="201">
          <cell r="A201" t="str">
            <v>BU3942920</v>
          </cell>
          <cell r="B201" t="str">
            <v>Ryan Caltagirone</v>
          </cell>
          <cell r="C201">
            <v>139.83000000000001</v>
          </cell>
          <cell r="D201" t="str">
            <v>Tle 20-20yr Guar</v>
          </cell>
        </row>
        <row r="202">
          <cell r="A202" t="str">
            <v>416716-97</v>
          </cell>
          <cell r="B202" t="str">
            <v>Gregory Teipel</v>
          </cell>
          <cell r="C202">
            <v>124.93</v>
          </cell>
          <cell r="D202" t="str">
            <v>Medicare Supplement Plan G</v>
          </cell>
        </row>
        <row r="203">
          <cell r="A203" t="str">
            <v>BU5290420</v>
          </cell>
          <cell r="B203" t="str">
            <v>Gregory Teipel</v>
          </cell>
          <cell r="C203">
            <v>187.92</v>
          </cell>
          <cell r="D203" t="str">
            <v>Iul Express</v>
          </cell>
        </row>
        <row r="204">
          <cell r="A204" t="str">
            <v>BU5477279</v>
          </cell>
          <cell r="B204" t="str">
            <v>Ryan Caltagirone</v>
          </cell>
          <cell r="C204">
            <v>155</v>
          </cell>
          <cell r="D204" t="str">
            <v>Term Life Express 10 15 20 30</v>
          </cell>
        </row>
        <row r="205">
          <cell r="A205" t="str">
            <v>BU6213732</v>
          </cell>
          <cell r="B205" t="str">
            <v>Gregory Teipel</v>
          </cell>
          <cell r="C205">
            <v>162.97999999999999</v>
          </cell>
          <cell r="D205" t="str">
            <v>Iul Express</v>
          </cell>
        </row>
        <row r="206">
          <cell r="A206" t="str">
            <v>658295-97</v>
          </cell>
          <cell r="B206" t="str">
            <v>Michael Dunavant</v>
          </cell>
          <cell r="C206">
            <v>151.24</v>
          </cell>
          <cell r="D206" t="str">
            <v>Medicare Supplement Plan G</v>
          </cell>
        </row>
        <row r="207">
          <cell r="A207" t="str">
            <v>BU4450440</v>
          </cell>
          <cell r="B207" t="str">
            <v>Matthew Daugherty</v>
          </cell>
          <cell r="C207">
            <v>352.97</v>
          </cell>
          <cell r="D207" t="str">
            <v>Term Life Express 10 15 20 30</v>
          </cell>
        </row>
        <row r="208">
          <cell r="A208" t="str">
            <v>BU4204283</v>
          </cell>
          <cell r="B208" t="str">
            <v>Adam Richter</v>
          </cell>
          <cell r="C208">
            <v>140.71</v>
          </cell>
          <cell r="D208" t="str">
            <v>Term Life Express 10 15 20 30</v>
          </cell>
        </row>
        <row r="209">
          <cell r="A209" t="str">
            <v>BU4854427</v>
          </cell>
          <cell r="B209" t="str">
            <v>Timothy Powers</v>
          </cell>
          <cell r="C209">
            <v>52.07</v>
          </cell>
          <cell r="D209" t="str">
            <v xml:space="preserve">Living Promise - Level  Benefit         </v>
          </cell>
        </row>
        <row r="210">
          <cell r="A210" t="str">
            <v>BU4253453</v>
          </cell>
          <cell r="B210" t="str">
            <v>Thomas Kucan</v>
          </cell>
          <cell r="C210">
            <v>32.35</v>
          </cell>
          <cell r="D210" t="str">
            <v>Iul Express</v>
          </cell>
        </row>
        <row r="211">
          <cell r="A211" t="str">
            <v>BU6388927</v>
          </cell>
          <cell r="B211" t="str">
            <v>Ryan Caltagirone</v>
          </cell>
          <cell r="C211">
            <v>63.28</v>
          </cell>
          <cell r="D211" t="str">
            <v>Tle 20-20yr Guar</v>
          </cell>
        </row>
        <row r="212">
          <cell r="A212" t="str">
            <v>BU4458713</v>
          </cell>
          <cell r="B212" t="str">
            <v>Matthew Daugherty</v>
          </cell>
          <cell r="C212">
            <v>91.19</v>
          </cell>
          <cell r="D212" t="str">
            <v>Term Life</v>
          </cell>
        </row>
        <row r="213">
          <cell r="A213" t="str">
            <v>BU6273215</v>
          </cell>
          <cell r="B213" t="str">
            <v>Gregory Teipel</v>
          </cell>
          <cell r="C213">
            <v>234.36</v>
          </cell>
          <cell r="D213" t="str">
            <v>Iul Express</v>
          </cell>
        </row>
        <row r="214">
          <cell r="A214" t="str">
            <v>BU4894635</v>
          </cell>
          <cell r="B214" t="str">
            <v>Carol Foley</v>
          </cell>
          <cell r="C214">
            <v>258.14</v>
          </cell>
          <cell r="D214" t="str">
            <v xml:space="preserve">Living Promise - Level  Benefit         </v>
          </cell>
        </row>
        <row r="215">
          <cell r="A215" t="str">
            <v>BU4375204</v>
          </cell>
          <cell r="B215" t="str">
            <v>Gregory Teipel</v>
          </cell>
          <cell r="C215">
            <v>120</v>
          </cell>
          <cell r="D215" t="str">
            <v>Iul Express</v>
          </cell>
        </row>
        <row r="216">
          <cell r="A216" t="str">
            <v>BU5174297</v>
          </cell>
          <cell r="B216" t="str">
            <v>Ryan Caltagirone</v>
          </cell>
          <cell r="C216">
            <v>221.49</v>
          </cell>
          <cell r="D216" t="str">
            <v>Tle 20-20yr Guar</v>
          </cell>
        </row>
        <row r="217">
          <cell r="A217" t="str">
            <v>373281-41</v>
          </cell>
          <cell r="B217" t="str">
            <v>Jason Roller</v>
          </cell>
          <cell r="C217">
            <v>176.91</v>
          </cell>
          <cell r="D217" t="str">
            <v>Medicare Supplement Plan G</v>
          </cell>
        </row>
        <row r="218">
          <cell r="A218" t="str">
            <v>BU4844006</v>
          </cell>
          <cell r="B218" t="str">
            <v>Gregory Teipel</v>
          </cell>
          <cell r="C218">
            <v>151.56</v>
          </cell>
          <cell r="D218" t="str">
            <v>Iul Express</v>
          </cell>
        </row>
        <row r="219">
          <cell r="A219" t="str">
            <v>BU5636812</v>
          </cell>
          <cell r="B219" t="str">
            <v>Ryan Caltagirone</v>
          </cell>
          <cell r="C219">
            <v>65.28</v>
          </cell>
          <cell r="D219" t="str">
            <v>Tle 20-20yr Guar</v>
          </cell>
        </row>
        <row r="220">
          <cell r="A220" t="str">
            <v>BU4476553</v>
          </cell>
          <cell r="B220" t="str">
            <v>Matthew Daugherty</v>
          </cell>
          <cell r="C220">
            <v>196.57</v>
          </cell>
          <cell r="D220" t="str">
            <v>Term Life</v>
          </cell>
        </row>
        <row r="221">
          <cell r="A221" t="str">
            <v>BU5107219</v>
          </cell>
          <cell r="B221" t="str">
            <v>Gregory Teipel</v>
          </cell>
          <cell r="C221">
            <v>105.13</v>
          </cell>
          <cell r="D221" t="str">
            <v>Term Life Express 10 15 20 30</v>
          </cell>
        </row>
        <row r="222">
          <cell r="A222" t="str">
            <v>BU6376765</v>
          </cell>
          <cell r="B222" t="str">
            <v>Adam Richter</v>
          </cell>
          <cell r="C222">
            <v>71.819999999999993</v>
          </cell>
          <cell r="D222" t="str">
            <v>Term Life Express 10 15 20 30</v>
          </cell>
        </row>
        <row r="223">
          <cell r="A223" t="str">
            <v>BU5268999</v>
          </cell>
          <cell r="B223" t="str">
            <v>Gregory Teipel</v>
          </cell>
          <cell r="C223">
            <v>193.43</v>
          </cell>
          <cell r="D223" t="str">
            <v>Iul Express</v>
          </cell>
        </row>
        <row r="224">
          <cell r="A224" t="str">
            <v>BU6331143</v>
          </cell>
          <cell r="B224" t="str">
            <v>Nasandelger Zana</v>
          </cell>
          <cell r="C224">
            <v>158.58000000000001</v>
          </cell>
          <cell r="D224" t="str">
            <v>Iul Express</v>
          </cell>
        </row>
        <row r="225">
          <cell r="A225" t="str">
            <v>647995-97</v>
          </cell>
          <cell r="B225" t="str">
            <v>Michael Dunavant</v>
          </cell>
          <cell r="C225">
            <v>129.38999999999999</v>
          </cell>
          <cell r="D225" t="str">
            <v>Medicare Supplement Plan G</v>
          </cell>
        </row>
        <row r="226">
          <cell r="A226" t="str">
            <v>BU4974280</v>
          </cell>
          <cell r="B226" t="str">
            <v>Gregory Teipel</v>
          </cell>
          <cell r="C226">
            <v>136.30000000000001</v>
          </cell>
          <cell r="D226" t="str">
            <v>Term Life Express 10 15 20 30</v>
          </cell>
        </row>
        <row r="227">
          <cell r="A227" t="str">
            <v>613903-96</v>
          </cell>
          <cell r="B227" t="str">
            <v>Jason Hoffmann</v>
          </cell>
          <cell r="C227">
            <v>175.92</v>
          </cell>
          <cell r="D227" t="str">
            <v>Medicare Supplement Plan N</v>
          </cell>
        </row>
        <row r="228">
          <cell r="A228" t="str">
            <v>BU5065025</v>
          </cell>
          <cell r="B228" t="str">
            <v>Ricardo Santos</v>
          </cell>
          <cell r="C228">
            <v>41.61</v>
          </cell>
          <cell r="D228" t="str">
            <v>Term Life Express 10 15 20 30</v>
          </cell>
        </row>
        <row r="229">
          <cell r="A229" t="str">
            <v>BU4112021</v>
          </cell>
          <cell r="B229" t="str">
            <v>Ryan Caltagirone</v>
          </cell>
          <cell r="C229">
            <v>105</v>
          </cell>
          <cell r="D229" t="str">
            <v>Iul Express</v>
          </cell>
        </row>
        <row r="230">
          <cell r="A230" t="str">
            <v>637501-97</v>
          </cell>
          <cell r="B230" t="str">
            <v>Dale Walenga</v>
          </cell>
          <cell r="C230">
            <v>34.36</v>
          </cell>
          <cell r="D230" t="str">
            <v xml:space="preserve">Protection  Plan (c) Dnt5i              </v>
          </cell>
        </row>
        <row r="231">
          <cell r="A231" t="str">
            <v>759136-96</v>
          </cell>
          <cell r="B231" t="str">
            <v>Jason Hoffmann</v>
          </cell>
          <cell r="C231">
            <v>84</v>
          </cell>
          <cell r="D231" t="str">
            <v>Critical Illness 2014 Ia - Lump Sum Crit</v>
          </cell>
        </row>
        <row r="232">
          <cell r="A232" t="str">
            <v>BU4137443</v>
          </cell>
          <cell r="B232" t="str">
            <v>Gregory Teipel</v>
          </cell>
          <cell r="C232">
            <v>260</v>
          </cell>
          <cell r="D232" t="str">
            <v>Iul Express</v>
          </cell>
        </row>
        <row r="233">
          <cell r="A233" t="str">
            <v>BU4960397</v>
          </cell>
          <cell r="B233" t="str">
            <v>Gregory Teipel</v>
          </cell>
          <cell r="C233">
            <v>156.85</v>
          </cell>
          <cell r="D233" t="str">
            <v xml:space="preserve">Living Promise - Level  Benefit         </v>
          </cell>
        </row>
        <row r="234">
          <cell r="A234" t="str">
            <v>BU4899792</v>
          </cell>
          <cell r="B234" t="str">
            <v>Gregory Teipel</v>
          </cell>
          <cell r="C234">
            <v>4664.88</v>
          </cell>
          <cell r="D234" t="str">
            <v>Iul Express</v>
          </cell>
        </row>
        <row r="235">
          <cell r="A235" t="str">
            <v>BU5478695</v>
          </cell>
          <cell r="B235" t="str">
            <v>Jason Roller</v>
          </cell>
          <cell r="C235">
            <v>3479.05</v>
          </cell>
          <cell r="D235" t="str">
            <v>Iul Express</v>
          </cell>
        </row>
        <row r="236">
          <cell r="A236" t="str">
            <v>BU4548555</v>
          </cell>
          <cell r="B236" t="str">
            <v>Ryan Caltagirone</v>
          </cell>
          <cell r="C236">
            <v>106.71</v>
          </cell>
          <cell r="D236" t="str">
            <v>Iul Express</v>
          </cell>
        </row>
        <row r="237">
          <cell r="A237" t="str">
            <v>340328-41</v>
          </cell>
          <cell r="B237" t="str">
            <v>Gary Portugal</v>
          </cell>
          <cell r="C237">
            <v>64.88</v>
          </cell>
          <cell r="D237" t="str">
            <v xml:space="preserve">Hospital Indemnity                      </v>
          </cell>
        </row>
        <row r="238">
          <cell r="A238" t="str">
            <v>BU4821249</v>
          </cell>
          <cell r="B238" t="str">
            <v>Gregory Teipel</v>
          </cell>
          <cell r="C238">
            <v>175.78</v>
          </cell>
          <cell r="D238" t="str">
            <v xml:space="preserve">Living Promise - Level  Benefit         </v>
          </cell>
        </row>
        <row r="239">
          <cell r="A239" t="str">
            <v>BU6251670</v>
          </cell>
          <cell r="B239" t="str">
            <v>Adam Richter</v>
          </cell>
          <cell r="C239">
            <v>26.75</v>
          </cell>
          <cell r="D239" t="str">
            <v xml:space="preserve">Children S - Whole Life                 </v>
          </cell>
        </row>
        <row r="240">
          <cell r="A240" t="str">
            <v>374956-41</v>
          </cell>
          <cell r="B240" t="str">
            <v>Gregory Teipel</v>
          </cell>
          <cell r="C240">
            <v>207.5</v>
          </cell>
          <cell r="D240" t="str">
            <v>Medicare Supplement Plan G</v>
          </cell>
        </row>
        <row r="241">
          <cell r="A241" t="str">
            <v>317475-41</v>
          </cell>
          <cell r="B241" t="str">
            <v>Matthew Sherman</v>
          </cell>
          <cell r="C241">
            <v>138.54</v>
          </cell>
          <cell r="D241" t="str">
            <v>Medicare Supplement Plan G High Deductible</v>
          </cell>
        </row>
        <row r="242">
          <cell r="A242" t="str">
            <v>BU5274718</v>
          </cell>
          <cell r="B242" t="str">
            <v>Ryan Caltagirone</v>
          </cell>
          <cell r="C242">
            <v>47.62</v>
          </cell>
          <cell r="D242" t="str">
            <v>Term Life Express 10 15 20 30</v>
          </cell>
        </row>
        <row r="243">
          <cell r="A243" t="str">
            <v>BU5064003</v>
          </cell>
          <cell r="B243" t="str">
            <v>Gregory Teipel</v>
          </cell>
          <cell r="C243">
            <v>192.22</v>
          </cell>
          <cell r="D243" t="str">
            <v xml:space="preserve">Living Promise - Level  Benefit         </v>
          </cell>
        </row>
        <row r="244">
          <cell r="A244" t="str">
            <v>BU5264787</v>
          </cell>
          <cell r="B244" t="str">
            <v>Matthew Daugherty</v>
          </cell>
          <cell r="C244">
            <v>70.59</v>
          </cell>
          <cell r="D244" t="str">
            <v>Term Life Express 10 15 20 30</v>
          </cell>
        </row>
        <row r="245">
          <cell r="A245" t="str">
            <v>BU6417810</v>
          </cell>
          <cell r="B245" t="str">
            <v>Gregory Teipel</v>
          </cell>
          <cell r="C245">
            <v>243.56</v>
          </cell>
          <cell r="D245" t="str">
            <v>Iul Express</v>
          </cell>
        </row>
        <row r="246">
          <cell r="A246" t="str">
            <v>BU4758684</v>
          </cell>
          <cell r="B246" t="str">
            <v>Ryan Caltagirone</v>
          </cell>
          <cell r="C246">
            <v>174.22</v>
          </cell>
          <cell r="D246" t="str">
            <v>Term Life Express 10 15 20 30</v>
          </cell>
        </row>
        <row r="247">
          <cell r="A247" t="str">
            <v>684259-97</v>
          </cell>
          <cell r="B247" t="str">
            <v>Michael Dunavant</v>
          </cell>
          <cell r="C247">
            <v>128.66999999999999</v>
          </cell>
          <cell r="D247" t="str">
            <v>Medicare Supplement Plan G</v>
          </cell>
        </row>
        <row r="248">
          <cell r="A248" t="str">
            <v>BU5238225</v>
          </cell>
          <cell r="B248" t="str">
            <v>Gregory Teipel</v>
          </cell>
          <cell r="C248">
            <v>210.19</v>
          </cell>
          <cell r="D248" t="str">
            <v>Iul Express</v>
          </cell>
        </row>
        <row r="249">
          <cell r="A249" t="str">
            <v>BU4885588</v>
          </cell>
          <cell r="B249" t="str">
            <v>Matthew Daugherty</v>
          </cell>
          <cell r="C249">
            <v>91.31</v>
          </cell>
          <cell r="D249" t="str">
            <v>Term Life Express 10 15 20 30</v>
          </cell>
        </row>
        <row r="250">
          <cell r="A250" t="str">
            <v>390478-41</v>
          </cell>
          <cell r="B250" t="str">
            <v>Ronald Max</v>
          </cell>
          <cell r="C250">
            <v>241.87</v>
          </cell>
          <cell r="D250" t="str">
            <v>Medicare Supplement Plan A</v>
          </cell>
        </row>
        <row r="251">
          <cell r="A251" t="str">
            <v>BU4070302</v>
          </cell>
          <cell r="B251" t="str">
            <v>Ryan Caltagirone</v>
          </cell>
          <cell r="C251">
            <v>61.68</v>
          </cell>
          <cell r="D251" t="str">
            <v>Term Life Express 10 15 20 30</v>
          </cell>
        </row>
        <row r="252">
          <cell r="A252" t="str">
            <v>BU4296856</v>
          </cell>
          <cell r="B252" t="str">
            <v>Gregory Teipel</v>
          </cell>
          <cell r="C252">
            <v>99.92</v>
          </cell>
          <cell r="D252" t="str">
            <v>Iul Express</v>
          </cell>
        </row>
        <row r="253">
          <cell r="A253" t="str">
            <v>512529-97</v>
          </cell>
          <cell r="B253" t="str">
            <v>Michael Dunavant</v>
          </cell>
          <cell r="C253">
            <v>211.74</v>
          </cell>
          <cell r="D253" t="str">
            <v>Medicare Supplement Plan G</v>
          </cell>
        </row>
        <row r="254">
          <cell r="A254" t="str">
            <v>BU5164016</v>
          </cell>
          <cell r="B254" t="str">
            <v>Ryan Caltagirone</v>
          </cell>
          <cell r="C254">
            <v>197.05</v>
          </cell>
          <cell r="D254" t="str">
            <v>Iul Express</v>
          </cell>
        </row>
        <row r="255">
          <cell r="A255" t="str">
            <v>BU4435417</v>
          </cell>
          <cell r="B255" t="str">
            <v>Gregory Teipel</v>
          </cell>
          <cell r="C255">
            <v>93.89</v>
          </cell>
          <cell r="D255" t="str">
            <v>Term Life Express 10 15 20 30</v>
          </cell>
        </row>
        <row r="256">
          <cell r="A256" t="str">
            <v>BU6436093</v>
          </cell>
          <cell r="B256" t="str">
            <v>Gregory Teipel</v>
          </cell>
          <cell r="C256">
            <v>180.28</v>
          </cell>
          <cell r="D256" t="str">
            <v>Iul Express</v>
          </cell>
        </row>
        <row r="257">
          <cell r="A257" t="str">
            <v>BU6269938</v>
          </cell>
          <cell r="B257" t="str">
            <v>Ryan Caltagirone</v>
          </cell>
          <cell r="C257">
            <v>75.209999999999994</v>
          </cell>
          <cell r="D257" t="str">
            <v>Tle 20-20yr Guar</v>
          </cell>
        </row>
        <row r="258">
          <cell r="A258" t="str">
            <v>977179-96</v>
          </cell>
          <cell r="B258" t="str">
            <v>Murray Sterner</v>
          </cell>
          <cell r="C258">
            <v>171.27</v>
          </cell>
          <cell r="D258" t="str">
            <v xml:space="preserve">Preferred Plan (a) Dnt2i                </v>
          </cell>
        </row>
        <row r="259">
          <cell r="A259" t="str">
            <v>821212-96</v>
          </cell>
          <cell r="B259" t="str">
            <v>Anne Marie Kozacheck</v>
          </cell>
          <cell r="C259">
            <v>183.59</v>
          </cell>
          <cell r="D259" t="str">
            <v>Medicare Supplement Plan G</v>
          </cell>
        </row>
        <row r="260">
          <cell r="A260" t="str">
            <v>BU6269162</v>
          </cell>
          <cell r="B260" t="str">
            <v>Gregory Teipel</v>
          </cell>
          <cell r="C260">
            <v>141.63</v>
          </cell>
          <cell r="D260" t="str">
            <v>Iul Express</v>
          </cell>
        </row>
        <row r="261">
          <cell r="A261" t="str">
            <v>BU4454175</v>
          </cell>
          <cell r="B261" t="str">
            <v>Matthew Daugherty</v>
          </cell>
          <cell r="C261">
            <v>225.17</v>
          </cell>
          <cell r="D261" t="str">
            <v>Term Life Express 10 15 20 30</v>
          </cell>
        </row>
        <row r="262">
          <cell r="A262" t="str">
            <v>BU4394996</v>
          </cell>
          <cell r="B262" t="str">
            <v>Matthew Daugherty</v>
          </cell>
          <cell r="C262">
            <v>159.18</v>
          </cell>
          <cell r="D262" t="str">
            <v>Term Life</v>
          </cell>
        </row>
        <row r="263">
          <cell r="A263" t="str">
            <v>803161-97</v>
          </cell>
          <cell r="B263" t="str">
            <v>Robert Shapiro</v>
          </cell>
          <cell r="C263">
            <v>528.6</v>
          </cell>
          <cell r="D263" t="str">
            <v xml:space="preserve">Preferred Plan (a) Dnt2i                </v>
          </cell>
        </row>
        <row r="264">
          <cell r="A264" t="str">
            <v>BU4767267</v>
          </cell>
          <cell r="B264" t="str">
            <v>Gregory Teipel</v>
          </cell>
          <cell r="C264">
            <v>224.06</v>
          </cell>
          <cell r="D264" t="str">
            <v>Term Life Express 10 15 20 30</v>
          </cell>
        </row>
        <row r="265">
          <cell r="A265" t="str">
            <v>BU5595351</v>
          </cell>
          <cell r="B265" t="str">
            <v>Jason Roller</v>
          </cell>
          <cell r="C265">
            <v>99.07</v>
          </cell>
          <cell r="D265" t="str">
            <v>Iul Express</v>
          </cell>
        </row>
        <row r="266">
          <cell r="A266" t="str">
            <v>BU4606383</v>
          </cell>
          <cell r="B266" t="str">
            <v>Gregory Teipel</v>
          </cell>
          <cell r="C266">
            <v>93.98</v>
          </cell>
          <cell r="D266" t="str">
            <v>Term Life Express 10 15 20 30</v>
          </cell>
        </row>
        <row r="267">
          <cell r="A267" t="str">
            <v>BU5159760</v>
          </cell>
          <cell r="B267" t="str">
            <v>Ryan Caltagirone</v>
          </cell>
          <cell r="C267">
            <v>265.86</v>
          </cell>
          <cell r="D267" t="str">
            <v>Iul Express</v>
          </cell>
        </row>
        <row r="268">
          <cell r="A268" t="str">
            <v>BU4377381</v>
          </cell>
          <cell r="B268" t="str">
            <v>Thomas Kucan</v>
          </cell>
          <cell r="C268">
            <v>122.6</v>
          </cell>
          <cell r="D268" t="str">
            <v xml:space="preserve">Living Promise - Level  Benefit         </v>
          </cell>
        </row>
        <row r="269">
          <cell r="A269" t="str">
            <v>BU4299372</v>
          </cell>
          <cell r="B269" t="str">
            <v>Colleen Finnigan</v>
          </cell>
          <cell r="C269">
            <v>125</v>
          </cell>
          <cell r="D269" t="str">
            <v>Iul Express</v>
          </cell>
        </row>
        <row r="270">
          <cell r="A270" t="str">
            <v>BU4325161</v>
          </cell>
          <cell r="B270" t="str">
            <v>Matthew Daugherty</v>
          </cell>
          <cell r="C270">
            <v>113.03</v>
          </cell>
          <cell r="D270" t="str">
            <v>Term Life Express 10 15 20 30</v>
          </cell>
        </row>
        <row r="271">
          <cell r="A271" t="str">
            <v>BU3966299</v>
          </cell>
          <cell r="B271" t="str">
            <v>Ryan Caltagirone</v>
          </cell>
          <cell r="C271">
            <v>162.76</v>
          </cell>
          <cell r="D271" t="str">
            <v>Term Life Express 10 15 20 30</v>
          </cell>
        </row>
        <row r="272">
          <cell r="A272" t="str">
            <v>BU5072017</v>
          </cell>
          <cell r="B272" t="str">
            <v>Gregory Teipel</v>
          </cell>
          <cell r="C272">
            <v>129.13999999999999</v>
          </cell>
          <cell r="D272" t="str">
            <v xml:space="preserve">Living Promise - Level  Benefit         </v>
          </cell>
        </row>
        <row r="273">
          <cell r="A273" t="str">
            <v>BU4442504</v>
          </cell>
          <cell r="B273" t="str">
            <v>Matthew Daugherty</v>
          </cell>
          <cell r="C273">
            <v>274.48</v>
          </cell>
          <cell r="D273" t="str">
            <v>Term Life Express 10 15 20 30</v>
          </cell>
        </row>
        <row r="274">
          <cell r="A274" t="str">
            <v>BU4177079</v>
          </cell>
          <cell r="B274" t="str">
            <v>Colleen Finnigan</v>
          </cell>
          <cell r="C274">
            <v>52.29</v>
          </cell>
          <cell r="D274" t="str">
            <v>Term Life Express 10 15 20 30</v>
          </cell>
        </row>
        <row r="275">
          <cell r="A275" t="str">
            <v>BU5155524</v>
          </cell>
          <cell r="B275" t="str">
            <v>Gregory Teipel</v>
          </cell>
          <cell r="C275">
            <v>180.58</v>
          </cell>
          <cell r="D275" t="str">
            <v>Iul Express</v>
          </cell>
        </row>
        <row r="276">
          <cell r="A276" t="str">
            <v>BU5375356</v>
          </cell>
          <cell r="B276" t="str">
            <v>Gregory Teipel</v>
          </cell>
          <cell r="C276">
            <v>256.43</v>
          </cell>
          <cell r="D276" t="str">
            <v>Iul Express</v>
          </cell>
        </row>
        <row r="277">
          <cell r="A277" t="str">
            <v>482809-41</v>
          </cell>
          <cell r="B277" t="str">
            <v>Jacob Yale</v>
          </cell>
          <cell r="C277">
            <v>50.94</v>
          </cell>
          <cell r="D277" t="str">
            <v xml:space="preserve">Preferred Plan (a) Dnt2b                </v>
          </cell>
        </row>
        <row r="278">
          <cell r="A278" t="str">
            <v>BU4225679</v>
          </cell>
          <cell r="B278" t="str">
            <v>Colleen Finnigan</v>
          </cell>
          <cell r="C278">
            <v>148.05000000000001</v>
          </cell>
          <cell r="D278" t="str">
            <v>Term Life Answer 10 15 20 30</v>
          </cell>
        </row>
        <row r="279">
          <cell r="A279" t="str">
            <v>BU4171418</v>
          </cell>
          <cell r="B279" t="str">
            <v>Adam Richter</v>
          </cell>
          <cell r="C279">
            <v>76.959999999999994</v>
          </cell>
          <cell r="D279" t="str">
            <v>Term Life Express 10 15 20 30</v>
          </cell>
        </row>
        <row r="280">
          <cell r="A280" t="str">
            <v>980713-96</v>
          </cell>
          <cell r="B280" t="str">
            <v>Adam Richter</v>
          </cell>
          <cell r="C280">
            <v>120.5</v>
          </cell>
          <cell r="D280" t="str">
            <v>Medicare Supplement Plan N</v>
          </cell>
        </row>
        <row r="281">
          <cell r="A281" t="str">
            <v>422587-97</v>
          </cell>
          <cell r="B281" t="str">
            <v>Adam Richter</v>
          </cell>
          <cell r="C281">
            <v>144.47999999999999</v>
          </cell>
          <cell r="D281" t="str">
            <v>Medicare Supplement Plan N</v>
          </cell>
        </row>
        <row r="282">
          <cell r="A282" t="str">
            <v>422614-97</v>
          </cell>
          <cell r="B282" t="str">
            <v>Adam Richter</v>
          </cell>
          <cell r="C282">
            <v>125.66</v>
          </cell>
          <cell r="D282" t="str">
            <v>Medicare Supplement Plan N</v>
          </cell>
        </row>
        <row r="283">
          <cell r="A283" t="str">
            <v>BU4878372</v>
          </cell>
          <cell r="B283" t="str">
            <v>Gregory Teipel</v>
          </cell>
          <cell r="C283">
            <v>202.25</v>
          </cell>
          <cell r="D283" t="str">
            <v>Iul Express</v>
          </cell>
        </row>
        <row r="284">
          <cell r="A284" t="str">
            <v>BU4994500</v>
          </cell>
          <cell r="B284" t="str">
            <v>Ryan Caltagirone</v>
          </cell>
          <cell r="C284">
            <v>75.290000000000006</v>
          </cell>
          <cell r="D284" t="str">
            <v>Tle 20-20yr Guar</v>
          </cell>
        </row>
        <row r="285">
          <cell r="A285" t="str">
            <v>BU3898468</v>
          </cell>
          <cell r="B285" t="str">
            <v>Jason Hoffmann</v>
          </cell>
          <cell r="C285">
            <v>59.99</v>
          </cell>
          <cell r="D285" t="str">
            <v>Term Life Express 10 15 20 30</v>
          </cell>
        </row>
        <row r="286">
          <cell r="A286" t="str">
            <v>BU5203803</v>
          </cell>
          <cell r="B286" t="str">
            <v>Ryan Caltagirone</v>
          </cell>
          <cell r="C286">
            <v>103.44</v>
          </cell>
          <cell r="D286" t="str">
            <v>Iul Express</v>
          </cell>
        </row>
        <row r="287">
          <cell r="A287" t="str">
            <v>BU5619032</v>
          </cell>
          <cell r="B287" t="str">
            <v>Andrew Choi</v>
          </cell>
          <cell r="C287">
            <v>79.42</v>
          </cell>
          <cell r="D287" t="str">
            <v>Iul Express</v>
          </cell>
        </row>
        <row r="288">
          <cell r="A288" t="str">
            <v>650330-97</v>
          </cell>
          <cell r="B288" t="str">
            <v>Dale Walenga</v>
          </cell>
          <cell r="C288">
            <v>34.36</v>
          </cell>
          <cell r="D288" t="str">
            <v xml:space="preserve">Protection  Plan (c) Dnt5i              </v>
          </cell>
        </row>
        <row r="289">
          <cell r="A289" t="str">
            <v>BU4941440</v>
          </cell>
          <cell r="B289" t="str">
            <v>Ronald Max</v>
          </cell>
          <cell r="C289">
            <v>129.91999999999999</v>
          </cell>
          <cell r="D289" t="str">
            <v>Iul Express</v>
          </cell>
        </row>
        <row r="290">
          <cell r="A290" t="str">
            <v>BU6285678</v>
          </cell>
          <cell r="B290" t="str">
            <v>Matthew Daugherty</v>
          </cell>
          <cell r="C290">
            <v>187.69</v>
          </cell>
          <cell r="D290" t="str">
            <v>Iul Express</v>
          </cell>
        </row>
        <row r="291">
          <cell r="A291" t="str">
            <v>BU5065399</v>
          </cell>
          <cell r="B291" t="str">
            <v>Ronald Max</v>
          </cell>
          <cell r="C291">
            <v>118.68</v>
          </cell>
          <cell r="D291" t="str">
            <v>Term Life Express 10 15 20 30</v>
          </cell>
        </row>
        <row r="292">
          <cell r="A292" t="str">
            <v>BU4273916</v>
          </cell>
          <cell r="B292" t="str">
            <v>Gregory Teipel</v>
          </cell>
          <cell r="C292">
            <v>152.22</v>
          </cell>
          <cell r="D292" t="str">
            <v>Iul Express</v>
          </cell>
        </row>
        <row r="293">
          <cell r="A293" t="str">
            <v>BU4370942</v>
          </cell>
          <cell r="B293" t="str">
            <v>Ryan Caltagirone</v>
          </cell>
          <cell r="C293">
            <v>90</v>
          </cell>
          <cell r="D293" t="str">
            <v>Iul Express</v>
          </cell>
        </row>
        <row r="294">
          <cell r="A294" t="str">
            <v>BU4446782</v>
          </cell>
          <cell r="B294" t="str">
            <v>Matthew Daugherty</v>
          </cell>
          <cell r="C294">
            <v>177.45</v>
          </cell>
          <cell r="D294" t="str">
            <v>Term Life</v>
          </cell>
        </row>
        <row r="295">
          <cell r="A295" t="str">
            <v>835037-97</v>
          </cell>
          <cell r="B295" t="str">
            <v>Michael Dunavant</v>
          </cell>
          <cell r="C295">
            <v>109.4</v>
          </cell>
          <cell r="D295" t="str">
            <v>Medicare Supplement Plan N</v>
          </cell>
        </row>
        <row r="296">
          <cell r="A296" t="str">
            <v>385102-97</v>
          </cell>
          <cell r="B296" t="str">
            <v>Dale Walenga</v>
          </cell>
          <cell r="C296">
            <v>79.28</v>
          </cell>
          <cell r="D296" t="str">
            <v xml:space="preserve">Preferred Plan (a) Dnt2i                </v>
          </cell>
        </row>
        <row r="297">
          <cell r="A297" t="str">
            <v>BU3909266</v>
          </cell>
          <cell r="B297" t="str">
            <v>Jason Hoffmann</v>
          </cell>
          <cell r="C297">
            <v>63.41</v>
          </cell>
          <cell r="D297" t="str">
            <v>Term Life Express 10 15 20 30</v>
          </cell>
        </row>
        <row r="298">
          <cell r="A298" t="str">
            <v>BU4473267</v>
          </cell>
          <cell r="B298" t="str">
            <v>Ryan Caltagirone</v>
          </cell>
          <cell r="C298">
            <v>136.13999999999999</v>
          </cell>
          <cell r="D298" t="str">
            <v>Term Life Express 10 15 20 30</v>
          </cell>
        </row>
        <row r="299">
          <cell r="A299" t="str">
            <v>BU6209177</v>
          </cell>
          <cell r="B299" t="str">
            <v>Ryan Caltagirone</v>
          </cell>
          <cell r="C299">
            <v>134.33000000000001</v>
          </cell>
          <cell r="D299" t="str">
            <v>Iul Express</v>
          </cell>
        </row>
        <row r="300">
          <cell r="A300" t="str">
            <v>689222-97</v>
          </cell>
          <cell r="B300" t="str">
            <v>Carol Foley</v>
          </cell>
          <cell r="C300">
            <v>178.26</v>
          </cell>
          <cell r="D300" t="str">
            <v>Medicare Supplement Plan N</v>
          </cell>
        </row>
        <row r="301">
          <cell r="A301" t="str">
            <v>BU5451962</v>
          </cell>
          <cell r="B301" t="str">
            <v>Ryan Caltagirone</v>
          </cell>
          <cell r="C301">
            <v>123.96</v>
          </cell>
          <cell r="D301" t="str">
            <v>Term Life Express 10 15 20 30</v>
          </cell>
        </row>
        <row r="302">
          <cell r="A302" t="str">
            <v>BU6386412</v>
          </cell>
          <cell r="B302" t="str">
            <v>Gary Portugal</v>
          </cell>
          <cell r="C302">
            <v>114.04</v>
          </cell>
          <cell r="D302" t="str">
            <v xml:space="preserve">Living Promise-graded                   </v>
          </cell>
        </row>
        <row r="303">
          <cell r="A303" t="str">
            <v>BU6244642</v>
          </cell>
          <cell r="B303" t="str">
            <v>Andrew Choi</v>
          </cell>
          <cell r="C303">
            <v>88.52</v>
          </cell>
          <cell r="D303" t="str">
            <v xml:space="preserve">Living Promise - Level  Benefit         </v>
          </cell>
        </row>
        <row r="304">
          <cell r="A304" t="str">
            <v>961571-96</v>
          </cell>
          <cell r="B304" t="str">
            <v>Adam Richter</v>
          </cell>
          <cell r="C304">
            <v>147.96</v>
          </cell>
          <cell r="D304" t="str">
            <v>Medicare Supplement Plan G</v>
          </cell>
        </row>
        <row r="305">
          <cell r="A305" t="str">
            <v>BU6269156</v>
          </cell>
          <cell r="B305" t="str">
            <v>Gregory Teipel</v>
          </cell>
          <cell r="C305">
            <v>265.99</v>
          </cell>
          <cell r="D305" t="str">
            <v>Iul Express</v>
          </cell>
        </row>
        <row r="306">
          <cell r="A306" t="str">
            <v>BU4245028</v>
          </cell>
          <cell r="B306" t="str">
            <v>Ryan Caltagirone</v>
          </cell>
          <cell r="C306">
            <v>180.42</v>
          </cell>
          <cell r="D306" t="str">
            <v>Iul Express</v>
          </cell>
        </row>
        <row r="307">
          <cell r="A307" t="str">
            <v>473139-97</v>
          </cell>
          <cell r="B307" t="str">
            <v>Michael Dunavant</v>
          </cell>
          <cell r="C307">
            <v>181.15</v>
          </cell>
          <cell r="D307" t="str">
            <v>Medicare Supplement Plan G</v>
          </cell>
        </row>
        <row r="308">
          <cell r="A308" t="str">
            <v>BU5345141</v>
          </cell>
          <cell r="B308" t="str">
            <v>Ryan Caltagirone</v>
          </cell>
          <cell r="C308">
            <v>199.86</v>
          </cell>
          <cell r="D308" t="str">
            <v>Iul Express</v>
          </cell>
        </row>
        <row r="309">
          <cell r="A309" t="str">
            <v>BU4141927</v>
          </cell>
          <cell r="B309" t="str">
            <v>Ryan Caltagirone</v>
          </cell>
          <cell r="C309">
            <v>220.92</v>
          </cell>
          <cell r="D309" t="str">
            <v>Iul Express</v>
          </cell>
        </row>
        <row r="310">
          <cell r="A310" t="str">
            <v>BU5062572</v>
          </cell>
          <cell r="B310" t="str">
            <v>Gary Portugal</v>
          </cell>
          <cell r="C310">
            <v>71.62</v>
          </cell>
          <cell r="D310" t="str">
            <v xml:space="preserve">Living Promise - Level  Benefit         </v>
          </cell>
        </row>
        <row r="311">
          <cell r="A311" t="str">
            <v>BU3849338</v>
          </cell>
          <cell r="B311" t="str">
            <v>Katelenn Caltagirone</v>
          </cell>
          <cell r="C311">
            <v>151.52000000000001</v>
          </cell>
          <cell r="D311" t="str">
            <v>Tle 20-20yr Guar</v>
          </cell>
        </row>
        <row r="312">
          <cell r="A312" t="str">
            <v>601712-97</v>
          </cell>
          <cell r="B312" t="str">
            <v>Gregory Teipel</v>
          </cell>
          <cell r="C312">
            <v>220.01</v>
          </cell>
          <cell r="D312" t="str">
            <v>Medicare Supplement Plan G</v>
          </cell>
        </row>
        <row r="313">
          <cell r="A313" t="str">
            <v>BU6241482</v>
          </cell>
          <cell r="B313" t="str">
            <v>Matthew Daugherty</v>
          </cell>
          <cell r="C313">
            <v>99.32</v>
          </cell>
          <cell r="D313" t="str">
            <v>Term Life Express 10 15 20 30</v>
          </cell>
        </row>
        <row r="314">
          <cell r="A314" t="str">
            <v>BU6387533</v>
          </cell>
          <cell r="B314" t="str">
            <v>Gregory Teipel</v>
          </cell>
          <cell r="C314">
            <v>125.91</v>
          </cell>
          <cell r="D314" t="str">
            <v>Iul Express</v>
          </cell>
        </row>
        <row r="315">
          <cell r="A315" t="str">
            <v>BU4424607</v>
          </cell>
          <cell r="B315" t="str">
            <v>Matthew Daugherty</v>
          </cell>
          <cell r="C315">
            <v>77.61</v>
          </cell>
          <cell r="D315" t="str">
            <v>Term Life Express 10 15 20 30</v>
          </cell>
        </row>
        <row r="316">
          <cell r="A316" t="str">
            <v>BU4286733</v>
          </cell>
          <cell r="B316" t="str">
            <v>Ryan Caltagirone</v>
          </cell>
          <cell r="C316">
            <v>98</v>
          </cell>
          <cell r="D316" t="str">
            <v>Iul Express</v>
          </cell>
        </row>
        <row r="317">
          <cell r="A317" t="str">
            <v>BU4089792</v>
          </cell>
          <cell r="B317" t="str">
            <v>Gregory Teipel</v>
          </cell>
          <cell r="C317">
            <v>300</v>
          </cell>
          <cell r="D317" t="str">
            <v>Iul Express</v>
          </cell>
        </row>
        <row r="318">
          <cell r="A318" t="str">
            <v>760293-97</v>
          </cell>
          <cell r="B318" t="str">
            <v>Christian Taugner</v>
          </cell>
          <cell r="C318">
            <v>64.959999999999994</v>
          </cell>
          <cell r="D318" t="str">
            <v xml:space="preserve">Preferred Plan (a) Dnt2i                </v>
          </cell>
        </row>
        <row r="319">
          <cell r="A319" t="str">
            <v>BU5317505</v>
          </cell>
          <cell r="B319" t="str">
            <v>Frank Liskovec</v>
          </cell>
          <cell r="C319">
            <v>37.72</v>
          </cell>
          <cell r="D319" t="str">
            <v xml:space="preserve">Living Promise - Level  Benefit         </v>
          </cell>
        </row>
        <row r="320">
          <cell r="A320" t="str">
            <v>BU4736235</v>
          </cell>
          <cell r="B320" t="str">
            <v>Gregory Teipel</v>
          </cell>
          <cell r="C320">
            <v>64.37</v>
          </cell>
          <cell r="D320" t="str">
            <v>Term Life Express 10 15 20 30</v>
          </cell>
        </row>
        <row r="321">
          <cell r="A321" t="str">
            <v>600435-97</v>
          </cell>
          <cell r="B321" t="str">
            <v>Michael Dunavant</v>
          </cell>
          <cell r="C321">
            <v>128.66999999999999</v>
          </cell>
          <cell r="D321" t="str">
            <v>Medicare Supplement Plan G</v>
          </cell>
        </row>
        <row r="322">
          <cell r="A322" t="str">
            <v>BU4574326</v>
          </cell>
          <cell r="B322" t="str">
            <v>Matthew Daugherty</v>
          </cell>
          <cell r="C322">
            <v>313.58999999999997</v>
          </cell>
          <cell r="D322" t="str">
            <v>Term Life Express 10 15 20 30</v>
          </cell>
        </row>
        <row r="323">
          <cell r="A323" t="str">
            <v>513338-96</v>
          </cell>
          <cell r="B323" t="str">
            <v>Gregory Teipel</v>
          </cell>
          <cell r="C323">
            <v>44.91</v>
          </cell>
          <cell r="D323" t="str">
            <v>Medicare Supplement Plan G High Deductible</v>
          </cell>
        </row>
        <row r="324">
          <cell r="A324" t="str">
            <v>523666-97</v>
          </cell>
          <cell r="B324" t="str">
            <v>Gregory Hansford</v>
          </cell>
          <cell r="C324">
            <v>279.66000000000003</v>
          </cell>
          <cell r="D324" t="str">
            <v>Medicare Supplement Plan G</v>
          </cell>
        </row>
        <row r="325">
          <cell r="A325" t="str">
            <v>BU5078865</v>
          </cell>
          <cell r="B325" t="str">
            <v>Gregory Teipel</v>
          </cell>
          <cell r="C325">
            <v>99.93</v>
          </cell>
          <cell r="D325" t="str">
            <v>Iul Express</v>
          </cell>
        </row>
        <row r="326">
          <cell r="A326" t="str">
            <v>BU5510138</v>
          </cell>
          <cell r="B326" t="str">
            <v>Gregory Teipel</v>
          </cell>
          <cell r="C326">
            <v>105.35</v>
          </cell>
          <cell r="D326" t="str">
            <v>Iul Express</v>
          </cell>
        </row>
        <row r="327">
          <cell r="A327" t="str">
            <v>760299-97</v>
          </cell>
          <cell r="B327" t="str">
            <v>Christian Taugner</v>
          </cell>
          <cell r="C327">
            <v>64.959999999999994</v>
          </cell>
          <cell r="D327" t="str">
            <v xml:space="preserve">Preferred Plan (a) Dnt2i                </v>
          </cell>
        </row>
        <row r="328">
          <cell r="A328" t="str">
            <v>BU4473389</v>
          </cell>
          <cell r="B328" t="str">
            <v>Ryan Caltagirone</v>
          </cell>
          <cell r="C328">
            <v>328.14</v>
          </cell>
          <cell r="D328" t="str">
            <v>Term Life Express 10 15 20 30</v>
          </cell>
        </row>
        <row r="329">
          <cell r="A329" t="str">
            <v>BU4404760</v>
          </cell>
          <cell r="B329" t="str">
            <v>Matthew Daugherty</v>
          </cell>
          <cell r="C329">
            <v>257.66000000000003</v>
          </cell>
          <cell r="D329" t="str">
            <v>Term Life Express 10 15 20 30</v>
          </cell>
        </row>
        <row r="330">
          <cell r="A330" t="str">
            <v>BU6252347</v>
          </cell>
          <cell r="B330" t="str">
            <v>Gregory Teipel</v>
          </cell>
          <cell r="C330">
            <v>175.94</v>
          </cell>
          <cell r="D330" t="str">
            <v>Iul Express</v>
          </cell>
        </row>
        <row r="331">
          <cell r="A331" t="str">
            <v>404195-41</v>
          </cell>
          <cell r="B331" t="str">
            <v>Victor Fuentes</v>
          </cell>
          <cell r="C331">
            <v>216.99</v>
          </cell>
          <cell r="D331" t="str">
            <v xml:space="preserve">Preferred Plan (a) Dnt2e                </v>
          </cell>
        </row>
        <row r="332">
          <cell r="A332" t="str">
            <v>BU5269798</v>
          </cell>
          <cell r="B332" t="str">
            <v>Colleen Finnigan</v>
          </cell>
          <cell r="C332">
            <v>256.39</v>
          </cell>
          <cell r="D332" t="str">
            <v>Iul Express</v>
          </cell>
        </row>
        <row r="333">
          <cell r="A333" t="str">
            <v>BU4120445</v>
          </cell>
          <cell r="B333" t="str">
            <v>Gregory Teipel</v>
          </cell>
          <cell r="C333">
            <v>250</v>
          </cell>
          <cell r="D333" t="str">
            <v>Iul Express</v>
          </cell>
        </row>
        <row r="334">
          <cell r="A334" t="str">
            <v>BU5619694</v>
          </cell>
          <cell r="B334" t="str">
            <v>Deborah Inskipt</v>
          </cell>
          <cell r="C334">
            <v>59.91</v>
          </cell>
          <cell r="D334" t="str">
            <v xml:space="preserve">Living Promise - Level  Benefit         </v>
          </cell>
        </row>
        <row r="335">
          <cell r="A335" t="str">
            <v>BU4984976</v>
          </cell>
          <cell r="B335" t="str">
            <v>Matthew Daugherty</v>
          </cell>
          <cell r="C335">
            <v>65.5</v>
          </cell>
          <cell r="D335" t="str">
            <v>Term Life Express 10 15 20 30</v>
          </cell>
        </row>
        <row r="336">
          <cell r="A336" t="str">
            <v>BU5146814</v>
          </cell>
          <cell r="B336" t="str">
            <v>Frank Liskovec</v>
          </cell>
          <cell r="C336">
            <v>55</v>
          </cell>
          <cell r="D336" t="str">
            <v xml:space="preserve">Living Promise - Level  Benefit         </v>
          </cell>
        </row>
        <row r="337">
          <cell r="A337" t="str">
            <v>BU5260541</v>
          </cell>
          <cell r="B337" t="str">
            <v>Murray Sterner</v>
          </cell>
          <cell r="C337">
            <v>83.94</v>
          </cell>
          <cell r="D337" t="str">
            <v xml:space="preserve">Living Promise-graded                   </v>
          </cell>
        </row>
        <row r="338">
          <cell r="A338" t="str">
            <v>442704-41</v>
          </cell>
          <cell r="B338" t="str">
            <v>Jacob Yale</v>
          </cell>
          <cell r="C338">
            <v>32.82</v>
          </cell>
          <cell r="D338" t="str">
            <v xml:space="preserve">Protection  Plan (c) Dnt5b              </v>
          </cell>
        </row>
        <row r="339">
          <cell r="A339" t="str">
            <v>BU4441110</v>
          </cell>
          <cell r="B339" t="str">
            <v>Matthew Daugherty</v>
          </cell>
          <cell r="C339">
            <v>66.88</v>
          </cell>
          <cell r="D339" t="str">
            <v>Term Life Express 10 15 20 30</v>
          </cell>
        </row>
        <row r="340">
          <cell r="A340" t="str">
            <v>BU4780819</v>
          </cell>
          <cell r="B340" t="str">
            <v>Colleen Finnigan</v>
          </cell>
          <cell r="C340">
            <v>80</v>
          </cell>
          <cell r="D340" t="str">
            <v>Iul Express</v>
          </cell>
        </row>
        <row r="341">
          <cell r="A341" t="str">
            <v>BU4197828</v>
          </cell>
          <cell r="B341" t="str">
            <v>Adam Richter</v>
          </cell>
          <cell r="C341">
            <v>53.49</v>
          </cell>
          <cell r="D341" t="str">
            <v>Iul Express</v>
          </cell>
        </row>
        <row r="342">
          <cell r="A342" t="str">
            <v>689251-97</v>
          </cell>
          <cell r="B342" t="str">
            <v>Carol Foley</v>
          </cell>
          <cell r="C342">
            <v>129.91</v>
          </cell>
          <cell r="D342" t="str">
            <v>Medicare Supplement Plan N</v>
          </cell>
        </row>
        <row r="343">
          <cell r="A343" t="str">
            <v>614242-97</v>
          </cell>
          <cell r="B343" t="str">
            <v>Michael Dunavant</v>
          </cell>
          <cell r="C343">
            <v>129.38999999999999</v>
          </cell>
          <cell r="D343" t="str">
            <v>Medicare Supplement Plan G</v>
          </cell>
        </row>
        <row r="344">
          <cell r="A344" t="str">
            <v>BU4196307</v>
          </cell>
          <cell r="B344" t="str">
            <v>Gregory Teipel</v>
          </cell>
          <cell r="C344">
            <v>36.71</v>
          </cell>
          <cell r="D344" t="str">
            <v>Term Life Express 10 15 20 30</v>
          </cell>
        </row>
        <row r="345">
          <cell r="A345" t="str">
            <v>BU5017083</v>
          </cell>
          <cell r="B345" t="str">
            <v>Nasandelger Zana</v>
          </cell>
          <cell r="C345">
            <v>313.08</v>
          </cell>
          <cell r="D345" t="str">
            <v>Iul Express</v>
          </cell>
        </row>
        <row r="346">
          <cell r="A346" t="str">
            <v>BU5387135</v>
          </cell>
          <cell r="B346" t="str">
            <v>Thomas Pardue</v>
          </cell>
          <cell r="C346">
            <v>27.59</v>
          </cell>
          <cell r="D346" t="str">
            <v>Tle 20-20yr Guar</v>
          </cell>
        </row>
        <row r="347">
          <cell r="A347" t="str">
            <v>BU4777107</v>
          </cell>
          <cell r="B347" t="str">
            <v>Ryan Caltagirone</v>
          </cell>
          <cell r="C347">
            <v>105.49</v>
          </cell>
          <cell r="D347" t="str">
            <v>Tle 20-20yr Guar</v>
          </cell>
        </row>
        <row r="348">
          <cell r="A348" t="str">
            <v>BU4388198</v>
          </cell>
          <cell r="B348" t="str">
            <v>Matthew Daugherty</v>
          </cell>
          <cell r="C348">
            <v>359.92</v>
          </cell>
          <cell r="D348" t="str">
            <v>Term Life Express 10 15 20 30</v>
          </cell>
        </row>
        <row r="349">
          <cell r="A349" t="str">
            <v>BU5199695</v>
          </cell>
          <cell r="B349" t="str">
            <v>Ryan Caltagirone</v>
          </cell>
          <cell r="C349">
            <v>174.77</v>
          </cell>
          <cell r="D349" t="str">
            <v>Iul Express</v>
          </cell>
        </row>
        <row r="350">
          <cell r="A350" t="str">
            <v>BU5060061</v>
          </cell>
          <cell r="B350" t="str">
            <v>Gregory Teipel</v>
          </cell>
          <cell r="C350">
            <v>151.52000000000001</v>
          </cell>
          <cell r="D350" t="str">
            <v xml:space="preserve">Living Promise - Level  Benefit         </v>
          </cell>
        </row>
        <row r="351">
          <cell r="A351" t="str">
            <v>522993-97</v>
          </cell>
          <cell r="B351" t="str">
            <v>Richard Yale</v>
          </cell>
          <cell r="C351">
            <v>36.72</v>
          </cell>
          <cell r="D351" t="str">
            <v xml:space="preserve">Protection  Plan (c) Dnt5i              </v>
          </cell>
        </row>
        <row r="352">
          <cell r="A352" t="str">
            <v>BU4116212</v>
          </cell>
          <cell r="B352" t="str">
            <v>Ryan Caltagirone</v>
          </cell>
          <cell r="C352">
            <v>181.69</v>
          </cell>
          <cell r="D352" t="str">
            <v>Iul Express</v>
          </cell>
        </row>
        <row r="353">
          <cell r="A353" t="str">
            <v>BU5357468</v>
          </cell>
          <cell r="B353" t="str">
            <v>Ryan Caltagirone</v>
          </cell>
          <cell r="C353">
            <v>208</v>
          </cell>
          <cell r="D353" t="str">
            <v>Iul Express</v>
          </cell>
        </row>
        <row r="354">
          <cell r="A354" t="str">
            <v>BU3884067</v>
          </cell>
          <cell r="B354" t="str">
            <v>Adam Richter</v>
          </cell>
          <cell r="C354">
            <v>101.72</v>
          </cell>
          <cell r="D354" t="str">
            <v>Iul Express</v>
          </cell>
        </row>
        <row r="355">
          <cell r="A355" t="str">
            <v>BU5055580</v>
          </cell>
          <cell r="B355" t="str">
            <v>Gregory Teipel</v>
          </cell>
          <cell r="C355">
            <v>130.22</v>
          </cell>
          <cell r="D355" t="str">
            <v>Iul Express</v>
          </cell>
        </row>
        <row r="356">
          <cell r="A356" t="str">
            <v>BU4508054</v>
          </cell>
          <cell r="B356" t="str">
            <v>Matthew Daugherty</v>
          </cell>
          <cell r="C356">
            <v>104.22</v>
          </cell>
          <cell r="D356" t="str">
            <v>Tle 20-20yr Guar</v>
          </cell>
        </row>
        <row r="357">
          <cell r="A357" t="str">
            <v>BU4685964</v>
          </cell>
          <cell r="B357" t="str">
            <v>Gregory Teipel</v>
          </cell>
          <cell r="C357">
            <v>158.82</v>
          </cell>
          <cell r="D357" t="str">
            <v>Iul Express</v>
          </cell>
        </row>
        <row r="358">
          <cell r="A358" t="str">
            <v>851525-96</v>
          </cell>
          <cell r="B358" t="str">
            <v>Carol Foley</v>
          </cell>
          <cell r="C358">
            <v>228.77</v>
          </cell>
          <cell r="D358" t="str">
            <v>Medicare Supplement Plan G</v>
          </cell>
        </row>
        <row r="359">
          <cell r="A359" t="str">
            <v>BU6377072</v>
          </cell>
          <cell r="B359" t="str">
            <v>Patsamon Thanadabouth</v>
          </cell>
          <cell r="C359">
            <v>16.579999999999998</v>
          </cell>
          <cell r="D359" t="str">
            <v>Term Life Express 10 15 20 30</v>
          </cell>
        </row>
        <row r="360">
          <cell r="A360" t="str">
            <v>BU4124635</v>
          </cell>
          <cell r="B360" t="str">
            <v>Gregory Teipel</v>
          </cell>
          <cell r="C360">
            <v>250</v>
          </cell>
          <cell r="D360" t="str">
            <v>Iul Express</v>
          </cell>
        </row>
        <row r="361">
          <cell r="A361" t="str">
            <v>BU4440693</v>
          </cell>
          <cell r="B361" t="str">
            <v>Matthew Daugherty</v>
          </cell>
          <cell r="C361">
            <v>150.41</v>
          </cell>
          <cell r="D361" t="str">
            <v>Term Life Express 10 15 20 30</v>
          </cell>
        </row>
        <row r="362">
          <cell r="A362" t="str">
            <v>BU4765689</v>
          </cell>
          <cell r="B362" t="str">
            <v>Matthew Daugherty</v>
          </cell>
          <cell r="C362">
            <v>300.64</v>
          </cell>
          <cell r="D362" t="str">
            <v>Term Life Express 10 15 20 30</v>
          </cell>
        </row>
        <row r="363">
          <cell r="A363" t="str">
            <v>BU4390873</v>
          </cell>
          <cell r="B363" t="str">
            <v>Matthew Daugherty</v>
          </cell>
          <cell r="C363">
            <v>285.95999999999998</v>
          </cell>
          <cell r="D363" t="str">
            <v>Term Life Express 10 15 20 30</v>
          </cell>
        </row>
        <row r="364">
          <cell r="A364" t="str">
            <v>442620-41</v>
          </cell>
          <cell r="B364" t="str">
            <v>Gregory Teipel</v>
          </cell>
          <cell r="C364">
            <v>121.41</v>
          </cell>
          <cell r="D364" t="str">
            <v>Medicare Supplement Plan N</v>
          </cell>
        </row>
        <row r="365">
          <cell r="A365" t="str">
            <v>685497-96</v>
          </cell>
          <cell r="B365" t="str">
            <v>Adam Richter</v>
          </cell>
          <cell r="C365">
            <v>144.47999999999999</v>
          </cell>
          <cell r="D365" t="str">
            <v>Medicare Supplement Plan N</v>
          </cell>
        </row>
        <row r="366">
          <cell r="A366" t="str">
            <v>BU5103089</v>
          </cell>
          <cell r="B366" t="str">
            <v>Nasandelger Zana</v>
          </cell>
          <cell r="C366">
            <v>71.709999999999994</v>
          </cell>
          <cell r="D366" t="str">
            <v>Iul Express</v>
          </cell>
        </row>
        <row r="367">
          <cell r="A367" t="str">
            <v>BU5543208</v>
          </cell>
          <cell r="B367" t="str">
            <v>Gregory Teipel</v>
          </cell>
          <cell r="C367">
            <v>217.87</v>
          </cell>
          <cell r="D367" t="str">
            <v>Term Life Express 10 15 20 30</v>
          </cell>
        </row>
        <row r="368">
          <cell r="A368" t="str">
            <v>BU4576159</v>
          </cell>
          <cell r="B368" t="str">
            <v>Matthew Daugherty</v>
          </cell>
          <cell r="C368">
            <v>151.52000000000001</v>
          </cell>
          <cell r="D368" t="str">
            <v>Term Life Express 10 15 20 30</v>
          </cell>
        </row>
        <row r="369">
          <cell r="A369" t="str">
            <v>BU4902082</v>
          </cell>
          <cell r="B369" t="str">
            <v>Gregory Teipel</v>
          </cell>
          <cell r="C369">
            <v>298.74</v>
          </cell>
          <cell r="D369" t="str">
            <v>Iul Express</v>
          </cell>
        </row>
        <row r="370">
          <cell r="A370" t="str">
            <v>BU4659472</v>
          </cell>
          <cell r="B370" t="str">
            <v>Gregory Teipel</v>
          </cell>
          <cell r="C370">
            <v>34.75</v>
          </cell>
          <cell r="D370" t="str">
            <v xml:space="preserve">Children S - Whole Life                 </v>
          </cell>
        </row>
        <row r="371">
          <cell r="A371" t="str">
            <v>BU5539645</v>
          </cell>
          <cell r="B371" t="str">
            <v>Jason Roller</v>
          </cell>
          <cell r="C371">
            <v>128.75</v>
          </cell>
          <cell r="D371" t="str">
            <v>Iul Express</v>
          </cell>
        </row>
        <row r="372">
          <cell r="A372" t="str">
            <v>BU5442915</v>
          </cell>
          <cell r="B372" t="str">
            <v>Jason Roller</v>
          </cell>
          <cell r="C372">
            <v>865.05</v>
          </cell>
          <cell r="D372" t="str">
            <v xml:space="preserve">Living Promise - Level  Benefit         </v>
          </cell>
        </row>
        <row r="373">
          <cell r="A373" t="str">
            <v>BU6260866</v>
          </cell>
          <cell r="B373" t="str">
            <v>Gregory Teipel</v>
          </cell>
          <cell r="C373">
            <v>314.35000000000002</v>
          </cell>
          <cell r="D373" t="str">
            <v>Iul Express</v>
          </cell>
        </row>
        <row r="374">
          <cell r="A374" t="str">
            <v>BU6284326</v>
          </cell>
          <cell r="B374" t="str">
            <v>Gregory Teipel</v>
          </cell>
          <cell r="C374">
            <v>194.02</v>
          </cell>
          <cell r="D374" t="str">
            <v>Tle 15-15yr Guar</v>
          </cell>
        </row>
        <row r="375">
          <cell r="A375" t="str">
            <v>BU4838736</v>
          </cell>
          <cell r="B375" t="str">
            <v>Carol Foley</v>
          </cell>
          <cell r="C375">
            <v>93.38</v>
          </cell>
          <cell r="D375" t="str">
            <v xml:space="preserve">Living Promise - Level  Benefit         </v>
          </cell>
        </row>
        <row r="376">
          <cell r="A376" t="str">
            <v>BU4354163</v>
          </cell>
          <cell r="B376" t="str">
            <v>Gregory Teipel</v>
          </cell>
          <cell r="C376">
            <v>292.32</v>
          </cell>
          <cell r="D376" t="str">
            <v>Iul Express</v>
          </cell>
        </row>
        <row r="377">
          <cell r="A377" t="str">
            <v>826678-97</v>
          </cell>
          <cell r="B377" t="str">
            <v>Robert Shapiro</v>
          </cell>
          <cell r="C377">
            <v>63.16</v>
          </cell>
          <cell r="D377" t="str">
            <v xml:space="preserve">Preferred Plan (a) Dnt2b                </v>
          </cell>
        </row>
        <row r="378">
          <cell r="A378" t="str">
            <v>BU4441916</v>
          </cell>
          <cell r="B378" t="str">
            <v>Ryan Caltagirone</v>
          </cell>
          <cell r="C378">
            <v>130.19</v>
          </cell>
          <cell r="D378" t="str">
            <v>Term Life Express 10 15 20 30</v>
          </cell>
        </row>
        <row r="379">
          <cell r="A379" t="str">
            <v>BU4888248</v>
          </cell>
          <cell r="B379" t="str">
            <v>Timothy Powers</v>
          </cell>
          <cell r="C379">
            <v>116.78</v>
          </cell>
          <cell r="D379" t="str">
            <v>Iul Express</v>
          </cell>
        </row>
        <row r="380">
          <cell r="A380" t="str">
            <v>BU4559801</v>
          </cell>
          <cell r="B380" t="str">
            <v>Matthew Daugherty</v>
          </cell>
          <cell r="C380">
            <v>62.57</v>
          </cell>
          <cell r="D380" t="str">
            <v>Term Life Express 10 15 20 30</v>
          </cell>
        </row>
        <row r="381">
          <cell r="A381" t="str">
            <v>BU4660113</v>
          </cell>
          <cell r="B381" t="str">
            <v>Gregory Teipel</v>
          </cell>
          <cell r="C381">
            <v>320.11</v>
          </cell>
          <cell r="D381" t="str">
            <v>Iul Express</v>
          </cell>
        </row>
        <row r="382">
          <cell r="A382" t="str">
            <v>BU5653756</v>
          </cell>
          <cell r="B382" t="str">
            <v>Gregory Teipel</v>
          </cell>
          <cell r="C382">
            <v>234.36</v>
          </cell>
          <cell r="D382" t="str">
            <v>Iul Express</v>
          </cell>
        </row>
        <row r="383">
          <cell r="A383" t="str">
            <v>805439-96</v>
          </cell>
          <cell r="B383" t="str">
            <v>Carol Foley</v>
          </cell>
          <cell r="C383">
            <v>155.22</v>
          </cell>
          <cell r="D383" t="str">
            <v>Medicare Supplement Plan N</v>
          </cell>
        </row>
        <row r="384">
          <cell r="A384" t="str">
            <v>BU4605180</v>
          </cell>
          <cell r="B384" t="str">
            <v>Ryan Caltagirone</v>
          </cell>
          <cell r="C384">
            <v>152.41</v>
          </cell>
          <cell r="D384" t="str">
            <v>Iul Express</v>
          </cell>
        </row>
        <row r="385">
          <cell r="A385" t="str">
            <v>499589-97</v>
          </cell>
          <cell r="B385" t="str">
            <v>Michael Dunavant</v>
          </cell>
          <cell r="C385">
            <v>212.48</v>
          </cell>
          <cell r="D385" t="str">
            <v>Medicare Supplement Plan G</v>
          </cell>
        </row>
        <row r="386">
          <cell r="A386" t="str">
            <v>BU6289711</v>
          </cell>
          <cell r="B386" t="str">
            <v>Matthew Daugherty</v>
          </cell>
          <cell r="C386">
            <v>327.54000000000002</v>
          </cell>
          <cell r="D386" t="str">
            <v>Iul Express</v>
          </cell>
        </row>
        <row r="387">
          <cell r="A387" t="str">
            <v>BU4461497</v>
          </cell>
          <cell r="B387" t="str">
            <v>Gregory Teipel</v>
          </cell>
          <cell r="C387">
            <v>106.8</v>
          </cell>
          <cell r="D387" t="str">
            <v>Term Life Express 10 15 20 30</v>
          </cell>
        </row>
        <row r="388">
          <cell r="A388" t="str">
            <v>BU6376478</v>
          </cell>
          <cell r="B388" t="str">
            <v>Colleen Finnigan</v>
          </cell>
          <cell r="C388">
            <v>67.819999999999993</v>
          </cell>
          <cell r="D388" t="str">
            <v>Term Life Express 10 15 20 30</v>
          </cell>
        </row>
        <row r="389">
          <cell r="A389" t="str">
            <v>BU5074530</v>
          </cell>
          <cell r="B389" t="str">
            <v>Matthew Daugherty</v>
          </cell>
          <cell r="C389">
            <v>86.86</v>
          </cell>
          <cell r="D389" t="str">
            <v>Term Life Express 10 15 20 30</v>
          </cell>
        </row>
        <row r="390">
          <cell r="A390" t="str">
            <v>BU3953473</v>
          </cell>
          <cell r="B390" t="str">
            <v>Ryan Caltagirone</v>
          </cell>
          <cell r="C390">
            <v>123.21</v>
          </cell>
          <cell r="D390" t="str">
            <v>Tle 20-20yr Guar</v>
          </cell>
        </row>
        <row r="391">
          <cell r="A391" t="str">
            <v>753142-96</v>
          </cell>
          <cell r="B391" t="str">
            <v>Carol Foley</v>
          </cell>
          <cell r="C391">
            <v>211.11</v>
          </cell>
          <cell r="D391" t="str">
            <v>Medicare Supplement Plan G</v>
          </cell>
        </row>
        <row r="392">
          <cell r="A392" t="str">
            <v>BU4601401</v>
          </cell>
          <cell r="B392" t="str">
            <v>Ryan Caltagirone</v>
          </cell>
          <cell r="C392">
            <v>216.88</v>
          </cell>
          <cell r="D392" t="str">
            <v>Term Life Express 10 15 20 30</v>
          </cell>
        </row>
        <row r="393">
          <cell r="A393" t="str">
            <v>682141-97</v>
          </cell>
          <cell r="B393" t="str">
            <v>Michael Dunavant</v>
          </cell>
          <cell r="C393">
            <v>128.66999999999999</v>
          </cell>
          <cell r="D393" t="str">
            <v>Medicare Supplement Plan G</v>
          </cell>
        </row>
        <row r="394">
          <cell r="A394" t="str">
            <v>BU5149804</v>
          </cell>
          <cell r="B394" t="str">
            <v>Gregory Teipel</v>
          </cell>
          <cell r="C394">
            <v>148.83000000000001</v>
          </cell>
          <cell r="D394" t="str">
            <v>Term Life Express 10 15 20 30</v>
          </cell>
        </row>
        <row r="395">
          <cell r="A395" t="str">
            <v>BU4402110</v>
          </cell>
          <cell r="B395" t="str">
            <v>Ryan Caltagirone</v>
          </cell>
          <cell r="C395">
            <v>106.48</v>
          </cell>
          <cell r="D395" t="str">
            <v>Tle 20-20yr Guar</v>
          </cell>
        </row>
        <row r="396">
          <cell r="A396" t="str">
            <v>BU5078620</v>
          </cell>
          <cell r="B396" t="str">
            <v>Gregory Teipel</v>
          </cell>
          <cell r="C396">
            <v>172.71</v>
          </cell>
          <cell r="D396" t="str">
            <v>Iul Express</v>
          </cell>
        </row>
        <row r="397">
          <cell r="A397" t="str">
            <v>BU6388845</v>
          </cell>
          <cell r="B397" t="str">
            <v>Ryan Caltagirone</v>
          </cell>
          <cell r="C397">
            <v>118.68</v>
          </cell>
          <cell r="D397" t="str">
            <v>Tle 20-20yr Guar</v>
          </cell>
        </row>
        <row r="398">
          <cell r="A398" t="str">
            <v>610516-97</v>
          </cell>
          <cell r="B398" t="str">
            <v>Anne Marie Kozacheck</v>
          </cell>
          <cell r="C398">
            <v>92.04</v>
          </cell>
          <cell r="D398" t="str">
            <v>Medicare Supplement Plan N</v>
          </cell>
        </row>
        <row r="399">
          <cell r="A399" t="str">
            <v>BU5169468</v>
          </cell>
          <cell r="B399" t="str">
            <v>Andrew Choi</v>
          </cell>
          <cell r="C399">
            <v>152.19</v>
          </cell>
          <cell r="D399" t="str">
            <v>Term Life Express 10 15 20 30</v>
          </cell>
        </row>
        <row r="400">
          <cell r="A400" t="str">
            <v>BU4469847</v>
          </cell>
          <cell r="B400" t="str">
            <v>Matthew Daugherty</v>
          </cell>
          <cell r="C400">
            <v>276.12</v>
          </cell>
          <cell r="D400" t="str">
            <v>Tle 20-20yr Guar</v>
          </cell>
        </row>
        <row r="401">
          <cell r="A401" t="str">
            <v>BU5273530</v>
          </cell>
          <cell r="B401" t="str">
            <v>Gregory Teipel</v>
          </cell>
          <cell r="C401">
            <v>265.12</v>
          </cell>
          <cell r="D401" t="str">
            <v>Iul Express</v>
          </cell>
        </row>
        <row r="402">
          <cell r="A402" t="str">
            <v>BU6248316</v>
          </cell>
          <cell r="B402" t="str">
            <v>Matthew Daugherty</v>
          </cell>
          <cell r="C402">
            <v>308.55</v>
          </cell>
          <cell r="D402" t="str">
            <v>Iul Express</v>
          </cell>
        </row>
        <row r="403">
          <cell r="A403" t="str">
            <v>723099-96</v>
          </cell>
          <cell r="B403" t="str">
            <v>Jason Hoffmann</v>
          </cell>
          <cell r="C403">
            <v>279.66000000000003</v>
          </cell>
          <cell r="D403" t="str">
            <v>Medicare Supplement Plan G</v>
          </cell>
        </row>
        <row r="404">
          <cell r="A404" t="str">
            <v>BU5471174</v>
          </cell>
          <cell r="B404" t="str">
            <v>Matthew Daugherty</v>
          </cell>
          <cell r="C404">
            <v>179.11</v>
          </cell>
          <cell r="D404" t="str">
            <v>Term Life Express 10 15 20 30</v>
          </cell>
        </row>
        <row r="405">
          <cell r="A405" t="str">
            <v>BU4458927</v>
          </cell>
          <cell r="B405" t="str">
            <v>Matthew Daugherty</v>
          </cell>
          <cell r="C405">
            <v>69.42</v>
          </cell>
          <cell r="D405" t="str">
            <v>Term Life Express 10 15 20 30</v>
          </cell>
        </row>
        <row r="406">
          <cell r="A406" t="str">
            <v>579927-97</v>
          </cell>
          <cell r="B406" t="str">
            <v>Thomas Pardue</v>
          </cell>
          <cell r="C406">
            <v>59.14</v>
          </cell>
          <cell r="D406" t="str">
            <v xml:space="preserve">Preferred Plan (a) Dnt2b                </v>
          </cell>
        </row>
        <row r="407">
          <cell r="A407" t="str">
            <v>663680-96</v>
          </cell>
          <cell r="B407" t="str">
            <v>Anne Marie Kozacheck</v>
          </cell>
          <cell r="C407">
            <v>118.77</v>
          </cell>
          <cell r="D407" t="str">
            <v>Medicare Supplement Plan N</v>
          </cell>
        </row>
        <row r="408">
          <cell r="A408" t="str">
            <v>BU5190535</v>
          </cell>
          <cell r="B408" t="str">
            <v>Ryan Caltagirone</v>
          </cell>
          <cell r="C408">
            <v>154.76</v>
          </cell>
          <cell r="D408" t="str">
            <v>Iul Express</v>
          </cell>
        </row>
        <row r="409">
          <cell r="A409" t="str">
            <v>BU6420358</v>
          </cell>
          <cell r="B409" t="str">
            <v>Gregory Teipel</v>
          </cell>
          <cell r="C409">
            <v>158.87</v>
          </cell>
          <cell r="D409" t="str">
            <v>Term Life Express 10 15 20 30</v>
          </cell>
        </row>
        <row r="410">
          <cell r="A410" t="str">
            <v>BU4973087</v>
          </cell>
          <cell r="B410" t="str">
            <v>Matthew Daugherty</v>
          </cell>
          <cell r="C410">
            <v>110.18</v>
          </cell>
          <cell r="D410" t="str">
            <v>Term Life Express 10 15 20 30</v>
          </cell>
        </row>
        <row r="411">
          <cell r="A411" t="str">
            <v>BU4680997</v>
          </cell>
          <cell r="B411" t="str">
            <v>Ryan Caltagirone</v>
          </cell>
          <cell r="C411">
            <v>276.29000000000002</v>
          </cell>
          <cell r="D411" t="str">
            <v>Iul Express</v>
          </cell>
        </row>
        <row r="412">
          <cell r="A412" t="str">
            <v>BU5131276</v>
          </cell>
          <cell r="B412" t="str">
            <v>Thomas Pardue</v>
          </cell>
          <cell r="C412">
            <v>36.31</v>
          </cell>
          <cell r="D412" t="str">
            <v xml:space="preserve">Living Promise-graded                   </v>
          </cell>
        </row>
        <row r="413">
          <cell r="A413" t="str">
            <v>BU6269163</v>
          </cell>
          <cell r="B413" t="str">
            <v>Gregory Teipel</v>
          </cell>
          <cell r="C413">
            <v>296.8</v>
          </cell>
          <cell r="D413" t="str">
            <v>Iul Express</v>
          </cell>
        </row>
        <row r="414">
          <cell r="A414" t="str">
            <v>809971-96</v>
          </cell>
          <cell r="B414" t="str">
            <v>Adam Richter</v>
          </cell>
          <cell r="C414">
            <v>224.43</v>
          </cell>
          <cell r="D414" t="str">
            <v>Medicare Supplement Plan G</v>
          </cell>
        </row>
        <row r="415">
          <cell r="A415" t="str">
            <v>BU4281734</v>
          </cell>
          <cell r="B415" t="str">
            <v>Gregory Teipel</v>
          </cell>
          <cell r="C415">
            <v>143.44999999999999</v>
          </cell>
          <cell r="D415" t="str">
            <v>Iul Express</v>
          </cell>
        </row>
        <row r="416">
          <cell r="A416" t="str">
            <v>544227-97</v>
          </cell>
          <cell r="B416" t="str">
            <v>Gregory Teipel</v>
          </cell>
          <cell r="C416">
            <v>140.97</v>
          </cell>
          <cell r="D416" t="str">
            <v>Medicare Supplement Plan G</v>
          </cell>
        </row>
        <row r="417">
          <cell r="A417" t="str">
            <v>BU4600130</v>
          </cell>
          <cell r="B417" t="str">
            <v>Matthew Daugherty</v>
          </cell>
          <cell r="C417">
            <v>60.7</v>
          </cell>
          <cell r="D417" t="str">
            <v>Term Life Express 10 15 20 30</v>
          </cell>
        </row>
        <row r="418">
          <cell r="A418" t="str">
            <v>392276-41</v>
          </cell>
          <cell r="B418" t="str">
            <v>Gregory Teipel</v>
          </cell>
          <cell r="C418">
            <v>210.14</v>
          </cell>
          <cell r="D418" t="str">
            <v>Medicare Supplement Plan G</v>
          </cell>
        </row>
        <row r="419">
          <cell r="A419" t="str">
            <v>BU5592069</v>
          </cell>
          <cell r="B419" t="str">
            <v>Gregory Teipel</v>
          </cell>
          <cell r="C419">
            <v>278.35000000000002</v>
          </cell>
          <cell r="D419" t="str">
            <v>Term Life Express 10 15 20 30</v>
          </cell>
        </row>
        <row r="420">
          <cell r="A420" t="str">
            <v>BU4816227</v>
          </cell>
          <cell r="B420" t="str">
            <v>Gregory Teipel</v>
          </cell>
          <cell r="C420">
            <v>211.37</v>
          </cell>
          <cell r="D420" t="str">
            <v>Term Life Express 10 15 20 30</v>
          </cell>
        </row>
        <row r="421">
          <cell r="A421" t="str">
            <v>BU5229901</v>
          </cell>
          <cell r="B421" t="str">
            <v>Gregory Teipel</v>
          </cell>
          <cell r="C421">
            <v>103.81</v>
          </cell>
          <cell r="D421" t="str">
            <v xml:space="preserve">Living Promise-graded                   </v>
          </cell>
        </row>
        <row r="422">
          <cell r="A422" t="str">
            <v>BU4507780</v>
          </cell>
          <cell r="B422" t="str">
            <v>Gregory Teipel</v>
          </cell>
          <cell r="C422">
            <v>334.46</v>
          </cell>
          <cell r="D422" t="str">
            <v>Iul Express</v>
          </cell>
        </row>
        <row r="423">
          <cell r="A423" t="str">
            <v>BU5049475</v>
          </cell>
          <cell r="B423" t="str">
            <v>Gregory Teipel</v>
          </cell>
          <cell r="C423">
            <v>79.569999999999993</v>
          </cell>
          <cell r="D423" t="str">
            <v>Term Life Express 10 15 20 30</v>
          </cell>
        </row>
        <row r="424">
          <cell r="A424" t="str">
            <v>BU5073845</v>
          </cell>
          <cell r="B424" t="str">
            <v>Gregory Teipel</v>
          </cell>
          <cell r="C424">
            <v>194.73</v>
          </cell>
          <cell r="D424" t="str">
            <v>Iul Express</v>
          </cell>
        </row>
        <row r="425">
          <cell r="A425" t="str">
            <v>BU4103395</v>
          </cell>
          <cell r="B425" t="str">
            <v>Adam Richter</v>
          </cell>
          <cell r="C425">
            <v>256.7</v>
          </cell>
          <cell r="D425" t="str">
            <v>Iul Express</v>
          </cell>
        </row>
        <row r="426">
          <cell r="A426" t="str">
            <v>BU6244568</v>
          </cell>
          <cell r="B426" t="str">
            <v>Andrew Choi</v>
          </cell>
          <cell r="C426">
            <v>93.7</v>
          </cell>
          <cell r="D426" t="str">
            <v xml:space="preserve">Living Promise-graded                   </v>
          </cell>
        </row>
        <row r="427">
          <cell r="A427" t="str">
            <v>BU5346759</v>
          </cell>
          <cell r="B427" t="str">
            <v>Odmaa Enkhtur</v>
          </cell>
          <cell r="C427">
            <v>100.06</v>
          </cell>
          <cell r="D427" t="str">
            <v>Iul Express</v>
          </cell>
        </row>
        <row r="428">
          <cell r="A428" t="str">
            <v>620585-96</v>
          </cell>
          <cell r="B428" t="str">
            <v>Jason Hoffmann</v>
          </cell>
          <cell r="C428">
            <v>177.1</v>
          </cell>
          <cell r="D428" t="str">
            <v>Medicare Supplement Plan G</v>
          </cell>
        </row>
        <row r="429">
          <cell r="A429" t="str">
            <v>BU5244342</v>
          </cell>
          <cell r="B429" t="str">
            <v>Gregory Teipel</v>
          </cell>
          <cell r="C429">
            <v>232.02</v>
          </cell>
          <cell r="D429" t="str">
            <v>Term Life Express 10 15 20 30</v>
          </cell>
        </row>
        <row r="430">
          <cell r="A430" t="str">
            <v>BU4206122</v>
          </cell>
          <cell r="B430" t="str">
            <v>Gregory Teipel</v>
          </cell>
          <cell r="C430">
            <v>411.76</v>
          </cell>
          <cell r="D430" t="str">
            <v>Iul Express</v>
          </cell>
        </row>
        <row r="431">
          <cell r="A431" t="str">
            <v>BU4423640</v>
          </cell>
          <cell r="B431" t="str">
            <v>Gregory Teipel</v>
          </cell>
          <cell r="C431">
            <v>244.96</v>
          </cell>
          <cell r="D431" t="str">
            <v>Iul Express</v>
          </cell>
        </row>
        <row r="432">
          <cell r="A432" t="str">
            <v>BU5238230</v>
          </cell>
          <cell r="B432" t="str">
            <v>Ryan Caltagirone</v>
          </cell>
          <cell r="C432">
            <v>183.92</v>
          </cell>
          <cell r="D432" t="str">
            <v>Iul Express</v>
          </cell>
        </row>
        <row r="433">
          <cell r="A433" t="str">
            <v>BU6283309</v>
          </cell>
          <cell r="B433" t="str">
            <v>Ryan Caltagirone</v>
          </cell>
          <cell r="C433">
            <v>42.05</v>
          </cell>
          <cell r="D433" t="str">
            <v>Tle 20-20yr Guar</v>
          </cell>
        </row>
        <row r="434">
          <cell r="A434" t="str">
            <v>BU6277516</v>
          </cell>
          <cell r="B434" t="str">
            <v>Gregory Teipel</v>
          </cell>
          <cell r="C434">
            <v>126.42</v>
          </cell>
          <cell r="D434" t="str">
            <v>Iul Express</v>
          </cell>
        </row>
        <row r="435">
          <cell r="A435" t="str">
            <v>BU4887575</v>
          </cell>
          <cell r="B435" t="str">
            <v>Gregory Teipel</v>
          </cell>
          <cell r="C435">
            <v>151.30000000000001</v>
          </cell>
          <cell r="D435" t="str">
            <v>Iul Express</v>
          </cell>
        </row>
        <row r="436">
          <cell r="A436" t="str">
            <v>BU4150872</v>
          </cell>
          <cell r="B436" t="str">
            <v>Adam Richter</v>
          </cell>
          <cell r="C436">
            <v>210</v>
          </cell>
          <cell r="D436" t="str">
            <v>Iul Express</v>
          </cell>
        </row>
        <row r="437">
          <cell r="A437" t="str">
            <v>BU5405009</v>
          </cell>
          <cell r="B437" t="str">
            <v>Ryan Caltagirone</v>
          </cell>
          <cell r="C437">
            <v>86.64</v>
          </cell>
          <cell r="D437" t="str">
            <v>Tle 20-20yr Guar</v>
          </cell>
        </row>
        <row r="438">
          <cell r="A438" t="str">
            <v>BU5070997</v>
          </cell>
          <cell r="B438" t="str">
            <v>Gregory Teipel</v>
          </cell>
          <cell r="C438">
            <v>155.88999999999999</v>
          </cell>
          <cell r="D438" t="str">
            <v xml:space="preserve">Living Promise-graded                   </v>
          </cell>
        </row>
        <row r="439">
          <cell r="A439" t="str">
            <v>BU5150971</v>
          </cell>
          <cell r="B439" t="str">
            <v>Gregory Teipel</v>
          </cell>
          <cell r="C439">
            <v>102.19</v>
          </cell>
          <cell r="D439" t="str">
            <v>Iul Express</v>
          </cell>
        </row>
        <row r="440">
          <cell r="A440" t="str">
            <v>BU4425168</v>
          </cell>
          <cell r="B440" t="str">
            <v>Gregory Teipel</v>
          </cell>
          <cell r="C440">
            <v>217.87</v>
          </cell>
          <cell r="D440" t="str">
            <v>Term Life Express 10 15 20 30</v>
          </cell>
        </row>
        <row r="441">
          <cell r="A441" t="str">
            <v>BU4638912</v>
          </cell>
          <cell r="B441" t="str">
            <v>Gregory Teipel</v>
          </cell>
          <cell r="C441">
            <v>163.98</v>
          </cell>
          <cell r="D441" t="str">
            <v>Term Life Express 10 15 20 30</v>
          </cell>
        </row>
        <row r="442">
          <cell r="A442" t="str">
            <v>BU6276279</v>
          </cell>
          <cell r="B442" t="str">
            <v>Ryan Caltagirone</v>
          </cell>
          <cell r="C442">
            <v>211.96</v>
          </cell>
          <cell r="D442" t="str">
            <v>Term Life Express 10 15 20 30</v>
          </cell>
        </row>
        <row r="443">
          <cell r="A443" t="str">
            <v>BU4330797</v>
          </cell>
          <cell r="B443" t="str">
            <v>Matthew Daugherty</v>
          </cell>
          <cell r="C443">
            <v>257.66000000000003</v>
          </cell>
          <cell r="D443" t="str">
            <v>Term Life Express 10 15 20 30</v>
          </cell>
        </row>
        <row r="444">
          <cell r="A444" t="str">
            <v>BU6251679</v>
          </cell>
          <cell r="B444" t="str">
            <v>Adam Richter</v>
          </cell>
          <cell r="C444">
            <v>23.17</v>
          </cell>
          <cell r="D444" t="str">
            <v xml:space="preserve">Children S - Whole Life                 </v>
          </cell>
        </row>
        <row r="445">
          <cell r="A445" t="str">
            <v>BU4108645</v>
          </cell>
          <cell r="B445" t="str">
            <v>Adam Richter</v>
          </cell>
          <cell r="C445">
            <v>53.67</v>
          </cell>
          <cell r="D445" t="str">
            <v>Term Life Express 10 15 20 30</v>
          </cell>
        </row>
        <row r="446">
          <cell r="A446" t="str">
            <v>BU5622878</v>
          </cell>
          <cell r="B446" t="str">
            <v>Gregory Teipel</v>
          </cell>
          <cell r="C446">
            <v>81.25</v>
          </cell>
          <cell r="D446" t="str">
            <v>Iul Express</v>
          </cell>
        </row>
        <row r="447">
          <cell r="A447" t="str">
            <v>BU4843967</v>
          </cell>
          <cell r="B447" t="str">
            <v>Matthew Daugherty</v>
          </cell>
          <cell r="C447">
            <v>251.2</v>
          </cell>
          <cell r="D447" t="str">
            <v>Term Life Express 10 15 20 30</v>
          </cell>
        </row>
        <row r="448">
          <cell r="A448" t="str">
            <v>BU4684837</v>
          </cell>
          <cell r="B448" t="str">
            <v>Gregory Teipel</v>
          </cell>
          <cell r="C448">
            <v>141.43</v>
          </cell>
          <cell r="D448" t="str">
            <v>Term Life Express 10 15 20 30</v>
          </cell>
        </row>
        <row r="449">
          <cell r="A449" t="str">
            <v>BU3863905</v>
          </cell>
          <cell r="B449" t="str">
            <v>Adam Richter</v>
          </cell>
          <cell r="C449">
            <v>76.180000000000007</v>
          </cell>
          <cell r="D449" t="str">
            <v>Term Life Express 10 15 20 30</v>
          </cell>
        </row>
        <row r="450">
          <cell r="A450" t="str">
            <v>BU5168075</v>
          </cell>
          <cell r="B450" t="str">
            <v>Gregory Teipel</v>
          </cell>
          <cell r="C450">
            <v>197.58</v>
          </cell>
          <cell r="D450" t="str">
            <v>Iul Express</v>
          </cell>
        </row>
        <row r="451">
          <cell r="A451" t="str">
            <v>488722-97</v>
          </cell>
          <cell r="B451" t="str">
            <v>Dale Walenga</v>
          </cell>
          <cell r="C451">
            <v>36.08</v>
          </cell>
          <cell r="D451" t="str">
            <v xml:space="preserve">Protection  Plan (c) Dnt5i              </v>
          </cell>
        </row>
        <row r="452">
          <cell r="A452" t="str">
            <v>BU4166114</v>
          </cell>
          <cell r="B452" t="str">
            <v>Adam Richter</v>
          </cell>
          <cell r="C452">
            <v>137.77000000000001</v>
          </cell>
          <cell r="D452" t="str">
            <v>Term Life Express 10 15 20 30</v>
          </cell>
        </row>
        <row r="453">
          <cell r="A453" t="str">
            <v>BU4704332</v>
          </cell>
          <cell r="B453" t="str">
            <v>Deborah Inskipt</v>
          </cell>
          <cell r="C453">
            <v>63.02</v>
          </cell>
          <cell r="D453" t="str">
            <v>Iul Express</v>
          </cell>
        </row>
        <row r="454">
          <cell r="A454" t="str">
            <v>599869-97</v>
          </cell>
          <cell r="B454" t="str">
            <v>Murray Sterner</v>
          </cell>
          <cell r="C454">
            <v>120.4</v>
          </cell>
          <cell r="D454" t="str">
            <v>Medicare Supplement Plan N</v>
          </cell>
        </row>
        <row r="455">
          <cell r="A455" t="str">
            <v>BU4456041</v>
          </cell>
          <cell r="B455" t="str">
            <v>Gregory Teipel</v>
          </cell>
          <cell r="C455">
            <v>187.09</v>
          </cell>
          <cell r="D455" t="str">
            <v>Iul Express</v>
          </cell>
        </row>
        <row r="456">
          <cell r="A456" t="str">
            <v>BU5147631</v>
          </cell>
          <cell r="B456" t="str">
            <v>Ronald Max</v>
          </cell>
          <cell r="C456">
            <v>244.39</v>
          </cell>
          <cell r="D456" t="str">
            <v>Term Life Express 10 15 20 30</v>
          </cell>
        </row>
        <row r="457">
          <cell r="A457" t="str">
            <v>BU4437808</v>
          </cell>
          <cell r="B457" t="str">
            <v>Matthew Daugherty</v>
          </cell>
          <cell r="C457">
            <v>93.72</v>
          </cell>
          <cell r="D457" t="str">
            <v>Term Life Express 10 15 20 30</v>
          </cell>
        </row>
        <row r="458">
          <cell r="A458" t="str">
            <v>805076-96</v>
          </cell>
          <cell r="B458" t="str">
            <v>Adam Richter</v>
          </cell>
          <cell r="C458">
            <v>203.61</v>
          </cell>
          <cell r="D458" t="str">
            <v>Medicare Supplement Plan G</v>
          </cell>
        </row>
        <row r="459">
          <cell r="A459" t="str">
            <v>BU4957357</v>
          </cell>
          <cell r="B459" t="str">
            <v>Gregory Teipel</v>
          </cell>
          <cell r="C459">
            <v>195.71</v>
          </cell>
          <cell r="D459" t="str">
            <v>Term Life Express 10 15 20 30</v>
          </cell>
        </row>
        <row r="460">
          <cell r="A460" t="str">
            <v>BU5096215</v>
          </cell>
          <cell r="B460" t="str">
            <v>Timothy Powers</v>
          </cell>
          <cell r="C460">
            <v>49.99</v>
          </cell>
          <cell r="D460" t="str">
            <v xml:space="preserve">Living Promise-graded                   </v>
          </cell>
        </row>
        <row r="461">
          <cell r="A461" t="str">
            <v>BU4488531</v>
          </cell>
          <cell r="B461" t="str">
            <v>Matthew Daugherty</v>
          </cell>
          <cell r="C461">
            <v>364.46</v>
          </cell>
          <cell r="D461" t="str">
            <v>Term Life Express 10 15 20 30</v>
          </cell>
        </row>
        <row r="462">
          <cell r="A462" t="str">
            <v>BU4488539</v>
          </cell>
          <cell r="B462" t="str">
            <v>Ryan Caltagirone</v>
          </cell>
          <cell r="C462">
            <v>109.96</v>
          </cell>
          <cell r="D462" t="str">
            <v>Tle 20-20yr Guar</v>
          </cell>
        </row>
        <row r="463">
          <cell r="A463" t="str">
            <v>BU4952602</v>
          </cell>
          <cell r="B463" t="str">
            <v>Matthew Daugherty</v>
          </cell>
          <cell r="C463">
            <v>165.54</v>
          </cell>
          <cell r="D463" t="str">
            <v>Term Life Express 10 15 20 30</v>
          </cell>
        </row>
        <row r="464">
          <cell r="A464" t="str">
            <v>BU4442784</v>
          </cell>
          <cell r="B464" t="str">
            <v>Ryan Caltagirone</v>
          </cell>
          <cell r="C464">
            <v>2543.64</v>
          </cell>
          <cell r="D464" t="str">
            <v>Iul Express</v>
          </cell>
        </row>
        <row r="465">
          <cell r="A465" t="str">
            <v>BU5487744</v>
          </cell>
          <cell r="B465" t="str">
            <v>Ryan Caltagirone</v>
          </cell>
          <cell r="C465">
            <v>229.35</v>
          </cell>
          <cell r="D465" t="str">
            <v>Term Life Express 10 15 20 30</v>
          </cell>
        </row>
        <row r="466">
          <cell r="A466" t="str">
            <v>859528-97</v>
          </cell>
          <cell r="B466" t="str">
            <v>Gregory Teipel</v>
          </cell>
          <cell r="C466">
            <v>174.58</v>
          </cell>
          <cell r="D466" t="str">
            <v>Medicare Supplement Plan G</v>
          </cell>
        </row>
        <row r="467">
          <cell r="A467" t="str">
            <v>477486-97</v>
          </cell>
          <cell r="B467" t="str">
            <v>Richard Yale</v>
          </cell>
          <cell r="C467">
            <v>79.28</v>
          </cell>
          <cell r="D467" t="str">
            <v xml:space="preserve">Preferred Plan (a) Dnt2i                </v>
          </cell>
        </row>
        <row r="468">
          <cell r="A468" t="str">
            <v>BU4461506</v>
          </cell>
          <cell r="B468" t="str">
            <v>Gregory Teipel</v>
          </cell>
          <cell r="C468">
            <v>59.99</v>
          </cell>
          <cell r="D468" t="str">
            <v>Term Life Express 10 15 20 30</v>
          </cell>
        </row>
        <row r="469">
          <cell r="A469" t="str">
            <v>BU6216990</v>
          </cell>
          <cell r="B469" t="str">
            <v>Matthew Daugherty</v>
          </cell>
          <cell r="C469">
            <v>87.87</v>
          </cell>
          <cell r="D469" t="str">
            <v>Term Life Express 10 15 20 30</v>
          </cell>
        </row>
        <row r="470">
          <cell r="A470" t="str">
            <v>BU4435608</v>
          </cell>
          <cell r="B470" t="str">
            <v>Gregory Teipel</v>
          </cell>
          <cell r="C470">
            <v>92.77</v>
          </cell>
          <cell r="D470" t="str">
            <v>Term Life Express 10 15 20 30</v>
          </cell>
        </row>
        <row r="471">
          <cell r="A471" t="str">
            <v>603087-97</v>
          </cell>
          <cell r="B471" t="str">
            <v>Michael Dunavant</v>
          </cell>
          <cell r="C471">
            <v>128.66999999999999</v>
          </cell>
          <cell r="D471" t="str">
            <v>Medicare Supplement Plan G</v>
          </cell>
        </row>
        <row r="472">
          <cell r="A472" t="str">
            <v>BU4899555</v>
          </cell>
          <cell r="B472" t="str">
            <v>Ryan Caltagirone</v>
          </cell>
          <cell r="C472">
            <v>208.27</v>
          </cell>
          <cell r="D472" t="str">
            <v>Iul Express</v>
          </cell>
        </row>
        <row r="473">
          <cell r="A473" t="str">
            <v>BU4943236</v>
          </cell>
          <cell r="B473" t="str">
            <v>Ronald Max</v>
          </cell>
          <cell r="C473">
            <v>156.96</v>
          </cell>
          <cell r="D473" t="str">
            <v>Iul Express</v>
          </cell>
        </row>
        <row r="474">
          <cell r="A474" t="str">
            <v>BU4818399</v>
          </cell>
          <cell r="B474" t="str">
            <v>Matthew Daugherty</v>
          </cell>
          <cell r="C474">
            <v>79.03</v>
          </cell>
          <cell r="D474" t="str">
            <v>Term Life Express 10 15 20 30</v>
          </cell>
        </row>
        <row r="475">
          <cell r="A475" t="str">
            <v>957939-96</v>
          </cell>
          <cell r="B475" t="str">
            <v>Gregory Teipel</v>
          </cell>
          <cell r="C475">
            <v>227.17</v>
          </cell>
          <cell r="D475" t="str">
            <v>Medicare Supplement Plan G</v>
          </cell>
        </row>
        <row r="476">
          <cell r="A476" t="str">
            <v>BU4124636</v>
          </cell>
          <cell r="B476" t="str">
            <v>Gregory Teipel</v>
          </cell>
          <cell r="C476">
            <v>1350</v>
          </cell>
          <cell r="D476" t="str">
            <v>Iul Express</v>
          </cell>
        </row>
        <row r="477">
          <cell r="A477" t="str">
            <v>BU4671853</v>
          </cell>
          <cell r="B477" t="str">
            <v>Ryan Caltagirone</v>
          </cell>
          <cell r="C477">
            <v>112.81</v>
          </cell>
          <cell r="D477" t="str">
            <v>Term Life Express 10 15 20 30</v>
          </cell>
        </row>
        <row r="478">
          <cell r="A478" t="str">
            <v>BU6404920</v>
          </cell>
          <cell r="B478" t="str">
            <v>Ryan Caltagirone</v>
          </cell>
          <cell r="C478">
            <v>109.02</v>
          </cell>
          <cell r="D478" t="str">
            <v>Tle 20-20yr Guar</v>
          </cell>
        </row>
        <row r="479">
          <cell r="A479" t="str">
            <v>BU5455987</v>
          </cell>
          <cell r="B479" t="str">
            <v>Thomas Pardue</v>
          </cell>
          <cell r="C479">
            <v>56.74</v>
          </cell>
          <cell r="D479" t="str">
            <v>Term Life Express 10 15 20 30</v>
          </cell>
        </row>
        <row r="480">
          <cell r="A480" t="str">
            <v>BU4714592</v>
          </cell>
          <cell r="B480" t="str">
            <v>Ryan Caltagirone</v>
          </cell>
          <cell r="C480">
            <v>108.08</v>
          </cell>
          <cell r="D480" t="str">
            <v>Iul Express</v>
          </cell>
        </row>
        <row r="481">
          <cell r="A481" t="str">
            <v>BU6273213</v>
          </cell>
          <cell r="B481" t="str">
            <v>Gregory Teipel</v>
          </cell>
          <cell r="C481">
            <v>97.12</v>
          </cell>
          <cell r="D481" t="str">
            <v>Iul Express</v>
          </cell>
        </row>
        <row r="482">
          <cell r="A482" t="str">
            <v>672702-97</v>
          </cell>
          <cell r="B482" t="str">
            <v>Gregory Teipel</v>
          </cell>
          <cell r="C482">
            <v>143.59</v>
          </cell>
          <cell r="D482" t="str">
            <v>Medicare Supplement Plan G</v>
          </cell>
        </row>
        <row r="483">
          <cell r="A483" t="str">
            <v>BU5349221</v>
          </cell>
          <cell r="B483" t="str">
            <v>Ryan Caltagirone</v>
          </cell>
          <cell r="C483">
            <v>87</v>
          </cell>
          <cell r="D483" t="str">
            <v>Iul Express</v>
          </cell>
        </row>
        <row r="484">
          <cell r="A484" t="str">
            <v>BU5356516</v>
          </cell>
          <cell r="B484" t="str">
            <v>Gregory Teipel</v>
          </cell>
          <cell r="C484">
            <v>171.02</v>
          </cell>
          <cell r="D484" t="str">
            <v>Iul Express</v>
          </cell>
        </row>
        <row r="485">
          <cell r="A485" t="str">
            <v>BU4406081</v>
          </cell>
          <cell r="B485" t="str">
            <v>Matthew Daugherty</v>
          </cell>
          <cell r="C485">
            <v>79.989999999999995</v>
          </cell>
          <cell r="D485" t="str">
            <v>Term Life Express 10 15 20 30</v>
          </cell>
        </row>
        <row r="486">
          <cell r="A486" t="str">
            <v>BU4989353</v>
          </cell>
          <cell r="B486" t="str">
            <v>Adam Richter</v>
          </cell>
          <cell r="C486">
            <v>70.010000000000005</v>
          </cell>
          <cell r="D486" t="str">
            <v>Term Life Express 10 15 20 30</v>
          </cell>
        </row>
        <row r="487">
          <cell r="A487" t="str">
            <v>BU4582955</v>
          </cell>
          <cell r="B487" t="str">
            <v>Ryan Caltagirone</v>
          </cell>
          <cell r="C487">
            <v>245.51</v>
          </cell>
          <cell r="D487" t="str">
            <v>Tle 20-20yr Guar</v>
          </cell>
        </row>
        <row r="488">
          <cell r="A488" t="str">
            <v>BU4952601</v>
          </cell>
          <cell r="B488" t="str">
            <v>Matthew Daugherty</v>
          </cell>
          <cell r="C488">
            <v>152.19</v>
          </cell>
          <cell r="D488" t="str">
            <v>Term Life Express 10 15 20 30</v>
          </cell>
        </row>
        <row r="489">
          <cell r="A489" t="str">
            <v>BU4840895</v>
          </cell>
          <cell r="B489" t="str">
            <v>Gregory Teipel</v>
          </cell>
          <cell r="C489">
            <v>159.47</v>
          </cell>
          <cell r="D489" t="str">
            <v>Term Life Express 10 15 20 30</v>
          </cell>
        </row>
        <row r="490">
          <cell r="A490" t="str">
            <v>BU6184441</v>
          </cell>
          <cell r="B490" t="str">
            <v>Matthew Daugherty</v>
          </cell>
          <cell r="C490">
            <v>287.69</v>
          </cell>
          <cell r="D490" t="str">
            <v>Term Life Express 10 15 20 30</v>
          </cell>
        </row>
        <row r="491">
          <cell r="A491" t="str">
            <v>BU5142078</v>
          </cell>
          <cell r="B491" t="str">
            <v>Gregory Teipel</v>
          </cell>
          <cell r="C491">
            <v>167.28</v>
          </cell>
          <cell r="D491" t="str">
            <v>Iul Express</v>
          </cell>
        </row>
        <row r="492">
          <cell r="A492" t="str">
            <v>374935-41</v>
          </cell>
          <cell r="B492" t="str">
            <v>Gregory Teipel</v>
          </cell>
          <cell r="C492">
            <v>176.91</v>
          </cell>
          <cell r="D492" t="str">
            <v>Medicare Supplement Plan G</v>
          </cell>
        </row>
        <row r="493">
          <cell r="A493" t="str">
            <v>BU5129359</v>
          </cell>
          <cell r="B493" t="str">
            <v>Ryan Caltagirone</v>
          </cell>
          <cell r="C493">
            <v>76.760000000000005</v>
          </cell>
          <cell r="D493" t="str">
            <v>Iul Express</v>
          </cell>
        </row>
        <row r="494">
          <cell r="A494" t="str">
            <v>BU5027879</v>
          </cell>
          <cell r="B494" t="str">
            <v>Gregory Teipel</v>
          </cell>
          <cell r="C494">
            <v>49.66</v>
          </cell>
          <cell r="D494" t="str">
            <v>Term Life Express 10 15 20 30</v>
          </cell>
        </row>
        <row r="495">
          <cell r="A495" t="str">
            <v>404091-97</v>
          </cell>
          <cell r="B495" t="str">
            <v>Richard Yale</v>
          </cell>
          <cell r="C495">
            <v>36.08</v>
          </cell>
          <cell r="D495" t="str">
            <v xml:space="preserve">Protection  Plan (c) Dnt5i              </v>
          </cell>
        </row>
        <row r="496">
          <cell r="A496" t="str">
            <v>BU5200391</v>
          </cell>
          <cell r="B496" t="str">
            <v>Ryan Caltagirone</v>
          </cell>
          <cell r="C496">
            <v>76.680000000000007</v>
          </cell>
          <cell r="D496" t="str">
            <v>Term Life Express 10 15 20 30</v>
          </cell>
        </row>
        <row r="497">
          <cell r="A497" t="str">
            <v>BU4287816</v>
          </cell>
          <cell r="B497" t="str">
            <v>Ryan Caltagirone</v>
          </cell>
          <cell r="C497">
            <v>276.48</v>
          </cell>
          <cell r="D497" t="str">
            <v>Iul Express</v>
          </cell>
        </row>
        <row r="498">
          <cell r="A498" t="str">
            <v>365700-41</v>
          </cell>
          <cell r="B498" t="str">
            <v>Jason Roller</v>
          </cell>
          <cell r="C498">
            <v>161</v>
          </cell>
          <cell r="D498" t="str">
            <v>Medicare Supplement Plan G</v>
          </cell>
        </row>
        <row r="499">
          <cell r="A499" t="str">
            <v>360629-97</v>
          </cell>
          <cell r="B499" t="str">
            <v>Adam Richter</v>
          </cell>
          <cell r="C499">
            <v>120.5</v>
          </cell>
          <cell r="D499" t="str">
            <v>Medicare Supplement Plan N</v>
          </cell>
        </row>
        <row r="500">
          <cell r="A500" t="str">
            <v>BU5150893</v>
          </cell>
          <cell r="B500" t="str">
            <v>Nasandelger Zana</v>
          </cell>
          <cell r="C500">
            <v>19.04</v>
          </cell>
          <cell r="D500" t="str">
            <v xml:space="preserve">Children S - Whole Life                 </v>
          </cell>
        </row>
        <row r="501">
          <cell r="A501" t="str">
            <v>BU5090021</v>
          </cell>
          <cell r="B501" t="str">
            <v>Ryan Caltagirone</v>
          </cell>
          <cell r="C501">
            <v>76.59</v>
          </cell>
          <cell r="D501" t="str">
            <v>Iul Express</v>
          </cell>
        </row>
        <row r="502">
          <cell r="A502" t="str">
            <v>409011-41</v>
          </cell>
          <cell r="B502" t="str">
            <v>Richard Yale</v>
          </cell>
          <cell r="C502">
            <v>79.28</v>
          </cell>
          <cell r="D502" t="str">
            <v xml:space="preserve">Preferred Plan (a) Dnt2i                </v>
          </cell>
        </row>
        <row r="503">
          <cell r="A503" t="str">
            <v>860155-97</v>
          </cell>
          <cell r="B503" t="str">
            <v>Thomas Pardue</v>
          </cell>
          <cell r="C503">
            <v>37.549999999999997</v>
          </cell>
          <cell r="D503" t="str">
            <v xml:space="preserve">Protection  Plan (c) Dnt5b              </v>
          </cell>
        </row>
        <row r="504">
          <cell r="A504" t="str">
            <v>BU5090019</v>
          </cell>
          <cell r="B504" t="str">
            <v>Ryan Caltagirone</v>
          </cell>
          <cell r="C504">
            <v>125.71</v>
          </cell>
          <cell r="D504" t="str">
            <v>Iul Express</v>
          </cell>
        </row>
        <row r="505">
          <cell r="A505" t="str">
            <v>BU5642825</v>
          </cell>
          <cell r="B505" t="str">
            <v>Matthew Daugherty</v>
          </cell>
          <cell r="C505">
            <v>61.68</v>
          </cell>
          <cell r="D505" t="str">
            <v>Term Life Express 10 15 20 30</v>
          </cell>
        </row>
        <row r="506">
          <cell r="A506" t="str">
            <v>BU5525738</v>
          </cell>
          <cell r="B506" t="str">
            <v>Matthew Daugherty</v>
          </cell>
          <cell r="C506">
            <v>76.180000000000007</v>
          </cell>
          <cell r="D506" t="str">
            <v>Term Life Express 10 15 20 30</v>
          </cell>
        </row>
        <row r="507">
          <cell r="A507" t="str">
            <v>BU5064956</v>
          </cell>
          <cell r="B507" t="str">
            <v>Ricardo Santos</v>
          </cell>
          <cell r="C507">
            <v>51.84</v>
          </cell>
          <cell r="D507" t="str">
            <v>Term Life Express 10 15 20 30</v>
          </cell>
        </row>
        <row r="508">
          <cell r="A508" t="str">
            <v>BU5242405</v>
          </cell>
          <cell r="B508" t="str">
            <v>Gregory Teipel</v>
          </cell>
          <cell r="C508">
            <v>195.79</v>
          </cell>
          <cell r="D508" t="str">
            <v>Iul Express</v>
          </cell>
        </row>
        <row r="509">
          <cell r="A509" t="str">
            <v>353822-41</v>
          </cell>
          <cell r="B509" t="str">
            <v>Dale Walenga</v>
          </cell>
          <cell r="C509">
            <v>38.08</v>
          </cell>
          <cell r="D509" t="str">
            <v xml:space="preserve">Protection  Plan (c) Dnt5i              </v>
          </cell>
        </row>
        <row r="510">
          <cell r="A510" t="str">
            <v>418918-97</v>
          </cell>
          <cell r="B510" t="str">
            <v>Anne Marie Kozacheck</v>
          </cell>
          <cell r="C510">
            <v>620.46</v>
          </cell>
          <cell r="D510" t="str">
            <v>Medicare Supplement Plan G</v>
          </cell>
        </row>
        <row r="511">
          <cell r="A511" t="str">
            <v>BU5027805</v>
          </cell>
          <cell r="B511" t="str">
            <v>Adam Richter</v>
          </cell>
          <cell r="C511">
            <v>148.99</v>
          </cell>
          <cell r="D511" t="str">
            <v>Term Life Express 10 15 20 30</v>
          </cell>
        </row>
        <row r="512">
          <cell r="A512" t="str">
            <v>BU5402190</v>
          </cell>
          <cell r="B512" t="str">
            <v>Matthew Daugherty</v>
          </cell>
          <cell r="C512">
            <v>88.29</v>
          </cell>
          <cell r="D512" t="str">
            <v>Term Life Express 10 15 20 30</v>
          </cell>
        </row>
        <row r="513">
          <cell r="A513" t="str">
            <v>779094-96</v>
          </cell>
          <cell r="B513" t="str">
            <v>Carol Foley</v>
          </cell>
          <cell r="C513">
            <v>224.13</v>
          </cell>
          <cell r="D513" t="str">
            <v>Medicare Supplement Plan G</v>
          </cell>
        </row>
        <row r="514">
          <cell r="A514" t="str">
            <v>758948-97</v>
          </cell>
          <cell r="B514" t="str">
            <v>Gregory Teipel</v>
          </cell>
          <cell r="C514">
            <v>122.9</v>
          </cell>
          <cell r="D514" t="str">
            <v>Medicare Supplement Plan G</v>
          </cell>
        </row>
        <row r="515">
          <cell r="A515" t="str">
            <v>BU5428088</v>
          </cell>
          <cell r="B515" t="str">
            <v>Gary Portugal</v>
          </cell>
          <cell r="C515">
            <v>54.98</v>
          </cell>
          <cell r="D515" t="str">
            <v xml:space="preserve">Living Promise - Level  Benefit         </v>
          </cell>
        </row>
        <row r="516">
          <cell r="A516" t="str">
            <v>870697-96</v>
          </cell>
          <cell r="B516" t="str">
            <v>Adam Richter</v>
          </cell>
          <cell r="C516">
            <v>182.33</v>
          </cell>
          <cell r="D516" t="str">
            <v>Medicare Supplement Plan G</v>
          </cell>
        </row>
        <row r="517">
          <cell r="A517" t="str">
            <v>700206-97</v>
          </cell>
          <cell r="B517" t="str">
            <v>Anne Marie Kozacheck</v>
          </cell>
          <cell r="C517">
            <v>299.39999999999998</v>
          </cell>
          <cell r="D517" t="str">
            <v>Medicare Supplement Plan N</v>
          </cell>
        </row>
        <row r="518">
          <cell r="A518" t="str">
            <v>548688-97</v>
          </cell>
          <cell r="B518" t="str">
            <v>Gregory Teipel</v>
          </cell>
          <cell r="C518">
            <v>199.91</v>
          </cell>
          <cell r="D518" t="str">
            <v>Medicare Supplement Plan G</v>
          </cell>
        </row>
        <row r="519">
          <cell r="A519" t="str">
            <v>732899-96</v>
          </cell>
          <cell r="B519" t="str">
            <v>Carol Foley</v>
          </cell>
          <cell r="C519">
            <v>234.95</v>
          </cell>
          <cell r="D519" t="str">
            <v>Medicare Supplement Plan G</v>
          </cell>
        </row>
        <row r="520">
          <cell r="A520" t="str">
            <v>BU6251397</v>
          </cell>
          <cell r="B520" t="str">
            <v>Adam Richter</v>
          </cell>
          <cell r="C520">
            <v>90.16</v>
          </cell>
          <cell r="D520" t="str">
            <v>Iul Express</v>
          </cell>
        </row>
        <row r="521">
          <cell r="A521" t="str">
            <v>BU4962144</v>
          </cell>
          <cell r="B521" t="str">
            <v>Ryan Caltagirone</v>
          </cell>
          <cell r="C521">
            <v>125.42</v>
          </cell>
          <cell r="D521" t="str">
            <v>Term Life Express 10 15 20 30</v>
          </cell>
        </row>
        <row r="522">
          <cell r="A522" t="str">
            <v>BU4534054</v>
          </cell>
          <cell r="B522" t="str">
            <v>Ryan Caltagirone</v>
          </cell>
          <cell r="C522">
            <v>231</v>
          </cell>
          <cell r="D522" t="str">
            <v>Iul Express</v>
          </cell>
        </row>
        <row r="523">
          <cell r="A523" t="str">
            <v>BU5501966</v>
          </cell>
          <cell r="B523" t="str">
            <v>Jason Roller</v>
          </cell>
          <cell r="C523">
            <v>153.93</v>
          </cell>
          <cell r="D523" t="str">
            <v>Iul Express</v>
          </cell>
        </row>
        <row r="524">
          <cell r="A524" t="str">
            <v>BU6376668</v>
          </cell>
          <cell r="B524" t="str">
            <v>Adam Richter</v>
          </cell>
          <cell r="C524">
            <v>81.97</v>
          </cell>
          <cell r="D524" t="str">
            <v>Term Life Express 10 15 20 30</v>
          </cell>
        </row>
        <row r="525">
          <cell r="A525" t="str">
            <v>564587-97</v>
          </cell>
          <cell r="B525" t="str">
            <v>Dale Walenga</v>
          </cell>
          <cell r="C525">
            <v>36.08</v>
          </cell>
          <cell r="D525" t="str">
            <v xml:space="preserve">Protection  Plan (c) Dnt5i              </v>
          </cell>
        </row>
        <row r="526">
          <cell r="A526" t="str">
            <v>BU4637396</v>
          </cell>
          <cell r="B526" t="str">
            <v>Gregory Teipel</v>
          </cell>
          <cell r="C526">
            <v>147.03</v>
          </cell>
          <cell r="D526" t="str">
            <v>Term Life Express 10 15 20 30</v>
          </cell>
        </row>
        <row r="527">
          <cell r="A527" t="str">
            <v>369700-41</v>
          </cell>
          <cell r="B527" t="str">
            <v>Jacob Yale</v>
          </cell>
          <cell r="C527">
            <v>83.85</v>
          </cell>
          <cell r="D527" t="str">
            <v xml:space="preserve">Preferred Plan (a) Dnt2e                </v>
          </cell>
        </row>
        <row r="528">
          <cell r="A528" t="str">
            <v>BU5014796</v>
          </cell>
          <cell r="B528" t="str">
            <v>Matthew Daugherty</v>
          </cell>
          <cell r="C528">
            <v>108.22</v>
          </cell>
          <cell r="D528" t="str">
            <v>Term Life Express 10 15 20 30</v>
          </cell>
        </row>
        <row r="529">
          <cell r="A529" t="str">
            <v>399774-41</v>
          </cell>
          <cell r="B529" t="str">
            <v>Gregory Teipel</v>
          </cell>
          <cell r="C529">
            <v>207.5</v>
          </cell>
          <cell r="D529" t="str">
            <v>Medicare Supplement Plan G</v>
          </cell>
        </row>
        <row r="530">
          <cell r="A530" t="str">
            <v>BU4193668</v>
          </cell>
          <cell r="B530" t="str">
            <v>Ryan Caltagirone</v>
          </cell>
          <cell r="C530">
            <v>236.03</v>
          </cell>
          <cell r="D530" t="str">
            <v>Iul Express</v>
          </cell>
        </row>
        <row r="531">
          <cell r="A531" t="str">
            <v>BU6307831</v>
          </cell>
          <cell r="B531" t="str">
            <v>Gregory Teipel</v>
          </cell>
          <cell r="C531">
            <v>300.51</v>
          </cell>
          <cell r="D531" t="str">
            <v>Term Life Express 10 15 20 30</v>
          </cell>
        </row>
        <row r="532">
          <cell r="A532" t="str">
            <v>BU4973281</v>
          </cell>
          <cell r="B532" t="str">
            <v>Ryan Caltagirone</v>
          </cell>
          <cell r="C532">
            <v>46.73</v>
          </cell>
          <cell r="D532" t="str">
            <v>Term Life Express 10 15 20 30</v>
          </cell>
        </row>
        <row r="533">
          <cell r="A533" t="str">
            <v>BU6222083</v>
          </cell>
          <cell r="B533" t="str">
            <v>Gregory Teipel</v>
          </cell>
          <cell r="C533">
            <v>258.06</v>
          </cell>
          <cell r="D533" t="str">
            <v>Iul Express</v>
          </cell>
        </row>
        <row r="534">
          <cell r="A534" t="str">
            <v>563880-97</v>
          </cell>
          <cell r="B534" t="str">
            <v>Richard Yale</v>
          </cell>
          <cell r="C534">
            <v>36.08</v>
          </cell>
          <cell r="D534" t="str">
            <v xml:space="preserve">Protection  Plan (c) Dnt5i              </v>
          </cell>
        </row>
        <row r="535">
          <cell r="A535" t="str">
            <v>BU5260142</v>
          </cell>
          <cell r="B535" t="str">
            <v>Gregory Teipel</v>
          </cell>
          <cell r="C535">
            <v>150.19</v>
          </cell>
          <cell r="D535" t="str">
            <v>Iul Express</v>
          </cell>
        </row>
        <row r="536">
          <cell r="A536" t="str">
            <v>BU4172786</v>
          </cell>
          <cell r="B536" t="str">
            <v>Ryan Caltagirone</v>
          </cell>
          <cell r="C536">
            <v>276.23</v>
          </cell>
          <cell r="D536" t="str">
            <v>Iul Express</v>
          </cell>
        </row>
        <row r="537">
          <cell r="A537" t="str">
            <v>878137-96</v>
          </cell>
          <cell r="B537" t="str">
            <v>Anne Marie Kozacheck</v>
          </cell>
          <cell r="C537">
            <v>240.09</v>
          </cell>
          <cell r="D537" t="str">
            <v>Medicare Supplement Plan N</v>
          </cell>
        </row>
        <row r="538">
          <cell r="A538" t="str">
            <v>BU6345021</v>
          </cell>
          <cell r="B538" t="str">
            <v>Ryan Caltagirone</v>
          </cell>
          <cell r="C538">
            <v>86.28</v>
          </cell>
          <cell r="D538" t="str">
            <v>Iul Express</v>
          </cell>
        </row>
        <row r="539">
          <cell r="A539" t="str">
            <v>934966-96</v>
          </cell>
          <cell r="B539" t="str">
            <v>Gregory Teipel</v>
          </cell>
          <cell r="C539">
            <v>142.80000000000001</v>
          </cell>
          <cell r="D539" t="str">
            <v>Medicare Supplement Plan G</v>
          </cell>
        </row>
        <row r="540">
          <cell r="A540" t="str">
            <v>BU4418751</v>
          </cell>
          <cell r="B540" t="str">
            <v>Gregory Teipel</v>
          </cell>
          <cell r="C540">
            <v>56.6</v>
          </cell>
          <cell r="D540" t="str">
            <v>Term Life Express 10 15 20 30</v>
          </cell>
        </row>
        <row r="541">
          <cell r="A541" t="str">
            <v>BU4308220</v>
          </cell>
          <cell r="B541" t="str">
            <v>Ryan Caltagirone</v>
          </cell>
          <cell r="C541">
            <v>145.65</v>
          </cell>
          <cell r="D541" t="str">
            <v>Tle 20-20yr Guar</v>
          </cell>
        </row>
        <row r="542">
          <cell r="A542" t="str">
            <v>BU4436316</v>
          </cell>
          <cell r="B542" t="str">
            <v>Gregory Teipel</v>
          </cell>
          <cell r="C542">
            <v>114.54</v>
          </cell>
          <cell r="D542" t="str">
            <v>Term Life Express 10 15 20 30</v>
          </cell>
        </row>
        <row r="543">
          <cell r="A543" t="str">
            <v>BU4202284</v>
          </cell>
          <cell r="B543" t="str">
            <v>Adam Richter</v>
          </cell>
          <cell r="C543">
            <v>37.65</v>
          </cell>
          <cell r="D543" t="str">
            <v>Term Life Express 10 15 20 30</v>
          </cell>
        </row>
        <row r="544">
          <cell r="A544" t="str">
            <v>BU4885871</v>
          </cell>
          <cell r="B544" t="str">
            <v>Matthew Daugherty</v>
          </cell>
          <cell r="C544">
            <v>111.43</v>
          </cell>
          <cell r="D544" t="str">
            <v>Term Life Express 10 15 20 30</v>
          </cell>
        </row>
        <row r="545">
          <cell r="A545" t="str">
            <v>BU6176789</v>
          </cell>
          <cell r="B545" t="str">
            <v>Thomas Pardue</v>
          </cell>
          <cell r="C545">
            <v>31.53</v>
          </cell>
          <cell r="D545" t="str">
            <v xml:space="preserve">Living Promise - Level  Benefit         </v>
          </cell>
        </row>
        <row r="546">
          <cell r="A546" t="str">
            <v>BU4965123</v>
          </cell>
          <cell r="B546" t="str">
            <v>Matthew Daugherty</v>
          </cell>
          <cell r="C546">
            <v>245.51</v>
          </cell>
          <cell r="D546" t="str">
            <v>Term Life Express 10 15 20 30</v>
          </cell>
        </row>
        <row r="547">
          <cell r="A547" t="str">
            <v>BU5255660</v>
          </cell>
          <cell r="B547" t="str">
            <v>Gregory Teipel</v>
          </cell>
          <cell r="C547">
            <v>160.63</v>
          </cell>
          <cell r="D547" t="str">
            <v>Iul Express</v>
          </cell>
        </row>
        <row r="548">
          <cell r="A548" t="str">
            <v>BU4603586</v>
          </cell>
          <cell r="B548" t="str">
            <v>Ryan Caltagirone</v>
          </cell>
          <cell r="C548">
            <v>127.36</v>
          </cell>
          <cell r="D548" t="str">
            <v>Term Life Express 10 15 20 30</v>
          </cell>
        </row>
        <row r="549">
          <cell r="A549" t="str">
            <v>BU4988572</v>
          </cell>
          <cell r="B549" t="str">
            <v>Andrew Choi</v>
          </cell>
          <cell r="C549">
            <v>94.07</v>
          </cell>
          <cell r="D549" t="str">
            <v>Term Life Express 10 15 20 30</v>
          </cell>
        </row>
        <row r="550">
          <cell r="A550" t="str">
            <v>BU6182379</v>
          </cell>
          <cell r="B550" t="str">
            <v>Taliah Ferguson</v>
          </cell>
          <cell r="C550">
            <v>152.36000000000001</v>
          </cell>
          <cell r="D550" t="str">
            <v>Iul Express</v>
          </cell>
        </row>
        <row r="551">
          <cell r="A551" t="str">
            <v>636252-97</v>
          </cell>
          <cell r="B551" t="str">
            <v>Andrew Choi</v>
          </cell>
          <cell r="C551">
            <v>223.71</v>
          </cell>
          <cell r="D551" t="str">
            <v>Medicare Supplement Plan G</v>
          </cell>
        </row>
        <row r="552">
          <cell r="A552" t="str">
            <v>BU4084138</v>
          </cell>
          <cell r="B552" t="str">
            <v>Gregory Teipel</v>
          </cell>
          <cell r="C552">
            <v>208.44</v>
          </cell>
          <cell r="D552" t="str">
            <v>Term Life Express 10 15 20 30</v>
          </cell>
        </row>
        <row r="553">
          <cell r="A553" t="str">
            <v>BU4435321</v>
          </cell>
          <cell r="B553" t="str">
            <v>Gregory Teipel</v>
          </cell>
          <cell r="C553">
            <v>119.54</v>
          </cell>
          <cell r="D553" t="str">
            <v>Iul Express</v>
          </cell>
        </row>
        <row r="554">
          <cell r="A554" t="str">
            <v>BU5167150</v>
          </cell>
          <cell r="B554" t="str">
            <v>Gregory Teipel</v>
          </cell>
          <cell r="C554">
            <v>204.92</v>
          </cell>
          <cell r="D554" t="str">
            <v>Term Life Express 10 15 20 30</v>
          </cell>
        </row>
        <row r="555">
          <cell r="A555" t="str">
            <v>BU4693766</v>
          </cell>
          <cell r="B555" t="str">
            <v>Matthew Daugherty</v>
          </cell>
          <cell r="C555">
            <v>138.91999999999999</v>
          </cell>
          <cell r="D555" t="str">
            <v>Term Life Express 10 15 20 30</v>
          </cell>
        </row>
        <row r="556">
          <cell r="A556" t="str">
            <v>BU4950526</v>
          </cell>
          <cell r="B556" t="str">
            <v>Matthew Daugherty</v>
          </cell>
          <cell r="C556">
            <v>237.19</v>
          </cell>
          <cell r="D556" t="str">
            <v>Term Life Express 10 15 20 30</v>
          </cell>
        </row>
        <row r="557">
          <cell r="A557" t="str">
            <v>752514-97</v>
          </cell>
          <cell r="B557" t="str">
            <v>Gregory Teipel</v>
          </cell>
          <cell r="C557">
            <v>199.91</v>
          </cell>
          <cell r="D557" t="str">
            <v>Medicare Supplement Plan G</v>
          </cell>
        </row>
        <row r="558">
          <cell r="A558" t="str">
            <v>BU4930321</v>
          </cell>
          <cell r="B558" t="str">
            <v>Gary Portugal</v>
          </cell>
          <cell r="C558">
            <v>66.84</v>
          </cell>
          <cell r="D558" t="str">
            <v xml:space="preserve">Living Promise - Level  Benefit         </v>
          </cell>
        </row>
        <row r="559">
          <cell r="A559" t="str">
            <v>BU6154557</v>
          </cell>
          <cell r="B559" t="str">
            <v>Nasandelger Zana</v>
          </cell>
          <cell r="C559">
            <v>68.239999999999995</v>
          </cell>
          <cell r="D559" t="str">
            <v>Iul Express</v>
          </cell>
        </row>
        <row r="560">
          <cell r="A560" t="str">
            <v>BU4472860</v>
          </cell>
          <cell r="B560" t="str">
            <v>Michael Lutz</v>
          </cell>
          <cell r="C560">
            <v>99.09</v>
          </cell>
          <cell r="D560" t="str">
            <v>Iul Express</v>
          </cell>
        </row>
        <row r="561">
          <cell r="A561" t="str">
            <v>BU4875190</v>
          </cell>
          <cell r="B561" t="str">
            <v>Gregory Teipel</v>
          </cell>
          <cell r="C561">
            <v>226.87</v>
          </cell>
          <cell r="D561" t="str">
            <v>Iul Express</v>
          </cell>
        </row>
        <row r="562">
          <cell r="A562" t="str">
            <v>BU5263398</v>
          </cell>
          <cell r="B562" t="str">
            <v>Ryan Caltagirone</v>
          </cell>
          <cell r="C562">
            <v>62.21</v>
          </cell>
          <cell r="D562" t="str">
            <v>Term Life Express 10 15 20 30</v>
          </cell>
        </row>
        <row r="563">
          <cell r="A563" t="str">
            <v>BU5545094</v>
          </cell>
          <cell r="B563" t="str">
            <v>Matthew Daugherty</v>
          </cell>
          <cell r="C563">
            <v>91.31</v>
          </cell>
          <cell r="D563" t="str">
            <v>Term Life Express 10 15 20 30</v>
          </cell>
        </row>
        <row r="564">
          <cell r="A564" t="str">
            <v>BU5351487</v>
          </cell>
          <cell r="B564" t="str">
            <v>Ryan Caltagirone</v>
          </cell>
          <cell r="C564">
            <v>161.41999999999999</v>
          </cell>
          <cell r="D564" t="str">
            <v>Term Life Express 10 15 20 30</v>
          </cell>
        </row>
        <row r="565">
          <cell r="A565" t="str">
            <v>BU6409083</v>
          </cell>
          <cell r="B565" t="str">
            <v>Ryan Caltagirone</v>
          </cell>
          <cell r="C565">
            <v>90.88</v>
          </cell>
          <cell r="D565" t="str">
            <v>Iul Express</v>
          </cell>
        </row>
        <row r="566">
          <cell r="A566" t="str">
            <v>BU5085406</v>
          </cell>
          <cell r="B566" t="str">
            <v>Gregory Teipel</v>
          </cell>
          <cell r="C566">
            <v>67.64</v>
          </cell>
          <cell r="D566" t="str">
            <v>Term Life Express 10 15 20 30</v>
          </cell>
        </row>
        <row r="567">
          <cell r="A567" t="str">
            <v>BU5640899</v>
          </cell>
          <cell r="B567" t="str">
            <v>Matthew Daugherty</v>
          </cell>
          <cell r="C567">
            <v>80.66</v>
          </cell>
          <cell r="D567" t="str">
            <v>Tle 20-20yr Guar</v>
          </cell>
        </row>
        <row r="568">
          <cell r="A568" t="str">
            <v>BU6226393</v>
          </cell>
          <cell r="B568" t="str">
            <v>Gregory Teipel</v>
          </cell>
          <cell r="C568">
            <v>95.05</v>
          </cell>
          <cell r="D568" t="str">
            <v xml:space="preserve">Living Promise-graded                   </v>
          </cell>
        </row>
        <row r="569">
          <cell r="A569" t="str">
            <v>BU6374252</v>
          </cell>
          <cell r="B569" t="str">
            <v>Gregory Teipel</v>
          </cell>
          <cell r="C569">
            <v>132.58000000000001</v>
          </cell>
          <cell r="D569" t="str">
            <v>Tle 20-20yr Guar</v>
          </cell>
        </row>
        <row r="570">
          <cell r="A570" t="str">
            <v>BU5054688</v>
          </cell>
          <cell r="B570" t="str">
            <v>Gregory Teipel</v>
          </cell>
          <cell r="C570">
            <v>63.28</v>
          </cell>
          <cell r="D570" t="str">
            <v>Term Life Express 10 15 20 30</v>
          </cell>
        </row>
        <row r="571">
          <cell r="A571" t="str">
            <v>BU4887510</v>
          </cell>
          <cell r="B571" t="str">
            <v>Gregory Teipel</v>
          </cell>
          <cell r="C571">
            <v>232.46</v>
          </cell>
          <cell r="D571" t="str">
            <v>Iul Express</v>
          </cell>
        </row>
        <row r="572">
          <cell r="A572" t="str">
            <v>BU4973730</v>
          </cell>
          <cell r="B572" t="str">
            <v>Ronald Max</v>
          </cell>
          <cell r="C572">
            <v>827.88</v>
          </cell>
          <cell r="D572" t="str">
            <v>Iul Express</v>
          </cell>
        </row>
        <row r="573">
          <cell r="A573" t="str">
            <v>BU4637403</v>
          </cell>
          <cell r="B573" t="str">
            <v>Gregory Teipel</v>
          </cell>
          <cell r="C573">
            <v>138.4</v>
          </cell>
          <cell r="D573" t="str">
            <v>Term Life Express 10 15 20 30</v>
          </cell>
        </row>
        <row r="574">
          <cell r="A574" t="str">
            <v>BU5060526</v>
          </cell>
          <cell r="B574" t="str">
            <v>Gregory Teipel</v>
          </cell>
          <cell r="C574">
            <v>93.61</v>
          </cell>
          <cell r="D574" t="str">
            <v xml:space="preserve">Living Promise - Level  Benefit         </v>
          </cell>
        </row>
        <row r="575">
          <cell r="A575" t="str">
            <v>BU6251675</v>
          </cell>
          <cell r="B575" t="str">
            <v>Adam Richter</v>
          </cell>
          <cell r="C575">
            <v>26.75</v>
          </cell>
          <cell r="D575" t="str">
            <v xml:space="preserve">Children S - Whole Life                 </v>
          </cell>
        </row>
        <row r="576">
          <cell r="A576" t="str">
            <v>570778-97</v>
          </cell>
          <cell r="B576" t="str">
            <v>Dale Walenga</v>
          </cell>
          <cell r="C576">
            <v>36.08</v>
          </cell>
          <cell r="D576" t="str">
            <v xml:space="preserve">Protection  Plan (c) Dnt5i              </v>
          </cell>
        </row>
        <row r="577">
          <cell r="A577" t="str">
            <v>BU4730869</v>
          </cell>
          <cell r="B577" t="str">
            <v>Ryan Caltagirone</v>
          </cell>
          <cell r="C577">
            <v>149.49</v>
          </cell>
          <cell r="D577" t="str">
            <v>Iul Express</v>
          </cell>
        </row>
        <row r="578">
          <cell r="A578" t="str">
            <v>BU5260130</v>
          </cell>
          <cell r="B578" t="str">
            <v>Gregory Teipel</v>
          </cell>
          <cell r="C578">
            <v>3315.48</v>
          </cell>
          <cell r="D578" t="str">
            <v>Iul Express</v>
          </cell>
        </row>
        <row r="579">
          <cell r="A579" t="str">
            <v>BU5073265</v>
          </cell>
          <cell r="B579" t="str">
            <v>Gregory Teipel</v>
          </cell>
          <cell r="C579">
            <v>99.83</v>
          </cell>
          <cell r="D579" t="str">
            <v>Iul Express</v>
          </cell>
        </row>
        <row r="580">
          <cell r="A580" t="str">
            <v>BU4496184</v>
          </cell>
          <cell r="B580" t="str">
            <v>Matthew Daugherty</v>
          </cell>
          <cell r="C580">
            <v>76.959999999999994</v>
          </cell>
          <cell r="D580" t="str">
            <v>Term Life Express 10 15 20 30</v>
          </cell>
        </row>
        <row r="581">
          <cell r="A581" t="str">
            <v>BU4617492</v>
          </cell>
          <cell r="B581" t="str">
            <v>Gregory Teipel</v>
          </cell>
          <cell r="C581">
            <v>125.42</v>
          </cell>
          <cell r="D581" t="str">
            <v>Term Life Express 10 15 20 30</v>
          </cell>
        </row>
        <row r="582">
          <cell r="A582" t="str">
            <v>671885-97</v>
          </cell>
          <cell r="B582" t="str">
            <v>Jacob Yale</v>
          </cell>
          <cell r="C582">
            <v>63.32</v>
          </cell>
          <cell r="D582" t="str">
            <v xml:space="preserve">Preferred Plan (a) Dnt2i                </v>
          </cell>
        </row>
        <row r="583">
          <cell r="A583" t="str">
            <v>BU5592709</v>
          </cell>
          <cell r="B583" t="str">
            <v>Andrew Choi</v>
          </cell>
          <cell r="C583">
            <v>34.75</v>
          </cell>
          <cell r="D583" t="str">
            <v xml:space="preserve">Children S - Whole Life                 </v>
          </cell>
        </row>
        <row r="584">
          <cell r="A584" t="str">
            <v>BU4730873</v>
          </cell>
          <cell r="B584" t="str">
            <v>Ryan Caltagirone</v>
          </cell>
          <cell r="C584">
            <v>114.52</v>
          </cell>
          <cell r="D584" t="str">
            <v>Iul Express</v>
          </cell>
        </row>
        <row r="585">
          <cell r="A585" t="str">
            <v>442454-97</v>
          </cell>
          <cell r="B585" t="str">
            <v>Richard Yale</v>
          </cell>
          <cell r="C585">
            <v>32.82</v>
          </cell>
          <cell r="D585" t="str">
            <v xml:space="preserve">Protection  Plan (c) Dnt5b              </v>
          </cell>
        </row>
        <row r="586">
          <cell r="A586" t="str">
            <v>BU5200825</v>
          </cell>
          <cell r="B586" t="str">
            <v>Matthew Powers</v>
          </cell>
          <cell r="C586">
            <v>33.44</v>
          </cell>
          <cell r="D586" t="str">
            <v>Iul Express</v>
          </cell>
        </row>
        <row r="587">
          <cell r="A587" t="str">
            <v>BU4293681</v>
          </cell>
          <cell r="B587" t="str">
            <v>Matthew Daugherty</v>
          </cell>
          <cell r="C587">
            <v>207.93</v>
          </cell>
          <cell r="D587" t="str">
            <v>Tle 20-20yr Guar</v>
          </cell>
        </row>
        <row r="588">
          <cell r="A588" t="str">
            <v>BU5007823</v>
          </cell>
          <cell r="B588" t="str">
            <v>Gregory Teipel</v>
          </cell>
          <cell r="C588">
            <v>285.95999999999998</v>
          </cell>
          <cell r="D588" t="str">
            <v>Term Life Express 10 15 20 30</v>
          </cell>
        </row>
        <row r="589">
          <cell r="A589" t="str">
            <v>BU4107425</v>
          </cell>
          <cell r="B589" t="str">
            <v>Gregory Teipel</v>
          </cell>
          <cell r="C589">
            <v>200</v>
          </cell>
          <cell r="D589" t="str">
            <v>Iul Express</v>
          </cell>
        </row>
        <row r="590">
          <cell r="A590" t="str">
            <v>BU5264779</v>
          </cell>
          <cell r="B590" t="str">
            <v>Matthew Daugherty</v>
          </cell>
          <cell r="C590">
            <v>79.03</v>
          </cell>
          <cell r="D590" t="str">
            <v>Term Life Express 10 15 20 30</v>
          </cell>
        </row>
        <row r="591">
          <cell r="A591" t="str">
            <v>BU4486377</v>
          </cell>
          <cell r="B591" t="str">
            <v>Ryan Caltagirone</v>
          </cell>
          <cell r="C591">
            <v>298.74</v>
          </cell>
          <cell r="D591" t="str">
            <v>Iul Express</v>
          </cell>
        </row>
        <row r="592">
          <cell r="A592" t="str">
            <v>BU6247646</v>
          </cell>
          <cell r="B592" t="str">
            <v>Ryan Caltagirone</v>
          </cell>
          <cell r="C592">
            <v>62.21</v>
          </cell>
          <cell r="D592" t="str">
            <v>Term Life Express 10 15 20 30</v>
          </cell>
        </row>
        <row r="593">
          <cell r="A593" t="str">
            <v>402367-41</v>
          </cell>
          <cell r="B593" t="str">
            <v>Chad Yale</v>
          </cell>
          <cell r="C593">
            <v>27.15</v>
          </cell>
          <cell r="D593" t="str">
            <v xml:space="preserve">Protection  Plan (c) Dnt5e              </v>
          </cell>
        </row>
        <row r="594">
          <cell r="A594" t="str">
            <v>BU5516960</v>
          </cell>
          <cell r="B594" t="str">
            <v>Ryan Caltagirone</v>
          </cell>
          <cell r="C594">
            <v>139.94999999999999</v>
          </cell>
          <cell r="D594" t="str">
            <v>Iul Express</v>
          </cell>
        </row>
        <row r="595">
          <cell r="A595" t="str">
            <v>801095-97</v>
          </cell>
          <cell r="B595" t="str">
            <v>Chad Bender</v>
          </cell>
          <cell r="C595">
            <v>120.5</v>
          </cell>
          <cell r="D595" t="str">
            <v>Medicare Supplement Plan N</v>
          </cell>
        </row>
        <row r="596">
          <cell r="A596" t="str">
            <v>BU6252355</v>
          </cell>
          <cell r="B596" t="str">
            <v>Gregory Teipel</v>
          </cell>
          <cell r="C596">
            <v>309.25</v>
          </cell>
          <cell r="D596" t="str">
            <v>Iul Express</v>
          </cell>
        </row>
        <row r="597">
          <cell r="A597" t="str">
            <v>BU5223396</v>
          </cell>
          <cell r="B597" t="str">
            <v>James Allen</v>
          </cell>
          <cell r="C597">
            <v>118.15</v>
          </cell>
          <cell r="D597" t="str">
            <v xml:space="preserve">Living Promise - Level  Benefit         </v>
          </cell>
        </row>
        <row r="598">
          <cell r="A598" t="str">
            <v>870699-96</v>
          </cell>
          <cell r="B598" t="str">
            <v>Adam Richter</v>
          </cell>
          <cell r="C598">
            <v>170.16</v>
          </cell>
          <cell r="D598" t="str">
            <v>Medicare Supplement Plan G</v>
          </cell>
        </row>
        <row r="599">
          <cell r="A599" t="str">
            <v>BU5466392</v>
          </cell>
          <cell r="B599" t="str">
            <v>Colleen Finnigan</v>
          </cell>
          <cell r="C599">
            <v>175</v>
          </cell>
          <cell r="D599" t="str">
            <v>Iul Express</v>
          </cell>
        </row>
        <row r="600">
          <cell r="A600" t="str">
            <v>BU4497521</v>
          </cell>
          <cell r="B600" t="str">
            <v>Matthew Daugherty</v>
          </cell>
          <cell r="C600">
            <v>112.35</v>
          </cell>
          <cell r="D600" t="str">
            <v>Term Life Express 10 15 20 30</v>
          </cell>
        </row>
        <row r="601">
          <cell r="A601" t="str">
            <v>BU4825102</v>
          </cell>
          <cell r="B601" t="str">
            <v>Gregory Teipel</v>
          </cell>
          <cell r="C601">
            <v>164.16</v>
          </cell>
          <cell r="D601" t="str">
            <v>Iul Express</v>
          </cell>
        </row>
        <row r="602">
          <cell r="A602" t="str">
            <v>BU5058247</v>
          </cell>
          <cell r="B602" t="str">
            <v>Ronald Max</v>
          </cell>
          <cell r="C602">
            <v>77.83</v>
          </cell>
          <cell r="D602" t="str">
            <v>Term Life Express 10 15 20 30</v>
          </cell>
        </row>
        <row r="603">
          <cell r="A603" t="str">
            <v>BU3894123</v>
          </cell>
          <cell r="B603" t="str">
            <v>Ashley Teipel</v>
          </cell>
          <cell r="C603">
            <v>114.48</v>
          </cell>
          <cell r="D603" t="str">
            <v>Term Life Express 10 15 20 30</v>
          </cell>
        </row>
        <row r="604">
          <cell r="A604" t="str">
            <v>BU4356042</v>
          </cell>
          <cell r="B604" t="str">
            <v>Matthew Daugherty</v>
          </cell>
          <cell r="C604">
            <v>133.94999999999999</v>
          </cell>
          <cell r="D604" t="str">
            <v>Term Life Express 10 15 20 30</v>
          </cell>
        </row>
        <row r="605">
          <cell r="A605" t="str">
            <v>552778-97</v>
          </cell>
          <cell r="B605" t="str">
            <v>Dale Walenga</v>
          </cell>
          <cell r="C605">
            <v>68.760000000000005</v>
          </cell>
          <cell r="D605" t="str">
            <v xml:space="preserve">Preferred Plan (a) Dnt2i                </v>
          </cell>
        </row>
        <row r="606">
          <cell r="A606" t="str">
            <v>BU5028450</v>
          </cell>
          <cell r="B606" t="str">
            <v>Frank Liskovec</v>
          </cell>
          <cell r="C606">
            <v>175.78</v>
          </cell>
          <cell r="D606" t="str">
            <v xml:space="preserve">Living Promise - Level  Benefit         </v>
          </cell>
        </row>
        <row r="607">
          <cell r="A607" t="str">
            <v>BU5155525</v>
          </cell>
          <cell r="B607" t="str">
            <v>Gregory Teipel</v>
          </cell>
          <cell r="C607">
            <v>269.45999999999998</v>
          </cell>
          <cell r="D607" t="str">
            <v>Iul Express</v>
          </cell>
        </row>
        <row r="608">
          <cell r="A608" t="str">
            <v>673405-97</v>
          </cell>
          <cell r="B608" t="str">
            <v>Dale Walenga</v>
          </cell>
          <cell r="C608">
            <v>68.56</v>
          </cell>
          <cell r="D608" t="str">
            <v xml:space="preserve">Preferred Plan (a) Dnt2e                </v>
          </cell>
        </row>
        <row r="609">
          <cell r="A609" t="str">
            <v>BU4155354</v>
          </cell>
          <cell r="B609" t="str">
            <v>Gregory Teipel</v>
          </cell>
          <cell r="C609">
            <v>510.84</v>
          </cell>
          <cell r="D609" t="str">
            <v>Iul Express</v>
          </cell>
        </row>
        <row r="610">
          <cell r="A610" t="str">
            <v>759612-96</v>
          </cell>
          <cell r="B610" t="str">
            <v>Adam Richter</v>
          </cell>
          <cell r="C610">
            <v>125.66</v>
          </cell>
          <cell r="D610" t="str">
            <v>Medicare Supplement Plan N</v>
          </cell>
        </row>
        <row r="611">
          <cell r="A611" t="str">
            <v>588926-96</v>
          </cell>
          <cell r="B611" t="str">
            <v>Adam Richter</v>
          </cell>
          <cell r="C611">
            <v>136.94</v>
          </cell>
          <cell r="D611" t="str">
            <v>Medicare Supplement Plan N</v>
          </cell>
        </row>
        <row r="612">
          <cell r="A612" t="str">
            <v>830900-96</v>
          </cell>
          <cell r="B612" t="str">
            <v>Anne Marie Kozacheck</v>
          </cell>
          <cell r="C612">
            <v>276.37</v>
          </cell>
          <cell r="D612" t="str">
            <v>Medicare Supplement Plan G</v>
          </cell>
        </row>
        <row r="613">
          <cell r="A613" t="str">
            <v>BU4947684</v>
          </cell>
          <cell r="B613" t="str">
            <v>Gregory Teipel</v>
          </cell>
          <cell r="C613">
            <v>207.99</v>
          </cell>
          <cell r="D613" t="str">
            <v xml:space="preserve">Living Promise - Level  Benefit         </v>
          </cell>
        </row>
        <row r="614">
          <cell r="A614" t="str">
            <v>BU4553958</v>
          </cell>
          <cell r="B614" t="str">
            <v>Colleen Finnigan</v>
          </cell>
          <cell r="C614">
            <v>2881.75</v>
          </cell>
          <cell r="D614" t="str">
            <v>Iul Express</v>
          </cell>
        </row>
        <row r="615">
          <cell r="A615" t="str">
            <v>BU5059870</v>
          </cell>
          <cell r="B615" t="str">
            <v>Ronald Max</v>
          </cell>
          <cell r="C615">
            <v>190.1</v>
          </cell>
          <cell r="D615" t="str">
            <v>Term Life Express 10 15 20 30</v>
          </cell>
        </row>
        <row r="616">
          <cell r="A616" t="str">
            <v>BU4383319</v>
          </cell>
          <cell r="B616" t="str">
            <v>Gregory Teipel</v>
          </cell>
          <cell r="C616">
            <v>119.94</v>
          </cell>
          <cell r="D616" t="str">
            <v>Tle 20-20yr Guar</v>
          </cell>
        </row>
        <row r="617">
          <cell r="A617" t="str">
            <v>BU5019796</v>
          </cell>
          <cell r="B617" t="str">
            <v>Matthew Daugherty</v>
          </cell>
          <cell r="C617">
            <v>87.4</v>
          </cell>
          <cell r="D617" t="str">
            <v>Term Life Express 10 15 20 30</v>
          </cell>
        </row>
        <row r="618">
          <cell r="A618" t="str">
            <v>BU4559352</v>
          </cell>
          <cell r="B618" t="str">
            <v>Ryan Caltagirone</v>
          </cell>
          <cell r="C618">
            <v>220.93</v>
          </cell>
          <cell r="D618" t="str">
            <v>Iul Express</v>
          </cell>
        </row>
        <row r="619">
          <cell r="A619" t="str">
            <v>BU5323945</v>
          </cell>
          <cell r="B619" t="str">
            <v>Gregory Teipel</v>
          </cell>
          <cell r="C619">
            <v>123.4</v>
          </cell>
          <cell r="D619" t="str">
            <v>Iul Express</v>
          </cell>
        </row>
        <row r="620">
          <cell r="A620" t="str">
            <v>BU4758764</v>
          </cell>
          <cell r="B620" t="str">
            <v>Deborah Inskipt</v>
          </cell>
          <cell r="C620">
            <v>27.01</v>
          </cell>
          <cell r="D620" t="str">
            <v xml:space="preserve">Living Promise - Level  Benefit         </v>
          </cell>
        </row>
        <row r="621">
          <cell r="A621" t="str">
            <v>BU4459042</v>
          </cell>
          <cell r="B621" t="str">
            <v>Michael Lutz</v>
          </cell>
          <cell r="C621">
            <v>144.4</v>
          </cell>
          <cell r="D621" t="str">
            <v>Term Life Express 10 15 20 30</v>
          </cell>
        </row>
        <row r="622">
          <cell r="A622" t="str">
            <v>BU5058620</v>
          </cell>
          <cell r="B622" t="str">
            <v>Thomas Pardue</v>
          </cell>
          <cell r="C622">
            <v>66.22</v>
          </cell>
          <cell r="D622" t="str">
            <v>Term Life Express 10 15 20 30</v>
          </cell>
        </row>
        <row r="623">
          <cell r="A623" t="str">
            <v>637883-97</v>
          </cell>
          <cell r="B623" t="str">
            <v>Michael Dunavant</v>
          </cell>
          <cell r="C623">
            <v>136.77000000000001</v>
          </cell>
          <cell r="D623" t="str">
            <v>Medicare Supplement Plan G</v>
          </cell>
        </row>
        <row r="624">
          <cell r="A624" t="str">
            <v>BU5055568</v>
          </cell>
          <cell r="B624" t="str">
            <v>Gregory Teipel</v>
          </cell>
          <cell r="C624">
            <v>259.27999999999997</v>
          </cell>
          <cell r="D624" t="str">
            <v>Iul Express</v>
          </cell>
        </row>
        <row r="625">
          <cell r="A625" t="str">
            <v>BU4433854</v>
          </cell>
          <cell r="B625" t="str">
            <v>Ryan Caltagirone</v>
          </cell>
          <cell r="C625">
            <v>229</v>
          </cell>
          <cell r="D625" t="str">
            <v>Iul Express</v>
          </cell>
        </row>
        <row r="626">
          <cell r="A626" t="str">
            <v>BU5173010</v>
          </cell>
          <cell r="B626" t="str">
            <v>Gregory Teipel</v>
          </cell>
          <cell r="C626">
            <v>122.88</v>
          </cell>
          <cell r="D626" t="str">
            <v>Iul Express</v>
          </cell>
        </row>
        <row r="627">
          <cell r="A627" t="str">
            <v>BU5050372</v>
          </cell>
          <cell r="B627" t="str">
            <v>Matthew Daugherty</v>
          </cell>
          <cell r="C627">
            <v>208.79</v>
          </cell>
          <cell r="D627" t="str">
            <v>Term Life Express 10 15 20 30</v>
          </cell>
        </row>
        <row r="628">
          <cell r="A628" t="str">
            <v>BU4756850</v>
          </cell>
          <cell r="B628" t="str">
            <v>Gregory Teipel</v>
          </cell>
          <cell r="C628">
            <v>112.41</v>
          </cell>
          <cell r="D628" t="str">
            <v>Tle 15-15yr Guar</v>
          </cell>
        </row>
        <row r="629">
          <cell r="A629" t="str">
            <v>BU5155505</v>
          </cell>
          <cell r="B629" t="str">
            <v>Gregory Teipel</v>
          </cell>
          <cell r="C629">
            <v>236.36</v>
          </cell>
          <cell r="D629" t="str">
            <v>Iul Express</v>
          </cell>
        </row>
        <row r="630">
          <cell r="A630" t="str">
            <v>BU5050127</v>
          </cell>
          <cell r="B630" t="str">
            <v>Ronald Max</v>
          </cell>
          <cell r="C630">
            <v>76.180000000000007</v>
          </cell>
          <cell r="D630" t="str">
            <v>Term Life Express 10 15 20 30</v>
          </cell>
        </row>
        <row r="631">
          <cell r="A631" t="str">
            <v>BU5439108</v>
          </cell>
          <cell r="B631" t="str">
            <v>Jason Roller</v>
          </cell>
          <cell r="C631">
            <v>3431</v>
          </cell>
          <cell r="D631" t="str">
            <v xml:space="preserve">Living Promise - Level  Benefit         </v>
          </cell>
        </row>
        <row r="632">
          <cell r="A632" t="str">
            <v>BU4133162</v>
          </cell>
          <cell r="B632" t="str">
            <v>Gregory Teipel</v>
          </cell>
          <cell r="C632">
            <v>200</v>
          </cell>
          <cell r="D632" t="str">
            <v>Iul Express</v>
          </cell>
        </row>
        <row r="633">
          <cell r="A633" t="str">
            <v>BU5139678</v>
          </cell>
          <cell r="B633" t="str">
            <v>Jared Kinyua</v>
          </cell>
          <cell r="C633">
            <v>141.25</v>
          </cell>
          <cell r="D633" t="str">
            <v>Income Advantage</v>
          </cell>
        </row>
        <row r="634">
          <cell r="A634" t="str">
            <v>BU6212432</v>
          </cell>
          <cell r="B634" t="str">
            <v>Matthew Daugherty</v>
          </cell>
          <cell r="C634">
            <v>193.84</v>
          </cell>
          <cell r="D634" t="str">
            <v>Term Life Express 10 15 20 30</v>
          </cell>
        </row>
        <row r="635">
          <cell r="A635" t="str">
            <v>BU5359993</v>
          </cell>
          <cell r="B635" t="str">
            <v>Ryan Caltagirone</v>
          </cell>
          <cell r="C635">
            <v>91.63</v>
          </cell>
          <cell r="D635" t="str">
            <v xml:space="preserve">Living Promise-graded                   </v>
          </cell>
        </row>
        <row r="636">
          <cell r="A636" t="str">
            <v>BU3931230</v>
          </cell>
          <cell r="B636" t="str">
            <v>Gregory Teipel</v>
          </cell>
          <cell r="C636">
            <v>116.37</v>
          </cell>
          <cell r="D636" t="str">
            <v>Term Life Express 10 15 20 30</v>
          </cell>
        </row>
        <row r="637">
          <cell r="A637" t="str">
            <v>BU5338311</v>
          </cell>
          <cell r="B637" t="str">
            <v>Steven Brandt</v>
          </cell>
          <cell r="C637">
            <v>56.05</v>
          </cell>
          <cell r="D637" t="str">
            <v>Iul Express</v>
          </cell>
        </row>
        <row r="638">
          <cell r="A638" t="str">
            <v>BU5096133</v>
          </cell>
          <cell r="B638" t="str">
            <v>Timothy Powers</v>
          </cell>
          <cell r="C638">
            <v>79.569999999999993</v>
          </cell>
          <cell r="D638" t="str">
            <v xml:space="preserve">Living Promise-graded                   </v>
          </cell>
        </row>
        <row r="639">
          <cell r="A639" t="str">
            <v>BU4328388</v>
          </cell>
          <cell r="B639" t="str">
            <v>Gregory Teipel</v>
          </cell>
          <cell r="C639">
            <v>106.89</v>
          </cell>
          <cell r="D639" t="str">
            <v>Term Life Express 10 15 20 30</v>
          </cell>
        </row>
        <row r="640">
          <cell r="A640" t="str">
            <v>BU4112016</v>
          </cell>
          <cell r="B640" t="str">
            <v>Ryan Caltagirone</v>
          </cell>
          <cell r="C640">
            <v>107.32</v>
          </cell>
          <cell r="D640" t="str">
            <v>Iul Express</v>
          </cell>
        </row>
        <row r="641">
          <cell r="A641" t="str">
            <v>483393-41</v>
          </cell>
          <cell r="B641" t="str">
            <v>Gregory Teipel</v>
          </cell>
          <cell r="C641">
            <v>201.89</v>
          </cell>
          <cell r="D641" t="str">
            <v>Medicare Supplement Plan G</v>
          </cell>
        </row>
        <row r="642">
          <cell r="A642" t="str">
            <v>BU5211450</v>
          </cell>
          <cell r="B642" t="str">
            <v>Victor Fuentes</v>
          </cell>
          <cell r="C642">
            <v>92.16</v>
          </cell>
          <cell r="D642" t="str">
            <v xml:space="preserve">Living Promise - Level  Benefit         </v>
          </cell>
        </row>
        <row r="643">
          <cell r="A643" t="str">
            <v>BU4453271</v>
          </cell>
          <cell r="B643" t="str">
            <v>Matthew Daugherty</v>
          </cell>
          <cell r="C643">
            <v>116.97</v>
          </cell>
          <cell r="D643" t="str">
            <v>Tle20 W/rop-20yr Guar</v>
          </cell>
        </row>
        <row r="644">
          <cell r="A644" t="str">
            <v>BU5495248</v>
          </cell>
          <cell r="B644" t="str">
            <v>Gregory Teipel</v>
          </cell>
          <cell r="C644">
            <v>109.85</v>
          </cell>
          <cell r="D644" t="str">
            <v>Term Life Express 10 15 20 30</v>
          </cell>
        </row>
        <row r="645">
          <cell r="A645" t="str">
            <v>BU4319838</v>
          </cell>
          <cell r="B645" t="str">
            <v>Ryan Caltagirone</v>
          </cell>
          <cell r="C645">
            <v>50.92</v>
          </cell>
          <cell r="D645" t="str">
            <v>Iul Express</v>
          </cell>
        </row>
        <row r="646">
          <cell r="A646" t="str">
            <v>BU6431496</v>
          </cell>
          <cell r="B646" t="str">
            <v>Gregory Teipel</v>
          </cell>
          <cell r="C646">
            <v>163.99</v>
          </cell>
          <cell r="D646" t="str">
            <v>Iul Express</v>
          </cell>
        </row>
        <row r="647">
          <cell r="A647" t="str">
            <v>678198-97</v>
          </cell>
          <cell r="B647" t="str">
            <v>Michael Dunavant</v>
          </cell>
          <cell r="C647">
            <v>144.74</v>
          </cell>
          <cell r="D647" t="str">
            <v>Medicare Supplement Plan N</v>
          </cell>
        </row>
        <row r="648">
          <cell r="A648" t="str">
            <v>660631-96</v>
          </cell>
          <cell r="B648" t="str">
            <v>Adam Richter</v>
          </cell>
          <cell r="C648">
            <v>164.18</v>
          </cell>
          <cell r="D648" t="str">
            <v>Medicare Supplement Plan N</v>
          </cell>
        </row>
        <row r="649">
          <cell r="A649" t="str">
            <v>BU4426215</v>
          </cell>
          <cell r="B649" t="str">
            <v>Matthew Daugherty</v>
          </cell>
          <cell r="C649">
            <v>151.91999999999999</v>
          </cell>
          <cell r="D649" t="str">
            <v>Term Life Express 10 15 20 30</v>
          </cell>
        </row>
        <row r="650">
          <cell r="A650" t="str">
            <v>BU5029199</v>
          </cell>
          <cell r="B650" t="str">
            <v>Matthew Daugherty</v>
          </cell>
          <cell r="C650">
            <v>94.52</v>
          </cell>
          <cell r="D650" t="str">
            <v>Term Life Express 10 15 20 30</v>
          </cell>
        </row>
        <row r="651">
          <cell r="A651" t="str">
            <v>BU5059680</v>
          </cell>
          <cell r="B651" t="str">
            <v>Ryan Caltagirone</v>
          </cell>
          <cell r="C651">
            <v>170</v>
          </cell>
          <cell r="D651" t="str">
            <v>Iul Express</v>
          </cell>
        </row>
        <row r="652">
          <cell r="A652" t="str">
            <v>BU4705402</v>
          </cell>
          <cell r="B652" t="str">
            <v>Ryan Caltagirone</v>
          </cell>
          <cell r="C652">
            <v>91.5</v>
          </cell>
          <cell r="D652" t="str">
            <v>Term Life Express 10 15 20 30</v>
          </cell>
        </row>
        <row r="653">
          <cell r="A653" t="str">
            <v>BU5101654</v>
          </cell>
          <cell r="B653" t="str">
            <v>Gregory Teipel</v>
          </cell>
          <cell r="C653">
            <v>278.35000000000002</v>
          </cell>
          <cell r="D653" t="str">
            <v>Term Life Express 10 15 20 30</v>
          </cell>
        </row>
        <row r="654">
          <cell r="A654" t="str">
            <v>BU5116046</v>
          </cell>
          <cell r="B654" t="str">
            <v>Gregory Teipel</v>
          </cell>
          <cell r="C654">
            <v>260.94</v>
          </cell>
          <cell r="D654" t="str">
            <v>Iul Express</v>
          </cell>
        </row>
        <row r="655">
          <cell r="A655" t="str">
            <v>BU6286653</v>
          </cell>
          <cell r="B655" t="str">
            <v>Matthew Daugherty</v>
          </cell>
          <cell r="C655">
            <v>61.68</v>
          </cell>
          <cell r="D655" t="str">
            <v>Tle 20-20yr Guar</v>
          </cell>
        </row>
        <row r="656">
          <cell r="A656" t="str">
            <v>401788-41</v>
          </cell>
          <cell r="B656" t="str">
            <v>Jason Roller</v>
          </cell>
          <cell r="C656">
            <v>155.84</v>
          </cell>
          <cell r="D656" t="str">
            <v>Medicare Supplement Plan G</v>
          </cell>
        </row>
        <row r="657">
          <cell r="A657" t="str">
            <v>BU6209158</v>
          </cell>
          <cell r="B657" t="str">
            <v>Gregory Teipel</v>
          </cell>
          <cell r="C657">
            <v>297.7</v>
          </cell>
          <cell r="D657" t="str">
            <v>Iul Express</v>
          </cell>
        </row>
        <row r="658">
          <cell r="A658" t="str">
            <v>BU4047969</v>
          </cell>
          <cell r="B658" t="str">
            <v>Gregory Teipel</v>
          </cell>
          <cell r="C658">
            <v>124.71</v>
          </cell>
          <cell r="D658" t="str">
            <v>Term Life Express 10 15 20 30</v>
          </cell>
        </row>
        <row r="659">
          <cell r="A659" t="str">
            <v>BU4756810</v>
          </cell>
          <cell r="B659" t="str">
            <v>Gregory Teipel</v>
          </cell>
          <cell r="C659">
            <v>122.29</v>
          </cell>
          <cell r="D659" t="str">
            <v>Tle 15-15yr Guar</v>
          </cell>
        </row>
        <row r="660">
          <cell r="A660" t="str">
            <v>BU5199683</v>
          </cell>
          <cell r="B660" t="str">
            <v>Ryan Caltagirone</v>
          </cell>
          <cell r="C660">
            <v>76.150000000000006</v>
          </cell>
          <cell r="D660" t="str">
            <v>Iul Express</v>
          </cell>
        </row>
        <row r="661">
          <cell r="A661" t="str">
            <v>BU6313611</v>
          </cell>
          <cell r="B661" t="str">
            <v>Ryan Caltagirone</v>
          </cell>
          <cell r="C661">
            <v>63.28</v>
          </cell>
          <cell r="D661" t="str">
            <v>Tle 20-20yr Guar</v>
          </cell>
        </row>
        <row r="662">
          <cell r="A662" t="str">
            <v>803141-97</v>
          </cell>
          <cell r="B662" t="str">
            <v>Chad Bender</v>
          </cell>
          <cell r="C662">
            <v>84.64</v>
          </cell>
          <cell r="D662" t="str">
            <v>Medicare Supplement Plan G High Deductible</v>
          </cell>
        </row>
        <row r="663">
          <cell r="A663" t="str">
            <v>656528-97</v>
          </cell>
          <cell r="B663" t="str">
            <v>Anne Marie Kozacheck</v>
          </cell>
          <cell r="C663">
            <v>185.59</v>
          </cell>
          <cell r="D663" t="str">
            <v>Medicare Supplement Plan G</v>
          </cell>
        </row>
        <row r="664">
          <cell r="A664" t="str">
            <v>BU5370870</v>
          </cell>
          <cell r="B664" t="str">
            <v>Gregory Teipel</v>
          </cell>
          <cell r="C664">
            <v>162.97999999999999</v>
          </cell>
          <cell r="D664" t="str">
            <v>Iul Express</v>
          </cell>
        </row>
        <row r="665">
          <cell r="A665" t="str">
            <v>BU5090017</v>
          </cell>
          <cell r="B665" t="str">
            <v>Gregory Teipel</v>
          </cell>
          <cell r="C665">
            <v>117.19</v>
          </cell>
          <cell r="D665" t="str">
            <v>Iul Express</v>
          </cell>
        </row>
        <row r="666">
          <cell r="A666" t="str">
            <v>BU4146665</v>
          </cell>
          <cell r="B666" t="str">
            <v>Gregory Teipel</v>
          </cell>
          <cell r="C666">
            <v>273.81</v>
          </cell>
          <cell r="D666" t="str">
            <v>Iul Express</v>
          </cell>
        </row>
        <row r="667">
          <cell r="A667" t="str">
            <v>BU4305626</v>
          </cell>
          <cell r="B667" t="str">
            <v>Ryan Caltagirone</v>
          </cell>
          <cell r="C667">
            <v>137.63</v>
          </cell>
          <cell r="D667" t="str">
            <v>Iul Express</v>
          </cell>
        </row>
        <row r="668">
          <cell r="A668" t="str">
            <v>BU6264932</v>
          </cell>
          <cell r="B668" t="str">
            <v>Matthew Daugherty</v>
          </cell>
          <cell r="C668">
            <v>144.24</v>
          </cell>
          <cell r="D668" t="str">
            <v>Iul Express</v>
          </cell>
        </row>
        <row r="669">
          <cell r="A669" t="str">
            <v>BU4227390</v>
          </cell>
          <cell r="B669" t="str">
            <v>Ryan Caltagirone</v>
          </cell>
          <cell r="C669">
            <v>158</v>
          </cell>
          <cell r="D669" t="str">
            <v>Iul Express</v>
          </cell>
        </row>
        <row r="670">
          <cell r="A670" t="str">
            <v>510182-97</v>
          </cell>
          <cell r="B670" t="str">
            <v>Richard Yale</v>
          </cell>
          <cell r="C670">
            <v>36.08</v>
          </cell>
          <cell r="D670" t="str">
            <v xml:space="preserve">Protection  Plan (c) Dnt5i              </v>
          </cell>
        </row>
        <row r="671">
          <cell r="A671" t="str">
            <v>BU4487469</v>
          </cell>
          <cell r="B671" t="str">
            <v>Gregory Teipel</v>
          </cell>
          <cell r="C671">
            <v>64.37</v>
          </cell>
          <cell r="D671" t="str">
            <v>Term Life Express 10 15 20 30</v>
          </cell>
        </row>
        <row r="672">
          <cell r="A672" t="str">
            <v>BU5012511</v>
          </cell>
          <cell r="B672" t="str">
            <v>Gregory Teipel</v>
          </cell>
          <cell r="C672">
            <v>169.14</v>
          </cell>
          <cell r="D672" t="str">
            <v>Term Life Express 10 15 20 30</v>
          </cell>
        </row>
        <row r="673">
          <cell r="A673" t="str">
            <v>494514-97</v>
          </cell>
          <cell r="B673" t="str">
            <v>Richard Yale</v>
          </cell>
          <cell r="C673">
            <v>79.28</v>
          </cell>
          <cell r="D673" t="str">
            <v xml:space="preserve">Preferred Plan (a) Dnt2i                </v>
          </cell>
        </row>
        <row r="674">
          <cell r="A674" t="str">
            <v>BU4331488</v>
          </cell>
          <cell r="B674" t="str">
            <v>Matthew Daugherty</v>
          </cell>
          <cell r="C674">
            <v>91.31</v>
          </cell>
          <cell r="D674" t="str">
            <v>Term Life Express 10 15 20 30</v>
          </cell>
        </row>
        <row r="675">
          <cell r="A675" t="str">
            <v>BU4672476</v>
          </cell>
          <cell r="B675" t="str">
            <v>Ryan Caltagirone</v>
          </cell>
          <cell r="C675">
            <v>104.52</v>
          </cell>
          <cell r="D675" t="str">
            <v>Tle 20-20yr Guar</v>
          </cell>
        </row>
        <row r="676">
          <cell r="A676" t="str">
            <v>BU5360400</v>
          </cell>
          <cell r="B676" t="str">
            <v>Gregory Teipel</v>
          </cell>
          <cell r="C676">
            <v>223.92</v>
          </cell>
          <cell r="D676" t="str">
            <v>Term Life Express 10 15 20 30</v>
          </cell>
        </row>
        <row r="677">
          <cell r="A677" t="str">
            <v>500219-97</v>
          </cell>
          <cell r="B677" t="str">
            <v>Michael Dunavant</v>
          </cell>
          <cell r="C677">
            <v>168.49</v>
          </cell>
          <cell r="D677" t="str">
            <v>Medicare Supplement Plan G</v>
          </cell>
        </row>
        <row r="678">
          <cell r="A678" t="str">
            <v>BU5502285</v>
          </cell>
          <cell r="B678" t="str">
            <v>Victor Fuentes</v>
          </cell>
          <cell r="C678">
            <v>61.94</v>
          </cell>
          <cell r="D678" t="str">
            <v>Term Life Express 10 15 20 30</v>
          </cell>
        </row>
        <row r="679">
          <cell r="A679" t="str">
            <v>BU4128918</v>
          </cell>
          <cell r="B679" t="str">
            <v>Ryan Caltagirone</v>
          </cell>
          <cell r="C679">
            <v>169</v>
          </cell>
          <cell r="D679" t="str">
            <v>Iul Express</v>
          </cell>
        </row>
        <row r="680">
          <cell r="A680" t="str">
            <v>BU4594273</v>
          </cell>
          <cell r="B680" t="str">
            <v>Gregory Teipel</v>
          </cell>
          <cell r="C680">
            <v>329.92</v>
          </cell>
          <cell r="D680" t="str">
            <v>Term Life Express 10 15 20 30</v>
          </cell>
        </row>
        <row r="681">
          <cell r="A681" t="str">
            <v>BU5269972</v>
          </cell>
          <cell r="B681" t="str">
            <v>Colleen Finnigan</v>
          </cell>
          <cell r="C681">
            <v>80</v>
          </cell>
          <cell r="D681" t="str">
            <v>Iul Express</v>
          </cell>
        </row>
        <row r="682">
          <cell r="A682" t="str">
            <v>BU4925327</v>
          </cell>
          <cell r="B682" t="str">
            <v>Michael Lutz</v>
          </cell>
          <cell r="C682">
            <v>58.92</v>
          </cell>
          <cell r="D682" t="str">
            <v xml:space="preserve">Living Promise-graded                   </v>
          </cell>
        </row>
        <row r="683">
          <cell r="A683" t="str">
            <v>BU4389036</v>
          </cell>
          <cell r="B683" t="str">
            <v>Gregory Teipel</v>
          </cell>
          <cell r="C683">
            <v>74.760000000000005</v>
          </cell>
          <cell r="D683" t="str">
            <v>Term Life Express 10 15 20 30</v>
          </cell>
        </row>
        <row r="684">
          <cell r="A684" t="str">
            <v>BU5001531</v>
          </cell>
          <cell r="B684" t="str">
            <v>Matthew Daugherty</v>
          </cell>
          <cell r="C684">
            <v>250.45</v>
          </cell>
          <cell r="D684" t="str">
            <v>Term Life Express 10 15 20 30</v>
          </cell>
        </row>
        <row r="685">
          <cell r="A685" t="str">
            <v>BU4552285</v>
          </cell>
          <cell r="B685" t="str">
            <v>Ryan Caltagirone</v>
          </cell>
          <cell r="C685">
            <v>47.53</v>
          </cell>
          <cell r="D685" t="str">
            <v>Tle 20-20yr Guar</v>
          </cell>
        </row>
        <row r="686">
          <cell r="A686" t="str">
            <v>BU4818598</v>
          </cell>
          <cell r="B686" t="str">
            <v>Ryan Caltagirone</v>
          </cell>
          <cell r="C686">
            <v>113.57</v>
          </cell>
          <cell r="D686" t="str">
            <v>Tle 20-20yr Guar</v>
          </cell>
        </row>
        <row r="687">
          <cell r="A687" t="str">
            <v>BU4436395</v>
          </cell>
          <cell r="B687" t="str">
            <v>Matthew Daugherty</v>
          </cell>
          <cell r="C687">
            <v>157.80000000000001</v>
          </cell>
          <cell r="D687" t="str">
            <v>Term Life Express 10 15 20 30</v>
          </cell>
        </row>
        <row r="688">
          <cell r="A688" t="str">
            <v>BU5637417</v>
          </cell>
          <cell r="B688" t="str">
            <v>Ryan Caltagirone</v>
          </cell>
          <cell r="C688">
            <v>141.43</v>
          </cell>
          <cell r="D688" t="str">
            <v>Term Life Express 10 15 20 30</v>
          </cell>
        </row>
        <row r="689">
          <cell r="A689" t="str">
            <v>766096-97</v>
          </cell>
          <cell r="B689" t="str">
            <v>Michael Dunavant</v>
          </cell>
          <cell r="C689">
            <v>159.41</v>
          </cell>
          <cell r="D689" t="str">
            <v>Medicare Supplement Plan G</v>
          </cell>
        </row>
        <row r="690">
          <cell r="A690" t="str">
            <v>BU5274800</v>
          </cell>
          <cell r="B690" t="str">
            <v>Ryan Caltagirone</v>
          </cell>
          <cell r="C690">
            <v>34.380000000000003</v>
          </cell>
          <cell r="D690" t="str">
            <v>Term Life Express 10 15 20 30</v>
          </cell>
        </row>
        <row r="691">
          <cell r="A691" t="str">
            <v>BU5284060</v>
          </cell>
          <cell r="B691" t="str">
            <v>Matthew Daugherty</v>
          </cell>
          <cell r="C691">
            <v>97.44</v>
          </cell>
          <cell r="D691" t="str">
            <v>Term Life Express 10 15 20 30</v>
          </cell>
        </row>
        <row r="692">
          <cell r="A692" t="str">
            <v>BU4911691</v>
          </cell>
          <cell r="B692" t="str">
            <v>Gregory Teipel</v>
          </cell>
          <cell r="C692">
            <v>75.03</v>
          </cell>
          <cell r="D692" t="str">
            <v>Tle 20-20yr Guar</v>
          </cell>
        </row>
        <row r="693">
          <cell r="A693" t="str">
            <v>BU5081505</v>
          </cell>
          <cell r="B693" t="str">
            <v>Ryan Caltagirone</v>
          </cell>
          <cell r="C693">
            <v>124.25</v>
          </cell>
          <cell r="D693" t="str">
            <v>Iul Express</v>
          </cell>
        </row>
        <row r="694">
          <cell r="A694" t="str">
            <v>BU4975708</v>
          </cell>
          <cell r="B694" t="str">
            <v>Andrea Petrungaro</v>
          </cell>
          <cell r="C694">
            <v>87.76</v>
          </cell>
          <cell r="D694" t="str">
            <v>Term Life Answer 10 15 20 30</v>
          </cell>
        </row>
        <row r="695">
          <cell r="A695" t="str">
            <v>452527-41</v>
          </cell>
          <cell r="B695" t="str">
            <v>Gregory Teipel</v>
          </cell>
          <cell r="C695">
            <v>143.68</v>
          </cell>
          <cell r="D695" t="str">
            <v>Medicare Supplement Plan G</v>
          </cell>
        </row>
        <row r="696">
          <cell r="A696" t="str">
            <v>667938-96</v>
          </cell>
          <cell r="B696" t="str">
            <v>Adam Richter</v>
          </cell>
          <cell r="C696">
            <v>164.18</v>
          </cell>
          <cell r="D696" t="str">
            <v>Medicare Supplement Plan N</v>
          </cell>
        </row>
        <row r="697">
          <cell r="A697" t="str">
            <v>BU4585176</v>
          </cell>
          <cell r="B697" t="str">
            <v>Gregory Teipel</v>
          </cell>
          <cell r="C697">
            <v>191.35</v>
          </cell>
          <cell r="D697" t="str">
            <v>Term Life Express 10 15 20 30</v>
          </cell>
        </row>
        <row r="698">
          <cell r="A698" t="str">
            <v>BU6256814</v>
          </cell>
          <cell r="B698" t="str">
            <v>Ryan Caltagirone</v>
          </cell>
          <cell r="C698">
            <v>193.28</v>
          </cell>
          <cell r="D698" t="str">
            <v>Iul Express</v>
          </cell>
        </row>
        <row r="699">
          <cell r="A699" t="str">
            <v>809741-97</v>
          </cell>
          <cell r="B699" t="str">
            <v>Gregory Teipel</v>
          </cell>
          <cell r="C699">
            <v>154.12</v>
          </cell>
          <cell r="D699" t="str">
            <v>Medicare Supplement Plan G</v>
          </cell>
        </row>
        <row r="700">
          <cell r="A700" t="str">
            <v>BU5642719</v>
          </cell>
          <cell r="B700" t="str">
            <v>Matthew Daugherty</v>
          </cell>
          <cell r="C700">
            <v>56.6</v>
          </cell>
          <cell r="D700" t="str">
            <v>Term Life Express 10 15 20 30</v>
          </cell>
        </row>
        <row r="701">
          <cell r="A701" t="str">
            <v>BU4660048</v>
          </cell>
          <cell r="B701" t="str">
            <v>Colleen Finnigan</v>
          </cell>
          <cell r="C701">
            <v>124.71</v>
          </cell>
          <cell r="D701" t="str">
            <v>Term Life Express 10 15 20 30</v>
          </cell>
        </row>
        <row r="702">
          <cell r="A702" t="str">
            <v>BU5428116</v>
          </cell>
          <cell r="B702" t="str">
            <v>Gary Portugal</v>
          </cell>
          <cell r="C702">
            <v>63.65</v>
          </cell>
          <cell r="D702" t="str">
            <v xml:space="preserve">Living Promise - Level  Benefit         </v>
          </cell>
        </row>
        <row r="703">
          <cell r="A703" t="str">
            <v>BU4998090</v>
          </cell>
          <cell r="B703" t="str">
            <v>Gregory Teipel</v>
          </cell>
          <cell r="C703">
            <v>52.93</v>
          </cell>
          <cell r="D703" t="str">
            <v>Term Life Express 10 15 20 30</v>
          </cell>
        </row>
        <row r="704">
          <cell r="A704" t="str">
            <v>BU5192489</v>
          </cell>
          <cell r="B704" t="str">
            <v>Ryan Caltagirone</v>
          </cell>
          <cell r="C704">
            <v>117.93</v>
          </cell>
          <cell r="D704" t="str">
            <v>Term Life Express 10 15 20 30</v>
          </cell>
        </row>
        <row r="705">
          <cell r="A705" t="str">
            <v>BU5336528</v>
          </cell>
          <cell r="B705" t="str">
            <v>Gregory Teipel</v>
          </cell>
          <cell r="C705">
            <v>309.85000000000002</v>
          </cell>
          <cell r="D705" t="str">
            <v>Iul Express</v>
          </cell>
        </row>
        <row r="706">
          <cell r="A706">
            <v>71748</v>
          </cell>
          <cell r="B706" t="str">
            <v>Colleen Finnigan</v>
          </cell>
          <cell r="C706">
            <v>3382.03</v>
          </cell>
          <cell r="D706" t="str">
            <v xml:space="preserve">Individual Disability                   </v>
          </cell>
        </row>
        <row r="707">
          <cell r="A707" t="str">
            <v>BU4383297</v>
          </cell>
          <cell r="B707" t="str">
            <v>Gregory Teipel</v>
          </cell>
          <cell r="C707">
            <v>102.96</v>
          </cell>
          <cell r="D707" t="str">
            <v>Tle 20-20yr Guar</v>
          </cell>
        </row>
        <row r="708">
          <cell r="A708" t="str">
            <v>BU5647058</v>
          </cell>
          <cell r="B708" t="str">
            <v>Ryan Caltagirone</v>
          </cell>
          <cell r="C708">
            <v>101.93</v>
          </cell>
          <cell r="D708" t="str">
            <v>Term Life Express 10 15 20 30</v>
          </cell>
        </row>
        <row r="709">
          <cell r="A709" t="str">
            <v>BU4875821</v>
          </cell>
          <cell r="B709" t="str">
            <v>Timothy Powers</v>
          </cell>
          <cell r="C709">
            <v>206.2</v>
          </cell>
          <cell r="D709" t="str">
            <v>Iul Express</v>
          </cell>
        </row>
        <row r="710">
          <cell r="A710" t="str">
            <v>BU5219041</v>
          </cell>
          <cell r="B710" t="str">
            <v>Ronald Max</v>
          </cell>
          <cell r="C710">
            <v>25.9</v>
          </cell>
          <cell r="D710" t="str">
            <v>Term Life Express 10 15 20 30</v>
          </cell>
        </row>
        <row r="711">
          <cell r="A711" t="str">
            <v>BU6251354</v>
          </cell>
          <cell r="B711" t="str">
            <v>Adam Richter</v>
          </cell>
          <cell r="C711">
            <v>74.08</v>
          </cell>
          <cell r="D711" t="str">
            <v>Iul Express</v>
          </cell>
        </row>
        <row r="712">
          <cell r="A712" t="str">
            <v>BU4573441</v>
          </cell>
          <cell r="B712" t="str">
            <v>Gregory Teipel</v>
          </cell>
          <cell r="C712">
            <v>125.42</v>
          </cell>
          <cell r="D712" t="str">
            <v>Term Life Express 10 15 20 30</v>
          </cell>
        </row>
        <row r="713">
          <cell r="A713" t="str">
            <v>BU4512900</v>
          </cell>
          <cell r="B713" t="str">
            <v>Ryan Caltagirone</v>
          </cell>
          <cell r="C713">
            <v>121</v>
          </cell>
          <cell r="D713" t="str">
            <v>Iul Express</v>
          </cell>
        </row>
        <row r="714">
          <cell r="A714" t="str">
            <v>BU5049663</v>
          </cell>
          <cell r="B714" t="str">
            <v>Ryan Caltagirone</v>
          </cell>
          <cell r="C714">
            <v>154.11000000000001</v>
          </cell>
          <cell r="D714" t="str">
            <v>Term Life Express 10 15 20 30</v>
          </cell>
        </row>
        <row r="715">
          <cell r="A715" t="str">
            <v>BU5053838</v>
          </cell>
          <cell r="B715" t="str">
            <v>Gregory Teipel</v>
          </cell>
          <cell r="C715">
            <v>55.8</v>
          </cell>
          <cell r="D715" t="str">
            <v>Term Life Express 10 15 20 30</v>
          </cell>
        </row>
        <row r="716">
          <cell r="A716" t="str">
            <v>BU4445963</v>
          </cell>
          <cell r="B716" t="str">
            <v>Adam Richter</v>
          </cell>
          <cell r="C716">
            <v>53.67</v>
          </cell>
          <cell r="D716" t="str">
            <v>Term Life Express 10 15 20 30</v>
          </cell>
        </row>
        <row r="717">
          <cell r="A717" t="str">
            <v>BU4574677</v>
          </cell>
          <cell r="B717" t="str">
            <v>Gregory Teipel</v>
          </cell>
          <cell r="C717">
            <v>68.349999999999994</v>
          </cell>
          <cell r="D717" t="str">
            <v>Iul Express</v>
          </cell>
        </row>
        <row r="718">
          <cell r="A718" t="str">
            <v>BU4218755</v>
          </cell>
          <cell r="B718" t="str">
            <v>Ryan Caltagirone</v>
          </cell>
          <cell r="C718">
            <v>162</v>
          </cell>
          <cell r="D718" t="str">
            <v>Iul Express</v>
          </cell>
        </row>
        <row r="719">
          <cell r="A719" t="str">
            <v>523947-97</v>
          </cell>
          <cell r="B719" t="str">
            <v>Adam Richter</v>
          </cell>
          <cell r="C719">
            <v>204.03</v>
          </cell>
          <cell r="D719" t="str">
            <v>Medicare Supplement Plan G</v>
          </cell>
        </row>
        <row r="720">
          <cell r="A720" t="str">
            <v>BU4780391</v>
          </cell>
          <cell r="B720" t="str">
            <v>Gregory Teipel</v>
          </cell>
          <cell r="C720">
            <v>110.88</v>
          </cell>
          <cell r="D720" t="str">
            <v>Iul Express</v>
          </cell>
        </row>
        <row r="721">
          <cell r="A721" t="str">
            <v>BU4791342</v>
          </cell>
          <cell r="B721" t="str">
            <v>Ryan Caltagirone</v>
          </cell>
          <cell r="C721">
            <v>192.44</v>
          </cell>
          <cell r="D721" t="str">
            <v>Term Life Express 10 15 20 30</v>
          </cell>
        </row>
        <row r="722">
          <cell r="A722" t="str">
            <v>376595-41</v>
          </cell>
          <cell r="B722" t="str">
            <v>Jacob Yale</v>
          </cell>
          <cell r="C722">
            <v>71.44</v>
          </cell>
          <cell r="D722" t="str">
            <v xml:space="preserve">Preferred Plan (a) Dnt2b                </v>
          </cell>
        </row>
        <row r="723">
          <cell r="A723" t="str">
            <v>BU4972458</v>
          </cell>
          <cell r="B723" t="str">
            <v>Matthew Daugherty</v>
          </cell>
          <cell r="C723">
            <v>64.61</v>
          </cell>
          <cell r="D723" t="str">
            <v>Term Life Express 10 15 20 30</v>
          </cell>
        </row>
        <row r="724">
          <cell r="A724" t="str">
            <v>502942-97</v>
          </cell>
          <cell r="B724" t="str">
            <v>Michael Dunavant</v>
          </cell>
          <cell r="C724">
            <v>218.5</v>
          </cell>
          <cell r="D724" t="str">
            <v>Medicare Supplement Plan G</v>
          </cell>
        </row>
        <row r="725">
          <cell r="A725" t="str">
            <v>656656-97</v>
          </cell>
          <cell r="B725" t="str">
            <v>Michael Dunavant</v>
          </cell>
          <cell r="C725">
            <v>116.03</v>
          </cell>
          <cell r="D725" t="str">
            <v>Medicare Supplement Plan G</v>
          </cell>
        </row>
        <row r="726">
          <cell r="A726" t="str">
            <v>BU4419079</v>
          </cell>
          <cell r="B726" t="str">
            <v>Matthew Daugherty</v>
          </cell>
          <cell r="C726">
            <v>53.67</v>
          </cell>
          <cell r="D726" t="str">
            <v>Term Life Express 10 15 20 30</v>
          </cell>
        </row>
        <row r="727">
          <cell r="A727" t="str">
            <v>347811-41</v>
          </cell>
          <cell r="B727" t="str">
            <v>Gregory Teipel</v>
          </cell>
          <cell r="C727">
            <v>180.14</v>
          </cell>
          <cell r="D727" t="str">
            <v>Medicare Supplement Plan G</v>
          </cell>
        </row>
        <row r="728">
          <cell r="A728" t="str">
            <v>603047-97</v>
          </cell>
          <cell r="B728" t="str">
            <v>Michael Dunavant</v>
          </cell>
          <cell r="C728">
            <v>116.03</v>
          </cell>
          <cell r="D728" t="str">
            <v>Medicare Supplement Plan G</v>
          </cell>
        </row>
        <row r="729">
          <cell r="A729" t="str">
            <v>650070-97</v>
          </cell>
          <cell r="B729" t="str">
            <v>Michael Dunavant</v>
          </cell>
          <cell r="C729">
            <v>128.66999999999999</v>
          </cell>
          <cell r="D729" t="str">
            <v>Medicare Supplement Plan G</v>
          </cell>
        </row>
        <row r="730">
          <cell r="A730" t="str">
            <v>BU4597605</v>
          </cell>
          <cell r="B730" t="str">
            <v>Gregory Teipel</v>
          </cell>
          <cell r="C730">
            <v>210</v>
          </cell>
          <cell r="D730" t="str">
            <v>Term Life Express 10 15 20 30</v>
          </cell>
        </row>
        <row r="731">
          <cell r="A731" t="str">
            <v>BU4494782</v>
          </cell>
          <cell r="B731" t="str">
            <v>Ryan Caltagirone</v>
          </cell>
          <cell r="C731">
            <v>149.44</v>
          </cell>
          <cell r="D731" t="str">
            <v>Tle 20-20yr Guar</v>
          </cell>
        </row>
        <row r="732">
          <cell r="A732" t="str">
            <v>BU3892268</v>
          </cell>
          <cell r="B732" t="str">
            <v>Ashley Teipel</v>
          </cell>
          <cell r="C732">
            <v>165.45</v>
          </cell>
          <cell r="D732" t="str">
            <v>Term Life Express 10 15 20 30</v>
          </cell>
        </row>
        <row r="733">
          <cell r="A733" t="str">
            <v>BU4432774</v>
          </cell>
          <cell r="B733" t="str">
            <v>Matthew Daugherty</v>
          </cell>
          <cell r="C733">
            <v>39.119999999999997</v>
          </cell>
          <cell r="D733" t="str">
            <v>Term Life Express 10 15 20 30</v>
          </cell>
        </row>
        <row r="734">
          <cell r="A734" t="str">
            <v>BU6209154</v>
          </cell>
          <cell r="B734" t="str">
            <v>Ryan Caltagirone</v>
          </cell>
          <cell r="C734">
            <v>59.68</v>
          </cell>
          <cell r="D734" t="str">
            <v>Iul Express</v>
          </cell>
        </row>
        <row r="735">
          <cell r="A735" t="str">
            <v>BU4718110</v>
          </cell>
          <cell r="B735" t="str">
            <v>Gregory Teipel</v>
          </cell>
          <cell r="C735">
            <v>128.43</v>
          </cell>
          <cell r="D735" t="str">
            <v>Term Life Express 10 15 20 30</v>
          </cell>
        </row>
        <row r="736">
          <cell r="A736" t="str">
            <v>691883-97</v>
          </cell>
          <cell r="B736" t="str">
            <v>Ricardo Santos</v>
          </cell>
          <cell r="C736">
            <v>162.27000000000001</v>
          </cell>
          <cell r="D736" t="str">
            <v>Medicare Supplement Plan G</v>
          </cell>
        </row>
        <row r="737">
          <cell r="A737" t="str">
            <v>367876-97</v>
          </cell>
          <cell r="B737" t="str">
            <v>Adam Richter</v>
          </cell>
          <cell r="C737">
            <v>168.14</v>
          </cell>
          <cell r="D737" t="str">
            <v>Medicare Supplement Plan G</v>
          </cell>
        </row>
        <row r="738">
          <cell r="A738" t="str">
            <v>BU4878416</v>
          </cell>
          <cell r="B738" t="str">
            <v>Gregory Teipel</v>
          </cell>
          <cell r="C738">
            <v>162.01</v>
          </cell>
          <cell r="D738" t="str">
            <v>Iul Express</v>
          </cell>
        </row>
        <row r="739">
          <cell r="A739" t="str">
            <v>BU5111745</v>
          </cell>
          <cell r="B739" t="str">
            <v>Ryan Caltagirone</v>
          </cell>
          <cell r="C739">
            <v>245</v>
          </cell>
          <cell r="D739" t="str">
            <v>Iul Express</v>
          </cell>
        </row>
        <row r="740">
          <cell r="A740" t="str">
            <v>BU4983518</v>
          </cell>
          <cell r="B740" t="str">
            <v>Ronald Max</v>
          </cell>
          <cell r="C740">
            <v>70.06</v>
          </cell>
          <cell r="D740" t="str">
            <v>Iul Express</v>
          </cell>
        </row>
        <row r="741">
          <cell r="A741" t="str">
            <v>BU4729898</v>
          </cell>
          <cell r="B741" t="str">
            <v>Ryan Caltagirone</v>
          </cell>
          <cell r="C741">
            <v>120</v>
          </cell>
          <cell r="D741" t="str">
            <v>Term Life Express 10 15 20 30</v>
          </cell>
        </row>
        <row r="742">
          <cell r="A742" t="str">
            <v>BU6366959</v>
          </cell>
          <cell r="B742" t="str">
            <v>Michelle Mccorkle</v>
          </cell>
          <cell r="C742">
            <v>75.55</v>
          </cell>
          <cell r="D742" t="str">
            <v>Iul Express</v>
          </cell>
        </row>
        <row r="743">
          <cell r="A743" t="str">
            <v>BU4177010</v>
          </cell>
          <cell r="B743" t="str">
            <v>Adam Richter</v>
          </cell>
          <cell r="C743">
            <v>2760</v>
          </cell>
          <cell r="D743" t="str">
            <v>Iul Express</v>
          </cell>
        </row>
        <row r="744">
          <cell r="A744" t="str">
            <v>BU5108255</v>
          </cell>
          <cell r="B744" t="str">
            <v>Ryan Caltagirone</v>
          </cell>
          <cell r="C744">
            <v>75.91</v>
          </cell>
          <cell r="D744" t="str">
            <v xml:space="preserve">Living Promise-graded                   </v>
          </cell>
        </row>
        <row r="745">
          <cell r="A745" t="str">
            <v>BU5261431</v>
          </cell>
          <cell r="B745" t="str">
            <v>Ryan Caltagirone</v>
          </cell>
          <cell r="C745">
            <v>130.19</v>
          </cell>
          <cell r="D745" t="str">
            <v>Term Life Express 10 15 20 30</v>
          </cell>
        </row>
        <row r="746">
          <cell r="A746" t="str">
            <v>BU5610347</v>
          </cell>
          <cell r="B746" t="str">
            <v>Gregory Teipel</v>
          </cell>
          <cell r="C746">
            <v>178.87</v>
          </cell>
          <cell r="D746" t="str">
            <v>Iul Express</v>
          </cell>
        </row>
        <row r="747">
          <cell r="A747" t="str">
            <v>BU5039533</v>
          </cell>
          <cell r="B747" t="str">
            <v>Gregory Teipel</v>
          </cell>
          <cell r="C747">
            <v>193.84</v>
          </cell>
          <cell r="D747" t="str">
            <v>Term Life Express 10 15 20 30</v>
          </cell>
        </row>
        <row r="748">
          <cell r="A748" t="str">
            <v>BU4972941</v>
          </cell>
          <cell r="B748" t="str">
            <v>Jared Kinyua</v>
          </cell>
          <cell r="C748">
            <v>89.23</v>
          </cell>
          <cell r="D748" t="str">
            <v>Iul Express</v>
          </cell>
        </row>
        <row r="749">
          <cell r="A749" t="str">
            <v>BU4407520</v>
          </cell>
          <cell r="B749" t="str">
            <v>Matthew Daugherty</v>
          </cell>
          <cell r="C749">
            <v>151.91999999999999</v>
          </cell>
          <cell r="D749" t="str">
            <v>Term Life Express 10 15 20 30</v>
          </cell>
        </row>
        <row r="750">
          <cell r="A750" t="str">
            <v>BU4168487</v>
          </cell>
          <cell r="B750" t="str">
            <v>Gregory Teipel</v>
          </cell>
          <cell r="C750">
            <v>147.58000000000001</v>
          </cell>
          <cell r="D750" t="str">
            <v>Iul Express</v>
          </cell>
        </row>
        <row r="751">
          <cell r="A751" t="str">
            <v>684329-96</v>
          </cell>
          <cell r="B751" t="str">
            <v>Gregory Teipel</v>
          </cell>
          <cell r="C751">
            <v>168.24</v>
          </cell>
          <cell r="D751" t="str">
            <v>Medicare Supplement Plan G</v>
          </cell>
        </row>
        <row r="752">
          <cell r="A752" t="str">
            <v>BU4948009</v>
          </cell>
          <cell r="B752" t="str">
            <v>Matthew Daugherty</v>
          </cell>
          <cell r="C752">
            <v>287.69</v>
          </cell>
          <cell r="D752" t="str">
            <v>Term Life Express 10 15 20 30</v>
          </cell>
        </row>
        <row r="753">
          <cell r="A753" t="str">
            <v>526481-97</v>
          </cell>
          <cell r="B753" t="str">
            <v>Anne Marie Kozacheck</v>
          </cell>
          <cell r="C753">
            <v>72.97</v>
          </cell>
          <cell r="D753" t="str">
            <v>Medicare Supplement Plan G High Deductible</v>
          </cell>
        </row>
        <row r="754">
          <cell r="A754" t="str">
            <v>694862-97</v>
          </cell>
          <cell r="B754" t="str">
            <v>Michael Dunavant</v>
          </cell>
          <cell r="C754">
            <v>128.66999999999999</v>
          </cell>
          <cell r="D754" t="str">
            <v>Medicare Supplement Plan G</v>
          </cell>
        </row>
        <row r="755">
          <cell r="A755" t="str">
            <v>885051-96</v>
          </cell>
          <cell r="B755" t="str">
            <v>Carol Foley</v>
          </cell>
          <cell r="C755">
            <v>154.27000000000001</v>
          </cell>
          <cell r="D755" t="str">
            <v>Medicare Supplement Plan G</v>
          </cell>
        </row>
        <row r="756">
          <cell r="A756" t="str">
            <v>BU4863539</v>
          </cell>
          <cell r="B756" t="str">
            <v>Gregory Teipel</v>
          </cell>
          <cell r="C756">
            <v>208.55</v>
          </cell>
          <cell r="D756" t="str">
            <v>Iul Express</v>
          </cell>
        </row>
        <row r="757">
          <cell r="A757" t="str">
            <v>BU3870133</v>
          </cell>
          <cell r="B757" t="str">
            <v>Adam Richter</v>
          </cell>
          <cell r="C757">
            <v>142.44</v>
          </cell>
          <cell r="D757" t="str">
            <v>Term Life Express 10 15 20 30</v>
          </cell>
        </row>
        <row r="758">
          <cell r="A758" t="str">
            <v>763531-96</v>
          </cell>
          <cell r="B758" t="str">
            <v>Carol Foley</v>
          </cell>
          <cell r="C758">
            <v>227.37</v>
          </cell>
          <cell r="D758" t="str">
            <v>Medicare Supplement Plan G</v>
          </cell>
        </row>
        <row r="759">
          <cell r="A759" t="str">
            <v>BU6345020</v>
          </cell>
          <cell r="B759" t="str">
            <v>Ryan Caltagirone</v>
          </cell>
          <cell r="C759">
            <v>79.739999999999995</v>
          </cell>
          <cell r="D759" t="str">
            <v>Iul Express</v>
          </cell>
        </row>
        <row r="760">
          <cell r="A760" t="str">
            <v>856935-97</v>
          </cell>
          <cell r="B760" t="str">
            <v>Robert Shapiro</v>
          </cell>
          <cell r="C760">
            <v>72.33</v>
          </cell>
          <cell r="D760" t="str">
            <v xml:space="preserve">Preferred Plan (a) Dnt2e                </v>
          </cell>
        </row>
        <row r="761">
          <cell r="A761" t="str">
            <v>BU6370498</v>
          </cell>
          <cell r="B761" t="str">
            <v>Gregory Teipel</v>
          </cell>
          <cell r="C761">
            <v>156.77000000000001</v>
          </cell>
          <cell r="D761" t="str">
            <v>Iul Express</v>
          </cell>
        </row>
        <row r="762">
          <cell r="A762" t="str">
            <v>BU5174035</v>
          </cell>
          <cell r="B762" t="str">
            <v>Ryan Caltagirone</v>
          </cell>
          <cell r="C762">
            <v>133.1</v>
          </cell>
          <cell r="D762" t="str">
            <v>Term Life Express 10 15 20 30</v>
          </cell>
        </row>
        <row r="763">
          <cell r="A763" t="str">
            <v>630114-97</v>
          </cell>
          <cell r="B763" t="str">
            <v>Michael Dunavant</v>
          </cell>
          <cell r="C763">
            <v>129.38999999999999</v>
          </cell>
          <cell r="D763" t="str">
            <v>Medicare Supplement Plan G</v>
          </cell>
        </row>
        <row r="764">
          <cell r="A764" t="str">
            <v>BU4124646</v>
          </cell>
          <cell r="B764" t="str">
            <v>Ryan Caltagirone</v>
          </cell>
          <cell r="C764">
            <v>162</v>
          </cell>
          <cell r="D764" t="str">
            <v>Iul Express</v>
          </cell>
        </row>
        <row r="765">
          <cell r="A765" t="str">
            <v>BU5242404</v>
          </cell>
          <cell r="B765" t="str">
            <v>Ryan Caltagirone</v>
          </cell>
          <cell r="C765">
            <v>134.44999999999999</v>
          </cell>
          <cell r="D765" t="str">
            <v>Iul Express</v>
          </cell>
        </row>
        <row r="766">
          <cell r="A766" t="str">
            <v>BU5323941</v>
          </cell>
          <cell r="B766" t="str">
            <v>Gregory Teipel</v>
          </cell>
          <cell r="C766">
            <v>145.54</v>
          </cell>
          <cell r="D766" t="str">
            <v>Iul Express</v>
          </cell>
        </row>
        <row r="767">
          <cell r="A767" t="str">
            <v>815334-96</v>
          </cell>
          <cell r="B767" t="str">
            <v>Adam Richter</v>
          </cell>
          <cell r="C767">
            <v>104.8</v>
          </cell>
          <cell r="D767" t="str">
            <v>Medicare Supplement Plan N</v>
          </cell>
        </row>
        <row r="768">
          <cell r="A768" t="str">
            <v>596168-97</v>
          </cell>
          <cell r="B768" t="str">
            <v>Dale Walenga</v>
          </cell>
          <cell r="C768">
            <v>36.08</v>
          </cell>
          <cell r="D768" t="str">
            <v xml:space="preserve">Protection  Plan (c) Dnt5i              </v>
          </cell>
        </row>
        <row r="769">
          <cell r="A769" t="str">
            <v>BU4439406</v>
          </cell>
          <cell r="B769" t="str">
            <v>Matthew Daugherty</v>
          </cell>
          <cell r="C769">
            <v>205.68</v>
          </cell>
          <cell r="D769" t="str">
            <v>Term Life</v>
          </cell>
        </row>
        <row r="770">
          <cell r="A770" t="str">
            <v>BU4669580</v>
          </cell>
          <cell r="B770" t="str">
            <v>Gregory Teipel</v>
          </cell>
          <cell r="C770">
            <v>291.10000000000002</v>
          </cell>
          <cell r="D770" t="str">
            <v>Iul Express</v>
          </cell>
        </row>
        <row r="771">
          <cell r="A771" t="str">
            <v>BU5008620</v>
          </cell>
          <cell r="B771" t="str">
            <v>Jacob Yale</v>
          </cell>
          <cell r="C771">
            <v>65.260000000000005</v>
          </cell>
          <cell r="D771" t="str">
            <v>Iul Express</v>
          </cell>
        </row>
        <row r="772">
          <cell r="A772" t="str">
            <v>BU4445098</v>
          </cell>
          <cell r="B772" t="str">
            <v>Gregory Teipel</v>
          </cell>
          <cell r="C772">
            <v>169.1</v>
          </cell>
          <cell r="D772" t="str">
            <v>Term Life Express 10 15 20 30</v>
          </cell>
        </row>
        <row r="773">
          <cell r="A773" t="str">
            <v>674149-97</v>
          </cell>
          <cell r="B773" t="str">
            <v>Chad Bender</v>
          </cell>
          <cell r="C773">
            <v>33.909999999999997</v>
          </cell>
          <cell r="D773" t="str">
            <v>Limited Accident</v>
          </cell>
        </row>
        <row r="774">
          <cell r="A774" t="str">
            <v>BU5383828</v>
          </cell>
          <cell r="B774" t="str">
            <v>Ryan Caltagirone</v>
          </cell>
          <cell r="C774">
            <v>151.19999999999999</v>
          </cell>
          <cell r="D774" t="str">
            <v>Iul Express</v>
          </cell>
        </row>
        <row r="775">
          <cell r="A775" t="str">
            <v>BU3902219</v>
          </cell>
          <cell r="B775" t="str">
            <v>Ashley Teipel</v>
          </cell>
          <cell r="C775">
            <v>130.21</v>
          </cell>
          <cell r="D775" t="str">
            <v>Term Life Express 10 15 20 30</v>
          </cell>
        </row>
        <row r="776">
          <cell r="A776" t="str">
            <v>BU4297361</v>
          </cell>
          <cell r="B776" t="str">
            <v>Matthew Daugherty</v>
          </cell>
          <cell r="C776">
            <v>79.03</v>
          </cell>
          <cell r="D776" t="str">
            <v>Term Life Express 10 15 20 30</v>
          </cell>
        </row>
        <row r="777">
          <cell r="A777" t="str">
            <v>BU5410590</v>
          </cell>
          <cell r="B777" t="str">
            <v>Ryan Caltagirone</v>
          </cell>
          <cell r="C777">
            <v>168.73</v>
          </cell>
          <cell r="D777" t="str">
            <v>Iul Express</v>
          </cell>
        </row>
        <row r="778">
          <cell r="A778" t="str">
            <v>BU4226355</v>
          </cell>
          <cell r="B778" t="str">
            <v>Ryan Caltagirone</v>
          </cell>
          <cell r="C778">
            <v>56.6</v>
          </cell>
          <cell r="D778" t="str">
            <v>Tle 20-20yr Guar</v>
          </cell>
        </row>
        <row r="779">
          <cell r="A779" t="str">
            <v>BU4960422</v>
          </cell>
          <cell r="B779" t="str">
            <v>Gregory Teipel</v>
          </cell>
          <cell r="C779">
            <v>144.88999999999999</v>
          </cell>
          <cell r="D779" t="str">
            <v xml:space="preserve">Living Promise - Level  Benefit         </v>
          </cell>
        </row>
        <row r="780">
          <cell r="A780" t="str">
            <v>BU4292789</v>
          </cell>
          <cell r="B780" t="str">
            <v>Matthew Daugherty</v>
          </cell>
          <cell r="C780">
            <v>313.58999999999997</v>
          </cell>
          <cell r="D780" t="str">
            <v>Term Life Express 10 15 20 30</v>
          </cell>
        </row>
        <row r="781">
          <cell r="A781" t="str">
            <v>BU5091843</v>
          </cell>
          <cell r="B781" t="str">
            <v>Ryan Caltagirone</v>
          </cell>
          <cell r="C781">
            <v>61.68</v>
          </cell>
          <cell r="D781" t="str">
            <v>Term Life Express 10 15 20 30</v>
          </cell>
        </row>
        <row r="782">
          <cell r="A782" t="str">
            <v>BU4567978</v>
          </cell>
          <cell r="B782" t="str">
            <v>Ryan Caltagirone</v>
          </cell>
          <cell r="C782">
            <v>161.19999999999999</v>
          </cell>
          <cell r="D782" t="str">
            <v>Term Life Express 10 15 20 30</v>
          </cell>
        </row>
        <row r="783">
          <cell r="A783" t="str">
            <v>BU5595319</v>
          </cell>
          <cell r="B783" t="str">
            <v>Ryan Caltagirone</v>
          </cell>
          <cell r="C783">
            <v>97.44</v>
          </cell>
          <cell r="D783" t="str">
            <v>Tle 20-20yr Guar</v>
          </cell>
        </row>
        <row r="784">
          <cell r="A784" t="str">
            <v>BU5004020</v>
          </cell>
          <cell r="B784" t="str">
            <v>Matthew Daugherty</v>
          </cell>
          <cell r="C784">
            <v>71.819999999999993</v>
          </cell>
          <cell r="D784" t="str">
            <v>Term Life Express 10 15 20 30</v>
          </cell>
        </row>
        <row r="785">
          <cell r="A785" t="str">
            <v>BU5350886</v>
          </cell>
          <cell r="B785" t="str">
            <v>Ronald Max</v>
          </cell>
          <cell r="C785">
            <v>76.180000000000007</v>
          </cell>
          <cell r="D785" t="str">
            <v>Term Life Express 10 15 20 30</v>
          </cell>
        </row>
        <row r="786">
          <cell r="A786" t="str">
            <v>889496-96</v>
          </cell>
          <cell r="B786" t="str">
            <v>Carol Foley</v>
          </cell>
          <cell r="C786">
            <v>177.4</v>
          </cell>
          <cell r="D786" t="str">
            <v>Medicare Supplement Plan G</v>
          </cell>
        </row>
        <row r="787">
          <cell r="A787" t="str">
            <v>367763-41</v>
          </cell>
          <cell r="B787" t="str">
            <v>Victor Fuentes</v>
          </cell>
          <cell r="C787">
            <v>42.02</v>
          </cell>
          <cell r="D787" t="str">
            <v xml:space="preserve">Protection  Plan (c) Dnt5e              </v>
          </cell>
        </row>
        <row r="788">
          <cell r="A788" t="str">
            <v>BU5521064</v>
          </cell>
          <cell r="B788" t="str">
            <v>Ryan Caltagirone</v>
          </cell>
          <cell r="C788">
            <v>277.95999999999998</v>
          </cell>
          <cell r="D788" t="str">
            <v>Iul Express</v>
          </cell>
        </row>
        <row r="789">
          <cell r="A789" t="str">
            <v>478190-97</v>
          </cell>
          <cell r="B789" t="str">
            <v>Carol Foley</v>
          </cell>
          <cell r="C789">
            <v>293.10000000000002</v>
          </cell>
          <cell r="D789" t="str">
            <v>Medicare Supplement Plan G</v>
          </cell>
        </row>
        <row r="790">
          <cell r="A790" t="str">
            <v>BU5340838</v>
          </cell>
          <cell r="B790" t="str">
            <v>Gregory Teipel</v>
          </cell>
          <cell r="C790">
            <v>152.07</v>
          </cell>
          <cell r="D790" t="str">
            <v>Iul Express</v>
          </cell>
        </row>
        <row r="791">
          <cell r="A791" t="str">
            <v>BU4159702</v>
          </cell>
          <cell r="B791" t="str">
            <v>Gregory Teipel</v>
          </cell>
          <cell r="C791">
            <v>130.27000000000001</v>
          </cell>
          <cell r="D791" t="str">
            <v>Iul Express</v>
          </cell>
        </row>
        <row r="792">
          <cell r="A792" t="str">
            <v>BU5657901</v>
          </cell>
          <cell r="B792" t="str">
            <v>Gregory Teipel</v>
          </cell>
          <cell r="C792">
            <v>234.36</v>
          </cell>
          <cell r="D792" t="str">
            <v>Iul Express</v>
          </cell>
        </row>
        <row r="793">
          <cell r="A793" t="str">
            <v>BU4550082</v>
          </cell>
          <cell r="B793" t="str">
            <v>Gregory Teipel</v>
          </cell>
          <cell r="C793">
            <v>169.14</v>
          </cell>
          <cell r="D793" t="str">
            <v>Term Life Express 10 15 20 30</v>
          </cell>
        </row>
        <row r="794">
          <cell r="A794" t="str">
            <v>BU5235649</v>
          </cell>
          <cell r="B794" t="str">
            <v>Gregory Teipel</v>
          </cell>
          <cell r="C794">
            <v>169.14</v>
          </cell>
          <cell r="D794" t="str">
            <v>Term Life Express 10 15 20 30</v>
          </cell>
        </row>
        <row r="795">
          <cell r="A795" t="str">
            <v>BU4458881</v>
          </cell>
          <cell r="B795" t="str">
            <v>Matthew Daugherty</v>
          </cell>
          <cell r="C795">
            <v>337.98</v>
          </cell>
          <cell r="D795" t="str">
            <v>Term Life Express 10 15 20 30</v>
          </cell>
        </row>
        <row r="796">
          <cell r="A796" t="str">
            <v>BU4438009</v>
          </cell>
          <cell r="B796" t="str">
            <v>Gregory Teipel</v>
          </cell>
          <cell r="C796">
            <v>84.74</v>
          </cell>
          <cell r="D796" t="str">
            <v>Iul Express</v>
          </cell>
        </row>
        <row r="797">
          <cell r="A797" t="str">
            <v>BU5305630</v>
          </cell>
          <cell r="B797" t="str">
            <v>Gregory Teipel</v>
          </cell>
          <cell r="C797">
            <v>225.39</v>
          </cell>
          <cell r="D797" t="str">
            <v>Iul Express</v>
          </cell>
        </row>
        <row r="798">
          <cell r="A798" t="str">
            <v>BU5186068</v>
          </cell>
          <cell r="B798" t="str">
            <v>Ryan Caltagirone</v>
          </cell>
          <cell r="C798">
            <v>149.44</v>
          </cell>
          <cell r="D798" t="str">
            <v>Term Life Express 10 15 20 30</v>
          </cell>
        </row>
        <row r="799">
          <cell r="A799" t="str">
            <v>BU3898372</v>
          </cell>
          <cell r="B799" t="str">
            <v>Adam Richter</v>
          </cell>
          <cell r="C799">
            <v>40.5</v>
          </cell>
          <cell r="D799" t="str">
            <v>Term Life Express 10 15 20 30</v>
          </cell>
        </row>
        <row r="800">
          <cell r="A800" t="str">
            <v>BU6216469</v>
          </cell>
          <cell r="B800" t="str">
            <v>Matthew Daugherty</v>
          </cell>
          <cell r="C800">
            <v>62.57</v>
          </cell>
          <cell r="D800" t="str">
            <v>Term Life Express 10 15 20 30</v>
          </cell>
        </row>
        <row r="801">
          <cell r="A801" t="str">
            <v>BU4358094</v>
          </cell>
          <cell r="B801" t="str">
            <v>Matthew Daugherty</v>
          </cell>
          <cell r="C801">
            <v>144.4</v>
          </cell>
          <cell r="D801" t="str">
            <v>Term Life Express 10 15 20 30</v>
          </cell>
        </row>
        <row r="802">
          <cell r="A802" t="str">
            <v>BU5238222</v>
          </cell>
          <cell r="B802" t="str">
            <v>Gregory Teipel</v>
          </cell>
          <cell r="C802">
            <v>318.74</v>
          </cell>
          <cell r="D802" t="str">
            <v>Iul Express</v>
          </cell>
        </row>
        <row r="803">
          <cell r="A803" t="str">
            <v>BU4163608</v>
          </cell>
          <cell r="B803" t="str">
            <v>Gregory Teipel</v>
          </cell>
          <cell r="C803">
            <v>165</v>
          </cell>
          <cell r="D803" t="str">
            <v>Iul Express</v>
          </cell>
        </row>
        <row r="804">
          <cell r="A804" t="str">
            <v>BU5108099</v>
          </cell>
          <cell r="B804" t="str">
            <v>Gregory Teipel</v>
          </cell>
          <cell r="C804">
            <v>137.1</v>
          </cell>
          <cell r="D804" t="str">
            <v xml:space="preserve">Living Promise - Level  Benefit         </v>
          </cell>
        </row>
        <row r="805">
          <cell r="A805" t="str">
            <v>BU5119221</v>
          </cell>
          <cell r="B805" t="str">
            <v>Ryan Caltagirone</v>
          </cell>
          <cell r="C805">
            <v>400.14</v>
          </cell>
          <cell r="D805" t="str">
            <v>Iul Express</v>
          </cell>
        </row>
        <row r="806">
          <cell r="A806" t="str">
            <v>BU4701926</v>
          </cell>
          <cell r="B806" t="str">
            <v>Gregory Teipel</v>
          </cell>
          <cell r="C806">
            <v>152.55000000000001</v>
          </cell>
          <cell r="D806" t="str">
            <v xml:space="preserve">Living Promise-graded                   </v>
          </cell>
        </row>
        <row r="807">
          <cell r="A807" t="str">
            <v>BU4972734</v>
          </cell>
          <cell r="B807" t="str">
            <v>Matthew Daugherty</v>
          </cell>
          <cell r="C807">
            <v>142.31</v>
          </cell>
          <cell r="D807" t="str">
            <v>Term Life Express 10 15 20 30</v>
          </cell>
        </row>
        <row r="808">
          <cell r="A808" t="str">
            <v>708548-97</v>
          </cell>
          <cell r="B808" t="str">
            <v>Jacob Yale</v>
          </cell>
          <cell r="C808">
            <v>57.22</v>
          </cell>
          <cell r="D808" t="str">
            <v xml:space="preserve">Preferred Plan (a) Dnt2b                </v>
          </cell>
        </row>
        <row r="809">
          <cell r="A809" t="str">
            <v>BU5016708</v>
          </cell>
          <cell r="B809" t="str">
            <v>Matthew Daugherty</v>
          </cell>
          <cell r="C809">
            <v>84.46</v>
          </cell>
          <cell r="D809" t="str">
            <v>Term Life Express 10 15 20 30</v>
          </cell>
        </row>
        <row r="810">
          <cell r="A810" t="str">
            <v>BU4491067</v>
          </cell>
          <cell r="B810" t="str">
            <v>Matthew Daugherty</v>
          </cell>
          <cell r="C810">
            <v>8.68</v>
          </cell>
          <cell r="D810" t="str">
            <v>Term Life Express 10 15 20 30</v>
          </cell>
        </row>
        <row r="811">
          <cell r="A811" t="str">
            <v>399061-41</v>
          </cell>
          <cell r="B811" t="str">
            <v>Gregory Teipel</v>
          </cell>
          <cell r="C811">
            <v>153.22</v>
          </cell>
          <cell r="D811" t="str">
            <v>Medicare Supplement Plan G</v>
          </cell>
        </row>
        <row r="812">
          <cell r="A812" t="str">
            <v>BU4101625</v>
          </cell>
          <cell r="B812" t="str">
            <v>Adam Richter</v>
          </cell>
          <cell r="C812">
            <v>179.07</v>
          </cell>
          <cell r="D812" t="str">
            <v>Term Life Express 10 15 20 30</v>
          </cell>
        </row>
        <row r="813">
          <cell r="A813" t="str">
            <v>BU4789369</v>
          </cell>
          <cell r="B813" t="str">
            <v>Ryan Caltagirone</v>
          </cell>
          <cell r="C813">
            <v>112.81</v>
          </cell>
          <cell r="D813" t="str">
            <v>Term Life Express 10 15 20 30</v>
          </cell>
        </row>
        <row r="814">
          <cell r="A814" t="str">
            <v>635937-96</v>
          </cell>
          <cell r="B814" t="str">
            <v>Adam Richter</v>
          </cell>
          <cell r="C814">
            <v>150.91</v>
          </cell>
          <cell r="D814" t="str">
            <v>Medicare Supplement Plan N</v>
          </cell>
        </row>
        <row r="815">
          <cell r="A815" t="str">
            <v>BU5064227</v>
          </cell>
          <cell r="B815" t="str">
            <v>Gregory Teipel</v>
          </cell>
          <cell r="C815">
            <v>141.33000000000001</v>
          </cell>
          <cell r="D815" t="str">
            <v xml:space="preserve">Living Promise - Level  Benefit         </v>
          </cell>
        </row>
        <row r="816">
          <cell r="A816" t="str">
            <v>347616-41</v>
          </cell>
          <cell r="B816" t="str">
            <v>Ronald Max</v>
          </cell>
          <cell r="C816">
            <v>210.33</v>
          </cell>
          <cell r="D816" t="str">
            <v>Medicare Supplement Plan A</v>
          </cell>
        </row>
        <row r="817">
          <cell r="A817" t="str">
            <v>BU4389700</v>
          </cell>
          <cell r="B817" t="str">
            <v>Matthew Daugherty</v>
          </cell>
          <cell r="C817">
            <v>265.07</v>
          </cell>
          <cell r="D817" t="str">
            <v>Term Life</v>
          </cell>
        </row>
        <row r="818">
          <cell r="A818" t="str">
            <v>BU5061204</v>
          </cell>
          <cell r="B818" t="str">
            <v>Matthew Daugherty</v>
          </cell>
          <cell r="C818">
            <v>109.47</v>
          </cell>
          <cell r="D818" t="str">
            <v>Term Life Express 10 15 20 30</v>
          </cell>
        </row>
        <row r="819">
          <cell r="A819" t="str">
            <v>BU5477819</v>
          </cell>
          <cell r="B819" t="str">
            <v>Taliah Ferguson</v>
          </cell>
          <cell r="C819">
            <v>19.690000000000001</v>
          </cell>
          <cell r="D819" t="str">
            <v>Term Life Express 10 15 20 30</v>
          </cell>
        </row>
        <row r="820">
          <cell r="A820" t="str">
            <v>BU4538330</v>
          </cell>
          <cell r="B820" t="str">
            <v>Ryan Caltagirone</v>
          </cell>
          <cell r="C820">
            <v>23.17</v>
          </cell>
          <cell r="D820" t="str">
            <v xml:space="preserve">Children S - Whole Life                 </v>
          </cell>
        </row>
        <row r="821">
          <cell r="A821" t="str">
            <v>BU5528666</v>
          </cell>
          <cell r="B821" t="str">
            <v>Ryan Caltagirone</v>
          </cell>
          <cell r="C821">
            <v>97.88</v>
          </cell>
          <cell r="D821" t="str">
            <v>Tle 20-20yr Guar</v>
          </cell>
        </row>
        <row r="822">
          <cell r="A822" t="str">
            <v>BU4393471</v>
          </cell>
          <cell r="B822" t="str">
            <v>Colleen Finnigan</v>
          </cell>
          <cell r="C822">
            <v>83.94</v>
          </cell>
          <cell r="D822" t="str">
            <v>Term Life Express 10 15 20 30</v>
          </cell>
        </row>
        <row r="823">
          <cell r="A823" t="str">
            <v>BU4701070</v>
          </cell>
          <cell r="B823" t="str">
            <v>Ryan Caltagirone</v>
          </cell>
          <cell r="C823">
            <v>144.75</v>
          </cell>
          <cell r="D823" t="str">
            <v>Iul Express</v>
          </cell>
        </row>
        <row r="824">
          <cell r="A824" t="str">
            <v>BU5219524</v>
          </cell>
          <cell r="B824" t="str">
            <v>Andrea Petrungaro</v>
          </cell>
          <cell r="C824">
            <v>47.52</v>
          </cell>
          <cell r="D824" t="str">
            <v>Term Life Answer 10 15 20 30</v>
          </cell>
        </row>
        <row r="825">
          <cell r="A825" t="str">
            <v>BU4688424</v>
          </cell>
          <cell r="B825" t="str">
            <v>Ryan Caltagirone</v>
          </cell>
          <cell r="C825">
            <v>81.17</v>
          </cell>
          <cell r="D825" t="str">
            <v>Term Life Express 10 15 20 30</v>
          </cell>
        </row>
        <row r="826">
          <cell r="A826" t="str">
            <v>BU4408515</v>
          </cell>
          <cell r="B826" t="str">
            <v>Matthew Daugherty</v>
          </cell>
          <cell r="C826">
            <v>169.1</v>
          </cell>
          <cell r="D826" t="str">
            <v>Term Life Express 10 15 20 30</v>
          </cell>
        </row>
        <row r="827">
          <cell r="A827" t="str">
            <v>BU4328827</v>
          </cell>
          <cell r="B827" t="str">
            <v>Gregory Teipel</v>
          </cell>
          <cell r="C827">
            <v>257.51</v>
          </cell>
          <cell r="D827" t="str">
            <v>Iul Express</v>
          </cell>
        </row>
        <row r="828">
          <cell r="A828" t="str">
            <v>BU4159560</v>
          </cell>
          <cell r="B828" t="str">
            <v>Ryan Caltagirone</v>
          </cell>
          <cell r="C828">
            <v>245.76</v>
          </cell>
          <cell r="D828" t="str">
            <v>Iul Express</v>
          </cell>
        </row>
        <row r="829">
          <cell r="A829" t="str">
            <v>BU4714531</v>
          </cell>
          <cell r="B829" t="str">
            <v>Ryan Caltagirone</v>
          </cell>
          <cell r="C829">
            <v>89.49</v>
          </cell>
          <cell r="D829" t="str">
            <v xml:space="preserve">Living Promise - Level  Benefit         </v>
          </cell>
        </row>
        <row r="830">
          <cell r="A830" t="str">
            <v>BU5509154</v>
          </cell>
          <cell r="B830" t="str">
            <v>Gregory Teipel</v>
          </cell>
          <cell r="C830">
            <v>42.51</v>
          </cell>
          <cell r="D830" t="str">
            <v xml:space="preserve">Living Promise-graded                   </v>
          </cell>
        </row>
        <row r="831">
          <cell r="A831" t="str">
            <v>595201-97</v>
          </cell>
          <cell r="B831" t="str">
            <v>Richard Yale</v>
          </cell>
          <cell r="C831">
            <v>71.55</v>
          </cell>
          <cell r="D831" t="str">
            <v xml:space="preserve">Preferred Plan (a) Dnt2i                </v>
          </cell>
        </row>
        <row r="832">
          <cell r="A832" t="str">
            <v>BU4959511</v>
          </cell>
          <cell r="B832" t="str">
            <v>Gregory Teipel</v>
          </cell>
          <cell r="C832">
            <v>223.92</v>
          </cell>
          <cell r="D832" t="str">
            <v>Term Life Express 10 15 20 30</v>
          </cell>
        </row>
        <row r="833">
          <cell r="A833" t="str">
            <v>BU4885661</v>
          </cell>
          <cell r="B833" t="str">
            <v>Adam Richter</v>
          </cell>
          <cell r="C833">
            <v>51</v>
          </cell>
          <cell r="D833" t="str">
            <v>Term Life Express 10 15 20 30</v>
          </cell>
        </row>
        <row r="834">
          <cell r="A834" t="str">
            <v>BU4478277</v>
          </cell>
          <cell r="B834" t="str">
            <v>Matthew Daugherty</v>
          </cell>
          <cell r="C834">
            <v>132.16999999999999</v>
          </cell>
          <cell r="D834" t="str">
            <v>Term Life Express 10 15 20 30</v>
          </cell>
        </row>
        <row r="835">
          <cell r="A835" t="str">
            <v>BU5170072</v>
          </cell>
          <cell r="B835" t="str">
            <v>Nasandelger Zana</v>
          </cell>
          <cell r="C835">
            <v>78.7</v>
          </cell>
          <cell r="D835" t="str">
            <v>Iul Express</v>
          </cell>
        </row>
        <row r="836">
          <cell r="A836" t="str">
            <v>BU6294054</v>
          </cell>
          <cell r="B836" t="str">
            <v>Gregory Teipel</v>
          </cell>
          <cell r="C836">
            <v>258.06</v>
          </cell>
          <cell r="D836" t="str">
            <v>Iul Express</v>
          </cell>
        </row>
        <row r="837">
          <cell r="A837" t="str">
            <v>BU5437791</v>
          </cell>
          <cell r="B837" t="str">
            <v>Thomas Pardue</v>
          </cell>
          <cell r="C837">
            <v>216.36</v>
          </cell>
          <cell r="D837" t="str">
            <v>Iul Express</v>
          </cell>
        </row>
        <row r="838">
          <cell r="A838" t="str">
            <v>BU4163610</v>
          </cell>
          <cell r="B838" t="str">
            <v>Gregory Teipel</v>
          </cell>
          <cell r="C838">
            <v>300</v>
          </cell>
          <cell r="D838" t="str">
            <v>Iul Express</v>
          </cell>
        </row>
        <row r="839">
          <cell r="A839" t="str">
            <v>BU4425606</v>
          </cell>
          <cell r="B839" t="str">
            <v>Gregory Teipel</v>
          </cell>
          <cell r="C839">
            <v>245.51</v>
          </cell>
          <cell r="D839" t="str">
            <v>Term Life Express 10 15 20 30</v>
          </cell>
        </row>
        <row r="840">
          <cell r="A840" t="str">
            <v>490431-97</v>
          </cell>
          <cell r="B840" t="str">
            <v>Carol Foley</v>
          </cell>
          <cell r="C840">
            <v>211.11</v>
          </cell>
          <cell r="D840" t="str">
            <v>Medicare Supplement Plan G</v>
          </cell>
        </row>
        <row r="841">
          <cell r="A841" t="str">
            <v>BU4626908</v>
          </cell>
          <cell r="B841" t="str">
            <v>Gregory Teipel</v>
          </cell>
          <cell r="C841">
            <v>85.4</v>
          </cell>
          <cell r="D841" t="str">
            <v>Tle 20-20yr Guar</v>
          </cell>
        </row>
        <row r="842">
          <cell r="A842" t="str">
            <v>BU4390884</v>
          </cell>
          <cell r="B842" t="str">
            <v>Gregory Teipel</v>
          </cell>
          <cell r="C842">
            <v>402.29</v>
          </cell>
          <cell r="D842" t="str">
            <v>Iul Express</v>
          </cell>
        </row>
        <row r="843">
          <cell r="A843" t="str">
            <v>BU4725125</v>
          </cell>
          <cell r="B843" t="str">
            <v>Gregory Teipel</v>
          </cell>
          <cell r="C843">
            <v>217.87</v>
          </cell>
          <cell r="D843" t="str">
            <v>Term Life Express 10 15 20 30</v>
          </cell>
        </row>
        <row r="844">
          <cell r="A844" t="str">
            <v>BU6362045</v>
          </cell>
          <cell r="B844" t="str">
            <v>Ryan Caltagirone</v>
          </cell>
          <cell r="C844">
            <v>123.26</v>
          </cell>
          <cell r="D844" t="str">
            <v>Iul Express</v>
          </cell>
        </row>
        <row r="845">
          <cell r="A845" t="str">
            <v>BU4146675</v>
          </cell>
          <cell r="B845" t="str">
            <v>Gregory Teipel</v>
          </cell>
          <cell r="C845">
            <v>260.70999999999998</v>
          </cell>
          <cell r="D845" t="str">
            <v>Iul Express</v>
          </cell>
        </row>
        <row r="846">
          <cell r="A846" t="str">
            <v>BU5478550</v>
          </cell>
          <cell r="B846" t="str">
            <v>Jason Roller</v>
          </cell>
          <cell r="C846">
            <v>5890.41</v>
          </cell>
          <cell r="D846" t="str">
            <v>Iul Express</v>
          </cell>
        </row>
        <row r="847">
          <cell r="A847" t="str">
            <v>BU5049356</v>
          </cell>
          <cell r="B847" t="str">
            <v>Gregory Teipel</v>
          </cell>
          <cell r="C847">
            <v>50.51</v>
          </cell>
          <cell r="D847" t="str">
            <v>Term Life Express 10 15 20 30</v>
          </cell>
        </row>
        <row r="848">
          <cell r="A848" t="str">
            <v>485056-97</v>
          </cell>
          <cell r="B848" t="str">
            <v>Paul Berk</v>
          </cell>
          <cell r="C848">
            <v>95.24</v>
          </cell>
          <cell r="D848" t="str">
            <v>Medicare Supplement Plan N</v>
          </cell>
        </row>
        <row r="849">
          <cell r="A849" t="str">
            <v>BU4436598</v>
          </cell>
          <cell r="B849" t="str">
            <v>Matthew Daugherty</v>
          </cell>
          <cell r="C849">
            <v>231.18</v>
          </cell>
          <cell r="D849" t="str">
            <v>Tle 20-20yr Guar</v>
          </cell>
        </row>
        <row r="850">
          <cell r="A850" t="str">
            <v>BU6401237</v>
          </cell>
          <cell r="B850" t="str">
            <v>Gregory Teipel</v>
          </cell>
          <cell r="C850">
            <v>278.35000000000002</v>
          </cell>
          <cell r="D850" t="str">
            <v>Term Life Express 10 15 20 30</v>
          </cell>
        </row>
        <row r="851">
          <cell r="A851" t="str">
            <v>BU3867354</v>
          </cell>
          <cell r="B851" t="str">
            <v>Adam Richter</v>
          </cell>
          <cell r="C851">
            <v>61.81</v>
          </cell>
          <cell r="D851" t="str">
            <v>Term Life Express 10 15 20 30</v>
          </cell>
        </row>
        <row r="852">
          <cell r="A852" t="str">
            <v>BU6269154</v>
          </cell>
          <cell r="B852" t="str">
            <v>Gregory Teipel</v>
          </cell>
          <cell r="C852">
            <v>122.74</v>
          </cell>
          <cell r="D852" t="str">
            <v>Iul Express</v>
          </cell>
        </row>
        <row r="853">
          <cell r="A853" t="str">
            <v>BU3953487</v>
          </cell>
          <cell r="B853" t="str">
            <v>Ryan Caltagirone</v>
          </cell>
          <cell r="C853">
            <v>152.88</v>
          </cell>
          <cell r="D853" t="str">
            <v>Tle 20-20yr Guar</v>
          </cell>
        </row>
        <row r="854">
          <cell r="A854" t="str">
            <v>BU5029108</v>
          </cell>
          <cell r="B854" t="str">
            <v>Ronald Max</v>
          </cell>
          <cell r="C854">
            <v>135.65</v>
          </cell>
          <cell r="D854" t="str">
            <v>Iul Express</v>
          </cell>
        </row>
        <row r="855">
          <cell r="A855" t="str">
            <v>BU5142077</v>
          </cell>
          <cell r="B855" t="str">
            <v>Gregory Teipel</v>
          </cell>
          <cell r="C855">
            <v>322.08</v>
          </cell>
          <cell r="D855" t="str">
            <v>Iul Express</v>
          </cell>
        </row>
        <row r="856">
          <cell r="A856" t="str">
            <v>BU4969542</v>
          </cell>
          <cell r="B856" t="str">
            <v>Ryan Caltagirone</v>
          </cell>
          <cell r="C856">
            <v>175.37</v>
          </cell>
          <cell r="D856" t="str">
            <v>Term Life Express 10 15 20 30</v>
          </cell>
        </row>
        <row r="857">
          <cell r="A857" t="str">
            <v>BU6431509</v>
          </cell>
          <cell r="B857" t="str">
            <v>Matthew Daugherty</v>
          </cell>
          <cell r="C857">
            <v>458.53</v>
          </cell>
          <cell r="D857" t="str">
            <v>Iul Express</v>
          </cell>
        </row>
        <row r="858">
          <cell r="A858" t="str">
            <v>BU4401564</v>
          </cell>
          <cell r="B858" t="str">
            <v>Matthew Daugherty</v>
          </cell>
          <cell r="C858">
            <v>175.79</v>
          </cell>
          <cell r="D858" t="str">
            <v>Term Life Express 10 15 20 30</v>
          </cell>
        </row>
        <row r="859">
          <cell r="A859" t="str">
            <v>796010-96</v>
          </cell>
          <cell r="B859" t="str">
            <v>Carol Foley</v>
          </cell>
          <cell r="C859">
            <v>365.21</v>
          </cell>
          <cell r="D859" t="str">
            <v>Medicare Supplement Plan G</v>
          </cell>
        </row>
        <row r="860">
          <cell r="A860" t="str">
            <v>BU4479509</v>
          </cell>
          <cell r="B860" t="str">
            <v>Gregory Teipel</v>
          </cell>
          <cell r="C860">
            <v>74.849999999999994</v>
          </cell>
          <cell r="D860" t="str">
            <v>Term Life Express 10 15 20 30</v>
          </cell>
        </row>
        <row r="861">
          <cell r="A861" t="str">
            <v>BU4959472</v>
          </cell>
          <cell r="B861" t="str">
            <v>Gregory Teipel</v>
          </cell>
          <cell r="C861">
            <v>144.36000000000001</v>
          </cell>
          <cell r="D861" t="str">
            <v>Term Life Express 10 15 20 30</v>
          </cell>
        </row>
        <row r="862">
          <cell r="A862" t="str">
            <v>BU4448038</v>
          </cell>
          <cell r="B862" t="str">
            <v>Gregory Teipel</v>
          </cell>
          <cell r="C862">
            <v>100.53</v>
          </cell>
          <cell r="D862" t="str">
            <v>Term Life Express 10 15 20 30</v>
          </cell>
        </row>
        <row r="863">
          <cell r="A863" t="str">
            <v>BU5099992</v>
          </cell>
          <cell r="B863" t="str">
            <v>Andrew Choi</v>
          </cell>
          <cell r="C863">
            <v>226.4</v>
          </cell>
          <cell r="D863" t="str">
            <v>Term Life Answer 10 15 20 30</v>
          </cell>
        </row>
        <row r="864">
          <cell r="A864" t="str">
            <v>BU5170082</v>
          </cell>
          <cell r="B864" t="str">
            <v>Nasandelger Zana</v>
          </cell>
          <cell r="C864">
            <v>100.61</v>
          </cell>
          <cell r="D864" t="str">
            <v>Iul Express</v>
          </cell>
        </row>
        <row r="865">
          <cell r="A865" t="str">
            <v>900385-96</v>
          </cell>
          <cell r="B865" t="str">
            <v>Gregory Teipel</v>
          </cell>
          <cell r="C865">
            <v>143.44999999999999</v>
          </cell>
          <cell r="D865" t="str">
            <v>Medicare Supplement Plan G</v>
          </cell>
        </row>
        <row r="866">
          <cell r="A866" t="str">
            <v>821308-96</v>
          </cell>
          <cell r="B866" t="str">
            <v>Anne Marie Kozacheck</v>
          </cell>
          <cell r="C866">
            <v>333.37</v>
          </cell>
          <cell r="D866" t="str">
            <v>Medicare Supplement Plan G</v>
          </cell>
        </row>
        <row r="867">
          <cell r="A867" t="str">
            <v>BU6228957</v>
          </cell>
          <cell r="B867" t="str">
            <v>Matthew Daugherty</v>
          </cell>
          <cell r="C867">
            <v>171.66</v>
          </cell>
          <cell r="D867" t="str">
            <v>Term Life Express 10 15 20 30</v>
          </cell>
        </row>
        <row r="868">
          <cell r="A868" t="str">
            <v>BU5395584</v>
          </cell>
          <cell r="B868" t="str">
            <v>Ryan Caltagirone</v>
          </cell>
          <cell r="C868">
            <v>80.83</v>
          </cell>
          <cell r="D868" t="str">
            <v>Term Life Express 10 15 20 30</v>
          </cell>
        </row>
        <row r="869">
          <cell r="A869" t="str">
            <v>BU4141928</v>
          </cell>
          <cell r="B869" t="str">
            <v>Ryan Caltagirone</v>
          </cell>
          <cell r="C869">
            <v>204.82</v>
          </cell>
          <cell r="D869" t="str">
            <v>Iul Express</v>
          </cell>
        </row>
        <row r="870">
          <cell r="A870" t="str">
            <v>BU5522548</v>
          </cell>
          <cell r="B870" t="str">
            <v>Gregory Teipel</v>
          </cell>
          <cell r="C870">
            <v>169.14</v>
          </cell>
          <cell r="D870" t="str">
            <v>Term Life Express 10 15 20 30</v>
          </cell>
        </row>
        <row r="871">
          <cell r="A871" t="str">
            <v>329085-41</v>
          </cell>
          <cell r="B871" t="str">
            <v>Jason Roller</v>
          </cell>
          <cell r="C871">
            <v>58.23</v>
          </cell>
          <cell r="D871" t="str">
            <v xml:space="preserve">Preferred Plan (a) Dnt2i                </v>
          </cell>
        </row>
        <row r="872">
          <cell r="A872" t="str">
            <v>BU4155351</v>
          </cell>
          <cell r="B872" t="str">
            <v>Gregory Teipel</v>
          </cell>
          <cell r="C872">
            <v>152.9</v>
          </cell>
          <cell r="D872" t="str">
            <v>Iul Express</v>
          </cell>
        </row>
        <row r="873">
          <cell r="A873" t="str">
            <v>BU6206158</v>
          </cell>
          <cell r="B873" t="str">
            <v>Jason Roller</v>
          </cell>
          <cell r="C873">
            <v>2718.25</v>
          </cell>
          <cell r="D873" t="str">
            <v>Iul Express</v>
          </cell>
        </row>
        <row r="874">
          <cell r="A874" t="str">
            <v>BU4582915</v>
          </cell>
          <cell r="B874" t="str">
            <v>Michelle Mccorkle</v>
          </cell>
          <cell r="C874">
            <v>123</v>
          </cell>
          <cell r="D874" t="str">
            <v>Iul Express</v>
          </cell>
        </row>
        <row r="875">
          <cell r="A875" t="str">
            <v>BU4935778</v>
          </cell>
          <cell r="B875" t="str">
            <v>Ryan Caltagirone</v>
          </cell>
          <cell r="C875">
            <v>191.82</v>
          </cell>
          <cell r="D875" t="str">
            <v>Iul Express</v>
          </cell>
        </row>
        <row r="876">
          <cell r="A876" t="str">
            <v>BU4389033</v>
          </cell>
          <cell r="B876" t="str">
            <v>Gregory Teipel</v>
          </cell>
          <cell r="C876">
            <v>82.77</v>
          </cell>
          <cell r="D876" t="str">
            <v>Term Life Express 10 15 20 30</v>
          </cell>
        </row>
        <row r="877">
          <cell r="A877" t="str">
            <v>BU6431030</v>
          </cell>
          <cell r="B877" t="str">
            <v>Ryan Caltagirone</v>
          </cell>
          <cell r="C877">
            <v>75.510000000000005</v>
          </cell>
          <cell r="D877" t="str">
            <v>Term Life Express 10 15 20 30</v>
          </cell>
        </row>
        <row r="878">
          <cell r="A878" t="str">
            <v>BU4900270</v>
          </cell>
          <cell r="B878" t="str">
            <v>Gregory Teipel</v>
          </cell>
          <cell r="C878">
            <v>258.99</v>
          </cell>
          <cell r="D878" t="str">
            <v>Term Life Express 10 15 20 30</v>
          </cell>
        </row>
        <row r="879">
          <cell r="A879" t="str">
            <v>BU4266838</v>
          </cell>
          <cell r="B879" t="str">
            <v>Ryan Caltagirone</v>
          </cell>
          <cell r="C879">
            <v>187.59</v>
          </cell>
          <cell r="D879" t="str">
            <v>Iul Express</v>
          </cell>
        </row>
        <row r="880">
          <cell r="A880" t="str">
            <v>BU5547008</v>
          </cell>
          <cell r="B880" t="str">
            <v>Gregory Teipel</v>
          </cell>
          <cell r="C880">
            <v>202.13</v>
          </cell>
          <cell r="D880" t="str">
            <v>Iul Express</v>
          </cell>
        </row>
        <row r="881">
          <cell r="A881" t="str">
            <v>BU5143768</v>
          </cell>
          <cell r="B881" t="str">
            <v>Andrew Choi</v>
          </cell>
          <cell r="C881">
            <v>139.72999999999999</v>
          </cell>
          <cell r="D881" t="str">
            <v xml:space="preserve">Living Promise - Level  Benefit         </v>
          </cell>
        </row>
        <row r="882">
          <cell r="A882" t="str">
            <v>BU6209153</v>
          </cell>
          <cell r="B882" t="str">
            <v>Ryan Caltagirone</v>
          </cell>
          <cell r="C882">
            <v>59.98</v>
          </cell>
          <cell r="D882" t="str">
            <v>Iul Express</v>
          </cell>
        </row>
        <row r="883">
          <cell r="A883" t="str">
            <v>BU4887724</v>
          </cell>
          <cell r="B883" t="str">
            <v>Gregory Teipel</v>
          </cell>
          <cell r="C883">
            <v>56.03</v>
          </cell>
          <cell r="D883" t="str">
            <v>Iul Express</v>
          </cell>
        </row>
        <row r="884">
          <cell r="A884" t="str">
            <v>BU4451814</v>
          </cell>
          <cell r="B884" t="str">
            <v>Matthew Daugherty</v>
          </cell>
          <cell r="C884">
            <v>113.36</v>
          </cell>
          <cell r="D884" t="str">
            <v>Term Life Express 10 15 20 30</v>
          </cell>
        </row>
        <row r="885">
          <cell r="A885" t="str">
            <v>BU5282180</v>
          </cell>
          <cell r="B885" t="str">
            <v>Ryan Caltagirone</v>
          </cell>
          <cell r="C885">
            <v>100</v>
          </cell>
          <cell r="D885" t="str">
            <v>Iul Express</v>
          </cell>
        </row>
        <row r="886">
          <cell r="A886" t="str">
            <v>BU5293985</v>
          </cell>
          <cell r="B886" t="str">
            <v>Gregory Teipel</v>
          </cell>
          <cell r="C886">
            <v>175.33</v>
          </cell>
          <cell r="D886" t="str">
            <v>Term Life Express 10 15 20 30</v>
          </cell>
        </row>
        <row r="887">
          <cell r="A887" t="str">
            <v>BU4216513</v>
          </cell>
          <cell r="B887" t="str">
            <v>Jason Hoffmann</v>
          </cell>
          <cell r="C887">
            <v>109.75</v>
          </cell>
          <cell r="D887" t="str">
            <v xml:space="preserve">Living Promise - Level  Benefit         </v>
          </cell>
        </row>
        <row r="888">
          <cell r="A888" t="str">
            <v>859539-97</v>
          </cell>
          <cell r="B888" t="str">
            <v>Gregory Teipel</v>
          </cell>
          <cell r="C888">
            <v>151.81</v>
          </cell>
          <cell r="D888" t="str">
            <v>Medicare Supplement Plan G</v>
          </cell>
        </row>
        <row r="889">
          <cell r="A889" t="str">
            <v>BU5066653</v>
          </cell>
          <cell r="B889" t="str">
            <v>Gregory Teipel</v>
          </cell>
          <cell r="C889">
            <v>152.63999999999999</v>
          </cell>
          <cell r="D889" t="str">
            <v xml:space="preserve">Living Promise-graded                   </v>
          </cell>
        </row>
        <row r="890">
          <cell r="A890" t="str">
            <v>BU5269003</v>
          </cell>
          <cell r="B890" t="str">
            <v>Gregory Teipel</v>
          </cell>
          <cell r="C890">
            <v>233.48</v>
          </cell>
          <cell r="D890" t="str">
            <v>Iul Express</v>
          </cell>
        </row>
        <row r="891">
          <cell r="A891" t="str">
            <v>BU4488568</v>
          </cell>
          <cell r="B891" t="str">
            <v>Ryan Caltagirone</v>
          </cell>
          <cell r="C891">
            <v>104.74</v>
          </cell>
          <cell r="D891" t="str">
            <v>Tle 20-20yr Guar</v>
          </cell>
        </row>
        <row r="892">
          <cell r="A892" t="str">
            <v>BU4434943</v>
          </cell>
          <cell r="B892" t="str">
            <v>Matthew Daugherty</v>
          </cell>
          <cell r="C892">
            <v>211.16</v>
          </cell>
          <cell r="D892" t="str">
            <v>Term Life</v>
          </cell>
        </row>
        <row r="893">
          <cell r="A893" t="str">
            <v>BU4730858</v>
          </cell>
          <cell r="B893" t="str">
            <v>Gregory Teipel</v>
          </cell>
          <cell r="C893">
            <v>275.91000000000003</v>
          </cell>
          <cell r="D893" t="str">
            <v>Iul Express</v>
          </cell>
        </row>
        <row r="894">
          <cell r="A894" t="str">
            <v>BU5387139</v>
          </cell>
          <cell r="B894" t="str">
            <v>Thomas Pardue</v>
          </cell>
          <cell r="C894">
            <v>20.29</v>
          </cell>
          <cell r="D894" t="str">
            <v>Tle 20-20yr Guar</v>
          </cell>
        </row>
        <row r="895">
          <cell r="A895" t="str">
            <v>BU6226945</v>
          </cell>
          <cell r="B895" t="str">
            <v>Matthew Daugherty</v>
          </cell>
          <cell r="C895">
            <v>141.96</v>
          </cell>
          <cell r="D895" t="str">
            <v>Tle 20-20yr Guar</v>
          </cell>
        </row>
        <row r="896">
          <cell r="A896" t="str">
            <v>BU5337706</v>
          </cell>
          <cell r="B896" t="str">
            <v>Ronald Max</v>
          </cell>
          <cell r="C896">
            <v>28.84</v>
          </cell>
          <cell r="D896" t="str">
            <v>Term Life Express 10 15 20 30</v>
          </cell>
        </row>
        <row r="897">
          <cell r="A897" t="str">
            <v>BU4728941</v>
          </cell>
          <cell r="B897" t="str">
            <v>Ryan Caltagirone</v>
          </cell>
          <cell r="C897">
            <v>268.18</v>
          </cell>
          <cell r="D897" t="str">
            <v>Term Life Express 10 15 20 30</v>
          </cell>
        </row>
        <row r="898">
          <cell r="A898" t="str">
            <v>BU4299728</v>
          </cell>
          <cell r="B898" t="str">
            <v>Adam Richter</v>
          </cell>
          <cell r="C898">
            <v>33.64</v>
          </cell>
          <cell r="D898" t="str">
            <v>Term Life Express 10 15 20 30</v>
          </cell>
        </row>
        <row r="899">
          <cell r="A899" t="str">
            <v>BU6212512</v>
          </cell>
          <cell r="B899" t="str">
            <v>Matthew Daugherty</v>
          </cell>
          <cell r="C899">
            <v>182.98</v>
          </cell>
          <cell r="D899" t="str">
            <v>Term Life Express 10 15 20 30</v>
          </cell>
        </row>
        <row r="900">
          <cell r="A900" t="str">
            <v>731905-96</v>
          </cell>
          <cell r="B900" t="str">
            <v>Anne Marie Kozacheck</v>
          </cell>
          <cell r="C900">
            <v>2533.2600000000002</v>
          </cell>
          <cell r="D900" t="str">
            <v>Medicare Supplement Plan G</v>
          </cell>
        </row>
        <row r="901">
          <cell r="A901" t="str">
            <v>588575-96</v>
          </cell>
          <cell r="B901" t="str">
            <v>Adam Richter</v>
          </cell>
          <cell r="C901">
            <v>119.09</v>
          </cell>
          <cell r="D901" t="str">
            <v>Medicare Supplement Plan N</v>
          </cell>
        </row>
        <row r="902">
          <cell r="A902" t="str">
            <v>BU4512893</v>
          </cell>
          <cell r="B902" t="str">
            <v>Ryan Caltagirone</v>
          </cell>
          <cell r="C902">
            <v>110</v>
          </cell>
          <cell r="D902" t="str">
            <v>Iul Express</v>
          </cell>
        </row>
        <row r="903">
          <cell r="A903" t="str">
            <v>BU5073503</v>
          </cell>
          <cell r="B903" t="str">
            <v>Ryan Caltagirone</v>
          </cell>
          <cell r="C903">
            <v>182.48</v>
          </cell>
          <cell r="D903" t="str">
            <v>Iul Express</v>
          </cell>
        </row>
        <row r="904">
          <cell r="A904" t="str">
            <v>BU6217775</v>
          </cell>
          <cell r="B904" t="str">
            <v>Gregory Teipel</v>
          </cell>
          <cell r="C904">
            <v>173.17</v>
          </cell>
          <cell r="D904" t="str">
            <v>Iul Express</v>
          </cell>
        </row>
        <row r="905">
          <cell r="A905" t="str">
            <v>BU6387534</v>
          </cell>
          <cell r="B905" t="str">
            <v>Gregory Teipel</v>
          </cell>
          <cell r="C905">
            <v>186.59</v>
          </cell>
          <cell r="D905" t="str">
            <v>Iul Express</v>
          </cell>
        </row>
        <row r="906">
          <cell r="A906" t="str">
            <v>BU4416710</v>
          </cell>
          <cell r="B906" t="str">
            <v>Gregory Teipel</v>
          </cell>
          <cell r="C906">
            <v>87.24</v>
          </cell>
          <cell r="D906" t="str">
            <v>Term Life Express 10 15 20 30</v>
          </cell>
        </row>
        <row r="907">
          <cell r="A907" t="str">
            <v>BU4472898</v>
          </cell>
          <cell r="B907" t="str">
            <v>Michael Lutz</v>
          </cell>
          <cell r="C907">
            <v>300</v>
          </cell>
          <cell r="D907" t="str">
            <v>Iul Express</v>
          </cell>
        </row>
        <row r="908">
          <cell r="A908" t="str">
            <v>414750-41</v>
          </cell>
          <cell r="B908" t="str">
            <v>Christian Taugner</v>
          </cell>
          <cell r="C908">
            <v>79.28</v>
          </cell>
          <cell r="D908" t="str">
            <v xml:space="preserve">Preferred Plan (a) Dnt2i                </v>
          </cell>
        </row>
        <row r="909">
          <cell r="A909" t="str">
            <v>BU4634850</v>
          </cell>
          <cell r="B909" t="str">
            <v>Ryan Caltagirone</v>
          </cell>
          <cell r="C909">
            <v>310.89999999999998</v>
          </cell>
          <cell r="D909" t="str">
            <v>Iul Express</v>
          </cell>
        </row>
        <row r="910">
          <cell r="A910" t="str">
            <v>BU6195162</v>
          </cell>
          <cell r="B910" t="str">
            <v>Thomas Pardue</v>
          </cell>
          <cell r="C910">
            <v>135.11000000000001</v>
          </cell>
          <cell r="D910" t="str">
            <v>Iul Express</v>
          </cell>
        </row>
        <row r="911">
          <cell r="A911" t="str">
            <v>BU4669506</v>
          </cell>
          <cell r="B911" t="str">
            <v>Ryan Caltagirone</v>
          </cell>
          <cell r="C911">
            <v>309.52</v>
          </cell>
          <cell r="D911" t="str">
            <v>Iul Express</v>
          </cell>
        </row>
        <row r="912">
          <cell r="A912" t="str">
            <v>BU5009498</v>
          </cell>
          <cell r="B912" t="str">
            <v>Matthew Daugherty</v>
          </cell>
          <cell r="C912">
            <v>97.54</v>
          </cell>
          <cell r="D912" t="str">
            <v>Term Life Express 10 15 20 30</v>
          </cell>
        </row>
        <row r="913">
          <cell r="A913" t="str">
            <v>432039-41</v>
          </cell>
          <cell r="B913" t="str">
            <v>Carol Foley</v>
          </cell>
          <cell r="C913">
            <v>135.4</v>
          </cell>
          <cell r="D913" t="str">
            <v>Medicare Supplement Plan G</v>
          </cell>
        </row>
        <row r="914">
          <cell r="A914" t="str">
            <v>BU4261645</v>
          </cell>
          <cell r="B914" t="str">
            <v>Gregory Teipel</v>
          </cell>
          <cell r="C914">
            <v>222.19</v>
          </cell>
          <cell r="D914" t="str">
            <v>Iul Express</v>
          </cell>
        </row>
        <row r="915">
          <cell r="A915" t="str">
            <v>BU4640203</v>
          </cell>
          <cell r="B915" t="str">
            <v>Gregory Teipel</v>
          </cell>
          <cell r="C915">
            <v>161.41999999999999</v>
          </cell>
          <cell r="D915" t="str">
            <v>Term Life Express 10 15 20 30</v>
          </cell>
        </row>
        <row r="916">
          <cell r="A916" t="str">
            <v>827248-96</v>
          </cell>
          <cell r="B916" t="str">
            <v>Carol Foley</v>
          </cell>
          <cell r="C916">
            <v>425.91</v>
          </cell>
          <cell r="D916" t="str">
            <v>Medicare Supplement Plan N</v>
          </cell>
        </row>
        <row r="917">
          <cell r="A917" t="str">
            <v>646279-96</v>
          </cell>
          <cell r="B917" t="str">
            <v>Anne Marie Kozacheck</v>
          </cell>
          <cell r="C917">
            <v>2203.0300000000002</v>
          </cell>
          <cell r="D917" t="str">
            <v>Medicare Supplement Plan G</v>
          </cell>
        </row>
        <row r="918">
          <cell r="A918" t="str">
            <v>BU4992710</v>
          </cell>
          <cell r="B918" t="str">
            <v>Matthew Daugherty</v>
          </cell>
          <cell r="C918">
            <v>72.540000000000006</v>
          </cell>
          <cell r="D918" t="str">
            <v>Term Life Express 10 15 20 30</v>
          </cell>
        </row>
        <row r="919">
          <cell r="A919" t="str">
            <v>BU4234403</v>
          </cell>
          <cell r="B919" t="str">
            <v>Ryan Caltagirone</v>
          </cell>
          <cell r="C919">
            <v>157.44999999999999</v>
          </cell>
          <cell r="D919" t="str">
            <v>Iul Express</v>
          </cell>
        </row>
        <row r="920">
          <cell r="A920" t="str">
            <v>325903-41</v>
          </cell>
          <cell r="B920" t="str">
            <v>Richard Yale</v>
          </cell>
          <cell r="C920">
            <v>79.28</v>
          </cell>
          <cell r="D920" t="str">
            <v xml:space="preserve">Preferred Plan (a) Dnt2i                </v>
          </cell>
        </row>
        <row r="921">
          <cell r="A921" t="str">
            <v>BU4945634</v>
          </cell>
          <cell r="B921" t="str">
            <v>Gregory Teipel</v>
          </cell>
          <cell r="C921">
            <v>114.63</v>
          </cell>
          <cell r="D921" t="str">
            <v>Term Life Express 10 15 20 30</v>
          </cell>
        </row>
        <row r="922">
          <cell r="A922" t="str">
            <v>BU5185200</v>
          </cell>
          <cell r="B922" t="str">
            <v>Ryan Caltagirone</v>
          </cell>
          <cell r="C922">
            <v>205.48</v>
          </cell>
          <cell r="D922" t="str">
            <v>Tle 20-20yr Guar</v>
          </cell>
        </row>
        <row r="923">
          <cell r="A923" t="str">
            <v>BU4975536</v>
          </cell>
          <cell r="B923" t="str">
            <v>Gregory Teipel</v>
          </cell>
          <cell r="C923">
            <v>171.54</v>
          </cell>
          <cell r="D923" t="str">
            <v>Iul Express</v>
          </cell>
        </row>
        <row r="924">
          <cell r="A924" t="str">
            <v>BU4947885</v>
          </cell>
          <cell r="B924" t="str">
            <v>Gregory Teipel</v>
          </cell>
          <cell r="C924">
            <v>141.84</v>
          </cell>
          <cell r="D924" t="str">
            <v>Tle 20-20yr Guar</v>
          </cell>
        </row>
        <row r="925">
          <cell r="A925" t="str">
            <v>BU6337663</v>
          </cell>
          <cell r="B925" t="str">
            <v>Gregory Teipel</v>
          </cell>
          <cell r="C925">
            <v>189.97</v>
          </cell>
          <cell r="D925" t="str">
            <v>Term Life Express 10 15 20 30</v>
          </cell>
        </row>
        <row r="926">
          <cell r="A926" t="str">
            <v>BU4857901</v>
          </cell>
          <cell r="B926" t="str">
            <v>Gregory Teipel</v>
          </cell>
          <cell r="C926">
            <v>124.71</v>
          </cell>
          <cell r="D926" t="str">
            <v>Term Life Express 10 15 20 30</v>
          </cell>
        </row>
        <row r="927">
          <cell r="A927" t="str">
            <v>BU4522378</v>
          </cell>
          <cell r="B927" t="str">
            <v>Adam Richter</v>
          </cell>
          <cell r="C927">
            <v>67.819999999999993</v>
          </cell>
          <cell r="D927" t="str">
            <v>Term Life Express 10 15 20 30</v>
          </cell>
        </row>
        <row r="928">
          <cell r="A928" t="str">
            <v>373280-41</v>
          </cell>
          <cell r="B928" t="str">
            <v>Jason Roller</v>
          </cell>
          <cell r="C928">
            <v>67.39</v>
          </cell>
          <cell r="D928" t="str">
            <v xml:space="preserve">Preferred Plan (a) Dnt2i                </v>
          </cell>
        </row>
        <row r="929">
          <cell r="A929" t="str">
            <v>BU4345770</v>
          </cell>
          <cell r="B929" t="str">
            <v>Gregory Teipel</v>
          </cell>
          <cell r="C929">
            <v>188.42</v>
          </cell>
          <cell r="D929" t="str">
            <v>Iul Express</v>
          </cell>
        </row>
        <row r="930">
          <cell r="A930" t="str">
            <v>BU4137444</v>
          </cell>
          <cell r="B930" t="str">
            <v>Gregory Teipel</v>
          </cell>
          <cell r="C930">
            <v>220</v>
          </cell>
          <cell r="D930" t="str">
            <v>Iul Express</v>
          </cell>
        </row>
        <row r="931">
          <cell r="A931" t="str">
            <v>BU5516597</v>
          </cell>
          <cell r="B931" t="str">
            <v>Pamela Deaton</v>
          </cell>
          <cell r="C931">
            <v>19.04</v>
          </cell>
          <cell r="D931" t="str">
            <v xml:space="preserve">Children S - Whole Life                 </v>
          </cell>
        </row>
        <row r="932">
          <cell r="A932" t="str">
            <v>818239-97</v>
          </cell>
          <cell r="B932" t="str">
            <v>Jason Roller</v>
          </cell>
          <cell r="C932">
            <v>74.209999999999994</v>
          </cell>
          <cell r="D932" t="str">
            <v xml:space="preserve">Preferred Plan (a) Dnt2e                </v>
          </cell>
        </row>
        <row r="933">
          <cell r="A933" t="str">
            <v>BU5173008</v>
          </cell>
          <cell r="B933" t="str">
            <v>Gregory Teipel</v>
          </cell>
          <cell r="C933">
            <v>363.62</v>
          </cell>
          <cell r="D933" t="str">
            <v>Iul Express</v>
          </cell>
        </row>
        <row r="934">
          <cell r="A934" t="str">
            <v>BU4439889</v>
          </cell>
          <cell r="B934" t="str">
            <v>Gregory Teipel</v>
          </cell>
          <cell r="C934">
            <v>161.77000000000001</v>
          </cell>
          <cell r="D934" t="str">
            <v>Iul Express</v>
          </cell>
        </row>
        <row r="935">
          <cell r="A935" t="str">
            <v>BU4120483</v>
          </cell>
          <cell r="B935" t="str">
            <v>Gregory Teipel</v>
          </cell>
          <cell r="C935">
            <v>230</v>
          </cell>
          <cell r="D935" t="str">
            <v>Iul Express</v>
          </cell>
        </row>
        <row r="936">
          <cell r="A936" t="str">
            <v>BU5491134</v>
          </cell>
          <cell r="B936" t="str">
            <v>Gregory Teipel</v>
          </cell>
          <cell r="C936">
            <v>189.97</v>
          </cell>
          <cell r="D936" t="str">
            <v>Term Life Express 10 15 20 30</v>
          </cell>
        </row>
        <row r="937">
          <cell r="A937" t="str">
            <v>940059-96</v>
          </cell>
          <cell r="B937" t="str">
            <v>Carol Foley</v>
          </cell>
          <cell r="C937">
            <v>177.4</v>
          </cell>
          <cell r="D937" t="str">
            <v>Medicare Supplement Plan G</v>
          </cell>
        </row>
        <row r="938">
          <cell r="A938" t="str">
            <v>BU4611957</v>
          </cell>
          <cell r="B938" t="str">
            <v>Deborah Inskipt</v>
          </cell>
          <cell r="C938">
            <v>123.97</v>
          </cell>
          <cell r="D938" t="str">
            <v>Iul Express</v>
          </cell>
        </row>
        <row r="939">
          <cell r="A939" t="str">
            <v>637121-96</v>
          </cell>
          <cell r="B939" t="str">
            <v>Adam Richter</v>
          </cell>
          <cell r="C939">
            <v>168.14</v>
          </cell>
          <cell r="D939" t="str">
            <v>Medicare Supplement Plan G</v>
          </cell>
        </row>
        <row r="940">
          <cell r="A940" t="str">
            <v>BU5065497</v>
          </cell>
          <cell r="B940" t="str">
            <v>Ronald Max</v>
          </cell>
          <cell r="C940">
            <v>111.61</v>
          </cell>
          <cell r="D940" t="str">
            <v>Term Life Express 10 15 20 30</v>
          </cell>
        </row>
        <row r="941">
          <cell r="A941" t="str">
            <v>BU6325859</v>
          </cell>
          <cell r="B941" t="str">
            <v>Gregory Teipel</v>
          </cell>
          <cell r="C941">
            <v>19.62</v>
          </cell>
          <cell r="D941" t="str">
            <v>Tle 20-20yr Guar</v>
          </cell>
        </row>
        <row r="942">
          <cell r="A942" t="str">
            <v>BU4228467</v>
          </cell>
          <cell r="B942" t="str">
            <v>Gregory Teipel</v>
          </cell>
          <cell r="C942">
            <v>112.41</v>
          </cell>
          <cell r="D942" t="str">
            <v>Term Life Express 10 15 20 30</v>
          </cell>
        </row>
        <row r="943">
          <cell r="A943" t="str">
            <v>BU6169910</v>
          </cell>
          <cell r="B943" t="str">
            <v>Gregory Teipel</v>
          </cell>
          <cell r="C943">
            <v>234.36</v>
          </cell>
          <cell r="D943" t="str">
            <v>Iul Express</v>
          </cell>
        </row>
        <row r="944">
          <cell r="A944" t="str">
            <v>BU6398368</v>
          </cell>
          <cell r="B944" t="str">
            <v>Gary Portugal</v>
          </cell>
          <cell r="C944">
            <v>26.75</v>
          </cell>
          <cell r="D944" t="str">
            <v xml:space="preserve">Children S - Whole Life                 </v>
          </cell>
        </row>
        <row r="945">
          <cell r="A945" t="str">
            <v>583853-97</v>
          </cell>
          <cell r="B945" t="str">
            <v>Michael Dunavant</v>
          </cell>
          <cell r="C945">
            <v>180.14</v>
          </cell>
          <cell r="D945" t="str">
            <v>Medicare Supplement Plan G</v>
          </cell>
        </row>
        <row r="946">
          <cell r="A946" t="str">
            <v>BU4508048</v>
          </cell>
          <cell r="B946" t="str">
            <v>Matthew Daugherty</v>
          </cell>
          <cell r="C946">
            <v>97.54</v>
          </cell>
          <cell r="D946" t="str">
            <v>Tle 20-20yr Guar</v>
          </cell>
        </row>
        <row r="947">
          <cell r="A947" t="str">
            <v>BU5371034</v>
          </cell>
          <cell r="B947" t="str">
            <v>Shawn Gastelo</v>
          </cell>
          <cell r="C947">
            <v>78.680000000000007</v>
          </cell>
          <cell r="D947" t="str">
            <v xml:space="preserve">Living Promise - Level  Benefit         </v>
          </cell>
        </row>
        <row r="948">
          <cell r="A948" t="str">
            <v>BU5392885</v>
          </cell>
          <cell r="B948" t="str">
            <v>Gregory Teipel</v>
          </cell>
          <cell r="C948">
            <v>179.82</v>
          </cell>
          <cell r="D948" t="str">
            <v>Iul Express</v>
          </cell>
        </row>
        <row r="949">
          <cell r="A949" t="str">
            <v>BU4435120</v>
          </cell>
          <cell r="B949" t="str">
            <v>Gregory Teipel</v>
          </cell>
          <cell r="C949">
            <v>270.51</v>
          </cell>
          <cell r="D949" t="str">
            <v>Iul Express</v>
          </cell>
        </row>
        <row r="950">
          <cell r="A950" t="str">
            <v>BU4709104</v>
          </cell>
          <cell r="B950" t="str">
            <v>Ryan Caltagirone</v>
          </cell>
          <cell r="C950">
            <v>91.67</v>
          </cell>
          <cell r="D950" t="str">
            <v>Iul Express</v>
          </cell>
        </row>
        <row r="951">
          <cell r="A951" t="str">
            <v>BU4240496</v>
          </cell>
          <cell r="B951" t="str">
            <v>Gregory Teipel</v>
          </cell>
          <cell r="C951">
            <v>247.66</v>
          </cell>
          <cell r="D951" t="str">
            <v>Iul Express</v>
          </cell>
        </row>
        <row r="952">
          <cell r="A952" t="str">
            <v>BU6358307</v>
          </cell>
          <cell r="B952" t="str">
            <v>Richard Yale</v>
          </cell>
          <cell r="C952">
            <v>25.28</v>
          </cell>
          <cell r="D952" t="str">
            <v>Iul Express</v>
          </cell>
        </row>
        <row r="953">
          <cell r="A953" t="str">
            <v>BU4699181</v>
          </cell>
          <cell r="B953" t="str">
            <v>Ryan Caltagirone</v>
          </cell>
          <cell r="C953">
            <v>102.71</v>
          </cell>
          <cell r="D953" t="str">
            <v>Term Life Express 10 15 20 30</v>
          </cell>
        </row>
        <row r="954">
          <cell r="A954" t="str">
            <v>BU4741935</v>
          </cell>
          <cell r="B954" t="str">
            <v>Gary Portugal</v>
          </cell>
          <cell r="C954">
            <v>676.4</v>
          </cell>
          <cell r="D954" t="str">
            <v xml:space="preserve">Living Promise - Level  Benefit         </v>
          </cell>
        </row>
        <row r="955">
          <cell r="A955" t="str">
            <v>BU4685737</v>
          </cell>
          <cell r="B955" t="str">
            <v>Ryan Caltagirone</v>
          </cell>
          <cell r="C955">
            <v>186.61</v>
          </cell>
          <cell r="D955" t="str">
            <v>Tle 20-20yr Guar</v>
          </cell>
        </row>
        <row r="956">
          <cell r="A956" t="str">
            <v>BU5182318</v>
          </cell>
          <cell r="B956" t="str">
            <v>Gregory Teipel</v>
          </cell>
          <cell r="C956">
            <v>163.99</v>
          </cell>
          <cell r="D956" t="str">
            <v>Iul Express</v>
          </cell>
        </row>
        <row r="957">
          <cell r="A957" t="str">
            <v>BU4326380</v>
          </cell>
          <cell r="B957" t="str">
            <v>Matthew Daugherty</v>
          </cell>
          <cell r="C957">
            <v>176.75</v>
          </cell>
          <cell r="D957" t="str">
            <v>Term Life Express 10 15 20 30</v>
          </cell>
        </row>
        <row r="958">
          <cell r="A958" t="str">
            <v>BU4081322</v>
          </cell>
          <cell r="B958" t="str">
            <v>Gregory Teipel</v>
          </cell>
          <cell r="C958">
            <v>90</v>
          </cell>
          <cell r="D958" t="str">
            <v>Iul Express</v>
          </cell>
        </row>
        <row r="959">
          <cell r="A959" t="str">
            <v>BU5494629</v>
          </cell>
          <cell r="B959" t="str">
            <v>Gregory Teipel</v>
          </cell>
          <cell r="C959">
            <v>99.95</v>
          </cell>
          <cell r="D959" t="str">
            <v>Iul Express</v>
          </cell>
        </row>
        <row r="960">
          <cell r="A960" t="str">
            <v>BU6204845</v>
          </cell>
          <cell r="B960" t="str">
            <v>Colleen Finnigan</v>
          </cell>
          <cell r="C960">
            <v>210.04</v>
          </cell>
          <cell r="D960" t="str">
            <v>Term Life Express 10 15 20 30</v>
          </cell>
        </row>
        <row r="961">
          <cell r="A961" t="str">
            <v>BU4325037</v>
          </cell>
          <cell r="B961" t="str">
            <v>Matthew Daugherty</v>
          </cell>
          <cell r="C961">
            <v>80.63</v>
          </cell>
          <cell r="D961" t="str">
            <v>Term Life Express 10 15 20 30</v>
          </cell>
        </row>
        <row r="962">
          <cell r="A962" t="str">
            <v>BU4401532</v>
          </cell>
          <cell r="B962" t="str">
            <v>Gregory Teipel</v>
          </cell>
          <cell r="C962">
            <v>196.6</v>
          </cell>
          <cell r="D962" t="str">
            <v>Term Life Express 10 15 20 30</v>
          </cell>
        </row>
        <row r="963">
          <cell r="A963" t="str">
            <v>BU4384335</v>
          </cell>
          <cell r="B963" t="str">
            <v>Gregory Teipel</v>
          </cell>
          <cell r="C963">
            <v>138.57</v>
          </cell>
          <cell r="D963" t="str">
            <v>Term Life Express 10 15 20 30</v>
          </cell>
        </row>
        <row r="964">
          <cell r="A964" t="str">
            <v>BU5330883</v>
          </cell>
          <cell r="B964" t="str">
            <v>Matthew Daugherty</v>
          </cell>
          <cell r="C964">
            <v>278.35000000000002</v>
          </cell>
          <cell r="D964" t="str">
            <v>Term Life Express 10 15 20 30</v>
          </cell>
        </row>
        <row r="965">
          <cell r="A965" t="str">
            <v>BU5204472</v>
          </cell>
          <cell r="B965" t="str">
            <v>Ryan Caltagirone</v>
          </cell>
          <cell r="C965">
            <v>103.81</v>
          </cell>
          <cell r="D965" t="str">
            <v>Term Life Express 10 15 20 30</v>
          </cell>
        </row>
        <row r="966">
          <cell r="A966" t="str">
            <v>544949-97</v>
          </cell>
          <cell r="B966" t="str">
            <v>Michael Dunavant</v>
          </cell>
          <cell r="C966">
            <v>168.38</v>
          </cell>
          <cell r="D966" t="str">
            <v>Medicare Supplement Plan G</v>
          </cell>
        </row>
        <row r="967">
          <cell r="A967" t="str">
            <v>BU5127828</v>
          </cell>
          <cell r="B967" t="str">
            <v>Nasandelger Zana</v>
          </cell>
          <cell r="C967">
            <v>64.66</v>
          </cell>
          <cell r="D967" t="str">
            <v>Iul Express</v>
          </cell>
        </row>
        <row r="968">
          <cell r="A968" t="str">
            <v>BU4659406</v>
          </cell>
          <cell r="B968" t="str">
            <v>Gregory Teipel</v>
          </cell>
          <cell r="C968">
            <v>158.87</v>
          </cell>
          <cell r="D968" t="str">
            <v>Term Life Express 10 15 20 30</v>
          </cell>
        </row>
        <row r="969">
          <cell r="A969" t="str">
            <v>482817-41</v>
          </cell>
          <cell r="B969" t="str">
            <v>Jacob Yale</v>
          </cell>
          <cell r="C969">
            <v>50.94</v>
          </cell>
          <cell r="D969" t="str">
            <v xml:space="preserve">Preferred Plan (a) Dnt2b                </v>
          </cell>
        </row>
        <row r="970">
          <cell r="A970" t="str">
            <v>BU4473706</v>
          </cell>
          <cell r="B970" t="str">
            <v>Matthew Daugherty</v>
          </cell>
          <cell r="C970">
            <v>113.56</v>
          </cell>
          <cell r="D970" t="str">
            <v>Term Life Express 10 15 20 30</v>
          </cell>
        </row>
        <row r="971">
          <cell r="A971" t="str">
            <v>BU4307492</v>
          </cell>
          <cell r="B971" t="str">
            <v>Gregory Teipel</v>
          </cell>
          <cell r="C971">
            <v>210.04</v>
          </cell>
          <cell r="D971" t="str">
            <v>Term Life Express 10 15 20 30</v>
          </cell>
        </row>
        <row r="972">
          <cell r="A972" t="str">
            <v>BU4539639</v>
          </cell>
          <cell r="B972" t="str">
            <v>Matthew Daugherty</v>
          </cell>
          <cell r="C972">
            <v>62.57</v>
          </cell>
          <cell r="D972" t="str">
            <v>Term Life Express 10 15 20 30</v>
          </cell>
        </row>
        <row r="973">
          <cell r="A973" t="str">
            <v>BU4990567</v>
          </cell>
          <cell r="B973" t="str">
            <v>Gary Portugal</v>
          </cell>
          <cell r="C973">
            <v>115.77</v>
          </cell>
          <cell r="D973" t="str">
            <v xml:space="preserve">Living Promise - Level  Benefit         </v>
          </cell>
        </row>
        <row r="974">
          <cell r="A974" t="str">
            <v>511425-97</v>
          </cell>
          <cell r="B974" t="str">
            <v>Michael Dunavant</v>
          </cell>
          <cell r="C974">
            <v>155.97999999999999</v>
          </cell>
          <cell r="D974" t="str">
            <v>Medicare Supplement Plan N</v>
          </cell>
        </row>
        <row r="975">
          <cell r="A975" t="str">
            <v>BU6360737</v>
          </cell>
          <cell r="B975" t="str">
            <v>Ryan Caltagirone</v>
          </cell>
          <cell r="C975">
            <v>147.03</v>
          </cell>
          <cell r="D975" t="str">
            <v>Term Life Express 10 15 20 30</v>
          </cell>
        </row>
        <row r="976">
          <cell r="A976" t="str">
            <v>371451-41</v>
          </cell>
          <cell r="B976" t="str">
            <v>Gregory Teipel</v>
          </cell>
          <cell r="C976">
            <v>223.3</v>
          </cell>
          <cell r="D976" t="str">
            <v>Medicare Supplement Plan G</v>
          </cell>
        </row>
        <row r="977">
          <cell r="A977" t="str">
            <v>433969-97</v>
          </cell>
          <cell r="B977" t="str">
            <v>Adam Richter</v>
          </cell>
          <cell r="C977">
            <v>177.4</v>
          </cell>
          <cell r="D977" t="str">
            <v>Medicare Supplement Plan G</v>
          </cell>
        </row>
        <row r="978">
          <cell r="A978" t="str">
            <v>BU5101733</v>
          </cell>
          <cell r="B978" t="str">
            <v>Gregory Teipel</v>
          </cell>
          <cell r="C978">
            <v>139.11000000000001</v>
          </cell>
          <cell r="D978" t="str">
            <v>Term Life Express 10 15 20 30</v>
          </cell>
        </row>
        <row r="979">
          <cell r="A979" t="str">
            <v>433978-97</v>
          </cell>
          <cell r="B979" t="str">
            <v>Adam Richter</v>
          </cell>
          <cell r="C979">
            <v>177.4</v>
          </cell>
          <cell r="D979" t="str">
            <v>Medicare Supplement Plan G</v>
          </cell>
        </row>
        <row r="980">
          <cell r="A980" t="str">
            <v>BU6277506</v>
          </cell>
          <cell r="B980" t="str">
            <v>Gregory Teipel</v>
          </cell>
          <cell r="C980">
            <v>174.24</v>
          </cell>
          <cell r="D980" t="str">
            <v>Iul Express</v>
          </cell>
        </row>
        <row r="981">
          <cell r="A981" t="str">
            <v>419607-41</v>
          </cell>
          <cell r="B981" t="str">
            <v>Victor Fuentes</v>
          </cell>
          <cell r="C981">
            <v>63.16</v>
          </cell>
          <cell r="D981" t="str">
            <v xml:space="preserve">Preferred Plan (a) Dnt2b                </v>
          </cell>
        </row>
        <row r="982">
          <cell r="A982" t="str">
            <v>340190-41</v>
          </cell>
          <cell r="B982" t="str">
            <v>Richard Yale</v>
          </cell>
          <cell r="C982">
            <v>79.28</v>
          </cell>
          <cell r="D982" t="str">
            <v xml:space="preserve">Preferred Plan (a) Dnt2i                </v>
          </cell>
        </row>
        <row r="983">
          <cell r="A983" t="str">
            <v>660202-97</v>
          </cell>
          <cell r="B983" t="str">
            <v>Christian Taugner</v>
          </cell>
          <cell r="C983">
            <v>73.55</v>
          </cell>
          <cell r="D983" t="str">
            <v xml:space="preserve">Preferred Plan (a) Dnt2i                </v>
          </cell>
        </row>
        <row r="984">
          <cell r="A984" t="str">
            <v>BU5508002</v>
          </cell>
          <cell r="B984" t="str">
            <v>Colleen Finnigan</v>
          </cell>
          <cell r="C984">
            <v>245.51</v>
          </cell>
          <cell r="D984" t="str">
            <v>Term Life Express 10 15 20 30</v>
          </cell>
        </row>
        <row r="985">
          <cell r="A985" t="str">
            <v>BU4398521</v>
          </cell>
          <cell r="B985" t="str">
            <v>Matthew Daugherty</v>
          </cell>
          <cell r="C985">
            <v>255.65</v>
          </cell>
          <cell r="D985" t="str">
            <v>Term Life Express 10 15 20 30</v>
          </cell>
        </row>
        <row r="986">
          <cell r="A986" t="str">
            <v>BU4973961</v>
          </cell>
          <cell r="B986" t="str">
            <v>Ronald Max</v>
          </cell>
          <cell r="C986">
            <v>821.52</v>
          </cell>
          <cell r="D986" t="str">
            <v>Iul Express</v>
          </cell>
        </row>
        <row r="987">
          <cell r="A987" t="str">
            <v>BU4239139</v>
          </cell>
          <cell r="B987" t="str">
            <v>Adam Richter</v>
          </cell>
          <cell r="C987">
            <v>136.13999999999999</v>
          </cell>
          <cell r="D987" t="str">
            <v>Term Life Express 10 15 20 30</v>
          </cell>
        </row>
        <row r="988">
          <cell r="A988" t="str">
            <v>650319-97</v>
          </cell>
          <cell r="B988" t="str">
            <v>Dale Walenga</v>
          </cell>
          <cell r="C988">
            <v>34.36</v>
          </cell>
          <cell r="D988" t="str">
            <v xml:space="preserve">Protection  Plan (c) Dnt5i              </v>
          </cell>
        </row>
        <row r="989">
          <cell r="A989" t="str">
            <v>BU4081321</v>
          </cell>
          <cell r="B989" t="str">
            <v>Gregory Teipel</v>
          </cell>
          <cell r="C989">
            <v>110</v>
          </cell>
          <cell r="D989" t="str">
            <v>Iul Express</v>
          </cell>
        </row>
        <row r="990">
          <cell r="A990" t="str">
            <v>BU4957198</v>
          </cell>
          <cell r="B990" t="str">
            <v>Ryan Caltagirone</v>
          </cell>
          <cell r="C990">
            <v>132.31</v>
          </cell>
          <cell r="D990" t="str">
            <v>Iul Express</v>
          </cell>
        </row>
        <row r="991">
          <cell r="A991" t="str">
            <v>BU4424604</v>
          </cell>
          <cell r="B991" t="str">
            <v>Matthew Daugherty</v>
          </cell>
          <cell r="C991">
            <v>195.98</v>
          </cell>
          <cell r="D991" t="str">
            <v>Term Life Express 10 15 20 30</v>
          </cell>
        </row>
        <row r="992">
          <cell r="A992" t="str">
            <v>BU4675070</v>
          </cell>
          <cell r="B992" t="str">
            <v>Gregory Teipel</v>
          </cell>
          <cell r="C992">
            <v>179.11</v>
          </cell>
          <cell r="D992" t="str">
            <v>Tle 20-20yr Guar</v>
          </cell>
        </row>
        <row r="993">
          <cell r="A993" t="str">
            <v>723891-96</v>
          </cell>
          <cell r="B993" t="str">
            <v>Jason Hoffmann</v>
          </cell>
          <cell r="C993">
            <v>164.73</v>
          </cell>
          <cell r="D993" t="str">
            <v>Medicare Supplement Plan G</v>
          </cell>
        </row>
        <row r="994">
          <cell r="A994" t="str">
            <v>BU5103187</v>
          </cell>
          <cell r="B994" t="str">
            <v>Ryan Caltagirone</v>
          </cell>
          <cell r="C994">
            <v>63.08</v>
          </cell>
          <cell r="D994" t="str">
            <v>Iul Express</v>
          </cell>
        </row>
        <row r="995">
          <cell r="A995" t="str">
            <v>BU6219134</v>
          </cell>
          <cell r="B995" t="str">
            <v>Gregory Teipel</v>
          </cell>
          <cell r="C995">
            <v>192.42</v>
          </cell>
          <cell r="D995" t="str">
            <v>Tle 20-20yr Guar</v>
          </cell>
        </row>
        <row r="996">
          <cell r="A996" t="str">
            <v>BU6235213</v>
          </cell>
          <cell r="B996" t="str">
            <v>Matthew Daugherty</v>
          </cell>
          <cell r="C996">
            <v>106.85</v>
          </cell>
          <cell r="D996" t="str">
            <v>Iul Express</v>
          </cell>
        </row>
        <row r="997">
          <cell r="A997" t="str">
            <v>BU4431701</v>
          </cell>
          <cell r="B997" t="str">
            <v>Gregory Teipel</v>
          </cell>
          <cell r="C997">
            <v>86.37</v>
          </cell>
          <cell r="D997" t="str">
            <v>Term Life Express 10 15 20 30</v>
          </cell>
        </row>
        <row r="998">
          <cell r="A998" t="str">
            <v>BU5162612</v>
          </cell>
          <cell r="B998" t="str">
            <v>Adam Richter</v>
          </cell>
          <cell r="C998">
            <v>54.51</v>
          </cell>
          <cell r="D998" t="str">
            <v>Term Life Express 10 15 20 30</v>
          </cell>
        </row>
        <row r="999">
          <cell r="A999" t="str">
            <v>BU4538333</v>
          </cell>
          <cell r="B999" t="str">
            <v>Ryan Caltagirone</v>
          </cell>
          <cell r="C999">
            <v>19.04</v>
          </cell>
          <cell r="D999" t="str">
            <v xml:space="preserve">Children S - Whole Life                 </v>
          </cell>
        </row>
        <row r="1000">
          <cell r="A1000" t="str">
            <v>BU6281561</v>
          </cell>
          <cell r="B1000" t="str">
            <v>Gregory Teipel</v>
          </cell>
          <cell r="C1000">
            <v>297.38</v>
          </cell>
          <cell r="D1000" t="str">
            <v>Iul Express</v>
          </cell>
        </row>
        <row r="1001">
          <cell r="A1001" t="str">
            <v>BU3936534</v>
          </cell>
          <cell r="B1001" t="str">
            <v>Adam Richter</v>
          </cell>
          <cell r="C1001">
            <v>63.1</v>
          </cell>
          <cell r="D1001" t="str">
            <v>Term Life Express 10 15 20 30</v>
          </cell>
        </row>
        <row r="1002">
          <cell r="A1002" t="str">
            <v>BU6400042</v>
          </cell>
          <cell r="B1002" t="str">
            <v>Gary Portugal</v>
          </cell>
          <cell r="C1002">
            <v>80.739999999999995</v>
          </cell>
          <cell r="D1002" t="str">
            <v xml:space="preserve">Living Promise-graded                   </v>
          </cell>
        </row>
        <row r="1003">
          <cell r="A1003" t="str">
            <v>BU4455828</v>
          </cell>
          <cell r="B1003" t="str">
            <v>Gregory Teipel</v>
          </cell>
          <cell r="C1003">
            <v>201.42</v>
          </cell>
          <cell r="D1003" t="str">
            <v>Iul Express</v>
          </cell>
        </row>
        <row r="1004">
          <cell r="A1004" t="str">
            <v>BU5383730</v>
          </cell>
          <cell r="B1004" t="str">
            <v>Matthew Daugherty</v>
          </cell>
          <cell r="C1004">
            <v>165.45</v>
          </cell>
          <cell r="D1004" t="str">
            <v>Term Life Express 10 15 20 30</v>
          </cell>
        </row>
        <row r="1005">
          <cell r="A1005" t="str">
            <v>402584-41</v>
          </cell>
          <cell r="B1005" t="str">
            <v>Gregory Teipel</v>
          </cell>
          <cell r="C1005">
            <v>233.99</v>
          </cell>
          <cell r="D1005" t="str">
            <v>Medicare Supplement Plan N</v>
          </cell>
        </row>
        <row r="1006">
          <cell r="A1006" t="str">
            <v>BU4158072</v>
          </cell>
          <cell r="B1006" t="str">
            <v>Adam Richter</v>
          </cell>
          <cell r="C1006">
            <v>29.82</v>
          </cell>
          <cell r="D1006" t="str">
            <v>Term Life Express 10 15 20 30</v>
          </cell>
        </row>
        <row r="1007">
          <cell r="A1007" t="str">
            <v>BU4401700</v>
          </cell>
          <cell r="B1007" t="str">
            <v>Gregory Teipel</v>
          </cell>
          <cell r="C1007">
            <v>123.15</v>
          </cell>
          <cell r="D1007" t="str">
            <v>Term Life Express 10 15 20 30</v>
          </cell>
        </row>
        <row r="1008">
          <cell r="A1008" t="str">
            <v>BU4405645</v>
          </cell>
          <cell r="B1008" t="str">
            <v>Matthew Daugherty</v>
          </cell>
          <cell r="C1008">
            <v>173.55</v>
          </cell>
          <cell r="D1008" t="str">
            <v>Term Life Express 10 15 20 30</v>
          </cell>
        </row>
        <row r="1009">
          <cell r="A1009" t="str">
            <v>563542-96</v>
          </cell>
          <cell r="B1009" t="str">
            <v>Carol Foley</v>
          </cell>
          <cell r="C1009">
            <v>224.13</v>
          </cell>
          <cell r="D1009" t="str">
            <v>Medicare Supplement Plan G</v>
          </cell>
        </row>
        <row r="1010">
          <cell r="A1010" t="str">
            <v>BU5172750</v>
          </cell>
          <cell r="B1010" t="str">
            <v>Thomas Pardue</v>
          </cell>
          <cell r="C1010">
            <v>65.42</v>
          </cell>
          <cell r="D1010" t="str">
            <v>Term Life Express 10 15 20 30</v>
          </cell>
        </row>
        <row r="1011">
          <cell r="A1011" t="str">
            <v>BU4894727</v>
          </cell>
          <cell r="B1011" t="str">
            <v>Gregory Teipel</v>
          </cell>
          <cell r="C1011">
            <v>116.55</v>
          </cell>
          <cell r="D1011" t="str">
            <v>Iul Express</v>
          </cell>
        </row>
        <row r="1012">
          <cell r="A1012" t="str">
            <v>325912-41</v>
          </cell>
          <cell r="B1012" t="str">
            <v>Richard Yale</v>
          </cell>
          <cell r="C1012">
            <v>36.08</v>
          </cell>
          <cell r="D1012" t="str">
            <v xml:space="preserve">Protection  Plan (c) Dnt5i              </v>
          </cell>
        </row>
        <row r="1013">
          <cell r="A1013" t="str">
            <v>BU4060472</v>
          </cell>
          <cell r="B1013" t="str">
            <v>Gregory Teipel</v>
          </cell>
          <cell r="C1013">
            <v>125</v>
          </cell>
          <cell r="D1013" t="str">
            <v>Iul Express</v>
          </cell>
        </row>
        <row r="1014">
          <cell r="A1014" t="str">
            <v>BU5335372</v>
          </cell>
          <cell r="B1014" t="str">
            <v>Ryan Caltagirone</v>
          </cell>
          <cell r="C1014">
            <v>125.56</v>
          </cell>
          <cell r="D1014" t="str">
            <v>Term Life Express 10 15 20 30</v>
          </cell>
        </row>
        <row r="1015">
          <cell r="A1015" t="str">
            <v>BU4386039</v>
          </cell>
          <cell r="B1015" t="str">
            <v>Gregory Teipel</v>
          </cell>
          <cell r="C1015">
            <v>98.77</v>
          </cell>
          <cell r="D1015" t="str">
            <v>Term Life Express 10 15 20 30</v>
          </cell>
        </row>
        <row r="1016">
          <cell r="A1016" t="str">
            <v>BU4986521</v>
          </cell>
          <cell r="B1016" t="str">
            <v>Gregory Teipel</v>
          </cell>
          <cell r="C1016">
            <v>237.63</v>
          </cell>
          <cell r="D1016" t="str">
            <v>Tle 15-15yr Guar</v>
          </cell>
        </row>
        <row r="1017">
          <cell r="A1017" t="str">
            <v>914561-96</v>
          </cell>
          <cell r="B1017" t="str">
            <v>Anne Marie Kozacheck</v>
          </cell>
          <cell r="C1017">
            <v>154.27000000000001</v>
          </cell>
          <cell r="D1017" t="str">
            <v>Medicare Supplement Plan G</v>
          </cell>
        </row>
        <row r="1018">
          <cell r="A1018" t="str">
            <v>466381-41</v>
          </cell>
          <cell r="B1018" t="str">
            <v>Ines Berg</v>
          </cell>
          <cell r="C1018">
            <v>27.69</v>
          </cell>
          <cell r="D1018" t="str">
            <v xml:space="preserve">Protection  Plan (c) Dnt5i              </v>
          </cell>
        </row>
        <row r="1019">
          <cell r="A1019" t="str">
            <v>BU5538494</v>
          </cell>
          <cell r="B1019" t="str">
            <v>Gregory Teipel</v>
          </cell>
          <cell r="C1019">
            <v>84.08</v>
          </cell>
          <cell r="D1019" t="str">
            <v>Iul Express</v>
          </cell>
        </row>
        <row r="1020">
          <cell r="A1020" t="str">
            <v>BU4506759</v>
          </cell>
          <cell r="B1020" t="str">
            <v>Matthew Daugherty</v>
          </cell>
          <cell r="C1020">
            <v>16.54</v>
          </cell>
          <cell r="D1020" t="str">
            <v>Term Life Express 10 15 20 30</v>
          </cell>
        </row>
        <row r="1021">
          <cell r="A1021" t="str">
            <v>367215-97</v>
          </cell>
          <cell r="B1021" t="str">
            <v>Adam Richter</v>
          </cell>
          <cell r="C1021">
            <v>119.09</v>
          </cell>
          <cell r="D1021" t="str">
            <v>Medicare Supplement Plan N</v>
          </cell>
        </row>
        <row r="1022">
          <cell r="A1022" t="str">
            <v>850902-97</v>
          </cell>
          <cell r="B1022" t="str">
            <v>Gregory Teipel</v>
          </cell>
          <cell r="C1022">
            <v>180.14</v>
          </cell>
          <cell r="D1022" t="str">
            <v>Medicare Supplement Plan G</v>
          </cell>
        </row>
        <row r="1023">
          <cell r="A1023" t="str">
            <v>624106-97</v>
          </cell>
          <cell r="B1023" t="str">
            <v>Michael Dunavant</v>
          </cell>
          <cell r="C1023">
            <v>113.86</v>
          </cell>
          <cell r="D1023" t="str">
            <v>Medicare Supplement Plan G</v>
          </cell>
        </row>
        <row r="1024">
          <cell r="A1024" t="str">
            <v>BU5036562</v>
          </cell>
          <cell r="B1024" t="str">
            <v>Matthew Daugherty</v>
          </cell>
          <cell r="C1024">
            <v>62.57</v>
          </cell>
          <cell r="D1024" t="str">
            <v>Term Life Express 10 15 20 30</v>
          </cell>
        </row>
        <row r="1025">
          <cell r="A1025" t="str">
            <v>BU4725322</v>
          </cell>
          <cell r="B1025" t="str">
            <v>Gregory Teipel</v>
          </cell>
          <cell r="C1025">
            <v>165.45</v>
          </cell>
          <cell r="D1025" t="str">
            <v>Term Life Express 10 15 20 30</v>
          </cell>
        </row>
        <row r="1026">
          <cell r="A1026" t="str">
            <v>BU5494554</v>
          </cell>
          <cell r="B1026" t="str">
            <v>Gregory Teipel</v>
          </cell>
          <cell r="C1026">
            <v>106.05</v>
          </cell>
          <cell r="D1026" t="str">
            <v>Iul Express</v>
          </cell>
        </row>
        <row r="1027">
          <cell r="A1027" t="str">
            <v>BU5062735</v>
          </cell>
          <cell r="B1027" t="str">
            <v>Ronald Max</v>
          </cell>
          <cell r="C1027">
            <v>161.44999999999999</v>
          </cell>
          <cell r="D1027" t="str">
            <v>Term Life Express 10 15 20 30</v>
          </cell>
        </row>
        <row r="1028">
          <cell r="A1028" t="str">
            <v>BU5009494</v>
          </cell>
          <cell r="B1028" t="str">
            <v>Gregory Teipel</v>
          </cell>
          <cell r="C1028">
            <v>101.24</v>
          </cell>
          <cell r="D1028" t="str">
            <v>Term Life Express 10 15 20 30</v>
          </cell>
        </row>
        <row r="1029">
          <cell r="A1029" t="str">
            <v>BU4444217</v>
          </cell>
          <cell r="B1029" t="str">
            <v>Gregory Teipel</v>
          </cell>
          <cell r="C1029">
            <v>94.92</v>
          </cell>
          <cell r="D1029" t="str">
            <v>Term Life Express 10 15 20 30</v>
          </cell>
        </row>
        <row r="1030">
          <cell r="A1030" t="str">
            <v>BU5349227</v>
          </cell>
          <cell r="B1030" t="str">
            <v>Gregory Teipel</v>
          </cell>
          <cell r="C1030">
            <v>411.76</v>
          </cell>
          <cell r="D1030" t="str">
            <v>Iul Express</v>
          </cell>
        </row>
        <row r="1031">
          <cell r="A1031" t="str">
            <v>655850-96</v>
          </cell>
          <cell r="B1031" t="str">
            <v>Anne Marie Kozacheck</v>
          </cell>
          <cell r="C1031">
            <v>363.59</v>
          </cell>
          <cell r="D1031" t="str">
            <v>Medicare Supplement Plan G</v>
          </cell>
        </row>
        <row r="1032">
          <cell r="A1032" t="str">
            <v>BU4971836</v>
          </cell>
          <cell r="B1032" t="str">
            <v>Thomas Pardue</v>
          </cell>
          <cell r="C1032">
            <v>25.72</v>
          </cell>
          <cell r="D1032" t="str">
            <v>Tle 20-20yr Guar</v>
          </cell>
        </row>
        <row r="1033">
          <cell r="A1033" t="str">
            <v>BU5217041</v>
          </cell>
          <cell r="B1033" t="str">
            <v>Matthew Daugherty</v>
          </cell>
          <cell r="C1033">
            <v>71.819999999999993</v>
          </cell>
          <cell r="D1033" t="str">
            <v>Term Life Express 10 15 20 30</v>
          </cell>
        </row>
        <row r="1034">
          <cell r="A1034" t="str">
            <v>564582-97</v>
          </cell>
          <cell r="B1034" t="str">
            <v>Dale Walenga</v>
          </cell>
          <cell r="C1034">
            <v>36.08</v>
          </cell>
          <cell r="D1034" t="str">
            <v xml:space="preserve">Protection  Plan (c) Dnt5i              </v>
          </cell>
        </row>
        <row r="1035">
          <cell r="A1035" t="str">
            <v>BU4389748</v>
          </cell>
          <cell r="B1035" t="str">
            <v>Matthew Daugherty</v>
          </cell>
          <cell r="C1035">
            <v>221.15</v>
          </cell>
          <cell r="D1035" t="str">
            <v>Term Life</v>
          </cell>
        </row>
        <row r="1036">
          <cell r="A1036" t="str">
            <v>BU6155979</v>
          </cell>
          <cell r="B1036" t="str">
            <v>Matthew Daugherty</v>
          </cell>
          <cell r="C1036">
            <v>91.31</v>
          </cell>
          <cell r="D1036" t="str">
            <v>Tle 20-20yr Guar</v>
          </cell>
        </row>
        <row r="1037">
          <cell r="A1037" t="str">
            <v>500156-97</v>
          </cell>
          <cell r="B1037" t="str">
            <v>Michael Dunavant</v>
          </cell>
          <cell r="C1037">
            <v>197.12</v>
          </cell>
          <cell r="D1037" t="str">
            <v>Medicare Supplement Plan G</v>
          </cell>
        </row>
        <row r="1038">
          <cell r="A1038" t="str">
            <v>BU5414730</v>
          </cell>
          <cell r="B1038" t="str">
            <v>Ryan Caltagirone</v>
          </cell>
          <cell r="C1038">
            <v>272.86</v>
          </cell>
          <cell r="D1038" t="str">
            <v>Iul Express</v>
          </cell>
        </row>
        <row r="1039">
          <cell r="A1039" t="str">
            <v>BU4437806</v>
          </cell>
          <cell r="B1039" t="str">
            <v>Matthew Daugherty</v>
          </cell>
          <cell r="C1039">
            <v>136.57</v>
          </cell>
          <cell r="D1039" t="str">
            <v>Term Life Express 10 15 20 30</v>
          </cell>
        </row>
        <row r="1040">
          <cell r="A1040" t="str">
            <v>552478-97</v>
          </cell>
          <cell r="B1040" t="str">
            <v>Richard Yale</v>
          </cell>
          <cell r="C1040">
            <v>36.08</v>
          </cell>
          <cell r="D1040" t="str">
            <v xml:space="preserve">Protection  Plan (c) Dnt5i              </v>
          </cell>
        </row>
        <row r="1041">
          <cell r="A1041" t="str">
            <v>BU5081502</v>
          </cell>
          <cell r="B1041" t="str">
            <v>Ryan Caltagirone</v>
          </cell>
          <cell r="C1041">
            <v>122.69</v>
          </cell>
          <cell r="D1041" t="str">
            <v>Iul Express</v>
          </cell>
        </row>
        <row r="1042">
          <cell r="A1042" t="str">
            <v>340193-41</v>
          </cell>
          <cell r="B1042" t="str">
            <v>Richard Yale</v>
          </cell>
          <cell r="C1042">
            <v>79.28</v>
          </cell>
          <cell r="D1042" t="str">
            <v xml:space="preserve">Preferred Plan (a) Dnt2i                </v>
          </cell>
        </row>
        <row r="1043">
          <cell r="A1043" t="str">
            <v>BU5273525</v>
          </cell>
          <cell r="B1043" t="str">
            <v>Ryan Caltagirone</v>
          </cell>
          <cell r="C1043">
            <v>330.7</v>
          </cell>
          <cell r="D1043" t="str">
            <v>Iul Express</v>
          </cell>
        </row>
        <row r="1044">
          <cell r="A1044" t="str">
            <v>BU6227106</v>
          </cell>
          <cell r="B1044" t="str">
            <v>Gregory Teipel</v>
          </cell>
          <cell r="C1044">
            <v>421.44</v>
          </cell>
          <cell r="D1044" t="str">
            <v>Iul Express</v>
          </cell>
        </row>
        <row r="1045">
          <cell r="A1045" t="str">
            <v>BU4947002</v>
          </cell>
          <cell r="B1045" t="str">
            <v>Matthew Daugherty</v>
          </cell>
          <cell r="C1045">
            <v>304.16000000000003</v>
          </cell>
          <cell r="D1045" t="str">
            <v>Term Life Express 10 15 20 30</v>
          </cell>
        </row>
        <row r="1046">
          <cell r="A1046" t="str">
            <v>BU5085343</v>
          </cell>
          <cell r="B1046" t="str">
            <v>Gregory Teipel</v>
          </cell>
          <cell r="C1046">
            <v>31.51</v>
          </cell>
          <cell r="D1046" t="str">
            <v>Term Life Express 10 15 20 30</v>
          </cell>
        </row>
        <row r="1047">
          <cell r="A1047" t="str">
            <v>BU5255661</v>
          </cell>
          <cell r="B1047" t="str">
            <v>Gregory Teipel</v>
          </cell>
          <cell r="C1047">
            <v>160.63</v>
          </cell>
          <cell r="D1047" t="str">
            <v>Iul Express</v>
          </cell>
        </row>
        <row r="1048">
          <cell r="A1048" t="str">
            <v>BU4227413</v>
          </cell>
          <cell r="B1048" t="str">
            <v>Gregory Teipel</v>
          </cell>
          <cell r="C1048">
            <v>200.81</v>
          </cell>
          <cell r="D1048" t="str">
            <v>Iul Express</v>
          </cell>
        </row>
        <row r="1049">
          <cell r="A1049" t="str">
            <v>BU5062401</v>
          </cell>
          <cell r="B1049" t="str">
            <v>Jared Kinyua</v>
          </cell>
          <cell r="C1049">
            <v>116.77</v>
          </cell>
          <cell r="D1049" t="str">
            <v xml:space="preserve">Living Promise-graded                   </v>
          </cell>
        </row>
        <row r="1050">
          <cell r="A1050" t="str">
            <v>BU5107747</v>
          </cell>
          <cell r="B1050" t="str">
            <v>Odmaa Enkhtur</v>
          </cell>
          <cell r="C1050">
            <v>102.95</v>
          </cell>
          <cell r="D1050" t="str">
            <v>Iul Express</v>
          </cell>
        </row>
        <row r="1051">
          <cell r="A1051" t="str">
            <v>BU4159784</v>
          </cell>
          <cell r="B1051" t="str">
            <v>Gregory Teipel</v>
          </cell>
          <cell r="C1051">
            <v>197.32</v>
          </cell>
          <cell r="D1051" t="str">
            <v>Iul Express</v>
          </cell>
        </row>
        <row r="1052">
          <cell r="A1052" t="str">
            <v>BU6190433</v>
          </cell>
          <cell r="B1052" t="str">
            <v>Gregory Teipel</v>
          </cell>
          <cell r="C1052">
            <v>192.42</v>
          </cell>
          <cell r="D1052" t="str">
            <v>Term Life Express 10 15 20 30</v>
          </cell>
        </row>
        <row r="1053">
          <cell r="A1053" t="str">
            <v>BU6280537</v>
          </cell>
          <cell r="B1053" t="str">
            <v>Colleen Finnigan</v>
          </cell>
          <cell r="C1053">
            <v>285.95999999999998</v>
          </cell>
          <cell r="D1053" t="str">
            <v>Term Life Express 10 15 20 30</v>
          </cell>
        </row>
        <row r="1054">
          <cell r="A1054" t="str">
            <v>910206-96</v>
          </cell>
          <cell r="B1054" t="str">
            <v>Gregory Teipel</v>
          </cell>
          <cell r="C1054">
            <v>185.72</v>
          </cell>
          <cell r="D1054" t="str">
            <v>Medicare Supplement Plan G</v>
          </cell>
        </row>
        <row r="1055">
          <cell r="A1055" t="str">
            <v>BU4375205</v>
          </cell>
          <cell r="B1055" t="str">
            <v>Gregory Teipel</v>
          </cell>
          <cell r="C1055">
            <v>180</v>
          </cell>
          <cell r="D1055" t="str">
            <v>Iul Express</v>
          </cell>
        </row>
        <row r="1056">
          <cell r="A1056" t="str">
            <v>590925-97</v>
          </cell>
          <cell r="B1056" t="str">
            <v>Michael Dunavant</v>
          </cell>
          <cell r="C1056">
            <v>113.86</v>
          </cell>
          <cell r="D1056" t="str">
            <v>Medicare Supplement Plan G</v>
          </cell>
        </row>
        <row r="1057">
          <cell r="A1057" t="str">
            <v>BU4111998</v>
          </cell>
          <cell r="B1057" t="str">
            <v>Gregory Teipel</v>
          </cell>
          <cell r="C1057">
            <v>500</v>
          </cell>
          <cell r="D1057" t="str">
            <v>Iul Express</v>
          </cell>
        </row>
        <row r="1058">
          <cell r="A1058" t="str">
            <v>BU5533904</v>
          </cell>
          <cell r="B1058" t="str">
            <v>Ryan Caltagirone</v>
          </cell>
          <cell r="C1058">
            <v>136.82</v>
          </cell>
          <cell r="D1058" t="str">
            <v>Iul Express</v>
          </cell>
        </row>
        <row r="1059">
          <cell r="A1059" t="str">
            <v>BU5238231</v>
          </cell>
          <cell r="B1059" t="str">
            <v>Gregory Teipel</v>
          </cell>
          <cell r="C1059">
            <v>163.63999999999999</v>
          </cell>
          <cell r="D1059" t="str">
            <v>Iul Express</v>
          </cell>
        </row>
        <row r="1060">
          <cell r="A1060" t="str">
            <v>BU3885153</v>
          </cell>
          <cell r="B1060" t="str">
            <v>Katelenn Caltagirone</v>
          </cell>
          <cell r="C1060">
            <v>138.91999999999999</v>
          </cell>
          <cell r="D1060" t="str">
            <v>Tle 20-20yr Guar</v>
          </cell>
        </row>
        <row r="1061">
          <cell r="A1061" t="str">
            <v>BU4978608</v>
          </cell>
          <cell r="B1061" t="str">
            <v>Gregory Teipel</v>
          </cell>
          <cell r="C1061">
            <v>66.349999999999994</v>
          </cell>
          <cell r="D1061" t="str">
            <v>Term Life Express 10 15 20 30</v>
          </cell>
        </row>
        <row r="1062">
          <cell r="A1062" t="str">
            <v>BU4988345</v>
          </cell>
          <cell r="B1062" t="str">
            <v>Ryan Caltagirone</v>
          </cell>
          <cell r="C1062">
            <v>76.959999999999994</v>
          </cell>
          <cell r="D1062" t="str">
            <v>Tle 20-20yr Guar</v>
          </cell>
        </row>
        <row r="1063">
          <cell r="A1063" t="str">
            <v>BU4329761</v>
          </cell>
          <cell r="B1063" t="str">
            <v>Matthew Daugherty</v>
          </cell>
          <cell r="C1063">
            <v>162.6</v>
          </cell>
          <cell r="D1063" t="str">
            <v>Term Life Express 10 15 20 30</v>
          </cell>
        </row>
        <row r="1064">
          <cell r="A1064" t="str">
            <v>BU4936830</v>
          </cell>
          <cell r="B1064" t="str">
            <v>Ryan Caltagirone</v>
          </cell>
          <cell r="C1064">
            <v>59.42</v>
          </cell>
          <cell r="D1064" t="str">
            <v>Term Life Express 10 15 20 30</v>
          </cell>
        </row>
        <row r="1065">
          <cell r="A1065" t="str">
            <v>BU4842509</v>
          </cell>
          <cell r="B1065" t="str">
            <v>Gregory Teipel</v>
          </cell>
          <cell r="C1065">
            <v>211.35</v>
          </cell>
          <cell r="D1065" t="str">
            <v>Iul Express</v>
          </cell>
        </row>
        <row r="1066">
          <cell r="A1066" t="str">
            <v>BU6227115</v>
          </cell>
          <cell r="B1066" t="str">
            <v>Ryan Caltagirone</v>
          </cell>
          <cell r="C1066">
            <v>128</v>
          </cell>
          <cell r="D1066" t="str">
            <v>Iul Express</v>
          </cell>
        </row>
        <row r="1067">
          <cell r="A1067" t="str">
            <v>BU4449213</v>
          </cell>
          <cell r="B1067" t="str">
            <v>Matthew Daugherty</v>
          </cell>
          <cell r="C1067">
            <v>315.45999999999998</v>
          </cell>
          <cell r="D1067" t="str">
            <v>Term Life Express 10 15 20 30</v>
          </cell>
        </row>
        <row r="1068">
          <cell r="A1068" t="str">
            <v>BU4904076</v>
          </cell>
          <cell r="B1068" t="str">
            <v>Gregory Teipel</v>
          </cell>
          <cell r="C1068">
            <v>194.98</v>
          </cell>
          <cell r="D1068" t="str">
            <v>Iul Express</v>
          </cell>
        </row>
        <row r="1069">
          <cell r="A1069" t="str">
            <v>BU6269155</v>
          </cell>
          <cell r="B1069" t="str">
            <v>Gregory Teipel</v>
          </cell>
          <cell r="C1069">
            <v>265.99</v>
          </cell>
          <cell r="D1069" t="str">
            <v>Iul Express</v>
          </cell>
        </row>
        <row r="1070">
          <cell r="A1070" t="str">
            <v>BU6285671</v>
          </cell>
          <cell r="B1070" t="str">
            <v>Gregory Teipel</v>
          </cell>
          <cell r="C1070">
            <v>261.91000000000003</v>
          </cell>
          <cell r="D1070" t="str">
            <v>Iul Express</v>
          </cell>
        </row>
        <row r="1071">
          <cell r="A1071" t="str">
            <v>BU4320141</v>
          </cell>
          <cell r="B1071" t="str">
            <v>Gregory Teipel</v>
          </cell>
          <cell r="C1071">
            <v>164.65</v>
          </cell>
          <cell r="D1071" t="str">
            <v>Iul Express</v>
          </cell>
        </row>
        <row r="1072">
          <cell r="A1072" t="str">
            <v>BU4791148</v>
          </cell>
          <cell r="B1072" t="str">
            <v>Ryan Caltagirone</v>
          </cell>
          <cell r="C1072">
            <v>43.79</v>
          </cell>
          <cell r="D1072" t="str">
            <v>Tle 20-20yr Guar</v>
          </cell>
        </row>
        <row r="1073">
          <cell r="A1073" t="str">
            <v>BU6378658</v>
          </cell>
          <cell r="B1073" t="str">
            <v>Gregory Teipel</v>
          </cell>
          <cell r="C1073">
            <v>322.95999999999998</v>
          </cell>
          <cell r="D1073" t="str">
            <v>Iul Express</v>
          </cell>
        </row>
        <row r="1074">
          <cell r="A1074" t="str">
            <v>BU5539523</v>
          </cell>
          <cell r="B1074" t="str">
            <v>Gregory Teipel</v>
          </cell>
          <cell r="C1074">
            <v>245.51</v>
          </cell>
          <cell r="D1074" t="str">
            <v>Term Life Express 10 15 20 30</v>
          </cell>
        </row>
        <row r="1075">
          <cell r="A1075" t="str">
            <v>404890-41</v>
          </cell>
          <cell r="B1075" t="str">
            <v>Gregory Teipel</v>
          </cell>
          <cell r="C1075">
            <v>193.61</v>
          </cell>
          <cell r="D1075" t="str">
            <v>Medicare Supplement Plan G</v>
          </cell>
        </row>
        <row r="1076">
          <cell r="A1076" t="str">
            <v>BU4996322</v>
          </cell>
          <cell r="B1076" t="str">
            <v>Gregory Teipel</v>
          </cell>
          <cell r="C1076">
            <v>202.12</v>
          </cell>
          <cell r="D1076" t="str">
            <v>Term Life Express 10 15 20 30</v>
          </cell>
        </row>
        <row r="1077">
          <cell r="A1077" t="str">
            <v>623640-97</v>
          </cell>
          <cell r="B1077" t="str">
            <v>Dale Walenga</v>
          </cell>
          <cell r="C1077">
            <v>33.74</v>
          </cell>
          <cell r="D1077" t="str">
            <v xml:space="preserve">Protection  Plan (c) Dnt5e              </v>
          </cell>
        </row>
        <row r="1078">
          <cell r="A1078" t="str">
            <v>BU3951683</v>
          </cell>
          <cell r="B1078" t="str">
            <v>Gregory Teipel</v>
          </cell>
          <cell r="C1078">
            <v>462.36</v>
          </cell>
          <cell r="D1078" t="str">
            <v>Tle 20-20yr Guar</v>
          </cell>
        </row>
        <row r="1079">
          <cell r="A1079" t="str">
            <v>BU4624111</v>
          </cell>
          <cell r="B1079" t="str">
            <v>Gregory Teipel</v>
          </cell>
          <cell r="C1079">
            <v>119.54</v>
          </cell>
          <cell r="D1079" t="str">
            <v>Iul Express</v>
          </cell>
        </row>
        <row r="1080">
          <cell r="A1080" t="str">
            <v>416250-97</v>
          </cell>
          <cell r="B1080" t="str">
            <v>Carol Foley</v>
          </cell>
          <cell r="C1080">
            <v>169.28</v>
          </cell>
          <cell r="D1080" t="str">
            <v>Medicare Supplement Plan G</v>
          </cell>
        </row>
        <row r="1081">
          <cell r="A1081" t="str">
            <v>BU5521077</v>
          </cell>
          <cell r="B1081" t="str">
            <v>Gregory Teipel</v>
          </cell>
          <cell r="C1081">
            <v>151.21</v>
          </cell>
          <cell r="D1081" t="str">
            <v>Iul Express</v>
          </cell>
        </row>
        <row r="1082">
          <cell r="A1082" t="str">
            <v>BU4674698</v>
          </cell>
          <cell r="B1082" t="str">
            <v>Gregory Teipel</v>
          </cell>
          <cell r="C1082">
            <v>156.46</v>
          </cell>
          <cell r="D1082" t="str">
            <v>Term Life Express 10 15 20 30</v>
          </cell>
        </row>
        <row r="1083">
          <cell r="A1083" t="str">
            <v>BU4133175</v>
          </cell>
          <cell r="B1083" t="str">
            <v>Gregory Teipel</v>
          </cell>
          <cell r="C1083">
            <v>215</v>
          </cell>
          <cell r="D1083" t="str">
            <v>Iul Express</v>
          </cell>
        </row>
        <row r="1084">
          <cell r="A1084" t="str">
            <v>BU4889412</v>
          </cell>
          <cell r="B1084" t="str">
            <v>Gregory Teipel</v>
          </cell>
          <cell r="C1084">
            <v>397.1</v>
          </cell>
          <cell r="D1084" t="str">
            <v>Iul Express</v>
          </cell>
        </row>
        <row r="1085">
          <cell r="A1085" t="str">
            <v>BU5182312</v>
          </cell>
          <cell r="B1085" t="str">
            <v>Gregory Teipel</v>
          </cell>
          <cell r="C1085">
            <v>134.81</v>
          </cell>
          <cell r="D1085" t="str">
            <v>Iul Express</v>
          </cell>
        </row>
        <row r="1086">
          <cell r="A1086" t="str">
            <v>511676-97</v>
          </cell>
          <cell r="B1086" t="str">
            <v>Michael Dunavant</v>
          </cell>
          <cell r="C1086">
            <v>180.14</v>
          </cell>
          <cell r="D1086" t="str">
            <v>Medicare Supplement Plan G</v>
          </cell>
        </row>
        <row r="1087">
          <cell r="A1087" t="str">
            <v>BU4696343</v>
          </cell>
          <cell r="B1087" t="str">
            <v>Ryan Caltagirone</v>
          </cell>
          <cell r="C1087">
            <v>133.25</v>
          </cell>
          <cell r="D1087" t="str">
            <v>Term Life Express 10 15 20 30</v>
          </cell>
        </row>
        <row r="1088">
          <cell r="A1088" t="str">
            <v>BU5207458</v>
          </cell>
          <cell r="B1088" t="str">
            <v>Deborah Inskipt</v>
          </cell>
          <cell r="C1088">
            <v>35.75</v>
          </cell>
          <cell r="D1088" t="str">
            <v>Iul Express</v>
          </cell>
        </row>
        <row r="1089">
          <cell r="A1089" t="str">
            <v>BU4432168</v>
          </cell>
          <cell r="B1089" t="str">
            <v>Gregory Teipel</v>
          </cell>
          <cell r="C1089">
            <v>196.6</v>
          </cell>
          <cell r="D1089" t="str">
            <v>Term Life Express 10 15 20 30</v>
          </cell>
        </row>
        <row r="1090">
          <cell r="A1090" t="str">
            <v>BU5026419</v>
          </cell>
          <cell r="B1090" t="str">
            <v>Gregory Teipel</v>
          </cell>
          <cell r="C1090">
            <v>411.18</v>
          </cell>
          <cell r="D1090" t="str">
            <v>Iul Express</v>
          </cell>
        </row>
        <row r="1091">
          <cell r="A1091" t="str">
            <v>BU4681002</v>
          </cell>
          <cell r="B1091" t="str">
            <v>Ryan Caltagirone</v>
          </cell>
          <cell r="C1091">
            <v>233.73</v>
          </cell>
          <cell r="D1091" t="str">
            <v>Iul Express</v>
          </cell>
        </row>
        <row r="1092">
          <cell r="A1092" t="str">
            <v>818227-97</v>
          </cell>
          <cell r="B1092" t="str">
            <v>Jason Roller</v>
          </cell>
          <cell r="C1092">
            <v>74.209999999999994</v>
          </cell>
          <cell r="D1092" t="str">
            <v xml:space="preserve">Preferred Plan (a) Dnt2e                </v>
          </cell>
        </row>
        <row r="1093">
          <cell r="A1093" t="str">
            <v>BU5547009</v>
          </cell>
          <cell r="B1093" t="str">
            <v>Gregory Teipel</v>
          </cell>
          <cell r="C1093">
            <v>267.10000000000002</v>
          </cell>
          <cell r="D1093" t="str">
            <v>Iul Express</v>
          </cell>
        </row>
        <row r="1094">
          <cell r="A1094" t="str">
            <v>BU6221963</v>
          </cell>
          <cell r="B1094" t="str">
            <v>Ryan Caltagirone</v>
          </cell>
          <cell r="C1094">
            <v>99.85</v>
          </cell>
          <cell r="D1094" t="str">
            <v>Term Life Express 10 15 20 30</v>
          </cell>
        </row>
        <row r="1095">
          <cell r="A1095" t="str">
            <v>BU6241487</v>
          </cell>
          <cell r="B1095" t="str">
            <v>Matthew Daugherty</v>
          </cell>
          <cell r="C1095">
            <v>93.18</v>
          </cell>
          <cell r="D1095" t="str">
            <v>Term Life Express 10 15 20 30</v>
          </cell>
        </row>
        <row r="1096">
          <cell r="A1096" t="str">
            <v>BU4305409</v>
          </cell>
          <cell r="B1096" t="str">
            <v>Adam Richter</v>
          </cell>
          <cell r="C1096">
            <v>34.799999999999997</v>
          </cell>
          <cell r="D1096" t="str">
            <v>Term Life Express 10 15 20 30</v>
          </cell>
        </row>
        <row r="1097">
          <cell r="A1097" t="str">
            <v>488716-97</v>
          </cell>
          <cell r="B1097" t="str">
            <v>Dale Walenga</v>
          </cell>
          <cell r="C1097">
            <v>36.08</v>
          </cell>
          <cell r="D1097" t="str">
            <v xml:space="preserve">Protection  Plan (c) Dnt5i              </v>
          </cell>
        </row>
        <row r="1098">
          <cell r="A1098" t="str">
            <v>BU4445995</v>
          </cell>
          <cell r="B1098" t="str">
            <v>Matthew Daugherty</v>
          </cell>
          <cell r="C1098">
            <v>265.75</v>
          </cell>
          <cell r="D1098" t="str">
            <v>Term Life</v>
          </cell>
        </row>
        <row r="1099">
          <cell r="A1099" t="str">
            <v>BU4788746</v>
          </cell>
          <cell r="B1099" t="str">
            <v>Ryan Caltagirone</v>
          </cell>
          <cell r="C1099">
            <v>191.17</v>
          </cell>
          <cell r="D1099" t="str">
            <v>Term Life Express 10 15 20 30</v>
          </cell>
        </row>
        <row r="1100">
          <cell r="A1100" t="str">
            <v>BU4421131</v>
          </cell>
          <cell r="B1100" t="str">
            <v>Matthew Daugherty</v>
          </cell>
          <cell r="C1100">
            <v>180.23</v>
          </cell>
          <cell r="D1100" t="str">
            <v>Term Life Express 10 15 20 30</v>
          </cell>
        </row>
        <row r="1101">
          <cell r="A1101" t="str">
            <v>BU6172468</v>
          </cell>
          <cell r="B1101" t="str">
            <v>Dominic Lytle</v>
          </cell>
          <cell r="C1101">
            <v>53.84</v>
          </cell>
          <cell r="D1101" t="str">
            <v>Iul Express</v>
          </cell>
        </row>
        <row r="1102">
          <cell r="A1102" t="str">
            <v>BU6200535</v>
          </cell>
          <cell r="B1102" t="str">
            <v>Matthew Daugherty</v>
          </cell>
          <cell r="C1102">
            <v>59.01</v>
          </cell>
          <cell r="D1102" t="str">
            <v>Term Life Express 10 15 20 30</v>
          </cell>
        </row>
        <row r="1103">
          <cell r="A1103" t="str">
            <v>BU5323954</v>
          </cell>
          <cell r="B1103" t="str">
            <v>Gregory Teipel</v>
          </cell>
          <cell r="C1103">
            <v>366</v>
          </cell>
          <cell r="D1103" t="str">
            <v>Iul Express</v>
          </cell>
        </row>
        <row r="1104">
          <cell r="A1104" t="str">
            <v>BU4436475</v>
          </cell>
          <cell r="B1104" t="str">
            <v>Matthew Daugherty</v>
          </cell>
          <cell r="C1104">
            <v>217.87</v>
          </cell>
          <cell r="D1104" t="str">
            <v>Term Life Express 10 15 20 30</v>
          </cell>
        </row>
        <row r="1105">
          <cell r="A1105" t="str">
            <v>413598-41</v>
          </cell>
          <cell r="B1105" t="str">
            <v>Victor Fuentes</v>
          </cell>
          <cell r="C1105">
            <v>79.28</v>
          </cell>
          <cell r="D1105" t="str">
            <v xml:space="preserve">Preferred Plan (a) Dnt2i                </v>
          </cell>
        </row>
        <row r="1106">
          <cell r="A1106" t="str">
            <v>BU5392884</v>
          </cell>
          <cell r="B1106" t="str">
            <v>Gregory Teipel</v>
          </cell>
          <cell r="C1106">
            <v>144.31</v>
          </cell>
          <cell r="D1106" t="str">
            <v>Iul Express</v>
          </cell>
        </row>
        <row r="1107">
          <cell r="A1107" t="str">
            <v>BU5071004</v>
          </cell>
          <cell r="B1107" t="str">
            <v>Gregory Teipel</v>
          </cell>
          <cell r="C1107">
            <v>116.78</v>
          </cell>
          <cell r="D1107" t="str">
            <v>Iul Express</v>
          </cell>
        </row>
        <row r="1108">
          <cell r="A1108" t="str">
            <v>BU6153121</v>
          </cell>
          <cell r="B1108" t="str">
            <v>Gregory Teipel</v>
          </cell>
          <cell r="C1108">
            <v>177.54</v>
          </cell>
          <cell r="D1108" t="str">
            <v>Iul Express</v>
          </cell>
        </row>
        <row r="1109">
          <cell r="A1109" t="str">
            <v>BU6358699</v>
          </cell>
          <cell r="B1109" t="str">
            <v>Richard Yale</v>
          </cell>
          <cell r="C1109">
            <v>75.47</v>
          </cell>
          <cell r="D1109" t="str">
            <v xml:space="preserve">Living Promise - Level  Benefit         </v>
          </cell>
        </row>
        <row r="1110">
          <cell r="A1110" t="str">
            <v>BU4446544</v>
          </cell>
          <cell r="B1110" t="str">
            <v>Matthew Daugherty</v>
          </cell>
          <cell r="C1110">
            <v>140.12</v>
          </cell>
          <cell r="D1110" t="str">
            <v>Term Life</v>
          </cell>
        </row>
        <row r="1111">
          <cell r="A1111" t="str">
            <v>BU6269161</v>
          </cell>
          <cell r="B1111" t="str">
            <v>Gregory Teipel</v>
          </cell>
          <cell r="C1111">
            <v>259.32</v>
          </cell>
          <cell r="D1111" t="str">
            <v>Iul Express</v>
          </cell>
        </row>
        <row r="1112">
          <cell r="A1112" t="str">
            <v>BU5015374</v>
          </cell>
          <cell r="B1112" t="str">
            <v>Ricardo Santos</v>
          </cell>
          <cell r="C1112">
            <v>93.9</v>
          </cell>
          <cell r="D1112" t="str">
            <v>Term Life Express 10 15 20 30</v>
          </cell>
        </row>
        <row r="1113">
          <cell r="A1113" t="str">
            <v>BU5440603</v>
          </cell>
          <cell r="B1113" t="str">
            <v>Jason Roller</v>
          </cell>
          <cell r="C1113">
            <v>2516.1</v>
          </cell>
          <cell r="D1113" t="str">
            <v xml:space="preserve">Living Promise - Level  Benefit         </v>
          </cell>
        </row>
        <row r="1114">
          <cell r="A1114" t="str">
            <v>BU4959716</v>
          </cell>
          <cell r="B1114" t="str">
            <v>Gregory Teipel</v>
          </cell>
          <cell r="C1114">
            <v>228.29</v>
          </cell>
          <cell r="D1114" t="str">
            <v>Term Life Express 10 15 20 30</v>
          </cell>
        </row>
        <row r="1115">
          <cell r="A1115" t="str">
            <v>BU5062646</v>
          </cell>
          <cell r="B1115" t="str">
            <v>Gary Portugal</v>
          </cell>
          <cell r="C1115">
            <v>137.37</v>
          </cell>
          <cell r="D1115" t="str">
            <v xml:space="preserve">Living Promise - Level  Benefit         </v>
          </cell>
        </row>
        <row r="1116">
          <cell r="A1116" t="str">
            <v>BU4444538</v>
          </cell>
          <cell r="B1116" t="str">
            <v>Matthew Daugherty</v>
          </cell>
          <cell r="C1116">
            <v>94.52</v>
          </cell>
          <cell r="D1116" t="str">
            <v>Term Life Express 10 15 20 30</v>
          </cell>
        </row>
        <row r="1117">
          <cell r="A1117" t="str">
            <v>BU4269816</v>
          </cell>
          <cell r="B1117" t="str">
            <v>Gregory Teipel</v>
          </cell>
          <cell r="C1117">
            <v>195.28</v>
          </cell>
          <cell r="D1117" t="str">
            <v>Iul Express</v>
          </cell>
        </row>
        <row r="1118">
          <cell r="A1118" t="str">
            <v>BU4900152</v>
          </cell>
          <cell r="B1118" t="str">
            <v>Deborah Inskipt</v>
          </cell>
          <cell r="C1118">
            <v>65.900000000000006</v>
          </cell>
          <cell r="D1118" t="str">
            <v xml:space="preserve">Living Promise-graded                   </v>
          </cell>
        </row>
        <row r="1119">
          <cell r="A1119" t="str">
            <v>BU4227850</v>
          </cell>
          <cell r="B1119" t="str">
            <v>Gregory Teipel</v>
          </cell>
          <cell r="C1119">
            <v>112.56</v>
          </cell>
          <cell r="D1119" t="str">
            <v>Term Life Express 10 15 20 30</v>
          </cell>
        </row>
        <row r="1120">
          <cell r="A1120" t="str">
            <v>BU4055772</v>
          </cell>
          <cell r="B1120" t="str">
            <v>Gregory Teipel</v>
          </cell>
          <cell r="C1120">
            <v>200</v>
          </cell>
          <cell r="D1120" t="str">
            <v>Iul Express</v>
          </cell>
        </row>
        <row r="1121">
          <cell r="A1121" t="str">
            <v>BU5485340</v>
          </cell>
          <cell r="B1121" t="str">
            <v>Brian Strohman</v>
          </cell>
          <cell r="C1121">
            <v>342.93</v>
          </cell>
          <cell r="D1121" t="str">
            <v>Term Life Answer 10 15 20 30</v>
          </cell>
        </row>
        <row r="1122">
          <cell r="A1122" t="str">
            <v>BU4223126</v>
          </cell>
          <cell r="B1122" t="str">
            <v>Ryan Caltagirone</v>
          </cell>
          <cell r="C1122">
            <v>140.85</v>
          </cell>
          <cell r="D1122" t="str">
            <v>Iul Express</v>
          </cell>
        </row>
        <row r="1123">
          <cell r="A1123" t="str">
            <v>BU5090182</v>
          </cell>
          <cell r="B1123" t="str">
            <v>Gregory Teipel</v>
          </cell>
          <cell r="C1123">
            <v>140.44</v>
          </cell>
          <cell r="D1123" t="str">
            <v xml:space="preserve">Living Promise-graded                   </v>
          </cell>
        </row>
        <row r="1124">
          <cell r="A1124" t="str">
            <v>BU4788711</v>
          </cell>
          <cell r="B1124" t="str">
            <v>Ryan Caltagirone</v>
          </cell>
          <cell r="C1124">
            <v>180.06</v>
          </cell>
          <cell r="D1124" t="str">
            <v>Term Life Express 10 15 20 30</v>
          </cell>
        </row>
        <row r="1125">
          <cell r="A1125" t="str">
            <v>BU6217774</v>
          </cell>
          <cell r="B1125" t="str">
            <v>Gregory Teipel</v>
          </cell>
          <cell r="C1125">
            <v>299.45999999999998</v>
          </cell>
          <cell r="D1125" t="str">
            <v>Iul Express</v>
          </cell>
        </row>
        <row r="1126">
          <cell r="A1126" t="str">
            <v>459062-97</v>
          </cell>
          <cell r="B1126" t="str">
            <v>Dale Walenga</v>
          </cell>
          <cell r="C1126">
            <v>176.91</v>
          </cell>
          <cell r="D1126" t="str">
            <v>Medicare Supplement Plan G</v>
          </cell>
        </row>
        <row r="1127">
          <cell r="A1127" t="str">
            <v>BU4336957</v>
          </cell>
          <cell r="B1127" t="str">
            <v>Jason Hoffmann</v>
          </cell>
          <cell r="C1127">
            <v>493.95</v>
          </cell>
          <cell r="D1127" t="str">
            <v>Iul Express</v>
          </cell>
        </row>
        <row r="1128">
          <cell r="A1128" t="str">
            <v>BU4825110</v>
          </cell>
          <cell r="B1128" t="str">
            <v>Gregory Teipel</v>
          </cell>
          <cell r="C1128">
            <v>172.71</v>
          </cell>
          <cell r="D1128" t="str">
            <v>Iul Express</v>
          </cell>
        </row>
        <row r="1129">
          <cell r="A1129" t="str">
            <v>BU5521068</v>
          </cell>
          <cell r="B1129" t="str">
            <v>Gregory Teipel</v>
          </cell>
          <cell r="C1129">
            <v>180.35</v>
          </cell>
          <cell r="D1129" t="str">
            <v>Iul Express</v>
          </cell>
        </row>
        <row r="1130">
          <cell r="A1130" t="str">
            <v>642060-97</v>
          </cell>
          <cell r="B1130" t="str">
            <v>Michael Dunavant</v>
          </cell>
          <cell r="C1130">
            <v>128.66999999999999</v>
          </cell>
          <cell r="D1130" t="str">
            <v>Medicare Supplement Plan G</v>
          </cell>
        </row>
        <row r="1131">
          <cell r="A1131" t="str">
            <v>BU6222055</v>
          </cell>
          <cell r="B1131" t="str">
            <v>Gregory Teipel</v>
          </cell>
          <cell r="C1131">
            <v>164.92</v>
          </cell>
          <cell r="D1131" t="str">
            <v>Iul Express</v>
          </cell>
        </row>
        <row r="1132">
          <cell r="A1132" t="str">
            <v>BU6235224</v>
          </cell>
          <cell r="B1132" t="str">
            <v>Ryan Caltagirone</v>
          </cell>
          <cell r="C1132">
            <v>153.03</v>
          </cell>
          <cell r="D1132" t="str">
            <v>Iul Express</v>
          </cell>
        </row>
        <row r="1133">
          <cell r="A1133" t="str">
            <v>BU4408005</v>
          </cell>
          <cell r="B1133" t="str">
            <v>Gregory Teipel</v>
          </cell>
          <cell r="C1133">
            <v>76.72</v>
          </cell>
          <cell r="D1133" t="str">
            <v>Term Life Express 10 15 20 30</v>
          </cell>
        </row>
        <row r="1134">
          <cell r="A1134" t="str">
            <v>478395-97</v>
          </cell>
          <cell r="B1134" t="str">
            <v>Carol Foley</v>
          </cell>
          <cell r="C1134">
            <v>234.1</v>
          </cell>
          <cell r="D1134" t="str">
            <v>Medicare Supplement Plan G</v>
          </cell>
        </row>
        <row r="1135">
          <cell r="A1135" t="str">
            <v>BU4478059</v>
          </cell>
          <cell r="B1135" t="str">
            <v>Matthew Daugherty</v>
          </cell>
          <cell r="C1135">
            <v>128.43</v>
          </cell>
          <cell r="D1135" t="str">
            <v>Term Life Express 10 15 20 30</v>
          </cell>
        </row>
        <row r="1136">
          <cell r="A1136" t="str">
            <v>BU4269815</v>
          </cell>
          <cell r="B1136" t="str">
            <v>Gregory Teipel</v>
          </cell>
          <cell r="C1136">
            <v>321.93</v>
          </cell>
          <cell r="D1136" t="str">
            <v>Iul Express</v>
          </cell>
        </row>
        <row r="1137">
          <cell r="A1137" t="str">
            <v>BU5308223</v>
          </cell>
          <cell r="B1137" t="str">
            <v>Thomas Pardue</v>
          </cell>
          <cell r="C1137">
            <v>106.21</v>
          </cell>
          <cell r="D1137" t="str">
            <v xml:space="preserve">Living Promise - Level  Benefit         </v>
          </cell>
        </row>
        <row r="1138">
          <cell r="A1138" t="str">
            <v>BU5238473</v>
          </cell>
          <cell r="B1138" t="str">
            <v>Gregory Teipel</v>
          </cell>
          <cell r="C1138">
            <v>139.53</v>
          </cell>
          <cell r="D1138" t="str">
            <v>Iul Express</v>
          </cell>
        </row>
        <row r="1139">
          <cell r="A1139" t="str">
            <v>BU6281566</v>
          </cell>
          <cell r="B1139" t="str">
            <v>Gregory Teipel</v>
          </cell>
          <cell r="C1139">
            <v>211.69</v>
          </cell>
          <cell r="D1139" t="str">
            <v>Iul Express</v>
          </cell>
        </row>
        <row r="1140">
          <cell r="A1140" t="str">
            <v>BU5150814</v>
          </cell>
          <cell r="B1140" t="str">
            <v>Gregory Teipel</v>
          </cell>
          <cell r="C1140">
            <v>175.15</v>
          </cell>
          <cell r="D1140" t="str">
            <v>Term Life Express 10 15 20 30</v>
          </cell>
        </row>
        <row r="1141">
          <cell r="A1141" t="str">
            <v>BU4561650</v>
          </cell>
          <cell r="B1141" t="str">
            <v>Ryan Caltagirone</v>
          </cell>
          <cell r="C1141">
            <v>138.91</v>
          </cell>
          <cell r="D1141" t="str">
            <v>Term Life Express 10 15 20 30</v>
          </cell>
        </row>
        <row r="1142">
          <cell r="A1142" t="str">
            <v>BU4779283</v>
          </cell>
          <cell r="B1142" t="str">
            <v>Gregory Teipel</v>
          </cell>
          <cell r="C1142">
            <v>121.49</v>
          </cell>
          <cell r="D1142" t="str">
            <v>Term Life Express 10 15 20 30</v>
          </cell>
        </row>
        <row r="1143">
          <cell r="A1143" t="str">
            <v>BU5461766</v>
          </cell>
          <cell r="B1143" t="str">
            <v>Ryan Caltagirone</v>
          </cell>
          <cell r="C1143">
            <v>102.62</v>
          </cell>
          <cell r="D1143" t="str">
            <v>Term Life Express 10 15 20 30</v>
          </cell>
        </row>
        <row r="1144">
          <cell r="A1144" t="str">
            <v>BU5145185</v>
          </cell>
          <cell r="B1144" t="str">
            <v>Nasandelger Zana</v>
          </cell>
          <cell r="C1144">
            <v>99.92</v>
          </cell>
          <cell r="D1144" t="str">
            <v>Iul Express</v>
          </cell>
        </row>
        <row r="1145">
          <cell r="A1145" t="str">
            <v>BU3865548</v>
          </cell>
          <cell r="B1145" t="str">
            <v>Katelenn Caltagirone</v>
          </cell>
          <cell r="C1145">
            <v>167.38</v>
          </cell>
          <cell r="D1145" t="str">
            <v>Term Life Express 10 15 20 30</v>
          </cell>
        </row>
        <row r="1146">
          <cell r="A1146" t="str">
            <v>BU4831289</v>
          </cell>
          <cell r="B1146" t="str">
            <v>Gregory Teipel</v>
          </cell>
          <cell r="C1146">
            <v>139.9</v>
          </cell>
          <cell r="D1146" t="str">
            <v>Iul Express</v>
          </cell>
        </row>
        <row r="1147">
          <cell r="A1147" t="str">
            <v>651670-97</v>
          </cell>
          <cell r="B1147" t="str">
            <v>Gregory Teipel</v>
          </cell>
          <cell r="C1147">
            <v>121.45</v>
          </cell>
          <cell r="D1147" t="str">
            <v>Medicare Supplement Plan G</v>
          </cell>
        </row>
        <row r="1148">
          <cell r="A1148" t="str">
            <v>BU4103711</v>
          </cell>
          <cell r="B1148" t="str">
            <v>Adam Richter</v>
          </cell>
          <cell r="C1148">
            <v>183.03</v>
          </cell>
          <cell r="D1148" t="str">
            <v>Term Life Express 10 15 20 30</v>
          </cell>
        </row>
        <row r="1149">
          <cell r="A1149" t="str">
            <v>BU6378912</v>
          </cell>
          <cell r="B1149" t="str">
            <v>Nasandelger Zana</v>
          </cell>
          <cell r="C1149">
            <v>98.66</v>
          </cell>
          <cell r="D1149" t="str">
            <v xml:space="preserve">Living Promise - Level  Benefit         </v>
          </cell>
        </row>
        <row r="1150">
          <cell r="A1150" t="str">
            <v>BU5007765</v>
          </cell>
          <cell r="B1150" t="str">
            <v>Joel Lee</v>
          </cell>
          <cell r="C1150">
            <v>51.84</v>
          </cell>
          <cell r="D1150" t="str">
            <v>Term Life Express 10 15 20 30</v>
          </cell>
        </row>
        <row r="1151">
          <cell r="A1151" t="str">
            <v>400120-97</v>
          </cell>
          <cell r="B1151" t="str">
            <v>Richard Yale</v>
          </cell>
          <cell r="C1151">
            <v>79.28</v>
          </cell>
          <cell r="D1151" t="str">
            <v xml:space="preserve">Preferred Plan (a) Dnt2i                </v>
          </cell>
        </row>
        <row r="1152">
          <cell r="A1152" t="str">
            <v>BU5026231</v>
          </cell>
          <cell r="B1152" t="str">
            <v>Nasandelger Zana</v>
          </cell>
          <cell r="C1152">
            <v>55.21</v>
          </cell>
          <cell r="D1152" t="str">
            <v>Iul Express</v>
          </cell>
        </row>
        <row r="1153">
          <cell r="A1153" t="str">
            <v>BU4585250</v>
          </cell>
          <cell r="B1153" t="str">
            <v>Gregory Teipel</v>
          </cell>
          <cell r="C1153">
            <v>161.19999999999999</v>
          </cell>
          <cell r="D1153" t="str">
            <v>Term Life Express 10 15 20 30</v>
          </cell>
        </row>
        <row r="1154">
          <cell r="A1154" t="str">
            <v>BU4697634</v>
          </cell>
          <cell r="B1154" t="str">
            <v>Gregory Teipel</v>
          </cell>
          <cell r="C1154">
            <v>163.63999999999999</v>
          </cell>
          <cell r="D1154" t="str">
            <v>Iul Express</v>
          </cell>
        </row>
        <row r="1155">
          <cell r="A1155" t="str">
            <v>BU5158863</v>
          </cell>
          <cell r="B1155" t="str">
            <v>Jacob Yale</v>
          </cell>
          <cell r="C1155">
            <v>190.82</v>
          </cell>
          <cell r="D1155" t="str">
            <v xml:space="preserve">Living Promise - Level  Benefit         </v>
          </cell>
        </row>
        <row r="1156">
          <cell r="A1156" t="str">
            <v>522176-97</v>
          </cell>
          <cell r="B1156" t="str">
            <v>Jacob Yale</v>
          </cell>
          <cell r="C1156">
            <v>79.28</v>
          </cell>
          <cell r="D1156" t="str">
            <v xml:space="preserve">Preferred Plan (a) Dnt2i                </v>
          </cell>
        </row>
        <row r="1157">
          <cell r="A1157" t="str">
            <v>BU4505773</v>
          </cell>
          <cell r="B1157" t="str">
            <v>Ryan Caltagirone</v>
          </cell>
          <cell r="C1157">
            <v>210.84</v>
          </cell>
          <cell r="D1157" t="str">
            <v>Term Life Express 10 15 20 30</v>
          </cell>
        </row>
        <row r="1158">
          <cell r="A1158" t="str">
            <v>BU5065882</v>
          </cell>
          <cell r="B1158" t="str">
            <v>Gregory Teipel</v>
          </cell>
          <cell r="C1158">
            <v>87.59</v>
          </cell>
          <cell r="D1158" t="str">
            <v>Iul Express</v>
          </cell>
        </row>
        <row r="1159">
          <cell r="A1159" t="str">
            <v>BU4572096</v>
          </cell>
          <cell r="B1159" t="str">
            <v>Matthew Daugherty</v>
          </cell>
          <cell r="C1159">
            <v>329.21</v>
          </cell>
          <cell r="D1159" t="str">
            <v>Term Life Express 10 15 20 30</v>
          </cell>
        </row>
        <row r="1160">
          <cell r="A1160" t="str">
            <v>BU5147755</v>
          </cell>
          <cell r="B1160" t="str">
            <v>Matthew Daugherty</v>
          </cell>
          <cell r="C1160">
            <v>39.520000000000003</v>
          </cell>
          <cell r="D1160" t="str">
            <v>Term Life Express 10 15 20 30</v>
          </cell>
        </row>
        <row r="1161">
          <cell r="A1161" t="str">
            <v>BU4875207</v>
          </cell>
          <cell r="B1161" t="str">
            <v>Gary Portugal</v>
          </cell>
          <cell r="C1161">
            <v>260.5</v>
          </cell>
          <cell r="D1161" t="str">
            <v xml:space="preserve">Living Promise - Level  Benefit         </v>
          </cell>
        </row>
        <row r="1162">
          <cell r="A1162" t="str">
            <v>371396-41</v>
          </cell>
          <cell r="B1162" t="str">
            <v>Jacob Yale</v>
          </cell>
          <cell r="C1162">
            <v>63.16</v>
          </cell>
          <cell r="D1162" t="str">
            <v xml:space="preserve">Preferred Plan (a) Dnt2b                </v>
          </cell>
        </row>
        <row r="1163">
          <cell r="A1163" t="str">
            <v>535347-97</v>
          </cell>
          <cell r="B1163" t="str">
            <v>Carol Foley</v>
          </cell>
          <cell r="C1163">
            <v>243.98</v>
          </cell>
          <cell r="D1163" t="str">
            <v>Medicare Supplement Plan F</v>
          </cell>
        </row>
        <row r="1164">
          <cell r="A1164" t="str">
            <v>BU4462993</v>
          </cell>
          <cell r="B1164" t="str">
            <v>Gregory Teipel</v>
          </cell>
          <cell r="C1164">
            <v>117.59</v>
          </cell>
          <cell r="D1164" t="str">
            <v>Term Life Express 10 15 20 30</v>
          </cell>
        </row>
        <row r="1165">
          <cell r="A1165" t="str">
            <v>BU5204357</v>
          </cell>
          <cell r="B1165" t="str">
            <v>Ryan Caltagirone</v>
          </cell>
          <cell r="C1165">
            <v>140.62</v>
          </cell>
          <cell r="D1165" t="str">
            <v>Term Life Express 10 15 20 30</v>
          </cell>
        </row>
        <row r="1166">
          <cell r="A1166" t="str">
            <v>399799-41</v>
          </cell>
          <cell r="B1166" t="str">
            <v>Gregory Teipel</v>
          </cell>
          <cell r="C1166">
            <v>176.91</v>
          </cell>
          <cell r="D1166" t="str">
            <v>Medicare Supplement Plan G</v>
          </cell>
        </row>
        <row r="1167">
          <cell r="A1167" t="str">
            <v>BU5260136</v>
          </cell>
          <cell r="B1167" t="str">
            <v>Gregory Teipel</v>
          </cell>
          <cell r="C1167">
            <v>205.2</v>
          </cell>
          <cell r="D1167" t="str">
            <v>Iul Express</v>
          </cell>
        </row>
        <row r="1168">
          <cell r="A1168" t="str">
            <v>BU5037395</v>
          </cell>
          <cell r="B1168" t="str">
            <v>Ronald Max</v>
          </cell>
          <cell r="C1168">
            <v>52.98</v>
          </cell>
          <cell r="D1168" t="str">
            <v>Iul Express</v>
          </cell>
        </row>
        <row r="1169">
          <cell r="A1169" t="str">
            <v>BU6294052</v>
          </cell>
          <cell r="B1169" t="str">
            <v>Matthew Daugherty</v>
          </cell>
          <cell r="C1169">
            <v>104.61</v>
          </cell>
          <cell r="D1169" t="str">
            <v>Iul Express</v>
          </cell>
        </row>
        <row r="1170">
          <cell r="A1170" t="str">
            <v>BU5143755</v>
          </cell>
          <cell r="B1170" t="str">
            <v>Andrew Choi</v>
          </cell>
          <cell r="C1170">
            <v>123.66</v>
          </cell>
          <cell r="D1170" t="str">
            <v xml:space="preserve">Living Promise - Level  Benefit         </v>
          </cell>
        </row>
        <row r="1171">
          <cell r="A1171" t="str">
            <v>BU4438526</v>
          </cell>
          <cell r="B1171" t="str">
            <v>Gregory Teipel</v>
          </cell>
          <cell r="C1171">
            <v>280.55</v>
          </cell>
          <cell r="D1171" t="str">
            <v>Iul Express</v>
          </cell>
        </row>
        <row r="1172">
          <cell r="A1172" t="str">
            <v>BU5328360</v>
          </cell>
          <cell r="B1172" t="str">
            <v>Gregory Teipel</v>
          </cell>
          <cell r="C1172">
            <v>211.55</v>
          </cell>
          <cell r="D1172" t="str">
            <v>Iul Express</v>
          </cell>
        </row>
        <row r="1173">
          <cell r="A1173" t="str">
            <v>BU4951122</v>
          </cell>
          <cell r="B1173" t="str">
            <v>Gregory Teipel</v>
          </cell>
          <cell r="C1173">
            <v>171.66</v>
          </cell>
          <cell r="D1173" t="str">
            <v>Term Life Express 10 15 20 30</v>
          </cell>
        </row>
        <row r="1174">
          <cell r="A1174" t="str">
            <v>BU4403813</v>
          </cell>
          <cell r="B1174" t="str">
            <v>Matthew Daugherty</v>
          </cell>
          <cell r="C1174">
            <v>137.77000000000001</v>
          </cell>
          <cell r="D1174" t="str">
            <v>Term Life Express 10 15 20 30</v>
          </cell>
        </row>
        <row r="1175">
          <cell r="A1175" t="str">
            <v>BU5173015</v>
          </cell>
          <cell r="B1175" t="str">
            <v>Gregory Teipel</v>
          </cell>
          <cell r="C1175">
            <v>220.93</v>
          </cell>
          <cell r="D1175" t="str">
            <v>Iul Express</v>
          </cell>
        </row>
        <row r="1176">
          <cell r="A1176" t="str">
            <v>BU4872144</v>
          </cell>
          <cell r="B1176" t="str">
            <v>Gregory Teipel</v>
          </cell>
          <cell r="C1176">
            <v>300.51</v>
          </cell>
          <cell r="D1176" t="str">
            <v>Term Life Express 10 15 20 30</v>
          </cell>
        </row>
        <row r="1177">
          <cell r="A1177" t="str">
            <v>BU6218860</v>
          </cell>
          <cell r="B1177" t="str">
            <v>Matthew Daugherty</v>
          </cell>
          <cell r="C1177">
            <v>94.07</v>
          </cell>
          <cell r="D1177" t="str">
            <v>Tle 20-20yr Guar</v>
          </cell>
        </row>
        <row r="1178">
          <cell r="A1178" t="str">
            <v>BU6203254</v>
          </cell>
          <cell r="B1178" t="str">
            <v>Matthew Daugherty</v>
          </cell>
          <cell r="C1178">
            <v>127.36</v>
          </cell>
          <cell r="D1178" t="str">
            <v>Term Life Express 10 15 20 30</v>
          </cell>
        </row>
        <row r="1179">
          <cell r="A1179" t="str">
            <v>BU4439153</v>
          </cell>
          <cell r="B1179" t="str">
            <v>Adam Richter</v>
          </cell>
          <cell r="C1179">
            <v>76.989999999999995</v>
          </cell>
          <cell r="D1179" t="str">
            <v>Term Life Express 10 15 20 30</v>
          </cell>
        </row>
        <row r="1180">
          <cell r="A1180" t="str">
            <v>373286-41</v>
          </cell>
          <cell r="B1180" t="str">
            <v>Jason Roller</v>
          </cell>
          <cell r="C1180">
            <v>67.39</v>
          </cell>
          <cell r="D1180" t="str">
            <v xml:space="preserve">Preferred Plan (a) Dnt2i                </v>
          </cell>
        </row>
        <row r="1181">
          <cell r="A1181" t="str">
            <v>BU4168490</v>
          </cell>
          <cell r="B1181" t="str">
            <v>Gregory Teipel</v>
          </cell>
          <cell r="C1181">
            <v>330.35</v>
          </cell>
          <cell r="D1181" t="str">
            <v>Iul Express</v>
          </cell>
        </row>
        <row r="1182">
          <cell r="A1182" t="str">
            <v>BU4116217</v>
          </cell>
          <cell r="B1182" t="str">
            <v>Ryan Caltagirone</v>
          </cell>
          <cell r="C1182">
            <v>2735.88</v>
          </cell>
          <cell r="D1182" t="str">
            <v>Iul Express</v>
          </cell>
        </row>
        <row r="1183">
          <cell r="A1183" t="str">
            <v>910205-96</v>
          </cell>
          <cell r="B1183" t="str">
            <v>Gregory Teipel</v>
          </cell>
          <cell r="C1183">
            <v>128.76</v>
          </cell>
          <cell r="D1183" t="str">
            <v>Medicare Supplement Plan G</v>
          </cell>
        </row>
        <row r="1184">
          <cell r="A1184" t="str">
            <v>809235-97</v>
          </cell>
          <cell r="B1184" t="str">
            <v>Jason Roller</v>
          </cell>
          <cell r="C1184">
            <v>72.33</v>
          </cell>
          <cell r="D1184" t="str">
            <v xml:space="preserve">Preferred Plan (a) Dnt2e                </v>
          </cell>
        </row>
        <row r="1185">
          <cell r="A1185" t="str">
            <v>BU4442378</v>
          </cell>
          <cell r="B1185" t="str">
            <v>Colleen Finnigan</v>
          </cell>
          <cell r="C1185">
            <v>97.66</v>
          </cell>
          <cell r="D1185" t="str">
            <v>Term Life Express 10 15 20 30</v>
          </cell>
        </row>
        <row r="1186">
          <cell r="A1186" t="str">
            <v>BU6256816</v>
          </cell>
          <cell r="B1186" t="str">
            <v>Gregory Teipel</v>
          </cell>
          <cell r="C1186">
            <v>164.95</v>
          </cell>
          <cell r="D1186" t="str">
            <v>Iul Express</v>
          </cell>
        </row>
        <row r="1187">
          <cell r="A1187" t="str">
            <v>655858-97</v>
          </cell>
          <cell r="B1187" t="str">
            <v>Michael Dunavant</v>
          </cell>
          <cell r="C1187">
            <v>150.41</v>
          </cell>
          <cell r="D1187" t="str">
            <v>Medicare Supplement Plan G</v>
          </cell>
        </row>
        <row r="1188">
          <cell r="A1188" t="str">
            <v>BU4107435</v>
          </cell>
          <cell r="B1188" t="str">
            <v>Gregory Teipel</v>
          </cell>
          <cell r="C1188">
            <v>210</v>
          </cell>
          <cell r="D1188" t="str">
            <v>Iul Express</v>
          </cell>
        </row>
        <row r="1189">
          <cell r="A1189" t="str">
            <v>978415-96</v>
          </cell>
          <cell r="B1189" t="str">
            <v>Anne Marie Kozacheck</v>
          </cell>
          <cell r="C1189">
            <v>118.77</v>
          </cell>
          <cell r="D1189" t="str">
            <v>Medicare Supplement Plan N</v>
          </cell>
        </row>
        <row r="1190">
          <cell r="A1190" t="str">
            <v>783856-97</v>
          </cell>
          <cell r="B1190" t="str">
            <v>Michael Dunavant</v>
          </cell>
          <cell r="C1190">
            <v>270.69</v>
          </cell>
          <cell r="D1190" t="str">
            <v>Medicare Supplement Plan G</v>
          </cell>
        </row>
        <row r="1191">
          <cell r="A1191" t="str">
            <v>BU5592571</v>
          </cell>
          <cell r="B1191" t="str">
            <v>Ryan Caltagirone</v>
          </cell>
          <cell r="C1191">
            <v>59.67</v>
          </cell>
          <cell r="D1191" t="str">
            <v>Tle 20-20yr Guar</v>
          </cell>
        </row>
        <row r="1192">
          <cell r="A1192" t="str">
            <v>BU3898458</v>
          </cell>
          <cell r="B1192" t="str">
            <v>Jason Hoffmann</v>
          </cell>
          <cell r="C1192">
            <v>67.77</v>
          </cell>
          <cell r="D1192" t="str">
            <v>Term Life Express 10 15 20 30</v>
          </cell>
        </row>
        <row r="1193">
          <cell r="A1193" t="str">
            <v>359165-41</v>
          </cell>
          <cell r="B1193" t="str">
            <v>Gregory Teipel</v>
          </cell>
          <cell r="C1193">
            <v>162.11000000000001</v>
          </cell>
          <cell r="D1193" t="str">
            <v>Medicare Supplement Plan G</v>
          </cell>
        </row>
        <row r="1194">
          <cell r="A1194" t="str">
            <v>787921-97</v>
          </cell>
          <cell r="B1194" t="str">
            <v>Gregory Teipel</v>
          </cell>
          <cell r="C1194">
            <v>176.91</v>
          </cell>
          <cell r="D1194" t="str">
            <v>Medicare Supplement Plan G</v>
          </cell>
        </row>
        <row r="1195">
          <cell r="A1195" t="str">
            <v>480530-97</v>
          </cell>
          <cell r="B1195" t="str">
            <v>Michael Dunavant</v>
          </cell>
          <cell r="C1195">
            <v>190.41</v>
          </cell>
          <cell r="D1195" t="str">
            <v>Medicare Supplement Plan G</v>
          </cell>
        </row>
        <row r="1196">
          <cell r="A1196" t="str">
            <v>BU6273212</v>
          </cell>
          <cell r="B1196" t="str">
            <v>Gregory Teipel</v>
          </cell>
          <cell r="C1196">
            <v>134.53</v>
          </cell>
          <cell r="D1196" t="str">
            <v>Iul Express</v>
          </cell>
        </row>
        <row r="1197">
          <cell r="A1197" t="str">
            <v>BU4758545</v>
          </cell>
          <cell r="B1197" t="str">
            <v>Gregory Teipel</v>
          </cell>
          <cell r="C1197">
            <v>65.72</v>
          </cell>
          <cell r="D1197" t="str">
            <v>Term Life Express 10 15 20 30</v>
          </cell>
        </row>
        <row r="1198">
          <cell r="A1198" t="str">
            <v>BU5199706</v>
          </cell>
          <cell r="B1198" t="str">
            <v>Ryan Caltagirone</v>
          </cell>
          <cell r="C1198">
            <v>207.73</v>
          </cell>
          <cell r="D1198" t="str">
            <v>Iul Express</v>
          </cell>
        </row>
        <row r="1199">
          <cell r="A1199" t="str">
            <v>629715-97</v>
          </cell>
          <cell r="B1199" t="str">
            <v>Michael Dunavant</v>
          </cell>
          <cell r="C1199">
            <v>137.34</v>
          </cell>
          <cell r="D1199" t="str">
            <v>Medicare Supplement Plan G</v>
          </cell>
        </row>
        <row r="1200">
          <cell r="A1200" t="str">
            <v>BU5019496</v>
          </cell>
          <cell r="B1200" t="str">
            <v>Matthew Daugherty</v>
          </cell>
          <cell r="C1200">
            <v>311.86</v>
          </cell>
          <cell r="D1200" t="str">
            <v>Term Life Express 10 15 20 30</v>
          </cell>
        </row>
        <row r="1201">
          <cell r="A1201" t="str">
            <v>BU4950726</v>
          </cell>
          <cell r="B1201" t="str">
            <v>Gregory Teipel</v>
          </cell>
          <cell r="C1201">
            <v>157.66</v>
          </cell>
          <cell r="D1201" t="str">
            <v>Term Life Express 10 15 20 30</v>
          </cell>
        </row>
        <row r="1202">
          <cell r="A1202" t="str">
            <v>BU5404198</v>
          </cell>
          <cell r="B1202" t="str">
            <v>Ryan Caltagirone</v>
          </cell>
          <cell r="C1202">
            <v>188.26</v>
          </cell>
          <cell r="D1202" t="str">
            <v>Term Life Express 10 15 20 30</v>
          </cell>
        </row>
        <row r="1203">
          <cell r="A1203" t="str">
            <v>BU5060531</v>
          </cell>
          <cell r="B1203" t="str">
            <v>Nasandelger Zana</v>
          </cell>
          <cell r="C1203">
            <v>27.77</v>
          </cell>
          <cell r="D1203" t="str">
            <v>Term Life Express 10 15 20 30</v>
          </cell>
        </row>
        <row r="1204">
          <cell r="A1204" t="str">
            <v>BU5610346</v>
          </cell>
          <cell r="B1204" t="str">
            <v>Gregory Teipel</v>
          </cell>
          <cell r="C1204">
            <v>241.54</v>
          </cell>
          <cell r="D1204" t="str">
            <v>Iul Express</v>
          </cell>
        </row>
        <row r="1205">
          <cell r="A1205" t="str">
            <v>BU5238226</v>
          </cell>
          <cell r="B1205" t="str">
            <v>Gregory Teipel</v>
          </cell>
          <cell r="C1205">
            <v>152.47999999999999</v>
          </cell>
          <cell r="D1205" t="str">
            <v>Iul Express</v>
          </cell>
        </row>
        <row r="1206">
          <cell r="A1206" t="str">
            <v>527324-97</v>
          </cell>
          <cell r="B1206" t="str">
            <v>Richard Yale</v>
          </cell>
          <cell r="C1206">
            <v>79.28</v>
          </cell>
          <cell r="D1206" t="str">
            <v xml:space="preserve">Preferred Plan (a) Dnt2i                </v>
          </cell>
        </row>
        <row r="1207">
          <cell r="A1207" t="str">
            <v>BU5366248</v>
          </cell>
          <cell r="B1207" t="str">
            <v>Gregory Teipel</v>
          </cell>
          <cell r="C1207">
            <v>165.43</v>
          </cell>
          <cell r="D1207" t="str">
            <v>Iul Express</v>
          </cell>
        </row>
        <row r="1208">
          <cell r="A1208" t="str">
            <v>458129-97</v>
          </cell>
          <cell r="B1208" t="str">
            <v>Carol Foley</v>
          </cell>
          <cell r="C1208">
            <v>183.59</v>
          </cell>
          <cell r="D1208" t="str">
            <v>Medicare Supplement Plan G</v>
          </cell>
        </row>
        <row r="1209">
          <cell r="A1209" t="str">
            <v>BU5403365</v>
          </cell>
          <cell r="B1209" t="str">
            <v>Frank Liskovec</v>
          </cell>
          <cell r="C1209">
            <v>51.84</v>
          </cell>
          <cell r="D1209" t="str">
            <v>Term Life Express 10 15 20 30</v>
          </cell>
        </row>
        <row r="1210">
          <cell r="A1210" t="str">
            <v>868160-96</v>
          </cell>
          <cell r="B1210" t="str">
            <v>Murray Sterner</v>
          </cell>
          <cell r="C1210">
            <v>138.46</v>
          </cell>
          <cell r="D1210" t="str">
            <v>Medicare Supplement Plan N</v>
          </cell>
        </row>
        <row r="1211">
          <cell r="A1211" t="str">
            <v>339435-41</v>
          </cell>
          <cell r="B1211" t="str">
            <v>Carol Foley</v>
          </cell>
          <cell r="C1211">
            <v>63.78</v>
          </cell>
          <cell r="D1211" t="str">
            <v>Medicare Supplement Plan G High Deductible</v>
          </cell>
        </row>
        <row r="1212">
          <cell r="A1212" t="str">
            <v>BU5005421</v>
          </cell>
          <cell r="B1212" t="str">
            <v>Nasandelger Zana</v>
          </cell>
          <cell r="C1212">
            <v>99.3</v>
          </cell>
          <cell r="D1212" t="str">
            <v>Iul Express</v>
          </cell>
        </row>
        <row r="1213">
          <cell r="A1213" t="str">
            <v>BU6205379</v>
          </cell>
          <cell r="B1213" t="str">
            <v>Deborah Inskipt</v>
          </cell>
          <cell r="C1213">
            <v>144.24</v>
          </cell>
          <cell r="D1213" t="str">
            <v>Iul Express</v>
          </cell>
        </row>
        <row r="1214">
          <cell r="A1214" t="str">
            <v>491264-97</v>
          </cell>
          <cell r="B1214" t="str">
            <v>Michael Dunavant</v>
          </cell>
          <cell r="C1214">
            <v>239.28</v>
          </cell>
          <cell r="D1214" t="str">
            <v>Medicare Supplement Plan G</v>
          </cell>
        </row>
        <row r="1215">
          <cell r="A1215" t="str">
            <v>BU3882477</v>
          </cell>
          <cell r="B1215" t="str">
            <v>Ashley Teipel</v>
          </cell>
          <cell r="C1215">
            <v>121.49</v>
          </cell>
          <cell r="D1215" t="str">
            <v>Term Life Express 10 15 20 30</v>
          </cell>
        </row>
        <row r="1216">
          <cell r="A1216" t="str">
            <v>BU5066974</v>
          </cell>
          <cell r="B1216" t="str">
            <v>Victor Fuentes</v>
          </cell>
          <cell r="C1216">
            <v>74.45</v>
          </cell>
          <cell r="D1216" t="str">
            <v xml:space="preserve">Living Promise - Level  Benefit         </v>
          </cell>
        </row>
        <row r="1217">
          <cell r="A1217" t="str">
            <v>BU5147677</v>
          </cell>
          <cell r="B1217" t="str">
            <v>Matthew Daugherty</v>
          </cell>
          <cell r="C1217">
            <v>35.53</v>
          </cell>
          <cell r="D1217" t="str">
            <v>Term Life Express 10 15 20 30</v>
          </cell>
        </row>
        <row r="1218">
          <cell r="A1218" t="str">
            <v>768154-97</v>
          </cell>
          <cell r="B1218" t="str">
            <v>Christian Taugner</v>
          </cell>
          <cell r="C1218">
            <v>31.93</v>
          </cell>
          <cell r="D1218" t="str">
            <v xml:space="preserve">Protection  Plan (c) Dnt5i              </v>
          </cell>
        </row>
        <row r="1219">
          <cell r="A1219" t="str">
            <v>BU6170227</v>
          </cell>
          <cell r="B1219" t="str">
            <v>Matthew Daugherty</v>
          </cell>
          <cell r="C1219">
            <v>75.849999999999994</v>
          </cell>
          <cell r="D1219" t="str">
            <v>Tle 20-20yr Guar</v>
          </cell>
        </row>
        <row r="1220">
          <cell r="A1220" t="str">
            <v>BU4314003</v>
          </cell>
          <cell r="B1220" t="str">
            <v>Gregory Teipel</v>
          </cell>
          <cell r="C1220">
            <v>323.74</v>
          </cell>
          <cell r="D1220" t="str">
            <v>Term Life Express 10 15 20 30</v>
          </cell>
        </row>
        <row r="1221">
          <cell r="A1221" t="str">
            <v>623629-97</v>
          </cell>
          <cell r="B1221" t="str">
            <v>Dale Walenga</v>
          </cell>
          <cell r="C1221">
            <v>33.74</v>
          </cell>
          <cell r="D1221" t="str">
            <v xml:space="preserve">Protection  Plan (c) Dnt5e              </v>
          </cell>
        </row>
        <row r="1222">
          <cell r="A1222" t="str">
            <v>BU5200679</v>
          </cell>
          <cell r="B1222" t="str">
            <v>Ronald Max</v>
          </cell>
          <cell r="C1222">
            <v>26.7</v>
          </cell>
          <cell r="D1222" t="str">
            <v>Term Life Express 10 15 20 30</v>
          </cell>
        </row>
        <row r="1223">
          <cell r="A1223" t="str">
            <v>BU4387224</v>
          </cell>
          <cell r="B1223" t="str">
            <v>Matthew Daugherty</v>
          </cell>
          <cell r="C1223">
            <v>211.15</v>
          </cell>
          <cell r="D1223" t="str">
            <v>Term Life Express 10 15 20 30</v>
          </cell>
        </row>
        <row r="1224">
          <cell r="A1224" t="str">
            <v>BU4240523</v>
          </cell>
          <cell r="B1224" t="str">
            <v>Gregory Teipel</v>
          </cell>
          <cell r="C1224">
            <v>280.55</v>
          </cell>
          <cell r="D1224" t="str">
            <v>Iul Express</v>
          </cell>
        </row>
        <row r="1225">
          <cell r="A1225" t="str">
            <v>BU4988414</v>
          </cell>
          <cell r="B1225" t="str">
            <v>Adam Richter</v>
          </cell>
          <cell r="C1225">
            <v>82.81</v>
          </cell>
          <cell r="D1225" t="str">
            <v>Term Life Express 10 15 20 30</v>
          </cell>
        </row>
        <row r="1226">
          <cell r="A1226" t="str">
            <v>977278-96</v>
          </cell>
          <cell r="B1226" t="str">
            <v>Murray Sterner</v>
          </cell>
          <cell r="C1226">
            <v>463.11</v>
          </cell>
          <cell r="D1226" t="str">
            <v>Medicare Supplement Plan A</v>
          </cell>
        </row>
        <row r="1227">
          <cell r="A1227" t="str">
            <v>BU6227105</v>
          </cell>
          <cell r="B1227" t="str">
            <v>Gregory Teipel</v>
          </cell>
          <cell r="C1227">
            <v>153.74</v>
          </cell>
          <cell r="D1227" t="str">
            <v>Iul Express</v>
          </cell>
        </row>
        <row r="1228">
          <cell r="A1228" t="str">
            <v>BU4386051</v>
          </cell>
          <cell r="B1228" t="str">
            <v>Gregory Teipel</v>
          </cell>
          <cell r="C1228">
            <v>54.53</v>
          </cell>
          <cell r="D1228" t="str">
            <v>Term Life Express 10 15 20 30</v>
          </cell>
        </row>
        <row r="1229">
          <cell r="A1229" t="str">
            <v>BU5452090</v>
          </cell>
          <cell r="B1229" t="str">
            <v>Ryan Caltagirone</v>
          </cell>
          <cell r="C1229">
            <v>109.17</v>
          </cell>
          <cell r="D1229" t="str">
            <v>Term Life Express 10 15 20 30</v>
          </cell>
        </row>
        <row r="1230">
          <cell r="A1230" t="str">
            <v>BU4574581</v>
          </cell>
          <cell r="B1230" t="str">
            <v>Gregory Teipel</v>
          </cell>
          <cell r="C1230">
            <v>50.23</v>
          </cell>
          <cell r="D1230" t="str">
            <v>Iul Express</v>
          </cell>
        </row>
        <row r="1231">
          <cell r="A1231" t="str">
            <v>BU4963427</v>
          </cell>
          <cell r="B1231" t="str">
            <v>Gregory Teipel</v>
          </cell>
          <cell r="C1231">
            <v>46.73</v>
          </cell>
          <cell r="D1231" t="str">
            <v>Term Life Express 10 15 20 30</v>
          </cell>
        </row>
        <row r="1232">
          <cell r="A1232" t="str">
            <v>BU4728029</v>
          </cell>
          <cell r="B1232" t="str">
            <v>Matthew Daugherty</v>
          </cell>
          <cell r="C1232">
            <v>93.45</v>
          </cell>
          <cell r="D1232" t="str">
            <v>Term Life Express 10 15 20 30</v>
          </cell>
        </row>
        <row r="1233">
          <cell r="A1233" t="str">
            <v>BU4728001</v>
          </cell>
          <cell r="B1233" t="str">
            <v>Matthew Daugherty</v>
          </cell>
          <cell r="C1233">
            <v>88.11</v>
          </cell>
          <cell r="D1233" t="str">
            <v>Term Life Express 10 15 20 30</v>
          </cell>
        </row>
        <row r="1234">
          <cell r="A1234" t="str">
            <v>BU6370496</v>
          </cell>
          <cell r="B1234" t="str">
            <v>Colleen Finnigan</v>
          </cell>
          <cell r="C1234">
            <v>282.98</v>
          </cell>
          <cell r="D1234" t="str">
            <v>Iul Express</v>
          </cell>
        </row>
        <row r="1235">
          <cell r="A1235" t="str">
            <v>BU4283392</v>
          </cell>
          <cell r="B1235" t="str">
            <v>Ryan Caltagirone</v>
          </cell>
          <cell r="C1235">
            <v>173.83</v>
          </cell>
          <cell r="D1235" t="str">
            <v>Iul Express</v>
          </cell>
        </row>
        <row r="1236">
          <cell r="A1236" t="str">
            <v>756078-97</v>
          </cell>
          <cell r="B1236" t="str">
            <v>Anne Marie Kozacheck</v>
          </cell>
          <cell r="C1236">
            <v>118.77</v>
          </cell>
          <cell r="D1236" t="str">
            <v>Medicare Supplement Plan N</v>
          </cell>
        </row>
        <row r="1237">
          <cell r="A1237" t="str">
            <v>472388-41</v>
          </cell>
          <cell r="B1237" t="str">
            <v>Matthew Sherman</v>
          </cell>
          <cell r="C1237">
            <v>239.28</v>
          </cell>
          <cell r="D1237" t="str">
            <v>Medicare Supplement Plan G</v>
          </cell>
        </row>
        <row r="1238">
          <cell r="A1238" t="str">
            <v>BU5012508</v>
          </cell>
          <cell r="B1238" t="str">
            <v>Gregory Teipel</v>
          </cell>
          <cell r="C1238">
            <v>158.87</v>
          </cell>
          <cell r="D1238" t="str">
            <v>Term Life Express 10 15 20 30</v>
          </cell>
        </row>
        <row r="1239">
          <cell r="A1239" t="str">
            <v>371385-41</v>
          </cell>
          <cell r="B1239" t="str">
            <v>Jacob Yale</v>
          </cell>
          <cell r="C1239">
            <v>63.16</v>
          </cell>
          <cell r="D1239" t="str">
            <v xml:space="preserve">Preferred Plan (a) Dnt2b                </v>
          </cell>
        </row>
        <row r="1240">
          <cell r="A1240" t="str">
            <v>BU5188561</v>
          </cell>
          <cell r="B1240" t="str">
            <v>Ryan Caltagirone</v>
          </cell>
          <cell r="C1240">
            <v>75.19</v>
          </cell>
          <cell r="D1240" t="str">
            <v>Term Life Express 10 15 20 30</v>
          </cell>
        </row>
        <row r="1241">
          <cell r="A1241" t="str">
            <v>417286-41</v>
          </cell>
          <cell r="B1241" t="str">
            <v>Gregory Teipel</v>
          </cell>
          <cell r="C1241">
            <v>450.82</v>
          </cell>
          <cell r="D1241" t="str">
            <v>Medicare Supplement Plan G</v>
          </cell>
        </row>
        <row r="1242">
          <cell r="A1242" t="str">
            <v>BU4863460</v>
          </cell>
          <cell r="B1242" t="str">
            <v>Gregory Teipel</v>
          </cell>
          <cell r="C1242">
            <v>1963.68</v>
          </cell>
          <cell r="D1242" t="str">
            <v>Iul Express</v>
          </cell>
        </row>
        <row r="1243">
          <cell r="A1243" t="str">
            <v>546146-97</v>
          </cell>
          <cell r="B1243" t="str">
            <v>Richard Yale</v>
          </cell>
          <cell r="C1243">
            <v>79.28</v>
          </cell>
          <cell r="D1243" t="str">
            <v xml:space="preserve">Preferred Plan (a) Dnt2i                </v>
          </cell>
        </row>
        <row r="1244">
          <cell r="A1244" t="str">
            <v>BU4501392</v>
          </cell>
          <cell r="B1244" t="str">
            <v>Matthew Daugherty</v>
          </cell>
          <cell r="C1244">
            <v>93.89</v>
          </cell>
          <cell r="D1244" t="str">
            <v>Term Life Express 10 15 20 30</v>
          </cell>
        </row>
        <row r="1245">
          <cell r="A1245" t="str">
            <v>BU5601741</v>
          </cell>
          <cell r="B1245" t="str">
            <v>Gregory Teipel</v>
          </cell>
          <cell r="C1245">
            <v>198.23</v>
          </cell>
          <cell r="D1245" t="str">
            <v>Iul Express</v>
          </cell>
        </row>
        <row r="1246">
          <cell r="A1246" t="str">
            <v>BU4116235</v>
          </cell>
          <cell r="B1246" t="str">
            <v>Ryan Caltagirone</v>
          </cell>
          <cell r="C1246">
            <v>196</v>
          </cell>
          <cell r="D1246" t="str">
            <v>Iul Express</v>
          </cell>
        </row>
        <row r="1247">
          <cell r="A1247" t="str">
            <v>BU5023685</v>
          </cell>
          <cell r="B1247" t="str">
            <v>Gregory Teipel</v>
          </cell>
          <cell r="C1247">
            <v>131.1</v>
          </cell>
          <cell r="D1247" t="str">
            <v>Term Life Express 10 15 20 30</v>
          </cell>
        </row>
        <row r="1248">
          <cell r="A1248" t="str">
            <v>BU5518399</v>
          </cell>
          <cell r="B1248" t="str">
            <v>Gregory Teipel</v>
          </cell>
          <cell r="C1248">
            <v>130.72</v>
          </cell>
          <cell r="D1248" t="str">
            <v xml:space="preserve">Living Promise-graded                   </v>
          </cell>
        </row>
        <row r="1249">
          <cell r="A1249" t="str">
            <v>BU4103385</v>
          </cell>
          <cell r="B1249" t="str">
            <v>Gregory Teipel</v>
          </cell>
          <cell r="C1249">
            <v>225</v>
          </cell>
          <cell r="D1249" t="str">
            <v>Iul Express</v>
          </cell>
        </row>
        <row r="1250">
          <cell r="A1250" t="str">
            <v>BU5074498</v>
          </cell>
          <cell r="B1250" t="str">
            <v>Matthew Daugherty</v>
          </cell>
          <cell r="C1250">
            <v>90.87</v>
          </cell>
          <cell r="D1250" t="str">
            <v>Term Life Express 10 15 20 30</v>
          </cell>
        </row>
        <row r="1251">
          <cell r="A1251" t="str">
            <v>BU4393668</v>
          </cell>
          <cell r="B1251" t="str">
            <v>Jason Hoffmann</v>
          </cell>
          <cell r="C1251">
            <v>91.31</v>
          </cell>
          <cell r="D1251" t="str">
            <v>Iul Express</v>
          </cell>
        </row>
        <row r="1252">
          <cell r="A1252" t="str">
            <v>808244-97</v>
          </cell>
          <cell r="B1252" t="str">
            <v>Dale Walenga</v>
          </cell>
          <cell r="C1252">
            <v>108.24</v>
          </cell>
          <cell r="D1252" t="str">
            <v xml:space="preserve">Protection  Plan (c) Dnt5i              </v>
          </cell>
        </row>
        <row r="1253">
          <cell r="A1253" t="str">
            <v>BU5521334</v>
          </cell>
          <cell r="B1253" t="str">
            <v>Taliah Ferguson</v>
          </cell>
          <cell r="C1253">
            <v>150</v>
          </cell>
          <cell r="D1253" t="str">
            <v>Income Advantage</v>
          </cell>
        </row>
        <row r="1254">
          <cell r="A1254" t="str">
            <v>429011-97</v>
          </cell>
          <cell r="B1254" t="str">
            <v>Richard Yale</v>
          </cell>
          <cell r="C1254">
            <v>101.74</v>
          </cell>
          <cell r="D1254" t="str">
            <v xml:space="preserve">Protection  Plan (c) Dnt5i              </v>
          </cell>
        </row>
        <row r="1255">
          <cell r="A1255" t="str">
            <v>BU4578987</v>
          </cell>
          <cell r="B1255" t="str">
            <v>Gregory Teipel</v>
          </cell>
          <cell r="C1255">
            <v>223.92</v>
          </cell>
          <cell r="D1255" t="str">
            <v>Term Life Express 10 15 20 30</v>
          </cell>
        </row>
        <row r="1256">
          <cell r="A1256" t="str">
            <v>BU5099421</v>
          </cell>
          <cell r="B1256" t="str">
            <v>Gregory Teipel</v>
          </cell>
          <cell r="C1256">
            <v>75.53</v>
          </cell>
          <cell r="D1256" t="str">
            <v xml:space="preserve">Living Promise - Level  Benefit         </v>
          </cell>
        </row>
        <row r="1257">
          <cell r="A1257" t="str">
            <v>BU3884506</v>
          </cell>
          <cell r="B1257" t="str">
            <v>Ashley Teipel</v>
          </cell>
          <cell r="C1257">
            <v>117.59</v>
          </cell>
          <cell r="D1257" t="str">
            <v>Term Life Express 10 15 20 30</v>
          </cell>
        </row>
        <row r="1258">
          <cell r="A1258" t="str">
            <v>BU6413811</v>
          </cell>
          <cell r="B1258" t="str">
            <v>Ryan Caltagirone</v>
          </cell>
          <cell r="C1258">
            <v>43.52</v>
          </cell>
          <cell r="D1258" t="str">
            <v>Tle 20-20yr Guar</v>
          </cell>
        </row>
        <row r="1259">
          <cell r="A1259" t="str">
            <v>BU4975778</v>
          </cell>
          <cell r="B1259" t="str">
            <v>Andrea Petrungaro</v>
          </cell>
          <cell r="C1259">
            <v>153.51</v>
          </cell>
          <cell r="D1259" t="str">
            <v>Term Life Answer 10 15 20 30</v>
          </cell>
        </row>
        <row r="1260">
          <cell r="A1260" t="str">
            <v>BU5330115</v>
          </cell>
          <cell r="B1260" t="str">
            <v>Ryan Caltagirone</v>
          </cell>
          <cell r="C1260">
            <v>50.29</v>
          </cell>
          <cell r="D1260" t="str">
            <v>Term Life Express 10 15 20 30</v>
          </cell>
        </row>
        <row r="1261">
          <cell r="A1261" t="str">
            <v>BU6260853</v>
          </cell>
          <cell r="B1261" t="str">
            <v>Ryan Caltagirone</v>
          </cell>
          <cell r="C1261">
            <v>205.2</v>
          </cell>
          <cell r="D1261" t="str">
            <v>Iul Express</v>
          </cell>
        </row>
        <row r="1262">
          <cell r="A1262" t="str">
            <v>BU4507829</v>
          </cell>
          <cell r="B1262" t="str">
            <v>Gregory Teipel</v>
          </cell>
          <cell r="C1262">
            <v>44.53</v>
          </cell>
          <cell r="D1262" t="str">
            <v>Iul Express</v>
          </cell>
        </row>
        <row r="1263">
          <cell r="A1263" t="str">
            <v>BU5030508</v>
          </cell>
          <cell r="B1263" t="str">
            <v>Gregory Teipel</v>
          </cell>
          <cell r="C1263">
            <v>155.22999999999999</v>
          </cell>
          <cell r="D1263" t="str">
            <v>Iul Express</v>
          </cell>
        </row>
        <row r="1264">
          <cell r="A1264" t="str">
            <v>BU5169532</v>
          </cell>
          <cell r="B1264" t="str">
            <v>Andrew Choi</v>
          </cell>
          <cell r="C1264">
            <v>143.11000000000001</v>
          </cell>
          <cell r="D1264" t="str">
            <v>Term Life Express 10 15 20 30</v>
          </cell>
        </row>
        <row r="1265">
          <cell r="A1265" t="str">
            <v>BU6309327</v>
          </cell>
          <cell r="B1265" t="str">
            <v>Colleen Finnigan</v>
          </cell>
          <cell r="C1265">
            <v>170</v>
          </cell>
          <cell r="D1265" t="str">
            <v>Iul Express</v>
          </cell>
        </row>
        <row r="1266">
          <cell r="A1266" t="str">
            <v>BU5045137</v>
          </cell>
          <cell r="B1266" t="str">
            <v>Gregory Teipel</v>
          </cell>
          <cell r="C1266">
            <v>141.96</v>
          </cell>
          <cell r="D1266" t="str">
            <v>Term Life Express 10 15 20 30</v>
          </cell>
        </row>
        <row r="1267">
          <cell r="A1267" t="str">
            <v>BU4389590</v>
          </cell>
          <cell r="B1267" t="str">
            <v>Gregory Teipel</v>
          </cell>
          <cell r="C1267">
            <v>82.77</v>
          </cell>
          <cell r="D1267" t="str">
            <v>Term Life Express 10 15 20 30</v>
          </cell>
        </row>
        <row r="1268">
          <cell r="A1268" t="str">
            <v>BU4506407</v>
          </cell>
          <cell r="B1268" t="str">
            <v>Matthew Daugherty</v>
          </cell>
          <cell r="C1268">
            <v>62.57</v>
          </cell>
          <cell r="D1268" t="str">
            <v>Term Life Express 10 15 20 30</v>
          </cell>
        </row>
        <row r="1269">
          <cell r="A1269" t="str">
            <v>BU4938400</v>
          </cell>
          <cell r="B1269" t="str">
            <v>Gary Portugal</v>
          </cell>
          <cell r="C1269">
            <v>48.57</v>
          </cell>
          <cell r="D1269" t="str">
            <v xml:space="preserve">Living Promise - Level  Benefit         </v>
          </cell>
        </row>
        <row r="1270">
          <cell r="A1270" t="str">
            <v>428514-41</v>
          </cell>
          <cell r="B1270" t="str">
            <v>Richard Yale</v>
          </cell>
          <cell r="C1270">
            <v>36.08</v>
          </cell>
          <cell r="D1270" t="str">
            <v xml:space="preserve">Protection  Plan (c) Dnt5i              </v>
          </cell>
        </row>
        <row r="1271">
          <cell r="A1271" t="str">
            <v>BU4973086</v>
          </cell>
          <cell r="B1271" t="str">
            <v>Matthew Daugherty</v>
          </cell>
          <cell r="C1271">
            <v>103.06</v>
          </cell>
          <cell r="D1271" t="str">
            <v>Term Life Express 10 15 20 30</v>
          </cell>
        </row>
        <row r="1272">
          <cell r="A1272" t="str">
            <v>BU5033437</v>
          </cell>
          <cell r="B1272" t="str">
            <v>Nasandelger Zana</v>
          </cell>
          <cell r="C1272">
            <v>46.5</v>
          </cell>
          <cell r="D1272" t="str">
            <v>Term Life Express 10 15 20 30</v>
          </cell>
        </row>
        <row r="1273">
          <cell r="A1273" t="str">
            <v>BU5303715</v>
          </cell>
          <cell r="B1273" t="str">
            <v>Ryan Caltagirone</v>
          </cell>
          <cell r="C1273">
            <v>79.03</v>
          </cell>
          <cell r="D1273" t="str">
            <v>Term Life Express 10 15 20 30</v>
          </cell>
        </row>
        <row r="1274">
          <cell r="A1274" t="str">
            <v>BU4635264</v>
          </cell>
          <cell r="B1274" t="str">
            <v>Gregory Teipel</v>
          </cell>
          <cell r="C1274">
            <v>138.4</v>
          </cell>
          <cell r="D1274" t="str">
            <v>Term Life Express 10 15 20 30</v>
          </cell>
        </row>
        <row r="1275">
          <cell r="A1275" t="str">
            <v>BU4499473</v>
          </cell>
          <cell r="B1275" t="str">
            <v>Matthew Daugherty</v>
          </cell>
          <cell r="C1275">
            <v>124.07</v>
          </cell>
          <cell r="D1275" t="str">
            <v>Tle 20-20yr Guar</v>
          </cell>
        </row>
        <row r="1276">
          <cell r="A1276" t="str">
            <v>BU4564687</v>
          </cell>
          <cell r="B1276" t="str">
            <v>Ryan Caltagirone</v>
          </cell>
          <cell r="C1276">
            <v>148.02000000000001</v>
          </cell>
          <cell r="D1276" t="str">
            <v>Term Life Express 10 15 20 30</v>
          </cell>
        </row>
        <row r="1277">
          <cell r="A1277" t="str">
            <v>463166-41</v>
          </cell>
          <cell r="B1277" t="str">
            <v>Gregory Teipel</v>
          </cell>
          <cell r="C1277">
            <v>194.83</v>
          </cell>
          <cell r="D1277" t="str">
            <v>Medicare Supplement Plan G</v>
          </cell>
        </row>
        <row r="1278">
          <cell r="A1278" t="str">
            <v>BU4521450</v>
          </cell>
          <cell r="B1278" t="str">
            <v>Ryan Caltagirone</v>
          </cell>
          <cell r="C1278">
            <v>192.11</v>
          </cell>
          <cell r="D1278" t="str">
            <v>Iul Express</v>
          </cell>
        </row>
        <row r="1279">
          <cell r="A1279" t="str">
            <v>350609-97</v>
          </cell>
          <cell r="B1279" t="str">
            <v>Carol Foley</v>
          </cell>
          <cell r="C1279">
            <v>197.71</v>
          </cell>
          <cell r="D1279" t="str">
            <v>Medicare Supplement Plan G</v>
          </cell>
        </row>
        <row r="1280">
          <cell r="A1280" t="str">
            <v>466463-41</v>
          </cell>
          <cell r="B1280" t="str">
            <v>Ines Berg</v>
          </cell>
          <cell r="C1280">
            <v>27.69</v>
          </cell>
          <cell r="D1280" t="str">
            <v xml:space="preserve">Protection  Plan (c) Dnt5i              </v>
          </cell>
        </row>
        <row r="1281">
          <cell r="A1281" t="str">
            <v>BU4089790</v>
          </cell>
          <cell r="B1281" t="str">
            <v>Gregory Teipel</v>
          </cell>
          <cell r="C1281">
            <v>240</v>
          </cell>
          <cell r="D1281" t="str">
            <v>Iul Express</v>
          </cell>
        </row>
        <row r="1282">
          <cell r="A1282" t="str">
            <v>BU4125376</v>
          </cell>
          <cell r="B1282" t="str">
            <v>Adam Richter</v>
          </cell>
          <cell r="C1282">
            <v>108.09</v>
          </cell>
          <cell r="D1282" t="str">
            <v>Term Life Express 10 15 20 30</v>
          </cell>
        </row>
        <row r="1283">
          <cell r="A1283" t="str">
            <v>BU3867395</v>
          </cell>
          <cell r="B1283" t="str">
            <v>Adam Richter</v>
          </cell>
          <cell r="C1283">
            <v>58.3</v>
          </cell>
          <cell r="D1283" t="str">
            <v>Term Life Express 10 15 20 30</v>
          </cell>
        </row>
        <row r="1284">
          <cell r="A1284" t="str">
            <v>BU5546843</v>
          </cell>
          <cell r="B1284" t="str">
            <v>Matthew Daugherty</v>
          </cell>
          <cell r="C1284">
            <v>62.21</v>
          </cell>
          <cell r="D1284" t="str">
            <v>Term Life Express 10 15 20 30</v>
          </cell>
        </row>
        <row r="1285">
          <cell r="A1285" t="str">
            <v>BU4320747</v>
          </cell>
          <cell r="B1285" t="str">
            <v>Matthew Daugherty</v>
          </cell>
          <cell r="C1285">
            <v>160.47</v>
          </cell>
          <cell r="D1285" t="str">
            <v>Term Life Express 10 15 20 30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9"/>
  <sheetViews>
    <sheetView showGridLines="0" workbookViewId="0">
      <selection activeCell="F8" sqref="F8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6" t="s">
        <v>0</v>
      </c>
      <c r="B2" s="17"/>
      <c r="C2" s="17"/>
    </row>
    <row r="3" spans="1:3" x14ac:dyDescent="0.2">
      <c r="A3" s="16" t="s">
        <v>1</v>
      </c>
      <c r="B3" s="17"/>
      <c r="C3" s="17"/>
    </row>
    <row r="4" spans="1:3" x14ac:dyDescent="0.2">
      <c r="A4" s="16" t="s">
        <v>2</v>
      </c>
      <c r="B4" s="17"/>
      <c r="C4" s="17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4" t="s">
        <v>5</v>
      </c>
      <c r="C12" s="15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330.18</v>
      </c>
      <c r="C19" s="8"/>
    </row>
    <row r="20" spans="1:3" x14ac:dyDescent="0.2">
      <c r="A20" s="2" t="s">
        <v>13</v>
      </c>
      <c r="B20" s="8">
        <v>104.94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10175.209999999999</v>
      </c>
      <c r="C24" s="8"/>
    </row>
    <row r="25" spans="1:3" x14ac:dyDescent="0.2">
      <c r="A25" s="2" t="s">
        <v>13</v>
      </c>
      <c r="B25" s="8">
        <v>140.43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78.75</v>
      </c>
      <c r="C29" s="8"/>
    </row>
    <row r="30" spans="1:3" x14ac:dyDescent="0.2">
      <c r="A30" s="2" t="s">
        <v>13</v>
      </c>
      <c r="B30" s="8">
        <v>170.34</v>
      </c>
      <c r="C30" s="8"/>
    </row>
    <row r="31" spans="1:3" x14ac:dyDescent="0.2">
      <c r="A31" s="2"/>
      <c r="B31" s="8"/>
      <c r="C31" s="8"/>
    </row>
    <row r="32" spans="1:3" x14ac:dyDescent="0.2">
      <c r="A32" s="2" t="s">
        <v>16</v>
      </c>
      <c r="B32" s="8"/>
      <c r="C32" s="8"/>
    </row>
    <row r="33" spans="1:3" x14ac:dyDescent="0.2">
      <c r="A33" s="2" t="s">
        <v>11</v>
      </c>
      <c r="B33" s="8"/>
      <c r="C33" s="8"/>
    </row>
    <row r="34" spans="1:3" x14ac:dyDescent="0.2">
      <c r="A34" s="2" t="s">
        <v>12</v>
      </c>
      <c r="B34" s="8">
        <v>37.4</v>
      </c>
      <c r="C34" s="8"/>
    </row>
    <row r="35" spans="1:3" x14ac:dyDescent="0.2">
      <c r="A35" s="2" t="s">
        <v>13</v>
      </c>
      <c r="B35" s="8">
        <v>24.35</v>
      </c>
      <c r="C35" s="8"/>
    </row>
    <row r="36" spans="1:3" x14ac:dyDescent="0.2">
      <c r="A36" s="2"/>
      <c r="B36" s="8"/>
      <c r="C36" s="8"/>
    </row>
    <row r="37" spans="1:3" x14ac:dyDescent="0.2">
      <c r="A37" s="2" t="s">
        <v>17</v>
      </c>
      <c r="B37" s="8"/>
      <c r="C37" s="8">
        <v>11061.6</v>
      </c>
    </row>
    <row r="38" spans="1:3" x14ac:dyDescent="0.2">
      <c r="A38" s="2"/>
      <c r="B38" s="8"/>
      <c r="C38" s="8"/>
    </row>
    <row r="39" spans="1:3" x14ac:dyDescent="0.2">
      <c r="A39" s="2" t="s">
        <v>18</v>
      </c>
      <c r="B39" s="8"/>
      <c r="C39" s="8"/>
    </row>
    <row r="40" spans="1:3" x14ac:dyDescent="0.2">
      <c r="A40" s="2"/>
      <c r="B40" s="8"/>
      <c r="C40" s="8"/>
    </row>
    <row r="41" spans="1:3" x14ac:dyDescent="0.2">
      <c r="A41" s="2" t="s">
        <v>10</v>
      </c>
      <c r="B41" s="8">
        <v>-435.12</v>
      </c>
      <c r="C41" s="8"/>
    </row>
    <row r="42" spans="1:3" x14ac:dyDescent="0.2">
      <c r="A42" s="2" t="s">
        <v>14</v>
      </c>
      <c r="B42" s="8">
        <v>-10315.64</v>
      </c>
      <c r="C42" s="8"/>
    </row>
    <row r="43" spans="1:3" x14ac:dyDescent="0.2">
      <c r="A43" s="2" t="s">
        <v>15</v>
      </c>
      <c r="B43" s="8">
        <v>-249.09</v>
      </c>
      <c r="C43" s="8"/>
    </row>
    <row r="44" spans="1:3" x14ac:dyDescent="0.2">
      <c r="A44" s="2" t="s">
        <v>16</v>
      </c>
      <c r="B44" s="8">
        <v>-61.75</v>
      </c>
      <c r="C44" s="8"/>
    </row>
    <row r="45" spans="1:3" x14ac:dyDescent="0.2">
      <c r="A45" s="2"/>
      <c r="B45" s="8"/>
      <c r="C45" s="8"/>
    </row>
    <row r="46" spans="1:3" x14ac:dyDescent="0.2">
      <c r="A46" s="2" t="s">
        <v>19</v>
      </c>
      <c r="B46" s="8"/>
      <c r="C46" s="8">
        <v>-11061.6</v>
      </c>
    </row>
    <row r="47" spans="1:3" x14ac:dyDescent="0.2">
      <c r="A47" s="2" t="s">
        <v>20</v>
      </c>
      <c r="B47" s="8"/>
      <c r="C47" s="8">
        <v>0</v>
      </c>
    </row>
    <row r="48" spans="1:3" x14ac:dyDescent="0.2">
      <c r="A48" s="2"/>
      <c r="B48" s="8"/>
      <c r="C48" s="8"/>
    </row>
    <row r="49" spans="1:3" x14ac:dyDescent="0.2">
      <c r="A49" s="4"/>
      <c r="B49" s="9"/>
      <c r="C49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3"/>
  <sheetViews>
    <sheetView workbookViewId="0">
      <pane ySplit="1" topLeftCell="A2" activePane="bottomLeft" state="frozen"/>
      <selection pane="bottomLeft" sqref="A1:XFD1048576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21</v>
      </c>
      <c r="B1" s="10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34</v>
      </c>
      <c r="O1" s="10" t="s">
        <v>35</v>
      </c>
      <c r="P1" s="10" t="s">
        <v>36</v>
      </c>
      <c r="Q1" s="10" t="s">
        <v>37</v>
      </c>
      <c r="R1" s="10" t="s">
        <v>38</v>
      </c>
      <c r="S1" s="10" t="s">
        <v>39</v>
      </c>
      <c r="T1" s="10" t="s">
        <v>40</v>
      </c>
      <c r="U1" s="10" t="s">
        <v>41</v>
      </c>
      <c r="V1" s="10" t="s">
        <v>42</v>
      </c>
      <c r="W1" s="10" t="s">
        <v>43</v>
      </c>
      <c r="X1" s="10" t="s">
        <v>44</v>
      </c>
    </row>
    <row r="2" spans="1:24" x14ac:dyDescent="0.2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1" t="s">
        <v>56</v>
      </c>
      <c r="M2" s="1" t="s">
        <v>57</v>
      </c>
      <c r="N2" s="1" t="s">
        <v>58</v>
      </c>
      <c r="O2" s="1" t="s">
        <v>59</v>
      </c>
      <c r="P2" s="1">
        <v>0</v>
      </c>
      <c r="Q2" s="12">
        <v>192.36</v>
      </c>
      <c r="R2" s="1" t="s">
        <v>60</v>
      </c>
      <c r="S2" s="1" t="s">
        <v>61</v>
      </c>
      <c r="T2" s="6" t="s">
        <v>62</v>
      </c>
      <c r="U2" s="13">
        <v>0.23</v>
      </c>
      <c r="V2" s="12">
        <v>44.24</v>
      </c>
      <c r="W2" s="12">
        <v>0</v>
      </c>
      <c r="X2" s="1" t="s">
        <v>56</v>
      </c>
    </row>
    <row r="3" spans="1:24" x14ac:dyDescent="0.2">
      <c r="A3" s="1" t="s">
        <v>45</v>
      </c>
      <c r="B3" s="1" t="s">
        <v>46</v>
      </c>
      <c r="C3" s="1" t="s">
        <v>47</v>
      </c>
      <c r="D3" s="1" t="s">
        <v>63</v>
      </c>
      <c r="E3" s="1" t="s">
        <v>64</v>
      </c>
      <c r="F3" s="1" t="s">
        <v>65</v>
      </c>
      <c r="G3" s="1" t="s">
        <v>51</v>
      </c>
      <c r="H3" s="1" t="s">
        <v>52</v>
      </c>
      <c r="I3" s="1" t="s">
        <v>53</v>
      </c>
      <c r="J3" s="1" t="s">
        <v>66</v>
      </c>
      <c r="K3" s="1" t="s">
        <v>55</v>
      </c>
      <c r="L3" s="11" t="s">
        <v>56</v>
      </c>
      <c r="M3" s="1" t="s">
        <v>57</v>
      </c>
      <c r="N3" s="1" t="s">
        <v>58</v>
      </c>
      <c r="O3" s="1" t="s">
        <v>59</v>
      </c>
      <c r="P3" s="1">
        <v>0</v>
      </c>
      <c r="Q3" s="12">
        <v>162.27000000000001</v>
      </c>
      <c r="R3" s="1" t="s">
        <v>67</v>
      </c>
      <c r="S3" s="1" t="s">
        <v>68</v>
      </c>
      <c r="T3" s="6" t="s">
        <v>62</v>
      </c>
      <c r="U3" s="13">
        <v>0.23</v>
      </c>
      <c r="V3" s="12">
        <v>37.32</v>
      </c>
      <c r="W3" s="12">
        <v>0</v>
      </c>
      <c r="X3" s="1" t="s">
        <v>56</v>
      </c>
    </row>
    <row r="4" spans="1:24" x14ac:dyDescent="0.2">
      <c r="A4" s="1" t="s">
        <v>69</v>
      </c>
      <c r="B4" s="1" t="s">
        <v>46</v>
      </c>
      <c r="C4" s="1" t="s">
        <v>47</v>
      </c>
      <c r="D4" s="1" t="s">
        <v>70</v>
      </c>
      <c r="E4" s="1" t="s">
        <v>71</v>
      </c>
      <c r="F4" s="1" t="s">
        <v>72</v>
      </c>
      <c r="G4" s="1" t="s">
        <v>73</v>
      </c>
      <c r="H4" s="1" t="s">
        <v>52</v>
      </c>
      <c r="I4" s="1" t="s">
        <v>74</v>
      </c>
      <c r="J4" s="1" t="s">
        <v>75</v>
      </c>
      <c r="K4" s="1" t="s">
        <v>55</v>
      </c>
      <c r="L4" s="11" t="s">
        <v>56</v>
      </c>
      <c r="M4" s="1" t="s">
        <v>57</v>
      </c>
      <c r="N4" s="1" t="s">
        <v>58</v>
      </c>
      <c r="O4" s="1" t="s">
        <v>59</v>
      </c>
      <c r="P4" s="1">
        <v>0</v>
      </c>
      <c r="Q4" s="12">
        <v>105.87</v>
      </c>
      <c r="R4" s="1" t="s">
        <v>60</v>
      </c>
      <c r="S4" s="1" t="s">
        <v>61</v>
      </c>
      <c r="T4" s="6" t="s">
        <v>62</v>
      </c>
      <c r="U4" s="13">
        <v>0.23</v>
      </c>
      <c r="V4" s="12">
        <v>24.35</v>
      </c>
      <c r="W4" s="12">
        <v>0</v>
      </c>
      <c r="X4" s="1" t="s">
        <v>56</v>
      </c>
    </row>
    <row r="5" spans="1:24" x14ac:dyDescent="0.2">
      <c r="A5" s="1" t="s">
        <v>45</v>
      </c>
      <c r="B5" s="1" t="s">
        <v>46</v>
      </c>
      <c r="C5" s="1" t="s">
        <v>47</v>
      </c>
      <c r="D5" s="1" t="s">
        <v>70</v>
      </c>
      <c r="E5" s="1" t="s">
        <v>76</v>
      </c>
      <c r="F5" s="1" t="s">
        <v>77</v>
      </c>
      <c r="G5" s="1" t="s">
        <v>51</v>
      </c>
      <c r="H5" s="1" t="s">
        <v>52</v>
      </c>
      <c r="I5" s="1" t="s">
        <v>78</v>
      </c>
      <c r="J5" s="1" t="s">
        <v>79</v>
      </c>
      <c r="K5" s="1" t="s">
        <v>80</v>
      </c>
      <c r="L5" s="11" t="s">
        <v>56</v>
      </c>
      <c r="M5" s="1" t="s">
        <v>57</v>
      </c>
      <c r="N5" s="1" t="s">
        <v>58</v>
      </c>
      <c r="O5" s="1" t="s">
        <v>59</v>
      </c>
      <c r="P5" s="1">
        <v>0</v>
      </c>
      <c r="Q5" s="12">
        <v>160.36000000000001</v>
      </c>
      <c r="R5" s="1" t="s">
        <v>60</v>
      </c>
      <c r="S5" s="1" t="s">
        <v>61</v>
      </c>
      <c r="T5" s="6" t="s">
        <v>62</v>
      </c>
      <c r="U5" s="13">
        <v>0.23</v>
      </c>
      <c r="V5" s="12">
        <v>36.880000000000003</v>
      </c>
      <c r="W5" s="12">
        <v>0</v>
      </c>
      <c r="X5" s="1" t="s">
        <v>56</v>
      </c>
    </row>
    <row r="6" spans="1:24" x14ac:dyDescent="0.2">
      <c r="A6" s="1" t="s">
        <v>45</v>
      </c>
      <c r="B6" s="1" t="s">
        <v>46</v>
      </c>
      <c r="C6" s="1" t="s">
        <v>47</v>
      </c>
      <c r="D6" s="1" t="s">
        <v>70</v>
      </c>
      <c r="E6" s="1" t="s">
        <v>81</v>
      </c>
      <c r="F6" s="1" t="s">
        <v>82</v>
      </c>
      <c r="G6" s="1" t="s">
        <v>51</v>
      </c>
      <c r="H6" s="1" t="s">
        <v>52</v>
      </c>
      <c r="I6" s="1" t="s">
        <v>53</v>
      </c>
      <c r="J6" s="1" t="s">
        <v>79</v>
      </c>
      <c r="K6" s="1" t="s">
        <v>80</v>
      </c>
      <c r="L6" s="11" t="s">
        <v>56</v>
      </c>
      <c r="M6" s="1" t="s">
        <v>57</v>
      </c>
      <c r="N6" s="1" t="s">
        <v>58</v>
      </c>
      <c r="O6" s="1" t="s">
        <v>59</v>
      </c>
      <c r="P6" s="1">
        <v>0</v>
      </c>
      <c r="Q6" s="12">
        <v>112.82</v>
      </c>
      <c r="R6" s="1" t="s">
        <v>60</v>
      </c>
      <c r="S6" s="1" t="s">
        <v>61</v>
      </c>
      <c r="T6" s="6" t="s">
        <v>62</v>
      </c>
      <c r="U6" s="13">
        <v>0.23</v>
      </c>
      <c r="V6" s="12">
        <v>25.95</v>
      </c>
      <c r="W6" s="12">
        <v>0</v>
      </c>
      <c r="X6" s="1" t="s">
        <v>56</v>
      </c>
    </row>
    <row r="7" spans="1:24" x14ac:dyDescent="0.2">
      <c r="A7" s="1" t="s">
        <v>45</v>
      </c>
      <c r="B7" s="1" t="s">
        <v>46</v>
      </c>
      <c r="C7" s="1" t="s">
        <v>47</v>
      </c>
      <c r="D7" s="1" t="s">
        <v>83</v>
      </c>
      <c r="E7" s="1" t="s">
        <v>84</v>
      </c>
      <c r="F7" s="1" t="s">
        <v>85</v>
      </c>
      <c r="G7" s="1" t="s">
        <v>51</v>
      </c>
      <c r="H7" s="1" t="s">
        <v>52</v>
      </c>
      <c r="I7" s="1" t="s">
        <v>53</v>
      </c>
      <c r="J7" s="1" t="s">
        <v>86</v>
      </c>
      <c r="K7" s="1" t="s">
        <v>55</v>
      </c>
      <c r="L7" s="11" t="s">
        <v>56</v>
      </c>
      <c r="M7" s="1" t="s">
        <v>57</v>
      </c>
      <c r="N7" s="1" t="s">
        <v>58</v>
      </c>
      <c r="O7" s="1" t="s">
        <v>59</v>
      </c>
      <c r="P7" s="1">
        <v>0</v>
      </c>
      <c r="Q7" s="12">
        <v>128.66999999999999</v>
      </c>
      <c r="R7" s="1" t="s">
        <v>60</v>
      </c>
      <c r="S7" s="1" t="s">
        <v>61</v>
      </c>
      <c r="T7" s="6" t="s">
        <v>62</v>
      </c>
      <c r="U7" s="13">
        <v>0.23</v>
      </c>
      <c r="V7" s="12">
        <v>29.59</v>
      </c>
      <c r="W7" s="12">
        <v>0</v>
      </c>
      <c r="X7" s="1" t="s">
        <v>56</v>
      </c>
    </row>
    <row r="8" spans="1:24" x14ac:dyDescent="0.2">
      <c r="A8" s="1" t="s">
        <v>45</v>
      </c>
      <c r="B8" s="1" t="s">
        <v>46</v>
      </c>
      <c r="C8" s="1" t="s">
        <v>47</v>
      </c>
      <c r="D8" s="1" t="s">
        <v>83</v>
      </c>
      <c r="E8" s="1" t="s">
        <v>87</v>
      </c>
      <c r="F8" s="1" t="s">
        <v>88</v>
      </c>
      <c r="G8" s="1" t="s">
        <v>51</v>
      </c>
      <c r="H8" s="1" t="s">
        <v>52</v>
      </c>
      <c r="I8" s="1" t="s">
        <v>53</v>
      </c>
      <c r="J8" s="1" t="s">
        <v>54</v>
      </c>
      <c r="K8" s="1" t="s">
        <v>55</v>
      </c>
      <c r="L8" s="11" t="s">
        <v>56</v>
      </c>
      <c r="M8" s="1" t="s">
        <v>57</v>
      </c>
      <c r="N8" s="1" t="s">
        <v>58</v>
      </c>
      <c r="O8" s="1" t="s">
        <v>59</v>
      </c>
      <c r="P8" s="1">
        <v>0</v>
      </c>
      <c r="Q8" s="12">
        <v>146.41999999999999</v>
      </c>
      <c r="R8" s="1" t="s">
        <v>60</v>
      </c>
      <c r="S8" s="1" t="s">
        <v>61</v>
      </c>
      <c r="T8" s="6" t="s">
        <v>62</v>
      </c>
      <c r="U8" s="13">
        <v>0.23</v>
      </c>
      <c r="V8" s="12">
        <v>33.68</v>
      </c>
      <c r="W8" s="12">
        <v>0</v>
      </c>
      <c r="X8" s="1" t="s">
        <v>56</v>
      </c>
    </row>
    <row r="9" spans="1:24" x14ac:dyDescent="0.2">
      <c r="A9" s="1" t="s">
        <v>45</v>
      </c>
      <c r="B9" s="1" t="s">
        <v>46</v>
      </c>
      <c r="C9" s="1" t="s">
        <v>89</v>
      </c>
      <c r="D9" s="1" t="s">
        <v>70</v>
      </c>
      <c r="E9" s="1" t="s">
        <v>90</v>
      </c>
      <c r="F9" s="1" t="s">
        <v>91</v>
      </c>
      <c r="G9" s="1" t="s">
        <v>51</v>
      </c>
      <c r="H9" s="1" t="s">
        <v>52</v>
      </c>
      <c r="I9" s="1" t="s">
        <v>53</v>
      </c>
      <c r="J9" s="1" t="s">
        <v>92</v>
      </c>
      <c r="K9" s="1" t="s">
        <v>55</v>
      </c>
      <c r="L9" s="11" t="s">
        <v>56</v>
      </c>
      <c r="M9" s="1" t="s">
        <v>57</v>
      </c>
      <c r="N9" s="1" t="s">
        <v>58</v>
      </c>
      <c r="O9" s="1" t="s">
        <v>59</v>
      </c>
      <c r="P9" s="1">
        <v>0</v>
      </c>
      <c r="Q9" s="12">
        <v>180.14</v>
      </c>
      <c r="R9" s="1" t="s">
        <v>67</v>
      </c>
      <c r="S9" s="1" t="s">
        <v>68</v>
      </c>
      <c r="T9" s="6" t="s">
        <v>62</v>
      </c>
      <c r="U9" s="13">
        <v>0.23</v>
      </c>
      <c r="V9" s="12">
        <v>41.43</v>
      </c>
      <c r="W9" s="12">
        <v>0</v>
      </c>
      <c r="X9" s="1" t="s">
        <v>56</v>
      </c>
    </row>
    <row r="10" spans="1:24" x14ac:dyDescent="0.2">
      <c r="A10" s="1" t="s">
        <v>69</v>
      </c>
      <c r="B10" s="1" t="s">
        <v>46</v>
      </c>
      <c r="C10" s="1" t="s">
        <v>89</v>
      </c>
      <c r="D10" s="1" t="s">
        <v>93</v>
      </c>
      <c r="E10" s="1" t="s">
        <v>94</v>
      </c>
      <c r="F10" s="1" t="s">
        <v>95</v>
      </c>
      <c r="G10" s="1" t="s">
        <v>73</v>
      </c>
      <c r="H10" s="1" t="s">
        <v>52</v>
      </c>
      <c r="I10" s="1" t="s">
        <v>74</v>
      </c>
      <c r="J10" s="1" t="s">
        <v>96</v>
      </c>
      <c r="K10" s="1" t="s">
        <v>55</v>
      </c>
      <c r="L10" s="11" t="s">
        <v>56</v>
      </c>
      <c r="M10" s="1" t="s">
        <v>57</v>
      </c>
      <c r="N10" s="1" t="s">
        <v>58</v>
      </c>
      <c r="O10" s="1" t="s">
        <v>59</v>
      </c>
      <c r="P10" s="1">
        <v>0</v>
      </c>
      <c r="Q10" s="12">
        <v>155.84</v>
      </c>
      <c r="R10" s="1" t="s">
        <v>67</v>
      </c>
      <c r="S10" s="1" t="s">
        <v>68</v>
      </c>
      <c r="T10" s="6" t="s">
        <v>62</v>
      </c>
      <c r="U10" s="13">
        <v>0.24</v>
      </c>
      <c r="V10" s="12">
        <v>37.4</v>
      </c>
      <c r="W10" s="12">
        <v>0</v>
      </c>
      <c r="X10" s="1" t="s">
        <v>56</v>
      </c>
    </row>
    <row r="11" spans="1:24" x14ac:dyDescent="0.2">
      <c r="A11" s="1" t="s">
        <v>97</v>
      </c>
      <c r="B11" s="1" t="s">
        <v>46</v>
      </c>
      <c r="C11" s="1" t="s">
        <v>89</v>
      </c>
      <c r="D11" s="1" t="s">
        <v>93</v>
      </c>
      <c r="E11" s="1" t="s">
        <v>98</v>
      </c>
      <c r="F11" s="1" t="s">
        <v>99</v>
      </c>
      <c r="G11" s="1" t="s">
        <v>51</v>
      </c>
      <c r="H11" s="1" t="s">
        <v>52</v>
      </c>
      <c r="I11" s="1" t="s">
        <v>100</v>
      </c>
      <c r="J11" s="1" t="s">
        <v>101</v>
      </c>
      <c r="K11" s="1" t="s">
        <v>102</v>
      </c>
      <c r="L11" s="11">
        <v>61</v>
      </c>
      <c r="M11" s="1" t="s">
        <v>57</v>
      </c>
      <c r="N11" s="1" t="s">
        <v>58</v>
      </c>
      <c r="O11" s="1" t="s">
        <v>59</v>
      </c>
      <c r="P11" s="1">
        <v>50</v>
      </c>
      <c r="Q11" s="12">
        <v>99.07</v>
      </c>
      <c r="R11" s="1" t="s">
        <v>67</v>
      </c>
      <c r="S11" s="1" t="s">
        <v>68</v>
      </c>
      <c r="T11" s="6" t="s">
        <v>62</v>
      </c>
      <c r="U11" s="13">
        <v>1.35</v>
      </c>
      <c r="V11" s="12">
        <v>0</v>
      </c>
      <c r="W11" s="12">
        <v>-133.74</v>
      </c>
      <c r="X11" s="1" t="s">
        <v>56</v>
      </c>
    </row>
    <row r="12" spans="1:24" x14ac:dyDescent="0.2">
      <c r="A12" s="1" t="s">
        <v>97</v>
      </c>
      <c r="B12" s="1" t="s">
        <v>46</v>
      </c>
      <c r="C12" s="1" t="s">
        <v>89</v>
      </c>
      <c r="D12" s="1" t="s">
        <v>70</v>
      </c>
      <c r="E12" s="1" t="s">
        <v>103</v>
      </c>
      <c r="F12" s="1" t="s">
        <v>104</v>
      </c>
      <c r="G12" s="1" t="s">
        <v>105</v>
      </c>
      <c r="H12" s="1" t="s">
        <v>106</v>
      </c>
      <c r="I12" s="1" t="s">
        <v>100</v>
      </c>
      <c r="J12" s="1" t="s">
        <v>107</v>
      </c>
      <c r="K12" s="1" t="s">
        <v>108</v>
      </c>
      <c r="L12" s="11">
        <v>62</v>
      </c>
      <c r="M12" s="1" t="s">
        <v>57</v>
      </c>
      <c r="N12" s="1" t="s">
        <v>58</v>
      </c>
      <c r="O12" s="1" t="s">
        <v>59</v>
      </c>
      <c r="P12" s="1">
        <v>100</v>
      </c>
      <c r="Q12" s="12">
        <v>202.13</v>
      </c>
      <c r="R12" s="1" t="s">
        <v>67</v>
      </c>
      <c r="S12" s="1" t="s">
        <v>68</v>
      </c>
      <c r="T12" s="6" t="s">
        <v>62</v>
      </c>
      <c r="U12" s="13">
        <v>0.67500000000000004</v>
      </c>
      <c r="V12" s="12">
        <v>0</v>
      </c>
      <c r="W12" s="12">
        <v>-136.44</v>
      </c>
      <c r="X12" s="1" t="s">
        <v>56</v>
      </c>
    </row>
    <row r="13" spans="1:24" x14ac:dyDescent="0.2">
      <c r="A13" s="1" t="s">
        <v>97</v>
      </c>
      <c r="B13" s="1" t="s">
        <v>46</v>
      </c>
      <c r="C13" s="1" t="s">
        <v>89</v>
      </c>
      <c r="D13" s="1" t="s">
        <v>70</v>
      </c>
      <c r="E13" s="1" t="s">
        <v>109</v>
      </c>
      <c r="F13" s="1" t="s">
        <v>110</v>
      </c>
      <c r="G13" s="1" t="s">
        <v>111</v>
      </c>
      <c r="H13" s="1" t="s">
        <v>106</v>
      </c>
      <c r="I13" s="1" t="s">
        <v>100</v>
      </c>
      <c r="J13" s="1" t="s">
        <v>112</v>
      </c>
      <c r="K13" s="1" t="s">
        <v>113</v>
      </c>
      <c r="L13" s="11">
        <v>53</v>
      </c>
      <c r="M13" s="1" t="s">
        <v>57</v>
      </c>
      <c r="N13" s="1" t="s">
        <v>58</v>
      </c>
      <c r="O13" s="1" t="s">
        <v>59</v>
      </c>
      <c r="P13" s="1">
        <v>125</v>
      </c>
      <c r="Q13" s="12">
        <v>198.23</v>
      </c>
      <c r="R13" s="1" t="s">
        <v>67</v>
      </c>
      <c r="S13" s="1" t="s">
        <v>68</v>
      </c>
      <c r="T13" s="6" t="s">
        <v>62</v>
      </c>
      <c r="U13" s="13">
        <v>0.67500000000000004</v>
      </c>
      <c r="V13" s="12">
        <v>0</v>
      </c>
      <c r="W13" s="12">
        <v>-133.81</v>
      </c>
      <c r="X13" s="1" t="s">
        <v>56</v>
      </c>
    </row>
    <row r="14" spans="1:24" x14ac:dyDescent="0.2">
      <c r="A14" s="1" t="s">
        <v>97</v>
      </c>
      <c r="B14" s="1" t="s">
        <v>46</v>
      </c>
      <c r="C14" s="1" t="s">
        <v>89</v>
      </c>
      <c r="D14" s="1" t="s">
        <v>70</v>
      </c>
      <c r="E14" s="1" t="s">
        <v>114</v>
      </c>
      <c r="F14" s="1" t="s">
        <v>115</v>
      </c>
      <c r="G14" s="1" t="s">
        <v>51</v>
      </c>
      <c r="H14" s="1" t="s">
        <v>52</v>
      </c>
      <c r="I14" s="1" t="s">
        <v>100</v>
      </c>
      <c r="J14" s="1" t="s">
        <v>116</v>
      </c>
      <c r="K14" s="1" t="s">
        <v>113</v>
      </c>
      <c r="L14" s="11">
        <v>71</v>
      </c>
      <c r="M14" s="1" t="s">
        <v>57</v>
      </c>
      <c r="N14" s="1" t="s">
        <v>58</v>
      </c>
      <c r="O14" s="1" t="s">
        <v>59</v>
      </c>
      <c r="P14" s="1">
        <v>50</v>
      </c>
      <c r="Q14" s="12">
        <v>241.54</v>
      </c>
      <c r="R14" s="1" t="s">
        <v>67</v>
      </c>
      <c r="S14" s="1" t="s">
        <v>68</v>
      </c>
      <c r="T14" s="6" t="s">
        <v>62</v>
      </c>
      <c r="U14" s="13">
        <v>1.35</v>
      </c>
      <c r="V14" s="12">
        <v>0</v>
      </c>
      <c r="W14" s="12">
        <v>-326.08</v>
      </c>
      <c r="X14" s="1" t="s">
        <v>56</v>
      </c>
    </row>
    <row r="15" spans="1:24" x14ac:dyDescent="0.2">
      <c r="A15" s="1" t="s">
        <v>97</v>
      </c>
      <c r="B15" s="1" t="s">
        <v>46</v>
      </c>
      <c r="C15" s="1" t="s">
        <v>89</v>
      </c>
      <c r="D15" s="1" t="s">
        <v>70</v>
      </c>
      <c r="E15" s="1" t="s">
        <v>117</v>
      </c>
      <c r="F15" s="1" t="s">
        <v>118</v>
      </c>
      <c r="G15" s="1" t="s">
        <v>119</v>
      </c>
      <c r="H15" s="1" t="s">
        <v>106</v>
      </c>
      <c r="I15" s="1" t="s">
        <v>120</v>
      </c>
      <c r="J15" s="1" t="s">
        <v>121</v>
      </c>
      <c r="K15" s="1" t="s">
        <v>113</v>
      </c>
      <c r="L15" s="11">
        <v>63</v>
      </c>
      <c r="M15" s="1" t="s">
        <v>57</v>
      </c>
      <c r="N15" s="1" t="s">
        <v>58</v>
      </c>
      <c r="O15" s="1" t="s">
        <v>59</v>
      </c>
      <c r="P15" s="1">
        <v>100</v>
      </c>
      <c r="Q15" s="12">
        <v>192.42</v>
      </c>
      <c r="R15" s="1" t="s">
        <v>67</v>
      </c>
      <c r="S15" s="1" t="s">
        <v>68</v>
      </c>
      <c r="T15" s="6" t="s">
        <v>62</v>
      </c>
      <c r="U15" s="13">
        <v>1.5</v>
      </c>
      <c r="V15" s="12">
        <v>0</v>
      </c>
      <c r="W15" s="12">
        <v>-288.63</v>
      </c>
      <c r="X15" s="1" t="s">
        <v>56</v>
      </c>
    </row>
    <row r="16" spans="1:24" x14ac:dyDescent="0.2">
      <c r="A16" s="1" t="s">
        <v>97</v>
      </c>
      <c r="B16" s="1" t="s">
        <v>46</v>
      </c>
      <c r="C16" s="1" t="s">
        <v>89</v>
      </c>
      <c r="D16" s="1" t="s">
        <v>70</v>
      </c>
      <c r="E16" s="1" t="s">
        <v>122</v>
      </c>
      <c r="F16" s="1" t="s">
        <v>123</v>
      </c>
      <c r="G16" s="1" t="s">
        <v>119</v>
      </c>
      <c r="H16" s="1" t="s">
        <v>124</v>
      </c>
      <c r="I16" s="1" t="s">
        <v>100</v>
      </c>
      <c r="J16" s="1" t="s">
        <v>125</v>
      </c>
      <c r="K16" s="1" t="s">
        <v>55</v>
      </c>
      <c r="L16" s="11">
        <v>61</v>
      </c>
      <c r="M16" s="1" t="s">
        <v>57</v>
      </c>
      <c r="N16" s="1" t="s">
        <v>58</v>
      </c>
      <c r="O16" s="1" t="s">
        <v>59</v>
      </c>
      <c r="P16" s="1">
        <v>90</v>
      </c>
      <c r="Q16" s="12">
        <v>173.17</v>
      </c>
      <c r="R16" s="1" t="s">
        <v>67</v>
      </c>
      <c r="S16" s="1" t="s">
        <v>68</v>
      </c>
      <c r="T16" s="6" t="s">
        <v>62</v>
      </c>
      <c r="U16" s="13">
        <v>0.67500000000000004</v>
      </c>
      <c r="V16" s="12">
        <v>0</v>
      </c>
      <c r="W16" s="12">
        <v>-116.89</v>
      </c>
      <c r="X16" s="1" t="s">
        <v>56</v>
      </c>
    </row>
    <row r="17" spans="1:24" x14ac:dyDescent="0.2">
      <c r="A17" s="1" t="s">
        <v>97</v>
      </c>
      <c r="B17" s="1" t="s">
        <v>46</v>
      </c>
      <c r="C17" s="1" t="s">
        <v>89</v>
      </c>
      <c r="D17" s="1" t="s">
        <v>70</v>
      </c>
      <c r="E17" s="1" t="s">
        <v>122</v>
      </c>
      <c r="F17" s="1" t="s">
        <v>123</v>
      </c>
      <c r="G17" s="1" t="s">
        <v>119</v>
      </c>
      <c r="H17" s="1" t="s">
        <v>126</v>
      </c>
      <c r="I17" s="1" t="s">
        <v>100</v>
      </c>
      <c r="J17" s="1" t="s">
        <v>125</v>
      </c>
      <c r="K17" s="1" t="s">
        <v>55</v>
      </c>
      <c r="L17" s="11">
        <v>61</v>
      </c>
      <c r="M17" s="1" t="s">
        <v>57</v>
      </c>
      <c r="N17" s="1" t="s">
        <v>58</v>
      </c>
      <c r="O17" s="1" t="s">
        <v>59</v>
      </c>
      <c r="P17" s="1">
        <v>90</v>
      </c>
      <c r="Q17" s="12">
        <v>-173.17</v>
      </c>
      <c r="R17" s="1" t="s">
        <v>67</v>
      </c>
      <c r="S17" s="1" t="s">
        <v>127</v>
      </c>
      <c r="T17" s="6" t="s">
        <v>62</v>
      </c>
      <c r="U17" s="13">
        <v>0.67500000000000004</v>
      </c>
      <c r="V17" s="12">
        <v>0</v>
      </c>
      <c r="W17" s="12">
        <v>116.89</v>
      </c>
      <c r="X17" s="1" t="s">
        <v>56</v>
      </c>
    </row>
    <row r="18" spans="1:24" x14ac:dyDescent="0.2">
      <c r="A18" s="1" t="s">
        <v>97</v>
      </c>
      <c r="B18" s="1" t="s">
        <v>46</v>
      </c>
      <c r="C18" s="1" t="s">
        <v>89</v>
      </c>
      <c r="D18" s="1" t="s">
        <v>70</v>
      </c>
      <c r="E18" s="1" t="s">
        <v>128</v>
      </c>
      <c r="F18" s="1" t="s">
        <v>129</v>
      </c>
      <c r="G18" s="1" t="s">
        <v>130</v>
      </c>
      <c r="H18" s="1" t="s">
        <v>106</v>
      </c>
      <c r="I18" s="1" t="s">
        <v>120</v>
      </c>
      <c r="J18" s="1" t="s">
        <v>131</v>
      </c>
      <c r="K18" s="1" t="s">
        <v>113</v>
      </c>
      <c r="L18" s="11">
        <v>63</v>
      </c>
      <c r="M18" s="1" t="s">
        <v>57</v>
      </c>
      <c r="N18" s="1" t="s">
        <v>58</v>
      </c>
      <c r="O18" s="1" t="s">
        <v>59</v>
      </c>
      <c r="P18" s="1">
        <v>100</v>
      </c>
      <c r="Q18" s="12">
        <v>192.42</v>
      </c>
      <c r="R18" s="1" t="s">
        <v>67</v>
      </c>
      <c r="S18" s="1" t="s">
        <v>68</v>
      </c>
      <c r="T18" s="6" t="s">
        <v>62</v>
      </c>
      <c r="U18" s="13">
        <v>1.5</v>
      </c>
      <c r="V18" s="12">
        <v>0</v>
      </c>
      <c r="W18" s="12">
        <v>-288.63</v>
      </c>
      <c r="X18" s="1" t="s">
        <v>56</v>
      </c>
    </row>
    <row r="19" spans="1:24" x14ac:dyDescent="0.2">
      <c r="A19" s="1" t="s">
        <v>97</v>
      </c>
      <c r="B19" s="1" t="s">
        <v>46</v>
      </c>
      <c r="C19" s="1" t="s">
        <v>89</v>
      </c>
      <c r="D19" s="1" t="s">
        <v>70</v>
      </c>
      <c r="E19" s="1" t="s">
        <v>132</v>
      </c>
      <c r="F19" s="1" t="s">
        <v>133</v>
      </c>
      <c r="G19" s="1" t="s">
        <v>134</v>
      </c>
      <c r="H19" s="1" t="s">
        <v>106</v>
      </c>
      <c r="I19" s="1" t="s">
        <v>120</v>
      </c>
      <c r="J19" s="1" t="s">
        <v>121</v>
      </c>
      <c r="K19" s="1" t="s">
        <v>113</v>
      </c>
      <c r="L19" s="11">
        <v>52</v>
      </c>
      <c r="M19" s="1" t="s">
        <v>57</v>
      </c>
      <c r="N19" s="1" t="s">
        <v>58</v>
      </c>
      <c r="O19" s="1" t="s">
        <v>59</v>
      </c>
      <c r="P19" s="1">
        <v>250</v>
      </c>
      <c r="Q19" s="12">
        <v>194.02</v>
      </c>
      <c r="R19" s="1" t="s">
        <v>67</v>
      </c>
      <c r="S19" s="1" t="s">
        <v>68</v>
      </c>
      <c r="T19" s="6" t="s">
        <v>62</v>
      </c>
      <c r="U19" s="13">
        <v>1.5</v>
      </c>
      <c r="V19" s="12">
        <v>0</v>
      </c>
      <c r="W19" s="12">
        <v>-291.02999999999997</v>
      </c>
      <c r="X19" s="1" t="s">
        <v>56</v>
      </c>
    </row>
    <row r="20" spans="1:24" x14ac:dyDescent="0.2">
      <c r="A20" s="1" t="s">
        <v>97</v>
      </c>
      <c r="B20" s="1" t="s">
        <v>46</v>
      </c>
      <c r="C20" s="1" t="s">
        <v>89</v>
      </c>
      <c r="D20" s="1" t="s">
        <v>70</v>
      </c>
      <c r="E20" s="1" t="s">
        <v>135</v>
      </c>
      <c r="F20" s="1" t="s">
        <v>136</v>
      </c>
      <c r="G20" s="1" t="s">
        <v>51</v>
      </c>
      <c r="H20" s="1" t="s">
        <v>137</v>
      </c>
      <c r="I20" s="1" t="s">
        <v>138</v>
      </c>
      <c r="J20" s="1" t="s">
        <v>55</v>
      </c>
      <c r="K20" s="1" t="s">
        <v>55</v>
      </c>
      <c r="L20" s="11">
        <v>74</v>
      </c>
      <c r="M20" s="1" t="s">
        <v>57</v>
      </c>
      <c r="N20" s="1" t="s">
        <v>58</v>
      </c>
      <c r="O20" s="1" t="s">
        <v>59</v>
      </c>
      <c r="P20" s="1">
        <v>20</v>
      </c>
      <c r="Q20" s="12">
        <v>1895.94</v>
      </c>
      <c r="R20" s="1" t="s">
        <v>67</v>
      </c>
      <c r="S20" s="1" t="s">
        <v>139</v>
      </c>
      <c r="T20" s="6" t="s">
        <v>62</v>
      </c>
      <c r="U20" s="13">
        <v>0.875</v>
      </c>
      <c r="V20" s="12">
        <v>1658.97</v>
      </c>
      <c r="W20" s="12">
        <v>1658.97</v>
      </c>
      <c r="X20" s="1" t="s">
        <v>56</v>
      </c>
    </row>
    <row r="21" spans="1:24" x14ac:dyDescent="0.2">
      <c r="A21" s="1" t="s">
        <v>97</v>
      </c>
      <c r="B21" s="1" t="s">
        <v>46</v>
      </c>
      <c r="C21" s="1" t="s">
        <v>89</v>
      </c>
      <c r="D21" s="1" t="s">
        <v>70</v>
      </c>
      <c r="E21" s="1" t="s">
        <v>140</v>
      </c>
      <c r="F21" s="1" t="s">
        <v>141</v>
      </c>
      <c r="G21" s="1" t="s">
        <v>134</v>
      </c>
      <c r="H21" s="1" t="s">
        <v>126</v>
      </c>
      <c r="I21" s="1" t="s">
        <v>100</v>
      </c>
      <c r="J21" s="1" t="s">
        <v>55</v>
      </c>
      <c r="K21" s="1" t="s">
        <v>55</v>
      </c>
      <c r="L21" s="11">
        <v>67</v>
      </c>
      <c r="M21" s="1" t="s">
        <v>57</v>
      </c>
      <c r="N21" s="1" t="s">
        <v>58</v>
      </c>
      <c r="O21" s="1" t="s">
        <v>59</v>
      </c>
      <c r="P21" s="1">
        <v>60</v>
      </c>
      <c r="Q21" s="12">
        <v>2021.85</v>
      </c>
      <c r="R21" s="1" t="s">
        <v>67</v>
      </c>
      <c r="S21" s="1" t="s">
        <v>139</v>
      </c>
      <c r="T21" s="6" t="s">
        <v>62</v>
      </c>
      <c r="U21" s="13">
        <v>1.35</v>
      </c>
      <c r="V21" s="12">
        <v>2000</v>
      </c>
      <c r="W21" s="12">
        <v>2000</v>
      </c>
      <c r="X21" s="1" t="s">
        <v>56</v>
      </c>
    </row>
    <row r="22" spans="1:24" x14ac:dyDescent="0.2">
      <c r="A22" s="1" t="s">
        <v>97</v>
      </c>
      <c r="B22" s="1" t="s">
        <v>46</v>
      </c>
      <c r="C22" s="1" t="s">
        <v>89</v>
      </c>
      <c r="D22" s="1" t="s">
        <v>70</v>
      </c>
      <c r="E22" s="1" t="s">
        <v>142</v>
      </c>
      <c r="F22" s="1" t="s">
        <v>143</v>
      </c>
      <c r="G22" s="1" t="s">
        <v>134</v>
      </c>
      <c r="H22" s="1" t="s">
        <v>126</v>
      </c>
      <c r="I22" s="1" t="s">
        <v>100</v>
      </c>
      <c r="J22" s="1" t="s">
        <v>55</v>
      </c>
      <c r="K22" s="1" t="s">
        <v>55</v>
      </c>
      <c r="L22" s="11">
        <v>60</v>
      </c>
      <c r="M22" s="1" t="s">
        <v>57</v>
      </c>
      <c r="N22" s="1" t="s">
        <v>58</v>
      </c>
      <c r="O22" s="1" t="s">
        <v>59</v>
      </c>
      <c r="P22" s="1">
        <v>150</v>
      </c>
      <c r="Q22" s="12">
        <v>2192.04</v>
      </c>
      <c r="R22" s="1" t="s">
        <v>67</v>
      </c>
      <c r="S22" s="1" t="s">
        <v>144</v>
      </c>
      <c r="T22" s="6" t="s">
        <v>62</v>
      </c>
      <c r="U22" s="13">
        <v>0.67500000000000004</v>
      </c>
      <c r="V22" s="12">
        <v>1479.63</v>
      </c>
      <c r="W22" s="12">
        <v>1479.63</v>
      </c>
      <c r="X22" s="1" t="s">
        <v>56</v>
      </c>
    </row>
    <row r="23" spans="1:24" x14ac:dyDescent="0.2">
      <c r="A23" s="1" t="s">
        <v>97</v>
      </c>
      <c r="B23" s="1" t="s">
        <v>46</v>
      </c>
      <c r="C23" s="1" t="s">
        <v>89</v>
      </c>
      <c r="D23" s="1" t="s">
        <v>70</v>
      </c>
      <c r="E23" s="1" t="s">
        <v>145</v>
      </c>
      <c r="F23" s="1" t="s">
        <v>146</v>
      </c>
      <c r="G23" s="1" t="s">
        <v>134</v>
      </c>
      <c r="H23" s="1" t="s">
        <v>106</v>
      </c>
      <c r="I23" s="1" t="s">
        <v>120</v>
      </c>
      <c r="J23" s="1" t="s">
        <v>55</v>
      </c>
      <c r="K23" s="1" t="s">
        <v>55</v>
      </c>
      <c r="L23" s="11">
        <v>57</v>
      </c>
      <c r="M23" s="1" t="s">
        <v>57</v>
      </c>
      <c r="N23" s="1" t="s">
        <v>58</v>
      </c>
      <c r="O23" s="1" t="s">
        <v>59</v>
      </c>
      <c r="P23" s="1">
        <v>150</v>
      </c>
      <c r="Q23" s="12">
        <v>1429.83</v>
      </c>
      <c r="R23" s="1" t="s">
        <v>67</v>
      </c>
      <c r="S23" s="1" t="s">
        <v>139</v>
      </c>
      <c r="T23" s="6" t="s">
        <v>62</v>
      </c>
      <c r="U23" s="13">
        <v>1.5</v>
      </c>
      <c r="V23" s="12">
        <v>2000</v>
      </c>
      <c r="W23" s="12">
        <v>2000</v>
      </c>
      <c r="X23" s="1" t="s">
        <v>56</v>
      </c>
    </row>
    <row r="24" spans="1:24" x14ac:dyDescent="0.2">
      <c r="A24" s="1" t="s">
        <v>97</v>
      </c>
      <c r="B24" s="1" t="s">
        <v>46</v>
      </c>
      <c r="C24" s="1" t="s">
        <v>89</v>
      </c>
      <c r="D24" s="1" t="s">
        <v>147</v>
      </c>
      <c r="E24" s="1" t="s">
        <v>148</v>
      </c>
      <c r="F24" s="1" t="s">
        <v>149</v>
      </c>
      <c r="G24" s="1" t="s">
        <v>150</v>
      </c>
      <c r="H24" s="1" t="s">
        <v>137</v>
      </c>
      <c r="I24" s="1" t="s">
        <v>100</v>
      </c>
      <c r="J24" s="1" t="s">
        <v>151</v>
      </c>
      <c r="K24" s="1" t="s">
        <v>152</v>
      </c>
      <c r="L24" s="11">
        <v>43</v>
      </c>
      <c r="M24" s="1" t="s">
        <v>57</v>
      </c>
      <c r="N24" s="1" t="s">
        <v>58</v>
      </c>
      <c r="O24" s="1" t="s">
        <v>59</v>
      </c>
      <c r="P24" s="1">
        <v>40</v>
      </c>
      <c r="Q24" s="12">
        <v>56.05</v>
      </c>
      <c r="R24" s="1" t="s">
        <v>67</v>
      </c>
      <c r="S24" s="1" t="s">
        <v>68</v>
      </c>
      <c r="T24" s="6" t="s">
        <v>62</v>
      </c>
      <c r="U24" s="13">
        <v>1.35</v>
      </c>
      <c r="V24" s="12">
        <v>0</v>
      </c>
      <c r="W24" s="12">
        <v>-75.67</v>
      </c>
      <c r="X24" s="1" t="s">
        <v>56</v>
      </c>
    </row>
    <row r="25" spans="1:24" x14ac:dyDescent="0.2">
      <c r="A25" s="1" t="s">
        <v>97</v>
      </c>
      <c r="B25" s="1" t="s">
        <v>46</v>
      </c>
      <c r="C25" s="1" t="s">
        <v>89</v>
      </c>
      <c r="D25" s="1" t="s">
        <v>153</v>
      </c>
      <c r="E25" s="1" t="s">
        <v>154</v>
      </c>
      <c r="F25" s="1" t="s">
        <v>155</v>
      </c>
      <c r="G25" s="1" t="s">
        <v>51</v>
      </c>
      <c r="H25" s="1" t="s">
        <v>126</v>
      </c>
      <c r="I25" s="1" t="s">
        <v>138</v>
      </c>
      <c r="J25" s="1" t="s">
        <v>156</v>
      </c>
      <c r="K25" s="1" t="s">
        <v>157</v>
      </c>
      <c r="L25" s="11">
        <v>71</v>
      </c>
      <c r="M25" s="1" t="s">
        <v>57</v>
      </c>
      <c r="N25" s="1" t="s">
        <v>58</v>
      </c>
      <c r="O25" s="1" t="s">
        <v>59</v>
      </c>
      <c r="P25" s="1">
        <v>12</v>
      </c>
      <c r="Q25" s="12">
        <v>80.739999999999995</v>
      </c>
      <c r="R25" s="1" t="s">
        <v>67</v>
      </c>
      <c r="S25" s="1" t="s">
        <v>158</v>
      </c>
      <c r="T25" s="6" t="s">
        <v>62</v>
      </c>
      <c r="U25" s="13">
        <v>0.875</v>
      </c>
      <c r="V25" s="12">
        <v>0</v>
      </c>
      <c r="W25" s="12">
        <v>-70.650000000000006</v>
      </c>
      <c r="X25" s="1" t="s">
        <v>56</v>
      </c>
    </row>
    <row r="26" spans="1:24" x14ac:dyDescent="0.2">
      <c r="A26" s="1" t="s">
        <v>97</v>
      </c>
      <c r="B26" s="1" t="s">
        <v>46</v>
      </c>
      <c r="C26" s="1" t="s">
        <v>89</v>
      </c>
      <c r="D26" s="1" t="s">
        <v>153</v>
      </c>
      <c r="E26" s="1" t="s">
        <v>159</v>
      </c>
      <c r="F26" s="1" t="s">
        <v>160</v>
      </c>
      <c r="G26" s="1" t="s">
        <v>51</v>
      </c>
      <c r="H26" s="1" t="s">
        <v>126</v>
      </c>
      <c r="I26" s="1" t="s">
        <v>161</v>
      </c>
      <c r="J26" s="1" t="s">
        <v>162</v>
      </c>
      <c r="K26" s="1" t="s">
        <v>108</v>
      </c>
      <c r="L26" s="11">
        <v>64</v>
      </c>
      <c r="M26" s="1" t="s">
        <v>57</v>
      </c>
      <c r="N26" s="1" t="s">
        <v>58</v>
      </c>
      <c r="O26" s="1" t="s">
        <v>59</v>
      </c>
      <c r="P26" s="1">
        <v>12</v>
      </c>
      <c r="Q26" s="12">
        <v>63.65</v>
      </c>
      <c r="R26" s="1" t="s">
        <v>67</v>
      </c>
      <c r="S26" s="1" t="s">
        <v>68</v>
      </c>
      <c r="T26" s="6" t="s">
        <v>62</v>
      </c>
      <c r="U26" s="13">
        <v>1.35</v>
      </c>
      <c r="V26" s="12">
        <v>0</v>
      </c>
      <c r="W26" s="12">
        <v>-85.93</v>
      </c>
      <c r="X26" s="1" t="s">
        <v>56</v>
      </c>
    </row>
    <row r="27" spans="1:24" x14ac:dyDescent="0.2">
      <c r="A27" s="1" t="s">
        <v>97</v>
      </c>
      <c r="B27" s="1" t="s">
        <v>46</v>
      </c>
      <c r="C27" s="1" t="s">
        <v>89</v>
      </c>
      <c r="D27" s="1" t="s">
        <v>163</v>
      </c>
      <c r="E27" s="1" t="s">
        <v>164</v>
      </c>
      <c r="F27" s="1" t="s">
        <v>165</v>
      </c>
      <c r="G27" s="1" t="s">
        <v>166</v>
      </c>
      <c r="H27" s="1" t="s">
        <v>52</v>
      </c>
      <c r="I27" s="1" t="s">
        <v>167</v>
      </c>
      <c r="J27" s="1" t="s">
        <v>55</v>
      </c>
      <c r="K27" s="1" t="s">
        <v>55</v>
      </c>
      <c r="L27" s="11">
        <v>27</v>
      </c>
      <c r="M27" s="1" t="s">
        <v>57</v>
      </c>
      <c r="N27" s="1" t="s">
        <v>58</v>
      </c>
      <c r="O27" s="1" t="s">
        <v>59</v>
      </c>
      <c r="P27" s="1">
        <v>275</v>
      </c>
      <c r="Q27" s="12">
        <v>391.68</v>
      </c>
      <c r="R27" s="1" t="s">
        <v>67</v>
      </c>
      <c r="S27" s="1" t="s">
        <v>139</v>
      </c>
      <c r="T27" s="6" t="s">
        <v>62</v>
      </c>
      <c r="U27" s="13">
        <v>1.5</v>
      </c>
      <c r="V27" s="12">
        <v>587.52</v>
      </c>
      <c r="W27" s="12">
        <v>587.52</v>
      </c>
      <c r="X27" s="1" t="s">
        <v>56</v>
      </c>
    </row>
    <row r="28" spans="1:24" x14ac:dyDescent="0.2">
      <c r="A28" s="1" t="s">
        <v>97</v>
      </c>
      <c r="B28" s="1" t="s">
        <v>46</v>
      </c>
      <c r="C28" s="1" t="s">
        <v>89</v>
      </c>
      <c r="D28" s="1" t="s">
        <v>168</v>
      </c>
      <c r="E28" s="1" t="s">
        <v>169</v>
      </c>
      <c r="F28" s="1" t="s">
        <v>170</v>
      </c>
      <c r="G28" s="1" t="s">
        <v>171</v>
      </c>
      <c r="H28" s="1" t="s">
        <v>137</v>
      </c>
      <c r="I28" s="1" t="s">
        <v>161</v>
      </c>
      <c r="J28" s="1" t="s">
        <v>172</v>
      </c>
      <c r="K28" s="1" t="s">
        <v>173</v>
      </c>
      <c r="L28" s="11">
        <v>65</v>
      </c>
      <c r="M28" s="1" t="s">
        <v>57</v>
      </c>
      <c r="N28" s="1" t="s">
        <v>58</v>
      </c>
      <c r="O28" s="1" t="s">
        <v>59</v>
      </c>
      <c r="P28" s="1">
        <v>15</v>
      </c>
      <c r="Q28" s="12">
        <v>59.91</v>
      </c>
      <c r="R28" s="1" t="s">
        <v>67</v>
      </c>
      <c r="S28" s="1" t="s">
        <v>68</v>
      </c>
      <c r="T28" s="6" t="s">
        <v>62</v>
      </c>
      <c r="U28" s="13">
        <v>1.35</v>
      </c>
      <c r="V28" s="12">
        <v>0</v>
      </c>
      <c r="W28" s="12">
        <v>-80.88</v>
      </c>
      <c r="X28" s="1" t="s">
        <v>56</v>
      </c>
    </row>
    <row r="29" spans="1:24" x14ac:dyDescent="0.2">
      <c r="A29" s="1" t="s">
        <v>97</v>
      </c>
      <c r="B29" s="1" t="s">
        <v>46</v>
      </c>
      <c r="C29" s="1" t="s">
        <v>89</v>
      </c>
      <c r="D29" s="1" t="s">
        <v>174</v>
      </c>
      <c r="E29" s="1" t="s">
        <v>175</v>
      </c>
      <c r="F29" s="1" t="s">
        <v>176</v>
      </c>
      <c r="G29" s="1" t="s">
        <v>51</v>
      </c>
      <c r="H29" s="1" t="s">
        <v>137</v>
      </c>
      <c r="I29" s="1" t="s">
        <v>177</v>
      </c>
      <c r="J29" s="1" t="s">
        <v>178</v>
      </c>
      <c r="K29" s="1" t="s">
        <v>152</v>
      </c>
      <c r="L29" s="11">
        <v>17</v>
      </c>
      <c r="M29" s="1" t="s">
        <v>57</v>
      </c>
      <c r="N29" s="1" t="s">
        <v>58</v>
      </c>
      <c r="O29" s="1" t="s">
        <v>59</v>
      </c>
      <c r="P29" s="1">
        <v>50</v>
      </c>
      <c r="Q29" s="12">
        <v>34.75</v>
      </c>
      <c r="R29" s="1" t="s">
        <v>67</v>
      </c>
      <c r="S29" s="1" t="s">
        <v>68</v>
      </c>
      <c r="T29" s="6" t="s">
        <v>62</v>
      </c>
      <c r="U29" s="13">
        <v>1.1499999999999999</v>
      </c>
      <c r="V29" s="12">
        <v>0</v>
      </c>
      <c r="W29" s="12">
        <v>-39.96</v>
      </c>
      <c r="X29" s="1" t="s">
        <v>56</v>
      </c>
    </row>
    <row r="30" spans="1:24" x14ac:dyDescent="0.2">
      <c r="A30" s="1" t="s">
        <v>97</v>
      </c>
      <c r="B30" s="1" t="s">
        <v>46</v>
      </c>
      <c r="C30" s="1" t="s">
        <v>89</v>
      </c>
      <c r="D30" s="1" t="s">
        <v>179</v>
      </c>
      <c r="E30" s="1" t="s">
        <v>180</v>
      </c>
      <c r="F30" s="1" t="s">
        <v>181</v>
      </c>
      <c r="G30" s="1" t="s">
        <v>51</v>
      </c>
      <c r="H30" s="1" t="s">
        <v>124</v>
      </c>
      <c r="I30" s="1" t="s">
        <v>161</v>
      </c>
      <c r="J30" s="1" t="s">
        <v>182</v>
      </c>
      <c r="K30" s="1" t="s">
        <v>183</v>
      </c>
      <c r="L30" s="11">
        <v>48</v>
      </c>
      <c r="M30" s="1" t="s">
        <v>57</v>
      </c>
      <c r="N30" s="1" t="s">
        <v>58</v>
      </c>
      <c r="O30" s="1" t="s">
        <v>59</v>
      </c>
      <c r="P30" s="1">
        <v>35</v>
      </c>
      <c r="Q30" s="12">
        <v>75.47</v>
      </c>
      <c r="R30" s="1" t="s">
        <v>67</v>
      </c>
      <c r="S30" s="1" t="s">
        <v>158</v>
      </c>
      <c r="T30" s="6" t="s">
        <v>62</v>
      </c>
      <c r="U30" s="13">
        <v>1.35</v>
      </c>
      <c r="V30" s="12">
        <v>0</v>
      </c>
      <c r="W30" s="12">
        <v>-101.88</v>
      </c>
      <c r="X30" s="1" t="s">
        <v>56</v>
      </c>
    </row>
    <row r="31" spans="1:24" x14ac:dyDescent="0.2">
      <c r="A31" s="1" t="s">
        <v>97</v>
      </c>
      <c r="B31" s="1" t="s">
        <v>46</v>
      </c>
      <c r="C31" s="1" t="s">
        <v>89</v>
      </c>
      <c r="D31" s="1" t="s">
        <v>184</v>
      </c>
      <c r="E31" s="1" t="s">
        <v>185</v>
      </c>
      <c r="F31" s="1" t="s">
        <v>186</v>
      </c>
      <c r="G31" s="1" t="s">
        <v>51</v>
      </c>
      <c r="H31" s="1" t="s">
        <v>106</v>
      </c>
      <c r="I31" s="1" t="s">
        <v>100</v>
      </c>
      <c r="J31" s="1" t="s">
        <v>187</v>
      </c>
      <c r="K31" s="1" t="s">
        <v>188</v>
      </c>
      <c r="L31" s="11">
        <v>47</v>
      </c>
      <c r="M31" s="1" t="s">
        <v>57</v>
      </c>
      <c r="N31" s="1" t="s">
        <v>58</v>
      </c>
      <c r="O31" s="1" t="s">
        <v>59</v>
      </c>
      <c r="P31" s="1">
        <v>110</v>
      </c>
      <c r="Q31" s="12">
        <v>100.06</v>
      </c>
      <c r="R31" s="1" t="s">
        <v>67</v>
      </c>
      <c r="S31" s="1" t="s">
        <v>68</v>
      </c>
      <c r="T31" s="6" t="s">
        <v>62</v>
      </c>
      <c r="U31" s="13">
        <v>1.35</v>
      </c>
      <c r="V31" s="12">
        <v>0</v>
      </c>
      <c r="W31" s="12">
        <v>-135.08000000000001</v>
      </c>
      <c r="X31" s="1" t="s">
        <v>56</v>
      </c>
    </row>
    <row r="32" spans="1:24" x14ac:dyDescent="0.2">
      <c r="A32" s="1" t="s">
        <v>97</v>
      </c>
      <c r="B32" s="1" t="s">
        <v>46</v>
      </c>
      <c r="C32" s="1" t="s">
        <v>89</v>
      </c>
      <c r="D32" s="1" t="s">
        <v>70</v>
      </c>
      <c r="E32" s="1" t="s">
        <v>189</v>
      </c>
      <c r="F32" s="1" t="s">
        <v>190</v>
      </c>
      <c r="G32" s="1" t="s">
        <v>119</v>
      </c>
      <c r="H32" s="1" t="s">
        <v>124</v>
      </c>
      <c r="I32" s="1" t="s">
        <v>100</v>
      </c>
      <c r="J32" s="1" t="s">
        <v>191</v>
      </c>
      <c r="K32" s="1" t="s">
        <v>192</v>
      </c>
      <c r="L32" s="11">
        <v>62</v>
      </c>
      <c r="M32" s="1" t="s">
        <v>57</v>
      </c>
      <c r="N32" s="1" t="s">
        <v>58</v>
      </c>
      <c r="O32" s="1" t="s">
        <v>59</v>
      </c>
      <c r="P32" s="1">
        <v>150</v>
      </c>
      <c r="Q32" s="12">
        <v>299.45999999999998</v>
      </c>
      <c r="R32" s="1" t="s">
        <v>67</v>
      </c>
      <c r="S32" s="1" t="s">
        <v>68</v>
      </c>
      <c r="T32" s="6" t="s">
        <v>62</v>
      </c>
      <c r="U32" s="13">
        <v>0.67500000000000004</v>
      </c>
      <c r="V32" s="12">
        <v>0</v>
      </c>
      <c r="W32" s="12">
        <v>-202.14</v>
      </c>
      <c r="X32" s="1" t="s">
        <v>56</v>
      </c>
    </row>
    <row r="33" spans="1:24" x14ac:dyDescent="0.2">
      <c r="A33" s="1" t="s">
        <v>97</v>
      </c>
      <c r="B33" s="1" t="s">
        <v>46</v>
      </c>
      <c r="C33" s="1" t="s">
        <v>89</v>
      </c>
      <c r="D33" s="1" t="s">
        <v>93</v>
      </c>
      <c r="E33" s="1" t="s">
        <v>193</v>
      </c>
      <c r="F33" s="1" t="s">
        <v>194</v>
      </c>
      <c r="G33" s="1" t="s">
        <v>51</v>
      </c>
      <c r="H33" s="1" t="s">
        <v>106</v>
      </c>
      <c r="I33" s="1" t="s">
        <v>100</v>
      </c>
      <c r="J33" s="1" t="s">
        <v>112</v>
      </c>
      <c r="K33" s="1" t="s">
        <v>113</v>
      </c>
      <c r="L33" s="11">
        <v>65</v>
      </c>
      <c r="M33" s="1" t="s">
        <v>57</v>
      </c>
      <c r="N33" s="1" t="s">
        <v>58</v>
      </c>
      <c r="O33" s="1" t="s">
        <v>59</v>
      </c>
      <c r="P33" s="1">
        <v>50</v>
      </c>
      <c r="Q33" s="12">
        <v>128.75</v>
      </c>
      <c r="R33" s="1" t="s">
        <v>67</v>
      </c>
      <c r="S33" s="1" t="s">
        <v>68</v>
      </c>
      <c r="T33" s="6" t="s">
        <v>62</v>
      </c>
      <c r="U33" s="13">
        <v>1.35</v>
      </c>
      <c r="V33" s="12">
        <v>0</v>
      </c>
      <c r="W33" s="12">
        <v>-173.81</v>
      </c>
      <c r="X33" s="1" t="s">
        <v>56</v>
      </c>
    </row>
    <row r="34" spans="1:24" x14ac:dyDescent="0.2">
      <c r="A34" s="1" t="s">
        <v>97</v>
      </c>
      <c r="B34" s="1" t="s">
        <v>46</v>
      </c>
      <c r="C34" s="1" t="s">
        <v>89</v>
      </c>
      <c r="D34" s="1" t="s">
        <v>153</v>
      </c>
      <c r="E34" s="1" t="s">
        <v>195</v>
      </c>
      <c r="F34" s="1" t="s">
        <v>196</v>
      </c>
      <c r="G34" s="1" t="s">
        <v>51</v>
      </c>
      <c r="H34" s="1" t="s">
        <v>126</v>
      </c>
      <c r="I34" s="1" t="s">
        <v>161</v>
      </c>
      <c r="J34" s="1" t="s">
        <v>162</v>
      </c>
      <c r="K34" s="1" t="s">
        <v>108</v>
      </c>
      <c r="L34" s="11">
        <v>63</v>
      </c>
      <c r="M34" s="1" t="s">
        <v>57</v>
      </c>
      <c r="N34" s="1" t="s">
        <v>58</v>
      </c>
      <c r="O34" s="1" t="s">
        <v>59</v>
      </c>
      <c r="P34" s="1">
        <v>15</v>
      </c>
      <c r="Q34" s="12">
        <v>54.98</v>
      </c>
      <c r="R34" s="1" t="s">
        <v>67</v>
      </c>
      <c r="S34" s="1" t="s">
        <v>68</v>
      </c>
      <c r="T34" s="6" t="s">
        <v>62</v>
      </c>
      <c r="U34" s="13">
        <v>1.35</v>
      </c>
      <c r="V34" s="12">
        <v>0</v>
      </c>
      <c r="W34" s="12">
        <v>-74.22</v>
      </c>
      <c r="X34" s="1" t="s">
        <v>56</v>
      </c>
    </row>
    <row r="35" spans="1:24" x14ac:dyDescent="0.2">
      <c r="A35" s="1" t="s">
        <v>97</v>
      </c>
      <c r="B35" s="1" t="s">
        <v>46</v>
      </c>
      <c r="C35" s="1" t="s">
        <v>89</v>
      </c>
      <c r="D35" s="1" t="s">
        <v>197</v>
      </c>
      <c r="E35" s="1" t="s">
        <v>198</v>
      </c>
      <c r="F35" s="1" t="s">
        <v>199</v>
      </c>
      <c r="G35" s="1" t="s">
        <v>200</v>
      </c>
      <c r="H35" s="1" t="s">
        <v>106</v>
      </c>
      <c r="I35" s="1" t="s">
        <v>120</v>
      </c>
      <c r="J35" s="1" t="s">
        <v>131</v>
      </c>
      <c r="K35" s="1" t="s">
        <v>113</v>
      </c>
      <c r="L35" s="11">
        <v>55</v>
      </c>
      <c r="M35" s="1" t="s">
        <v>57</v>
      </c>
      <c r="N35" s="1" t="s">
        <v>58</v>
      </c>
      <c r="O35" s="1" t="s">
        <v>59</v>
      </c>
      <c r="P35" s="1">
        <v>200</v>
      </c>
      <c r="Q35" s="12">
        <v>193.84</v>
      </c>
      <c r="R35" s="1" t="s">
        <v>67</v>
      </c>
      <c r="S35" s="1" t="s">
        <v>68</v>
      </c>
      <c r="T35" s="6" t="s">
        <v>62</v>
      </c>
      <c r="U35" s="13">
        <v>1.5</v>
      </c>
      <c r="V35" s="12">
        <v>0</v>
      </c>
      <c r="W35" s="12">
        <v>-290.76</v>
      </c>
      <c r="X35" s="1" t="s">
        <v>56</v>
      </c>
    </row>
    <row r="36" spans="1:24" x14ac:dyDescent="0.2">
      <c r="A36" s="1" t="s">
        <v>97</v>
      </c>
      <c r="B36" s="1" t="s">
        <v>46</v>
      </c>
      <c r="C36" s="1" t="s">
        <v>89</v>
      </c>
      <c r="D36" s="1" t="s">
        <v>153</v>
      </c>
      <c r="E36" s="1" t="s">
        <v>201</v>
      </c>
      <c r="F36" s="1" t="s">
        <v>202</v>
      </c>
      <c r="G36" s="1" t="s">
        <v>51</v>
      </c>
      <c r="H36" s="1" t="s">
        <v>137</v>
      </c>
      <c r="I36" s="1" t="s">
        <v>177</v>
      </c>
      <c r="J36" s="1" t="s">
        <v>203</v>
      </c>
      <c r="K36" s="1" t="s">
        <v>203</v>
      </c>
      <c r="L36" s="11">
        <v>11</v>
      </c>
      <c r="M36" s="1" t="s">
        <v>57</v>
      </c>
      <c r="N36" s="1" t="s">
        <v>58</v>
      </c>
      <c r="O36" s="1" t="s">
        <v>59</v>
      </c>
      <c r="P36" s="1">
        <v>50</v>
      </c>
      <c r="Q36" s="12">
        <v>26.75</v>
      </c>
      <c r="R36" s="1" t="s">
        <v>67</v>
      </c>
      <c r="S36" s="1" t="s">
        <v>158</v>
      </c>
      <c r="T36" s="6" t="s">
        <v>62</v>
      </c>
      <c r="U36" s="13">
        <v>1.1499999999999999</v>
      </c>
      <c r="V36" s="12">
        <v>0</v>
      </c>
      <c r="W36" s="12">
        <v>-30.76</v>
      </c>
      <c r="X36" s="1" t="s">
        <v>56</v>
      </c>
    </row>
    <row r="37" spans="1:24" x14ac:dyDescent="0.2">
      <c r="A37" s="1" t="s">
        <v>97</v>
      </c>
      <c r="B37" s="1" t="s">
        <v>46</v>
      </c>
      <c r="C37" s="1" t="s">
        <v>89</v>
      </c>
      <c r="D37" s="1" t="s">
        <v>153</v>
      </c>
      <c r="E37" s="1" t="s">
        <v>201</v>
      </c>
      <c r="F37" s="1" t="s">
        <v>202</v>
      </c>
      <c r="G37" s="1" t="s">
        <v>51</v>
      </c>
      <c r="H37" s="1" t="s">
        <v>52</v>
      </c>
      <c r="I37" s="1" t="s">
        <v>177</v>
      </c>
      <c r="J37" s="1" t="s">
        <v>203</v>
      </c>
      <c r="K37" s="1" t="s">
        <v>203</v>
      </c>
      <c r="L37" s="11">
        <v>11</v>
      </c>
      <c r="M37" s="1" t="s">
        <v>57</v>
      </c>
      <c r="N37" s="1" t="s">
        <v>58</v>
      </c>
      <c r="O37" s="1" t="s">
        <v>59</v>
      </c>
      <c r="P37" s="1">
        <v>50</v>
      </c>
      <c r="Q37" s="12">
        <v>-267.5</v>
      </c>
      <c r="R37" s="1" t="s">
        <v>67</v>
      </c>
      <c r="S37" s="1" t="s">
        <v>204</v>
      </c>
      <c r="T37" s="6" t="s">
        <v>62</v>
      </c>
      <c r="U37" s="13">
        <v>1.1499999999999999</v>
      </c>
      <c r="V37" s="12">
        <v>-276.83999999999997</v>
      </c>
      <c r="W37" s="12">
        <v>-246.08</v>
      </c>
      <c r="X37" s="1" t="s">
        <v>56</v>
      </c>
    </row>
    <row r="38" spans="1:24" x14ac:dyDescent="0.2">
      <c r="A38" s="1" t="s">
        <v>97</v>
      </c>
      <c r="B38" s="1" t="s">
        <v>46</v>
      </c>
      <c r="C38" s="1" t="s">
        <v>89</v>
      </c>
      <c r="D38" s="1" t="s">
        <v>205</v>
      </c>
      <c r="E38" s="1" t="s">
        <v>206</v>
      </c>
      <c r="F38" s="1" t="s">
        <v>207</v>
      </c>
      <c r="G38" s="1" t="s">
        <v>208</v>
      </c>
      <c r="H38" s="1" t="s">
        <v>106</v>
      </c>
      <c r="I38" s="1" t="s">
        <v>161</v>
      </c>
      <c r="J38" s="1" t="s">
        <v>209</v>
      </c>
      <c r="K38" s="1" t="s">
        <v>55</v>
      </c>
      <c r="L38" s="11">
        <v>81</v>
      </c>
      <c r="M38" s="1" t="s">
        <v>57</v>
      </c>
      <c r="N38" s="1" t="s">
        <v>58</v>
      </c>
      <c r="O38" s="1" t="s">
        <v>59</v>
      </c>
      <c r="P38" s="1">
        <v>10</v>
      </c>
      <c r="Q38" s="12">
        <v>106.21</v>
      </c>
      <c r="R38" s="1" t="s">
        <v>67</v>
      </c>
      <c r="S38" s="1" t="s">
        <v>68</v>
      </c>
      <c r="T38" s="6" t="s">
        <v>62</v>
      </c>
      <c r="U38" s="13">
        <v>0.95</v>
      </c>
      <c r="V38" s="12">
        <v>0</v>
      </c>
      <c r="W38" s="12">
        <v>-100.9</v>
      </c>
      <c r="X38" s="1" t="s">
        <v>56</v>
      </c>
    </row>
    <row r="39" spans="1:24" x14ac:dyDescent="0.2">
      <c r="A39" s="1" t="s">
        <v>97</v>
      </c>
      <c r="B39" s="1" t="s">
        <v>46</v>
      </c>
      <c r="C39" s="1" t="s">
        <v>89</v>
      </c>
      <c r="D39" s="1" t="s">
        <v>205</v>
      </c>
      <c r="E39" s="1" t="s">
        <v>210</v>
      </c>
      <c r="F39" s="1" t="s">
        <v>211</v>
      </c>
      <c r="G39" s="1" t="s">
        <v>105</v>
      </c>
      <c r="H39" s="1" t="s">
        <v>106</v>
      </c>
      <c r="I39" s="1" t="s">
        <v>100</v>
      </c>
      <c r="J39" s="1" t="s">
        <v>212</v>
      </c>
      <c r="K39" s="1" t="s">
        <v>213</v>
      </c>
      <c r="L39" s="11">
        <v>47</v>
      </c>
      <c r="M39" s="1" t="s">
        <v>57</v>
      </c>
      <c r="N39" s="1" t="s">
        <v>58</v>
      </c>
      <c r="O39" s="1" t="s">
        <v>59</v>
      </c>
      <c r="P39" s="1">
        <v>250</v>
      </c>
      <c r="Q39" s="12">
        <v>216.36</v>
      </c>
      <c r="R39" s="1" t="s">
        <v>67</v>
      </c>
      <c r="S39" s="1" t="s">
        <v>68</v>
      </c>
      <c r="T39" s="6" t="s">
        <v>62</v>
      </c>
      <c r="U39" s="13">
        <v>1.35</v>
      </c>
      <c r="V39" s="12">
        <v>292.08999999999997</v>
      </c>
      <c r="W39" s="12">
        <v>0</v>
      </c>
      <c r="X39" s="1" t="s">
        <v>56</v>
      </c>
    </row>
    <row r="40" spans="1:24" x14ac:dyDescent="0.2">
      <c r="A40" s="1" t="s">
        <v>97</v>
      </c>
      <c r="B40" s="1" t="s">
        <v>46</v>
      </c>
      <c r="C40" s="1" t="s">
        <v>89</v>
      </c>
      <c r="D40" s="1" t="s">
        <v>214</v>
      </c>
      <c r="E40" s="1" t="s">
        <v>215</v>
      </c>
      <c r="F40" s="1" t="s">
        <v>216</v>
      </c>
      <c r="G40" s="1" t="s">
        <v>51</v>
      </c>
      <c r="H40" s="1" t="s">
        <v>106</v>
      </c>
      <c r="I40" s="1" t="s">
        <v>177</v>
      </c>
      <c r="J40" s="1" t="s">
        <v>217</v>
      </c>
      <c r="K40" s="1" t="s">
        <v>218</v>
      </c>
      <c r="L40" s="11">
        <v>0</v>
      </c>
      <c r="M40" s="1" t="s">
        <v>57</v>
      </c>
      <c r="N40" s="1" t="s">
        <v>58</v>
      </c>
      <c r="O40" s="1" t="s">
        <v>59</v>
      </c>
      <c r="P40" s="1">
        <v>50</v>
      </c>
      <c r="Q40" s="12">
        <v>19.04</v>
      </c>
      <c r="R40" s="1" t="s">
        <v>67</v>
      </c>
      <c r="S40" s="1" t="s">
        <v>68</v>
      </c>
      <c r="T40" s="6" t="s">
        <v>62</v>
      </c>
      <c r="U40" s="13">
        <v>1.1499999999999999</v>
      </c>
      <c r="V40" s="12">
        <v>0</v>
      </c>
      <c r="W40" s="12">
        <v>-21.9</v>
      </c>
      <c r="X40" s="1" t="s">
        <v>56</v>
      </c>
    </row>
    <row r="41" spans="1:24" x14ac:dyDescent="0.2">
      <c r="A41" s="1" t="s">
        <v>97</v>
      </c>
      <c r="B41" s="1" t="s">
        <v>46</v>
      </c>
      <c r="C41" s="1" t="s">
        <v>89</v>
      </c>
      <c r="D41" s="1" t="s">
        <v>214</v>
      </c>
      <c r="E41" s="1" t="s">
        <v>219</v>
      </c>
      <c r="F41" s="1" t="s">
        <v>220</v>
      </c>
      <c r="G41" s="1" t="s">
        <v>51</v>
      </c>
      <c r="H41" s="1" t="s">
        <v>106</v>
      </c>
      <c r="I41" s="1" t="s">
        <v>177</v>
      </c>
      <c r="J41" s="1" t="s">
        <v>221</v>
      </c>
      <c r="K41" s="1" t="s">
        <v>222</v>
      </c>
      <c r="L41" s="11">
        <v>0</v>
      </c>
      <c r="M41" s="1" t="s">
        <v>57</v>
      </c>
      <c r="N41" s="1" t="s">
        <v>58</v>
      </c>
      <c r="O41" s="1" t="s">
        <v>59</v>
      </c>
      <c r="P41" s="1">
        <v>50</v>
      </c>
      <c r="Q41" s="12">
        <v>19.04</v>
      </c>
      <c r="R41" s="1" t="s">
        <v>67</v>
      </c>
      <c r="S41" s="1" t="s">
        <v>68</v>
      </c>
      <c r="T41" s="6" t="s">
        <v>62</v>
      </c>
      <c r="U41" s="13">
        <v>1.1499999999999999</v>
      </c>
      <c r="V41" s="12">
        <v>0</v>
      </c>
      <c r="W41" s="12">
        <v>-21.9</v>
      </c>
      <c r="X41" s="1" t="s">
        <v>56</v>
      </c>
    </row>
    <row r="42" spans="1:24" x14ac:dyDescent="0.2">
      <c r="A42" s="1" t="s">
        <v>97</v>
      </c>
      <c r="B42" s="1" t="s">
        <v>46</v>
      </c>
      <c r="C42" s="1" t="s">
        <v>89</v>
      </c>
      <c r="D42" s="1" t="s">
        <v>163</v>
      </c>
      <c r="E42" s="1" t="s">
        <v>223</v>
      </c>
      <c r="F42" s="1" t="s">
        <v>224</v>
      </c>
      <c r="G42" s="1" t="s">
        <v>225</v>
      </c>
      <c r="H42" s="1" t="s">
        <v>106</v>
      </c>
      <c r="I42" s="1" t="s">
        <v>120</v>
      </c>
      <c r="J42" s="1" t="s">
        <v>226</v>
      </c>
      <c r="K42" s="1" t="s">
        <v>113</v>
      </c>
      <c r="L42" s="11">
        <v>63</v>
      </c>
      <c r="M42" s="1" t="s">
        <v>57</v>
      </c>
      <c r="N42" s="1" t="s">
        <v>58</v>
      </c>
      <c r="O42" s="1" t="s">
        <v>59</v>
      </c>
      <c r="P42" s="1">
        <v>30</v>
      </c>
      <c r="Q42" s="12">
        <v>58.85</v>
      </c>
      <c r="R42" s="1" t="s">
        <v>67</v>
      </c>
      <c r="S42" s="1" t="s">
        <v>68</v>
      </c>
      <c r="T42" s="6" t="s">
        <v>62</v>
      </c>
      <c r="U42" s="13">
        <v>1.5</v>
      </c>
      <c r="V42" s="12">
        <v>0</v>
      </c>
      <c r="W42" s="12">
        <v>-88.28</v>
      </c>
      <c r="X42" s="1" t="s">
        <v>56</v>
      </c>
    </row>
    <row r="43" spans="1:24" x14ac:dyDescent="0.2">
      <c r="A43" s="1" t="s">
        <v>97</v>
      </c>
      <c r="B43" s="1" t="s">
        <v>46</v>
      </c>
      <c r="C43" s="1" t="s">
        <v>89</v>
      </c>
      <c r="D43" s="1" t="s">
        <v>163</v>
      </c>
      <c r="E43" s="1" t="s">
        <v>227</v>
      </c>
      <c r="F43" s="1" t="s">
        <v>228</v>
      </c>
      <c r="G43" s="1" t="s">
        <v>111</v>
      </c>
      <c r="H43" s="1" t="s">
        <v>106</v>
      </c>
      <c r="I43" s="1" t="s">
        <v>100</v>
      </c>
      <c r="J43" s="1" t="s">
        <v>131</v>
      </c>
      <c r="K43" s="1" t="s">
        <v>113</v>
      </c>
      <c r="L43" s="11">
        <v>58</v>
      </c>
      <c r="M43" s="1" t="s">
        <v>57</v>
      </c>
      <c r="N43" s="1" t="s">
        <v>58</v>
      </c>
      <c r="O43" s="1" t="s">
        <v>59</v>
      </c>
      <c r="P43" s="1">
        <v>100</v>
      </c>
      <c r="Q43" s="12">
        <v>153.03</v>
      </c>
      <c r="R43" s="1" t="s">
        <v>67</v>
      </c>
      <c r="S43" s="1" t="s">
        <v>68</v>
      </c>
      <c r="T43" s="6" t="s">
        <v>62</v>
      </c>
      <c r="U43" s="13">
        <v>0.67500000000000004</v>
      </c>
      <c r="V43" s="12">
        <v>0</v>
      </c>
      <c r="W43" s="12">
        <v>-103.3</v>
      </c>
      <c r="X43" s="1" t="s">
        <v>56</v>
      </c>
    </row>
    <row r="44" spans="1:24" x14ac:dyDescent="0.2">
      <c r="A44" s="1" t="s">
        <v>97</v>
      </c>
      <c r="B44" s="1" t="s">
        <v>46</v>
      </c>
      <c r="C44" s="1" t="s">
        <v>89</v>
      </c>
      <c r="D44" s="1" t="s">
        <v>163</v>
      </c>
      <c r="E44" s="1" t="s">
        <v>229</v>
      </c>
      <c r="F44" s="1" t="s">
        <v>230</v>
      </c>
      <c r="G44" s="1" t="s">
        <v>166</v>
      </c>
      <c r="H44" s="1" t="s">
        <v>124</v>
      </c>
      <c r="I44" s="1" t="s">
        <v>120</v>
      </c>
      <c r="J44" s="1" t="s">
        <v>55</v>
      </c>
      <c r="K44" s="1" t="s">
        <v>55</v>
      </c>
      <c r="L44" s="11">
        <v>55</v>
      </c>
      <c r="M44" s="1" t="s">
        <v>57</v>
      </c>
      <c r="N44" s="1" t="s">
        <v>58</v>
      </c>
      <c r="O44" s="1" t="s">
        <v>59</v>
      </c>
      <c r="P44" s="1">
        <v>110</v>
      </c>
      <c r="Q44" s="12">
        <v>981.18</v>
      </c>
      <c r="R44" s="1" t="s">
        <v>67</v>
      </c>
      <c r="S44" s="1" t="s">
        <v>139</v>
      </c>
      <c r="T44" s="6" t="s">
        <v>62</v>
      </c>
      <c r="U44" s="13">
        <v>1.5</v>
      </c>
      <c r="V44" s="12">
        <v>1471.77</v>
      </c>
      <c r="W44" s="12">
        <v>1471.77</v>
      </c>
      <c r="X44" s="1" t="s">
        <v>56</v>
      </c>
    </row>
    <row r="45" spans="1:24" x14ac:dyDescent="0.2">
      <c r="A45" s="1" t="s">
        <v>97</v>
      </c>
      <c r="B45" s="1" t="s">
        <v>46</v>
      </c>
      <c r="C45" s="1" t="s">
        <v>89</v>
      </c>
      <c r="D45" s="1" t="s">
        <v>197</v>
      </c>
      <c r="E45" s="1" t="s">
        <v>231</v>
      </c>
      <c r="F45" s="1" t="s">
        <v>232</v>
      </c>
      <c r="G45" s="1" t="s">
        <v>200</v>
      </c>
      <c r="H45" s="1" t="s">
        <v>106</v>
      </c>
      <c r="I45" s="1" t="s">
        <v>120</v>
      </c>
      <c r="J45" s="1" t="s">
        <v>131</v>
      </c>
      <c r="K45" s="1" t="s">
        <v>113</v>
      </c>
      <c r="L45" s="11">
        <v>55</v>
      </c>
      <c r="M45" s="1" t="s">
        <v>57</v>
      </c>
      <c r="N45" s="1" t="s">
        <v>58</v>
      </c>
      <c r="O45" s="1" t="s">
        <v>59</v>
      </c>
      <c r="P45" s="1">
        <v>200</v>
      </c>
      <c r="Q45" s="12">
        <v>182.98</v>
      </c>
      <c r="R45" s="1" t="s">
        <v>67</v>
      </c>
      <c r="S45" s="1" t="s">
        <v>68</v>
      </c>
      <c r="T45" s="6" t="s">
        <v>62</v>
      </c>
      <c r="U45" s="13">
        <v>1.5</v>
      </c>
      <c r="V45" s="12">
        <v>0</v>
      </c>
      <c r="W45" s="12">
        <v>-274.47000000000003</v>
      </c>
      <c r="X45" s="1" t="s">
        <v>56</v>
      </c>
    </row>
    <row r="46" spans="1:24" x14ac:dyDescent="0.2">
      <c r="A46" s="1" t="s">
        <v>97</v>
      </c>
      <c r="B46" s="1" t="s">
        <v>46</v>
      </c>
      <c r="C46" s="1" t="s">
        <v>89</v>
      </c>
      <c r="D46" s="1" t="s">
        <v>197</v>
      </c>
      <c r="E46" s="1" t="s">
        <v>233</v>
      </c>
      <c r="F46" s="1" t="s">
        <v>234</v>
      </c>
      <c r="G46" s="1" t="s">
        <v>235</v>
      </c>
      <c r="H46" s="1" t="s">
        <v>106</v>
      </c>
      <c r="I46" s="1" t="s">
        <v>120</v>
      </c>
      <c r="J46" s="1" t="s">
        <v>131</v>
      </c>
      <c r="K46" s="1" t="s">
        <v>113</v>
      </c>
      <c r="L46" s="11">
        <v>58</v>
      </c>
      <c r="M46" s="1" t="s">
        <v>57</v>
      </c>
      <c r="N46" s="1" t="s">
        <v>58</v>
      </c>
      <c r="O46" s="1" t="s">
        <v>59</v>
      </c>
      <c r="P46" s="1">
        <v>125</v>
      </c>
      <c r="Q46" s="12">
        <v>141.96</v>
      </c>
      <c r="R46" s="1" t="s">
        <v>67</v>
      </c>
      <c r="S46" s="1" t="s">
        <v>68</v>
      </c>
      <c r="T46" s="6" t="s">
        <v>62</v>
      </c>
      <c r="U46" s="13">
        <v>1.5</v>
      </c>
      <c r="V46" s="12">
        <v>0</v>
      </c>
      <c r="W46" s="12">
        <v>-212.94</v>
      </c>
      <c r="X46" s="1" t="s">
        <v>56</v>
      </c>
    </row>
    <row r="47" spans="1:24" x14ac:dyDescent="0.2">
      <c r="A47" s="1" t="s">
        <v>97</v>
      </c>
      <c r="B47" s="1" t="s">
        <v>46</v>
      </c>
      <c r="C47" s="1" t="s">
        <v>89</v>
      </c>
      <c r="D47" s="1" t="s">
        <v>197</v>
      </c>
      <c r="E47" s="1" t="s">
        <v>236</v>
      </c>
      <c r="F47" s="1" t="s">
        <v>237</v>
      </c>
      <c r="G47" s="1" t="s">
        <v>105</v>
      </c>
      <c r="H47" s="1" t="s">
        <v>124</v>
      </c>
      <c r="I47" s="1" t="s">
        <v>120</v>
      </c>
      <c r="J47" s="1" t="s">
        <v>238</v>
      </c>
      <c r="K47" s="1" t="s">
        <v>156</v>
      </c>
      <c r="L47" s="11">
        <v>60</v>
      </c>
      <c r="M47" s="1" t="s">
        <v>57</v>
      </c>
      <c r="N47" s="1" t="s">
        <v>58</v>
      </c>
      <c r="O47" s="1" t="s">
        <v>59</v>
      </c>
      <c r="P47" s="1">
        <v>125</v>
      </c>
      <c r="Q47" s="12">
        <v>171.66</v>
      </c>
      <c r="R47" s="1" t="s">
        <v>67</v>
      </c>
      <c r="S47" s="1" t="s">
        <v>68</v>
      </c>
      <c r="T47" s="6" t="s">
        <v>62</v>
      </c>
      <c r="U47" s="13">
        <v>1.5</v>
      </c>
      <c r="V47" s="12">
        <v>0</v>
      </c>
      <c r="W47" s="12">
        <v>-257.49</v>
      </c>
      <c r="X47" s="1" t="s">
        <v>56</v>
      </c>
    </row>
    <row r="48" spans="1:24" x14ac:dyDescent="0.2">
      <c r="A48" s="1" t="s">
        <v>97</v>
      </c>
      <c r="B48" s="1" t="s">
        <v>46</v>
      </c>
      <c r="C48" s="1" t="s">
        <v>89</v>
      </c>
      <c r="D48" s="1" t="s">
        <v>197</v>
      </c>
      <c r="E48" s="1" t="s">
        <v>236</v>
      </c>
      <c r="F48" s="1" t="s">
        <v>237</v>
      </c>
      <c r="G48" s="1" t="s">
        <v>105</v>
      </c>
      <c r="H48" s="1" t="s">
        <v>137</v>
      </c>
      <c r="I48" s="1" t="s">
        <v>120</v>
      </c>
      <c r="J48" s="1" t="s">
        <v>238</v>
      </c>
      <c r="K48" s="1" t="s">
        <v>156</v>
      </c>
      <c r="L48" s="11">
        <v>60</v>
      </c>
      <c r="M48" s="1" t="s">
        <v>57</v>
      </c>
      <c r="N48" s="1" t="s">
        <v>58</v>
      </c>
      <c r="O48" s="1" t="s">
        <v>59</v>
      </c>
      <c r="P48" s="1">
        <v>125</v>
      </c>
      <c r="Q48" s="12">
        <v>-171.66</v>
      </c>
      <c r="R48" s="1" t="s">
        <v>67</v>
      </c>
      <c r="S48" s="1" t="s">
        <v>127</v>
      </c>
      <c r="T48" s="6" t="s">
        <v>62</v>
      </c>
      <c r="U48" s="13">
        <v>1.5</v>
      </c>
      <c r="V48" s="12">
        <v>0</v>
      </c>
      <c r="W48" s="12">
        <v>257.49</v>
      </c>
      <c r="X48" s="1" t="s">
        <v>56</v>
      </c>
    </row>
    <row r="49" spans="1:24" x14ac:dyDescent="0.2">
      <c r="A49" s="1" t="s">
        <v>97</v>
      </c>
      <c r="B49" s="1" t="s">
        <v>46</v>
      </c>
      <c r="C49" s="1" t="s">
        <v>89</v>
      </c>
      <c r="D49" s="1" t="s">
        <v>239</v>
      </c>
      <c r="E49" s="1" t="s">
        <v>240</v>
      </c>
      <c r="F49" s="1" t="s">
        <v>241</v>
      </c>
      <c r="G49" s="1" t="s">
        <v>51</v>
      </c>
      <c r="H49" s="1" t="s">
        <v>124</v>
      </c>
      <c r="I49" s="1" t="s">
        <v>242</v>
      </c>
      <c r="J49" s="1" t="s">
        <v>243</v>
      </c>
      <c r="K49" s="1" t="s">
        <v>244</v>
      </c>
      <c r="L49" s="11">
        <v>59</v>
      </c>
      <c r="M49" s="1" t="s">
        <v>57</v>
      </c>
      <c r="N49" s="1" t="s">
        <v>58</v>
      </c>
      <c r="O49" s="1" t="s">
        <v>59</v>
      </c>
      <c r="P49" s="1">
        <v>500</v>
      </c>
      <c r="Q49" s="12">
        <v>337.55</v>
      </c>
      <c r="R49" s="1" t="s">
        <v>67</v>
      </c>
      <c r="S49" s="1" t="s">
        <v>68</v>
      </c>
      <c r="T49" s="6" t="s">
        <v>62</v>
      </c>
      <c r="U49" s="13">
        <v>1.26</v>
      </c>
      <c r="V49" s="12">
        <v>0</v>
      </c>
      <c r="W49" s="12">
        <v>-425.31</v>
      </c>
      <c r="X49" s="1" t="s">
        <v>56</v>
      </c>
    </row>
    <row r="50" spans="1:24" x14ac:dyDescent="0.2">
      <c r="A50" s="1" t="s">
        <v>97</v>
      </c>
      <c r="B50" s="1" t="s">
        <v>46</v>
      </c>
      <c r="C50" s="1" t="s">
        <v>89</v>
      </c>
      <c r="D50" s="1" t="s">
        <v>245</v>
      </c>
      <c r="E50" s="1" t="s">
        <v>246</v>
      </c>
      <c r="F50" s="1" t="s">
        <v>247</v>
      </c>
      <c r="G50" s="1" t="s">
        <v>248</v>
      </c>
      <c r="H50" s="1" t="s">
        <v>106</v>
      </c>
      <c r="I50" s="1" t="s">
        <v>249</v>
      </c>
      <c r="J50" s="1" t="s">
        <v>250</v>
      </c>
      <c r="K50" s="1" t="s">
        <v>251</v>
      </c>
      <c r="L50" s="11">
        <v>37</v>
      </c>
      <c r="M50" s="1" t="s">
        <v>57</v>
      </c>
      <c r="N50" s="1" t="s">
        <v>58</v>
      </c>
      <c r="O50" s="1" t="s">
        <v>59</v>
      </c>
      <c r="P50" s="1">
        <v>42</v>
      </c>
      <c r="Q50" s="12">
        <v>19.690000000000001</v>
      </c>
      <c r="R50" s="1" t="s">
        <v>67</v>
      </c>
      <c r="S50" s="1" t="s">
        <v>68</v>
      </c>
      <c r="T50" s="6" t="s">
        <v>62</v>
      </c>
      <c r="U50" s="13">
        <v>1.5</v>
      </c>
      <c r="V50" s="12">
        <v>0</v>
      </c>
      <c r="W50" s="12">
        <v>-29.54</v>
      </c>
      <c r="X50" s="1" t="s">
        <v>56</v>
      </c>
    </row>
    <row r="51" spans="1:24" x14ac:dyDescent="0.2">
      <c r="A51" s="1" t="s">
        <v>97</v>
      </c>
      <c r="B51" s="1" t="s">
        <v>46</v>
      </c>
      <c r="C51" s="1" t="s">
        <v>89</v>
      </c>
      <c r="D51" s="1" t="s">
        <v>245</v>
      </c>
      <c r="E51" s="1" t="s">
        <v>252</v>
      </c>
      <c r="F51" s="1" t="s">
        <v>253</v>
      </c>
      <c r="G51" s="1" t="s">
        <v>254</v>
      </c>
      <c r="H51" s="1" t="s">
        <v>124</v>
      </c>
      <c r="I51" s="1" t="s">
        <v>100</v>
      </c>
      <c r="J51" s="1" t="s">
        <v>255</v>
      </c>
      <c r="K51" s="1" t="s">
        <v>157</v>
      </c>
      <c r="L51" s="11">
        <v>55</v>
      </c>
      <c r="M51" s="1" t="s">
        <v>57</v>
      </c>
      <c r="N51" s="1" t="s">
        <v>58</v>
      </c>
      <c r="O51" s="1" t="s">
        <v>59</v>
      </c>
      <c r="P51" s="1">
        <v>50</v>
      </c>
      <c r="Q51" s="12">
        <v>90.66</v>
      </c>
      <c r="R51" s="1" t="s">
        <v>67</v>
      </c>
      <c r="S51" s="1" t="s">
        <v>68</v>
      </c>
      <c r="T51" s="6" t="s">
        <v>62</v>
      </c>
      <c r="U51" s="13">
        <v>1.35</v>
      </c>
      <c r="V51" s="12">
        <v>122.39</v>
      </c>
      <c r="W51" s="12">
        <v>0</v>
      </c>
      <c r="X51" s="1" t="s">
        <v>56</v>
      </c>
    </row>
    <row r="52" spans="1:24" x14ac:dyDescent="0.2">
      <c r="A52" s="1" t="s">
        <v>97</v>
      </c>
      <c r="B52" s="1" t="s">
        <v>46</v>
      </c>
      <c r="C52" s="1" t="s">
        <v>47</v>
      </c>
      <c r="D52" s="1" t="s">
        <v>256</v>
      </c>
      <c r="E52" s="1" t="s">
        <v>257</v>
      </c>
      <c r="F52" s="1" t="s">
        <v>258</v>
      </c>
      <c r="G52" s="1" t="s">
        <v>171</v>
      </c>
      <c r="H52" s="1" t="s">
        <v>52</v>
      </c>
      <c r="I52" s="1" t="s">
        <v>259</v>
      </c>
      <c r="J52" s="1" t="s">
        <v>260</v>
      </c>
      <c r="K52" s="1" t="s">
        <v>55</v>
      </c>
      <c r="L52" s="11" t="s">
        <v>56</v>
      </c>
      <c r="M52" s="1" t="s">
        <v>57</v>
      </c>
      <c r="N52" s="1" t="s">
        <v>58</v>
      </c>
      <c r="O52" s="1" t="s">
        <v>59</v>
      </c>
      <c r="P52" s="1">
        <v>0</v>
      </c>
      <c r="Q52" s="12">
        <v>99.8</v>
      </c>
      <c r="R52" s="1" t="s">
        <v>60</v>
      </c>
      <c r="S52" s="1" t="s">
        <v>61</v>
      </c>
      <c r="T52" s="6" t="s">
        <v>62</v>
      </c>
      <c r="U52" s="13">
        <v>0.255</v>
      </c>
      <c r="V52" s="12">
        <v>25.45</v>
      </c>
      <c r="W52" s="12">
        <v>0</v>
      </c>
      <c r="X52" s="1" t="s">
        <v>56</v>
      </c>
    </row>
    <row r="53" spans="1:24" x14ac:dyDescent="0.2">
      <c r="A53" s="1" t="s">
        <v>97</v>
      </c>
      <c r="B53" s="1" t="s">
        <v>46</v>
      </c>
      <c r="C53" s="1" t="s">
        <v>47</v>
      </c>
      <c r="D53" s="1" t="s">
        <v>261</v>
      </c>
      <c r="E53" s="1" t="s">
        <v>262</v>
      </c>
      <c r="F53" s="1" t="s">
        <v>263</v>
      </c>
      <c r="G53" s="1" t="s">
        <v>171</v>
      </c>
      <c r="H53" s="1" t="s">
        <v>106</v>
      </c>
      <c r="I53" s="1" t="s">
        <v>259</v>
      </c>
      <c r="J53" s="1" t="s">
        <v>264</v>
      </c>
      <c r="K53" s="1" t="s">
        <v>265</v>
      </c>
      <c r="L53" s="11" t="s">
        <v>56</v>
      </c>
      <c r="M53" s="1" t="s">
        <v>266</v>
      </c>
      <c r="N53" s="1" t="s">
        <v>267</v>
      </c>
      <c r="O53" s="1" t="s">
        <v>268</v>
      </c>
      <c r="P53" s="1">
        <v>0</v>
      </c>
      <c r="Q53" s="12">
        <v>347.52</v>
      </c>
      <c r="R53" s="1" t="s">
        <v>60</v>
      </c>
      <c r="S53" s="1" t="s">
        <v>61</v>
      </c>
      <c r="T53" s="6" t="s">
        <v>62</v>
      </c>
      <c r="U53" s="13">
        <v>0.255</v>
      </c>
      <c r="V53" s="12">
        <v>88.62</v>
      </c>
      <c r="W53" s="12">
        <v>0</v>
      </c>
      <c r="X53" s="1" t="s">
        <v>56</v>
      </c>
    </row>
    <row r="54" spans="1:24" x14ac:dyDescent="0.2">
      <c r="A54" s="1" t="s">
        <v>97</v>
      </c>
      <c r="B54" s="1" t="s">
        <v>46</v>
      </c>
      <c r="C54" s="1" t="s">
        <v>269</v>
      </c>
      <c r="D54" s="1" t="s">
        <v>153</v>
      </c>
      <c r="E54" s="1" t="s">
        <v>270</v>
      </c>
      <c r="F54" s="1" t="s">
        <v>271</v>
      </c>
      <c r="G54" s="1" t="s">
        <v>51</v>
      </c>
      <c r="H54" s="1" t="s">
        <v>106</v>
      </c>
      <c r="I54" s="1" t="s">
        <v>161</v>
      </c>
      <c r="J54" s="1" t="s">
        <v>272</v>
      </c>
      <c r="K54" s="1" t="s">
        <v>113</v>
      </c>
      <c r="L54" s="11">
        <v>66</v>
      </c>
      <c r="M54" s="1" t="s">
        <v>57</v>
      </c>
      <c r="N54" s="1" t="s">
        <v>58</v>
      </c>
      <c r="O54" s="1" t="s">
        <v>59</v>
      </c>
      <c r="P54" s="1">
        <v>12</v>
      </c>
      <c r="Q54" s="12">
        <v>71.62</v>
      </c>
      <c r="R54" s="1" t="s">
        <v>60</v>
      </c>
      <c r="S54" s="1" t="s">
        <v>61</v>
      </c>
      <c r="T54" s="6" t="s">
        <v>62</v>
      </c>
      <c r="U54" s="13">
        <v>7.0000000000000007E-2</v>
      </c>
      <c r="V54" s="12">
        <v>5.01</v>
      </c>
      <c r="W54" s="12">
        <v>0</v>
      </c>
      <c r="X54" s="1" t="s">
        <v>56</v>
      </c>
    </row>
    <row r="55" spans="1:24" x14ac:dyDescent="0.2">
      <c r="A55" s="1" t="s">
        <v>97</v>
      </c>
      <c r="B55" s="1" t="s">
        <v>46</v>
      </c>
      <c r="C55" s="1" t="s">
        <v>269</v>
      </c>
      <c r="D55" s="1" t="s">
        <v>70</v>
      </c>
      <c r="E55" s="1" t="s">
        <v>273</v>
      </c>
      <c r="F55" s="1" t="s">
        <v>274</v>
      </c>
      <c r="G55" s="1" t="s">
        <v>275</v>
      </c>
      <c r="H55" s="1" t="s">
        <v>106</v>
      </c>
      <c r="I55" s="1" t="s">
        <v>100</v>
      </c>
      <c r="J55" s="1" t="s">
        <v>276</v>
      </c>
      <c r="K55" s="1" t="s">
        <v>80</v>
      </c>
      <c r="L55" s="11">
        <v>63</v>
      </c>
      <c r="M55" s="1" t="s">
        <v>57</v>
      </c>
      <c r="N55" s="1" t="s">
        <v>58</v>
      </c>
      <c r="O55" s="1" t="s">
        <v>59</v>
      </c>
      <c r="P55" s="1">
        <v>50</v>
      </c>
      <c r="Q55" s="12">
        <v>134.81</v>
      </c>
      <c r="R55" s="1" t="s">
        <v>67</v>
      </c>
      <c r="S55" s="1" t="s">
        <v>68</v>
      </c>
      <c r="T55" s="6" t="s">
        <v>62</v>
      </c>
      <c r="U55" s="13">
        <v>0.67500000000000004</v>
      </c>
      <c r="V55" s="12">
        <v>91</v>
      </c>
      <c r="W55" s="12">
        <v>0</v>
      </c>
      <c r="X55" s="1" t="s">
        <v>56</v>
      </c>
    </row>
    <row r="56" spans="1:24" x14ac:dyDescent="0.2">
      <c r="A56" s="1" t="s">
        <v>97</v>
      </c>
      <c r="B56" s="1" t="s">
        <v>46</v>
      </c>
      <c r="C56" s="1" t="s">
        <v>269</v>
      </c>
      <c r="D56" s="1" t="s">
        <v>70</v>
      </c>
      <c r="E56" s="1" t="s">
        <v>277</v>
      </c>
      <c r="F56" s="1" t="s">
        <v>278</v>
      </c>
      <c r="G56" s="1" t="s">
        <v>51</v>
      </c>
      <c r="H56" s="1" t="s">
        <v>124</v>
      </c>
      <c r="I56" s="1" t="s">
        <v>100</v>
      </c>
      <c r="J56" s="1" t="s">
        <v>279</v>
      </c>
      <c r="K56" s="1" t="s">
        <v>157</v>
      </c>
      <c r="L56" s="11">
        <v>65</v>
      </c>
      <c r="M56" s="1" t="s">
        <v>57</v>
      </c>
      <c r="N56" s="1" t="s">
        <v>58</v>
      </c>
      <c r="O56" s="1" t="s">
        <v>59</v>
      </c>
      <c r="P56" s="1">
        <v>60</v>
      </c>
      <c r="Q56" s="12">
        <v>197.58</v>
      </c>
      <c r="R56" s="1" t="s">
        <v>67</v>
      </c>
      <c r="S56" s="1" t="s">
        <v>68</v>
      </c>
      <c r="T56" s="6" t="s">
        <v>62</v>
      </c>
      <c r="U56" s="13">
        <v>0.67500000000000004</v>
      </c>
      <c r="V56" s="12">
        <v>133.37</v>
      </c>
      <c r="W56" s="12">
        <v>0</v>
      </c>
      <c r="X56" s="1" t="s">
        <v>56</v>
      </c>
    </row>
    <row r="57" spans="1:24" x14ac:dyDescent="0.2">
      <c r="A57" s="1" t="s">
        <v>97</v>
      </c>
      <c r="B57" s="1" t="s">
        <v>46</v>
      </c>
      <c r="C57" s="1" t="s">
        <v>269</v>
      </c>
      <c r="D57" s="1" t="s">
        <v>70</v>
      </c>
      <c r="E57" s="1" t="s">
        <v>280</v>
      </c>
      <c r="F57" s="1" t="s">
        <v>281</v>
      </c>
      <c r="G57" s="1" t="s">
        <v>254</v>
      </c>
      <c r="H57" s="1" t="s">
        <v>106</v>
      </c>
      <c r="I57" s="1" t="s">
        <v>100</v>
      </c>
      <c r="J57" s="1" t="s">
        <v>282</v>
      </c>
      <c r="K57" s="1" t="s">
        <v>113</v>
      </c>
      <c r="L57" s="11">
        <v>67</v>
      </c>
      <c r="M57" s="1" t="s">
        <v>57</v>
      </c>
      <c r="N57" s="1" t="s">
        <v>58</v>
      </c>
      <c r="O57" s="1" t="s">
        <v>59</v>
      </c>
      <c r="P57" s="1">
        <v>75</v>
      </c>
      <c r="Q57" s="12">
        <v>208.27</v>
      </c>
      <c r="R57" s="1" t="s">
        <v>67</v>
      </c>
      <c r="S57" s="1" t="s">
        <v>68</v>
      </c>
      <c r="T57" s="6" t="s">
        <v>62</v>
      </c>
      <c r="U57" s="13">
        <v>0.67500000000000004</v>
      </c>
      <c r="V57" s="12">
        <v>140.58000000000001</v>
      </c>
      <c r="W57" s="12">
        <v>0</v>
      </c>
      <c r="X57" s="1" t="s">
        <v>56</v>
      </c>
    </row>
    <row r="58" spans="1:24" x14ac:dyDescent="0.2">
      <c r="A58" s="1" t="s">
        <v>97</v>
      </c>
      <c r="B58" s="1" t="s">
        <v>46</v>
      </c>
      <c r="C58" s="1" t="s">
        <v>269</v>
      </c>
      <c r="D58" s="1" t="s">
        <v>70</v>
      </c>
      <c r="E58" s="1" t="s">
        <v>283</v>
      </c>
      <c r="F58" s="1" t="s">
        <v>284</v>
      </c>
      <c r="G58" s="1" t="s">
        <v>111</v>
      </c>
      <c r="H58" s="1" t="s">
        <v>137</v>
      </c>
      <c r="I58" s="1" t="s">
        <v>161</v>
      </c>
      <c r="J58" s="1" t="s">
        <v>285</v>
      </c>
      <c r="K58" s="1" t="s">
        <v>286</v>
      </c>
      <c r="L58" s="11">
        <v>57</v>
      </c>
      <c r="M58" s="1" t="s">
        <v>57</v>
      </c>
      <c r="N58" s="1" t="s">
        <v>58</v>
      </c>
      <c r="O58" s="1" t="s">
        <v>59</v>
      </c>
      <c r="P58" s="1">
        <v>50</v>
      </c>
      <c r="Q58" s="12">
        <v>-137.1</v>
      </c>
      <c r="R58" s="1" t="s">
        <v>67</v>
      </c>
      <c r="S58" s="1" t="s">
        <v>127</v>
      </c>
      <c r="T58" s="6" t="s">
        <v>62</v>
      </c>
      <c r="U58" s="13">
        <v>1.35</v>
      </c>
      <c r="V58" s="12">
        <v>-185.09</v>
      </c>
      <c r="W58" s="12">
        <v>0</v>
      </c>
      <c r="X58" s="1" t="s">
        <v>56</v>
      </c>
    </row>
    <row r="59" spans="1:24" x14ac:dyDescent="0.2">
      <c r="A59" s="1" t="s">
        <v>97</v>
      </c>
      <c r="B59" s="1" t="s">
        <v>46</v>
      </c>
      <c r="C59" s="1" t="s">
        <v>269</v>
      </c>
      <c r="D59" s="1" t="s">
        <v>174</v>
      </c>
      <c r="E59" s="1" t="s">
        <v>287</v>
      </c>
      <c r="F59" s="1" t="s">
        <v>288</v>
      </c>
      <c r="G59" s="1" t="s">
        <v>51</v>
      </c>
      <c r="H59" s="1" t="s">
        <v>124</v>
      </c>
      <c r="I59" s="1" t="s">
        <v>167</v>
      </c>
      <c r="J59" s="1" t="s">
        <v>289</v>
      </c>
      <c r="K59" s="1" t="s">
        <v>157</v>
      </c>
      <c r="L59" s="11">
        <v>45</v>
      </c>
      <c r="M59" s="1" t="s">
        <v>57</v>
      </c>
      <c r="N59" s="1" t="s">
        <v>58</v>
      </c>
      <c r="O59" s="1" t="s">
        <v>59</v>
      </c>
      <c r="P59" s="1">
        <v>300</v>
      </c>
      <c r="Q59" s="12">
        <v>143.11000000000001</v>
      </c>
      <c r="R59" s="1" t="s">
        <v>67</v>
      </c>
      <c r="S59" s="1" t="s">
        <v>68</v>
      </c>
      <c r="T59" s="6" t="s">
        <v>62</v>
      </c>
      <c r="U59" s="13">
        <v>1.5</v>
      </c>
      <c r="V59" s="12">
        <v>214.67</v>
      </c>
      <c r="W59" s="12">
        <v>0</v>
      </c>
      <c r="X59" s="1" t="s">
        <v>56</v>
      </c>
    </row>
    <row r="60" spans="1:24" x14ac:dyDescent="0.2">
      <c r="A60" s="1" t="s">
        <v>97</v>
      </c>
      <c r="B60" s="1" t="s">
        <v>46</v>
      </c>
      <c r="C60" s="1" t="s">
        <v>269</v>
      </c>
      <c r="D60" s="1" t="s">
        <v>174</v>
      </c>
      <c r="E60" s="1" t="s">
        <v>290</v>
      </c>
      <c r="F60" s="1" t="s">
        <v>291</v>
      </c>
      <c r="G60" s="1" t="s">
        <v>51</v>
      </c>
      <c r="H60" s="1" t="s">
        <v>124</v>
      </c>
      <c r="I60" s="1" t="s">
        <v>167</v>
      </c>
      <c r="J60" s="1" t="s">
        <v>289</v>
      </c>
      <c r="K60" s="1" t="s">
        <v>157</v>
      </c>
      <c r="L60" s="11">
        <v>45</v>
      </c>
      <c r="M60" s="1" t="s">
        <v>57</v>
      </c>
      <c r="N60" s="1" t="s">
        <v>58</v>
      </c>
      <c r="O60" s="1" t="s">
        <v>59</v>
      </c>
      <c r="P60" s="1">
        <v>300</v>
      </c>
      <c r="Q60" s="12">
        <v>152.19</v>
      </c>
      <c r="R60" s="1" t="s">
        <v>67</v>
      </c>
      <c r="S60" s="1" t="s">
        <v>68</v>
      </c>
      <c r="T60" s="6" t="s">
        <v>62</v>
      </c>
      <c r="U60" s="13">
        <v>1.5</v>
      </c>
      <c r="V60" s="12">
        <v>228.29</v>
      </c>
      <c r="W60" s="12">
        <v>0</v>
      </c>
      <c r="X60" s="1" t="s">
        <v>56</v>
      </c>
    </row>
    <row r="61" spans="1:24" x14ac:dyDescent="0.2">
      <c r="A61" s="1" t="s">
        <v>97</v>
      </c>
      <c r="B61" s="1" t="s">
        <v>46</v>
      </c>
      <c r="C61" s="1" t="s">
        <v>269</v>
      </c>
      <c r="D61" s="1" t="s">
        <v>153</v>
      </c>
      <c r="E61" s="1" t="s">
        <v>292</v>
      </c>
      <c r="F61" s="1" t="s">
        <v>293</v>
      </c>
      <c r="G61" s="1" t="s">
        <v>51</v>
      </c>
      <c r="H61" s="1" t="s">
        <v>106</v>
      </c>
      <c r="I61" s="1" t="s">
        <v>161</v>
      </c>
      <c r="J61" s="1" t="s">
        <v>294</v>
      </c>
      <c r="K61" s="1" t="s">
        <v>295</v>
      </c>
      <c r="L61" s="11">
        <v>71</v>
      </c>
      <c r="M61" s="1" t="s">
        <v>57</v>
      </c>
      <c r="N61" s="1" t="s">
        <v>58</v>
      </c>
      <c r="O61" s="1" t="s">
        <v>59</v>
      </c>
      <c r="P61" s="1">
        <v>12</v>
      </c>
      <c r="Q61" s="12">
        <v>137.37</v>
      </c>
      <c r="R61" s="1" t="s">
        <v>60</v>
      </c>
      <c r="S61" s="1" t="s">
        <v>61</v>
      </c>
      <c r="T61" s="6" t="s">
        <v>62</v>
      </c>
      <c r="U61" s="13">
        <v>7.0000000000000007E-2</v>
      </c>
      <c r="V61" s="12">
        <v>9.6199999999999992</v>
      </c>
      <c r="W61" s="12">
        <v>0</v>
      </c>
      <c r="X61" s="1" t="s">
        <v>56</v>
      </c>
    </row>
    <row r="62" spans="1:24" x14ac:dyDescent="0.2">
      <c r="A62" s="1" t="s">
        <v>97</v>
      </c>
      <c r="B62" s="1" t="s">
        <v>46</v>
      </c>
      <c r="C62" s="1" t="s">
        <v>269</v>
      </c>
      <c r="D62" s="1" t="s">
        <v>70</v>
      </c>
      <c r="E62" s="1" t="s">
        <v>296</v>
      </c>
      <c r="F62" s="1" t="s">
        <v>297</v>
      </c>
      <c r="G62" s="1" t="s">
        <v>119</v>
      </c>
      <c r="H62" s="1" t="s">
        <v>106</v>
      </c>
      <c r="I62" s="1" t="s">
        <v>161</v>
      </c>
      <c r="J62" s="1" t="s">
        <v>272</v>
      </c>
      <c r="K62" s="1" t="s">
        <v>113</v>
      </c>
      <c r="L62" s="11">
        <v>62</v>
      </c>
      <c r="M62" s="1" t="s">
        <v>57</v>
      </c>
      <c r="N62" s="1" t="s">
        <v>58</v>
      </c>
      <c r="O62" s="1" t="s">
        <v>59</v>
      </c>
      <c r="P62" s="1">
        <v>50</v>
      </c>
      <c r="Q62" s="12">
        <v>167.5</v>
      </c>
      <c r="R62" s="1" t="s">
        <v>60</v>
      </c>
      <c r="S62" s="1" t="s">
        <v>61</v>
      </c>
      <c r="T62" s="6" t="s">
        <v>62</v>
      </c>
      <c r="U62" s="13">
        <v>7.0000000000000007E-2</v>
      </c>
      <c r="V62" s="12">
        <v>11.73</v>
      </c>
      <c r="W62" s="12">
        <v>0</v>
      </c>
      <c r="X62" s="1" t="s">
        <v>56</v>
      </c>
    </row>
    <row r="63" spans="1:24" x14ac:dyDescent="0.2">
      <c r="A63" s="1" t="s">
        <v>97</v>
      </c>
      <c r="B63" s="1" t="s">
        <v>46</v>
      </c>
      <c r="C63" s="1" t="s">
        <v>269</v>
      </c>
      <c r="D63" s="1" t="s">
        <v>70</v>
      </c>
      <c r="E63" s="1" t="s">
        <v>298</v>
      </c>
      <c r="F63" s="1" t="s">
        <v>299</v>
      </c>
      <c r="G63" s="1" t="s">
        <v>275</v>
      </c>
      <c r="H63" s="1" t="s">
        <v>106</v>
      </c>
      <c r="I63" s="1" t="s">
        <v>100</v>
      </c>
      <c r="J63" s="1" t="s">
        <v>300</v>
      </c>
      <c r="K63" s="1" t="s">
        <v>113</v>
      </c>
      <c r="L63" s="11">
        <v>59</v>
      </c>
      <c r="M63" s="1" t="s">
        <v>57</v>
      </c>
      <c r="N63" s="1" t="s">
        <v>58</v>
      </c>
      <c r="O63" s="1" t="s">
        <v>59</v>
      </c>
      <c r="P63" s="1">
        <v>75</v>
      </c>
      <c r="Q63" s="12">
        <v>160.63</v>
      </c>
      <c r="R63" s="1" t="s">
        <v>67</v>
      </c>
      <c r="S63" s="1" t="s">
        <v>68</v>
      </c>
      <c r="T63" s="6" t="s">
        <v>62</v>
      </c>
      <c r="U63" s="13">
        <v>0.67500000000000004</v>
      </c>
      <c r="V63" s="12">
        <v>108.43</v>
      </c>
      <c r="W63" s="12">
        <v>0</v>
      </c>
      <c r="X63" s="1" t="s">
        <v>56</v>
      </c>
    </row>
    <row r="64" spans="1:24" x14ac:dyDescent="0.2">
      <c r="A64" s="1" t="s">
        <v>97</v>
      </c>
      <c r="B64" s="1" t="s">
        <v>46</v>
      </c>
      <c r="C64" s="1" t="s">
        <v>269</v>
      </c>
      <c r="D64" s="1" t="s">
        <v>70</v>
      </c>
      <c r="E64" s="1" t="s">
        <v>301</v>
      </c>
      <c r="F64" s="1" t="s">
        <v>302</v>
      </c>
      <c r="G64" s="1" t="s">
        <v>275</v>
      </c>
      <c r="H64" s="1" t="s">
        <v>106</v>
      </c>
      <c r="I64" s="1" t="s">
        <v>100</v>
      </c>
      <c r="J64" s="1" t="s">
        <v>300</v>
      </c>
      <c r="K64" s="1" t="s">
        <v>113</v>
      </c>
      <c r="L64" s="11">
        <v>59</v>
      </c>
      <c r="M64" s="1" t="s">
        <v>57</v>
      </c>
      <c r="N64" s="1" t="s">
        <v>58</v>
      </c>
      <c r="O64" s="1" t="s">
        <v>59</v>
      </c>
      <c r="P64" s="1">
        <v>75</v>
      </c>
      <c r="Q64" s="12">
        <v>160.63</v>
      </c>
      <c r="R64" s="1" t="s">
        <v>67</v>
      </c>
      <c r="S64" s="1" t="s">
        <v>68</v>
      </c>
      <c r="T64" s="6" t="s">
        <v>62</v>
      </c>
      <c r="U64" s="13">
        <v>0.67500000000000004</v>
      </c>
      <c r="V64" s="12">
        <v>108.43</v>
      </c>
      <c r="W64" s="12">
        <v>0</v>
      </c>
      <c r="X64" s="1" t="s">
        <v>56</v>
      </c>
    </row>
    <row r="65" spans="1:24" x14ac:dyDescent="0.2">
      <c r="A65" s="1" t="s">
        <v>303</v>
      </c>
      <c r="B65" s="1" t="s">
        <v>46</v>
      </c>
      <c r="C65" s="1" t="s">
        <v>47</v>
      </c>
      <c r="D65" s="1" t="s">
        <v>304</v>
      </c>
      <c r="E65" s="1" t="s">
        <v>305</v>
      </c>
      <c r="F65" s="1" t="s">
        <v>306</v>
      </c>
      <c r="G65" s="1" t="s">
        <v>248</v>
      </c>
      <c r="H65" s="1" t="s">
        <v>124</v>
      </c>
      <c r="I65" s="1" t="s">
        <v>307</v>
      </c>
      <c r="J65" s="1" t="s">
        <v>260</v>
      </c>
      <c r="K65" s="1" t="s">
        <v>55</v>
      </c>
      <c r="L65" s="11" t="s">
        <v>56</v>
      </c>
      <c r="M65" s="1" t="s">
        <v>57</v>
      </c>
      <c r="N65" s="1" t="s">
        <v>58</v>
      </c>
      <c r="O65" s="1" t="s">
        <v>59</v>
      </c>
      <c r="P65" s="1">
        <v>0</v>
      </c>
      <c r="Q65" s="12">
        <v>132.11000000000001</v>
      </c>
      <c r="R65" s="1" t="s">
        <v>60</v>
      </c>
      <c r="S65" s="1" t="s">
        <v>61</v>
      </c>
      <c r="T65" s="6" t="s">
        <v>62</v>
      </c>
      <c r="U65" s="13">
        <v>0.23</v>
      </c>
      <c r="V65" s="12">
        <v>30.39</v>
      </c>
      <c r="W65" s="12">
        <v>0</v>
      </c>
      <c r="X65" s="1" t="s">
        <v>56</v>
      </c>
    </row>
    <row r="66" spans="1:24" x14ac:dyDescent="0.2">
      <c r="A66" s="1" t="s">
        <v>303</v>
      </c>
      <c r="B66" s="1" t="s">
        <v>46</v>
      </c>
      <c r="C66" s="1" t="s">
        <v>47</v>
      </c>
      <c r="D66" s="1" t="s">
        <v>304</v>
      </c>
      <c r="E66" s="1" t="s">
        <v>308</v>
      </c>
      <c r="F66" s="1" t="s">
        <v>309</v>
      </c>
      <c r="G66" s="1" t="s">
        <v>248</v>
      </c>
      <c r="H66" s="1" t="s">
        <v>124</v>
      </c>
      <c r="I66" s="1" t="s">
        <v>307</v>
      </c>
      <c r="J66" s="1" t="s">
        <v>310</v>
      </c>
      <c r="K66" s="1" t="s">
        <v>55</v>
      </c>
      <c r="L66" s="11" t="s">
        <v>56</v>
      </c>
      <c r="M66" s="1" t="s">
        <v>57</v>
      </c>
      <c r="N66" s="1" t="s">
        <v>58</v>
      </c>
      <c r="O66" s="1" t="s">
        <v>59</v>
      </c>
      <c r="P66" s="1">
        <v>0</v>
      </c>
      <c r="Q66" s="12">
        <v>151.93</v>
      </c>
      <c r="R66" s="1" t="s">
        <v>60</v>
      </c>
      <c r="S66" s="1" t="s">
        <v>61</v>
      </c>
      <c r="T66" s="6" t="s">
        <v>62</v>
      </c>
      <c r="U66" s="13">
        <v>0.23</v>
      </c>
      <c r="V66" s="12">
        <v>34.94</v>
      </c>
      <c r="W66" s="12">
        <v>0</v>
      </c>
      <c r="X66" s="1" t="s">
        <v>56</v>
      </c>
    </row>
    <row r="67" spans="1:24" x14ac:dyDescent="0.2">
      <c r="A67" s="1" t="s">
        <v>303</v>
      </c>
      <c r="B67" s="1" t="s">
        <v>46</v>
      </c>
      <c r="C67" s="1" t="s">
        <v>47</v>
      </c>
      <c r="D67" s="1" t="s">
        <v>304</v>
      </c>
      <c r="E67" s="1" t="s">
        <v>311</v>
      </c>
      <c r="F67" s="1" t="s">
        <v>312</v>
      </c>
      <c r="G67" s="1" t="s">
        <v>248</v>
      </c>
      <c r="H67" s="1" t="s">
        <v>52</v>
      </c>
      <c r="I67" s="1" t="s">
        <v>313</v>
      </c>
      <c r="J67" s="1" t="s">
        <v>314</v>
      </c>
      <c r="K67" s="1" t="s">
        <v>55</v>
      </c>
      <c r="L67" s="11" t="s">
        <v>56</v>
      </c>
      <c r="M67" s="1" t="s">
        <v>57</v>
      </c>
      <c r="N67" s="1" t="s">
        <v>58</v>
      </c>
      <c r="O67" s="1" t="s">
        <v>59</v>
      </c>
      <c r="P67" s="1">
        <v>0</v>
      </c>
      <c r="Q67" s="12">
        <v>120.5</v>
      </c>
      <c r="R67" s="1" t="s">
        <v>60</v>
      </c>
      <c r="S67" s="1" t="s">
        <v>61</v>
      </c>
      <c r="T67" s="6" t="s">
        <v>62</v>
      </c>
      <c r="U67" s="13">
        <v>0.27</v>
      </c>
      <c r="V67" s="12">
        <v>32.54</v>
      </c>
      <c r="W67" s="12">
        <v>0</v>
      </c>
      <c r="X67" s="1" t="s">
        <v>56</v>
      </c>
    </row>
    <row r="68" spans="1:24" x14ac:dyDescent="0.2">
      <c r="A68" s="1" t="s">
        <v>303</v>
      </c>
      <c r="B68" s="1" t="s">
        <v>46</v>
      </c>
      <c r="C68" s="1" t="s">
        <v>47</v>
      </c>
      <c r="D68" s="1" t="s">
        <v>315</v>
      </c>
      <c r="E68" s="1" t="s">
        <v>316</v>
      </c>
      <c r="F68" s="1" t="s">
        <v>317</v>
      </c>
      <c r="G68" s="1" t="s">
        <v>51</v>
      </c>
      <c r="H68" s="1" t="s">
        <v>126</v>
      </c>
      <c r="I68" s="1" t="s">
        <v>318</v>
      </c>
      <c r="J68" s="1" t="s">
        <v>54</v>
      </c>
      <c r="K68" s="1" t="s">
        <v>55</v>
      </c>
      <c r="L68" s="11" t="s">
        <v>56</v>
      </c>
      <c r="M68" s="1" t="s">
        <v>57</v>
      </c>
      <c r="N68" s="1" t="s">
        <v>58</v>
      </c>
      <c r="O68" s="1" t="s">
        <v>59</v>
      </c>
      <c r="P68" s="1">
        <v>0</v>
      </c>
      <c r="Q68" s="12">
        <v>36.08</v>
      </c>
      <c r="R68" s="1" t="s">
        <v>60</v>
      </c>
      <c r="S68" s="1" t="s">
        <v>61</v>
      </c>
      <c r="T68" s="6" t="s">
        <v>62</v>
      </c>
      <c r="U68" s="13">
        <v>0.03</v>
      </c>
      <c r="V68" s="12">
        <v>1.08</v>
      </c>
      <c r="W68" s="12">
        <v>0</v>
      </c>
      <c r="X68" s="1" t="s">
        <v>56</v>
      </c>
    </row>
    <row r="69" spans="1:24" x14ac:dyDescent="0.2">
      <c r="A69" s="1" t="s">
        <v>303</v>
      </c>
      <c r="B69" s="1" t="s">
        <v>46</v>
      </c>
      <c r="C69" s="1" t="s">
        <v>47</v>
      </c>
      <c r="D69" s="1" t="s">
        <v>315</v>
      </c>
      <c r="E69" s="1" t="s">
        <v>319</v>
      </c>
      <c r="F69" s="1" t="s">
        <v>320</v>
      </c>
      <c r="G69" s="1" t="s">
        <v>51</v>
      </c>
      <c r="H69" s="1" t="s">
        <v>52</v>
      </c>
      <c r="I69" s="1" t="s">
        <v>318</v>
      </c>
      <c r="J69" s="1" t="s">
        <v>54</v>
      </c>
      <c r="K69" s="1" t="s">
        <v>55</v>
      </c>
      <c r="L69" s="11" t="s">
        <v>56</v>
      </c>
      <c r="M69" s="1" t="s">
        <v>57</v>
      </c>
      <c r="N69" s="1" t="s">
        <v>58</v>
      </c>
      <c r="O69" s="1" t="s">
        <v>59</v>
      </c>
      <c r="P69" s="1">
        <v>0</v>
      </c>
      <c r="Q69" s="12">
        <v>36.08</v>
      </c>
      <c r="R69" s="1" t="s">
        <v>60</v>
      </c>
      <c r="S69" s="1" t="s">
        <v>61</v>
      </c>
      <c r="T69" s="6" t="s">
        <v>62</v>
      </c>
      <c r="U69" s="13">
        <v>0.03</v>
      </c>
      <c r="V69" s="12">
        <v>1.08</v>
      </c>
      <c r="W69" s="12">
        <v>0</v>
      </c>
      <c r="X69" s="1" t="s">
        <v>56</v>
      </c>
    </row>
    <row r="70" spans="1:24" x14ac:dyDescent="0.2">
      <c r="A70" s="1" t="s">
        <v>303</v>
      </c>
      <c r="B70" s="1" t="s">
        <v>46</v>
      </c>
      <c r="C70" s="1" t="s">
        <v>47</v>
      </c>
      <c r="D70" s="1" t="s">
        <v>315</v>
      </c>
      <c r="E70" s="1" t="s">
        <v>321</v>
      </c>
      <c r="F70" s="1" t="s">
        <v>322</v>
      </c>
      <c r="G70" s="1" t="s">
        <v>51</v>
      </c>
      <c r="H70" s="1" t="s">
        <v>106</v>
      </c>
      <c r="I70" s="1" t="s">
        <v>323</v>
      </c>
      <c r="J70" s="1" t="s">
        <v>54</v>
      </c>
      <c r="K70" s="1" t="s">
        <v>55</v>
      </c>
      <c r="L70" s="11" t="s">
        <v>56</v>
      </c>
      <c r="M70" s="1" t="s">
        <v>57</v>
      </c>
      <c r="N70" s="1" t="s">
        <v>58</v>
      </c>
      <c r="O70" s="1" t="s">
        <v>59</v>
      </c>
      <c r="P70" s="1">
        <v>0</v>
      </c>
      <c r="Q70" s="12">
        <v>68.760000000000005</v>
      </c>
      <c r="R70" s="1" t="s">
        <v>60</v>
      </c>
      <c r="S70" s="1" t="s">
        <v>61</v>
      </c>
      <c r="T70" s="6" t="s">
        <v>62</v>
      </c>
      <c r="U70" s="13">
        <v>0.03</v>
      </c>
      <c r="V70" s="12">
        <v>2.06</v>
      </c>
      <c r="W70" s="12">
        <v>0</v>
      </c>
      <c r="X70" s="1" t="s">
        <v>56</v>
      </c>
    </row>
    <row r="71" spans="1:24" x14ac:dyDescent="0.2">
      <c r="A71" s="1" t="s">
        <v>303</v>
      </c>
      <c r="B71" s="1" t="s">
        <v>46</v>
      </c>
      <c r="C71" s="1" t="s">
        <v>47</v>
      </c>
      <c r="D71" s="1" t="s">
        <v>315</v>
      </c>
      <c r="E71" s="1" t="s">
        <v>324</v>
      </c>
      <c r="F71" s="1" t="s">
        <v>325</v>
      </c>
      <c r="G71" s="1" t="s">
        <v>51</v>
      </c>
      <c r="H71" s="1" t="s">
        <v>52</v>
      </c>
      <c r="I71" s="1" t="s">
        <v>318</v>
      </c>
      <c r="J71" s="1" t="s">
        <v>326</v>
      </c>
      <c r="K71" s="1" t="s">
        <v>113</v>
      </c>
      <c r="L71" s="11" t="s">
        <v>56</v>
      </c>
      <c r="M71" s="1" t="s">
        <v>57</v>
      </c>
      <c r="N71" s="1" t="s">
        <v>58</v>
      </c>
      <c r="O71" s="1" t="s">
        <v>59</v>
      </c>
      <c r="P71" s="1">
        <v>0</v>
      </c>
      <c r="Q71" s="12">
        <v>36.08</v>
      </c>
      <c r="R71" s="1" t="s">
        <v>60</v>
      </c>
      <c r="S71" s="1" t="s">
        <v>61</v>
      </c>
      <c r="T71" s="6" t="s">
        <v>62</v>
      </c>
      <c r="U71" s="13">
        <v>0.03</v>
      </c>
      <c r="V71" s="12">
        <v>1.08</v>
      </c>
      <c r="W71" s="12">
        <v>0</v>
      </c>
      <c r="X71" s="1" t="s">
        <v>56</v>
      </c>
    </row>
    <row r="72" spans="1:24" x14ac:dyDescent="0.2">
      <c r="A72" s="1" t="s">
        <v>303</v>
      </c>
      <c r="B72" s="1" t="s">
        <v>46</v>
      </c>
      <c r="C72" s="1" t="s">
        <v>47</v>
      </c>
      <c r="D72" s="1" t="s">
        <v>315</v>
      </c>
      <c r="E72" s="1" t="s">
        <v>327</v>
      </c>
      <c r="F72" s="1" t="s">
        <v>328</v>
      </c>
      <c r="G72" s="1" t="s">
        <v>51</v>
      </c>
      <c r="H72" s="1" t="s">
        <v>52</v>
      </c>
      <c r="I72" s="1" t="s">
        <v>318</v>
      </c>
      <c r="J72" s="1" t="s">
        <v>329</v>
      </c>
      <c r="K72" s="1" t="s">
        <v>251</v>
      </c>
      <c r="L72" s="11" t="s">
        <v>56</v>
      </c>
      <c r="M72" s="1" t="s">
        <v>57</v>
      </c>
      <c r="N72" s="1" t="s">
        <v>58</v>
      </c>
      <c r="O72" s="1" t="s">
        <v>59</v>
      </c>
      <c r="P72" s="1">
        <v>0</v>
      </c>
      <c r="Q72" s="12">
        <v>34.36</v>
      </c>
      <c r="R72" s="1" t="s">
        <v>67</v>
      </c>
      <c r="S72" s="1" t="s">
        <v>68</v>
      </c>
      <c r="T72" s="6" t="s">
        <v>62</v>
      </c>
      <c r="U72" s="13">
        <v>0.52</v>
      </c>
      <c r="V72" s="12">
        <v>17.87</v>
      </c>
      <c r="W72" s="12">
        <v>0</v>
      </c>
      <c r="X72" s="1" t="s">
        <v>56</v>
      </c>
    </row>
    <row r="73" spans="1:24" x14ac:dyDescent="0.2">
      <c r="A73" s="1" t="s">
        <v>303</v>
      </c>
      <c r="B73" s="1" t="s">
        <v>46</v>
      </c>
      <c r="C73" s="1" t="s">
        <v>47</v>
      </c>
      <c r="D73" s="1" t="s">
        <v>205</v>
      </c>
      <c r="E73" s="1" t="s">
        <v>330</v>
      </c>
      <c r="F73" s="1" t="s">
        <v>331</v>
      </c>
      <c r="G73" s="1" t="s">
        <v>134</v>
      </c>
      <c r="H73" s="1" t="s">
        <v>52</v>
      </c>
      <c r="I73" s="1" t="s">
        <v>332</v>
      </c>
      <c r="J73" s="1" t="s">
        <v>272</v>
      </c>
      <c r="K73" s="1" t="s">
        <v>113</v>
      </c>
      <c r="L73" s="11" t="s">
        <v>56</v>
      </c>
      <c r="M73" s="1" t="s">
        <v>57</v>
      </c>
      <c r="N73" s="1" t="s">
        <v>58</v>
      </c>
      <c r="O73" s="1" t="s">
        <v>59</v>
      </c>
      <c r="P73" s="1">
        <v>0</v>
      </c>
      <c r="Q73" s="12">
        <v>59.14</v>
      </c>
      <c r="R73" s="1" t="s">
        <v>60</v>
      </c>
      <c r="S73" s="1" t="s">
        <v>61</v>
      </c>
      <c r="T73" s="6" t="s">
        <v>62</v>
      </c>
      <c r="U73" s="13">
        <v>0.03</v>
      </c>
      <c r="V73" s="12">
        <v>1.77</v>
      </c>
      <c r="W73" s="12">
        <v>0</v>
      </c>
      <c r="X73" s="1" t="s">
        <v>56</v>
      </c>
    </row>
    <row r="74" spans="1:24" x14ac:dyDescent="0.2">
      <c r="A74" s="1" t="s">
        <v>303</v>
      </c>
      <c r="B74" s="1" t="s">
        <v>46</v>
      </c>
      <c r="C74" s="1" t="s">
        <v>89</v>
      </c>
      <c r="D74" s="1" t="s">
        <v>333</v>
      </c>
      <c r="E74" s="1" t="s">
        <v>334</v>
      </c>
      <c r="F74" s="1" t="s">
        <v>335</v>
      </c>
      <c r="G74" s="1" t="s">
        <v>51</v>
      </c>
      <c r="H74" s="1" t="s">
        <v>52</v>
      </c>
      <c r="I74" s="1" t="s">
        <v>323</v>
      </c>
      <c r="J74" s="1" t="s">
        <v>336</v>
      </c>
      <c r="K74" s="1" t="s">
        <v>108</v>
      </c>
      <c r="L74" s="11" t="s">
        <v>56</v>
      </c>
      <c r="M74" s="1" t="s">
        <v>57</v>
      </c>
      <c r="N74" s="1" t="s">
        <v>58</v>
      </c>
      <c r="O74" s="1" t="s">
        <v>59</v>
      </c>
      <c r="P74" s="1">
        <v>0</v>
      </c>
      <c r="Q74" s="12">
        <v>79.28</v>
      </c>
      <c r="R74" s="1" t="s">
        <v>67</v>
      </c>
      <c r="S74" s="1" t="s">
        <v>68</v>
      </c>
      <c r="T74" s="6" t="s">
        <v>62</v>
      </c>
      <c r="U74" s="13">
        <v>0.52</v>
      </c>
      <c r="V74" s="12">
        <v>41.23</v>
      </c>
      <c r="W74" s="12">
        <v>0</v>
      </c>
      <c r="X74" s="1" t="s">
        <v>56</v>
      </c>
    </row>
    <row r="75" spans="1:24" x14ac:dyDescent="0.2">
      <c r="A75" s="1" t="s">
        <v>303</v>
      </c>
      <c r="B75" s="1" t="s">
        <v>46</v>
      </c>
      <c r="C75" s="1" t="s">
        <v>89</v>
      </c>
      <c r="D75" s="1" t="s">
        <v>315</v>
      </c>
      <c r="E75" s="1" t="s">
        <v>337</v>
      </c>
      <c r="F75" s="1" t="s">
        <v>338</v>
      </c>
      <c r="G75" s="1" t="s">
        <v>51</v>
      </c>
      <c r="H75" s="1" t="s">
        <v>137</v>
      </c>
      <c r="I75" s="1" t="s">
        <v>318</v>
      </c>
      <c r="J75" s="1" t="s">
        <v>92</v>
      </c>
      <c r="K75" s="1" t="s">
        <v>55</v>
      </c>
      <c r="L75" s="11" t="s">
        <v>56</v>
      </c>
      <c r="M75" s="1" t="s">
        <v>57</v>
      </c>
      <c r="N75" s="1" t="s">
        <v>58</v>
      </c>
      <c r="O75" s="1" t="s">
        <v>59</v>
      </c>
      <c r="P75" s="1">
        <v>0</v>
      </c>
      <c r="Q75" s="12">
        <v>36.08</v>
      </c>
      <c r="R75" s="1" t="s">
        <v>67</v>
      </c>
      <c r="S75" s="1" t="s">
        <v>68</v>
      </c>
      <c r="T75" s="6" t="s">
        <v>62</v>
      </c>
      <c r="U75" s="13">
        <v>0.52</v>
      </c>
      <c r="V75" s="12">
        <v>18.760000000000002</v>
      </c>
      <c r="W75" s="12">
        <v>0</v>
      </c>
      <c r="X75" s="1" t="s">
        <v>56</v>
      </c>
    </row>
    <row r="76" spans="1:24" x14ac:dyDescent="0.2">
      <c r="A76" s="1" t="s">
        <v>303</v>
      </c>
      <c r="B76" s="1" t="s">
        <v>46</v>
      </c>
      <c r="C76" s="1" t="s">
        <v>89</v>
      </c>
      <c r="D76" s="1" t="s">
        <v>315</v>
      </c>
      <c r="E76" s="1" t="s">
        <v>339</v>
      </c>
      <c r="F76" s="1" t="s">
        <v>340</v>
      </c>
      <c r="G76" s="1" t="s">
        <v>51</v>
      </c>
      <c r="H76" s="1" t="s">
        <v>126</v>
      </c>
      <c r="I76" s="1" t="s">
        <v>318</v>
      </c>
      <c r="J76" s="1" t="s">
        <v>341</v>
      </c>
      <c r="K76" s="1" t="s">
        <v>342</v>
      </c>
      <c r="L76" s="11" t="s">
        <v>56</v>
      </c>
      <c r="M76" s="1" t="s">
        <v>57</v>
      </c>
      <c r="N76" s="1" t="s">
        <v>267</v>
      </c>
      <c r="O76" s="1" t="s">
        <v>59</v>
      </c>
      <c r="P76" s="1">
        <v>0</v>
      </c>
      <c r="Q76" s="12">
        <v>38.08</v>
      </c>
      <c r="R76" s="1" t="s">
        <v>67</v>
      </c>
      <c r="S76" s="1" t="s">
        <v>68</v>
      </c>
      <c r="T76" s="6" t="s">
        <v>62</v>
      </c>
      <c r="U76" s="13">
        <v>0.52</v>
      </c>
      <c r="V76" s="12">
        <v>19.8</v>
      </c>
      <c r="W76" s="12">
        <v>0</v>
      </c>
      <c r="X76" s="1" t="s">
        <v>56</v>
      </c>
    </row>
    <row r="77" spans="1:24" x14ac:dyDescent="0.2">
      <c r="A77" s="1" t="s">
        <v>303</v>
      </c>
      <c r="B77" s="1" t="s">
        <v>46</v>
      </c>
      <c r="C77" s="1" t="s">
        <v>89</v>
      </c>
      <c r="D77" s="1" t="s">
        <v>93</v>
      </c>
      <c r="E77" s="1" t="s">
        <v>343</v>
      </c>
      <c r="F77" s="1" t="s">
        <v>344</v>
      </c>
      <c r="G77" s="1" t="s">
        <v>235</v>
      </c>
      <c r="H77" s="1" t="s">
        <v>52</v>
      </c>
      <c r="I77" s="1" t="s">
        <v>345</v>
      </c>
      <c r="J77" s="1" t="s">
        <v>346</v>
      </c>
      <c r="K77" s="1" t="s">
        <v>55</v>
      </c>
      <c r="L77" s="11" t="s">
        <v>56</v>
      </c>
      <c r="M77" s="1" t="s">
        <v>57</v>
      </c>
      <c r="N77" s="1" t="s">
        <v>58</v>
      </c>
      <c r="O77" s="1" t="s">
        <v>59</v>
      </c>
      <c r="P77" s="1">
        <v>0</v>
      </c>
      <c r="Q77" s="12">
        <v>74.209999999999994</v>
      </c>
      <c r="R77" s="1" t="s">
        <v>67</v>
      </c>
      <c r="S77" s="1" t="s">
        <v>68</v>
      </c>
      <c r="T77" s="6" t="s">
        <v>62</v>
      </c>
      <c r="U77" s="13">
        <v>0.52</v>
      </c>
      <c r="V77" s="12">
        <v>38.590000000000003</v>
      </c>
      <c r="W77" s="12">
        <v>0</v>
      </c>
      <c r="X77" s="1" t="s">
        <v>56</v>
      </c>
    </row>
    <row r="78" spans="1:24" x14ac:dyDescent="0.2">
      <c r="A78" s="1" t="s">
        <v>303</v>
      </c>
      <c r="B78" s="1" t="s">
        <v>46</v>
      </c>
      <c r="C78" s="1" t="s">
        <v>89</v>
      </c>
      <c r="D78" s="1" t="s">
        <v>93</v>
      </c>
      <c r="E78" s="1" t="s">
        <v>347</v>
      </c>
      <c r="F78" s="1" t="s">
        <v>348</v>
      </c>
      <c r="G78" s="1" t="s">
        <v>235</v>
      </c>
      <c r="H78" s="1" t="s">
        <v>52</v>
      </c>
      <c r="I78" s="1" t="s">
        <v>345</v>
      </c>
      <c r="J78" s="1" t="s">
        <v>346</v>
      </c>
      <c r="K78" s="1" t="s">
        <v>55</v>
      </c>
      <c r="L78" s="11" t="s">
        <v>56</v>
      </c>
      <c r="M78" s="1" t="s">
        <v>57</v>
      </c>
      <c r="N78" s="1" t="s">
        <v>58</v>
      </c>
      <c r="O78" s="1" t="s">
        <v>59</v>
      </c>
      <c r="P78" s="1">
        <v>0</v>
      </c>
      <c r="Q78" s="12">
        <v>74.209999999999994</v>
      </c>
      <c r="R78" s="1" t="s">
        <v>67</v>
      </c>
      <c r="S78" s="1" t="s">
        <v>68</v>
      </c>
      <c r="T78" s="6" t="s">
        <v>62</v>
      </c>
      <c r="U78" s="13">
        <v>0.52</v>
      </c>
      <c r="V78" s="12">
        <v>38.590000000000003</v>
      </c>
      <c r="W78" s="12">
        <v>0</v>
      </c>
      <c r="X78" s="1" t="s">
        <v>56</v>
      </c>
    </row>
    <row r="79" spans="1:24" x14ac:dyDescent="0.2">
      <c r="A79" s="1" t="s">
        <v>303</v>
      </c>
      <c r="B79" s="1" t="s">
        <v>46</v>
      </c>
      <c r="C79" s="1" t="s">
        <v>89</v>
      </c>
      <c r="D79" s="1" t="s">
        <v>349</v>
      </c>
      <c r="E79" s="1" t="s">
        <v>350</v>
      </c>
      <c r="F79" s="1" t="s">
        <v>351</v>
      </c>
      <c r="G79" s="1" t="s">
        <v>51</v>
      </c>
      <c r="H79" s="1" t="s">
        <v>52</v>
      </c>
      <c r="I79" s="1" t="s">
        <v>345</v>
      </c>
      <c r="J79" s="1" t="s">
        <v>92</v>
      </c>
      <c r="K79" s="1" t="s">
        <v>55</v>
      </c>
      <c r="L79" s="11" t="s">
        <v>56</v>
      </c>
      <c r="M79" s="1" t="s">
        <v>57</v>
      </c>
      <c r="N79" s="1" t="s">
        <v>58</v>
      </c>
      <c r="O79" s="1" t="s">
        <v>59</v>
      </c>
      <c r="P79" s="1">
        <v>0</v>
      </c>
      <c r="Q79" s="12">
        <v>72.33</v>
      </c>
      <c r="R79" s="1" t="s">
        <v>67</v>
      </c>
      <c r="S79" s="1" t="s">
        <v>68</v>
      </c>
      <c r="T79" s="6" t="s">
        <v>62</v>
      </c>
      <c r="U79" s="13">
        <v>0.52</v>
      </c>
      <c r="V79" s="12">
        <v>37.61</v>
      </c>
      <c r="W79" s="12">
        <v>0</v>
      </c>
      <c r="X79" s="1" t="s">
        <v>56</v>
      </c>
    </row>
    <row r="80" spans="1:24" x14ac:dyDescent="0.2">
      <c r="A80" s="1" t="s">
        <v>303</v>
      </c>
      <c r="B80" s="1" t="s">
        <v>46</v>
      </c>
      <c r="C80" s="1" t="s">
        <v>89</v>
      </c>
      <c r="D80" s="1" t="s">
        <v>349</v>
      </c>
      <c r="E80" s="1" t="s">
        <v>352</v>
      </c>
      <c r="F80" s="1" t="s">
        <v>353</v>
      </c>
      <c r="G80" s="1" t="s">
        <v>51</v>
      </c>
      <c r="H80" s="1" t="s">
        <v>52</v>
      </c>
      <c r="I80" s="1" t="s">
        <v>323</v>
      </c>
      <c r="J80" s="1" t="s">
        <v>354</v>
      </c>
      <c r="K80" s="1" t="s">
        <v>55</v>
      </c>
      <c r="L80" s="11" t="s">
        <v>56</v>
      </c>
      <c r="M80" s="1" t="s">
        <v>57</v>
      </c>
      <c r="N80" s="1" t="s">
        <v>58</v>
      </c>
      <c r="O80" s="1" t="s">
        <v>59</v>
      </c>
      <c r="P80" s="1">
        <v>0</v>
      </c>
      <c r="Q80" s="12">
        <v>79.28</v>
      </c>
      <c r="R80" s="1" t="s">
        <v>67</v>
      </c>
      <c r="S80" s="1" t="s">
        <v>68</v>
      </c>
      <c r="T80" s="6" t="s">
        <v>62</v>
      </c>
      <c r="U80" s="13">
        <v>0.52</v>
      </c>
      <c r="V80" s="12">
        <v>41.23</v>
      </c>
      <c r="W80" s="12">
        <v>0</v>
      </c>
      <c r="X80" s="1" t="s">
        <v>56</v>
      </c>
    </row>
    <row r="81" spans="1:24" x14ac:dyDescent="0.2">
      <c r="A81" s="1" t="s">
        <v>303</v>
      </c>
      <c r="B81" s="1" t="s">
        <v>46</v>
      </c>
      <c r="C81" s="1" t="s">
        <v>89</v>
      </c>
      <c r="D81" s="1" t="s">
        <v>349</v>
      </c>
      <c r="E81" s="1" t="s">
        <v>355</v>
      </c>
      <c r="F81" s="1" t="s">
        <v>356</v>
      </c>
      <c r="G81" s="1" t="s">
        <v>51</v>
      </c>
      <c r="H81" s="1" t="s">
        <v>52</v>
      </c>
      <c r="I81" s="1" t="s">
        <v>332</v>
      </c>
      <c r="J81" s="1" t="s">
        <v>346</v>
      </c>
      <c r="K81" s="1" t="s">
        <v>55</v>
      </c>
      <c r="L81" s="11" t="s">
        <v>56</v>
      </c>
      <c r="M81" s="1" t="s">
        <v>57</v>
      </c>
      <c r="N81" s="1" t="s">
        <v>58</v>
      </c>
      <c r="O81" s="1" t="s">
        <v>59</v>
      </c>
      <c r="P81" s="1">
        <v>0</v>
      </c>
      <c r="Q81" s="12">
        <v>63.16</v>
      </c>
      <c r="R81" s="1" t="s">
        <v>67</v>
      </c>
      <c r="S81" s="1" t="s">
        <v>68</v>
      </c>
      <c r="T81" s="6" t="s">
        <v>62</v>
      </c>
      <c r="U81" s="13">
        <v>0.52</v>
      </c>
      <c r="V81" s="12">
        <v>32.840000000000003</v>
      </c>
      <c r="W81" s="12">
        <v>0</v>
      </c>
      <c r="X81" s="1" t="s">
        <v>56</v>
      </c>
    </row>
    <row r="82" spans="1:24" x14ac:dyDescent="0.2">
      <c r="A82" s="1" t="s">
        <v>303</v>
      </c>
      <c r="B82" s="1" t="s">
        <v>46</v>
      </c>
      <c r="C82" s="1" t="s">
        <v>89</v>
      </c>
      <c r="D82" s="1" t="s">
        <v>357</v>
      </c>
      <c r="E82" s="1" t="s">
        <v>358</v>
      </c>
      <c r="F82" s="1" t="s">
        <v>359</v>
      </c>
      <c r="G82" s="1" t="s">
        <v>51</v>
      </c>
      <c r="H82" s="1" t="s">
        <v>52</v>
      </c>
      <c r="I82" s="1" t="s">
        <v>345</v>
      </c>
      <c r="J82" s="1" t="s">
        <v>96</v>
      </c>
      <c r="K82" s="1" t="s">
        <v>55</v>
      </c>
      <c r="L82" s="11" t="s">
        <v>56</v>
      </c>
      <c r="M82" s="1" t="s">
        <v>57</v>
      </c>
      <c r="N82" s="1" t="s">
        <v>58</v>
      </c>
      <c r="O82" s="1" t="s">
        <v>59</v>
      </c>
      <c r="P82" s="1">
        <v>0</v>
      </c>
      <c r="Q82" s="12">
        <v>72.33</v>
      </c>
      <c r="R82" s="1" t="s">
        <v>67</v>
      </c>
      <c r="S82" s="1" t="s">
        <v>68</v>
      </c>
      <c r="T82" s="6" t="s">
        <v>62</v>
      </c>
      <c r="U82" s="13">
        <v>0.52</v>
      </c>
      <c r="V82" s="12">
        <v>37.61</v>
      </c>
      <c r="W82" s="12">
        <v>0</v>
      </c>
      <c r="X82" s="1" t="s">
        <v>56</v>
      </c>
    </row>
    <row r="83" spans="1:24" x14ac:dyDescent="0.2">
      <c r="A83" s="1" t="s">
        <v>303</v>
      </c>
      <c r="B83" s="1" t="s">
        <v>46</v>
      </c>
      <c r="C83" s="1" t="s">
        <v>89</v>
      </c>
      <c r="D83" s="1" t="s">
        <v>360</v>
      </c>
      <c r="E83" s="1" t="s">
        <v>361</v>
      </c>
      <c r="F83" s="1" t="s">
        <v>362</v>
      </c>
      <c r="G83" s="1" t="s">
        <v>248</v>
      </c>
      <c r="H83" s="1" t="s">
        <v>124</v>
      </c>
      <c r="I83" s="1" t="s">
        <v>363</v>
      </c>
      <c r="J83" s="1" t="s">
        <v>96</v>
      </c>
      <c r="K83" s="1" t="s">
        <v>55</v>
      </c>
      <c r="L83" s="11" t="s">
        <v>56</v>
      </c>
      <c r="M83" s="1" t="s">
        <v>57</v>
      </c>
      <c r="N83" s="1" t="s">
        <v>58</v>
      </c>
      <c r="O83" s="1" t="s">
        <v>59</v>
      </c>
      <c r="P83" s="1">
        <v>0</v>
      </c>
      <c r="Q83" s="12">
        <v>241.87</v>
      </c>
      <c r="R83" s="1" t="s">
        <v>67</v>
      </c>
      <c r="S83" s="1" t="s">
        <v>68</v>
      </c>
      <c r="T83" s="6" t="s">
        <v>62</v>
      </c>
      <c r="U83" s="13">
        <v>2.5000000000000001E-2</v>
      </c>
      <c r="V83" s="12">
        <v>6.05</v>
      </c>
      <c r="W83" s="12">
        <v>0</v>
      </c>
      <c r="X83" s="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A476-887D-4B19-AD1A-3C6B930601FF}">
  <dimension ref="A1:U79"/>
  <sheetViews>
    <sheetView tabSelected="1" topLeftCell="C1" workbookViewId="0">
      <selection activeCell="C4" sqref="C4"/>
    </sheetView>
  </sheetViews>
  <sheetFormatPr defaultRowHeight="14.25" x14ac:dyDescent="0.2"/>
  <cols>
    <col min="1" max="1" width="15.5703125" style="11" bestFit="1" customWidth="1"/>
    <col min="2" max="2" width="22.7109375" style="11" bestFit="1" customWidth="1"/>
    <col min="3" max="3" width="14" style="11" customWidth="1"/>
    <col min="4" max="4" width="30" style="11" customWidth="1"/>
    <col min="5" max="5" width="13" style="11" customWidth="1"/>
    <col min="6" max="8" width="15" style="11" customWidth="1"/>
    <col min="9" max="9" width="8" style="11" customWidth="1"/>
    <col min="10" max="10" width="18.42578125" style="11" bestFit="1" customWidth="1"/>
    <col min="11" max="11" width="15.42578125" style="11" bestFit="1" customWidth="1"/>
    <col min="12" max="12" width="20" style="11" customWidth="1"/>
    <col min="13" max="13" width="18" style="11" customWidth="1"/>
    <col min="14" max="15" width="15" style="11" customWidth="1"/>
    <col min="16" max="16" width="12" style="11" customWidth="1"/>
    <col min="17" max="17" width="20" style="11" customWidth="1"/>
    <col min="18" max="18" width="15" style="11" customWidth="1"/>
    <col min="19" max="19" width="40" style="11" customWidth="1"/>
    <col min="20" max="20" width="88.7109375" style="11" bestFit="1" customWidth="1"/>
    <col min="21" max="21" width="35" style="11" bestFit="1" customWidth="1"/>
    <col min="22" max="16384" width="9.140625" style="11"/>
  </cols>
  <sheetData>
    <row r="1" spans="1:21" ht="30" customHeight="1" x14ac:dyDescent="0.2">
      <c r="A1" s="19" t="s">
        <v>24</v>
      </c>
      <c r="B1" s="20" t="s">
        <v>385</v>
      </c>
      <c r="C1" s="19" t="s">
        <v>25</v>
      </c>
      <c r="D1" s="19" t="s">
        <v>26</v>
      </c>
      <c r="E1" s="19" t="s">
        <v>27</v>
      </c>
      <c r="F1" s="19" t="s">
        <v>30</v>
      </c>
      <c r="G1" s="19" t="s">
        <v>31</v>
      </c>
      <c r="H1" s="20" t="s">
        <v>429</v>
      </c>
      <c r="I1" s="19" t="s">
        <v>32</v>
      </c>
      <c r="J1" s="29" t="s">
        <v>411</v>
      </c>
      <c r="K1" s="29" t="s">
        <v>428</v>
      </c>
      <c r="L1" s="19" t="s">
        <v>36</v>
      </c>
      <c r="M1" s="19" t="s">
        <v>37</v>
      </c>
      <c r="N1" s="19" t="s">
        <v>42</v>
      </c>
      <c r="O1" s="19" t="s">
        <v>43</v>
      </c>
      <c r="P1" s="19" t="s">
        <v>38</v>
      </c>
      <c r="Q1" s="19" t="s">
        <v>39</v>
      </c>
      <c r="R1" s="19" t="s">
        <v>41</v>
      </c>
      <c r="S1" s="19" t="s">
        <v>44</v>
      </c>
      <c r="T1" s="20" t="s">
        <v>381</v>
      </c>
      <c r="U1" s="18" t="s">
        <v>427</v>
      </c>
    </row>
    <row r="2" spans="1:21" x14ac:dyDescent="0.2">
      <c r="A2" s="21">
        <v>8325282</v>
      </c>
      <c r="B2" s="21" t="s">
        <v>406</v>
      </c>
      <c r="C2" s="11" t="s">
        <v>327</v>
      </c>
      <c r="D2" s="11" t="s">
        <v>328</v>
      </c>
      <c r="E2" s="11" t="s">
        <v>51</v>
      </c>
      <c r="F2" s="11" t="s">
        <v>329</v>
      </c>
      <c r="G2" s="11" t="s">
        <v>251</v>
      </c>
      <c r="H2" s="24" t="s">
        <v>430</v>
      </c>
      <c r="I2" s="11" t="s">
        <v>56</v>
      </c>
      <c r="J2" s="11">
        <v>34.36</v>
      </c>
      <c r="K2" s="11">
        <v>17.8672</v>
      </c>
      <c r="L2" s="11">
        <v>0</v>
      </c>
      <c r="M2" s="22">
        <v>34.36</v>
      </c>
      <c r="N2" s="22">
        <v>17.87</v>
      </c>
      <c r="O2" s="22">
        <v>0</v>
      </c>
      <c r="P2" s="11" t="s">
        <v>67</v>
      </c>
      <c r="Q2" s="11" t="s">
        <v>68</v>
      </c>
      <c r="R2" s="23">
        <v>0.52</v>
      </c>
      <c r="S2" s="11" t="s">
        <v>56</v>
      </c>
      <c r="T2" s="11" t="s">
        <v>379</v>
      </c>
      <c r="U2" s="11" t="s">
        <v>422</v>
      </c>
    </row>
    <row r="3" spans="1:21" x14ac:dyDescent="0.2">
      <c r="A3" s="21" t="s">
        <v>384</v>
      </c>
      <c r="B3" s="21" t="s">
        <v>408</v>
      </c>
      <c r="C3" s="11" t="s">
        <v>350</v>
      </c>
      <c r="D3" s="11" t="s">
        <v>351</v>
      </c>
      <c r="E3" s="11" t="s">
        <v>51</v>
      </c>
      <c r="F3" s="11" t="s">
        <v>92</v>
      </c>
      <c r="G3" s="11" t="s">
        <v>55</v>
      </c>
      <c r="H3" s="24" t="s">
        <v>430</v>
      </c>
      <c r="I3" s="11" t="s">
        <v>56</v>
      </c>
      <c r="J3" s="11">
        <v>72.33</v>
      </c>
      <c r="K3" s="11">
        <v>37.611600000000003</v>
      </c>
      <c r="L3" s="11">
        <v>0</v>
      </c>
      <c r="M3" s="22">
        <v>72.33</v>
      </c>
      <c r="N3" s="22">
        <v>37.61</v>
      </c>
      <c r="O3" s="22">
        <v>0</v>
      </c>
      <c r="P3" s="11" t="s">
        <v>67</v>
      </c>
      <c r="Q3" s="11" t="s">
        <v>68</v>
      </c>
      <c r="R3" s="23">
        <v>0.52</v>
      </c>
      <c r="S3" s="11" t="s">
        <v>56</v>
      </c>
      <c r="T3" s="11" t="s">
        <v>379</v>
      </c>
      <c r="U3" s="11" t="s">
        <v>425</v>
      </c>
    </row>
    <row r="4" spans="1:21" x14ac:dyDescent="0.2">
      <c r="A4" s="21" t="s">
        <v>384</v>
      </c>
      <c r="B4" s="21" t="s">
        <v>408</v>
      </c>
      <c r="C4" s="11" t="s">
        <v>355</v>
      </c>
      <c r="D4" s="11" t="s">
        <v>356</v>
      </c>
      <c r="E4" s="11" t="s">
        <v>51</v>
      </c>
      <c r="F4" s="11" t="s">
        <v>346</v>
      </c>
      <c r="G4" s="11" t="s">
        <v>55</v>
      </c>
      <c r="H4" s="24" t="s">
        <v>430</v>
      </c>
      <c r="I4" s="11" t="s">
        <v>56</v>
      </c>
      <c r="J4" s="11">
        <v>63.16</v>
      </c>
      <c r="K4" s="11">
        <v>32.843199999999996</v>
      </c>
      <c r="L4" s="11">
        <v>0</v>
      </c>
      <c r="M4" s="22">
        <v>63.16</v>
      </c>
      <c r="N4" s="22">
        <v>32.840000000000003</v>
      </c>
      <c r="O4" s="22">
        <v>0</v>
      </c>
      <c r="P4" s="11" t="s">
        <v>67</v>
      </c>
      <c r="Q4" s="11" t="s">
        <v>68</v>
      </c>
      <c r="R4" s="23">
        <v>0.52</v>
      </c>
      <c r="S4" s="11" t="s">
        <v>56</v>
      </c>
      <c r="T4" s="11" t="s">
        <v>379</v>
      </c>
      <c r="U4" s="11" t="s">
        <v>424</v>
      </c>
    </row>
    <row r="5" spans="1:21" x14ac:dyDescent="0.2">
      <c r="A5" s="21">
        <v>8307933</v>
      </c>
      <c r="B5" s="21" t="s">
        <v>388</v>
      </c>
      <c r="C5" s="11" t="s">
        <v>90</v>
      </c>
      <c r="D5" s="11" t="s">
        <v>91</v>
      </c>
      <c r="E5" s="11" t="s">
        <v>51</v>
      </c>
      <c r="F5" s="11" t="s">
        <v>92</v>
      </c>
      <c r="G5" s="11" t="s">
        <v>55</v>
      </c>
      <c r="H5" s="24" t="s">
        <v>431</v>
      </c>
      <c r="I5" s="11" t="s">
        <v>56</v>
      </c>
      <c r="J5" s="11">
        <v>180.14</v>
      </c>
      <c r="K5" s="11">
        <v>41.432200000000002</v>
      </c>
      <c r="L5" s="11">
        <v>0</v>
      </c>
      <c r="M5" s="22">
        <v>180.14</v>
      </c>
      <c r="N5" s="22">
        <v>41.43</v>
      </c>
      <c r="O5" s="22">
        <v>0</v>
      </c>
      <c r="P5" s="11" t="s">
        <v>67</v>
      </c>
      <c r="Q5" s="11" t="s">
        <v>68</v>
      </c>
      <c r="R5" s="23">
        <v>0.23</v>
      </c>
      <c r="S5" s="11" t="s">
        <v>56</v>
      </c>
      <c r="T5" s="11" t="s">
        <v>364</v>
      </c>
      <c r="U5" s="11" t="s">
        <v>413</v>
      </c>
    </row>
    <row r="6" spans="1:21" x14ac:dyDescent="0.2">
      <c r="A6" s="21">
        <v>16228684</v>
      </c>
      <c r="B6" s="21" t="s">
        <v>390</v>
      </c>
      <c r="C6" s="11" t="s">
        <v>193</v>
      </c>
      <c r="D6" s="11" t="s">
        <v>194</v>
      </c>
      <c r="E6" s="11" t="s">
        <v>51</v>
      </c>
      <c r="F6" s="11" t="s">
        <v>112</v>
      </c>
      <c r="G6" s="11" t="s">
        <v>113</v>
      </c>
      <c r="H6" s="24" t="s">
        <v>431</v>
      </c>
      <c r="I6" s="11">
        <v>65</v>
      </c>
      <c r="J6" s="11">
        <v>128.75</v>
      </c>
      <c r="K6" s="11">
        <v>173.8125</v>
      </c>
      <c r="L6" s="11">
        <v>50</v>
      </c>
      <c r="M6" s="22">
        <v>128.75</v>
      </c>
      <c r="N6" s="22">
        <v>0</v>
      </c>
      <c r="O6" s="22">
        <v>-173.81</v>
      </c>
      <c r="P6" s="11" t="s">
        <v>67</v>
      </c>
      <c r="Q6" s="11" t="s">
        <v>68</v>
      </c>
      <c r="R6" s="23">
        <v>1.35</v>
      </c>
      <c r="S6" s="11" t="s">
        <v>56</v>
      </c>
      <c r="T6" s="11" t="s">
        <v>371</v>
      </c>
      <c r="U6" s="11" t="s">
        <v>414</v>
      </c>
    </row>
    <row r="7" spans="1:21" x14ac:dyDescent="0.2">
      <c r="A7" s="21">
        <v>8977234</v>
      </c>
      <c r="B7" s="21" t="s">
        <v>393</v>
      </c>
      <c r="C7" s="11" t="s">
        <v>227</v>
      </c>
      <c r="D7" s="11" t="s">
        <v>228</v>
      </c>
      <c r="E7" s="11" t="s">
        <v>111</v>
      </c>
      <c r="F7" s="11" t="s">
        <v>131</v>
      </c>
      <c r="G7" s="11" t="s">
        <v>113</v>
      </c>
      <c r="H7" s="24" t="s">
        <v>431</v>
      </c>
      <c r="I7" s="11">
        <v>58</v>
      </c>
      <c r="J7" s="11">
        <v>153.03</v>
      </c>
      <c r="K7" s="11">
        <v>103.29525000000001</v>
      </c>
      <c r="L7" s="11">
        <v>100</v>
      </c>
      <c r="M7" s="22">
        <v>153.03</v>
      </c>
      <c r="N7" s="22">
        <v>0</v>
      </c>
      <c r="O7" s="22">
        <v>-103.3</v>
      </c>
      <c r="P7" s="11" t="s">
        <v>67</v>
      </c>
      <c r="Q7" s="11" t="s">
        <v>68</v>
      </c>
      <c r="R7" s="23">
        <v>0.67500000000000004</v>
      </c>
      <c r="S7" s="11" t="s">
        <v>56</v>
      </c>
      <c r="T7" s="11" t="s">
        <v>367</v>
      </c>
      <c r="U7" s="11" t="s">
        <v>414</v>
      </c>
    </row>
    <row r="8" spans="1:21" x14ac:dyDescent="0.2">
      <c r="A8" s="21">
        <v>8307933</v>
      </c>
      <c r="B8" s="21" t="s">
        <v>388</v>
      </c>
      <c r="C8" s="11" t="s">
        <v>189</v>
      </c>
      <c r="D8" s="11" t="s">
        <v>190</v>
      </c>
      <c r="E8" s="11" t="s">
        <v>119</v>
      </c>
      <c r="F8" s="11" t="s">
        <v>191</v>
      </c>
      <c r="G8" s="11" t="s">
        <v>192</v>
      </c>
      <c r="H8" s="24" t="s">
        <v>431</v>
      </c>
      <c r="I8" s="11">
        <v>62</v>
      </c>
      <c r="J8" s="11">
        <v>299.45999999999998</v>
      </c>
      <c r="K8" s="11">
        <v>202.13550000000001</v>
      </c>
      <c r="L8" s="11">
        <v>150</v>
      </c>
      <c r="M8" s="22">
        <v>299.45999999999998</v>
      </c>
      <c r="N8" s="22">
        <v>0</v>
      </c>
      <c r="O8" s="22">
        <v>-202.14</v>
      </c>
      <c r="P8" s="11" t="s">
        <v>67</v>
      </c>
      <c r="Q8" s="11" t="s">
        <v>68</v>
      </c>
      <c r="R8" s="23">
        <v>0.67500000000000004</v>
      </c>
      <c r="S8" s="11" t="s">
        <v>56</v>
      </c>
      <c r="T8" s="11" t="s">
        <v>367</v>
      </c>
      <c r="U8" s="11" t="s">
        <v>414</v>
      </c>
    </row>
    <row r="9" spans="1:21" x14ac:dyDescent="0.2">
      <c r="A9" s="21">
        <v>19200754</v>
      </c>
      <c r="B9" s="21" t="s">
        <v>387</v>
      </c>
      <c r="C9" s="11" t="s">
        <v>64</v>
      </c>
      <c r="D9" s="11" t="s">
        <v>65</v>
      </c>
      <c r="E9" s="11" t="s">
        <v>51</v>
      </c>
      <c r="F9" s="11" t="s">
        <v>66</v>
      </c>
      <c r="G9" s="11" t="s">
        <v>55</v>
      </c>
      <c r="H9" s="24" t="s">
        <v>430</v>
      </c>
      <c r="I9" s="11" t="s">
        <v>56</v>
      </c>
      <c r="J9" s="11">
        <v>162.27000000000001</v>
      </c>
      <c r="K9" s="11">
        <v>37.322100000000006</v>
      </c>
      <c r="L9" s="11">
        <v>0</v>
      </c>
      <c r="M9" s="22">
        <v>162.27000000000001</v>
      </c>
      <c r="N9" s="22">
        <v>37.32</v>
      </c>
      <c r="O9" s="22">
        <v>0</v>
      </c>
      <c r="P9" s="11" t="s">
        <v>67</v>
      </c>
      <c r="Q9" s="11" t="s">
        <v>68</v>
      </c>
      <c r="R9" s="23">
        <v>0.23</v>
      </c>
      <c r="S9" s="11" t="s">
        <v>56</v>
      </c>
      <c r="T9" s="11" t="s">
        <v>364</v>
      </c>
      <c r="U9" s="11" t="s">
        <v>413</v>
      </c>
    </row>
    <row r="10" spans="1:21" x14ac:dyDescent="0.2">
      <c r="A10" s="21">
        <v>8307933</v>
      </c>
      <c r="B10" s="21" t="s">
        <v>388</v>
      </c>
      <c r="C10" s="11" t="s">
        <v>103</v>
      </c>
      <c r="D10" s="11" t="s">
        <v>104</v>
      </c>
      <c r="E10" s="11" t="s">
        <v>105</v>
      </c>
      <c r="F10" s="11" t="s">
        <v>107</v>
      </c>
      <c r="G10" s="11" t="s">
        <v>108</v>
      </c>
      <c r="H10" s="24" t="s">
        <v>431</v>
      </c>
      <c r="I10" s="11">
        <v>62</v>
      </c>
      <c r="J10" s="11">
        <v>202.13</v>
      </c>
      <c r="K10" s="11">
        <v>136.43774999999999</v>
      </c>
      <c r="L10" s="11">
        <v>100</v>
      </c>
      <c r="M10" s="22">
        <v>202.13</v>
      </c>
      <c r="N10" s="22">
        <v>0</v>
      </c>
      <c r="O10" s="22">
        <v>-136.44</v>
      </c>
      <c r="P10" s="11" t="s">
        <v>67</v>
      </c>
      <c r="Q10" s="11" t="s">
        <v>68</v>
      </c>
      <c r="R10" s="23">
        <v>0.67500000000000004</v>
      </c>
      <c r="S10" s="11" t="s">
        <v>56</v>
      </c>
      <c r="T10" s="11" t="s">
        <v>367</v>
      </c>
      <c r="U10" s="11" t="s">
        <v>414</v>
      </c>
    </row>
    <row r="11" spans="1:21" x14ac:dyDescent="0.2">
      <c r="A11" s="21">
        <v>21561165</v>
      </c>
      <c r="B11" s="21" t="s">
        <v>402</v>
      </c>
      <c r="C11" s="11" t="s">
        <v>246</v>
      </c>
      <c r="D11" s="11" t="s">
        <v>247</v>
      </c>
      <c r="E11" s="11" t="s">
        <v>248</v>
      </c>
      <c r="F11" s="11" t="s">
        <v>250</v>
      </c>
      <c r="G11" s="11" t="s">
        <v>251</v>
      </c>
      <c r="H11" s="24" t="s">
        <v>430</v>
      </c>
      <c r="I11" s="11">
        <v>37</v>
      </c>
      <c r="J11" s="11">
        <v>19.690000000000001</v>
      </c>
      <c r="K11" s="11">
        <v>29.535000000000004</v>
      </c>
      <c r="L11" s="11">
        <v>42</v>
      </c>
      <c r="M11" s="22">
        <v>19.690000000000001</v>
      </c>
      <c r="N11" s="22">
        <v>0</v>
      </c>
      <c r="O11" s="22">
        <v>-29.54</v>
      </c>
      <c r="P11" s="11" t="s">
        <v>67</v>
      </c>
      <c r="Q11" s="11" t="s">
        <v>68</v>
      </c>
      <c r="R11" s="23">
        <v>1.5</v>
      </c>
      <c r="S11" s="11" t="s">
        <v>56</v>
      </c>
      <c r="T11" s="11" t="s">
        <v>369</v>
      </c>
      <c r="U11" s="11" t="s">
        <v>415</v>
      </c>
    </row>
    <row r="12" spans="1:21" x14ac:dyDescent="0.2">
      <c r="A12" s="21">
        <v>8307933</v>
      </c>
      <c r="B12" s="21" t="s">
        <v>388</v>
      </c>
      <c r="C12" s="11" t="s">
        <v>128</v>
      </c>
      <c r="D12" s="11" t="s">
        <v>129</v>
      </c>
      <c r="E12" s="11" t="s">
        <v>130</v>
      </c>
      <c r="F12" s="11" t="s">
        <v>131</v>
      </c>
      <c r="G12" s="11" t="s">
        <v>113</v>
      </c>
      <c r="H12" s="24" t="s">
        <v>431</v>
      </c>
      <c r="I12" s="11">
        <v>63</v>
      </c>
      <c r="J12" s="11">
        <v>192.42</v>
      </c>
      <c r="K12" s="11">
        <v>288.63</v>
      </c>
      <c r="L12" s="11">
        <v>100</v>
      </c>
      <c r="M12" s="22">
        <v>192.42</v>
      </c>
      <c r="N12" s="22">
        <v>0</v>
      </c>
      <c r="O12" s="22">
        <v>-288.63</v>
      </c>
      <c r="P12" s="11" t="s">
        <v>67</v>
      </c>
      <c r="Q12" s="11" t="s">
        <v>68</v>
      </c>
      <c r="R12" s="23">
        <v>1.5</v>
      </c>
      <c r="S12" s="11" t="s">
        <v>56</v>
      </c>
      <c r="T12" s="11" t="s">
        <v>369</v>
      </c>
      <c r="U12" s="11" t="s">
        <v>416</v>
      </c>
    </row>
    <row r="13" spans="1:21" x14ac:dyDescent="0.2">
      <c r="A13" s="21">
        <v>8307933</v>
      </c>
      <c r="B13" s="21" t="s">
        <v>388</v>
      </c>
      <c r="C13" s="11" t="s">
        <v>122</v>
      </c>
      <c r="D13" s="11" t="s">
        <v>123</v>
      </c>
      <c r="E13" s="11" t="s">
        <v>119</v>
      </c>
      <c r="F13" s="11" t="s">
        <v>125</v>
      </c>
      <c r="G13" s="11" t="s">
        <v>55</v>
      </c>
      <c r="H13" s="24" t="s">
        <v>431</v>
      </c>
      <c r="I13" s="11">
        <v>61</v>
      </c>
      <c r="J13" s="11">
        <v>173.17</v>
      </c>
      <c r="K13" s="11">
        <v>116.88974999999999</v>
      </c>
      <c r="L13" s="11">
        <v>90</v>
      </c>
      <c r="M13" s="22">
        <v>173.17</v>
      </c>
      <c r="N13" s="22">
        <v>0</v>
      </c>
      <c r="O13" s="22">
        <v>-116.89</v>
      </c>
      <c r="P13" s="11" t="s">
        <v>67</v>
      </c>
      <c r="Q13" s="11" t="s">
        <v>68</v>
      </c>
      <c r="R13" s="23">
        <v>0.67500000000000004</v>
      </c>
      <c r="S13" s="11" t="s">
        <v>56</v>
      </c>
      <c r="T13" s="11" t="s">
        <v>367</v>
      </c>
      <c r="U13" s="11" t="s">
        <v>414</v>
      </c>
    </row>
    <row r="14" spans="1:21" x14ac:dyDescent="0.2">
      <c r="A14" s="21">
        <v>9213293</v>
      </c>
      <c r="B14" s="21" t="s">
        <v>392</v>
      </c>
      <c r="C14" s="11" t="s">
        <v>195</v>
      </c>
      <c r="D14" s="11" t="s">
        <v>196</v>
      </c>
      <c r="E14" s="11" t="s">
        <v>51</v>
      </c>
      <c r="F14" s="11" t="s">
        <v>162</v>
      </c>
      <c r="G14" s="11" t="s">
        <v>108</v>
      </c>
      <c r="H14" s="24" t="s">
        <v>431</v>
      </c>
      <c r="I14" s="11">
        <v>63</v>
      </c>
      <c r="J14" s="11">
        <v>54.98</v>
      </c>
      <c r="K14" s="11">
        <v>74.222999999999999</v>
      </c>
      <c r="L14" s="11">
        <v>15</v>
      </c>
      <c r="M14" s="22">
        <v>54.98</v>
      </c>
      <c r="N14" s="22">
        <v>0</v>
      </c>
      <c r="O14" s="22">
        <v>-74.22</v>
      </c>
      <c r="P14" s="11" t="s">
        <v>67</v>
      </c>
      <c r="Q14" s="11" t="s">
        <v>68</v>
      </c>
      <c r="R14" s="23">
        <v>1.35</v>
      </c>
      <c r="S14" s="11" t="s">
        <v>56</v>
      </c>
      <c r="T14" s="11" t="s">
        <v>371</v>
      </c>
      <c r="U14" s="11" t="s">
        <v>418</v>
      </c>
    </row>
    <row r="15" spans="1:21" x14ac:dyDescent="0.2">
      <c r="A15" s="21">
        <v>7470776</v>
      </c>
      <c r="B15" s="21" t="s">
        <v>395</v>
      </c>
      <c r="C15" s="11" t="s">
        <v>290</v>
      </c>
      <c r="D15" s="11" t="s">
        <v>291</v>
      </c>
      <c r="E15" s="11" t="s">
        <v>51</v>
      </c>
      <c r="F15" s="11" t="s">
        <v>289</v>
      </c>
      <c r="G15" s="11" t="s">
        <v>157</v>
      </c>
      <c r="H15" s="24" t="s">
        <v>430</v>
      </c>
      <c r="I15" s="11">
        <v>45</v>
      </c>
      <c r="J15" s="11">
        <v>152.19</v>
      </c>
      <c r="K15" s="11">
        <v>228.285</v>
      </c>
      <c r="L15" s="11">
        <v>300</v>
      </c>
      <c r="M15" s="22">
        <v>152.19</v>
      </c>
      <c r="N15" s="22">
        <v>228.29</v>
      </c>
      <c r="O15" s="22">
        <v>0</v>
      </c>
      <c r="P15" s="11" t="s">
        <v>67</v>
      </c>
      <c r="Q15" s="11" t="s">
        <v>68</v>
      </c>
      <c r="R15" s="23">
        <v>1.5</v>
      </c>
      <c r="S15" s="11" t="s">
        <v>56</v>
      </c>
      <c r="T15" s="11" t="s">
        <v>369</v>
      </c>
      <c r="U15" s="11" t="s">
        <v>415</v>
      </c>
    </row>
    <row r="16" spans="1:21" x14ac:dyDescent="0.2">
      <c r="A16" s="21">
        <v>7470776</v>
      </c>
      <c r="B16" s="21" t="s">
        <v>395</v>
      </c>
      <c r="C16" s="11" t="s">
        <v>287</v>
      </c>
      <c r="D16" s="11" t="s">
        <v>288</v>
      </c>
      <c r="E16" s="11" t="s">
        <v>51</v>
      </c>
      <c r="F16" s="11" t="s">
        <v>289</v>
      </c>
      <c r="G16" s="11" t="s">
        <v>157</v>
      </c>
      <c r="H16" s="24" t="s">
        <v>430</v>
      </c>
      <c r="I16" s="11">
        <v>45</v>
      </c>
      <c r="J16" s="11">
        <v>143.11000000000001</v>
      </c>
      <c r="K16" s="11">
        <v>214.66500000000002</v>
      </c>
      <c r="L16" s="11">
        <v>300</v>
      </c>
      <c r="M16" s="22">
        <v>143.11000000000001</v>
      </c>
      <c r="N16" s="22">
        <v>214.67</v>
      </c>
      <c r="O16" s="22">
        <v>0</v>
      </c>
      <c r="P16" s="11" t="s">
        <v>67</v>
      </c>
      <c r="Q16" s="11" t="s">
        <v>68</v>
      </c>
      <c r="R16" s="23">
        <v>1.5</v>
      </c>
      <c r="S16" s="11" t="s">
        <v>56</v>
      </c>
      <c r="T16" s="11" t="s">
        <v>369</v>
      </c>
      <c r="U16" s="11" t="s">
        <v>415</v>
      </c>
    </row>
    <row r="17" spans="1:21" x14ac:dyDescent="0.2">
      <c r="A17" s="21">
        <v>16228684</v>
      </c>
      <c r="B17" s="21" t="s">
        <v>390</v>
      </c>
      <c r="C17" s="11" t="s">
        <v>343</v>
      </c>
      <c r="D17" s="11" t="s">
        <v>344</v>
      </c>
      <c r="E17" s="11" t="s">
        <v>235</v>
      </c>
      <c r="F17" s="11" t="s">
        <v>346</v>
      </c>
      <c r="G17" s="11" t="s">
        <v>55</v>
      </c>
      <c r="H17" s="24" t="s">
        <v>431</v>
      </c>
      <c r="I17" s="11" t="s">
        <v>56</v>
      </c>
      <c r="J17" s="11">
        <v>74.209999999999994</v>
      </c>
      <c r="K17" s="11">
        <v>38.589199999999998</v>
      </c>
      <c r="L17" s="11">
        <v>0</v>
      </c>
      <c r="M17" s="22">
        <v>74.209999999999994</v>
      </c>
      <c r="N17" s="22">
        <v>38.590000000000003</v>
      </c>
      <c r="O17" s="22">
        <v>0</v>
      </c>
      <c r="P17" s="11" t="s">
        <v>67</v>
      </c>
      <c r="Q17" s="11" t="s">
        <v>68</v>
      </c>
      <c r="R17" s="23">
        <v>0.52</v>
      </c>
      <c r="S17" s="11" t="s">
        <v>56</v>
      </c>
      <c r="T17" s="11" t="s">
        <v>379</v>
      </c>
      <c r="U17" s="11" t="s">
        <v>425</v>
      </c>
    </row>
    <row r="18" spans="1:21" x14ac:dyDescent="0.2">
      <c r="A18" s="21">
        <v>16228684</v>
      </c>
      <c r="B18" s="21" t="s">
        <v>390</v>
      </c>
      <c r="C18" s="11" t="s">
        <v>347</v>
      </c>
      <c r="D18" s="11" t="s">
        <v>348</v>
      </c>
      <c r="E18" s="11" t="s">
        <v>235</v>
      </c>
      <c r="F18" s="11" t="s">
        <v>346</v>
      </c>
      <c r="G18" s="11" t="s">
        <v>55</v>
      </c>
      <c r="H18" s="24" t="s">
        <v>431</v>
      </c>
      <c r="I18" s="11" t="s">
        <v>56</v>
      </c>
      <c r="J18" s="11">
        <v>74.209999999999994</v>
      </c>
      <c r="K18" s="11">
        <v>38.589199999999998</v>
      </c>
      <c r="L18" s="11">
        <v>0</v>
      </c>
      <c r="M18" s="22">
        <v>74.209999999999994</v>
      </c>
      <c r="N18" s="22">
        <v>38.590000000000003</v>
      </c>
      <c r="O18" s="22">
        <v>0</v>
      </c>
      <c r="P18" s="11" t="s">
        <v>67</v>
      </c>
      <c r="Q18" s="11" t="s">
        <v>68</v>
      </c>
      <c r="R18" s="23">
        <v>0.52</v>
      </c>
      <c r="S18" s="11" t="s">
        <v>56</v>
      </c>
      <c r="T18" s="11" t="s">
        <v>379</v>
      </c>
      <c r="U18" s="11" t="s">
        <v>425</v>
      </c>
    </row>
    <row r="19" spans="1:21" x14ac:dyDescent="0.2">
      <c r="A19" s="21">
        <v>8307933</v>
      </c>
      <c r="B19" s="21" t="s">
        <v>388</v>
      </c>
      <c r="C19" s="11" t="s">
        <v>277</v>
      </c>
      <c r="D19" s="11" t="s">
        <v>278</v>
      </c>
      <c r="E19" s="11" t="s">
        <v>51</v>
      </c>
      <c r="F19" s="11" t="s">
        <v>279</v>
      </c>
      <c r="G19" s="11" t="s">
        <v>157</v>
      </c>
      <c r="H19" s="24" t="s">
        <v>431</v>
      </c>
      <c r="I19" s="11">
        <v>65</v>
      </c>
      <c r="J19" s="11">
        <v>197.58</v>
      </c>
      <c r="K19" s="11">
        <v>133.36650000000003</v>
      </c>
      <c r="L19" s="11">
        <v>60</v>
      </c>
      <c r="M19" s="22">
        <v>197.58</v>
      </c>
      <c r="N19" s="22">
        <v>133.37</v>
      </c>
      <c r="O19" s="22">
        <v>0</v>
      </c>
      <c r="P19" s="11" t="s">
        <v>67</v>
      </c>
      <c r="Q19" s="11" t="s">
        <v>68</v>
      </c>
      <c r="R19" s="23">
        <v>0.67500000000000004</v>
      </c>
      <c r="S19" s="11" t="s">
        <v>56</v>
      </c>
      <c r="T19" s="11" t="s">
        <v>367</v>
      </c>
      <c r="U19" s="11" t="s">
        <v>414</v>
      </c>
    </row>
    <row r="20" spans="1:21" x14ac:dyDescent="0.2">
      <c r="A20" s="21">
        <v>1706194</v>
      </c>
      <c r="B20" s="21" t="s">
        <v>398</v>
      </c>
      <c r="C20" s="11" t="s">
        <v>198</v>
      </c>
      <c r="D20" s="11" t="s">
        <v>199</v>
      </c>
      <c r="E20" s="11" t="s">
        <v>200</v>
      </c>
      <c r="F20" s="11" t="s">
        <v>131</v>
      </c>
      <c r="G20" s="11" t="s">
        <v>113</v>
      </c>
      <c r="H20" s="24" t="s">
        <v>431</v>
      </c>
      <c r="I20" s="11">
        <v>55</v>
      </c>
      <c r="J20" s="11">
        <v>193.84</v>
      </c>
      <c r="K20" s="11">
        <v>290.76</v>
      </c>
      <c r="L20" s="11">
        <v>200</v>
      </c>
      <c r="M20" s="22">
        <v>193.84</v>
      </c>
      <c r="N20" s="22">
        <v>0</v>
      </c>
      <c r="O20" s="22">
        <v>-290.76</v>
      </c>
      <c r="P20" s="11" t="s">
        <v>67</v>
      </c>
      <c r="Q20" s="11" t="s">
        <v>68</v>
      </c>
      <c r="R20" s="23">
        <v>1.5</v>
      </c>
      <c r="S20" s="11" t="s">
        <v>56</v>
      </c>
      <c r="T20" s="11" t="s">
        <v>369</v>
      </c>
      <c r="U20" s="11" t="s">
        <v>415</v>
      </c>
    </row>
    <row r="21" spans="1:21" x14ac:dyDescent="0.2">
      <c r="A21" s="21">
        <v>1706194</v>
      </c>
      <c r="B21" s="21" t="s">
        <v>398</v>
      </c>
      <c r="C21" s="11" t="s">
        <v>231</v>
      </c>
      <c r="D21" s="11" t="s">
        <v>232</v>
      </c>
      <c r="E21" s="11" t="s">
        <v>200</v>
      </c>
      <c r="F21" s="11" t="s">
        <v>131</v>
      </c>
      <c r="G21" s="11" t="s">
        <v>113</v>
      </c>
      <c r="H21" s="24" t="s">
        <v>431</v>
      </c>
      <c r="I21" s="11">
        <v>55</v>
      </c>
      <c r="J21" s="11">
        <v>182.98</v>
      </c>
      <c r="K21" s="11">
        <v>274.46999999999997</v>
      </c>
      <c r="L21" s="11">
        <v>200</v>
      </c>
      <c r="M21" s="22">
        <v>182.98</v>
      </c>
      <c r="N21" s="22">
        <v>0</v>
      </c>
      <c r="O21" s="22">
        <v>-274.47000000000003</v>
      </c>
      <c r="P21" s="11" t="s">
        <v>67</v>
      </c>
      <c r="Q21" s="11" t="s">
        <v>68</v>
      </c>
      <c r="R21" s="23">
        <v>1.5</v>
      </c>
      <c r="S21" s="11" t="s">
        <v>56</v>
      </c>
      <c r="T21" s="11" t="s">
        <v>369</v>
      </c>
      <c r="U21" s="11" t="s">
        <v>415</v>
      </c>
    </row>
    <row r="22" spans="1:21" x14ac:dyDescent="0.2">
      <c r="A22" s="21">
        <v>8307933</v>
      </c>
      <c r="B22" s="21" t="s">
        <v>388</v>
      </c>
      <c r="C22" s="11" t="s">
        <v>280</v>
      </c>
      <c r="D22" s="11" t="s">
        <v>281</v>
      </c>
      <c r="E22" s="11" t="s">
        <v>254</v>
      </c>
      <c r="F22" s="11" t="s">
        <v>282</v>
      </c>
      <c r="G22" s="11" t="s">
        <v>113</v>
      </c>
      <c r="H22" s="24" t="s">
        <v>431</v>
      </c>
      <c r="I22" s="11">
        <v>67</v>
      </c>
      <c r="J22" s="11">
        <v>208.27</v>
      </c>
      <c r="K22" s="11">
        <v>140.58225000000002</v>
      </c>
      <c r="L22" s="11">
        <v>75</v>
      </c>
      <c r="M22" s="22">
        <v>208.27</v>
      </c>
      <c r="N22" s="22">
        <v>140.58000000000001</v>
      </c>
      <c r="O22" s="22">
        <v>0</v>
      </c>
      <c r="P22" s="11" t="s">
        <v>67</v>
      </c>
      <c r="Q22" s="11" t="s">
        <v>68</v>
      </c>
      <c r="R22" s="23">
        <v>0.67500000000000004</v>
      </c>
      <c r="S22" s="11" t="s">
        <v>56</v>
      </c>
      <c r="T22" s="11" t="s">
        <v>367</v>
      </c>
      <c r="U22" s="11" t="s">
        <v>414</v>
      </c>
    </row>
    <row r="23" spans="1:21" x14ac:dyDescent="0.2">
      <c r="A23" s="21">
        <v>8307933</v>
      </c>
      <c r="B23" s="21" t="s">
        <v>388</v>
      </c>
      <c r="C23" s="11" t="s">
        <v>109</v>
      </c>
      <c r="D23" s="11" t="s">
        <v>110</v>
      </c>
      <c r="E23" s="11" t="s">
        <v>111</v>
      </c>
      <c r="F23" s="11" t="s">
        <v>112</v>
      </c>
      <c r="G23" s="11" t="s">
        <v>113</v>
      </c>
      <c r="H23" s="24" t="s">
        <v>431</v>
      </c>
      <c r="I23" s="11">
        <v>53</v>
      </c>
      <c r="J23" s="11">
        <v>198.23</v>
      </c>
      <c r="K23" s="11">
        <v>133.80525</v>
      </c>
      <c r="L23" s="11">
        <v>125</v>
      </c>
      <c r="M23" s="22">
        <v>198.23</v>
      </c>
      <c r="N23" s="22">
        <v>0</v>
      </c>
      <c r="O23" s="22">
        <v>-133.81</v>
      </c>
      <c r="P23" s="11" t="s">
        <v>67</v>
      </c>
      <c r="Q23" s="11" t="s">
        <v>68</v>
      </c>
      <c r="R23" s="23">
        <v>0.67500000000000004</v>
      </c>
      <c r="S23" s="11" t="s">
        <v>56</v>
      </c>
      <c r="T23" s="11" t="s">
        <v>367</v>
      </c>
      <c r="U23" s="11" t="s">
        <v>414</v>
      </c>
    </row>
    <row r="24" spans="1:21" x14ac:dyDescent="0.2">
      <c r="A24" s="21">
        <v>8307933</v>
      </c>
      <c r="B24" s="21" t="s">
        <v>388</v>
      </c>
      <c r="C24" s="11" t="s">
        <v>273</v>
      </c>
      <c r="D24" s="11" t="s">
        <v>274</v>
      </c>
      <c r="E24" s="11" t="s">
        <v>275</v>
      </c>
      <c r="F24" s="11" t="s">
        <v>276</v>
      </c>
      <c r="G24" s="11" t="s">
        <v>80</v>
      </c>
      <c r="H24" s="24" t="s">
        <v>431</v>
      </c>
      <c r="I24" s="11">
        <v>63</v>
      </c>
      <c r="J24" s="11">
        <v>134.81</v>
      </c>
      <c r="K24" s="11">
        <v>90.996750000000006</v>
      </c>
      <c r="L24" s="11">
        <v>50</v>
      </c>
      <c r="M24" s="22">
        <v>134.81</v>
      </c>
      <c r="N24" s="22">
        <v>91</v>
      </c>
      <c r="O24" s="22">
        <v>0</v>
      </c>
      <c r="P24" s="11" t="s">
        <v>67</v>
      </c>
      <c r="Q24" s="11" t="s">
        <v>68</v>
      </c>
      <c r="R24" s="23">
        <v>0.67500000000000004</v>
      </c>
      <c r="S24" s="11" t="s">
        <v>56</v>
      </c>
      <c r="T24" s="11" t="s">
        <v>367</v>
      </c>
      <c r="U24" s="11" t="s">
        <v>414</v>
      </c>
    </row>
    <row r="25" spans="1:21" x14ac:dyDescent="0.2">
      <c r="A25" s="21">
        <v>371819</v>
      </c>
      <c r="B25" s="21" t="s">
        <v>399</v>
      </c>
      <c r="C25" s="11" t="s">
        <v>210</v>
      </c>
      <c r="D25" s="11" t="s">
        <v>211</v>
      </c>
      <c r="E25" s="11" t="s">
        <v>105</v>
      </c>
      <c r="F25" s="11" t="s">
        <v>212</v>
      </c>
      <c r="G25" s="11" t="s">
        <v>213</v>
      </c>
      <c r="H25" s="24" t="s">
        <v>430</v>
      </c>
      <c r="I25" s="11">
        <v>47</v>
      </c>
      <c r="J25" s="11">
        <v>216.36</v>
      </c>
      <c r="K25" s="11">
        <v>292.08600000000001</v>
      </c>
      <c r="L25" s="11">
        <v>250</v>
      </c>
      <c r="M25" s="22">
        <v>216.36</v>
      </c>
      <c r="N25" s="22">
        <v>292.08999999999997</v>
      </c>
      <c r="O25" s="22">
        <v>0</v>
      </c>
      <c r="P25" s="11" t="s">
        <v>67</v>
      </c>
      <c r="Q25" s="11" t="s">
        <v>68</v>
      </c>
      <c r="R25" s="23">
        <v>1.35</v>
      </c>
      <c r="S25" s="11" t="s">
        <v>56</v>
      </c>
      <c r="T25" s="11" t="s">
        <v>366</v>
      </c>
      <c r="U25" s="11" t="s">
        <v>414</v>
      </c>
    </row>
    <row r="26" spans="1:21" x14ac:dyDescent="0.2">
      <c r="A26" s="21" t="s">
        <v>384</v>
      </c>
      <c r="B26" s="21" t="s">
        <v>408</v>
      </c>
      <c r="C26" s="11" t="s">
        <v>352</v>
      </c>
      <c r="D26" s="11" t="s">
        <v>353</v>
      </c>
      <c r="E26" s="11" t="s">
        <v>51</v>
      </c>
      <c r="F26" s="11" t="s">
        <v>354</v>
      </c>
      <c r="G26" s="11" t="s">
        <v>55</v>
      </c>
      <c r="H26" s="24" t="s">
        <v>430</v>
      </c>
      <c r="I26" s="11" t="s">
        <v>56</v>
      </c>
      <c r="J26" s="11">
        <v>79.28</v>
      </c>
      <c r="K26" s="11">
        <v>41.2256</v>
      </c>
      <c r="L26" s="11">
        <v>0</v>
      </c>
      <c r="M26" s="22">
        <v>79.28</v>
      </c>
      <c r="N26" s="22">
        <v>41.23</v>
      </c>
      <c r="O26" s="22">
        <v>0</v>
      </c>
      <c r="P26" s="11" t="s">
        <v>67</v>
      </c>
      <c r="Q26" s="11" t="s">
        <v>68</v>
      </c>
      <c r="R26" s="23">
        <v>0.52</v>
      </c>
      <c r="S26" s="11" t="s">
        <v>56</v>
      </c>
      <c r="T26" s="11" t="s">
        <v>379</v>
      </c>
      <c r="U26" s="11" t="s">
        <v>423</v>
      </c>
    </row>
    <row r="27" spans="1:21" x14ac:dyDescent="0.2">
      <c r="A27" s="21">
        <v>9213293</v>
      </c>
      <c r="B27" s="21" t="s">
        <v>392</v>
      </c>
      <c r="C27" s="11" t="s">
        <v>159</v>
      </c>
      <c r="D27" s="11" t="s">
        <v>160</v>
      </c>
      <c r="E27" s="11" t="s">
        <v>51</v>
      </c>
      <c r="F27" s="11" t="s">
        <v>162</v>
      </c>
      <c r="G27" s="11" t="s">
        <v>108</v>
      </c>
      <c r="H27" s="24" t="s">
        <v>431</v>
      </c>
      <c r="I27" s="11">
        <v>64</v>
      </c>
      <c r="J27" s="11">
        <v>63.65</v>
      </c>
      <c r="K27" s="11">
        <v>85.927500000000009</v>
      </c>
      <c r="L27" s="11">
        <v>12</v>
      </c>
      <c r="M27" s="22">
        <v>63.65</v>
      </c>
      <c r="N27" s="22">
        <v>0</v>
      </c>
      <c r="O27" s="22">
        <v>-85.93</v>
      </c>
      <c r="P27" s="11" t="s">
        <v>67</v>
      </c>
      <c r="Q27" s="11" t="s">
        <v>68</v>
      </c>
      <c r="R27" s="23">
        <v>1.35</v>
      </c>
      <c r="S27" s="11" t="s">
        <v>56</v>
      </c>
      <c r="T27" s="11" t="s">
        <v>371</v>
      </c>
      <c r="U27" s="11" t="s">
        <v>418</v>
      </c>
    </row>
    <row r="28" spans="1:21" x14ac:dyDescent="0.2">
      <c r="A28" s="21">
        <v>8307933</v>
      </c>
      <c r="B28" s="21" t="s">
        <v>388</v>
      </c>
      <c r="C28" s="11" t="s">
        <v>132</v>
      </c>
      <c r="D28" s="11" t="s">
        <v>133</v>
      </c>
      <c r="E28" s="11" t="s">
        <v>134</v>
      </c>
      <c r="F28" s="11" t="s">
        <v>121</v>
      </c>
      <c r="G28" s="11" t="s">
        <v>113</v>
      </c>
      <c r="H28" s="24" t="s">
        <v>431</v>
      </c>
      <c r="I28" s="11">
        <v>52</v>
      </c>
      <c r="J28" s="11">
        <v>194.02</v>
      </c>
      <c r="K28" s="11">
        <v>291.03000000000003</v>
      </c>
      <c r="L28" s="11">
        <v>250</v>
      </c>
      <c r="M28" s="22">
        <v>194.02</v>
      </c>
      <c r="N28" s="22">
        <v>0</v>
      </c>
      <c r="O28" s="22">
        <v>-291.02999999999997</v>
      </c>
      <c r="P28" s="11" t="s">
        <v>67</v>
      </c>
      <c r="Q28" s="11" t="s">
        <v>68</v>
      </c>
      <c r="R28" s="23">
        <v>1.5</v>
      </c>
      <c r="S28" s="11" t="s">
        <v>56</v>
      </c>
      <c r="T28" s="11" t="s">
        <v>369</v>
      </c>
      <c r="U28" s="11" t="s">
        <v>415</v>
      </c>
    </row>
    <row r="29" spans="1:21" x14ac:dyDescent="0.2">
      <c r="A29" s="21">
        <v>8307933</v>
      </c>
      <c r="B29" s="21" t="s">
        <v>388</v>
      </c>
      <c r="C29" s="11" t="s">
        <v>117</v>
      </c>
      <c r="D29" s="11" t="s">
        <v>118</v>
      </c>
      <c r="E29" s="11" t="s">
        <v>119</v>
      </c>
      <c r="F29" s="11" t="s">
        <v>121</v>
      </c>
      <c r="G29" s="11" t="s">
        <v>113</v>
      </c>
      <c r="H29" s="24" t="s">
        <v>431</v>
      </c>
      <c r="I29" s="11">
        <v>63</v>
      </c>
      <c r="J29" s="11">
        <v>192.42</v>
      </c>
      <c r="K29" s="11">
        <v>288.63</v>
      </c>
      <c r="L29" s="11">
        <v>100</v>
      </c>
      <c r="M29" s="22">
        <v>192.42</v>
      </c>
      <c r="N29" s="22">
        <v>0</v>
      </c>
      <c r="O29" s="22">
        <v>-288.63</v>
      </c>
      <c r="P29" s="11" t="s">
        <v>67</v>
      </c>
      <c r="Q29" s="11" t="s">
        <v>68</v>
      </c>
      <c r="R29" s="23">
        <v>1.5</v>
      </c>
      <c r="S29" s="11" t="s">
        <v>56</v>
      </c>
      <c r="T29" s="11" t="s">
        <v>369</v>
      </c>
      <c r="U29" s="11" t="s">
        <v>415</v>
      </c>
    </row>
    <row r="30" spans="1:21" x14ac:dyDescent="0.2">
      <c r="A30" s="21">
        <v>8325282</v>
      </c>
      <c r="B30" s="21" t="s">
        <v>406</v>
      </c>
      <c r="C30" s="11" t="s">
        <v>339</v>
      </c>
      <c r="D30" s="11" t="s">
        <v>340</v>
      </c>
      <c r="E30" s="11" t="s">
        <v>51</v>
      </c>
      <c r="F30" s="11" t="s">
        <v>341</v>
      </c>
      <c r="G30" s="11" t="s">
        <v>342</v>
      </c>
      <c r="H30" s="24" t="s">
        <v>430</v>
      </c>
      <c r="I30" s="11" t="s">
        <v>56</v>
      </c>
      <c r="J30" s="11">
        <v>38.08</v>
      </c>
      <c r="K30" s="11">
        <v>19.801600000000001</v>
      </c>
      <c r="L30" s="11">
        <v>0</v>
      </c>
      <c r="M30" s="22">
        <v>38.08</v>
      </c>
      <c r="N30" s="22">
        <v>19.8</v>
      </c>
      <c r="O30" s="22">
        <v>0</v>
      </c>
      <c r="P30" s="11" t="s">
        <v>67</v>
      </c>
      <c r="Q30" s="11" t="s">
        <v>68</v>
      </c>
      <c r="R30" s="23">
        <v>0.52</v>
      </c>
      <c r="S30" s="11" t="s">
        <v>56</v>
      </c>
      <c r="T30" s="11" t="s">
        <v>379</v>
      </c>
      <c r="U30" s="11" t="s">
        <v>422</v>
      </c>
    </row>
    <row r="31" spans="1:21" x14ac:dyDescent="0.2">
      <c r="A31" s="21">
        <v>20999157</v>
      </c>
      <c r="B31" s="21" t="s">
        <v>397</v>
      </c>
      <c r="C31" s="11" t="s">
        <v>185</v>
      </c>
      <c r="D31" s="11" t="s">
        <v>186</v>
      </c>
      <c r="E31" s="11" t="s">
        <v>51</v>
      </c>
      <c r="F31" s="11" t="s">
        <v>187</v>
      </c>
      <c r="G31" s="11" t="s">
        <v>188</v>
      </c>
      <c r="H31" s="24" t="s">
        <v>430</v>
      </c>
      <c r="I31" s="11">
        <v>47</v>
      </c>
      <c r="J31" s="11">
        <v>100.06</v>
      </c>
      <c r="K31" s="11">
        <v>135.08100000000002</v>
      </c>
      <c r="L31" s="11">
        <v>110</v>
      </c>
      <c r="M31" s="22">
        <v>100.06</v>
      </c>
      <c r="N31" s="22">
        <v>0</v>
      </c>
      <c r="O31" s="22">
        <v>-135.08000000000001</v>
      </c>
      <c r="P31" s="11" t="s">
        <v>67</v>
      </c>
      <c r="Q31" s="11" t="s">
        <v>68</v>
      </c>
      <c r="R31" s="23">
        <v>1.35</v>
      </c>
      <c r="S31" s="11" t="s">
        <v>56</v>
      </c>
      <c r="T31" s="11" t="s">
        <v>366</v>
      </c>
      <c r="U31" s="11" t="s">
        <v>414</v>
      </c>
    </row>
    <row r="32" spans="1:21" x14ac:dyDescent="0.2">
      <c r="A32" s="21">
        <v>8325282</v>
      </c>
      <c r="B32" s="21" t="s">
        <v>406</v>
      </c>
      <c r="C32" s="11" t="s">
        <v>337</v>
      </c>
      <c r="D32" s="11" t="s">
        <v>338</v>
      </c>
      <c r="E32" s="11" t="s">
        <v>51</v>
      </c>
      <c r="F32" s="11" t="s">
        <v>92</v>
      </c>
      <c r="G32" s="11" t="s">
        <v>55</v>
      </c>
      <c r="H32" s="24" t="s">
        <v>430</v>
      </c>
      <c r="I32" s="11" t="s">
        <v>56</v>
      </c>
      <c r="J32" s="11">
        <v>36.08</v>
      </c>
      <c r="K32" s="11">
        <v>18.761600000000001</v>
      </c>
      <c r="L32" s="11">
        <v>0</v>
      </c>
      <c r="M32" s="22">
        <v>36.08</v>
      </c>
      <c r="N32" s="22">
        <v>18.760000000000002</v>
      </c>
      <c r="O32" s="22">
        <v>0</v>
      </c>
      <c r="P32" s="11" t="s">
        <v>67</v>
      </c>
      <c r="Q32" s="11" t="s">
        <v>68</v>
      </c>
      <c r="R32" s="23">
        <v>0.52</v>
      </c>
      <c r="S32" s="11" t="s">
        <v>56</v>
      </c>
      <c r="T32" s="11" t="s">
        <v>379</v>
      </c>
      <c r="U32" s="11" t="s">
        <v>422</v>
      </c>
    </row>
    <row r="33" spans="1:21" x14ac:dyDescent="0.2">
      <c r="A33" s="21">
        <v>21561165</v>
      </c>
      <c r="B33" s="21" t="s">
        <v>402</v>
      </c>
      <c r="C33" s="11" t="s">
        <v>252</v>
      </c>
      <c r="D33" s="11" t="s">
        <v>253</v>
      </c>
      <c r="E33" s="11" t="s">
        <v>254</v>
      </c>
      <c r="F33" s="11" t="s">
        <v>255</v>
      </c>
      <c r="G33" s="11" t="s">
        <v>157</v>
      </c>
      <c r="H33" s="24" t="s">
        <v>430</v>
      </c>
      <c r="I33" s="11">
        <v>55</v>
      </c>
      <c r="J33" s="11">
        <v>90.66</v>
      </c>
      <c r="K33" s="11">
        <v>122.39100000000001</v>
      </c>
      <c r="L33" s="11">
        <v>50</v>
      </c>
      <c r="M33" s="22">
        <v>90.66</v>
      </c>
      <c r="N33" s="22">
        <v>122.39</v>
      </c>
      <c r="O33" s="22">
        <v>0</v>
      </c>
      <c r="P33" s="11" t="s">
        <v>67</v>
      </c>
      <c r="Q33" s="11" t="s">
        <v>68</v>
      </c>
      <c r="R33" s="23">
        <v>1.35</v>
      </c>
      <c r="S33" s="11" t="s">
        <v>56</v>
      </c>
      <c r="T33" s="11" t="s">
        <v>368</v>
      </c>
      <c r="U33" s="11" t="s">
        <v>414</v>
      </c>
    </row>
    <row r="34" spans="1:21" x14ac:dyDescent="0.2">
      <c r="A34" s="21">
        <v>16228684</v>
      </c>
      <c r="B34" s="21" t="s">
        <v>390</v>
      </c>
      <c r="C34" s="11" t="s">
        <v>94</v>
      </c>
      <c r="D34" s="11" t="s">
        <v>95</v>
      </c>
      <c r="E34" s="11" t="s">
        <v>73</v>
      </c>
      <c r="F34" s="11" t="s">
        <v>96</v>
      </c>
      <c r="G34" s="11" t="s">
        <v>55</v>
      </c>
      <c r="H34" s="24" t="s">
        <v>431</v>
      </c>
      <c r="I34" s="11" t="s">
        <v>56</v>
      </c>
      <c r="J34" s="11">
        <v>155.84</v>
      </c>
      <c r="K34" s="11">
        <v>37.401600000000002</v>
      </c>
      <c r="L34" s="11">
        <v>0</v>
      </c>
      <c r="M34" s="22">
        <v>155.84</v>
      </c>
      <c r="N34" s="22">
        <v>37.4</v>
      </c>
      <c r="O34" s="22">
        <v>0</v>
      </c>
      <c r="P34" s="11" t="s">
        <v>67</v>
      </c>
      <c r="Q34" s="11" t="s">
        <v>68</v>
      </c>
      <c r="R34" s="23">
        <v>0.24</v>
      </c>
      <c r="S34" s="11" t="s">
        <v>56</v>
      </c>
      <c r="T34" s="11" t="s">
        <v>365</v>
      </c>
      <c r="U34" s="11" t="s">
        <v>413</v>
      </c>
    </row>
    <row r="35" spans="1:21" x14ac:dyDescent="0.2">
      <c r="A35" s="21">
        <v>5442438</v>
      </c>
      <c r="B35" s="21" t="s">
        <v>410</v>
      </c>
      <c r="C35" s="11" t="s">
        <v>361</v>
      </c>
      <c r="D35" s="11" t="s">
        <v>362</v>
      </c>
      <c r="E35" s="11" t="s">
        <v>248</v>
      </c>
      <c r="F35" s="11" t="s">
        <v>96</v>
      </c>
      <c r="G35" s="11" t="s">
        <v>55</v>
      </c>
      <c r="H35" s="24" t="s">
        <v>431</v>
      </c>
      <c r="I35" s="11" t="s">
        <v>56</v>
      </c>
      <c r="J35" s="11">
        <v>241.87</v>
      </c>
      <c r="K35" s="11">
        <v>6.0467500000000003</v>
      </c>
      <c r="L35" s="11">
        <v>0</v>
      </c>
      <c r="M35" s="22">
        <v>241.87</v>
      </c>
      <c r="N35" s="22">
        <v>6.05</v>
      </c>
      <c r="O35" s="22">
        <v>0</v>
      </c>
      <c r="P35" s="11" t="s">
        <v>67</v>
      </c>
      <c r="Q35" s="11" t="s">
        <v>68</v>
      </c>
      <c r="R35" s="23">
        <v>2.5000000000000001E-2</v>
      </c>
      <c r="S35" s="11" t="s">
        <v>56</v>
      </c>
      <c r="T35" s="11" t="s">
        <v>380</v>
      </c>
      <c r="U35" s="11" t="s">
        <v>426</v>
      </c>
    </row>
    <row r="36" spans="1:21" x14ac:dyDescent="0.2">
      <c r="A36" s="21">
        <v>19681796</v>
      </c>
      <c r="B36" s="21" t="s">
        <v>409</v>
      </c>
      <c r="C36" s="11" t="s">
        <v>358</v>
      </c>
      <c r="D36" s="11" t="s">
        <v>359</v>
      </c>
      <c r="E36" s="11" t="s">
        <v>51</v>
      </c>
      <c r="F36" s="11" t="s">
        <v>96</v>
      </c>
      <c r="G36" s="11" t="s">
        <v>55</v>
      </c>
      <c r="H36" s="24" t="s">
        <v>430</v>
      </c>
      <c r="I36" s="11" t="s">
        <v>56</v>
      </c>
      <c r="J36" s="11">
        <v>72.33</v>
      </c>
      <c r="K36" s="11">
        <v>37.611600000000003</v>
      </c>
      <c r="L36" s="11">
        <v>0</v>
      </c>
      <c r="M36" s="22">
        <v>72.33</v>
      </c>
      <c r="N36" s="22">
        <v>37.61</v>
      </c>
      <c r="O36" s="22">
        <v>0</v>
      </c>
      <c r="P36" s="11" t="s">
        <v>67</v>
      </c>
      <c r="Q36" s="11" t="s">
        <v>68</v>
      </c>
      <c r="R36" s="23">
        <v>0.52</v>
      </c>
      <c r="S36" s="11" t="s">
        <v>56</v>
      </c>
      <c r="T36" s="11" t="s">
        <v>379</v>
      </c>
      <c r="U36" s="11" t="s">
        <v>425</v>
      </c>
    </row>
    <row r="37" spans="1:21" x14ac:dyDescent="0.2">
      <c r="A37" s="21">
        <v>8307933</v>
      </c>
      <c r="B37" s="21" t="s">
        <v>388</v>
      </c>
      <c r="C37" s="11" t="s">
        <v>301</v>
      </c>
      <c r="D37" s="11" t="s">
        <v>302</v>
      </c>
      <c r="E37" s="11" t="s">
        <v>275</v>
      </c>
      <c r="F37" s="11" t="s">
        <v>300</v>
      </c>
      <c r="G37" s="11" t="s">
        <v>113</v>
      </c>
      <c r="H37" s="24" t="s">
        <v>431</v>
      </c>
      <c r="I37" s="11">
        <v>59</v>
      </c>
      <c r="J37" s="11">
        <v>160.63</v>
      </c>
      <c r="K37" s="11">
        <v>108.42525000000001</v>
      </c>
      <c r="L37" s="11">
        <v>75</v>
      </c>
      <c r="M37" s="22">
        <v>160.63</v>
      </c>
      <c r="N37" s="22">
        <v>108.43</v>
      </c>
      <c r="O37" s="22">
        <v>0</v>
      </c>
      <c r="P37" s="11" t="s">
        <v>67</v>
      </c>
      <c r="Q37" s="11" t="s">
        <v>68</v>
      </c>
      <c r="R37" s="23">
        <v>0.67500000000000004</v>
      </c>
      <c r="S37" s="11" t="s">
        <v>56</v>
      </c>
      <c r="T37" s="11" t="s">
        <v>367</v>
      </c>
      <c r="U37" s="11" t="s">
        <v>414</v>
      </c>
    </row>
    <row r="38" spans="1:21" x14ac:dyDescent="0.2">
      <c r="A38" s="21">
        <v>8307933</v>
      </c>
      <c r="B38" s="21" t="s">
        <v>388</v>
      </c>
      <c r="C38" s="11" t="s">
        <v>298</v>
      </c>
      <c r="D38" s="11" t="s">
        <v>299</v>
      </c>
      <c r="E38" s="11" t="s">
        <v>275</v>
      </c>
      <c r="F38" s="11" t="s">
        <v>300</v>
      </c>
      <c r="G38" s="11" t="s">
        <v>113</v>
      </c>
      <c r="H38" s="24" t="s">
        <v>431</v>
      </c>
      <c r="I38" s="11">
        <v>59</v>
      </c>
      <c r="J38" s="11">
        <v>160.63</v>
      </c>
      <c r="K38" s="11">
        <v>108.42525000000001</v>
      </c>
      <c r="L38" s="11">
        <v>75</v>
      </c>
      <c r="M38" s="22">
        <v>160.63</v>
      </c>
      <c r="N38" s="22">
        <v>108.43</v>
      </c>
      <c r="O38" s="22">
        <v>0</v>
      </c>
      <c r="P38" s="11" t="s">
        <v>67</v>
      </c>
      <c r="Q38" s="11" t="s">
        <v>68</v>
      </c>
      <c r="R38" s="23">
        <v>0.67500000000000004</v>
      </c>
      <c r="S38" s="11" t="s">
        <v>56</v>
      </c>
      <c r="T38" s="11" t="s">
        <v>367</v>
      </c>
      <c r="U38" s="11" t="s">
        <v>414</v>
      </c>
    </row>
    <row r="39" spans="1:21" x14ac:dyDescent="0.2">
      <c r="A39" s="21">
        <v>8244481</v>
      </c>
      <c r="B39" s="21" t="s">
        <v>400</v>
      </c>
      <c r="C39" s="11" t="s">
        <v>219</v>
      </c>
      <c r="D39" s="11" t="s">
        <v>220</v>
      </c>
      <c r="E39" s="11" t="s">
        <v>51</v>
      </c>
      <c r="F39" s="11" t="s">
        <v>221</v>
      </c>
      <c r="G39" s="11" t="s">
        <v>222</v>
      </c>
      <c r="H39" s="24" t="s">
        <v>430</v>
      </c>
      <c r="I39" s="11">
        <v>0</v>
      </c>
      <c r="J39" s="11">
        <v>19.04</v>
      </c>
      <c r="K39" s="11">
        <v>21.895999999999997</v>
      </c>
      <c r="L39" s="11">
        <v>50</v>
      </c>
      <c r="M39" s="22">
        <v>19.04</v>
      </c>
      <c r="N39" s="22">
        <v>0</v>
      </c>
      <c r="O39" s="22">
        <v>-21.9</v>
      </c>
      <c r="P39" s="11" t="s">
        <v>67</v>
      </c>
      <c r="Q39" s="11" t="s">
        <v>68</v>
      </c>
      <c r="R39" s="23">
        <v>1.1499999999999999</v>
      </c>
      <c r="S39" s="11" t="s">
        <v>56</v>
      </c>
      <c r="T39" s="11" t="s">
        <v>374</v>
      </c>
      <c r="U39" s="11" t="s">
        <v>419</v>
      </c>
    </row>
    <row r="40" spans="1:21" x14ac:dyDescent="0.2">
      <c r="A40" s="21">
        <v>8244481</v>
      </c>
      <c r="B40" s="21" t="s">
        <v>400</v>
      </c>
      <c r="C40" s="11" t="s">
        <v>215</v>
      </c>
      <c r="D40" s="11" t="s">
        <v>216</v>
      </c>
      <c r="E40" s="11" t="s">
        <v>51</v>
      </c>
      <c r="F40" s="11" t="s">
        <v>217</v>
      </c>
      <c r="G40" s="11" t="s">
        <v>218</v>
      </c>
      <c r="H40" s="24" t="s">
        <v>430</v>
      </c>
      <c r="I40" s="11">
        <v>0</v>
      </c>
      <c r="J40" s="11">
        <v>19.04</v>
      </c>
      <c r="K40" s="11">
        <v>21.895999999999997</v>
      </c>
      <c r="L40" s="11">
        <v>50</v>
      </c>
      <c r="M40" s="22">
        <v>19.04</v>
      </c>
      <c r="N40" s="22">
        <v>0</v>
      </c>
      <c r="O40" s="22">
        <v>-21.9</v>
      </c>
      <c r="P40" s="11" t="s">
        <v>67</v>
      </c>
      <c r="Q40" s="11" t="s">
        <v>68</v>
      </c>
      <c r="R40" s="23">
        <v>1.1499999999999999</v>
      </c>
      <c r="S40" s="11" t="s">
        <v>56</v>
      </c>
      <c r="T40" s="11" t="s">
        <v>374</v>
      </c>
      <c r="U40" s="11" t="s">
        <v>419</v>
      </c>
    </row>
    <row r="41" spans="1:21" x14ac:dyDescent="0.2">
      <c r="A41" s="21">
        <v>21104854</v>
      </c>
      <c r="B41" s="21" t="s">
        <v>401</v>
      </c>
      <c r="C41" s="11" t="s">
        <v>240</v>
      </c>
      <c r="D41" s="11" t="s">
        <v>241</v>
      </c>
      <c r="E41" s="11" t="s">
        <v>51</v>
      </c>
      <c r="F41" s="11" t="s">
        <v>243</v>
      </c>
      <c r="G41" s="11" t="s">
        <v>244</v>
      </c>
      <c r="H41" s="24" t="s">
        <v>430</v>
      </c>
      <c r="I41" s="11">
        <v>59</v>
      </c>
      <c r="J41" s="11">
        <v>342.93</v>
      </c>
      <c r="K41" s="11">
        <v>432.09180000000003</v>
      </c>
      <c r="L41" s="11">
        <v>500</v>
      </c>
      <c r="M41" s="22">
        <v>337.55</v>
      </c>
      <c r="N41" s="22">
        <v>0</v>
      </c>
      <c r="O41" s="22">
        <v>-425.31</v>
      </c>
      <c r="P41" s="11" t="s">
        <v>67</v>
      </c>
      <c r="Q41" s="11" t="s">
        <v>68</v>
      </c>
      <c r="R41" s="23">
        <v>1.26</v>
      </c>
      <c r="S41" s="11" t="s">
        <v>56</v>
      </c>
      <c r="T41" s="11" t="s">
        <v>376</v>
      </c>
      <c r="U41" s="11" t="s">
        <v>420</v>
      </c>
    </row>
    <row r="42" spans="1:21" x14ac:dyDescent="0.2">
      <c r="A42" s="21">
        <v>1706194</v>
      </c>
      <c r="B42" s="21" t="s">
        <v>398</v>
      </c>
      <c r="C42" s="11" t="s">
        <v>233</v>
      </c>
      <c r="D42" s="11" t="s">
        <v>234</v>
      </c>
      <c r="E42" s="11" t="s">
        <v>235</v>
      </c>
      <c r="F42" s="11" t="s">
        <v>131</v>
      </c>
      <c r="G42" s="11" t="s">
        <v>113</v>
      </c>
      <c r="H42" s="24" t="s">
        <v>431</v>
      </c>
      <c r="I42" s="11">
        <v>58</v>
      </c>
      <c r="J42" s="11">
        <v>141.96</v>
      </c>
      <c r="K42" s="11">
        <v>212.94</v>
      </c>
      <c r="L42" s="11">
        <v>125</v>
      </c>
      <c r="M42" s="22">
        <v>141.96</v>
      </c>
      <c r="N42" s="22">
        <v>0</v>
      </c>
      <c r="O42" s="22">
        <v>-212.94</v>
      </c>
      <c r="P42" s="11" t="s">
        <v>67</v>
      </c>
      <c r="Q42" s="11" t="s">
        <v>68</v>
      </c>
      <c r="R42" s="23">
        <v>1.5</v>
      </c>
      <c r="S42" s="11" t="s">
        <v>56</v>
      </c>
      <c r="T42" s="11" t="s">
        <v>369</v>
      </c>
      <c r="U42" s="11" t="s">
        <v>416</v>
      </c>
    </row>
    <row r="43" spans="1:21" x14ac:dyDescent="0.2">
      <c r="A43" s="21">
        <v>7470776</v>
      </c>
      <c r="B43" s="21" t="s">
        <v>395</v>
      </c>
      <c r="C43" s="11" t="s">
        <v>175</v>
      </c>
      <c r="D43" s="11" t="s">
        <v>176</v>
      </c>
      <c r="E43" s="11" t="s">
        <v>51</v>
      </c>
      <c r="F43" s="11" t="s">
        <v>178</v>
      </c>
      <c r="G43" s="11" t="s">
        <v>152</v>
      </c>
      <c r="H43" s="24" t="s">
        <v>430</v>
      </c>
      <c r="I43" s="11">
        <v>17</v>
      </c>
      <c r="J43" s="11">
        <v>34.75</v>
      </c>
      <c r="K43" s="11">
        <v>39.962499999999999</v>
      </c>
      <c r="L43" s="11">
        <v>50</v>
      </c>
      <c r="M43" s="22">
        <v>34.75</v>
      </c>
      <c r="N43" s="22">
        <v>0</v>
      </c>
      <c r="O43" s="22">
        <v>-39.96</v>
      </c>
      <c r="P43" s="11" t="s">
        <v>67</v>
      </c>
      <c r="Q43" s="11" t="s">
        <v>68</v>
      </c>
      <c r="R43" s="23">
        <v>1.1499999999999999</v>
      </c>
      <c r="S43" s="11" t="s">
        <v>56</v>
      </c>
      <c r="T43" s="11" t="s">
        <v>373</v>
      </c>
      <c r="U43" s="11" t="s">
        <v>419</v>
      </c>
    </row>
    <row r="44" spans="1:21" x14ac:dyDescent="0.2">
      <c r="A44" s="21" t="s">
        <v>382</v>
      </c>
      <c r="B44" s="21" t="s">
        <v>394</v>
      </c>
      <c r="C44" s="11" t="s">
        <v>169</v>
      </c>
      <c r="D44" s="11" t="s">
        <v>170</v>
      </c>
      <c r="E44" s="11" t="s">
        <v>171</v>
      </c>
      <c r="F44" s="11" t="s">
        <v>172</v>
      </c>
      <c r="G44" s="11" t="s">
        <v>173</v>
      </c>
      <c r="H44" s="24" t="s">
        <v>431</v>
      </c>
      <c r="I44" s="11">
        <v>65</v>
      </c>
      <c r="J44" s="11">
        <v>59.91</v>
      </c>
      <c r="K44" s="11">
        <v>80.878500000000003</v>
      </c>
      <c r="L44" s="11">
        <v>15</v>
      </c>
      <c r="M44" s="22">
        <v>59.91</v>
      </c>
      <c r="N44" s="22">
        <v>0</v>
      </c>
      <c r="O44" s="22">
        <v>-80.88</v>
      </c>
      <c r="P44" s="11" t="s">
        <v>67</v>
      </c>
      <c r="Q44" s="11" t="s">
        <v>68</v>
      </c>
      <c r="R44" s="23">
        <v>1.35</v>
      </c>
      <c r="S44" s="11" t="s">
        <v>56</v>
      </c>
      <c r="T44" s="11" t="s">
        <v>372</v>
      </c>
      <c r="U44" s="11" t="s">
        <v>418</v>
      </c>
    </row>
    <row r="45" spans="1:21" x14ac:dyDescent="0.2">
      <c r="A45" s="21">
        <v>371819</v>
      </c>
      <c r="B45" s="21" t="s">
        <v>399</v>
      </c>
      <c r="C45" s="11" t="s">
        <v>206</v>
      </c>
      <c r="D45" s="11" t="s">
        <v>207</v>
      </c>
      <c r="E45" s="11" t="s">
        <v>208</v>
      </c>
      <c r="F45" s="11" t="s">
        <v>209</v>
      </c>
      <c r="G45" s="11" t="s">
        <v>55</v>
      </c>
      <c r="H45" s="24" t="s">
        <v>430</v>
      </c>
      <c r="I45" s="11">
        <v>81</v>
      </c>
      <c r="J45" s="11">
        <v>106.21</v>
      </c>
      <c r="K45" s="11">
        <v>100.89949999999999</v>
      </c>
      <c r="L45" s="11">
        <v>10</v>
      </c>
      <c r="M45" s="22">
        <v>106.21</v>
      </c>
      <c r="N45" s="22">
        <v>0</v>
      </c>
      <c r="O45" s="22">
        <v>-100.9</v>
      </c>
      <c r="P45" s="11" t="s">
        <v>67</v>
      </c>
      <c r="Q45" s="11" t="s">
        <v>68</v>
      </c>
      <c r="R45" s="23">
        <v>0.95</v>
      </c>
      <c r="S45" s="11" t="s">
        <v>56</v>
      </c>
      <c r="T45" s="11" t="s">
        <v>375</v>
      </c>
      <c r="U45" s="11" t="s">
        <v>418</v>
      </c>
    </row>
    <row r="46" spans="1:21" x14ac:dyDescent="0.2">
      <c r="A46" s="21">
        <v>1706194</v>
      </c>
      <c r="B46" s="21" t="s">
        <v>398</v>
      </c>
      <c r="C46" s="11" t="s">
        <v>236</v>
      </c>
      <c r="D46" s="11" t="s">
        <v>237</v>
      </c>
      <c r="E46" s="11" t="s">
        <v>105</v>
      </c>
      <c r="F46" s="11" t="s">
        <v>238</v>
      </c>
      <c r="G46" s="11" t="s">
        <v>156</v>
      </c>
      <c r="H46" s="24" t="s">
        <v>431</v>
      </c>
      <c r="I46" s="11">
        <v>60</v>
      </c>
      <c r="J46" s="11">
        <v>171.66</v>
      </c>
      <c r="K46" s="11">
        <v>257.49</v>
      </c>
      <c r="L46" s="11">
        <v>125</v>
      </c>
      <c r="M46" s="22">
        <v>171.66</v>
      </c>
      <c r="N46" s="22">
        <v>0</v>
      </c>
      <c r="O46" s="22">
        <v>-257.49</v>
      </c>
      <c r="P46" s="11" t="s">
        <v>67</v>
      </c>
      <c r="Q46" s="11" t="s">
        <v>68</v>
      </c>
      <c r="R46" s="23">
        <v>1.5</v>
      </c>
      <c r="S46" s="11" t="s">
        <v>56</v>
      </c>
      <c r="T46" s="11" t="s">
        <v>369</v>
      </c>
      <c r="U46" s="11" t="s">
        <v>415</v>
      </c>
    </row>
    <row r="47" spans="1:21" x14ac:dyDescent="0.2">
      <c r="A47" s="21">
        <v>16228684</v>
      </c>
      <c r="B47" s="21" t="s">
        <v>390</v>
      </c>
      <c r="C47" s="11" t="s">
        <v>98</v>
      </c>
      <c r="D47" s="11" t="s">
        <v>99</v>
      </c>
      <c r="E47" s="11" t="s">
        <v>51</v>
      </c>
      <c r="F47" s="11" t="s">
        <v>101</v>
      </c>
      <c r="G47" s="11" t="s">
        <v>102</v>
      </c>
      <c r="H47" s="24" t="s">
        <v>431</v>
      </c>
      <c r="I47" s="11">
        <v>61</v>
      </c>
      <c r="J47" s="11">
        <v>99.07</v>
      </c>
      <c r="K47" s="11">
        <v>133.74449999999999</v>
      </c>
      <c r="L47" s="11">
        <v>50</v>
      </c>
      <c r="M47" s="22">
        <v>99.07</v>
      </c>
      <c r="N47" s="22">
        <v>0</v>
      </c>
      <c r="O47" s="22">
        <v>-133.74</v>
      </c>
      <c r="P47" s="11" t="s">
        <v>67</v>
      </c>
      <c r="Q47" s="11" t="s">
        <v>68</v>
      </c>
      <c r="R47" s="23">
        <v>1.35</v>
      </c>
      <c r="S47" s="11" t="s">
        <v>56</v>
      </c>
      <c r="T47" s="11" t="s">
        <v>366</v>
      </c>
      <c r="U47" s="11" t="s">
        <v>414</v>
      </c>
    </row>
    <row r="48" spans="1:21" x14ac:dyDescent="0.2">
      <c r="A48" s="21">
        <v>8977234</v>
      </c>
      <c r="B48" s="21" t="s">
        <v>393</v>
      </c>
      <c r="C48" s="11" t="s">
        <v>223</v>
      </c>
      <c r="D48" s="11" t="s">
        <v>224</v>
      </c>
      <c r="E48" s="11" t="s">
        <v>225</v>
      </c>
      <c r="F48" s="11" t="s">
        <v>226</v>
      </c>
      <c r="G48" s="11" t="s">
        <v>113</v>
      </c>
      <c r="H48" s="24" t="s">
        <v>431</v>
      </c>
      <c r="I48" s="11">
        <v>63</v>
      </c>
      <c r="J48" s="11">
        <v>58.85</v>
      </c>
      <c r="K48" s="11">
        <v>88.275000000000006</v>
      </c>
      <c r="L48" s="11">
        <v>30</v>
      </c>
      <c r="M48" s="22">
        <v>58.85</v>
      </c>
      <c r="N48" s="22">
        <v>0</v>
      </c>
      <c r="O48" s="22">
        <v>-88.28</v>
      </c>
      <c r="P48" s="11" t="s">
        <v>67</v>
      </c>
      <c r="Q48" s="11" t="s">
        <v>68</v>
      </c>
      <c r="R48" s="23">
        <v>1.5</v>
      </c>
      <c r="S48" s="11" t="s">
        <v>56</v>
      </c>
      <c r="T48" s="11" t="s">
        <v>369</v>
      </c>
      <c r="U48" s="11" t="s">
        <v>415</v>
      </c>
    </row>
    <row r="49" spans="1:21" x14ac:dyDescent="0.2">
      <c r="A49" s="21">
        <v>21283956</v>
      </c>
      <c r="B49" s="21" t="s">
        <v>407</v>
      </c>
      <c r="C49" s="11" t="s">
        <v>334</v>
      </c>
      <c r="D49" s="11" t="s">
        <v>335</v>
      </c>
      <c r="E49" s="11" t="s">
        <v>51</v>
      </c>
      <c r="F49" s="11" t="s">
        <v>336</v>
      </c>
      <c r="G49" s="11" t="s">
        <v>108</v>
      </c>
      <c r="H49" s="24" t="s">
        <v>430</v>
      </c>
      <c r="I49" s="11" t="s">
        <v>56</v>
      </c>
      <c r="J49" s="11">
        <v>79.28</v>
      </c>
      <c r="K49" s="11">
        <v>41.2256</v>
      </c>
      <c r="L49" s="11">
        <v>0</v>
      </c>
      <c r="M49" s="22">
        <v>79.28</v>
      </c>
      <c r="N49" s="22">
        <v>41.23</v>
      </c>
      <c r="O49" s="22">
        <v>0</v>
      </c>
      <c r="P49" s="11" t="s">
        <v>67</v>
      </c>
      <c r="Q49" s="11" t="s">
        <v>68</v>
      </c>
      <c r="R49" s="23">
        <v>0.52</v>
      </c>
      <c r="S49" s="11" t="s">
        <v>56</v>
      </c>
      <c r="T49" s="11" t="s">
        <v>379</v>
      </c>
      <c r="U49" s="11" t="s">
        <v>423</v>
      </c>
    </row>
    <row r="50" spans="1:21" x14ac:dyDescent="0.2">
      <c r="A50" s="21">
        <v>19491313</v>
      </c>
      <c r="B50" s="21" t="s">
        <v>391</v>
      </c>
      <c r="C50" s="11" t="s">
        <v>148</v>
      </c>
      <c r="D50" s="11" t="s">
        <v>149</v>
      </c>
      <c r="E50" s="11" t="s">
        <v>150</v>
      </c>
      <c r="F50" s="11" t="s">
        <v>151</v>
      </c>
      <c r="G50" s="11" t="s">
        <v>152</v>
      </c>
      <c r="H50" s="24" t="s">
        <v>431</v>
      </c>
      <c r="I50" s="11">
        <v>43</v>
      </c>
      <c r="J50" s="11">
        <v>56.05</v>
      </c>
      <c r="K50" s="11">
        <v>75.667500000000004</v>
      </c>
      <c r="L50" s="11">
        <v>40</v>
      </c>
      <c r="M50" s="22">
        <v>56.05</v>
      </c>
      <c r="N50" s="22">
        <v>0</v>
      </c>
      <c r="O50" s="22">
        <v>-75.67</v>
      </c>
      <c r="P50" s="11" t="s">
        <v>67</v>
      </c>
      <c r="Q50" s="11" t="s">
        <v>68</v>
      </c>
      <c r="R50" s="23">
        <v>1.35</v>
      </c>
      <c r="S50" s="11" t="s">
        <v>56</v>
      </c>
      <c r="T50" s="11" t="s">
        <v>366</v>
      </c>
      <c r="U50" s="11" t="s">
        <v>414</v>
      </c>
    </row>
    <row r="51" spans="1:21" x14ac:dyDescent="0.2">
      <c r="A51" s="21">
        <v>8307933</v>
      </c>
      <c r="B51" s="21" t="s">
        <v>388</v>
      </c>
      <c r="C51" s="11" t="s">
        <v>114</v>
      </c>
      <c r="D51" s="11" t="s">
        <v>115</v>
      </c>
      <c r="E51" s="11" t="s">
        <v>51</v>
      </c>
      <c r="F51" s="11" t="s">
        <v>116</v>
      </c>
      <c r="G51" s="11" t="s">
        <v>113</v>
      </c>
      <c r="H51" s="24" t="s">
        <v>431</v>
      </c>
      <c r="I51" s="11">
        <v>71</v>
      </c>
      <c r="J51" s="11">
        <v>241.54</v>
      </c>
      <c r="K51" s="11">
        <v>326.07900000000001</v>
      </c>
      <c r="L51" s="11">
        <v>50</v>
      </c>
      <c r="M51" s="22">
        <v>241.54</v>
      </c>
      <c r="N51" s="22">
        <v>0</v>
      </c>
      <c r="O51" s="22">
        <v>-326.08</v>
      </c>
      <c r="P51" s="11" t="s">
        <v>67</v>
      </c>
      <c r="Q51" s="11" t="s">
        <v>68</v>
      </c>
      <c r="R51" s="23">
        <v>1.35</v>
      </c>
      <c r="S51" s="11" t="s">
        <v>56</v>
      </c>
      <c r="T51" s="11" t="s">
        <v>368</v>
      </c>
      <c r="U51" s="11" t="s">
        <v>414</v>
      </c>
    </row>
    <row r="52" spans="1:21" s="26" customFormat="1" x14ac:dyDescent="0.2">
      <c r="A52" s="25">
        <v>8307933</v>
      </c>
      <c r="B52" s="25" t="s">
        <v>388</v>
      </c>
      <c r="C52" s="26" t="s">
        <v>142</v>
      </c>
      <c r="D52" s="26" t="s">
        <v>143</v>
      </c>
      <c r="E52" s="26" t="s">
        <v>134</v>
      </c>
      <c r="F52" s="26" t="s">
        <v>55</v>
      </c>
      <c r="G52" s="26" t="s">
        <v>55</v>
      </c>
      <c r="H52" s="30" t="s">
        <v>431</v>
      </c>
      <c r="I52" s="26">
        <v>60</v>
      </c>
      <c r="J52" s="26">
        <v>243.56</v>
      </c>
      <c r="K52" s="26">
        <v>164.40300000000002</v>
      </c>
      <c r="L52" s="26">
        <v>150</v>
      </c>
      <c r="M52" s="27">
        <v>2192.04</v>
      </c>
      <c r="N52" s="27">
        <v>1479.63</v>
      </c>
      <c r="O52" s="27">
        <v>1479.63</v>
      </c>
      <c r="P52" s="26" t="s">
        <v>67</v>
      </c>
      <c r="Q52" s="26" t="s">
        <v>144</v>
      </c>
      <c r="R52" s="28">
        <v>0.67500000000000004</v>
      </c>
      <c r="S52" s="26" t="s">
        <v>56</v>
      </c>
      <c r="T52" s="26" t="s">
        <v>367</v>
      </c>
      <c r="U52" s="26" t="s">
        <v>414</v>
      </c>
    </row>
    <row r="53" spans="1:21" s="26" customFormat="1" x14ac:dyDescent="0.2">
      <c r="A53" s="25">
        <v>8977234</v>
      </c>
      <c r="B53" s="25" t="s">
        <v>393</v>
      </c>
      <c r="C53" s="26" t="s">
        <v>229</v>
      </c>
      <c r="D53" s="26" t="s">
        <v>230</v>
      </c>
      <c r="E53" s="26" t="s">
        <v>166</v>
      </c>
      <c r="F53" s="26" t="s">
        <v>55</v>
      </c>
      <c r="G53" s="26" t="s">
        <v>55</v>
      </c>
      <c r="H53" s="30" t="s">
        <v>431</v>
      </c>
      <c r="I53" s="26">
        <v>55</v>
      </c>
      <c r="J53" s="26">
        <v>109.02</v>
      </c>
      <c r="K53" s="26">
        <v>163.53</v>
      </c>
      <c r="L53" s="26">
        <v>110</v>
      </c>
      <c r="M53" s="27">
        <v>981.18</v>
      </c>
      <c r="N53" s="27">
        <v>1471.77</v>
      </c>
      <c r="O53" s="27">
        <v>1471.77</v>
      </c>
      <c r="P53" s="26" t="s">
        <v>67</v>
      </c>
      <c r="Q53" s="26" t="s">
        <v>139</v>
      </c>
      <c r="R53" s="28">
        <v>1.5</v>
      </c>
      <c r="S53" s="26" t="s">
        <v>56</v>
      </c>
      <c r="T53" s="26" t="s">
        <v>369</v>
      </c>
      <c r="U53" s="26" t="s">
        <v>416</v>
      </c>
    </row>
    <row r="54" spans="1:21" s="26" customFormat="1" x14ac:dyDescent="0.2">
      <c r="A54" s="25">
        <v>8977234</v>
      </c>
      <c r="B54" s="25" t="s">
        <v>393</v>
      </c>
      <c r="C54" s="26" t="s">
        <v>164</v>
      </c>
      <c r="D54" s="26" t="s">
        <v>165</v>
      </c>
      <c r="E54" s="26" t="s">
        <v>166</v>
      </c>
      <c r="F54" s="26" t="s">
        <v>55</v>
      </c>
      <c r="G54" s="26" t="s">
        <v>55</v>
      </c>
      <c r="H54" s="30" t="s">
        <v>431</v>
      </c>
      <c r="I54" s="26">
        <v>27</v>
      </c>
      <c r="J54" s="26">
        <v>43.52</v>
      </c>
      <c r="K54" s="26">
        <v>65.28</v>
      </c>
      <c r="L54" s="26">
        <v>275</v>
      </c>
      <c r="M54" s="27">
        <v>391.68</v>
      </c>
      <c r="N54" s="27">
        <v>587.52</v>
      </c>
      <c r="O54" s="27">
        <v>587.52</v>
      </c>
      <c r="P54" s="26" t="s">
        <v>67</v>
      </c>
      <c r="Q54" s="26" t="s">
        <v>139</v>
      </c>
      <c r="R54" s="28">
        <v>1.5</v>
      </c>
      <c r="S54" s="26" t="s">
        <v>56</v>
      </c>
      <c r="T54" s="26" t="s">
        <v>369</v>
      </c>
      <c r="U54" s="26" t="s">
        <v>416</v>
      </c>
    </row>
    <row r="55" spans="1:21" s="26" customFormat="1" x14ac:dyDescent="0.2">
      <c r="A55" s="25">
        <v>8307933</v>
      </c>
      <c r="B55" s="25" t="s">
        <v>388</v>
      </c>
      <c r="C55" s="26" t="s">
        <v>140</v>
      </c>
      <c r="D55" s="26" t="s">
        <v>141</v>
      </c>
      <c r="E55" s="26" t="s">
        <v>134</v>
      </c>
      <c r="F55" s="26" t="s">
        <v>55</v>
      </c>
      <c r="G55" s="26" t="s">
        <v>55</v>
      </c>
      <c r="H55" s="30" t="s">
        <v>431</v>
      </c>
      <c r="I55" s="26">
        <v>67</v>
      </c>
      <c r="J55" s="26">
        <v>224.65</v>
      </c>
      <c r="K55" s="26">
        <v>303.27750000000003</v>
      </c>
      <c r="L55" s="26">
        <v>60</v>
      </c>
      <c r="M55" s="27">
        <v>2021.85</v>
      </c>
      <c r="N55" s="27">
        <v>2000</v>
      </c>
      <c r="O55" s="27">
        <v>2000</v>
      </c>
      <c r="P55" s="26" t="s">
        <v>67</v>
      </c>
      <c r="Q55" s="26" t="s">
        <v>139</v>
      </c>
      <c r="R55" s="28">
        <v>1.35</v>
      </c>
      <c r="S55" s="26" t="s">
        <v>56</v>
      </c>
      <c r="T55" s="26" t="s">
        <v>368</v>
      </c>
      <c r="U55" s="26" t="s">
        <v>414</v>
      </c>
    </row>
    <row r="56" spans="1:21" s="26" customFormat="1" x14ac:dyDescent="0.2">
      <c r="A56" s="25">
        <v>8307933</v>
      </c>
      <c r="B56" s="25" t="s">
        <v>388</v>
      </c>
      <c r="C56" s="26" t="s">
        <v>145</v>
      </c>
      <c r="D56" s="26" t="s">
        <v>146</v>
      </c>
      <c r="E56" s="26" t="s">
        <v>134</v>
      </c>
      <c r="F56" s="26" t="s">
        <v>55</v>
      </c>
      <c r="G56" s="26" t="s">
        <v>55</v>
      </c>
      <c r="H56" s="30" t="s">
        <v>431</v>
      </c>
      <c r="I56" s="26">
        <v>57</v>
      </c>
      <c r="J56" s="26">
        <v>158.87</v>
      </c>
      <c r="K56" s="26">
        <v>238.30500000000001</v>
      </c>
      <c r="L56" s="26">
        <v>150</v>
      </c>
      <c r="M56" s="27">
        <v>1429.83</v>
      </c>
      <c r="N56" s="27">
        <v>2000</v>
      </c>
      <c r="O56" s="27">
        <v>2000</v>
      </c>
      <c r="P56" s="26" t="s">
        <v>67</v>
      </c>
      <c r="Q56" s="26" t="s">
        <v>139</v>
      </c>
      <c r="R56" s="28">
        <v>1.5</v>
      </c>
      <c r="S56" s="26" t="s">
        <v>56</v>
      </c>
      <c r="T56" s="26" t="s">
        <v>369</v>
      </c>
      <c r="U56" s="26" t="s">
        <v>415</v>
      </c>
    </row>
    <row r="57" spans="1:21" s="26" customFormat="1" x14ac:dyDescent="0.2">
      <c r="A57" s="25">
        <v>8307933</v>
      </c>
      <c r="B57" s="25" t="s">
        <v>412</v>
      </c>
      <c r="C57" s="26" t="s">
        <v>135</v>
      </c>
      <c r="D57" s="26" t="s">
        <v>136</v>
      </c>
      <c r="E57" s="26" t="s">
        <v>51</v>
      </c>
      <c r="F57" s="26" t="s">
        <v>55</v>
      </c>
      <c r="G57" s="26" t="s">
        <v>55</v>
      </c>
      <c r="H57" s="30" t="s">
        <v>431</v>
      </c>
      <c r="I57" s="26">
        <v>74</v>
      </c>
      <c r="J57" s="26">
        <v>210.66</v>
      </c>
      <c r="K57" s="26">
        <v>184.32</v>
      </c>
      <c r="L57" s="26">
        <v>20</v>
      </c>
      <c r="M57" s="27">
        <v>1895.94</v>
      </c>
      <c r="N57" s="27">
        <v>1658.97</v>
      </c>
      <c r="O57" s="27">
        <v>1658.97</v>
      </c>
      <c r="P57" s="26" t="s">
        <v>67</v>
      </c>
      <c r="Q57" s="26" t="s">
        <v>139</v>
      </c>
      <c r="R57" s="28">
        <v>0.875</v>
      </c>
      <c r="S57" s="26" t="s">
        <v>56</v>
      </c>
      <c r="T57" s="26" t="s">
        <v>370</v>
      </c>
      <c r="U57" s="26" t="e">
        <v>#N/A</v>
      </c>
    </row>
    <row r="58" spans="1:21" x14ac:dyDescent="0.2">
      <c r="A58" s="21">
        <v>16633294</v>
      </c>
      <c r="B58" s="21" t="s">
        <v>396</v>
      </c>
      <c r="C58" s="11" t="s">
        <v>180</v>
      </c>
      <c r="D58" s="11" t="s">
        <v>181</v>
      </c>
      <c r="E58" s="11" t="s">
        <v>51</v>
      </c>
      <c r="F58" s="11" t="s">
        <v>182</v>
      </c>
      <c r="G58" s="11" t="s">
        <v>183</v>
      </c>
      <c r="H58" s="24" t="s">
        <v>430</v>
      </c>
      <c r="I58" s="11">
        <v>48</v>
      </c>
      <c r="J58" s="11">
        <v>75.47</v>
      </c>
      <c r="K58" s="11">
        <v>101.8845</v>
      </c>
      <c r="L58" s="11">
        <v>35</v>
      </c>
      <c r="M58" s="22">
        <v>75.47</v>
      </c>
      <c r="N58" s="22">
        <v>0</v>
      </c>
      <c r="O58" s="22">
        <v>-101.88</v>
      </c>
      <c r="P58" s="11" t="s">
        <v>67</v>
      </c>
      <c r="Q58" s="11" t="s">
        <v>158</v>
      </c>
      <c r="R58" s="23">
        <v>1.35</v>
      </c>
      <c r="S58" s="11" t="s">
        <v>56</v>
      </c>
      <c r="T58" s="11" t="s">
        <v>371</v>
      </c>
      <c r="U58" s="11" t="s">
        <v>418</v>
      </c>
    </row>
    <row r="59" spans="1:21" x14ac:dyDescent="0.2">
      <c r="A59" s="21">
        <v>9213293</v>
      </c>
      <c r="B59" s="21" t="s">
        <v>392</v>
      </c>
      <c r="C59" s="11" t="s">
        <v>201</v>
      </c>
      <c r="D59" s="11" t="s">
        <v>202</v>
      </c>
      <c r="E59" s="11" t="s">
        <v>51</v>
      </c>
      <c r="F59" s="11" t="s">
        <v>203</v>
      </c>
      <c r="G59" s="11" t="s">
        <v>203</v>
      </c>
      <c r="H59" s="24" t="s">
        <v>431</v>
      </c>
      <c r="I59" s="11">
        <v>11</v>
      </c>
      <c r="J59" s="11">
        <v>26.75</v>
      </c>
      <c r="K59" s="11">
        <v>30.762499999999999</v>
      </c>
      <c r="L59" s="11">
        <v>50</v>
      </c>
      <c r="M59" s="22">
        <v>26.75</v>
      </c>
      <c r="N59" s="22">
        <v>0</v>
      </c>
      <c r="O59" s="22">
        <v>-30.76</v>
      </c>
      <c r="P59" s="11" t="s">
        <v>67</v>
      </c>
      <c r="Q59" s="11" t="s">
        <v>158</v>
      </c>
      <c r="R59" s="23">
        <v>1.1499999999999999</v>
      </c>
      <c r="S59" s="11" t="s">
        <v>56</v>
      </c>
      <c r="T59" s="11" t="s">
        <v>374</v>
      </c>
      <c r="U59" s="11" t="s">
        <v>419</v>
      </c>
    </row>
    <row r="60" spans="1:21" x14ac:dyDescent="0.2">
      <c r="A60" s="21">
        <v>9213293</v>
      </c>
      <c r="B60" s="21" t="s">
        <v>392</v>
      </c>
      <c r="C60" s="11" t="s">
        <v>154</v>
      </c>
      <c r="D60" s="11" t="s">
        <v>155</v>
      </c>
      <c r="E60" s="11" t="s">
        <v>51</v>
      </c>
      <c r="F60" s="11" t="s">
        <v>156</v>
      </c>
      <c r="G60" s="11" t="s">
        <v>157</v>
      </c>
      <c r="H60" s="24" t="s">
        <v>431</v>
      </c>
      <c r="I60" s="11">
        <v>71</v>
      </c>
      <c r="J60" s="11">
        <v>80.739999999999995</v>
      </c>
      <c r="K60" s="11">
        <v>70.647499999999994</v>
      </c>
      <c r="L60" s="11">
        <v>12</v>
      </c>
      <c r="M60" s="22">
        <v>80.739999999999995</v>
      </c>
      <c r="N60" s="22">
        <v>0</v>
      </c>
      <c r="O60" s="22">
        <v>-70.650000000000006</v>
      </c>
      <c r="P60" s="11" t="s">
        <v>67</v>
      </c>
      <c r="Q60" s="11" t="s">
        <v>158</v>
      </c>
      <c r="R60" s="23">
        <v>0.875</v>
      </c>
      <c r="S60" s="11" t="s">
        <v>56</v>
      </c>
      <c r="T60" s="11" t="s">
        <v>370</v>
      </c>
      <c r="U60" s="11" t="s">
        <v>417</v>
      </c>
    </row>
    <row r="61" spans="1:21" x14ac:dyDescent="0.2">
      <c r="A61" s="21">
        <v>8325282</v>
      </c>
      <c r="B61" s="21" t="s">
        <v>406</v>
      </c>
      <c r="C61" s="11" t="s">
        <v>321</v>
      </c>
      <c r="D61" s="11" t="s">
        <v>322</v>
      </c>
      <c r="E61" s="11" t="s">
        <v>51</v>
      </c>
      <c r="F61" s="11" t="s">
        <v>54</v>
      </c>
      <c r="G61" s="11" t="s">
        <v>55</v>
      </c>
      <c r="H61" s="24" t="s">
        <v>430</v>
      </c>
      <c r="I61" s="11" t="s">
        <v>56</v>
      </c>
      <c r="J61" s="11">
        <v>68.760000000000005</v>
      </c>
      <c r="K61" s="11">
        <v>2.0628000000000002</v>
      </c>
      <c r="L61" s="11">
        <v>0</v>
      </c>
      <c r="M61" s="22">
        <v>68.760000000000005</v>
      </c>
      <c r="N61" s="22">
        <v>2.06</v>
      </c>
      <c r="O61" s="22">
        <v>0</v>
      </c>
      <c r="P61" s="11" t="s">
        <v>60</v>
      </c>
      <c r="Q61" s="11" t="s">
        <v>61</v>
      </c>
      <c r="R61" s="23">
        <v>0.03</v>
      </c>
      <c r="S61" s="11" t="s">
        <v>56</v>
      </c>
      <c r="T61" s="11" t="s">
        <v>379</v>
      </c>
      <c r="U61" s="11" t="s">
        <v>423</v>
      </c>
    </row>
    <row r="62" spans="1:21" x14ac:dyDescent="0.2">
      <c r="A62" s="21">
        <v>8307933</v>
      </c>
      <c r="B62" s="21" t="s">
        <v>388</v>
      </c>
      <c r="C62" s="11" t="s">
        <v>76</v>
      </c>
      <c r="D62" s="11" t="s">
        <v>77</v>
      </c>
      <c r="E62" s="11" t="s">
        <v>51</v>
      </c>
      <c r="F62" s="11" t="s">
        <v>79</v>
      </c>
      <c r="G62" s="11" t="s">
        <v>80</v>
      </c>
      <c r="H62" s="24" t="s">
        <v>431</v>
      </c>
      <c r="I62" s="11" t="s">
        <v>56</v>
      </c>
      <c r="J62" s="11">
        <v>185.72</v>
      </c>
      <c r="K62" s="11">
        <v>42.715600000000002</v>
      </c>
      <c r="L62" s="11">
        <v>0</v>
      </c>
      <c r="M62" s="22">
        <v>160.36000000000001</v>
      </c>
      <c r="N62" s="22">
        <v>36.880000000000003</v>
      </c>
      <c r="O62" s="22">
        <v>0</v>
      </c>
      <c r="P62" s="11" t="s">
        <v>60</v>
      </c>
      <c r="Q62" s="11" t="s">
        <v>61</v>
      </c>
      <c r="R62" s="23">
        <v>0.23</v>
      </c>
      <c r="S62" s="11" t="s">
        <v>56</v>
      </c>
      <c r="T62" s="11" t="s">
        <v>364</v>
      </c>
      <c r="U62" s="11" t="s">
        <v>413</v>
      </c>
    </row>
    <row r="63" spans="1:21" x14ac:dyDescent="0.2">
      <c r="A63" s="21">
        <v>8307933</v>
      </c>
      <c r="B63" s="21" t="s">
        <v>388</v>
      </c>
      <c r="C63" s="11" t="s">
        <v>81</v>
      </c>
      <c r="D63" s="11" t="s">
        <v>82</v>
      </c>
      <c r="E63" s="11" t="s">
        <v>51</v>
      </c>
      <c r="F63" s="11" t="s">
        <v>79</v>
      </c>
      <c r="G63" s="11" t="s">
        <v>80</v>
      </c>
      <c r="H63" s="24" t="s">
        <v>431</v>
      </c>
      <c r="I63" s="11" t="s">
        <v>56</v>
      </c>
      <c r="J63" s="11">
        <v>128.76</v>
      </c>
      <c r="K63" s="11">
        <v>29.614799999999999</v>
      </c>
      <c r="L63" s="11">
        <v>0</v>
      </c>
      <c r="M63" s="22">
        <v>112.82</v>
      </c>
      <c r="N63" s="22">
        <v>25.95</v>
      </c>
      <c r="O63" s="22">
        <v>0</v>
      </c>
      <c r="P63" s="11" t="s">
        <v>60</v>
      </c>
      <c r="Q63" s="11" t="s">
        <v>61</v>
      </c>
      <c r="R63" s="23">
        <v>0.23</v>
      </c>
      <c r="S63" s="11" t="s">
        <v>56</v>
      </c>
      <c r="T63" s="11" t="s">
        <v>364</v>
      </c>
      <c r="U63" s="11" t="s">
        <v>413</v>
      </c>
    </row>
    <row r="64" spans="1:21" x14ac:dyDescent="0.2">
      <c r="A64" s="21">
        <v>9079571</v>
      </c>
      <c r="B64" s="21" t="s">
        <v>405</v>
      </c>
      <c r="C64" s="11" t="s">
        <v>308</v>
      </c>
      <c r="D64" s="11" t="s">
        <v>309</v>
      </c>
      <c r="E64" s="11" t="s">
        <v>248</v>
      </c>
      <c r="F64" s="11" t="s">
        <v>310</v>
      </c>
      <c r="G64" s="11" t="s">
        <v>55</v>
      </c>
      <c r="H64" s="24" t="s">
        <v>431</v>
      </c>
      <c r="I64" s="11" t="s">
        <v>56</v>
      </c>
      <c r="J64" s="11">
        <v>170.16</v>
      </c>
      <c r="K64" s="11">
        <v>39.136800000000001</v>
      </c>
      <c r="L64" s="11">
        <v>0</v>
      </c>
      <c r="M64" s="22">
        <v>151.93</v>
      </c>
      <c r="N64" s="22">
        <v>34.94</v>
      </c>
      <c r="O64" s="22">
        <v>0</v>
      </c>
      <c r="P64" s="11" t="s">
        <v>60</v>
      </c>
      <c r="Q64" s="11" t="s">
        <v>61</v>
      </c>
      <c r="R64" s="23">
        <v>0.23</v>
      </c>
      <c r="S64" s="11" t="s">
        <v>56</v>
      </c>
      <c r="T64" s="11" t="s">
        <v>364</v>
      </c>
      <c r="U64" s="11" t="s">
        <v>413</v>
      </c>
    </row>
    <row r="65" spans="1:21" x14ac:dyDescent="0.2">
      <c r="A65" s="21">
        <v>9079571</v>
      </c>
      <c r="B65" s="21" t="s">
        <v>405</v>
      </c>
      <c r="C65" s="11" t="s">
        <v>305</v>
      </c>
      <c r="D65" s="11" t="s">
        <v>306</v>
      </c>
      <c r="E65" s="11" t="s">
        <v>248</v>
      </c>
      <c r="F65" s="11" t="s">
        <v>260</v>
      </c>
      <c r="G65" s="11" t="s">
        <v>55</v>
      </c>
      <c r="H65" s="24" t="s">
        <v>431</v>
      </c>
      <c r="I65" s="11" t="s">
        <v>56</v>
      </c>
      <c r="J65" s="11">
        <v>147.96</v>
      </c>
      <c r="K65" s="11">
        <v>34.030800000000006</v>
      </c>
      <c r="L65" s="11">
        <v>0</v>
      </c>
      <c r="M65" s="22">
        <v>132.11000000000001</v>
      </c>
      <c r="N65" s="22">
        <v>30.39</v>
      </c>
      <c r="O65" s="22">
        <v>0</v>
      </c>
      <c r="P65" s="11" t="s">
        <v>60</v>
      </c>
      <c r="Q65" s="11" t="s">
        <v>61</v>
      </c>
      <c r="R65" s="23">
        <v>0.23</v>
      </c>
      <c r="S65" s="11" t="s">
        <v>56</v>
      </c>
      <c r="T65" s="11" t="s">
        <v>364</v>
      </c>
      <c r="U65" s="11" t="s">
        <v>413</v>
      </c>
    </row>
    <row r="66" spans="1:21" x14ac:dyDescent="0.2">
      <c r="A66" s="21">
        <v>18828278</v>
      </c>
      <c r="B66" s="21" t="s">
        <v>389</v>
      </c>
      <c r="C66" s="11" t="s">
        <v>84</v>
      </c>
      <c r="D66" s="11" t="s">
        <v>85</v>
      </c>
      <c r="E66" s="11" t="s">
        <v>51</v>
      </c>
      <c r="F66" s="11" t="s">
        <v>86</v>
      </c>
      <c r="G66" s="11" t="s">
        <v>55</v>
      </c>
      <c r="H66" s="24" t="s">
        <v>431</v>
      </c>
      <c r="I66" s="11" t="s">
        <v>56</v>
      </c>
      <c r="J66" s="11">
        <v>180.14</v>
      </c>
      <c r="K66" s="11">
        <v>41.432200000000002</v>
      </c>
      <c r="L66" s="11">
        <v>0</v>
      </c>
      <c r="M66" s="22">
        <v>128.66999999999999</v>
      </c>
      <c r="N66" s="22">
        <v>29.59</v>
      </c>
      <c r="O66" s="22">
        <v>0</v>
      </c>
      <c r="P66" s="11" t="s">
        <v>60</v>
      </c>
      <c r="Q66" s="11" t="s">
        <v>61</v>
      </c>
      <c r="R66" s="23">
        <v>0.23</v>
      </c>
      <c r="S66" s="11" t="s">
        <v>56</v>
      </c>
      <c r="T66" s="11" t="s">
        <v>364</v>
      </c>
      <c r="U66" s="11" t="s">
        <v>413</v>
      </c>
    </row>
    <row r="67" spans="1:21" x14ac:dyDescent="0.2">
      <c r="A67" s="21">
        <v>8307933</v>
      </c>
      <c r="B67" s="21" t="s">
        <v>388</v>
      </c>
      <c r="C67" s="11" t="s">
        <v>71</v>
      </c>
      <c r="D67" s="11" t="s">
        <v>72</v>
      </c>
      <c r="E67" s="11" t="s">
        <v>73</v>
      </c>
      <c r="F67" s="11" t="s">
        <v>75</v>
      </c>
      <c r="G67" s="11" t="s">
        <v>55</v>
      </c>
      <c r="H67" s="24" t="s">
        <v>431</v>
      </c>
      <c r="I67" s="11" t="s">
        <v>56</v>
      </c>
      <c r="J67" s="11">
        <v>124.93</v>
      </c>
      <c r="K67" s="11">
        <v>28.733900000000002</v>
      </c>
      <c r="L67" s="11">
        <v>0</v>
      </c>
      <c r="M67" s="22">
        <v>105.87</v>
      </c>
      <c r="N67" s="22">
        <v>24.35</v>
      </c>
      <c r="O67" s="22">
        <v>0</v>
      </c>
      <c r="P67" s="11" t="s">
        <v>60</v>
      </c>
      <c r="Q67" s="11" t="s">
        <v>61</v>
      </c>
      <c r="R67" s="23">
        <v>0.23</v>
      </c>
      <c r="S67" s="11" t="s">
        <v>56</v>
      </c>
      <c r="T67" s="11" t="s">
        <v>364</v>
      </c>
      <c r="U67" s="11" t="s">
        <v>413</v>
      </c>
    </row>
    <row r="68" spans="1:21" x14ac:dyDescent="0.2">
      <c r="A68" s="21">
        <v>371819</v>
      </c>
      <c r="B68" s="21" t="s">
        <v>399</v>
      </c>
      <c r="C68" s="11" t="s">
        <v>330</v>
      </c>
      <c r="D68" s="11" t="s">
        <v>331</v>
      </c>
      <c r="E68" s="11" t="s">
        <v>134</v>
      </c>
      <c r="F68" s="11" t="s">
        <v>272</v>
      </c>
      <c r="G68" s="11" t="s">
        <v>113</v>
      </c>
      <c r="H68" s="24" t="s">
        <v>430</v>
      </c>
      <c r="I68" s="11" t="s">
        <v>56</v>
      </c>
      <c r="J68" s="11">
        <v>59.14</v>
      </c>
      <c r="K68" s="11">
        <v>1.7742</v>
      </c>
      <c r="L68" s="11">
        <v>0</v>
      </c>
      <c r="M68" s="22">
        <v>59.14</v>
      </c>
      <c r="N68" s="22">
        <v>1.77</v>
      </c>
      <c r="O68" s="22">
        <v>0</v>
      </c>
      <c r="P68" s="11" t="s">
        <v>60</v>
      </c>
      <c r="Q68" s="11" t="s">
        <v>61</v>
      </c>
      <c r="R68" s="23">
        <v>0.03</v>
      </c>
      <c r="S68" s="11" t="s">
        <v>56</v>
      </c>
      <c r="T68" s="11" t="s">
        <v>379</v>
      </c>
      <c r="U68" s="11" t="s">
        <v>424</v>
      </c>
    </row>
    <row r="69" spans="1:21" x14ac:dyDescent="0.2">
      <c r="A69" s="21">
        <v>8307933</v>
      </c>
      <c r="B69" s="21" t="s">
        <v>388</v>
      </c>
      <c r="C69" s="11" t="s">
        <v>296</v>
      </c>
      <c r="D69" s="11" t="s">
        <v>297</v>
      </c>
      <c r="E69" s="11" t="s">
        <v>119</v>
      </c>
      <c r="F69" s="11" t="s">
        <v>272</v>
      </c>
      <c r="G69" s="11" t="s">
        <v>113</v>
      </c>
      <c r="H69" s="24" t="s">
        <v>431</v>
      </c>
      <c r="I69" s="11">
        <v>62</v>
      </c>
      <c r="J69" s="11">
        <v>167.5</v>
      </c>
      <c r="K69" s="11">
        <v>11.725000000000001</v>
      </c>
      <c r="L69" s="11">
        <v>50</v>
      </c>
      <c r="M69" s="22">
        <v>167.5</v>
      </c>
      <c r="N69" s="22">
        <v>11.73</v>
      </c>
      <c r="O69" s="22">
        <v>0</v>
      </c>
      <c r="P69" s="11" t="s">
        <v>60</v>
      </c>
      <c r="Q69" s="11" t="s">
        <v>61</v>
      </c>
      <c r="R69" s="23">
        <v>7.0000000000000007E-2</v>
      </c>
      <c r="S69" s="11" t="s">
        <v>56</v>
      </c>
      <c r="T69" s="11" t="s">
        <v>372</v>
      </c>
      <c r="U69" s="11" t="s">
        <v>418</v>
      </c>
    </row>
    <row r="70" spans="1:21" x14ac:dyDescent="0.2">
      <c r="A70" s="21" t="s">
        <v>383</v>
      </c>
      <c r="B70" s="21" t="s">
        <v>403</v>
      </c>
      <c r="C70" s="11" t="s">
        <v>257</v>
      </c>
      <c r="D70" s="11" t="s">
        <v>258</v>
      </c>
      <c r="E70" s="11" t="s">
        <v>171</v>
      </c>
      <c r="F70" s="11" t="s">
        <v>260</v>
      </c>
      <c r="G70" s="11" t="s">
        <v>55</v>
      </c>
      <c r="H70" s="24" t="s">
        <v>431</v>
      </c>
      <c r="I70" s="11" t="s">
        <v>56</v>
      </c>
      <c r="J70" s="11">
        <v>118.77</v>
      </c>
      <c r="K70" s="11">
        <v>30.286349999999999</v>
      </c>
      <c r="L70" s="11">
        <v>0</v>
      </c>
      <c r="M70" s="22">
        <v>99.8</v>
      </c>
      <c r="N70" s="22">
        <v>25.45</v>
      </c>
      <c r="O70" s="22">
        <v>0</v>
      </c>
      <c r="P70" s="11" t="s">
        <v>60</v>
      </c>
      <c r="Q70" s="11" t="s">
        <v>61</v>
      </c>
      <c r="R70" s="23">
        <v>0.255</v>
      </c>
      <c r="S70" s="11" t="s">
        <v>56</v>
      </c>
      <c r="T70" s="11" t="s">
        <v>377</v>
      </c>
      <c r="U70" s="11" t="s">
        <v>421</v>
      </c>
    </row>
    <row r="71" spans="1:21" x14ac:dyDescent="0.2">
      <c r="A71" s="21">
        <v>18828278</v>
      </c>
      <c r="B71" s="21" t="s">
        <v>389</v>
      </c>
      <c r="C71" s="11" t="s">
        <v>87</v>
      </c>
      <c r="D71" s="11" t="s">
        <v>88</v>
      </c>
      <c r="E71" s="11" t="s">
        <v>51</v>
      </c>
      <c r="F71" s="11" t="s">
        <v>54</v>
      </c>
      <c r="G71" s="11" t="s">
        <v>55</v>
      </c>
      <c r="H71" s="24" t="s">
        <v>431</v>
      </c>
      <c r="I71" s="11" t="s">
        <v>56</v>
      </c>
      <c r="J71" s="11">
        <v>211.74</v>
      </c>
      <c r="K71" s="11">
        <v>48.700200000000002</v>
      </c>
      <c r="L71" s="11">
        <v>0</v>
      </c>
      <c r="M71" s="22">
        <v>146.41999999999999</v>
      </c>
      <c r="N71" s="22">
        <v>33.68</v>
      </c>
      <c r="O71" s="22">
        <v>0</v>
      </c>
      <c r="P71" s="11" t="s">
        <v>60</v>
      </c>
      <c r="Q71" s="11" t="s">
        <v>61</v>
      </c>
      <c r="R71" s="23">
        <v>0.23</v>
      </c>
      <c r="S71" s="11" t="s">
        <v>56</v>
      </c>
      <c r="T71" s="11" t="s">
        <v>364</v>
      </c>
      <c r="U71" s="11" t="s">
        <v>413</v>
      </c>
    </row>
    <row r="72" spans="1:21" x14ac:dyDescent="0.2">
      <c r="A72" s="21">
        <v>9213293</v>
      </c>
      <c r="B72" s="21" t="s">
        <v>392</v>
      </c>
      <c r="C72" s="11" t="s">
        <v>292</v>
      </c>
      <c r="D72" s="11" t="s">
        <v>293</v>
      </c>
      <c r="E72" s="11" t="s">
        <v>51</v>
      </c>
      <c r="F72" s="11" t="s">
        <v>294</v>
      </c>
      <c r="G72" s="11" t="s">
        <v>295</v>
      </c>
      <c r="H72" s="24" t="s">
        <v>431</v>
      </c>
      <c r="I72" s="11">
        <v>71</v>
      </c>
      <c r="J72" s="11">
        <v>137.37</v>
      </c>
      <c r="K72" s="11">
        <v>9.6159000000000017</v>
      </c>
      <c r="L72" s="11">
        <v>12</v>
      </c>
      <c r="M72" s="22">
        <v>137.37</v>
      </c>
      <c r="N72" s="22">
        <v>9.6199999999999992</v>
      </c>
      <c r="O72" s="22">
        <v>0</v>
      </c>
      <c r="P72" s="11" t="s">
        <v>60</v>
      </c>
      <c r="Q72" s="11" t="s">
        <v>61</v>
      </c>
      <c r="R72" s="23">
        <v>7.0000000000000007E-2</v>
      </c>
      <c r="S72" s="11" t="s">
        <v>56</v>
      </c>
      <c r="T72" s="11" t="s">
        <v>371</v>
      </c>
      <c r="U72" s="11" t="s">
        <v>418</v>
      </c>
    </row>
    <row r="73" spans="1:21" x14ac:dyDescent="0.2">
      <c r="A73" s="21">
        <v>9213293</v>
      </c>
      <c r="B73" s="21" t="s">
        <v>392</v>
      </c>
      <c r="C73" s="11" t="s">
        <v>270</v>
      </c>
      <c r="D73" s="11" t="s">
        <v>271</v>
      </c>
      <c r="E73" s="11" t="s">
        <v>51</v>
      </c>
      <c r="F73" s="11" t="s">
        <v>272</v>
      </c>
      <c r="G73" s="11" t="s">
        <v>113</v>
      </c>
      <c r="H73" s="24" t="s">
        <v>431</v>
      </c>
      <c r="I73" s="11">
        <v>66</v>
      </c>
      <c r="J73" s="11">
        <v>71.62</v>
      </c>
      <c r="K73" s="11">
        <v>5.0134000000000007</v>
      </c>
      <c r="L73" s="11">
        <v>12</v>
      </c>
      <c r="M73" s="22">
        <v>71.62</v>
      </c>
      <c r="N73" s="22">
        <v>5.01</v>
      </c>
      <c r="O73" s="22">
        <v>0</v>
      </c>
      <c r="P73" s="11" t="s">
        <v>60</v>
      </c>
      <c r="Q73" s="11" t="s">
        <v>61</v>
      </c>
      <c r="R73" s="23">
        <v>7.0000000000000007E-2</v>
      </c>
      <c r="S73" s="11" t="s">
        <v>56</v>
      </c>
      <c r="T73" s="11" t="s">
        <v>371</v>
      </c>
      <c r="U73" s="11" t="s">
        <v>418</v>
      </c>
    </row>
    <row r="74" spans="1:21" x14ac:dyDescent="0.2">
      <c r="A74" s="21">
        <v>15278437</v>
      </c>
      <c r="B74" s="21" t="s">
        <v>404</v>
      </c>
      <c r="C74" s="11" t="s">
        <v>262</v>
      </c>
      <c r="D74" s="11" t="s">
        <v>263</v>
      </c>
      <c r="E74" s="11" t="s">
        <v>171</v>
      </c>
      <c r="F74" s="11" t="s">
        <v>264</v>
      </c>
      <c r="G74" s="11" t="s">
        <v>265</v>
      </c>
      <c r="H74" s="24" t="s">
        <v>431</v>
      </c>
      <c r="I74" s="11" t="s">
        <v>56</v>
      </c>
      <c r="J74" s="11">
        <v>450.75</v>
      </c>
      <c r="K74" s="11">
        <v>114.94125</v>
      </c>
      <c r="L74" s="11">
        <v>0</v>
      </c>
      <c r="M74" s="22">
        <v>347.52</v>
      </c>
      <c r="N74" s="22">
        <v>88.62</v>
      </c>
      <c r="O74" s="22">
        <v>0</v>
      </c>
      <c r="P74" s="11" t="s">
        <v>60</v>
      </c>
      <c r="Q74" s="11" t="s">
        <v>61</v>
      </c>
      <c r="R74" s="23">
        <v>0.255</v>
      </c>
      <c r="S74" s="11" t="s">
        <v>56</v>
      </c>
      <c r="T74" s="11" t="s">
        <v>377</v>
      </c>
      <c r="U74" s="11" t="s">
        <v>421</v>
      </c>
    </row>
    <row r="75" spans="1:21" x14ac:dyDescent="0.2">
      <c r="A75" s="21">
        <v>17094718</v>
      </c>
      <c r="B75" s="21" t="s">
        <v>386</v>
      </c>
      <c r="C75" s="11" t="s">
        <v>49</v>
      </c>
      <c r="D75" s="11" t="s">
        <v>50</v>
      </c>
      <c r="E75" s="11" t="s">
        <v>51</v>
      </c>
      <c r="F75" s="11" t="s">
        <v>54</v>
      </c>
      <c r="G75" s="11" t="s">
        <v>55</v>
      </c>
      <c r="H75" s="24" t="s">
        <v>430</v>
      </c>
      <c r="I75" s="11" t="s">
        <v>56</v>
      </c>
      <c r="J75" s="11">
        <v>279.66000000000003</v>
      </c>
      <c r="K75" s="11">
        <v>64.32180000000001</v>
      </c>
      <c r="L75" s="11">
        <v>0</v>
      </c>
      <c r="M75" s="22">
        <v>192.36</v>
      </c>
      <c r="N75" s="22">
        <v>44.24</v>
      </c>
      <c r="O75" s="22">
        <v>0</v>
      </c>
      <c r="P75" s="11" t="s">
        <v>60</v>
      </c>
      <c r="Q75" s="11" t="s">
        <v>61</v>
      </c>
      <c r="R75" s="23">
        <v>0.23</v>
      </c>
      <c r="S75" s="11" t="s">
        <v>56</v>
      </c>
      <c r="T75" s="11" t="s">
        <v>364</v>
      </c>
      <c r="U75" s="11" t="s">
        <v>413</v>
      </c>
    </row>
    <row r="76" spans="1:21" x14ac:dyDescent="0.2">
      <c r="A76" s="21">
        <v>9079571</v>
      </c>
      <c r="B76" s="21" t="s">
        <v>405</v>
      </c>
      <c r="C76" s="11" t="s">
        <v>311</v>
      </c>
      <c r="D76" s="11" t="s">
        <v>312</v>
      </c>
      <c r="E76" s="11" t="s">
        <v>248</v>
      </c>
      <c r="F76" s="11" t="s">
        <v>314</v>
      </c>
      <c r="G76" s="11" t="s">
        <v>55</v>
      </c>
      <c r="H76" s="24" t="s">
        <v>431</v>
      </c>
      <c r="I76" s="11" t="s">
        <v>56</v>
      </c>
      <c r="J76" s="11">
        <v>120.5</v>
      </c>
      <c r="K76" s="11">
        <v>32.535000000000004</v>
      </c>
      <c r="L76" s="11">
        <v>0</v>
      </c>
      <c r="M76" s="22">
        <v>120.5</v>
      </c>
      <c r="N76" s="22">
        <v>32.54</v>
      </c>
      <c r="O76" s="22">
        <v>0</v>
      </c>
      <c r="P76" s="11" t="s">
        <v>60</v>
      </c>
      <c r="Q76" s="11" t="s">
        <v>61</v>
      </c>
      <c r="R76" s="23">
        <v>0.27</v>
      </c>
      <c r="S76" s="11" t="s">
        <v>56</v>
      </c>
      <c r="T76" s="11" t="s">
        <v>378</v>
      </c>
      <c r="U76" s="11" t="s">
        <v>421</v>
      </c>
    </row>
    <row r="77" spans="1:21" x14ac:dyDescent="0.2">
      <c r="A77" s="21">
        <v>8325282</v>
      </c>
      <c r="B77" s="21" t="s">
        <v>406</v>
      </c>
      <c r="C77" s="11" t="s">
        <v>319</v>
      </c>
      <c r="D77" s="11" t="s">
        <v>320</v>
      </c>
      <c r="E77" s="11" t="s">
        <v>51</v>
      </c>
      <c r="F77" s="11" t="s">
        <v>54</v>
      </c>
      <c r="G77" s="11" t="s">
        <v>55</v>
      </c>
      <c r="H77" s="24" t="s">
        <v>430</v>
      </c>
      <c r="I77" s="11" t="s">
        <v>56</v>
      </c>
      <c r="J77" s="11">
        <v>36.08</v>
      </c>
      <c r="K77" s="11">
        <v>1.0823999999999998</v>
      </c>
      <c r="L77" s="11">
        <v>0</v>
      </c>
      <c r="M77" s="22">
        <v>36.08</v>
      </c>
      <c r="N77" s="22">
        <v>1.08</v>
      </c>
      <c r="O77" s="22">
        <v>0</v>
      </c>
      <c r="P77" s="11" t="s">
        <v>60</v>
      </c>
      <c r="Q77" s="11" t="s">
        <v>61</v>
      </c>
      <c r="R77" s="23">
        <v>0.03</v>
      </c>
      <c r="S77" s="11" t="s">
        <v>56</v>
      </c>
      <c r="T77" s="11" t="s">
        <v>379</v>
      </c>
      <c r="U77" s="11" t="s">
        <v>422</v>
      </c>
    </row>
    <row r="78" spans="1:21" x14ac:dyDescent="0.2">
      <c r="A78" s="21">
        <v>8325282</v>
      </c>
      <c r="B78" s="21" t="s">
        <v>406</v>
      </c>
      <c r="C78" s="11" t="s">
        <v>316</v>
      </c>
      <c r="D78" s="11" t="s">
        <v>317</v>
      </c>
      <c r="E78" s="11" t="s">
        <v>51</v>
      </c>
      <c r="F78" s="11" t="s">
        <v>54</v>
      </c>
      <c r="G78" s="11" t="s">
        <v>55</v>
      </c>
      <c r="H78" s="24" t="s">
        <v>430</v>
      </c>
      <c r="I78" s="11" t="s">
        <v>56</v>
      </c>
      <c r="J78" s="11">
        <v>36.08</v>
      </c>
      <c r="K78" s="11">
        <v>1.0823999999999998</v>
      </c>
      <c r="L78" s="11">
        <v>0</v>
      </c>
      <c r="M78" s="22">
        <v>36.08</v>
      </c>
      <c r="N78" s="22">
        <v>1.08</v>
      </c>
      <c r="O78" s="22">
        <v>0</v>
      </c>
      <c r="P78" s="11" t="s">
        <v>60</v>
      </c>
      <c r="Q78" s="11" t="s">
        <v>61</v>
      </c>
      <c r="R78" s="23">
        <v>0.03</v>
      </c>
      <c r="S78" s="11" t="s">
        <v>56</v>
      </c>
      <c r="T78" s="11" t="s">
        <v>379</v>
      </c>
      <c r="U78" s="11" t="s">
        <v>422</v>
      </c>
    </row>
    <row r="79" spans="1:21" x14ac:dyDescent="0.2">
      <c r="A79" s="21">
        <v>8325282</v>
      </c>
      <c r="B79" s="21" t="s">
        <v>406</v>
      </c>
      <c r="C79" s="11" t="s">
        <v>324</v>
      </c>
      <c r="D79" s="11" t="s">
        <v>325</v>
      </c>
      <c r="E79" s="11" t="s">
        <v>51</v>
      </c>
      <c r="F79" s="11" t="s">
        <v>326</v>
      </c>
      <c r="G79" s="11" t="s">
        <v>113</v>
      </c>
      <c r="H79" s="24" t="s">
        <v>430</v>
      </c>
      <c r="I79" s="11" t="s">
        <v>56</v>
      </c>
      <c r="J79" s="11">
        <v>36.08</v>
      </c>
      <c r="K79" s="11">
        <v>1.0823999999999998</v>
      </c>
      <c r="L79" s="11">
        <v>0</v>
      </c>
      <c r="M79" s="22">
        <v>36.08</v>
      </c>
      <c r="N79" s="22">
        <v>1.08</v>
      </c>
      <c r="O79" s="22">
        <v>0</v>
      </c>
      <c r="P79" s="11" t="s">
        <v>60</v>
      </c>
      <c r="Q79" s="11" t="s">
        <v>61</v>
      </c>
      <c r="R79" s="23">
        <v>0.03</v>
      </c>
      <c r="S79" s="11" t="s">
        <v>56</v>
      </c>
      <c r="T79" s="11" t="s">
        <v>379</v>
      </c>
      <c r="U79" s="11" t="s">
        <v>422</v>
      </c>
    </row>
  </sheetData>
  <sortState xmlns:xlrd2="http://schemas.microsoft.com/office/spreadsheetml/2017/richdata2" ref="A2:U79">
    <sortCondition ref="D2:D7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AD7E-840B-4B91-90F8-F0D065AB6B01}">
  <dimension ref="A1:B82"/>
  <sheetViews>
    <sheetView workbookViewId="0">
      <selection activeCell="B8" sqref="B8"/>
    </sheetView>
  </sheetViews>
  <sheetFormatPr defaultRowHeight="15" x14ac:dyDescent="0.25"/>
  <cols>
    <col min="1" max="1" width="10.42578125" bestFit="1" customWidth="1"/>
    <col min="2" max="2" width="81" bestFit="1" customWidth="1"/>
  </cols>
  <sheetData>
    <row r="1" spans="1:2" x14ac:dyDescent="0.25">
      <c r="A1" t="s">
        <v>49</v>
      </c>
      <c r="B1" t="str" cm="1">
        <f t="array" ref="B1:B82">VLOOKUP(A1:A82,[1]Sheet1!$A$1:$D$1285,4,FALSE)</f>
        <v>Medicare Supplement Plan G</v>
      </c>
    </row>
    <row r="2" spans="1:2" x14ac:dyDescent="0.25">
      <c r="A2" t="s">
        <v>64</v>
      </c>
      <c r="B2" t="str">
        <v>Medicare Supplement Plan G</v>
      </c>
    </row>
    <row r="3" spans="1:2" x14ac:dyDescent="0.25">
      <c r="A3" t="s">
        <v>71</v>
      </c>
      <c r="B3" t="str">
        <v>Medicare Supplement Plan G</v>
      </c>
    </row>
    <row r="4" spans="1:2" x14ac:dyDescent="0.25">
      <c r="A4" t="s">
        <v>76</v>
      </c>
      <c r="B4" t="str">
        <v>Medicare Supplement Plan G</v>
      </c>
    </row>
    <row r="5" spans="1:2" x14ac:dyDescent="0.25">
      <c r="A5" t="s">
        <v>81</v>
      </c>
      <c r="B5" t="str">
        <v>Medicare Supplement Plan G</v>
      </c>
    </row>
    <row r="6" spans="1:2" x14ac:dyDescent="0.25">
      <c r="A6" t="s">
        <v>84</v>
      </c>
      <c r="B6" t="str">
        <v>Medicare Supplement Plan G</v>
      </c>
    </row>
    <row r="7" spans="1:2" x14ac:dyDescent="0.25">
      <c r="A7" t="s">
        <v>87</v>
      </c>
      <c r="B7" t="str">
        <v>Medicare Supplement Plan G</v>
      </c>
    </row>
    <row r="8" spans="1:2" x14ac:dyDescent="0.25">
      <c r="A8" t="s">
        <v>90</v>
      </c>
      <c r="B8" t="str">
        <v>Medicare Supplement Plan G</v>
      </c>
    </row>
    <row r="9" spans="1:2" x14ac:dyDescent="0.25">
      <c r="A9" t="s">
        <v>94</v>
      </c>
      <c r="B9" t="str">
        <v>Medicare Supplement Plan G</v>
      </c>
    </row>
    <row r="10" spans="1:2" x14ac:dyDescent="0.25">
      <c r="A10" t="s">
        <v>98</v>
      </c>
      <c r="B10" t="str">
        <v>Iul Express</v>
      </c>
    </row>
    <row r="11" spans="1:2" x14ac:dyDescent="0.25">
      <c r="A11" t="s">
        <v>103</v>
      </c>
      <c r="B11" t="str">
        <v>Iul Express</v>
      </c>
    </row>
    <row r="12" spans="1:2" x14ac:dyDescent="0.25">
      <c r="A12" t="s">
        <v>109</v>
      </c>
      <c r="B12" t="str">
        <v>Iul Express</v>
      </c>
    </row>
    <row r="13" spans="1:2" x14ac:dyDescent="0.25">
      <c r="A13" t="s">
        <v>114</v>
      </c>
      <c r="B13" t="str">
        <v>Iul Express</v>
      </c>
    </row>
    <row r="14" spans="1:2" x14ac:dyDescent="0.25">
      <c r="A14" t="s">
        <v>117</v>
      </c>
      <c r="B14" t="str">
        <v>Term Life Express 10 15 20 30</v>
      </c>
    </row>
    <row r="15" spans="1:2" x14ac:dyDescent="0.25">
      <c r="A15" t="s">
        <v>122</v>
      </c>
      <c r="B15" t="str">
        <v>Iul Express</v>
      </c>
    </row>
    <row r="16" spans="1:2" x14ac:dyDescent="0.25">
      <c r="A16" t="s">
        <v>122</v>
      </c>
      <c r="B16" t="str">
        <v>Iul Express</v>
      </c>
    </row>
    <row r="17" spans="1:2" x14ac:dyDescent="0.25">
      <c r="A17" t="s">
        <v>128</v>
      </c>
      <c r="B17" t="str">
        <v>Tle 20-20yr Guar</v>
      </c>
    </row>
    <row r="18" spans="1:2" x14ac:dyDescent="0.25">
      <c r="A18" t="s">
        <v>132</v>
      </c>
      <c r="B18" t="str">
        <v>Term Life Express 10 15 20 30</v>
      </c>
    </row>
    <row r="19" spans="1:2" x14ac:dyDescent="0.25">
      <c r="A19" t="s">
        <v>135</v>
      </c>
      <c r="B19" t="e">
        <v>#N/A</v>
      </c>
    </row>
    <row r="20" spans="1:2" x14ac:dyDescent="0.25">
      <c r="A20" t="s">
        <v>140</v>
      </c>
      <c r="B20" t="str">
        <v>Iul Express</v>
      </c>
    </row>
    <row r="21" spans="1:2" x14ac:dyDescent="0.25">
      <c r="A21" t="s">
        <v>142</v>
      </c>
      <c r="B21" t="str">
        <v>Iul Express</v>
      </c>
    </row>
    <row r="22" spans="1:2" x14ac:dyDescent="0.25">
      <c r="A22" t="s">
        <v>145</v>
      </c>
      <c r="B22" t="str">
        <v>Term Life Express 10 15 20 30</v>
      </c>
    </row>
    <row r="23" spans="1:2" x14ac:dyDescent="0.25">
      <c r="A23" t="s">
        <v>148</v>
      </c>
      <c r="B23" t="str">
        <v>Iul Express</v>
      </c>
    </row>
    <row r="24" spans="1:2" x14ac:dyDescent="0.25">
      <c r="A24" t="s">
        <v>154</v>
      </c>
      <c r="B24" t="str">
        <v xml:space="preserve">Living Promise-graded                   </v>
      </c>
    </row>
    <row r="25" spans="1:2" x14ac:dyDescent="0.25">
      <c r="A25" t="s">
        <v>159</v>
      </c>
      <c r="B25" t="str">
        <v xml:space="preserve">Living Promise - Level  Benefit         </v>
      </c>
    </row>
    <row r="26" spans="1:2" x14ac:dyDescent="0.25">
      <c r="A26" t="s">
        <v>164</v>
      </c>
      <c r="B26" t="str">
        <v>Tle 20-20yr Guar</v>
      </c>
    </row>
    <row r="27" spans="1:2" x14ac:dyDescent="0.25">
      <c r="A27" t="s">
        <v>169</v>
      </c>
      <c r="B27" t="str">
        <v xml:space="preserve">Living Promise - Level  Benefit         </v>
      </c>
    </row>
    <row r="28" spans="1:2" x14ac:dyDescent="0.25">
      <c r="A28" t="s">
        <v>175</v>
      </c>
      <c r="B28" t="str">
        <v xml:space="preserve">Children S - Whole Life                 </v>
      </c>
    </row>
    <row r="29" spans="1:2" x14ac:dyDescent="0.25">
      <c r="A29" t="s">
        <v>180</v>
      </c>
      <c r="B29" t="str">
        <v xml:space="preserve">Living Promise - Level  Benefit         </v>
      </c>
    </row>
    <row r="30" spans="1:2" x14ac:dyDescent="0.25">
      <c r="A30" t="s">
        <v>185</v>
      </c>
      <c r="B30" t="str">
        <v>Iul Express</v>
      </c>
    </row>
    <row r="31" spans="1:2" x14ac:dyDescent="0.25">
      <c r="A31" t="s">
        <v>189</v>
      </c>
      <c r="B31" t="str">
        <v>Iul Express</v>
      </c>
    </row>
    <row r="32" spans="1:2" x14ac:dyDescent="0.25">
      <c r="A32" t="s">
        <v>193</v>
      </c>
      <c r="B32" t="str">
        <v>Iul Express</v>
      </c>
    </row>
    <row r="33" spans="1:2" x14ac:dyDescent="0.25">
      <c r="A33" t="s">
        <v>195</v>
      </c>
      <c r="B33" t="str">
        <v xml:space="preserve">Living Promise - Level  Benefit         </v>
      </c>
    </row>
    <row r="34" spans="1:2" x14ac:dyDescent="0.25">
      <c r="A34" t="s">
        <v>198</v>
      </c>
      <c r="B34" t="str">
        <v>Term Life Express 10 15 20 30</v>
      </c>
    </row>
    <row r="35" spans="1:2" x14ac:dyDescent="0.25">
      <c r="A35" t="s">
        <v>201</v>
      </c>
      <c r="B35" t="str">
        <v xml:space="preserve">Children S - Whole Life                 </v>
      </c>
    </row>
    <row r="36" spans="1:2" x14ac:dyDescent="0.25">
      <c r="A36" t="s">
        <v>201</v>
      </c>
      <c r="B36" t="str">
        <v xml:space="preserve">Children S - Whole Life                 </v>
      </c>
    </row>
    <row r="37" spans="1:2" x14ac:dyDescent="0.25">
      <c r="A37" t="s">
        <v>206</v>
      </c>
      <c r="B37" t="str">
        <v xml:space="preserve">Living Promise - Level  Benefit         </v>
      </c>
    </row>
    <row r="38" spans="1:2" x14ac:dyDescent="0.25">
      <c r="A38" t="s">
        <v>210</v>
      </c>
      <c r="B38" t="str">
        <v>Iul Express</v>
      </c>
    </row>
    <row r="39" spans="1:2" x14ac:dyDescent="0.25">
      <c r="A39" t="s">
        <v>215</v>
      </c>
      <c r="B39" t="str">
        <v xml:space="preserve">Children S - Whole Life                 </v>
      </c>
    </row>
    <row r="40" spans="1:2" x14ac:dyDescent="0.25">
      <c r="A40" t="s">
        <v>219</v>
      </c>
      <c r="B40" t="str">
        <v xml:space="preserve">Children S - Whole Life                 </v>
      </c>
    </row>
    <row r="41" spans="1:2" x14ac:dyDescent="0.25">
      <c r="A41" t="s">
        <v>223</v>
      </c>
      <c r="B41" t="str">
        <v>Term Life Express 10 15 20 30</v>
      </c>
    </row>
    <row r="42" spans="1:2" x14ac:dyDescent="0.25">
      <c r="A42" t="s">
        <v>227</v>
      </c>
      <c r="B42" t="str">
        <v>Iul Express</v>
      </c>
    </row>
    <row r="43" spans="1:2" x14ac:dyDescent="0.25">
      <c r="A43" t="s">
        <v>229</v>
      </c>
      <c r="B43" t="str">
        <v>Tle 20-20yr Guar</v>
      </c>
    </row>
    <row r="44" spans="1:2" x14ac:dyDescent="0.25">
      <c r="A44" t="s">
        <v>231</v>
      </c>
      <c r="B44" t="str">
        <v>Term Life Express 10 15 20 30</v>
      </c>
    </row>
    <row r="45" spans="1:2" x14ac:dyDescent="0.25">
      <c r="A45" t="s">
        <v>233</v>
      </c>
      <c r="B45" t="str">
        <v>Tle 20-20yr Guar</v>
      </c>
    </row>
    <row r="46" spans="1:2" x14ac:dyDescent="0.25">
      <c r="A46" t="s">
        <v>236</v>
      </c>
      <c r="B46" t="str">
        <v>Term Life Express 10 15 20 30</v>
      </c>
    </row>
    <row r="47" spans="1:2" x14ac:dyDescent="0.25">
      <c r="A47" t="s">
        <v>236</v>
      </c>
      <c r="B47" t="str">
        <v>Term Life Express 10 15 20 30</v>
      </c>
    </row>
    <row r="48" spans="1:2" x14ac:dyDescent="0.25">
      <c r="A48" t="s">
        <v>240</v>
      </c>
      <c r="B48" t="str">
        <v>Term Life Answer 10 15 20 30</v>
      </c>
    </row>
    <row r="49" spans="1:2" x14ac:dyDescent="0.25">
      <c r="A49" t="s">
        <v>246</v>
      </c>
      <c r="B49" t="str">
        <v>Term Life Express 10 15 20 30</v>
      </c>
    </row>
    <row r="50" spans="1:2" x14ac:dyDescent="0.25">
      <c r="A50" t="s">
        <v>252</v>
      </c>
      <c r="B50" t="str">
        <v>Iul Express</v>
      </c>
    </row>
    <row r="51" spans="1:2" x14ac:dyDescent="0.25">
      <c r="A51" t="s">
        <v>257</v>
      </c>
      <c r="B51" t="str">
        <v>Medicare Supplement Plan N</v>
      </c>
    </row>
    <row r="52" spans="1:2" x14ac:dyDescent="0.25">
      <c r="A52" t="s">
        <v>262</v>
      </c>
      <c r="B52" t="str">
        <v>Medicare Supplement Plan N</v>
      </c>
    </row>
    <row r="53" spans="1:2" x14ac:dyDescent="0.25">
      <c r="A53" t="s">
        <v>270</v>
      </c>
      <c r="B53" t="str">
        <v xml:space="preserve">Living Promise - Level  Benefit         </v>
      </c>
    </row>
    <row r="54" spans="1:2" x14ac:dyDescent="0.25">
      <c r="A54" t="s">
        <v>273</v>
      </c>
      <c r="B54" t="str">
        <v>Iul Express</v>
      </c>
    </row>
    <row r="55" spans="1:2" x14ac:dyDescent="0.25">
      <c r="A55" t="s">
        <v>277</v>
      </c>
      <c r="B55" t="str">
        <v>Iul Express</v>
      </c>
    </row>
    <row r="56" spans="1:2" x14ac:dyDescent="0.25">
      <c r="A56" t="s">
        <v>280</v>
      </c>
      <c r="B56" t="str">
        <v>Iul Express</v>
      </c>
    </row>
    <row r="57" spans="1:2" x14ac:dyDescent="0.25">
      <c r="A57" t="s">
        <v>283</v>
      </c>
      <c r="B57" t="str">
        <v xml:space="preserve">Living Promise - Level  Benefit         </v>
      </c>
    </row>
    <row r="58" spans="1:2" x14ac:dyDescent="0.25">
      <c r="A58" t="s">
        <v>287</v>
      </c>
      <c r="B58" t="str">
        <v>Term Life Express 10 15 20 30</v>
      </c>
    </row>
    <row r="59" spans="1:2" x14ac:dyDescent="0.25">
      <c r="A59" t="s">
        <v>290</v>
      </c>
      <c r="B59" t="str">
        <v>Term Life Express 10 15 20 30</v>
      </c>
    </row>
    <row r="60" spans="1:2" x14ac:dyDescent="0.25">
      <c r="A60" t="s">
        <v>292</v>
      </c>
      <c r="B60" t="str">
        <v xml:space="preserve">Living Promise - Level  Benefit         </v>
      </c>
    </row>
    <row r="61" spans="1:2" x14ac:dyDescent="0.25">
      <c r="A61" t="s">
        <v>296</v>
      </c>
      <c r="B61" t="str">
        <v xml:space="preserve">Living Promise - Level  Benefit         </v>
      </c>
    </row>
    <row r="62" spans="1:2" x14ac:dyDescent="0.25">
      <c r="A62" t="s">
        <v>298</v>
      </c>
      <c r="B62" t="str">
        <v>Iul Express</v>
      </c>
    </row>
    <row r="63" spans="1:2" x14ac:dyDescent="0.25">
      <c r="A63" t="s">
        <v>301</v>
      </c>
      <c r="B63" t="str">
        <v>Iul Express</v>
      </c>
    </row>
    <row r="64" spans="1:2" x14ac:dyDescent="0.25">
      <c r="A64" t="s">
        <v>305</v>
      </c>
      <c r="B64" t="str">
        <v>Medicare Supplement Plan G</v>
      </c>
    </row>
    <row r="65" spans="1:2" x14ac:dyDescent="0.25">
      <c r="A65" t="s">
        <v>308</v>
      </c>
      <c r="B65" t="str">
        <v>Medicare Supplement Plan G</v>
      </c>
    </row>
    <row r="66" spans="1:2" x14ac:dyDescent="0.25">
      <c r="A66" t="s">
        <v>311</v>
      </c>
      <c r="B66" t="str">
        <v>Medicare Supplement Plan N</v>
      </c>
    </row>
    <row r="67" spans="1:2" x14ac:dyDescent="0.25">
      <c r="A67" t="s">
        <v>316</v>
      </c>
      <c r="B67" t="str">
        <v xml:space="preserve">Protection  Plan (c) Dnt5i              </v>
      </c>
    </row>
    <row r="68" spans="1:2" x14ac:dyDescent="0.25">
      <c r="A68" t="s">
        <v>319</v>
      </c>
      <c r="B68" t="str">
        <v xml:space="preserve">Protection  Plan (c) Dnt5i              </v>
      </c>
    </row>
    <row r="69" spans="1:2" x14ac:dyDescent="0.25">
      <c r="A69" t="s">
        <v>321</v>
      </c>
      <c r="B69" t="str">
        <v xml:space="preserve">Preferred Plan (a) Dnt2i                </v>
      </c>
    </row>
    <row r="70" spans="1:2" x14ac:dyDescent="0.25">
      <c r="A70" t="s">
        <v>324</v>
      </c>
      <c r="B70" t="str">
        <v xml:space="preserve">Protection  Plan (c) Dnt5i              </v>
      </c>
    </row>
    <row r="71" spans="1:2" x14ac:dyDescent="0.25">
      <c r="A71" t="s">
        <v>327</v>
      </c>
      <c r="B71" t="str">
        <v xml:space="preserve">Protection  Plan (c) Dnt5i              </v>
      </c>
    </row>
    <row r="72" spans="1:2" x14ac:dyDescent="0.25">
      <c r="A72" t="s">
        <v>330</v>
      </c>
      <c r="B72" t="str">
        <v xml:space="preserve">Preferred Plan (a) Dnt2b                </v>
      </c>
    </row>
    <row r="73" spans="1:2" x14ac:dyDescent="0.25">
      <c r="A73" t="s">
        <v>334</v>
      </c>
      <c r="B73" t="str">
        <v xml:space="preserve">Preferred Plan (a) Dnt2i                </v>
      </c>
    </row>
    <row r="74" spans="1:2" x14ac:dyDescent="0.25">
      <c r="A74" t="s">
        <v>337</v>
      </c>
      <c r="B74" t="str">
        <v xml:space="preserve">Protection  Plan (c) Dnt5i              </v>
      </c>
    </row>
    <row r="75" spans="1:2" x14ac:dyDescent="0.25">
      <c r="A75" t="s">
        <v>339</v>
      </c>
      <c r="B75" t="str">
        <v xml:space="preserve">Protection  Plan (c) Dnt5i              </v>
      </c>
    </row>
    <row r="76" spans="1:2" x14ac:dyDescent="0.25">
      <c r="A76" t="s">
        <v>343</v>
      </c>
      <c r="B76" t="str">
        <v xml:space="preserve">Preferred Plan (a) Dnt2e                </v>
      </c>
    </row>
    <row r="77" spans="1:2" x14ac:dyDescent="0.25">
      <c r="A77" t="s">
        <v>347</v>
      </c>
      <c r="B77" t="str">
        <v xml:space="preserve">Preferred Plan (a) Dnt2e                </v>
      </c>
    </row>
    <row r="78" spans="1:2" x14ac:dyDescent="0.25">
      <c r="A78" t="s">
        <v>350</v>
      </c>
      <c r="B78" t="str">
        <v xml:space="preserve">Preferred Plan (a) Dnt2e                </v>
      </c>
    </row>
    <row r="79" spans="1:2" x14ac:dyDescent="0.25">
      <c r="A79" t="s">
        <v>352</v>
      </c>
      <c r="B79" t="str">
        <v xml:space="preserve">Preferred Plan (a) Dnt2i                </v>
      </c>
    </row>
    <row r="80" spans="1:2" x14ac:dyDescent="0.25">
      <c r="A80" t="s">
        <v>355</v>
      </c>
      <c r="B80" t="str">
        <v xml:space="preserve">Preferred Plan (a) Dnt2b                </v>
      </c>
    </row>
    <row r="81" spans="1:2" x14ac:dyDescent="0.25">
      <c r="A81" t="s">
        <v>358</v>
      </c>
      <c r="B81" t="str">
        <v xml:space="preserve">Preferred Plan (a) Dnt2e                </v>
      </c>
    </row>
    <row r="82" spans="1:2" x14ac:dyDescent="0.25">
      <c r="A82" t="s">
        <v>361</v>
      </c>
      <c r="B82" t="str">
        <v>Medicare Supplement Plan 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clean sheet</vt:lpstr>
      <vt:lpstr>Sheet2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2026-02-20T08:29:48Z</dcterms:created>
  <dcterms:modified xsi:type="dcterms:W3CDTF">2026-02-25T00:24:24Z</dcterms:modified>
</cp:coreProperties>
</file>