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t988EnGpqv7iK5flmHIjRqsR/BUUbr88/zLMbLCw/+4="/>
    </ext>
  </extLst>
</workbook>
</file>

<file path=xl/sharedStrings.xml><?xml version="1.0" encoding="utf-8"?>
<sst xmlns="http://schemas.openxmlformats.org/spreadsheetml/2006/main" count="3699" uniqueCount="576">
  <si>
    <t>MUTUAL OF OMAHA</t>
  </si>
  <si>
    <t>SUMMARY COMPENSATION STATEMENT</t>
  </si>
  <si>
    <t>For Period Ending 04/21/2026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</si>
  <si>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</si>
  <si>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</si>
  <si>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</si>
  <si>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</si>
  <si>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</si>
  <si>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</si>
  <si>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</si>
  <si>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</si>
  <si>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</si>
  <si>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</si>
  <si>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</si>
  <si>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</si>
  <si>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</si>
  <si>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</si>
  <si>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</si>
  <si>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>OTHER ACCOUNT ACTIVITY</t>
  </si>
  <si>
    <t xml:space="preserve">              BALANCE ADJUSTMENT        04/15/2026</t>
  </si>
  <si>
    <t xml:space="preserve">              TOTAL OTHER ACCOUNT ACTIVITY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</si>
  <si>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</si>
  <si>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</si>
  <si>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</si>
  <si>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</si>
  <si>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</si>
  <si>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</si>
  <si>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</si>
  <si>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</si>
  <si>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</si>
  <si>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</si>
  <si>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</si>
  <si>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</si>
  <si>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</si>
  <si>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</si>
  <si>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</si>
  <si>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</si>
  <si>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</si>
  <si>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</si>
  <si>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</si>
  <si>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</si>
  <si>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</si>
  <si>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</si>
  <si>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</si>
  <si>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</si>
  <si>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</si>
  <si>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</si>
  <si>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</si>
  <si>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</si>
  <si>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</si>
  <si>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</si>
  <si>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</si>
  <si>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614242-97</t>
  </si>
  <si>
    <t>BROWN PENNY</t>
  </si>
  <si>
    <t>IL</t>
  </si>
  <si>
    <t>04/15/2026</t>
  </si>
  <si>
    <t>NM24HL</t>
  </si>
  <si>
    <t>03/01/2025</t>
  </si>
  <si>
    <t>05/01/2026</t>
  </si>
  <si>
    <t/>
  </si>
  <si>
    <t>M</t>
  </si>
  <si>
    <t>BSP</t>
  </si>
  <si>
    <t>001</t>
  </si>
  <si>
    <t>R</t>
  </si>
  <si>
    <t>RENEWAL PYMT</t>
  </si>
  <si>
    <t>100.0%</t>
  </si>
  <si>
    <t>624106-97</t>
  </si>
  <si>
    <t>JOHNSON REBECCA</t>
  </si>
  <si>
    <t>04/01/2025</t>
  </si>
  <si>
    <t>629715-97</t>
  </si>
  <si>
    <t>BAUMHARDT JEAN</t>
  </si>
  <si>
    <t>0891923</t>
  </si>
  <si>
    <t>691883-97</t>
  </si>
  <si>
    <t>DUNN BARRY</t>
  </si>
  <si>
    <t>05/01/2025</t>
  </si>
  <si>
    <t>F</t>
  </si>
  <si>
    <t>BFY PAYMENT</t>
  </si>
  <si>
    <t>0732257</t>
  </si>
  <si>
    <t>523666-97</t>
  </si>
  <si>
    <t>MOE NELS</t>
  </si>
  <si>
    <t>01/01/2025</t>
  </si>
  <si>
    <t>502942-97</t>
  </si>
  <si>
    <t>HANDLEY MARSHA</t>
  </si>
  <si>
    <t>512529-97</t>
  </si>
  <si>
    <t>MAHNKE PEGGY</t>
  </si>
  <si>
    <t>04/16/2026</t>
  </si>
  <si>
    <t>544949-97</t>
  </si>
  <si>
    <t>TOLBERT MARGARET</t>
  </si>
  <si>
    <t>02/01/2025</t>
  </si>
  <si>
    <t>583853-97</t>
  </si>
  <si>
    <t>DAVIS MAURICE</t>
  </si>
  <si>
    <t>590925-97</t>
  </si>
  <si>
    <t>VENTIMIGLIA ROXANNE</t>
  </si>
  <si>
    <t>600435-97</t>
  </si>
  <si>
    <t>JOHNSON WILLIAM</t>
  </si>
  <si>
    <t>603047-97</t>
  </si>
  <si>
    <t>CASHEN ROBYN</t>
  </si>
  <si>
    <t>0893387</t>
  </si>
  <si>
    <t>910206-96</t>
  </si>
  <si>
    <t>BARKER GREGG</t>
  </si>
  <si>
    <t>NM24HTL</t>
  </si>
  <si>
    <t>03/16/2024</t>
  </si>
  <si>
    <t>05/16/2026</t>
  </si>
  <si>
    <t>OMAHA SUPP</t>
  </si>
  <si>
    <t>416716-97</t>
  </si>
  <si>
    <t>GOSSETT CANDY</t>
  </si>
  <si>
    <t>TN</t>
  </si>
  <si>
    <t>SM25L</t>
  </si>
  <si>
    <t>12/01/2024</t>
  </si>
  <si>
    <t>910205-96</t>
  </si>
  <si>
    <t>BARKER IRENE</t>
  </si>
  <si>
    <t>603087-97</t>
  </si>
  <si>
    <t>CASHEN CHRISTOPHER</t>
  </si>
  <si>
    <t>HEARTLAND FINANCIAL GROUP LLC</t>
  </si>
  <si>
    <t>0892054</t>
  </si>
  <si>
    <t>536996-41</t>
  </si>
  <si>
    <t>CHERVENAK DANIEL</t>
  </si>
  <si>
    <t>06/01/2026</t>
  </si>
  <si>
    <t>NEW COV ISS</t>
  </si>
  <si>
    <t>537035-41</t>
  </si>
  <si>
    <t>CHERVENAK IRENE</t>
  </si>
  <si>
    <t>0684147</t>
  </si>
  <si>
    <t>472388-41</t>
  </si>
  <si>
    <t>DENNEY JACK</t>
  </si>
  <si>
    <t>02/09/2026</t>
  </si>
  <si>
    <t>05/09/2026</t>
  </si>
  <si>
    <t>0910791</t>
  </si>
  <si>
    <t>538798-41</t>
  </si>
  <si>
    <t>LIMBACHER LEONARD</t>
  </si>
  <si>
    <t>OH</t>
  </si>
  <si>
    <t>04/17/2026</t>
  </si>
  <si>
    <t>SM35L</t>
  </si>
  <si>
    <t>0893214</t>
  </si>
  <si>
    <t>401788-41</t>
  </si>
  <si>
    <t>NICHOLSON LINDA</t>
  </si>
  <si>
    <t>01/01/2026</t>
  </si>
  <si>
    <t>539262-41</t>
  </si>
  <si>
    <t>GILBERT JEFFREY</t>
  </si>
  <si>
    <t>04/20/2026</t>
  </si>
  <si>
    <t>05/17/2026</t>
  </si>
  <si>
    <t>UNITED</t>
  </si>
  <si>
    <t>0894080</t>
  </si>
  <si>
    <t>BU6433394</t>
  </si>
  <si>
    <t>LUDWIG WILLIAM</t>
  </si>
  <si>
    <t>IXEXP1</t>
  </si>
  <si>
    <t>03/01/2026</t>
  </si>
  <si>
    <t>0899216</t>
  </si>
  <si>
    <t>BU6564727</t>
  </si>
  <si>
    <t>SIEGEL KIMBERLY</t>
  </si>
  <si>
    <t>MD</t>
  </si>
  <si>
    <t>TE15 1</t>
  </si>
  <si>
    <t>REWRITE ISS</t>
  </si>
  <si>
    <t>04/21/2026</t>
  </si>
  <si>
    <t>NEW ISS PYMT</t>
  </si>
  <si>
    <t>BU5547008</t>
  </si>
  <si>
    <t>ELLIS CAROLYNN</t>
  </si>
  <si>
    <t>TX</t>
  </si>
  <si>
    <t>09/14/2025</t>
  </si>
  <si>
    <t>05/14/2026</t>
  </si>
  <si>
    <t>BU5601741</t>
  </si>
  <si>
    <t>JETER PAUL</t>
  </si>
  <si>
    <t>NC</t>
  </si>
  <si>
    <t>09/15/2025</t>
  </si>
  <si>
    <t>05/15/2026</t>
  </si>
  <si>
    <t>BU6190433</t>
  </si>
  <si>
    <t>KING BOBBY</t>
  </si>
  <si>
    <t>AL</t>
  </si>
  <si>
    <t>11/15/2025</t>
  </si>
  <si>
    <t>BU6219134</t>
  </si>
  <si>
    <t>FOLEY SHANE</t>
  </si>
  <si>
    <t>SD</t>
  </si>
  <si>
    <t>12/15/2025</t>
  </si>
  <si>
    <t>BU6219853</t>
  </si>
  <si>
    <t>KILLIAN JOHN</t>
  </si>
  <si>
    <t>MO</t>
  </si>
  <si>
    <t>BU6370498</t>
  </si>
  <si>
    <t>HATFIELD KIM</t>
  </si>
  <si>
    <t>FL</t>
  </si>
  <si>
    <t>02/18/2026</t>
  </si>
  <si>
    <t>05/18/2026</t>
  </si>
  <si>
    <t>BU6431496</t>
  </si>
  <si>
    <t>ALLEN LEWIS VICKI</t>
  </si>
  <si>
    <t>02/01/2026</t>
  </si>
  <si>
    <t>BU6558973</t>
  </si>
  <si>
    <t>STACKS ROGER</t>
  </si>
  <si>
    <t>04/01/2026</t>
  </si>
  <si>
    <t>CONV NEW BUS</t>
  </si>
  <si>
    <t>BU6567708</t>
  </si>
  <si>
    <t>VAN BLADEL DORIS</t>
  </si>
  <si>
    <t>CONV ADJ</t>
  </si>
  <si>
    <t>BU6572501</t>
  </si>
  <si>
    <t>MCCLELLAN PAMELA</t>
  </si>
  <si>
    <t>05/02/2026</t>
  </si>
  <si>
    <t>BU6572506</t>
  </si>
  <si>
    <t>MIRTSCHING BARRY</t>
  </si>
  <si>
    <t>04/27/2026</t>
  </si>
  <si>
    <t>0928275</t>
  </si>
  <si>
    <t>BU6377072</t>
  </si>
  <si>
    <t>KUNDE MEGAN</t>
  </si>
  <si>
    <t>E20201</t>
  </si>
  <si>
    <t>02/02/2026</t>
  </si>
  <si>
    <t>BU6444063</t>
  </si>
  <si>
    <t>CLINE MICHAEL</t>
  </si>
  <si>
    <t>BU6485102</t>
  </si>
  <si>
    <t>HIEATT VIVIAN</t>
  </si>
  <si>
    <t>03/20/2026</t>
  </si>
  <si>
    <t>05/20/2026</t>
  </si>
  <si>
    <t>BU6506654</t>
  </si>
  <si>
    <t>GAY ANDREW</t>
  </si>
  <si>
    <t>REISS/REBILL</t>
  </si>
  <si>
    <t>NEW ISS REV</t>
  </si>
  <si>
    <t>0815797</t>
  </si>
  <si>
    <t>BU6205379</t>
  </si>
  <si>
    <t>KETTER LISA</t>
  </si>
  <si>
    <t>PA</t>
  </si>
  <si>
    <t>11/10/2025</t>
  </si>
  <si>
    <t>05/10/2026</t>
  </si>
  <si>
    <t>0816910</t>
  </si>
  <si>
    <t>BU6476892</t>
  </si>
  <si>
    <t>KAUFFMAN CYNTHIA</t>
  </si>
  <si>
    <t>02/19/2026</t>
  </si>
  <si>
    <t>05/19/2026</t>
  </si>
  <si>
    <t>0818994</t>
  </si>
  <si>
    <t>BU6482770</t>
  </si>
  <si>
    <t>LINTNER DONALD</t>
  </si>
  <si>
    <t>FEPL 1</t>
  </si>
  <si>
    <t>03/13/2026</t>
  </si>
  <si>
    <t>05/13/2026</t>
  </si>
  <si>
    <t>0819525</t>
  </si>
  <si>
    <t>BU6496753</t>
  </si>
  <si>
    <t>MIJAILOVIC VERONA</t>
  </si>
  <si>
    <t>03/18/2026</t>
  </si>
  <si>
    <t>1196651</t>
  </si>
  <si>
    <t>BU5371034</t>
  </si>
  <si>
    <t>PEARSON DEBORAH</t>
  </si>
  <si>
    <t>06/20/2025</t>
  </si>
  <si>
    <t>1227344</t>
  </si>
  <si>
    <t>BU5477819</t>
  </si>
  <si>
    <t>FLEMING TYRELLE</t>
  </si>
  <si>
    <t>E30301</t>
  </si>
  <si>
    <t>08/07/2025</t>
  </si>
  <si>
    <t>05/07/2026</t>
  </si>
  <si>
    <t>BU6524472</t>
  </si>
  <si>
    <t>DAVIS PREDEST</t>
  </si>
  <si>
    <t>04/10/2026</t>
  </si>
  <si>
    <t>BU6577657</t>
  </si>
  <si>
    <t>SEAWELL KEITH</t>
  </si>
  <si>
    <t>05/21/2026</t>
  </si>
  <si>
    <t>1275324</t>
  </si>
  <si>
    <t>BU6572868</t>
  </si>
  <si>
    <t>BOOKER MAKENA</t>
  </si>
  <si>
    <t>AZ</t>
  </si>
  <si>
    <t>1282681</t>
  </si>
  <si>
    <t>BU6389935</t>
  </si>
  <si>
    <t>ALCIDE RONAL</t>
  </si>
  <si>
    <t>20GPT1</t>
  </si>
  <si>
    <t>03/06/2026</t>
  </si>
  <si>
    <t>05/06/2026</t>
  </si>
  <si>
    <t>0257168</t>
  </si>
  <si>
    <t>BU5308223</t>
  </si>
  <si>
    <t>TCHOUDEU ANNE</t>
  </si>
  <si>
    <t>OK</t>
  </si>
  <si>
    <t>06/01/2025</t>
  </si>
  <si>
    <t>BU6509808</t>
  </si>
  <si>
    <t>WILSON TREVOR</t>
  </si>
  <si>
    <t>03/24/2026</t>
  </si>
  <si>
    <t>05/24/2026</t>
  </si>
  <si>
    <t>BU6509850</t>
  </si>
  <si>
    <t>WILSON LINDSEY</t>
  </si>
  <si>
    <t>03/25/2026</t>
  </si>
  <si>
    <t>05/25/2026</t>
  </si>
  <si>
    <t>0468247</t>
  </si>
  <si>
    <t>BU5516561</t>
  </si>
  <si>
    <t>PURALEWSKI GIANNA</t>
  </si>
  <si>
    <t>JVWL 1</t>
  </si>
  <si>
    <t>08/25/2025</t>
  </si>
  <si>
    <t>BU5516597</t>
  </si>
  <si>
    <t>PURALEWSKI AMARA</t>
  </si>
  <si>
    <t>08/26/2025</t>
  </si>
  <si>
    <t>05/26/2026</t>
  </si>
  <si>
    <t>0496849</t>
  </si>
  <si>
    <t>BU6578305</t>
  </si>
  <si>
    <t>SIMMONS CYNDIE</t>
  </si>
  <si>
    <t>KY</t>
  </si>
  <si>
    <t>0606680</t>
  </si>
  <si>
    <t>BU5359993</t>
  </si>
  <si>
    <t>MILLER GINGER</t>
  </si>
  <si>
    <t>MI</t>
  </si>
  <si>
    <t>FEPG 1</t>
  </si>
  <si>
    <t>BU5476019</t>
  </si>
  <si>
    <t>TOBIN DIANA</t>
  </si>
  <si>
    <t>IN</t>
  </si>
  <si>
    <t>08/15/2025</t>
  </si>
  <si>
    <t>BU6235224</t>
  </si>
  <si>
    <t>BROMUND AMATA</t>
  </si>
  <si>
    <t>BU6409083</t>
  </si>
  <si>
    <t>FILIPPO NATALIE</t>
  </si>
  <si>
    <t>02/20/2026</t>
  </si>
  <si>
    <t>BU6550719</t>
  </si>
  <si>
    <t>BUSH VIVIANA</t>
  </si>
  <si>
    <t>04/13/2026</t>
  </si>
  <si>
    <t>1093959</t>
  </si>
  <si>
    <t>BU6579091</t>
  </si>
  <si>
    <t>COOK SAMANTHA</t>
  </si>
  <si>
    <t>1099222</t>
  </si>
  <si>
    <t>BU6212512</t>
  </si>
  <si>
    <t>HAYNES LORI</t>
  </si>
  <si>
    <t>LA</t>
  </si>
  <si>
    <t>BU6216469</t>
  </si>
  <si>
    <t>SESTER MEGAN</t>
  </si>
  <si>
    <t>OR</t>
  </si>
  <si>
    <t>12/17/2025</t>
  </si>
  <si>
    <t>BU6216990</t>
  </si>
  <si>
    <t>MCGHEE GAIL</t>
  </si>
  <si>
    <t>BU6226945</t>
  </si>
  <si>
    <t>RIEDMANN KAREN</t>
  </si>
  <si>
    <t>1075176</t>
  </si>
  <si>
    <t>BU6559850</t>
  </si>
  <si>
    <t>ZAGD MUNKHJARGAL</t>
  </si>
  <si>
    <t>BU5539645</t>
  </si>
  <si>
    <t>BRADLEY JOSEPHINE</t>
  </si>
  <si>
    <t>BU6464552</t>
  </si>
  <si>
    <t>KUCHLER CONSTANCE</t>
  </si>
  <si>
    <t>03/05/2026</t>
  </si>
  <si>
    <t>05/05/2026</t>
  </si>
  <si>
    <t>BU5336528</t>
  </si>
  <si>
    <t>MIGLIO SALVATORE</t>
  </si>
  <si>
    <t>06/28/2025</t>
  </si>
  <si>
    <t>04/28/2026</t>
  </si>
  <si>
    <t>BFY REVERSAL</t>
  </si>
  <si>
    <t>1121105</t>
  </si>
  <si>
    <t>BU5346759</t>
  </si>
  <si>
    <t>MAJIGSUREN NYAMJARGAL</t>
  </si>
  <si>
    <t>06/05/2025</t>
  </si>
  <si>
    <t>BU5653756</t>
  </si>
  <si>
    <t>SCADUTO JACQUELINE</t>
  </si>
  <si>
    <t>10/22/2025</t>
  </si>
  <si>
    <t>04/22/2026</t>
  </si>
  <si>
    <t>BU6212432</t>
  </si>
  <si>
    <t>HAYNES CHRISTOPHER</t>
  </si>
  <si>
    <t>INNOVATIVE FINANCIAL PARTNERS LLC</t>
  </si>
  <si>
    <t>BU5062572</t>
  </si>
  <si>
    <t>MARSHALL JOHNNIETTE</t>
  </si>
  <si>
    <t>01/15/2025</t>
  </si>
  <si>
    <t>BU4758764</t>
  </si>
  <si>
    <t>MILLER BRENDA</t>
  </si>
  <si>
    <t>07/19/2024</t>
  </si>
  <si>
    <t>BU5062646</t>
  </si>
  <si>
    <t>MARSHALL FREDDIE</t>
  </si>
  <si>
    <t>01/24/2025</t>
  </si>
  <si>
    <t>BU5182312</t>
  </si>
  <si>
    <t>JOHNSON BRET</t>
  </si>
  <si>
    <t>MT</t>
  </si>
  <si>
    <t>04/16/2025</t>
  </si>
  <si>
    <t>BU5255660</t>
  </si>
  <si>
    <t>OSBORNE CARRIE</t>
  </si>
  <si>
    <t>05/15/2025</t>
  </si>
  <si>
    <t>BU5255661</t>
  </si>
  <si>
    <t>OSBORNE DAVID</t>
  </si>
  <si>
    <t>BU5305630</t>
  </si>
  <si>
    <t>QUESADA DIANA</t>
  </si>
  <si>
    <t>06/17/2025</t>
  </si>
  <si>
    <t>BU5045360</t>
  </si>
  <si>
    <t>JOHNSON SHELLEY</t>
  </si>
  <si>
    <t>BU5108099</t>
  </si>
  <si>
    <t>MATTHEWS DONNETTE</t>
  </si>
  <si>
    <t>03/02/2025</t>
  </si>
  <si>
    <t>BU4854427</t>
  </si>
  <si>
    <t>CURCIO KIMBERLY</t>
  </si>
  <si>
    <t>09/18/2024</t>
  </si>
  <si>
    <t>0957310</t>
  </si>
  <si>
    <t>418918-97</t>
  </si>
  <si>
    <t>MCCOY CAROL</t>
  </si>
  <si>
    <t>UM24HLV</t>
  </si>
  <si>
    <t>10/01/2024</t>
  </si>
  <si>
    <t>08/01/2026</t>
  </si>
  <si>
    <t>Q</t>
  </si>
  <si>
    <t>REG</t>
  </si>
  <si>
    <t>003</t>
  </si>
  <si>
    <t>UNITED WORLD</t>
  </si>
  <si>
    <t>579998-97</t>
  </si>
  <si>
    <t>HUSLIN SUZANNE</t>
  </si>
  <si>
    <t>WM25L</t>
  </si>
  <si>
    <t>978415-96</t>
  </si>
  <si>
    <t>LOPEZ FRANCES</t>
  </si>
  <si>
    <t>UM35HLV</t>
  </si>
  <si>
    <t>06/01/2024</t>
  </si>
  <si>
    <t>MUTUAL</t>
  </si>
  <si>
    <t>360629-97</t>
  </si>
  <si>
    <t>MORGAN ROBERT</t>
  </si>
  <si>
    <t>MM35HL</t>
  </si>
  <si>
    <t>08/01/2024</t>
  </si>
  <si>
    <t>0892048</t>
  </si>
  <si>
    <t>400134-97</t>
  </si>
  <si>
    <t>INNES MICHAEL</t>
  </si>
  <si>
    <t>DNT5IL</t>
  </si>
  <si>
    <t>08/20/2024</t>
  </si>
  <si>
    <t>900385-96</t>
  </si>
  <si>
    <t>BURTON PATRICIA</t>
  </si>
  <si>
    <t>MM25HTL</t>
  </si>
  <si>
    <t>03/07/2024</t>
  </si>
  <si>
    <t>06/07/2026</t>
  </si>
  <si>
    <t>0938286</t>
  </si>
  <si>
    <t>660202-97</t>
  </si>
  <si>
    <t>FINN PATTY</t>
  </si>
  <si>
    <t>DNT2IL</t>
  </si>
  <si>
    <t>03/28/2025</t>
  </si>
  <si>
    <t>05/28/2026</t>
  </si>
  <si>
    <t>579927-97</t>
  </si>
  <si>
    <t>GREEN JODIE</t>
  </si>
  <si>
    <t>DNT2BL</t>
  </si>
  <si>
    <t>0513364</t>
  </si>
  <si>
    <t>421672-97</t>
  </si>
  <si>
    <t>SEPSIS DEMETRI</t>
  </si>
  <si>
    <t>09/15/2024</t>
  </si>
  <si>
    <t>552778-97</t>
  </si>
  <si>
    <t>ADAMS KAYLA</t>
  </si>
  <si>
    <t>564582-97</t>
  </si>
  <si>
    <t>SEPSEY ARACELIS</t>
  </si>
  <si>
    <t>650319-97</t>
  </si>
  <si>
    <t>MCCALL HUGH</t>
  </si>
  <si>
    <t>03/19/2025</t>
  </si>
  <si>
    <t>650330-97</t>
  </si>
  <si>
    <t>MCCALL YOLANDA</t>
  </si>
  <si>
    <t>400120-97</t>
  </si>
  <si>
    <t>INNES ELIZABETH</t>
  </si>
  <si>
    <t>818227-97</t>
  </si>
  <si>
    <t>HARRIS JAMES</t>
  </si>
  <si>
    <t>DNT2EL</t>
  </si>
  <si>
    <t>09/01/2025</t>
  </si>
  <si>
    <t>818239-97</t>
  </si>
  <si>
    <t>HARRIS KATHRYN</t>
  </si>
  <si>
    <t>403893-41</t>
  </si>
  <si>
    <t>OCONNELL THOMAS</t>
  </si>
  <si>
    <t>1093252</t>
  </si>
  <si>
    <t>807015-97</t>
  </si>
  <si>
    <t>JONES RENEE</t>
  </si>
  <si>
    <t>08/01/2025</t>
  </si>
  <si>
    <t>826678-97</t>
  </si>
  <si>
    <t>BENITEZ JOVITO</t>
  </si>
  <si>
    <t>856935-97</t>
  </si>
  <si>
    <t>ANDRE JAMES</t>
  </si>
  <si>
    <t>11/01/2025</t>
  </si>
  <si>
    <t>0907625</t>
  </si>
  <si>
    <t>466381-41</t>
  </si>
  <si>
    <t>MUMBLOW MARK</t>
  </si>
  <si>
    <t>466463-41</t>
  </si>
  <si>
    <t>MUMBLOW DALE</t>
  </si>
  <si>
    <t>541472-41</t>
  </si>
  <si>
    <t>RICHARDS ANGELA</t>
  </si>
  <si>
    <t>HI25FL</t>
  </si>
  <si>
    <t>541488-41</t>
  </si>
  <si>
    <t>RICHARDS DALE</t>
  </si>
  <si>
    <t>Prod Name</t>
  </si>
  <si>
    <t>Agent</t>
  </si>
  <si>
    <t>Agent ID</t>
  </si>
  <si>
    <t>BOB Product</t>
  </si>
  <si>
    <t>Product</t>
  </si>
  <si>
    <t>BOB Prem</t>
  </si>
  <si>
    <t>BOB Comm</t>
  </si>
  <si>
    <t>Makena Booker</t>
  </si>
  <si>
    <t>21777079AV9</t>
  </si>
  <si>
    <t>NB</t>
  </si>
  <si>
    <t>AV</t>
  </si>
  <si>
    <t>Iul Express</t>
  </si>
  <si>
    <t>IUL express</t>
  </si>
  <si>
    <t>Matthew Powers</t>
  </si>
  <si>
    <t>RN</t>
  </si>
  <si>
    <t>AE</t>
  </si>
  <si>
    <t>Medicare Supp- AR High Deductible Plan F&amp;G&amp;Plan N Age 65-74</t>
  </si>
  <si>
    <t>Gregory Teipel</t>
  </si>
  <si>
    <t>Jeffrey Horn</t>
  </si>
  <si>
    <t>2158366AV9</t>
  </si>
  <si>
    <t>Term Life Express 10 15 20 30</t>
  </si>
  <si>
    <t>Term Life Express</t>
  </si>
  <si>
    <t>Universal Life</t>
  </si>
  <si>
    <t>Steven Brandt</t>
  </si>
  <si>
    <t>Hospital Indemnity</t>
  </si>
  <si>
    <t>Hospital Indemnity CO, DC, FL, IN, KY, MI, ND, OH, SC, TN, UT, VA</t>
  </si>
  <si>
    <t>Medicare Supplement Plan N</t>
  </si>
  <si>
    <t>Medicare Supp- PA Plans High Deductible F,G,&amp;N 65 26.50</t>
  </si>
  <si>
    <t>Ronald Max</t>
  </si>
  <si>
    <t>Taliah Ferguson</t>
  </si>
  <si>
    <t>21561165AV9</t>
  </si>
  <si>
    <t>Frank Liskovec</t>
  </si>
  <si>
    <t>8814784AV9</t>
  </si>
  <si>
    <t>Medicare Supplement Plan G</t>
  </si>
  <si>
    <t>Med Supp IL/DE/TX/IN Ages 65-83</t>
  </si>
  <si>
    <t>Nasandelger Zana</t>
  </si>
  <si>
    <t>NASANDELGER  ZANA</t>
  </si>
  <si>
    <t>AV1</t>
  </si>
  <si>
    <t>TALIAH  FERGUSON</t>
  </si>
  <si>
    <t>Living Promise - Level Benefit</t>
  </si>
  <si>
    <t>IULE TP</t>
  </si>
  <si>
    <t>Thomas Pardue</t>
  </si>
  <si>
    <t>THOMAS  PARDUE</t>
  </si>
  <si>
    <t>Patsamon Thanadabouth</t>
  </si>
  <si>
    <t>PATSAMON  THANADABOUTH</t>
  </si>
  <si>
    <t>Ines Berg</t>
  </si>
  <si>
    <t>INES  BERG</t>
  </si>
  <si>
    <t>Protection Plan (c) Dnt5i</t>
  </si>
  <si>
    <t>National Dental</t>
  </si>
  <si>
    <t>Matthew Sherman</t>
  </si>
  <si>
    <t>MATTHEW  SHERMAN</t>
  </si>
  <si>
    <t>8812322L3</t>
  </si>
  <si>
    <t>IL replacement Medicare Supplement Plan G</t>
  </si>
  <si>
    <t>Christian Taugner</t>
  </si>
  <si>
    <t>CHRISTIAN  TAUGNER</t>
  </si>
  <si>
    <t>Preferred Plan (a) Dnt2e</t>
  </si>
  <si>
    <t>Robert Shapiro</t>
  </si>
  <si>
    <t>ROBERT  SHAPIRO</t>
  </si>
  <si>
    <t>7565575old</t>
  </si>
  <si>
    <t>Preferred Plan (a) Dnt2b</t>
  </si>
  <si>
    <t>Pamela Deaton</t>
  </si>
  <si>
    <t>PAMELA  DEATON</t>
  </si>
  <si>
    <t>Children S - Whole Life</t>
  </si>
  <si>
    <t>Preferred Plan (a) Dnt2i</t>
  </si>
  <si>
    <t>371819L4</t>
  </si>
  <si>
    <t>Final Expense: Level Product Commission Ages 81-85</t>
  </si>
  <si>
    <t>Ricardo Santos</t>
  </si>
  <si>
    <t>RICARDO  SANTOS</t>
  </si>
  <si>
    <t>Michael Dunavant</t>
  </si>
  <si>
    <t>MICHAEL  DUNAVANT</t>
  </si>
  <si>
    <t>Dale Walenga</t>
  </si>
  <si>
    <t>DALE  WALENGA</t>
  </si>
  <si>
    <t>Gregory Hansford</t>
  </si>
  <si>
    <t>GREGORY  HANSFORD</t>
  </si>
  <si>
    <t>Richard Yale</t>
  </si>
  <si>
    <t>RICHARD  YALE</t>
  </si>
  <si>
    <t>Ryan Caltagirone</t>
  </si>
  <si>
    <t>RYAN  CALTAGIRONE</t>
  </si>
  <si>
    <t>Tle 20-20yr Guar</t>
  </si>
  <si>
    <t>Ronal Alcide</t>
  </si>
  <si>
    <t>RONAL  ALCIDE</t>
  </si>
  <si>
    <t>Term Life Answer 10 15 20 30</t>
  </si>
  <si>
    <t>Term Life Answers- 20 &amp; 30 year terms</t>
  </si>
  <si>
    <t>Gary Portugal</t>
  </si>
  <si>
    <t>GARY  PORTUGAL</t>
  </si>
  <si>
    <t>FEX Level Ages 45-80</t>
  </si>
  <si>
    <t>Ryan Shepard</t>
  </si>
  <si>
    <t>RYAN  SHEPARD</t>
  </si>
  <si>
    <t>2024 Final Expense: Level Product Commission Ages 45-80</t>
  </si>
  <si>
    <t>STEVEN  BRANDT</t>
  </si>
  <si>
    <t>Jacob Yale</t>
  </si>
  <si>
    <t>JACOB  YALE</t>
  </si>
  <si>
    <t>GREG  TEIPEL</t>
  </si>
  <si>
    <t>Adam Richter</t>
  </si>
  <si>
    <t>ADAM  RICHTER</t>
  </si>
  <si>
    <t>Jason Roller</t>
  </si>
  <si>
    <t>JASON  ROLLER</t>
  </si>
  <si>
    <t>Med Supp MD/NJ/TN/VA/WY Ages 65-83 2025</t>
  </si>
  <si>
    <t>Matthew Daugherty</t>
  </si>
  <si>
    <t>MATTHEW  DAUGHERTY</t>
  </si>
  <si>
    <t>Deborah Inskipt</t>
  </si>
  <si>
    <t>DEBORAH  INSKIPT</t>
  </si>
  <si>
    <t>17528908N</t>
  </si>
  <si>
    <t>Shawn Gastelo</t>
  </si>
  <si>
    <t>SHAWN  GASTELO</t>
  </si>
  <si>
    <t>2024 Term Life Express: IXEXP1 Term Life Conversion to IUL in years 6+ of term issue date</t>
  </si>
  <si>
    <t>Living Promise-graded</t>
  </si>
  <si>
    <t>Living Promise Graded</t>
  </si>
  <si>
    <t>Odmaa Enkhtur</t>
  </si>
  <si>
    <t>ODMAA  ENKHTUR</t>
  </si>
  <si>
    <t>Med Supp MD/NJ/TN/VA/WY Ages 65-83</t>
  </si>
  <si>
    <t>Timothy Powers</t>
  </si>
  <si>
    <t>TIMOTHY  POWERS</t>
  </si>
  <si>
    <t>MD HD F,G,N</t>
  </si>
  <si>
    <t>Anne Marie Kozacheck</t>
  </si>
  <si>
    <t>ANNE MARIE  KOZACHECK</t>
  </si>
  <si>
    <t>19278370old</t>
  </si>
  <si>
    <t>Medicare Supp- PA Plans High Deductible F,G,&amp;N 65+</t>
  </si>
  <si>
    <t>Medicare Supp- PA All Plans</t>
  </si>
  <si>
    <t>Duplicate</t>
  </si>
  <si>
    <t>Paid the new premium</t>
  </si>
  <si>
    <t>Did a chargeback of the previous premium</t>
  </si>
  <si>
    <t>Did not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</si>
</sst>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\ \ \ \ \ \ \ \ \ \ \ \ \ \ \ \ \ \ \ "/>
    <numFmt numFmtId="165" formatCode="#,##0.00000"/>
    <numFmt numFmtId="166" formatCode="&quot;$&quot;#,##0.00_);[Red]\(&quot;$&quot;#,##0.00\)"/>
  </numFmts>
  <fonts count="4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0" fillId="2" fontId="1" numFmtId="0" xfId="0" applyFill="1" applyFont="1"/>
    <xf borderId="0" fillId="2" fontId="1" numFmtId="0" xfId="0" applyAlignment="1" applyFont="1">
      <alignment horizontal="left"/>
    </xf>
    <xf borderId="0" fillId="2" fontId="1" numFmtId="4" xfId="0" applyFont="1" applyNumberFormat="1"/>
    <xf borderId="0" fillId="2" fontId="1" numFmtId="0" xfId="0" applyAlignment="1" applyFont="1">
      <alignment horizontal="right"/>
    </xf>
    <xf borderId="0" fillId="2" fontId="1" numFmtId="165" xfId="0" applyFont="1" applyNumberFormat="1"/>
    <xf borderId="0" fillId="0" fontId="3" numFmtId="0" xfId="0" applyAlignment="1" applyFont="1">
      <alignment horizontal="left" vertical="center"/>
    </xf>
    <xf borderId="7" fillId="3" fontId="1" numFmtId="0" xfId="0" applyAlignment="1" applyBorder="1" applyFill="1" applyFont="1">
      <alignment horizontal="left"/>
    </xf>
    <xf borderId="7" fillId="3" fontId="1" numFmtId="0" xfId="0" applyBorder="1" applyFont="1"/>
    <xf borderId="7" fillId="3" fontId="1" numFmtId="166" xfId="0" applyBorder="1" applyFont="1" applyNumberFormat="1"/>
    <xf borderId="7" fillId="3" fontId="1" numFmtId="4" xfId="0" applyBorder="1" applyFont="1" applyNumberFormat="1"/>
    <xf borderId="7" fillId="3" fontId="1" numFmtId="165" xfId="0" applyBorder="1" applyFont="1" applyNumberFormat="1"/>
    <xf borderId="7" fillId="4" fontId="1" numFmtId="0" xfId="0" applyBorder="1" applyFill="1" applyFont="1"/>
    <xf borderId="7" fillId="4" fontId="1" numFmtId="0" xfId="0" applyAlignment="1" applyBorder="1" applyFont="1">
      <alignment horizontal="left"/>
    </xf>
    <xf borderId="7" fillId="4" fontId="1" numFmtId="166" xfId="0" applyBorder="1" applyFont="1" applyNumberFormat="1"/>
    <xf borderId="7" fillId="4" fontId="1" numFmtId="4" xfId="0" applyBorder="1" applyFont="1" applyNumberFormat="1"/>
    <xf borderId="7" fillId="4" fontId="1" numFmtId="165" xfId="0" applyBorder="1" applyFont="1" applyNumberFormat="1"/>
    <xf borderId="0" fillId="0" fontId="1" numFmtId="166" xfId="0" applyFont="1" applyNumberFormat="1"/>
    <xf borderId="7" fillId="5" fontId="1" numFmtId="0" xfId="0" applyAlignment="1" applyBorder="1" applyFill="1" applyFont="1">
      <alignment horizontal="left"/>
    </xf>
    <xf borderId="7" fillId="5" fontId="1" numFmtId="0" xfId="0" applyBorder="1" applyFont="1"/>
    <xf borderId="7" fillId="5" fontId="1" numFmtId="166" xfId="0" applyBorder="1" applyFont="1" applyNumberFormat="1"/>
    <xf borderId="7" fillId="5" fontId="1" numFmtId="4" xfId="0" applyBorder="1" applyFont="1" applyNumberFormat="1"/>
    <xf borderId="7" fillId="5" fontId="1" numFmtId="165" xfId="0" applyBorder="1" applyFont="1" applyNumberFormat="1"/>
    <xf borderId="7" fillId="6" fontId="1" numFmtId="0" xfId="0" applyAlignment="1" applyBorder="1" applyFill="1" applyFont="1">
      <alignment horizontal="left"/>
    </xf>
    <xf borderId="7" fillId="6" fontId="1" numFmtId="0" xfId="0" applyBorder="1" applyFont="1"/>
    <xf borderId="7" fillId="6" fontId="1" numFmtId="166" xfId="0" applyBorder="1" applyFont="1" applyNumberFormat="1"/>
    <xf borderId="7" fillId="6" fontId="1" numFmtId="4" xfId="0" applyBorder="1" applyFont="1" applyNumberFormat="1"/>
    <xf borderId="7" fillId="6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26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12</v>
      </c>
      <c r="B19" s="10">
        <v>365.47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13</v>
      </c>
      <c r="B20" s="10">
        <v>74.13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12</v>
      </c>
      <c r="B24" s="10">
        <v>12160.93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13</v>
      </c>
      <c r="B25" s="10">
        <v>171.76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13</v>
      </c>
      <c r="B29" s="10">
        <v>112.65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/>
      <c r="B30" s="10"/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 t="s">
        <v>16</v>
      </c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 t="s">
        <v>11</v>
      </c>
      <c r="B32" s="10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 t="s">
        <v>12</v>
      </c>
      <c r="B33" s="10">
        <v>222.02</v>
      </c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 t="s">
        <v>13</v>
      </c>
      <c r="B34" s="10">
        <v>430.92</v>
      </c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/>
      <c r="B35" s="10"/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 t="s">
        <v>17</v>
      </c>
      <c r="B36" s="10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 t="s">
        <v>11</v>
      </c>
      <c r="B37" s="10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 t="s">
        <v>12</v>
      </c>
      <c r="B38" s="10">
        <v>68.3</v>
      </c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 t="s">
        <v>13</v>
      </c>
      <c r="B39" s="10">
        <v>24.35</v>
      </c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/>
      <c r="B40" s="10"/>
      <c r="C40" s="1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 t="s">
        <v>18</v>
      </c>
      <c r="B41" s="10"/>
      <c r="C41" s="10">
        <v>13630.53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 t="s">
        <v>19</v>
      </c>
      <c r="B42" s="10">
        <v>9451.44</v>
      </c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9"/>
      <c r="B43" s="10"/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9" t="s">
        <v>20</v>
      </c>
      <c r="B44" s="10"/>
      <c r="C44" s="10">
        <v>9451.44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9"/>
      <c r="B45" s="10"/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9" t="s">
        <v>21</v>
      </c>
      <c r="B46" s="10"/>
      <c r="C46" s="1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9"/>
      <c r="B47" s="10"/>
      <c r="C47" s="1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9" t="s">
        <v>10</v>
      </c>
      <c r="B48" s="10">
        <v>-439.6</v>
      </c>
      <c r="C48" s="1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9" t="s">
        <v>14</v>
      </c>
      <c r="B49" s="10">
        <v>-21784.13</v>
      </c>
      <c r="C49" s="1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9" t="s">
        <v>15</v>
      </c>
      <c r="B50" s="10">
        <v>-112.65</v>
      </c>
      <c r="C50" s="1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9" t="s">
        <v>16</v>
      </c>
      <c r="B51" s="10">
        <v>-652.94</v>
      </c>
      <c r="C51" s="1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9" t="s">
        <v>17</v>
      </c>
      <c r="B52" s="10">
        <v>-92.65</v>
      </c>
      <c r="C52" s="1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9"/>
      <c r="B53" s="10"/>
      <c r="C53" s="1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9" t="s">
        <v>22</v>
      </c>
      <c r="B54" s="10"/>
      <c r="C54" s="10">
        <v>-23081.97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9" t="s">
        <v>23</v>
      </c>
      <c r="B55" s="10"/>
      <c r="C55" s="10">
        <v>0.0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9"/>
      <c r="B56" s="10"/>
      <c r="C56" s="1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6"/>
      <c r="B57" s="11"/>
      <c r="C57" s="1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9.14"/>
  </cols>
  <sheetData>
    <row r="1" ht="30.0" customHeight="1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36</v>
      </c>
      <c r="N1" s="12" t="s">
        <v>37</v>
      </c>
      <c r="O1" s="12" t="s">
        <v>38</v>
      </c>
      <c r="P1" s="12" t="s">
        <v>39</v>
      </c>
      <c r="Q1" s="12" t="s">
        <v>40</v>
      </c>
      <c r="R1" s="12" t="s">
        <v>41</v>
      </c>
      <c r="S1" s="12" t="s">
        <v>42</v>
      </c>
      <c r="T1" s="12" t="s">
        <v>43</v>
      </c>
      <c r="U1" s="12" t="s">
        <v>44</v>
      </c>
      <c r="V1" s="12" t="s">
        <v>45</v>
      </c>
      <c r="W1" s="12" t="s">
        <v>46</v>
      </c>
      <c r="X1" s="12" t="s">
        <v>47</v>
      </c>
      <c r="Y1" s="1"/>
      <c r="Z1" s="1"/>
    </row>
    <row r="2" ht="14.25" customHeight="1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3" t="s">
        <v>59</v>
      </c>
      <c r="M2" s="1" t="s">
        <v>60</v>
      </c>
      <c r="N2" s="1" t="s">
        <v>61</v>
      </c>
      <c r="O2" s="1" t="s">
        <v>62</v>
      </c>
      <c r="P2" s="1">
        <v>0.0</v>
      </c>
      <c r="Q2" s="14">
        <v>129.39</v>
      </c>
      <c r="R2" s="1" t="s">
        <v>63</v>
      </c>
      <c r="S2" s="1" t="s">
        <v>64</v>
      </c>
      <c r="T2" s="15" t="s">
        <v>65</v>
      </c>
      <c r="U2" s="16">
        <v>0.23</v>
      </c>
      <c r="V2" s="14">
        <v>29.76</v>
      </c>
      <c r="W2" s="14">
        <v>0.0</v>
      </c>
      <c r="X2" s="1" t="s">
        <v>59</v>
      </c>
      <c r="Y2" s="1"/>
      <c r="Z2" s="1"/>
    </row>
    <row r="3" ht="14.25" customHeight="1">
      <c r="A3" s="1" t="s">
        <v>48</v>
      </c>
      <c r="B3" s="1" t="s">
        <v>49</v>
      </c>
      <c r="C3" s="1" t="s">
        <v>50</v>
      </c>
      <c r="D3" s="1" t="s">
        <v>51</v>
      </c>
      <c r="E3" s="1" t="s">
        <v>66</v>
      </c>
      <c r="F3" s="1" t="s">
        <v>67</v>
      </c>
      <c r="G3" s="1" t="s">
        <v>54</v>
      </c>
      <c r="H3" s="1" t="s">
        <v>55</v>
      </c>
      <c r="I3" s="1" t="s">
        <v>56</v>
      </c>
      <c r="J3" s="1" t="s">
        <v>68</v>
      </c>
      <c r="K3" s="1" t="s">
        <v>58</v>
      </c>
      <c r="L3" s="13" t="s">
        <v>59</v>
      </c>
      <c r="M3" s="1" t="s">
        <v>60</v>
      </c>
      <c r="N3" s="1" t="s">
        <v>61</v>
      </c>
      <c r="O3" s="1" t="s">
        <v>62</v>
      </c>
      <c r="P3" s="1">
        <v>0.0</v>
      </c>
      <c r="Q3" s="14">
        <v>113.86</v>
      </c>
      <c r="R3" s="1" t="s">
        <v>63</v>
      </c>
      <c r="S3" s="1" t="s">
        <v>64</v>
      </c>
      <c r="T3" s="15" t="s">
        <v>65</v>
      </c>
      <c r="U3" s="16">
        <v>0.23</v>
      </c>
      <c r="V3" s="14">
        <v>26.19</v>
      </c>
      <c r="W3" s="14">
        <v>0.0</v>
      </c>
      <c r="X3" s="1" t="s">
        <v>59</v>
      </c>
      <c r="Y3" s="1"/>
      <c r="Z3" s="1"/>
    </row>
    <row r="4" ht="14.25" customHeight="1">
      <c r="A4" s="1" t="s">
        <v>48</v>
      </c>
      <c r="B4" s="1" t="s">
        <v>49</v>
      </c>
      <c r="C4" s="1" t="s">
        <v>50</v>
      </c>
      <c r="D4" s="1" t="s">
        <v>51</v>
      </c>
      <c r="E4" s="1" t="s">
        <v>69</v>
      </c>
      <c r="F4" s="1" t="s">
        <v>70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  <c r="L4" s="13" t="s">
        <v>59</v>
      </c>
      <c r="M4" s="1" t="s">
        <v>60</v>
      </c>
      <c r="N4" s="1" t="s">
        <v>61</v>
      </c>
      <c r="O4" s="1" t="s">
        <v>62</v>
      </c>
      <c r="P4" s="1">
        <v>0.0</v>
      </c>
      <c r="Q4" s="14">
        <v>137.34</v>
      </c>
      <c r="R4" s="1" t="s">
        <v>63</v>
      </c>
      <c r="S4" s="1" t="s">
        <v>64</v>
      </c>
      <c r="T4" s="15" t="s">
        <v>65</v>
      </c>
      <c r="U4" s="16">
        <v>0.23</v>
      </c>
      <c r="V4" s="14">
        <v>31.59</v>
      </c>
      <c r="W4" s="14">
        <v>0.0</v>
      </c>
      <c r="X4" s="1" t="s">
        <v>59</v>
      </c>
      <c r="Y4" s="1"/>
      <c r="Z4" s="1"/>
    </row>
    <row r="5" ht="14.25" customHeight="1">
      <c r="A5" s="1" t="s">
        <v>48</v>
      </c>
      <c r="B5" s="1" t="s">
        <v>49</v>
      </c>
      <c r="C5" s="1" t="s">
        <v>50</v>
      </c>
      <c r="D5" s="1" t="s">
        <v>71</v>
      </c>
      <c r="E5" s="1" t="s">
        <v>72</v>
      </c>
      <c r="F5" s="1" t="s">
        <v>73</v>
      </c>
      <c r="G5" s="1" t="s">
        <v>54</v>
      </c>
      <c r="H5" s="1" t="s">
        <v>55</v>
      </c>
      <c r="I5" s="1" t="s">
        <v>56</v>
      </c>
      <c r="J5" s="1" t="s">
        <v>74</v>
      </c>
      <c r="K5" s="1" t="s">
        <v>58</v>
      </c>
      <c r="L5" s="13" t="s">
        <v>59</v>
      </c>
      <c r="M5" s="1" t="s">
        <v>60</v>
      </c>
      <c r="N5" s="1" t="s">
        <v>61</v>
      </c>
      <c r="O5" s="1" t="s">
        <v>62</v>
      </c>
      <c r="P5" s="1">
        <v>0.0</v>
      </c>
      <c r="Q5" s="14">
        <v>162.27</v>
      </c>
      <c r="R5" s="1" t="s">
        <v>75</v>
      </c>
      <c r="S5" s="1" t="s">
        <v>76</v>
      </c>
      <c r="T5" s="15" t="s">
        <v>65</v>
      </c>
      <c r="U5" s="16">
        <v>0.23</v>
      </c>
      <c r="V5" s="14">
        <v>37.32</v>
      </c>
      <c r="W5" s="14">
        <v>0.0</v>
      </c>
      <c r="X5" s="1" t="s">
        <v>59</v>
      </c>
      <c r="Y5" s="1"/>
      <c r="Z5" s="1"/>
    </row>
    <row r="6" ht="14.25" customHeight="1">
      <c r="A6" s="1" t="s">
        <v>48</v>
      </c>
      <c r="B6" s="1" t="s">
        <v>49</v>
      </c>
      <c r="C6" s="1" t="s">
        <v>50</v>
      </c>
      <c r="D6" s="1" t="s">
        <v>77</v>
      </c>
      <c r="E6" s="1" t="s">
        <v>78</v>
      </c>
      <c r="F6" s="1" t="s">
        <v>79</v>
      </c>
      <c r="G6" s="1" t="s">
        <v>54</v>
      </c>
      <c r="H6" s="1" t="s">
        <v>55</v>
      </c>
      <c r="I6" s="1" t="s">
        <v>56</v>
      </c>
      <c r="J6" s="1" t="s">
        <v>80</v>
      </c>
      <c r="K6" s="1" t="s">
        <v>58</v>
      </c>
      <c r="L6" s="13" t="s">
        <v>59</v>
      </c>
      <c r="M6" s="1" t="s">
        <v>60</v>
      </c>
      <c r="N6" s="1" t="s">
        <v>61</v>
      </c>
      <c r="O6" s="1" t="s">
        <v>62</v>
      </c>
      <c r="P6" s="1">
        <v>0.0</v>
      </c>
      <c r="Q6" s="14">
        <v>192.36</v>
      </c>
      <c r="R6" s="1" t="s">
        <v>63</v>
      </c>
      <c r="S6" s="1" t="s">
        <v>64</v>
      </c>
      <c r="T6" s="15" t="s">
        <v>65</v>
      </c>
      <c r="U6" s="16">
        <v>0.23</v>
      </c>
      <c r="V6" s="14">
        <v>44.24</v>
      </c>
      <c r="W6" s="14">
        <v>0.0</v>
      </c>
      <c r="X6" s="1" t="s">
        <v>59</v>
      </c>
      <c r="Y6" s="1"/>
      <c r="Z6" s="1"/>
    </row>
    <row r="7" ht="14.25" customHeight="1">
      <c r="A7" s="1" t="s">
        <v>48</v>
      </c>
      <c r="B7" s="1" t="s">
        <v>49</v>
      </c>
      <c r="C7" s="1" t="s">
        <v>50</v>
      </c>
      <c r="D7" s="1" t="s">
        <v>51</v>
      </c>
      <c r="E7" s="1" t="s">
        <v>81</v>
      </c>
      <c r="F7" s="1" t="s">
        <v>82</v>
      </c>
      <c r="G7" s="1" t="s">
        <v>54</v>
      </c>
      <c r="H7" s="1" t="s">
        <v>55</v>
      </c>
      <c r="I7" s="1" t="s">
        <v>56</v>
      </c>
      <c r="J7" s="1" t="s">
        <v>80</v>
      </c>
      <c r="K7" s="1" t="s">
        <v>58</v>
      </c>
      <c r="L7" s="13" t="s">
        <v>59</v>
      </c>
      <c r="M7" s="1" t="s">
        <v>60</v>
      </c>
      <c r="N7" s="1" t="s">
        <v>61</v>
      </c>
      <c r="O7" s="1" t="s">
        <v>62</v>
      </c>
      <c r="P7" s="1">
        <v>0.0</v>
      </c>
      <c r="Q7" s="14">
        <v>151.24</v>
      </c>
      <c r="R7" s="1" t="s">
        <v>63</v>
      </c>
      <c r="S7" s="1" t="s">
        <v>64</v>
      </c>
      <c r="T7" s="15" t="s">
        <v>65</v>
      </c>
      <c r="U7" s="16">
        <v>0.23</v>
      </c>
      <c r="V7" s="14">
        <v>34.79</v>
      </c>
      <c r="W7" s="14">
        <v>0.0</v>
      </c>
      <c r="X7" s="1" t="s">
        <v>59</v>
      </c>
      <c r="Y7" s="1"/>
      <c r="Z7" s="1"/>
    </row>
    <row r="8" ht="14.25" customHeight="1">
      <c r="A8" s="1" t="s">
        <v>48</v>
      </c>
      <c r="B8" s="1" t="s">
        <v>49</v>
      </c>
      <c r="C8" s="1" t="s">
        <v>50</v>
      </c>
      <c r="D8" s="1" t="s">
        <v>51</v>
      </c>
      <c r="E8" s="1" t="s">
        <v>83</v>
      </c>
      <c r="F8" s="1" t="s">
        <v>84</v>
      </c>
      <c r="G8" s="1" t="s">
        <v>54</v>
      </c>
      <c r="H8" s="1" t="s">
        <v>85</v>
      </c>
      <c r="I8" s="1" t="s">
        <v>56</v>
      </c>
      <c r="J8" s="1" t="s">
        <v>80</v>
      </c>
      <c r="K8" s="1" t="s">
        <v>58</v>
      </c>
      <c r="L8" s="13" t="s">
        <v>59</v>
      </c>
      <c r="M8" s="1" t="s">
        <v>60</v>
      </c>
      <c r="N8" s="1" t="s">
        <v>61</v>
      </c>
      <c r="O8" s="1" t="s">
        <v>62</v>
      </c>
      <c r="P8" s="1">
        <v>0.0</v>
      </c>
      <c r="Q8" s="14">
        <v>146.42</v>
      </c>
      <c r="R8" s="1" t="s">
        <v>63</v>
      </c>
      <c r="S8" s="1" t="s">
        <v>64</v>
      </c>
      <c r="T8" s="15" t="s">
        <v>65</v>
      </c>
      <c r="U8" s="16">
        <v>0.23</v>
      </c>
      <c r="V8" s="14">
        <v>33.68</v>
      </c>
      <c r="W8" s="14">
        <v>0.0</v>
      </c>
      <c r="X8" s="1" t="s">
        <v>59</v>
      </c>
      <c r="Y8" s="1"/>
      <c r="Z8" s="1"/>
    </row>
    <row r="9" ht="14.25" customHeight="1">
      <c r="A9" s="1" t="s">
        <v>48</v>
      </c>
      <c r="B9" s="1" t="s">
        <v>49</v>
      </c>
      <c r="C9" s="1" t="s">
        <v>50</v>
      </c>
      <c r="D9" s="1" t="s">
        <v>51</v>
      </c>
      <c r="E9" s="1" t="s">
        <v>86</v>
      </c>
      <c r="F9" s="1" t="s">
        <v>87</v>
      </c>
      <c r="G9" s="1" t="s">
        <v>54</v>
      </c>
      <c r="H9" s="1" t="s">
        <v>85</v>
      </c>
      <c r="I9" s="1" t="s">
        <v>56</v>
      </c>
      <c r="J9" s="1" t="s">
        <v>88</v>
      </c>
      <c r="K9" s="1" t="s">
        <v>58</v>
      </c>
      <c r="L9" s="13" t="s">
        <v>59</v>
      </c>
      <c r="M9" s="1" t="s">
        <v>60</v>
      </c>
      <c r="N9" s="1" t="s">
        <v>61</v>
      </c>
      <c r="O9" s="1" t="s">
        <v>62</v>
      </c>
      <c r="P9" s="1">
        <v>0.0</v>
      </c>
      <c r="Q9" s="14">
        <v>113.86</v>
      </c>
      <c r="R9" s="1" t="s">
        <v>63</v>
      </c>
      <c r="S9" s="1" t="s">
        <v>64</v>
      </c>
      <c r="T9" s="15" t="s">
        <v>65</v>
      </c>
      <c r="U9" s="16">
        <v>0.23</v>
      </c>
      <c r="V9" s="14">
        <v>26.19</v>
      </c>
      <c r="W9" s="14">
        <v>0.0</v>
      </c>
      <c r="X9" s="1" t="s">
        <v>59</v>
      </c>
      <c r="Y9" s="1"/>
      <c r="Z9" s="1"/>
    </row>
    <row r="10" ht="14.25" customHeight="1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89</v>
      </c>
      <c r="F10" s="1" t="s">
        <v>90</v>
      </c>
      <c r="G10" s="1" t="s">
        <v>54</v>
      </c>
      <c r="H10" s="1" t="s">
        <v>85</v>
      </c>
      <c r="I10" s="1" t="s">
        <v>56</v>
      </c>
      <c r="J10" s="1" t="s">
        <v>88</v>
      </c>
      <c r="K10" s="1" t="s">
        <v>58</v>
      </c>
      <c r="L10" s="13" t="s">
        <v>59</v>
      </c>
      <c r="M10" s="1" t="s">
        <v>60</v>
      </c>
      <c r="N10" s="1" t="s">
        <v>61</v>
      </c>
      <c r="O10" s="1" t="s">
        <v>62</v>
      </c>
      <c r="P10" s="1">
        <v>0.0</v>
      </c>
      <c r="Q10" s="14">
        <v>128.67</v>
      </c>
      <c r="R10" s="1" t="s">
        <v>63</v>
      </c>
      <c r="S10" s="1" t="s">
        <v>64</v>
      </c>
      <c r="T10" s="15" t="s">
        <v>65</v>
      </c>
      <c r="U10" s="16">
        <v>0.23</v>
      </c>
      <c r="V10" s="14">
        <v>29.59</v>
      </c>
      <c r="W10" s="14">
        <v>0.0</v>
      </c>
      <c r="X10" s="1" t="s">
        <v>59</v>
      </c>
      <c r="Y10" s="1"/>
      <c r="Z10" s="1"/>
    </row>
    <row r="11" ht="14.25" customHeight="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91</v>
      </c>
      <c r="F11" s="1" t="s">
        <v>92</v>
      </c>
      <c r="G11" s="1" t="s">
        <v>54</v>
      </c>
      <c r="H11" s="1" t="s">
        <v>55</v>
      </c>
      <c r="I11" s="1" t="s">
        <v>56</v>
      </c>
      <c r="J11" s="1" t="s">
        <v>57</v>
      </c>
      <c r="K11" s="1" t="s">
        <v>58</v>
      </c>
      <c r="L11" s="13" t="s">
        <v>59</v>
      </c>
      <c r="M11" s="1" t="s">
        <v>60</v>
      </c>
      <c r="N11" s="1" t="s">
        <v>61</v>
      </c>
      <c r="O11" s="1" t="s">
        <v>62</v>
      </c>
      <c r="P11" s="1">
        <v>0.0</v>
      </c>
      <c r="Q11" s="14">
        <v>113.86</v>
      </c>
      <c r="R11" s="1" t="s">
        <v>63</v>
      </c>
      <c r="S11" s="1" t="s">
        <v>64</v>
      </c>
      <c r="T11" s="15" t="s">
        <v>65</v>
      </c>
      <c r="U11" s="16">
        <v>0.23</v>
      </c>
      <c r="V11" s="14">
        <v>26.19</v>
      </c>
      <c r="W11" s="14">
        <v>0.0</v>
      </c>
      <c r="X11" s="1" t="s">
        <v>59</v>
      </c>
      <c r="Y11" s="1"/>
      <c r="Z11" s="1"/>
    </row>
    <row r="12" ht="14.25" customHeight="1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93</v>
      </c>
      <c r="F12" s="1" t="s">
        <v>94</v>
      </c>
      <c r="G12" s="1" t="s">
        <v>54</v>
      </c>
      <c r="H12" s="1" t="s">
        <v>55</v>
      </c>
      <c r="I12" s="1" t="s">
        <v>56</v>
      </c>
      <c r="J12" s="1" t="s">
        <v>57</v>
      </c>
      <c r="K12" s="1" t="s">
        <v>58</v>
      </c>
      <c r="L12" s="13" t="s">
        <v>59</v>
      </c>
      <c r="M12" s="1" t="s">
        <v>60</v>
      </c>
      <c r="N12" s="1" t="s">
        <v>61</v>
      </c>
      <c r="O12" s="1" t="s">
        <v>62</v>
      </c>
      <c r="P12" s="1">
        <v>0.0</v>
      </c>
      <c r="Q12" s="14">
        <v>128.67</v>
      </c>
      <c r="R12" s="1" t="s">
        <v>63</v>
      </c>
      <c r="S12" s="1" t="s">
        <v>64</v>
      </c>
      <c r="T12" s="15" t="s">
        <v>65</v>
      </c>
      <c r="U12" s="16">
        <v>0.23</v>
      </c>
      <c r="V12" s="14">
        <v>29.59</v>
      </c>
      <c r="W12" s="14">
        <v>0.0</v>
      </c>
      <c r="X12" s="1" t="s">
        <v>59</v>
      </c>
      <c r="Y12" s="1"/>
      <c r="Z12" s="1"/>
    </row>
    <row r="13" ht="14.25" customHeight="1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95</v>
      </c>
      <c r="F13" s="1" t="s">
        <v>96</v>
      </c>
      <c r="G13" s="1" t="s">
        <v>54</v>
      </c>
      <c r="H13" s="1" t="s">
        <v>55</v>
      </c>
      <c r="I13" s="1" t="s">
        <v>56</v>
      </c>
      <c r="J13" s="1" t="s">
        <v>57</v>
      </c>
      <c r="K13" s="1" t="s">
        <v>58</v>
      </c>
      <c r="L13" s="13" t="s">
        <v>59</v>
      </c>
      <c r="M13" s="1" t="s">
        <v>60</v>
      </c>
      <c r="N13" s="1" t="s">
        <v>61</v>
      </c>
      <c r="O13" s="1" t="s">
        <v>62</v>
      </c>
      <c r="P13" s="1">
        <v>0.0</v>
      </c>
      <c r="Q13" s="14">
        <v>116.03</v>
      </c>
      <c r="R13" s="1" t="s">
        <v>63</v>
      </c>
      <c r="S13" s="1" t="s">
        <v>64</v>
      </c>
      <c r="T13" s="15" t="s">
        <v>65</v>
      </c>
      <c r="U13" s="16">
        <v>0.23</v>
      </c>
      <c r="V13" s="14">
        <v>26.69</v>
      </c>
      <c r="W13" s="14">
        <v>0.0</v>
      </c>
      <c r="X13" s="1" t="s">
        <v>59</v>
      </c>
      <c r="Y13" s="1"/>
      <c r="Z13" s="1"/>
    </row>
    <row r="14" ht="14.25" customHeight="1">
      <c r="A14" s="1" t="s">
        <v>48</v>
      </c>
      <c r="B14" s="1" t="s">
        <v>49</v>
      </c>
      <c r="C14" s="1" t="s">
        <v>50</v>
      </c>
      <c r="D14" s="1" t="s">
        <v>97</v>
      </c>
      <c r="E14" s="1" t="s">
        <v>98</v>
      </c>
      <c r="F14" s="1" t="s">
        <v>99</v>
      </c>
      <c r="G14" s="1" t="s">
        <v>54</v>
      </c>
      <c r="H14" s="1" t="s">
        <v>85</v>
      </c>
      <c r="I14" s="1" t="s">
        <v>100</v>
      </c>
      <c r="J14" s="1" t="s">
        <v>101</v>
      </c>
      <c r="K14" s="1" t="s">
        <v>102</v>
      </c>
      <c r="L14" s="13" t="s">
        <v>59</v>
      </c>
      <c r="M14" s="1" t="s">
        <v>60</v>
      </c>
      <c r="N14" s="1" t="s">
        <v>61</v>
      </c>
      <c r="O14" s="1" t="s">
        <v>62</v>
      </c>
      <c r="P14" s="1">
        <v>0.0</v>
      </c>
      <c r="Q14" s="14">
        <v>160.36</v>
      </c>
      <c r="R14" s="1" t="s">
        <v>63</v>
      </c>
      <c r="S14" s="1" t="s">
        <v>64</v>
      </c>
      <c r="T14" s="15" t="s">
        <v>65</v>
      </c>
      <c r="U14" s="16">
        <v>0.23</v>
      </c>
      <c r="V14" s="14">
        <v>36.88</v>
      </c>
      <c r="W14" s="14">
        <v>0.0</v>
      </c>
      <c r="X14" s="1" t="s">
        <v>59</v>
      </c>
      <c r="Y14" s="1"/>
      <c r="Z14" s="1"/>
    </row>
    <row r="15" ht="14.25" customHeight="1">
      <c r="A15" s="1" t="s">
        <v>103</v>
      </c>
      <c r="B15" s="1" t="s">
        <v>49</v>
      </c>
      <c r="C15" s="1" t="s">
        <v>50</v>
      </c>
      <c r="D15" s="1" t="s">
        <v>97</v>
      </c>
      <c r="E15" s="1" t="s">
        <v>104</v>
      </c>
      <c r="F15" s="1" t="s">
        <v>105</v>
      </c>
      <c r="G15" s="1" t="s">
        <v>106</v>
      </c>
      <c r="H15" s="1" t="s">
        <v>55</v>
      </c>
      <c r="I15" s="1" t="s">
        <v>107</v>
      </c>
      <c r="J15" s="1" t="s">
        <v>108</v>
      </c>
      <c r="K15" s="1" t="s">
        <v>58</v>
      </c>
      <c r="L15" s="13" t="s">
        <v>59</v>
      </c>
      <c r="M15" s="1" t="s">
        <v>60</v>
      </c>
      <c r="N15" s="1" t="s">
        <v>61</v>
      </c>
      <c r="O15" s="1" t="s">
        <v>62</v>
      </c>
      <c r="P15" s="1">
        <v>0.0</v>
      </c>
      <c r="Q15" s="14">
        <v>105.87</v>
      </c>
      <c r="R15" s="1" t="s">
        <v>63</v>
      </c>
      <c r="S15" s="1" t="s">
        <v>64</v>
      </c>
      <c r="T15" s="15" t="s">
        <v>65</v>
      </c>
      <c r="U15" s="16">
        <v>0.23</v>
      </c>
      <c r="V15" s="14">
        <v>24.35</v>
      </c>
      <c r="W15" s="14">
        <v>0.0</v>
      </c>
      <c r="X15" s="1" t="s">
        <v>59</v>
      </c>
      <c r="Y15" s="1"/>
      <c r="Z15" s="1"/>
    </row>
    <row r="16" ht="14.25" customHeight="1">
      <c r="A16" s="1" t="s">
        <v>48</v>
      </c>
      <c r="B16" s="1" t="s">
        <v>49</v>
      </c>
      <c r="C16" s="1" t="s">
        <v>50</v>
      </c>
      <c r="D16" s="1" t="s">
        <v>97</v>
      </c>
      <c r="E16" s="1" t="s">
        <v>109</v>
      </c>
      <c r="F16" s="1" t="s">
        <v>110</v>
      </c>
      <c r="G16" s="1" t="s">
        <v>54</v>
      </c>
      <c r="H16" s="1" t="s">
        <v>85</v>
      </c>
      <c r="I16" s="1" t="s">
        <v>56</v>
      </c>
      <c r="J16" s="1" t="s">
        <v>101</v>
      </c>
      <c r="K16" s="1" t="s">
        <v>102</v>
      </c>
      <c r="L16" s="13" t="s">
        <v>59</v>
      </c>
      <c r="M16" s="1" t="s">
        <v>60</v>
      </c>
      <c r="N16" s="1" t="s">
        <v>61</v>
      </c>
      <c r="O16" s="1" t="s">
        <v>62</v>
      </c>
      <c r="P16" s="1">
        <v>0.0</v>
      </c>
      <c r="Q16" s="14">
        <v>112.82</v>
      </c>
      <c r="R16" s="1" t="s">
        <v>63</v>
      </c>
      <c r="S16" s="1" t="s">
        <v>64</v>
      </c>
      <c r="T16" s="15" t="s">
        <v>65</v>
      </c>
      <c r="U16" s="16">
        <v>0.23</v>
      </c>
      <c r="V16" s="14">
        <v>25.95</v>
      </c>
      <c r="W16" s="14">
        <v>0.0</v>
      </c>
      <c r="X16" s="1" t="s">
        <v>59</v>
      </c>
      <c r="Y16" s="1"/>
      <c r="Z16" s="1"/>
    </row>
    <row r="17" ht="14.25" customHeight="1">
      <c r="A17" s="1" t="s">
        <v>48</v>
      </c>
      <c r="B17" s="1" t="s">
        <v>49</v>
      </c>
      <c r="C17" s="1" t="s">
        <v>50</v>
      </c>
      <c r="D17" s="1" t="s">
        <v>51</v>
      </c>
      <c r="E17" s="1" t="s">
        <v>111</v>
      </c>
      <c r="F17" s="1" t="s">
        <v>112</v>
      </c>
      <c r="G17" s="1" t="s">
        <v>54</v>
      </c>
      <c r="H17" s="1" t="s">
        <v>55</v>
      </c>
      <c r="I17" s="1" t="s">
        <v>56</v>
      </c>
      <c r="J17" s="1" t="s">
        <v>57</v>
      </c>
      <c r="K17" s="1" t="s">
        <v>58</v>
      </c>
      <c r="L17" s="13" t="s">
        <v>59</v>
      </c>
      <c r="M17" s="1" t="s">
        <v>60</v>
      </c>
      <c r="N17" s="1" t="s">
        <v>61</v>
      </c>
      <c r="O17" s="1" t="s">
        <v>62</v>
      </c>
      <c r="P17" s="1">
        <v>0.0</v>
      </c>
      <c r="Q17" s="14">
        <v>128.67</v>
      </c>
      <c r="R17" s="1" t="s">
        <v>63</v>
      </c>
      <c r="S17" s="1" t="s">
        <v>64</v>
      </c>
      <c r="T17" s="15" t="s">
        <v>65</v>
      </c>
      <c r="U17" s="16">
        <v>0.23</v>
      </c>
      <c r="V17" s="14">
        <v>29.59</v>
      </c>
      <c r="W17" s="14">
        <v>0.0</v>
      </c>
      <c r="X17" s="1" t="s">
        <v>59</v>
      </c>
      <c r="Y17" s="1"/>
      <c r="Z17" s="1"/>
    </row>
    <row r="18" ht="14.25" customHeight="1">
      <c r="A18" s="1" t="s">
        <v>48</v>
      </c>
      <c r="B18" s="1" t="s">
        <v>49</v>
      </c>
      <c r="C18" s="1" t="s">
        <v>113</v>
      </c>
      <c r="D18" s="1" t="s">
        <v>114</v>
      </c>
      <c r="E18" s="1" t="s">
        <v>115</v>
      </c>
      <c r="F18" s="1" t="s">
        <v>116</v>
      </c>
      <c r="G18" s="1" t="s">
        <v>54</v>
      </c>
      <c r="H18" s="1" t="s">
        <v>55</v>
      </c>
      <c r="I18" s="1" t="s">
        <v>56</v>
      </c>
      <c r="J18" s="1" t="s">
        <v>58</v>
      </c>
      <c r="K18" s="1" t="s">
        <v>117</v>
      </c>
      <c r="L18" s="13" t="s">
        <v>59</v>
      </c>
      <c r="M18" s="1" t="s">
        <v>60</v>
      </c>
      <c r="N18" s="1" t="s">
        <v>61</v>
      </c>
      <c r="O18" s="1" t="s">
        <v>62</v>
      </c>
      <c r="P18" s="1">
        <v>0.0</v>
      </c>
      <c r="Q18" s="14">
        <v>207.5</v>
      </c>
      <c r="R18" s="1" t="s">
        <v>75</v>
      </c>
      <c r="S18" s="1" t="s">
        <v>118</v>
      </c>
      <c r="T18" s="15" t="s">
        <v>65</v>
      </c>
      <c r="U18" s="16">
        <v>0.23</v>
      </c>
      <c r="V18" s="14">
        <v>47.73</v>
      </c>
      <c r="W18" s="14">
        <v>0.0</v>
      </c>
      <c r="X18" s="1" t="s">
        <v>59</v>
      </c>
      <c r="Y18" s="1"/>
      <c r="Z18" s="1"/>
    </row>
    <row r="19" ht="14.25" customHeight="1">
      <c r="A19" s="1" t="s">
        <v>48</v>
      </c>
      <c r="B19" s="1" t="s">
        <v>49</v>
      </c>
      <c r="C19" s="1" t="s">
        <v>113</v>
      </c>
      <c r="D19" s="1" t="s">
        <v>114</v>
      </c>
      <c r="E19" s="1" t="s">
        <v>119</v>
      </c>
      <c r="F19" s="1" t="s">
        <v>120</v>
      </c>
      <c r="G19" s="1" t="s">
        <v>54</v>
      </c>
      <c r="H19" s="1" t="s">
        <v>55</v>
      </c>
      <c r="I19" s="1" t="s">
        <v>56</v>
      </c>
      <c r="J19" s="1" t="s">
        <v>58</v>
      </c>
      <c r="K19" s="1" t="s">
        <v>117</v>
      </c>
      <c r="L19" s="13" t="s">
        <v>59</v>
      </c>
      <c r="M19" s="1" t="s">
        <v>60</v>
      </c>
      <c r="N19" s="1" t="s">
        <v>61</v>
      </c>
      <c r="O19" s="1" t="s">
        <v>62</v>
      </c>
      <c r="P19" s="1">
        <v>0.0</v>
      </c>
      <c r="Q19" s="14">
        <v>180.27</v>
      </c>
      <c r="R19" s="1" t="s">
        <v>75</v>
      </c>
      <c r="S19" s="1" t="s">
        <v>118</v>
      </c>
      <c r="T19" s="15" t="s">
        <v>65</v>
      </c>
      <c r="U19" s="16">
        <v>0.23</v>
      </c>
      <c r="V19" s="14">
        <v>41.46</v>
      </c>
      <c r="W19" s="14">
        <v>0.0</v>
      </c>
      <c r="X19" s="1" t="s">
        <v>59</v>
      </c>
      <c r="Y19" s="1"/>
      <c r="Z19" s="1"/>
    </row>
    <row r="20" ht="14.25" customHeight="1">
      <c r="A20" s="1" t="s">
        <v>48</v>
      </c>
      <c r="B20" s="1" t="s">
        <v>49</v>
      </c>
      <c r="C20" s="1" t="s">
        <v>113</v>
      </c>
      <c r="D20" s="1" t="s">
        <v>121</v>
      </c>
      <c r="E20" s="1" t="s">
        <v>122</v>
      </c>
      <c r="F20" s="1" t="s">
        <v>123</v>
      </c>
      <c r="G20" s="1" t="s">
        <v>54</v>
      </c>
      <c r="H20" s="1" t="s">
        <v>55</v>
      </c>
      <c r="I20" s="1" t="s">
        <v>56</v>
      </c>
      <c r="J20" s="1" t="s">
        <v>124</v>
      </c>
      <c r="K20" s="1" t="s">
        <v>125</v>
      </c>
      <c r="L20" s="13" t="s">
        <v>59</v>
      </c>
      <c r="M20" s="1" t="s">
        <v>60</v>
      </c>
      <c r="N20" s="1" t="s">
        <v>61</v>
      </c>
      <c r="O20" s="1" t="s">
        <v>62</v>
      </c>
      <c r="P20" s="1">
        <v>0.0</v>
      </c>
      <c r="Q20" s="14">
        <v>239.28</v>
      </c>
      <c r="R20" s="1" t="s">
        <v>75</v>
      </c>
      <c r="S20" s="1" t="s">
        <v>76</v>
      </c>
      <c r="T20" s="15" t="s">
        <v>65</v>
      </c>
      <c r="U20" s="16">
        <v>0.207</v>
      </c>
      <c r="V20" s="14">
        <v>49.53</v>
      </c>
      <c r="W20" s="14">
        <v>0.0</v>
      </c>
      <c r="X20" s="1" t="s">
        <v>59</v>
      </c>
      <c r="Y20" s="1"/>
      <c r="Z20" s="1"/>
    </row>
    <row r="21" ht="14.25" customHeight="1">
      <c r="A21" s="1" t="s">
        <v>103</v>
      </c>
      <c r="B21" s="1" t="s">
        <v>49</v>
      </c>
      <c r="C21" s="1" t="s">
        <v>113</v>
      </c>
      <c r="D21" s="1" t="s">
        <v>126</v>
      </c>
      <c r="E21" s="1" t="s">
        <v>127</v>
      </c>
      <c r="F21" s="1" t="s">
        <v>128</v>
      </c>
      <c r="G21" s="1" t="s">
        <v>129</v>
      </c>
      <c r="H21" s="1" t="s">
        <v>130</v>
      </c>
      <c r="I21" s="1" t="s">
        <v>131</v>
      </c>
      <c r="J21" s="1" t="s">
        <v>58</v>
      </c>
      <c r="K21" s="1" t="s">
        <v>117</v>
      </c>
      <c r="L21" s="13" t="s">
        <v>59</v>
      </c>
      <c r="M21" s="1" t="s">
        <v>60</v>
      </c>
      <c r="N21" s="1" t="s">
        <v>61</v>
      </c>
      <c r="O21" s="1" t="s">
        <v>62</v>
      </c>
      <c r="P21" s="1">
        <v>0.0</v>
      </c>
      <c r="Q21" s="14">
        <v>116.59</v>
      </c>
      <c r="R21" s="1" t="s">
        <v>75</v>
      </c>
      <c r="S21" s="1" t="s">
        <v>118</v>
      </c>
      <c r="T21" s="15" t="s">
        <v>65</v>
      </c>
      <c r="U21" s="16">
        <v>0.265</v>
      </c>
      <c r="V21" s="14">
        <v>30.9</v>
      </c>
      <c r="W21" s="14">
        <v>0.0</v>
      </c>
      <c r="X21" s="1" t="s">
        <v>59</v>
      </c>
      <c r="Y21" s="1"/>
      <c r="Z21" s="1"/>
    </row>
    <row r="22" ht="14.25" customHeight="1">
      <c r="A22" s="1" t="s">
        <v>103</v>
      </c>
      <c r="B22" s="1" t="s">
        <v>49</v>
      </c>
      <c r="C22" s="1" t="s">
        <v>113</v>
      </c>
      <c r="D22" s="1" t="s">
        <v>132</v>
      </c>
      <c r="E22" s="1" t="s">
        <v>133</v>
      </c>
      <c r="F22" s="1" t="s">
        <v>134</v>
      </c>
      <c r="G22" s="1" t="s">
        <v>106</v>
      </c>
      <c r="H22" s="1" t="s">
        <v>55</v>
      </c>
      <c r="I22" s="1" t="s">
        <v>107</v>
      </c>
      <c r="J22" s="1" t="s">
        <v>135</v>
      </c>
      <c r="K22" s="1" t="s">
        <v>58</v>
      </c>
      <c r="L22" s="13" t="s">
        <v>59</v>
      </c>
      <c r="M22" s="1" t="s">
        <v>60</v>
      </c>
      <c r="N22" s="1" t="s">
        <v>61</v>
      </c>
      <c r="O22" s="1" t="s">
        <v>62</v>
      </c>
      <c r="P22" s="1">
        <v>0.0</v>
      </c>
      <c r="Q22" s="14">
        <v>155.84</v>
      </c>
      <c r="R22" s="1" t="s">
        <v>75</v>
      </c>
      <c r="S22" s="1" t="s">
        <v>76</v>
      </c>
      <c r="T22" s="15" t="s">
        <v>65</v>
      </c>
      <c r="U22" s="16">
        <v>0.24</v>
      </c>
      <c r="V22" s="14">
        <v>37.4</v>
      </c>
      <c r="W22" s="14">
        <v>0.0</v>
      </c>
      <c r="X22" s="1" t="s">
        <v>59</v>
      </c>
      <c r="Y22" s="1"/>
      <c r="Z22" s="1"/>
    </row>
    <row r="23" ht="14.25" customHeight="1">
      <c r="A23" s="1" t="s">
        <v>48</v>
      </c>
      <c r="B23" s="1" t="s">
        <v>49</v>
      </c>
      <c r="C23" s="1" t="s">
        <v>113</v>
      </c>
      <c r="D23" s="1" t="s">
        <v>97</v>
      </c>
      <c r="E23" s="1" t="s">
        <v>136</v>
      </c>
      <c r="F23" s="1" t="s">
        <v>137</v>
      </c>
      <c r="G23" s="1" t="s">
        <v>54</v>
      </c>
      <c r="H23" s="1" t="s">
        <v>138</v>
      </c>
      <c r="I23" s="1" t="s">
        <v>56</v>
      </c>
      <c r="J23" s="1" t="s">
        <v>130</v>
      </c>
      <c r="K23" s="1" t="s">
        <v>139</v>
      </c>
      <c r="L23" s="13" t="s">
        <v>59</v>
      </c>
      <c r="M23" s="1" t="s">
        <v>60</v>
      </c>
      <c r="N23" s="1" t="s">
        <v>61</v>
      </c>
      <c r="O23" s="1" t="s">
        <v>62</v>
      </c>
      <c r="P23" s="1">
        <v>0.0</v>
      </c>
      <c r="Q23" s="14">
        <v>199.91</v>
      </c>
      <c r="R23" s="1" t="s">
        <v>75</v>
      </c>
      <c r="S23" s="1" t="s">
        <v>118</v>
      </c>
      <c r="T23" s="15" t="s">
        <v>65</v>
      </c>
      <c r="U23" s="16">
        <v>0.23</v>
      </c>
      <c r="V23" s="14">
        <v>45.98</v>
      </c>
      <c r="W23" s="14">
        <v>0.0</v>
      </c>
      <c r="X23" s="1" t="s">
        <v>59</v>
      </c>
      <c r="Y23" s="1"/>
      <c r="Z23" s="1"/>
    </row>
    <row r="24" ht="14.25" customHeight="1">
      <c r="A24" s="1" t="s">
        <v>140</v>
      </c>
      <c r="B24" s="1" t="s">
        <v>49</v>
      </c>
      <c r="C24" s="1" t="s">
        <v>113</v>
      </c>
      <c r="D24" s="1" t="s">
        <v>141</v>
      </c>
      <c r="E24" s="1" t="s">
        <v>142</v>
      </c>
      <c r="F24" s="1" t="s">
        <v>143</v>
      </c>
      <c r="G24" s="1" t="s">
        <v>54</v>
      </c>
      <c r="H24" s="1" t="s">
        <v>85</v>
      </c>
      <c r="I24" s="1" t="s">
        <v>144</v>
      </c>
      <c r="J24" s="1" t="s">
        <v>145</v>
      </c>
      <c r="K24" s="1" t="s">
        <v>58</v>
      </c>
      <c r="L24" s="13">
        <v>70.0</v>
      </c>
      <c r="M24" s="1" t="s">
        <v>60</v>
      </c>
      <c r="N24" s="1" t="s">
        <v>61</v>
      </c>
      <c r="O24" s="1" t="s">
        <v>62</v>
      </c>
      <c r="P24" s="1">
        <v>50.0</v>
      </c>
      <c r="Q24" s="14">
        <v>213.38</v>
      </c>
      <c r="R24" s="1" t="s">
        <v>75</v>
      </c>
      <c r="S24" s="1" t="s">
        <v>76</v>
      </c>
      <c r="T24" s="15" t="s">
        <v>65</v>
      </c>
      <c r="U24" s="16">
        <v>1.35</v>
      </c>
      <c r="V24" s="14">
        <v>0.0</v>
      </c>
      <c r="W24" s="14">
        <v>-288.06</v>
      </c>
      <c r="X24" s="1" t="s">
        <v>59</v>
      </c>
      <c r="Y24" s="1"/>
      <c r="Z24" s="1"/>
    </row>
    <row r="25" ht="14.25" customHeight="1">
      <c r="A25" s="17" t="s">
        <v>140</v>
      </c>
      <c r="B25" s="17" t="s">
        <v>49</v>
      </c>
      <c r="C25" s="17" t="s">
        <v>113</v>
      </c>
      <c r="D25" s="17" t="s">
        <v>146</v>
      </c>
      <c r="E25" s="17" t="s">
        <v>147</v>
      </c>
      <c r="F25" s="17" t="s">
        <v>148</v>
      </c>
      <c r="G25" s="17" t="s">
        <v>149</v>
      </c>
      <c r="H25" s="17" t="s">
        <v>85</v>
      </c>
      <c r="I25" s="17" t="s">
        <v>150</v>
      </c>
      <c r="J25" s="17" t="s">
        <v>85</v>
      </c>
      <c r="K25" s="17" t="s">
        <v>102</v>
      </c>
      <c r="L25" s="18">
        <v>63.0</v>
      </c>
      <c r="M25" s="17" t="s">
        <v>60</v>
      </c>
      <c r="N25" s="17" t="s">
        <v>61</v>
      </c>
      <c r="O25" s="17" t="s">
        <v>62</v>
      </c>
      <c r="P25" s="17">
        <v>30.0</v>
      </c>
      <c r="Q25" s="19">
        <v>1061.91</v>
      </c>
      <c r="R25" s="17" t="s">
        <v>75</v>
      </c>
      <c r="S25" s="17" t="s">
        <v>151</v>
      </c>
      <c r="T25" s="20" t="s">
        <v>65</v>
      </c>
      <c r="U25" s="21">
        <v>1.5</v>
      </c>
      <c r="V25" s="19">
        <v>1592.87</v>
      </c>
      <c r="W25" s="19">
        <v>1592.87</v>
      </c>
      <c r="X25" s="17" t="s">
        <v>59</v>
      </c>
      <c r="Y25" s="17"/>
      <c r="Z25" s="17"/>
    </row>
    <row r="26" ht="14.25" customHeight="1">
      <c r="A26" s="1" t="s">
        <v>140</v>
      </c>
      <c r="B26" s="1" t="s">
        <v>49</v>
      </c>
      <c r="C26" s="1" t="s">
        <v>113</v>
      </c>
      <c r="D26" s="1" t="s">
        <v>146</v>
      </c>
      <c r="E26" s="1" t="s">
        <v>147</v>
      </c>
      <c r="F26" s="1" t="s">
        <v>148</v>
      </c>
      <c r="G26" s="1" t="s">
        <v>149</v>
      </c>
      <c r="H26" s="1" t="s">
        <v>152</v>
      </c>
      <c r="I26" s="1" t="s">
        <v>150</v>
      </c>
      <c r="J26" s="1" t="s">
        <v>85</v>
      </c>
      <c r="K26" s="1" t="s">
        <v>102</v>
      </c>
      <c r="L26" s="13">
        <v>63.0</v>
      </c>
      <c r="M26" s="1" t="s">
        <v>60</v>
      </c>
      <c r="N26" s="1" t="s">
        <v>61</v>
      </c>
      <c r="O26" s="1" t="s">
        <v>62</v>
      </c>
      <c r="P26" s="1">
        <v>30.0</v>
      </c>
      <c r="Q26" s="14">
        <v>117.99</v>
      </c>
      <c r="R26" s="1" t="s">
        <v>75</v>
      </c>
      <c r="S26" s="1" t="s">
        <v>153</v>
      </c>
      <c r="T26" s="15" t="s">
        <v>65</v>
      </c>
      <c r="U26" s="16">
        <v>1.5</v>
      </c>
      <c r="V26" s="14">
        <v>0.0</v>
      </c>
      <c r="W26" s="14">
        <v>-176.99</v>
      </c>
      <c r="X26" s="1" t="s">
        <v>59</v>
      </c>
      <c r="Y26" s="1"/>
      <c r="Z26" s="1"/>
    </row>
    <row r="27" ht="14.25" customHeight="1">
      <c r="A27" s="1" t="s">
        <v>140</v>
      </c>
      <c r="B27" s="1" t="s">
        <v>49</v>
      </c>
      <c r="C27" s="1" t="s">
        <v>113</v>
      </c>
      <c r="D27" s="1" t="s">
        <v>97</v>
      </c>
      <c r="E27" s="1" t="s">
        <v>154</v>
      </c>
      <c r="F27" s="1" t="s">
        <v>155</v>
      </c>
      <c r="G27" s="1" t="s">
        <v>156</v>
      </c>
      <c r="H27" s="1" t="s">
        <v>85</v>
      </c>
      <c r="I27" s="1" t="s">
        <v>144</v>
      </c>
      <c r="J27" s="1" t="s">
        <v>157</v>
      </c>
      <c r="K27" s="1" t="s">
        <v>158</v>
      </c>
      <c r="L27" s="13">
        <v>62.0</v>
      </c>
      <c r="M27" s="1" t="s">
        <v>60</v>
      </c>
      <c r="N27" s="1" t="s">
        <v>61</v>
      </c>
      <c r="O27" s="1" t="s">
        <v>62</v>
      </c>
      <c r="P27" s="1">
        <v>100.0</v>
      </c>
      <c r="Q27" s="14">
        <v>202.13</v>
      </c>
      <c r="R27" s="1" t="s">
        <v>75</v>
      </c>
      <c r="S27" s="1" t="s">
        <v>76</v>
      </c>
      <c r="T27" s="15" t="s">
        <v>65</v>
      </c>
      <c r="U27" s="16">
        <v>0.675</v>
      </c>
      <c r="V27" s="14">
        <v>0.0</v>
      </c>
      <c r="W27" s="14">
        <v>-136.44</v>
      </c>
      <c r="X27" s="1" t="s">
        <v>59</v>
      </c>
      <c r="Y27" s="1"/>
      <c r="Z27" s="1"/>
    </row>
    <row r="28" ht="14.25" customHeight="1">
      <c r="A28" s="1" t="s">
        <v>140</v>
      </c>
      <c r="B28" s="1" t="s">
        <v>49</v>
      </c>
      <c r="C28" s="1" t="s">
        <v>113</v>
      </c>
      <c r="D28" s="1" t="s">
        <v>97</v>
      </c>
      <c r="E28" s="1" t="s">
        <v>159</v>
      </c>
      <c r="F28" s="1" t="s">
        <v>160</v>
      </c>
      <c r="G28" s="1" t="s">
        <v>161</v>
      </c>
      <c r="H28" s="1" t="s">
        <v>85</v>
      </c>
      <c r="I28" s="1" t="s">
        <v>144</v>
      </c>
      <c r="J28" s="1" t="s">
        <v>162</v>
      </c>
      <c r="K28" s="1" t="s">
        <v>163</v>
      </c>
      <c r="L28" s="13">
        <v>53.0</v>
      </c>
      <c r="M28" s="1" t="s">
        <v>60</v>
      </c>
      <c r="N28" s="1" t="s">
        <v>61</v>
      </c>
      <c r="O28" s="1" t="s">
        <v>62</v>
      </c>
      <c r="P28" s="1">
        <v>125.0</v>
      </c>
      <c r="Q28" s="14">
        <v>198.23</v>
      </c>
      <c r="R28" s="1" t="s">
        <v>75</v>
      </c>
      <c r="S28" s="1" t="s">
        <v>76</v>
      </c>
      <c r="T28" s="15" t="s">
        <v>65</v>
      </c>
      <c r="U28" s="16">
        <v>0.675</v>
      </c>
      <c r="V28" s="14">
        <v>0.0</v>
      </c>
      <c r="W28" s="14">
        <v>-133.81</v>
      </c>
      <c r="X28" s="1" t="s">
        <v>59</v>
      </c>
      <c r="Y28" s="1"/>
      <c r="Z28" s="1"/>
    </row>
    <row r="29" ht="14.25" customHeight="1">
      <c r="A29" s="1" t="s">
        <v>140</v>
      </c>
      <c r="B29" s="1" t="s">
        <v>49</v>
      </c>
      <c r="C29" s="1" t="s">
        <v>113</v>
      </c>
      <c r="D29" s="1" t="s">
        <v>97</v>
      </c>
      <c r="E29" s="1" t="s">
        <v>164</v>
      </c>
      <c r="F29" s="1" t="s">
        <v>165</v>
      </c>
      <c r="G29" s="1" t="s">
        <v>166</v>
      </c>
      <c r="H29" s="1" t="s">
        <v>85</v>
      </c>
      <c r="I29" s="1" t="s">
        <v>150</v>
      </c>
      <c r="J29" s="1" t="s">
        <v>167</v>
      </c>
      <c r="K29" s="1" t="s">
        <v>163</v>
      </c>
      <c r="L29" s="13">
        <v>63.0</v>
      </c>
      <c r="M29" s="1" t="s">
        <v>60</v>
      </c>
      <c r="N29" s="1" t="s">
        <v>61</v>
      </c>
      <c r="O29" s="1" t="s">
        <v>62</v>
      </c>
      <c r="P29" s="1">
        <v>100.0</v>
      </c>
      <c r="Q29" s="14">
        <v>192.42</v>
      </c>
      <c r="R29" s="1" t="s">
        <v>75</v>
      </c>
      <c r="S29" s="1" t="s">
        <v>76</v>
      </c>
      <c r="T29" s="15" t="s">
        <v>65</v>
      </c>
      <c r="U29" s="16">
        <v>1.5</v>
      </c>
      <c r="V29" s="14">
        <v>0.0</v>
      </c>
      <c r="W29" s="14">
        <v>-288.63</v>
      </c>
      <c r="X29" s="1" t="s">
        <v>59</v>
      </c>
      <c r="Y29" s="1"/>
      <c r="Z29" s="1"/>
    </row>
    <row r="30" ht="14.25" customHeight="1">
      <c r="A30" s="1" t="s">
        <v>140</v>
      </c>
      <c r="B30" s="1" t="s">
        <v>49</v>
      </c>
      <c r="C30" s="1" t="s">
        <v>113</v>
      </c>
      <c r="D30" s="1" t="s">
        <v>97</v>
      </c>
      <c r="E30" s="1" t="s">
        <v>168</v>
      </c>
      <c r="F30" s="1" t="s">
        <v>169</v>
      </c>
      <c r="G30" s="1" t="s">
        <v>170</v>
      </c>
      <c r="H30" s="1" t="s">
        <v>85</v>
      </c>
      <c r="I30" s="1" t="s">
        <v>150</v>
      </c>
      <c r="J30" s="1" t="s">
        <v>171</v>
      </c>
      <c r="K30" s="1" t="s">
        <v>163</v>
      </c>
      <c r="L30" s="13">
        <v>63.0</v>
      </c>
      <c r="M30" s="1" t="s">
        <v>60</v>
      </c>
      <c r="N30" s="1" t="s">
        <v>61</v>
      </c>
      <c r="O30" s="1" t="s">
        <v>62</v>
      </c>
      <c r="P30" s="1">
        <v>100.0</v>
      </c>
      <c r="Q30" s="14">
        <v>192.42</v>
      </c>
      <c r="R30" s="1" t="s">
        <v>75</v>
      </c>
      <c r="S30" s="1" t="s">
        <v>76</v>
      </c>
      <c r="T30" s="15" t="s">
        <v>65</v>
      </c>
      <c r="U30" s="16">
        <v>1.5</v>
      </c>
      <c r="V30" s="14">
        <v>0.0</v>
      </c>
      <c r="W30" s="14">
        <v>-288.63</v>
      </c>
      <c r="X30" s="1" t="s">
        <v>59</v>
      </c>
      <c r="Y30" s="1"/>
      <c r="Z30" s="1"/>
    </row>
    <row r="31" ht="14.25" customHeight="1">
      <c r="A31" s="1" t="s">
        <v>140</v>
      </c>
      <c r="B31" s="1" t="s">
        <v>49</v>
      </c>
      <c r="C31" s="1" t="s">
        <v>113</v>
      </c>
      <c r="D31" s="1" t="s">
        <v>97</v>
      </c>
      <c r="E31" s="1" t="s">
        <v>172</v>
      </c>
      <c r="F31" s="1" t="s">
        <v>173</v>
      </c>
      <c r="G31" s="1" t="s">
        <v>174</v>
      </c>
      <c r="H31" s="1" t="s">
        <v>85</v>
      </c>
      <c r="I31" s="1" t="s">
        <v>150</v>
      </c>
      <c r="J31" s="1" t="s">
        <v>167</v>
      </c>
      <c r="K31" s="1" t="s">
        <v>163</v>
      </c>
      <c r="L31" s="13">
        <v>52.0</v>
      </c>
      <c r="M31" s="1" t="s">
        <v>60</v>
      </c>
      <c r="N31" s="1" t="s">
        <v>61</v>
      </c>
      <c r="O31" s="1" t="s">
        <v>62</v>
      </c>
      <c r="P31" s="1">
        <v>250.0</v>
      </c>
      <c r="Q31" s="14">
        <v>194.02</v>
      </c>
      <c r="R31" s="1" t="s">
        <v>75</v>
      </c>
      <c r="S31" s="1" t="s">
        <v>76</v>
      </c>
      <c r="T31" s="15" t="s">
        <v>65</v>
      </c>
      <c r="U31" s="16">
        <v>1.5</v>
      </c>
      <c r="V31" s="14">
        <v>0.0</v>
      </c>
      <c r="W31" s="14">
        <v>-291.03</v>
      </c>
      <c r="X31" s="1" t="s">
        <v>59</v>
      </c>
      <c r="Y31" s="1"/>
      <c r="Z31" s="1"/>
    </row>
    <row r="32" ht="14.25" customHeight="1">
      <c r="A32" s="1" t="s">
        <v>140</v>
      </c>
      <c r="B32" s="1" t="s">
        <v>49</v>
      </c>
      <c r="C32" s="1" t="s">
        <v>113</v>
      </c>
      <c r="D32" s="1" t="s">
        <v>97</v>
      </c>
      <c r="E32" s="1" t="s">
        <v>175</v>
      </c>
      <c r="F32" s="1" t="s">
        <v>176</v>
      </c>
      <c r="G32" s="1" t="s">
        <v>177</v>
      </c>
      <c r="H32" s="1" t="s">
        <v>152</v>
      </c>
      <c r="I32" s="1" t="s">
        <v>144</v>
      </c>
      <c r="J32" s="1" t="s">
        <v>178</v>
      </c>
      <c r="K32" s="1" t="s">
        <v>179</v>
      </c>
      <c r="L32" s="13">
        <v>67.0</v>
      </c>
      <c r="M32" s="1" t="s">
        <v>60</v>
      </c>
      <c r="N32" s="1" t="s">
        <v>61</v>
      </c>
      <c r="O32" s="1" t="s">
        <v>62</v>
      </c>
      <c r="P32" s="1">
        <v>55.0</v>
      </c>
      <c r="Q32" s="14">
        <v>156.77</v>
      </c>
      <c r="R32" s="1" t="s">
        <v>75</v>
      </c>
      <c r="S32" s="1" t="s">
        <v>76</v>
      </c>
      <c r="T32" s="15" t="s">
        <v>65</v>
      </c>
      <c r="U32" s="16">
        <v>0.675</v>
      </c>
      <c r="V32" s="14">
        <v>0.0</v>
      </c>
      <c r="W32" s="14">
        <v>-105.82</v>
      </c>
      <c r="X32" s="1" t="s">
        <v>59</v>
      </c>
      <c r="Y32" s="1"/>
      <c r="Z32" s="1"/>
    </row>
    <row r="33" ht="14.25" customHeight="1">
      <c r="A33" s="1" t="s">
        <v>140</v>
      </c>
      <c r="B33" s="1" t="s">
        <v>49</v>
      </c>
      <c r="C33" s="1" t="s">
        <v>113</v>
      </c>
      <c r="D33" s="1" t="s">
        <v>97</v>
      </c>
      <c r="E33" s="1" t="s">
        <v>180</v>
      </c>
      <c r="F33" s="1" t="s">
        <v>181</v>
      </c>
      <c r="G33" s="1" t="s">
        <v>54</v>
      </c>
      <c r="H33" s="1" t="s">
        <v>85</v>
      </c>
      <c r="I33" s="1" t="s">
        <v>144</v>
      </c>
      <c r="J33" s="1" t="s">
        <v>182</v>
      </c>
      <c r="K33" s="1" t="s">
        <v>58</v>
      </c>
      <c r="L33" s="13">
        <v>62.0</v>
      </c>
      <c r="M33" s="1" t="s">
        <v>60</v>
      </c>
      <c r="N33" s="1" t="s">
        <v>61</v>
      </c>
      <c r="O33" s="1" t="s">
        <v>62</v>
      </c>
      <c r="P33" s="1">
        <v>80.0</v>
      </c>
      <c r="Q33" s="14">
        <v>163.99</v>
      </c>
      <c r="R33" s="1" t="s">
        <v>75</v>
      </c>
      <c r="S33" s="1" t="s">
        <v>76</v>
      </c>
      <c r="T33" s="15" t="s">
        <v>65</v>
      </c>
      <c r="U33" s="16">
        <v>0.675</v>
      </c>
      <c r="V33" s="14">
        <v>0.0</v>
      </c>
      <c r="W33" s="14">
        <v>-110.69</v>
      </c>
      <c r="X33" s="1" t="s">
        <v>59</v>
      </c>
      <c r="Y33" s="1"/>
      <c r="Z33" s="1"/>
    </row>
    <row r="34" ht="14.25" customHeight="1">
      <c r="A34" s="1" t="s">
        <v>140</v>
      </c>
      <c r="B34" s="1" t="s">
        <v>49</v>
      </c>
      <c r="C34" s="1" t="s">
        <v>113</v>
      </c>
      <c r="D34" s="1" t="s">
        <v>97</v>
      </c>
      <c r="E34" s="1" t="s">
        <v>183</v>
      </c>
      <c r="F34" s="1" t="s">
        <v>184</v>
      </c>
      <c r="G34" s="1" t="s">
        <v>54</v>
      </c>
      <c r="H34" s="1" t="s">
        <v>85</v>
      </c>
      <c r="I34" s="1" t="s">
        <v>144</v>
      </c>
      <c r="J34" s="1" t="s">
        <v>185</v>
      </c>
      <c r="K34" s="1" t="s">
        <v>58</v>
      </c>
      <c r="L34" s="13">
        <v>69.0</v>
      </c>
      <c r="M34" s="1" t="s">
        <v>60</v>
      </c>
      <c r="N34" s="1" t="s">
        <v>61</v>
      </c>
      <c r="O34" s="1" t="s">
        <v>62</v>
      </c>
      <c r="P34" s="1">
        <v>90.0</v>
      </c>
      <c r="Q34" s="14">
        <v>3139.2</v>
      </c>
      <c r="R34" s="1" t="s">
        <v>75</v>
      </c>
      <c r="S34" s="1" t="s">
        <v>186</v>
      </c>
      <c r="T34" s="15" t="s">
        <v>65</v>
      </c>
      <c r="U34" s="16">
        <v>0.675</v>
      </c>
      <c r="V34" s="14">
        <v>2000.0</v>
      </c>
      <c r="W34" s="14">
        <v>2000.0</v>
      </c>
      <c r="X34" s="1" t="s">
        <v>59</v>
      </c>
      <c r="Y34" s="1"/>
      <c r="Z34" s="1"/>
    </row>
    <row r="35" ht="14.25" customHeight="1">
      <c r="A35" s="1" t="s">
        <v>140</v>
      </c>
      <c r="B35" s="1" t="s">
        <v>49</v>
      </c>
      <c r="C35" s="1" t="s">
        <v>113</v>
      </c>
      <c r="D35" s="1" t="s">
        <v>97</v>
      </c>
      <c r="E35" s="1" t="s">
        <v>183</v>
      </c>
      <c r="F35" s="1" t="s">
        <v>184</v>
      </c>
      <c r="G35" s="1" t="s">
        <v>54</v>
      </c>
      <c r="H35" s="1" t="s">
        <v>152</v>
      </c>
      <c r="I35" s="1" t="s">
        <v>144</v>
      </c>
      <c r="J35" s="1" t="s">
        <v>185</v>
      </c>
      <c r="K35" s="1" t="s">
        <v>58</v>
      </c>
      <c r="L35" s="13">
        <v>69.0</v>
      </c>
      <c r="M35" s="1" t="s">
        <v>60</v>
      </c>
      <c r="N35" s="1" t="s">
        <v>61</v>
      </c>
      <c r="O35" s="1" t="s">
        <v>62</v>
      </c>
      <c r="P35" s="1">
        <v>90.0</v>
      </c>
      <c r="Q35" s="14">
        <v>348.8</v>
      </c>
      <c r="R35" s="1" t="s">
        <v>75</v>
      </c>
      <c r="S35" s="1" t="s">
        <v>153</v>
      </c>
      <c r="T35" s="15" t="s">
        <v>65</v>
      </c>
      <c r="U35" s="16">
        <v>0.675</v>
      </c>
      <c r="V35" s="14">
        <v>0.0</v>
      </c>
      <c r="W35" s="14">
        <v>-235.44</v>
      </c>
      <c r="X35" s="1" t="s">
        <v>59</v>
      </c>
      <c r="Y35" s="1"/>
      <c r="Z35" s="1"/>
    </row>
    <row r="36" ht="14.25" customHeight="1">
      <c r="A36" s="1" t="s">
        <v>140</v>
      </c>
      <c r="B36" s="1" t="s">
        <v>49</v>
      </c>
      <c r="C36" s="1" t="s">
        <v>113</v>
      </c>
      <c r="D36" s="1" t="s">
        <v>97</v>
      </c>
      <c r="E36" s="1" t="s">
        <v>187</v>
      </c>
      <c r="F36" s="1" t="s">
        <v>188</v>
      </c>
      <c r="G36" s="1" t="s">
        <v>54</v>
      </c>
      <c r="H36" s="1" t="s">
        <v>55</v>
      </c>
      <c r="I36" s="1" t="s">
        <v>144</v>
      </c>
      <c r="J36" s="1" t="s">
        <v>125</v>
      </c>
      <c r="K36" s="1" t="s">
        <v>125</v>
      </c>
      <c r="L36" s="13">
        <v>69.0</v>
      </c>
      <c r="M36" s="1" t="s">
        <v>60</v>
      </c>
      <c r="N36" s="1" t="s">
        <v>61</v>
      </c>
      <c r="O36" s="1" t="s">
        <v>62</v>
      </c>
      <c r="P36" s="1">
        <v>35.0</v>
      </c>
      <c r="Q36" s="14">
        <v>1098.72</v>
      </c>
      <c r="R36" s="1" t="s">
        <v>75</v>
      </c>
      <c r="S36" s="1" t="s">
        <v>189</v>
      </c>
      <c r="T36" s="15" t="s">
        <v>65</v>
      </c>
      <c r="U36" s="16">
        <v>1.35</v>
      </c>
      <c r="V36" s="14">
        <v>1483.27</v>
      </c>
      <c r="W36" s="14">
        <v>1483.27</v>
      </c>
      <c r="X36" s="1" t="s">
        <v>59</v>
      </c>
      <c r="Y36" s="1"/>
      <c r="Z36" s="1"/>
    </row>
    <row r="37" ht="14.25" customHeight="1">
      <c r="A37" s="1" t="s">
        <v>140</v>
      </c>
      <c r="B37" s="1" t="s">
        <v>49</v>
      </c>
      <c r="C37" s="1" t="s">
        <v>113</v>
      </c>
      <c r="D37" s="1" t="s">
        <v>97</v>
      </c>
      <c r="E37" s="1" t="s">
        <v>190</v>
      </c>
      <c r="F37" s="1" t="s">
        <v>191</v>
      </c>
      <c r="G37" s="1" t="s">
        <v>156</v>
      </c>
      <c r="H37" s="1" t="s">
        <v>55</v>
      </c>
      <c r="I37" s="1" t="s">
        <v>144</v>
      </c>
      <c r="J37" s="1" t="s">
        <v>192</v>
      </c>
      <c r="K37" s="1" t="s">
        <v>192</v>
      </c>
      <c r="L37" s="13">
        <v>58.0</v>
      </c>
      <c r="M37" s="1" t="s">
        <v>60</v>
      </c>
      <c r="N37" s="1" t="s">
        <v>61</v>
      </c>
      <c r="O37" s="1" t="s">
        <v>62</v>
      </c>
      <c r="P37" s="1">
        <v>100.0</v>
      </c>
      <c r="Q37" s="14">
        <v>1377.27</v>
      </c>
      <c r="R37" s="1" t="s">
        <v>75</v>
      </c>
      <c r="S37" s="1" t="s">
        <v>186</v>
      </c>
      <c r="T37" s="15" t="s">
        <v>65</v>
      </c>
      <c r="U37" s="16">
        <v>0.675</v>
      </c>
      <c r="V37" s="14">
        <v>929.66</v>
      </c>
      <c r="W37" s="14">
        <v>929.66</v>
      </c>
      <c r="X37" s="1" t="s">
        <v>59</v>
      </c>
      <c r="Y37" s="1"/>
      <c r="Z37" s="1"/>
    </row>
    <row r="38" ht="14.25" customHeight="1">
      <c r="A38" s="1" t="s">
        <v>140</v>
      </c>
      <c r="B38" s="1" t="s">
        <v>49</v>
      </c>
      <c r="C38" s="1" t="s">
        <v>113</v>
      </c>
      <c r="D38" s="1" t="s">
        <v>97</v>
      </c>
      <c r="E38" s="1" t="s">
        <v>193</v>
      </c>
      <c r="F38" s="1" t="s">
        <v>194</v>
      </c>
      <c r="G38" s="1" t="s">
        <v>156</v>
      </c>
      <c r="H38" s="1" t="s">
        <v>55</v>
      </c>
      <c r="I38" s="1" t="s">
        <v>144</v>
      </c>
      <c r="J38" s="1" t="s">
        <v>195</v>
      </c>
      <c r="K38" s="1" t="s">
        <v>195</v>
      </c>
      <c r="L38" s="13">
        <v>64.0</v>
      </c>
      <c r="M38" s="1" t="s">
        <v>60</v>
      </c>
      <c r="N38" s="1" t="s">
        <v>61</v>
      </c>
      <c r="O38" s="1" t="s">
        <v>62</v>
      </c>
      <c r="P38" s="1">
        <v>110.0</v>
      </c>
      <c r="Q38" s="14">
        <v>2909.34</v>
      </c>
      <c r="R38" s="1" t="s">
        <v>75</v>
      </c>
      <c r="S38" s="1" t="s">
        <v>186</v>
      </c>
      <c r="T38" s="15" t="s">
        <v>65</v>
      </c>
      <c r="U38" s="16">
        <v>0.675</v>
      </c>
      <c r="V38" s="14">
        <v>1963.8</v>
      </c>
      <c r="W38" s="14">
        <v>1963.8</v>
      </c>
      <c r="X38" s="1" t="s">
        <v>59</v>
      </c>
      <c r="Y38" s="1"/>
      <c r="Z38" s="1"/>
    </row>
    <row r="39" ht="14.25" customHeight="1">
      <c r="A39" s="1" t="s">
        <v>140</v>
      </c>
      <c r="B39" s="1" t="s">
        <v>49</v>
      </c>
      <c r="C39" s="1" t="s">
        <v>113</v>
      </c>
      <c r="D39" s="1" t="s">
        <v>196</v>
      </c>
      <c r="E39" s="1" t="s">
        <v>197</v>
      </c>
      <c r="F39" s="1" t="s">
        <v>198</v>
      </c>
      <c r="G39" s="1" t="s">
        <v>54</v>
      </c>
      <c r="H39" s="1" t="s">
        <v>85</v>
      </c>
      <c r="I39" s="1" t="s">
        <v>199</v>
      </c>
      <c r="J39" s="1" t="s">
        <v>200</v>
      </c>
      <c r="K39" s="1" t="s">
        <v>192</v>
      </c>
      <c r="L39" s="13">
        <v>28.0</v>
      </c>
      <c r="M39" s="1" t="s">
        <v>60</v>
      </c>
      <c r="N39" s="1" t="s">
        <v>61</v>
      </c>
      <c r="O39" s="1" t="s">
        <v>62</v>
      </c>
      <c r="P39" s="1">
        <v>70.0</v>
      </c>
      <c r="Q39" s="14">
        <v>16.58</v>
      </c>
      <c r="R39" s="1" t="s">
        <v>75</v>
      </c>
      <c r="S39" s="1" t="s">
        <v>76</v>
      </c>
      <c r="T39" s="15" t="s">
        <v>65</v>
      </c>
      <c r="U39" s="16">
        <v>1.5</v>
      </c>
      <c r="V39" s="14">
        <v>0.0</v>
      </c>
      <c r="W39" s="14">
        <v>-24.87</v>
      </c>
      <c r="X39" s="1" t="s">
        <v>59</v>
      </c>
      <c r="Y39" s="1"/>
      <c r="Z39" s="1"/>
    </row>
    <row r="40" ht="14.25" customHeight="1">
      <c r="A40" s="1" t="s">
        <v>140</v>
      </c>
      <c r="B40" s="1" t="s">
        <v>49</v>
      </c>
      <c r="C40" s="1" t="s">
        <v>113</v>
      </c>
      <c r="D40" s="1" t="s">
        <v>126</v>
      </c>
      <c r="E40" s="1" t="s">
        <v>201</v>
      </c>
      <c r="F40" s="1" t="s">
        <v>202</v>
      </c>
      <c r="G40" s="1" t="s">
        <v>129</v>
      </c>
      <c r="H40" s="1" t="s">
        <v>85</v>
      </c>
      <c r="I40" s="1" t="s">
        <v>150</v>
      </c>
      <c r="J40" s="1" t="s">
        <v>145</v>
      </c>
      <c r="K40" s="1" t="s">
        <v>58</v>
      </c>
      <c r="L40" s="13">
        <v>34.0</v>
      </c>
      <c r="M40" s="1" t="s">
        <v>60</v>
      </c>
      <c r="N40" s="1" t="s">
        <v>61</v>
      </c>
      <c r="O40" s="1" t="s">
        <v>62</v>
      </c>
      <c r="P40" s="1">
        <v>250.0</v>
      </c>
      <c r="Q40" s="14">
        <v>92.12</v>
      </c>
      <c r="R40" s="1" t="s">
        <v>75</v>
      </c>
      <c r="S40" s="1" t="s">
        <v>76</v>
      </c>
      <c r="T40" s="15" t="s">
        <v>65</v>
      </c>
      <c r="U40" s="16">
        <v>1.5</v>
      </c>
      <c r="V40" s="14">
        <v>0.0</v>
      </c>
      <c r="W40" s="14">
        <v>-138.18</v>
      </c>
      <c r="X40" s="1" t="s">
        <v>59</v>
      </c>
      <c r="Y40" s="1"/>
      <c r="Z40" s="1"/>
    </row>
    <row r="41" ht="14.25" customHeight="1">
      <c r="A41" s="1" t="s">
        <v>140</v>
      </c>
      <c r="B41" s="1" t="s">
        <v>49</v>
      </c>
      <c r="C41" s="1" t="s">
        <v>113</v>
      </c>
      <c r="D41" s="1" t="s">
        <v>126</v>
      </c>
      <c r="E41" s="1" t="s">
        <v>203</v>
      </c>
      <c r="F41" s="1" t="s">
        <v>204</v>
      </c>
      <c r="G41" s="1" t="s">
        <v>129</v>
      </c>
      <c r="H41" s="1" t="s">
        <v>130</v>
      </c>
      <c r="I41" s="1" t="s">
        <v>150</v>
      </c>
      <c r="J41" s="1" t="s">
        <v>205</v>
      </c>
      <c r="K41" s="1" t="s">
        <v>206</v>
      </c>
      <c r="L41" s="13">
        <v>64.0</v>
      </c>
      <c r="M41" s="1" t="s">
        <v>60</v>
      </c>
      <c r="N41" s="1" t="s">
        <v>61</v>
      </c>
      <c r="O41" s="1" t="s">
        <v>62</v>
      </c>
      <c r="P41" s="1">
        <v>50.0</v>
      </c>
      <c r="Q41" s="14">
        <v>103.73</v>
      </c>
      <c r="R41" s="1" t="s">
        <v>75</v>
      </c>
      <c r="S41" s="1" t="s">
        <v>76</v>
      </c>
      <c r="T41" s="15" t="s">
        <v>65</v>
      </c>
      <c r="U41" s="16">
        <v>1.5</v>
      </c>
      <c r="V41" s="14">
        <v>0.0</v>
      </c>
      <c r="W41" s="14">
        <v>-155.6</v>
      </c>
      <c r="X41" s="1" t="s">
        <v>59</v>
      </c>
      <c r="Y41" s="1"/>
      <c r="Z41" s="1"/>
    </row>
    <row r="42" ht="14.25" customHeight="1">
      <c r="A42" s="1" t="s">
        <v>140</v>
      </c>
      <c r="B42" s="1" t="s">
        <v>49</v>
      </c>
      <c r="C42" s="1" t="s">
        <v>113</v>
      </c>
      <c r="D42" s="1" t="s">
        <v>126</v>
      </c>
      <c r="E42" s="1" t="s">
        <v>207</v>
      </c>
      <c r="F42" s="1" t="s">
        <v>208</v>
      </c>
      <c r="G42" s="1" t="s">
        <v>129</v>
      </c>
      <c r="H42" s="1" t="s">
        <v>130</v>
      </c>
      <c r="I42" s="1" t="s">
        <v>150</v>
      </c>
      <c r="J42" s="1" t="s">
        <v>185</v>
      </c>
      <c r="K42" s="1" t="s">
        <v>58</v>
      </c>
      <c r="L42" s="13">
        <v>59.0</v>
      </c>
      <c r="M42" s="1" t="s">
        <v>60</v>
      </c>
      <c r="N42" s="1" t="s">
        <v>61</v>
      </c>
      <c r="O42" s="1" t="s">
        <v>62</v>
      </c>
      <c r="P42" s="1">
        <v>75.0</v>
      </c>
      <c r="Q42" s="14">
        <v>98.99</v>
      </c>
      <c r="R42" s="1" t="s">
        <v>75</v>
      </c>
      <c r="S42" s="1" t="s">
        <v>153</v>
      </c>
      <c r="T42" s="15" t="s">
        <v>65</v>
      </c>
      <c r="U42" s="16">
        <v>1.5</v>
      </c>
      <c r="V42" s="14">
        <v>0.0</v>
      </c>
      <c r="W42" s="14">
        <v>-148.49</v>
      </c>
      <c r="X42" s="1" t="s">
        <v>59</v>
      </c>
      <c r="Y42" s="1"/>
      <c r="Z42" s="1"/>
    </row>
    <row r="43" ht="14.25" customHeight="1">
      <c r="A43" s="1" t="s">
        <v>140</v>
      </c>
      <c r="B43" s="1" t="s">
        <v>49</v>
      </c>
      <c r="C43" s="1" t="s">
        <v>113</v>
      </c>
      <c r="D43" s="1" t="s">
        <v>126</v>
      </c>
      <c r="E43" s="1" t="s">
        <v>207</v>
      </c>
      <c r="F43" s="1" t="s">
        <v>208</v>
      </c>
      <c r="G43" s="1" t="s">
        <v>129</v>
      </c>
      <c r="H43" s="1" t="s">
        <v>130</v>
      </c>
      <c r="I43" s="1" t="s">
        <v>150</v>
      </c>
      <c r="J43" s="1" t="s">
        <v>185</v>
      </c>
      <c r="K43" s="1" t="s">
        <v>58</v>
      </c>
      <c r="L43" s="13">
        <v>59.0</v>
      </c>
      <c r="M43" s="1" t="s">
        <v>60</v>
      </c>
      <c r="N43" s="1" t="s">
        <v>61</v>
      </c>
      <c r="O43" s="1" t="s">
        <v>62</v>
      </c>
      <c r="P43" s="1">
        <v>75.0</v>
      </c>
      <c r="Q43" s="14">
        <v>890.91</v>
      </c>
      <c r="R43" s="1" t="s">
        <v>75</v>
      </c>
      <c r="S43" s="1" t="s">
        <v>209</v>
      </c>
      <c r="T43" s="15" t="s">
        <v>65</v>
      </c>
      <c r="U43" s="16">
        <v>1.5</v>
      </c>
      <c r="V43" s="14">
        <v>1336.41</v>
      </c>
      <c r="W43" s="14">
        <v>1336.41</v>
      </c>
      <c r="X43" s="1" t="s">
        <v>59</v>
      </c>
      <c r="Y43" s="1"/>
      <c r="Z43" s="1"/>
    </row>
    <row r="44" ht="14.25" customHeight="1">
      <c r="A44" s="1" t="s">
        <v>140</v>
      </c>
      <c r="B44" s="1" t="s">
        <v>49</v>
      </c>
      <c r="C44" s="1" t="s">
        <v>113</v>
      </c>
      <c r="D44" s="1" t="s">
        <v>126</v>
      </c>
      <c r="E44" s="1" t="s">
        <v>207</v>
      </c>
      <c r="F44" s="1" t="s">
        <v>208</v>
      </c>
      <c r="G44" s="1" t="s">
        <v>129</v>
      </c>
      <c r="H44" s="1" t="s">
        <v>130</v>
      </c>
      <c r="I44" s="1" t="s">
        <v>150</v>
      </c>
      <c r="J44" s="1" t="s">
        <v>185</v>
      </c>
      <c r="K44" s="1" t="s">
        <v>58</v>
      </c>
      <c r="L44" s="13">
        <v>59.0</v>
      </c>
      <c r="M44" s="1" t="s">
        <v>60</v>
      </c>
      <c r="N44" s="1" t="s">
        <v>61</v>
      </c>
      <c r="O44" s="1" t="s">
        <v>62</v>
      </c>
      <c r="P44" s="1">
        <v>125.0</v>
      </c>
      <c r="Q44" s="14">
        <v>-1614.2</v>
      </c>
      <c r="R44" s="1" t="s">
        <v>75</v>
      </c>
      <c r="S44" s="1" t="s">
        <v>210</v>
      </c>
      <c r="T44" s="15" t="s">
        <v>65</v>
      </c>
      <c r="U44" s="16">
        <v>1.5</v>
      </c>
      <c r="V44" s="14">
        <v>-2000.0</v>
      </c>
      <c r="W44" s="14">
        <v>-1757.87</v>
      </c>
      <c r="X44" s="1" t="s">
        <v>59</v>
      </c>
      <c r="Y44" s="1"/>
      <c r="Z44" s="1"/>
    </row>
    <row r="45" ht="14.25" customHeight="1">
      <c r="A45" s="1" t="s">
        <v>140</v>
      </c>
      <c r="B45" s="1" t="s">
        <v>49</v>
      </c>
      <c r="C45" s="1" t="s">
        <v>113</v>
      </c>
      <c r="D45" s="1" t="s">
        <v>211</v>
      </c>
      <c r="E45" s="1" t="s">
        <v>212</v>
      </c>
      <c r="F45" s="1" t="s">
        <v>213</v>
      </c>
      <c r="G45" s="1" t="s">
        <v>214</v>
      </c>
      <c r="H45" s="1" t="s">
        <v>138</v>
      </c>
      <c r="I45" s="1" t="s">
        <v>144</v>
      </c>
      <c r="J45" s="1" t="s">
        <v>215</v>
      </c>
      <c r="K45" s="1" t="s">
        <v>216</v>
      </c>
      <c r="L45" s="13">
        <v>57.0</v>
      </c>
      <c r="M45" s="1" t="s">
        <v>60</v>
      </c>
      <c r="N45" s="1" t="s">
        <v>61</v>
      </c>
      <c r="O45" s="1" t="s">
        <v>62</v>
      </c>
      <c r="P45" s="1">
        <v>100.0</v>
      </c>
      <c r="Q45" s="14">
        <v>144.24</v>
      </c>
      <c r="R45" s="1" t="s">
        <v>75</v>
      </c>
      <c r="S45" s="1" t="s">
        <v>76</v>
      </c>
      <c r="T45" s="15" t="s">
        <v>65</v>
      </c>
      <c r="U45" s="16">
        <v>1.35</v>
      </c>
      <c r="V45" s="14">
        <v>0.0</v>
      </c>
      <c r="W45" s="14">
        <v>-194.72</v>
      </c>
      <c r="X45" s="1" t="s">
        <v>59</v>
      </c>
      <c r="Y45" s="1"/>
      <c r="Z45" s="1"/>
    </row>
    <row r="46" ht="14.25" customHeight="1">
      <c r="A46" s="1" t="s">
        <v>140</v>
      </c>
      <c r="B46" s="1" t="s">
        <v>49</v>
      </c>
      <c r="C46" s="1" t="s">
        <v>113</v>
      </c>
      <c r="D46" s="1" t="s">
        <v>217</v>
      </c>
      <c r="E46" s="1" t="s">
        <v>218</v>
      </c>
      <c r="F46" s="1" t="s">
        <v>219</v>
      </c>
      <c r="G46" s="1" t="s">
        <v>149</v>
      </c>
      <c r="H46" s="1" t="s">
        <v>85</v>
      </c>
      <c r="I46" s="1" t="s">
        <v>144</v>
      </c>
      <c r="J46" s="1" t="s">
        <v>220</v>
      </c>
      <c r="K46" s="1" t="s">
        <v>221</v>
      </c>
      <c r="L46" s="13">
        <v>63.0</v>
      </c>
      <c r="M46" s="1" t="s">
        <v>60</v>
      </c>
      <c r="N46" s="1" t="s">
        <v>61</v>
      </c>
      <c r="O46" s="1" t="s">
        <v>62</v>
      </c>
      <c r="P46" s="1">
        <v>75.0</v>
      </c>
      <c r="Q46" s="14">
        <v>164.95</v>
      </c>
      <c r="R46" s="1" t="s">
        <v>75</v>
      </c>
      <c r="S46" s="1" t="s">
        <v>76</v>
      </c>
      <c r="T46" s="15" t="s">
        <v>65</v>
      </c>
      <c r="U46" s="16">
        <v>0.675</v>
      </c>
      <c r="V46" s="14">
        <v>0.0</v>
      </c>
      <c r="W46" s="14">
        <v>-111.34</v>
      </c>
      <c r="X46" s="1" t="s">
        <v>59</v>
      </c>
      <c r="Y46" s="1"/>
      <c r="Z46" s="1"/>
    </row>
    <row r="47" ht="14.25" customHeight="1">
      <c r="A47" s="1" t="s">
        <v>140</v>
      </c>
      <c r="B47" s="1" t="s">
        <v>49</v>
      </c>
      <c r="C47" s="1" t="s">
        <v>113</v>
      </c>
      <c r="D47" s="1" t="s">
        <v>222</v>
      </c>
      <c r="E47" s="1" t="s">
        <v>223</v>
      </c>
      <c r="F47" s="1" t="s">
        <v>224</v>
      </c>
      <c r="G47" s="1" t="s">
        <v>129</v>
      </c>
      <c r="H47" s="1" t="s">
        <v>85</v>
      </c>
      <c r="I47" s="1" t="s">
        <v>225</v>
      </c>
      <c r="J47" s="1" t="s">
        <v>226</v>
      </c>
      <c r="K47" s="1" t="s">
        <v>227</v>
      </c>
      <c r="L47" s="13">
        <v>72.0</v>
      </c>
      <c r="M47" s="1" t="s">
        <v>60</v>
      </c>
      <c r="N47" s="1" t="s">
        <v>61</v>
      </c>
      <c r="O47" s="1" t="s">
        <v>62</v>
      </c>
      <c r="P47" s="1">
        <v>10.0</v>
      </c>
      <c r="Q47" s="14">
        <v>83.99</v>
      </c>
      <c r="R47" s="1" t="s">
        <v>75</v>
      </c>
      <c r="S47" s="1" t="s">
        <v>76</v>
      </c>
      <c r="T47" s="15" t="s">
        <v>65</v>
      </c>
      <c r="U47" s="16">
        <v>1.35</v>
      </c>
      <c r="V47" s="14">
        <v>0.0</v>
      </c>
      <c r="W47" s="14">
        <v>-113.39</v>
      </c>
      <c r="X47" s="1" t="s">
        <v>59</v>
      </c>
      <c r="Y47" s="1"/>
      <c r="Z47" s="1"/>
    </row>
    <row r="48" ht="14.25" customHeight="1">
      <c r="A48" s="1" t="s">
        <v>140</v>
      </c>
      <c r="B48" s="1" t="s">
        <v>49</v>
      </c>
      <c r="C48" s="1" t="s">
        <v>113</v>
      </c>
      <c r="D48" s="1" t="s">
        <v>228</v>
      </c>
      <c r="E48" s="1" t="s">
        <v>229</v>
      </c>
      <c r="F48" s="1" t="s">
        <v>230</v>
      </c>
      <c r="G48" s="1" t="s">
        <v>54</v>
      </c>
      <c r="H48" s="1" t="s">
        <v>152</v>
      </c>
      <c r="I48" s="1" t="s">
        <v>225</v>
      </c>
      <c r="J48" s="1" t="s">
        <v>231</v>
      </c>
      <c r="K48" s="1" t="s">
        <v>179</v>
      </c>
      <c r="L48" s="13">
        <v>77.0</v>
      </c>
      <c r="M48" s="1" t="s">
        <v>60</v>
      </c>
      <c r="N48" s="1" t="s">
        <v>61</v>
      </c>
      <c r="O48" s="1" t="s">
        <v>62</v>
      </c>
      <c r="P48" s="1">
        <v>10.0</v>
      </c>
      <c r="Q48" s="14">
        <v>83.51</v>
      </c>
      <c r="R48" s="1" t="s">
        <v>75</v>
      </c>
      <c r="S48" s="1" t="s">
        <v>76</v>
      </c>
      <c r="T48" s="15" t="s">
        <v>65</v>
      </c>
      <c r="U48" s="16">
        <v>1.35</v>
      </c>
      <c r="V48" s="14">
        <v>0.0</v>
      </c>
      <c r="W48" s="14">
        <v>-112.74</v>
      </c>
      <c r="X48" s="1" t="s">
        <v>59</v>
      </c>
      <c r="Y48" s="1"/>
      <c r="Z48" s="1"/>
    </row>
    <row r="49" ht="14.25" customHeight="1">
      <c r="A49" s="1" t="s">
        <v>140</v>
      </c>
      <c r="B49" s="1" t="s">
        <v>49</v>
      </c>
      <c r="C49" s="1" t="s">
        <v>113</v>
      </c>
      <c r="D49" s="1" t="s">
        <v>232</v>
      </c>
      <c r="E49" s="1" t="s">
        <v>233</v>
      </c>
      <c r="F49" s="1" t="s">
        <v>234</v>
      </c>
      <c r="G49" s="1" t="s">
        <v>149</v>
      </c>
      <c r="H49" s="1" t="s">
        <v>130</v>
      </c>
      <c r="I49" s="1" t="s">
        <v>225</v>
      </c>
      <c r="J49" s="1" t="s">
        <v>235</v>
      </c>
      <c r="K49" s="1" t="s">
        <v>206</v>
      </c>
      <c r="L49" s="13">
        <v>63.0</v>
      </c>
      <c r="M49" s="1" t="s">
        <v>60</v>
      </c>
      <c r="N49" s="1" t="s">
        <v>61</v>
      </c>
      <c r="O49" s="1" t="s">
        <v>62</v>
      </c>
      <c r="P49" s="1">
        <v>20.0</v>
      </c>
      <c r="Q49" s="14">
        <v>78.68</v>
      </c>
      <c r="R49" s="1" t="s">
        <v>75</v>
      </c>
      <c r="S49" s="1" t="s">
        <v>76</v>
      </c>
      <c r="T49" s="15" t="s">
        <v>65</v>
      </c>
      <c r="U49" s="16">
        <v>1.35</v>
      </c>
      <c r="V49" s="14">
        <v>106.22</v>
      </c>
      <c r="W49" s="14">
        <v>0.0</v>
      </c>
      <c r="X49" s="1" t="s">
        <v>59</v>
      </c>
      <c r="Y49" s="1"/>
      <c r="Z49" s="1"/>
    </row>
    <row r="50" ht="14.25" customHeight="1">
      <c r="A50" s="1" t="s">
        <v>140</v>
      </c>
      <c r="B50" s="1" t="s">
        <v>49</v>
      </c>
      <c r="C50" s="1" t="s">
        <v>113</v>
      </c>
      <c r="D50" s="1" t="s">
        <v>236</v>
      </c>
      <c r="E50" s="1" t="s">
        <v>237</v>
      </c>
      <c r="F50" s="1" t="s">
        <v>238</v>
      </c>
      <c r="G50" s="1" t="s">
        <v>149</v>
      </c>
      <c r="H50" s="1" t="s">
        <v>85</v>
      </c>
      <c r="I50" s="1" t="s">
        <v>239</v>
      </c>
      <c r="J50" s="1" t="s">
        <v>240</v>
      </c>
      <c r="K50" s="1" t="s">
        <v>241</v>
      </c>
      <c r="L50" s="13">
        <v>37.0</v>
      </c>
      <c r="M50" s="1" t="s">
        <v>60</v>
      </c>
      <c r="N50" s="1" t="s">
        <v>61</v>
      </c>
      <c r="O50" s="1" t="s">
        <v>62</v>
      </c>
      <c r="P50" s="1">
        <v>42.0</v>
      </c>
      <c r="Q50" s="14">
        <v>19.69</v>
      </c>
      <c r="R50" s="1" t="s">
        <v>75</v>
      </c>
      <c r="S50" s="1" t="s">
        <v>76</v>
      </c>
      <c r="T50" s="15" t="s">
        <v>65</v>
      </c>
      <c r="U50" s="16">
        <v>1.5</v>
      </c>
      <c r="V50" s="14">
        <v>0.0</v>
      </c>
      <c r="W50" s="14">
        <v>-29.54</v>
      </c>
      <c r="X50" s="1" t="s">
        <v>59</v>
      </c>
      <c r="Y50" s="1"/>
      <c r="Z50" s="1"/>
    </row>
    <row r="51" ht="14.25" customHeight="1">
      <c r="A51" s="1" t="s">
        <v>140</v>
      </c>
      <c r="B51" s="1" t="s">
        <v>49</v>
      </c>
      <c r="C51" s="1" t="s">
        <v>113</v>
      </c>
      <c r="D51" s="1" t="s">
        <v>236</v>
      </c>
      <c r="E51" s="1" t="s">
        <v>242</v>
      </c>
      <c r="F51" s="1" t="s">
        <v>243</v>
      </c>
      <c r="G51" s="1" t="s">
        <v>149</v>
      </c>
      <c r="H51" s="1" t="s">
        <v>55</v>
      </c>
      <c r="I51" s="1" t="s">
        <v>225</v>
      </c>
      <c r="J51" s="1" t="s">
        <v>244</v>
      </c>
      <c r="K51" s="1" t="s">
        <v>216</v>
      </c>
      <c r="L51" s="13">
        <v>76.0</v>
      </c>
      <c r="M51" s="1" t="s">
        <v>60</v>
      </c>
      <c r="N51" s="1" t="s">
        <v>61</v>
      </c>
      <c r="O51" s="1" t="s">
        <v>62</v>
      </c>
      <c r="P51" s="1">
        <v>25.0</v>
      </c>
      <c r="Q51" s="14">
        <v>262.79</v>
      </c>
      <c r="R51" s="1" t="s">
        <v>75</v>
      </c>
      <c r="S51" s="1" t="s">
        <v>153</v>
      </c>
      <c r="T51" s="15" t="s">
        <v>65</v>
      </c>
      <c r="U51" s="16">
        <v>1.35</v>
      </c>
      <c r="V51" s="14">
        <v>0.0</v>
      </c>
      <c r="W51" s="14">
        <v>-354.77</v>
      </c>
      <c r="X51" s="1" t="s">
        <v>59</v>
      </c>
      <c r="Y51" s="1"/>
      <c r="Z51" s="1"/>
    </row>
    <row r="52" ht="14.25" customHeight="1">
      <c r="A52" s="1" t="s">
        <v>140</v>
      </c>
      <c r="B52" s="1" t="s">
        <v>49</v>
      </c>
      <c r="C52" s="1" t="s">
        <v>113</v>
      </c>
      <c r="D52" s="1" t="s">
        <v>236</v>
      </c>
      <c r="E52" s="1" t="s">
        <v>245</v>
      </c>
      <c r="F52" s="1" t="s">
        <v>246</v>
      </c>
      <c r="G52" s="1" t="s">
        <v>149</v>
      </c>
      <c r="H52" s="1" t="s">
        <v>152</v>
      </c>
      <c r="I52" s="1" t="s">
        <v>144</v>
      </c>
      <c r="J52" s="1" t="s">
        <v>152</v>
      </c>
      <c r="K52" s="1" t="s">
        <v>247</v>
      </c>
      <c r="L52" s="13">
        <v>36.0</v>
      </c>
      <c r="M52" s="1" t="s">
        <v>60</v>
      </c>
      <c r="N52" s="1" t="s">
        <v>61</v>
      </c>
      <c r="O52" s="1" t="s">
        <v>62</v>
      </c>
      <c r="P52" s="1">
        <v>250.0</v>
      </c>
      <c r="Q52" s="14">
        <v>152.0</v>
      </c>
      <c r="R52" s="1" t="s">
        <v>75</v>
      </c>
      <c r="S52" s="1" t="s">
        <v>153</v>
      </c>
      <c r="T52" s="15" t="s">
        <v>65</v>
      </c>
      <c r="U52" s="16">
        <v>1.35</v>
      </c>
      <c r="V52" s="14">
        <v>0.0</v>
      </c>
      <c r="W52" s="14">
        <v>-205.2</v>
      </c>
      <c r="X52" s="1" t="s">
        <v>59</v>
      </c>
      <c r="Y52" s="1"/>
      <c r="Z52" s="1"/>
    </row>
    <row r="53" ht="14.25" customHeight="1">
      <c r="A53" s="1" t="s">
        <v>140</v>
      </c>
      <c r="B53" s="1" t="s">
        <v>49</v>
      </c>
      <c r="C53" s="1" t="s">
        <v>113</v>
      </c>
      <c r="D53" s="1" t="s">
        <v>236</v>
      </c>
      <c r="E53" s="1" t="s">
        <v>245</v>
      </c>
      <c r="F53" s="1" t="s">
        <v>246</v>
      </c>
      <c r="G53" s="1" t="s">
        <v>149</v>
      </c>
      <c r="H53" s="1" t="s">
        <v>152</v>
      </c>
      <c r="I53" s="1" t="s">
        <v>144</v>
      </c>
      <c r="J53" s="1" t="s">
        <v>152</v>
      </c>
      <c r="K53" s="1" t="s">
        <v>247</v>
      </c>
      <c r="L53" s="13">
        <v>36.0</v>
      </c>
      <c r="M53" s="1" t="s">
        <v>60</v>
      </c>
      <c r="N53" s="1" t="s">
        <v>61</v>
      </c>
      <c r="O53" s="1" t="s">
        <v>62</v>
      </c>
      <c r="P53" s="1">
        <v>250.0</v>
      </c>
      <c r="Q53" s="14">
        <v>1368.0</v>
      </c>
      <c r="R53" s="1" t="s">
        <v>75</v>
      </c>
      <c r="S53" s="1" t="s">
        <v>118</v>
      </c>
      <c r="T53" s="15" t="s">
        <v>65</v>
      </c>
      <c r="U53" s="16">
        <v>1.35</v>
      </c>
      <c r="V53" s="14">
        <v>1846.8</v>
      </c>
      <c r="W53" s="14">
        <v>1846.8</v>
      </c>
      <c r="X53" s="1" t="s">
        <v>59</v>
      </c>
      <c r="Y53" s="1"/>
      <c r="Z53" s="1"/>
    </row>
    <row r="54" ht="14.25" customHeight="1">
      <c r="A54" s="1" t="s">
        <v>140</v>
      </c>
      <c r="B54" s="1" t="s">
        <v>49</v>
      </c>
      <c r="C54" s="1" t="s">
        <v>113</v>
      </c>
      <c r="D54" s="1" t="s">
        <v>248</v>
      </c>
      <c r="E54" s="1" t="s">
        <v>249</v>
      </c>
      <c r="F54" s="1" t="s">
        <v>250</v>
      </c>
      <c r="G54" s="1" t="s">
        <v>251</v>
      </c>
      <c r="H54" s="1" t="s">
        <v>138</v>
      </c>
      <c r="I54" s="1" t="s">
        <v>144</v>
      </c>
      <c r="J54" s="1" t="s">
        <v>138</v>
      </c>
      <c r="K54" s="1" t="s">
        <v>138</v>
      </c>
      <c r="L54" s="13">
        <v>28.0</v>
      </c>
      <c r="M54" s="1" t="s">
        <v>60</v>
      </c>
      <c r="N54" s="1" t="s">
        <v>61</v>
      </c>
      <c r="O54" s="1" t="s">
        <v>62</v>
      </c>
      <c r="P54" s="1">
        <v>50.0</v>
      </c>
      <c r="Q54" s="14">
        <v>194.67</v>
      </c>
      <c r="R54" s="1" t="s">
        <v>75</v>
      </c>
      <c r="S54" s="1" t="s">
        <v>118</v>
      </c>
      <c r="T54" s="15" t="s">
        <v>65</v>
      </c>
      <c r="U54" s="16">
        <v>1.35</v>
      </c>
      <c r="V54" s="14">
        <v>262.8</v>
      </c>
      <c r="W54" s="14">
        <v>262.8</v>
      </c>
      <c r="X54" s="1" t="s">
        <v>59</v>
      </c>
      <c r="Y54" s="1"/>
      <c r="Z54" s="1"/>
    </row>
    <row r="55" ht="14.25" customHeight="1">
      <c r="A55" s="1" t="s">
        <v>140</v>
      </c>
      <c r="B55" s="1" t="s">
        <v>49</v>
      </c>
      <c r="C55" s="1" t="s">
        <v>113</v>
      </c>
      <c r="D55" s="1" t="s">
        <v>252</v>
      </c>
      <c r="E55" s="1" t="s">
        <v>253</v>
      </c>
      <c r="F55" s="1" t="s">
        <v>254</v>
      </c>
      <c r="G55" s="1" t="s">
        <v>177</v>
      </c>
      <c r="H55" s="1" t="s">
        <v>85</v>
      </c>
      <c r="I55" s="1" t="s">
        <v>255</v>
      </c>
      <c r="J55" s="1" t="s">
        <v>256</v>
      </c>
      <c r="K55" s="1" t="s">
        <v>257</v>
      </c>
      <c r="L55" s="13">
        <v>30.0</v>
      </c>
      <c r="M55" s="1" t="s">
        <v>60</v>
      </c>
      <c r="N55" s="1" t="s">
        <v>61</v>
      </c>
      <c r="O55" s="1" t="s">
        <v>62</v>
      </c>
      <c r="P55" s="1">
        <v>1000.0</v>
      </c>
      <c r="Q55" s="14">
        <v>39.56</v>
      </c>
      <c r="R55" s="1" t="s">
        <v>75</v>
      </c>
      <c r="S55" s="1" t="s">
        <v>76</v>
      </c>
      <c r="T55" s="15" t="s">
        <v>65</v>
      </c>
      <c r="U55" s="16">
        <v>1.26</v>
      </c>
      <c r="V55" s="14">
        <v>0.0</v>
      </c>
      <c r="W55" s="14">
        <v>-49.85</v>
      </c>
      <c r="X55" s="1" t="s">
        <v>59</v>
      </c>
      <c r="Y55" s="1"/>
      <c r="Z55" s="1"/>
    </row>
    <row r="56" ht="14.25" customHeight="1">
      <c r="A56" s="1" t="s">
        <v>140</v>
      </c>
      <c r="B56" s="1" t="s">
        <v>49</v>
      </c>
      <c r="C56" s="1" t="s">
        <v>113</v>
      </c>
      <c r="D56" s="1" t="s">
        <v>258</v>
      </c>
      <c r="E56" s="1" t="s">
        <v>259</v>
      </c>
      <c r="F56" s="1" t="s">
        <v>260</v>
      </c>
      <c r="G56" s="1" t="s">
        <v>261</v>
      </c>
      <c r="H56" s="1" t="s">
        <v>85</v>
      </c>
      <c r="I56" s="1" t="s">
        <v>225</v>
      </c>
      <c r="J56" s="1" t="s">
        <v>262</v>
      </c>
      <c r="K56" s="1" t="s">
        <v>58</v>
      </c>
      <c r="L56" s="13">
        <v>81.0</v>
      </c>
      <c r="M56" s="1" t="s">
        <v>60</v>
      </c>
      <c r="N56" s="1" t="s">
        <v>61</v>
      </c>
      <c r="O56" s="1" t="s">
        <v>62</v>
      </c>
      <c r="P56" s="1">
        <v>10.0</v>
      </c>
      <c r="Q56" s="14">
        <v>106.21</v>
      </c>
      <c r="R56" s="1" t="s">
        <v>75</v>
      </c>
      <c r="S56" s="1" t="s">
        <v>76</v>
      </c>
      <c r="T56" s="15" t="s">
        <v>65</v>
      </c>
      <c r="U56" s="16">
        <v>0.95</v>
      </c>
      <c r="V56" s="14">
        <v>100.9</v>
      </c>
      <c r="W56" s="14">
        <v>0.0</v>
      </c>
      <c r="X56" s="1" t="s">
        <v>59</v>
      </c>
      <c r="Y56" s="1"/>
      <c r="Z56" s="1"/>
    </row>
    <row r="57" ht="14.25" customHeight="1">
      <c r="A57" s="1" t="s">
        <v>140</v>
      </c>
      <c r="B57" s="1" t="s">
        <v>49</v>
      </c>
      <c r="C57" s="1" t="s">
        <v>113</v>
      </c>
      <c r="D57" s="1" t="s">
        <v>258</v>
      </c>
      <c r="E57" s="1" t="s">
        <v>263</v>
      </c>
      <c r="F57" s="1" t="s">
        <v>264</v>
      </c>
      <c r="G57" s="1" t="s">
        <v>261</v>
      </c>
      <c r="H57" s="1" t="s">
        <v>85</v>
      </c>
      <c r="I57" s="1" t="s">
        <v>150</v>
      </c>
      <c r="J57" s="1" t="s">
        <v>265</v>
      </c>
      <c r="K57" s="1" t="s">
        <v>266</v>
      </c>
      <c r="L57" s="13">
        <v>32.0</v>
      </c>
      <c r="M57" s="1" t="s">
        <v>60</v>
      </c>
      <c r="N57" s="1" t="s">
        <v>61</v>
      </c>
      <c r="O57" s="1" t="s">
        <v>62</v>
      </c>
      <c r="P57" s="1">
        <v>250.0</v>
      </c>
      <c r="Q57" s="14">
        <v>47.39</v>
      </c>
      <c r="R57" s="1" t="s">
        <v>75</v>
      </c>
      <c r="S57" s="1" t="s">
        <v>76</v>
      </c>
      <c r="T57" s="15" t="s">
        <v>65</v>
      </c>
      <c r="U57" s="16">
        <v>1.5</v>
      </c>
      <c r="V57" s="14">
        <v>0.0</v>
      </c>
      <c r="W57" s="14">
        <v>-71.09</v>
      </c>
      <c r="X57" s="1" t="s">
        <v>59</v>
      </c>
      <c r="Y57" s="1"/>
      <c r="Z57" s="1"/>
    </row>
    <row r="58" ht="14.25" customHeight="1">
      <c r="A58" s="1" t="s">
        <v>140</v>
      </c>
      <c r="B58" s="1" t="s">
        <v>49</v>
      </c>
      <c r="C58" s="1" t="s">
        <v>113</v>
      </c>
      <c r="D58" s="1" t="s">
        <v>258</v>
      </c>
      <c r="E58" s="1" t="s">
        <v>267</v>
      </c>
      <c r="F58" s="1" t="s">
        <v>268</v>
      </c>
      <c r="G58" s="1" t="s">
        <v>261</v>
      </c>
      <c r="H58" s="1" t="s">
        <v>85</v>
      </c>
      <c r="I58" s="1" t="s">
        <v>150</v>
      </c>
      <c r="J58" s="1" t="s">
        <v>269</v>
      </c>
      <c r="K58" s="1" t="s">
        <v>270</v>
      </c>
      <c r="L58" s="13">
        <v>30.0</v>
      </c>
      <c r="M58" s="1" t="s">
        <v>60</v>
      </c>
      <c r="N58" s="1" t="s">
        <v>61</v>
      </c>
      <c r="O58" s="1" t="s">
        <v>62</v>
      </c>
      <c r="P58" s="1">
        <v>250.0</v>
      </c>
      <c r="Q58" s="14">
        <v>48.24</v>
      </c>
      <c r="R58" s="1" t="s">
        <v>75</v>
      </c>
      <c r="S58" s="1" t="s">
        <v>76</v>
      </c>
      <c r="T58" s="15" t="s">
        <v>65</v>
      </c>
      <c r="U58" s="16">
        <v>1.5</v>
      </c>
      <c r="V58" s="14">
        <v>0.0</v>
      </c>
      <c r="W58" s="14">
        <v>-72.36</v>
      </c>
      <c r="X58" s="1" t="s">
        <v>59</v>
      </c>
      <c r="Y58" s="1"/>
      <c r="Z58" s="1"/>
    </row>
    <row r="59" ht="14.25" customHeight="1">
      <c r="A59" s="1" t="s">
        <v>140</v>
      </c>
      <c r="B59" s="1" t="s">
        <v>49</v>
      </c>
      <c r="C59" s="1" t="s">
        <v>113</v>
      </c>
      <c r="D59" s="1" t="s">
        <v>271</v>
      </c>
      <c r="E59" s="1" t="s">
        <v>272</v>
      </c>
      <c r="F59" s="1" t="s">
        <v>273</v>
      </c>
      <c r="G59" s="1" t="s">
        <v>54</v>
      </c>
      <c r="H59" s="1" t="s">
        <v>85</v>
      </c>
      <c r="I59" s="1" t="s">
        <v>274</v>
      </c>
      <c r="J59" s="1" t="s">
        <v>275</v>
      </c>
      <c r="K59" s="1" t="s">
        <v>270</v>
      </c>
      <c r="L59" s="13">
        <v>0.0</v>
      </c>
      <c r="M59" s="1" t="s">
        <v>60</v>
      </c>
      <c r="N59" s="1" t="s">
        <v>61</v>
      </c>
      <c r="O59" s="1" t="s">
        <v>62</v>
      </c>
      <c r="P59" s="1">
        <v>50.0</v>
      </c>
      <c r="Q59" s="14">
        <v>19.04</v>
      </c>
      <c r="R59" s="1" t="s">
        <v>75</v>
      </c>
      <c r="S59" s="1" t="s">
        <v>76</v>
      </c>
      <c r="T59" s="15" t="s">
        <v>65</v>
      </c>
      <c r="U59" s="16">
        <v>1.15</v>
      </c>
      <c r="V59" s="14">
        <v>0.0</v>
      </c>
      <c r="W59" s="14">
        <v>-21.9</v>
      </c>
      <c r="X59" s="1" t="s">
        <v>59</v>
      </c>
      <c r="Y59" s="1"/>
      <c r="Z59" s="1"/>
    </row>
    <row r="60" ht="14.25" customHeight="1">
      <c r="A60" s="1" t="s">
        <v>140</v>
      </c>
      <c r="B60" s="1" t="s">
        <v>49</v>
      </c>
      <c r="C60" s="1" t="s">
        <v>113</v>
      </c>
      <c r="D60" s="1" t="s">
        <v>271</v>
      </c>
      <c r="E60" s="1" t="s">
        <v>276</v>
      </c>
      <c r="F60" s="1" t="s">
        <v>277</v>
      </c>
      <c r="G60" s="1" t="s">
        <v>54</v>
      </c>
      <c r="H60" s="1" t="s">
        <v>85</v>
      </c>
      <c r="I60" s="1" t="s">
        <v>274</v>
      </c>
      <c r="J60" s="1" t="s">
        <v>278</v>
      </c>
      <c r="K60" s="1" t="s">
        <v>279</v>
      </c>
      <c r="L60" s="13">
        <v>0.0</v>
      </c>
      <c r="M60" s="1" t="s">
        <v>60</v>
      </c>
      <c r="N60" s="1" t="s">
        <v>61</v>
      </c>
      <c r="O60" s="1" t="s">
        <v>62</v>
      </c>
      <c r="P60" s="1">
        <v>50.0</v>
      </c>
      <c r="Q60" s="14">
        <v>19.04</v>
      </c>
      <c r="R60" s="1" t="s">
        <v>75</v>
      </c>
      <c r="S60" s="1" t="s">
        <v>76</v>
      </c>
      <c r="T60" s="15" t="s">
        <v>65</v>
      </c>
      <c r="U60" s="16">
        <v>1.15</v>
      </c>
      <c r="V60" s="14">
        <v>0.0</v>
      </c>
      <c r="W60" s="14">
        <v>-21.9</v>
      </c>
      <c r="X60" s="1" t="s">
        <v>59</v>
      </c>
      <c r="Y60" s="1"/>
      <c r="Z60" s="1"/>
    </row>
    <row r="61" ht="14.25" customHeight="1">
      <c r="A61" s="1" t="s">
        <v>140</v>
      </c>
      <c r="B61" s="1" t="s">
        <v>49</v>
      </c>
      <c r="C61" s="1" t="s">
        <v>113</v>
      </c>
      <c r="D61" s="1" t="s">
        <v>280</v>
      </c>
      <c r="E61" s="1" t="s">
        <v>281</v>
      </c>
      <c r="F61" s="1" t="s">
        <v>282</v>
      </c>
      <c r="G61" s="1" t="s">
        <v>283</v>
      </c>
      <c r="H61" s="1" t="s">
        <v>152</v>
      </c>
      <c r="I61" s="1" t="s">
        <v>150</v>
      </c>
      <c r="J61" s="1" t="s">
        <v>152</v>
      </c>
      <c r="K61" s="1" t="s">
        <v>152</v>
      </c>
      <c r="L61" s="13">
        <v>66.0</v>
      </c>
      <c r="M61" s="1" t="s">
        <v>60</v>
      </c>
      <c r="N61" s="1" t="s">
        <v>61</v>
      </c>
      <c r="O61" s="1" t="s">
        <v>62</v>
      </c>
      <c r="P61" s="1">
        <v>50.0</v>
      </c>
      <c r="Q61" s="14">
        <v>1105.74</v>
      </c>
      <c r="R61" s="1" t="s">
        <v>75</v>
      </c>
      <c r="S61" s="1" t="s">
        <v>118</v>
      </c>
      <c r="T61" s="15" t="s">
        <v>65</v>
      </c>
      <c r="U61" s="16">
        <v>1.5</v>
      </c>
      <c r="V61" s="14">
        <v>1658.61</v>
      </c>
      <c r="W61" s="14">
        <v>1658.61</v>
      </c>
      <c r="X61" s="1" t="s">
        <v>59</v>
      </c>
      <c r="Y61" s="1"/>
      <c r="Z61" s="1"/>
    </row>
    <row r="62" ht="14.25" customHeight="1">
      <c r="A62" s="1" t="s">
        <v>140</v>
      </c>
      <c r="B62" s="1" t="s">
        <v>49</v>
      </c>
      <c r="C62" s="1" t="s">
        <v>113</v>
      </c>
      <c r="D62" s="1" t="s">
        <v>284</v>
      </c>
      <c r="E62" s="1" t="s">
        <v>285</v>
      </c>
      <c r="F62" s="1" t="s">
        <v>286</v>
      </c>
      <c r="G62" s="1" t="s">
        <v>287</v>
      </c>
      <c r="H62" s="1" t="s">
        <v>152</v>
      </c>
      <c r="I62" s="1" t="s">
        <v>288</v>
      </c>
      <c r="J62" s="1" t="s">
        <v>235</v>
      </c>
      <c r="K62" s="1" t="s">
        <v>206</v>
      </c>
      <c r="L62" s="13">
        <v>63.0</v>
      </c>
      <c r="M62" s="1" t="s">
        <v>60</v>
      </c>
      <c r="N62" s="1" t="s">
        <v>61</v>
      </c>
      <c r="O62" s="1" t="s">
        <v>62</v>
      </c>
      <c r="P62" s="1">
        <v>20.0</v>
      </c>
      <c r="Q62" s="14">
        <v>91.63</v>
      </c>
      <c r="R62" s="1" t="s">
        <v>75</v>
      </c>
      <c r="S62" s="1" t="s">
        <v>76</v>
      </c>
      <c r="T62" s="15" t="s">
        <v>65</v>
      </c>
      <c r="U62" s="16">
        <v>0.875</v>
      </c>
      <c r="V62" s="14">
        <v>80.18</v>
      </c>
      <c r="W62" s="14">
        <v>0.0</v>
      </c>
      <c r="X62" s="1" t="s">
        <v>59</v>
      </c>
      <c r="Y62" s="1"/>
      <c r="Z62" s="1"/>
    </row>
    <row r="63" ht="14.25" customHeight="1">
      <c r="A63" s="1" t="s">
        <v>140</v>
      </c>
      <c r="B63" s="1" t="s">
        <v>49</v>
      </c>
      <c r="C63" s="1" t="s">
        <v>113</v>
      </c>
      <c r="D63" s="1" t="s">
        <v>284</v>
      </c>
      <c r="E63" s="1" t="s">
        <v>289</v>
      </c>
      <c r="F63" s="1" t="s">
        <v>290</v>
      </c>
      <c r="G63" s="1" t="s">
        <v>291</v>
      </c>
      <c r="H63" s="1" t="s">
        <v>85</v>
      </c>
      <c r="I63" s="1" t="s">
        <v>150</v>
      </c>
      <c r="J63" s="1" t="s">
        <v>292</v>
      </c>
      <c r="K63" s="1" t="s">
        <v>163</v>
      </c>
      <c r="L63" s="13">
        <v>63.0</v>
      </c>
      <c r="M63" s="1" t="s">
        <v>60</v>
      </c>
      <c r="N63" s="1" t="s">
        <v>61</v>
      </c>
      <c r="O63" s="1" t="s">
        <v>62</v>
      </c>
      <c r="P63" s="1">
        <v>30.0</v>
      </c>
      <c r="Q63" s="14">
        <v>58.85</v>
      </c>
      <c r="R63" s="1" t="s">
        <v>75</v>
      </c>
      <c r="S63" s="1" t="s">
        <v>76</v>
      </c>
      <c r="T63" s="15" t="s">
        <v>65</v>
      </c>
      <c r="U63" s="16">
        <v>1.5</v>
      </c>
      <c r="V63" s="14">
        <v>0.0</v>
      </c>
      <c r="W63" s="14">
        <v>-88.28</v>
      </c>
      <c r="X63" s="1" t="s">
        <v>59</v>
      </c>
      <c r="Y63" s="1"/>
      <c r="Z63" s="1"/>
    </row>
    <row r="64" ht="14.25" customHeight="1">
      <c r="A64" s="1" t="s">
        <v>140</v>
      </c>
      <c r="B64" s="1" t="s">
        <v>49</v>
      </c>
      <c r="C64" s="1" t="s">
        <v>113</v>
      </c>
      <c r="D64" s="1" t="s">
        <v>284</v>
      </c>
      <c r="E64" s="1" t="s">
        <v>293</v>
      </c>
      <c r="F64" s="1" t="s">
        <v>294</v>
      </c>
      <c r="G64" s="1" t="s">
        <v>161</v>
      </c>
      <c r="H64" s="1" t="s">
        <v>85</v>
      </c>
      <c r="I64" s="1" t="s">
        <v>144</v>
      </c>
      <c r="J64" s="1" t="s">
        <v>171</v>
      </c>
      <c r="K64" s="1" t="s">
        <v>163</v>
      </c>
      <c r="L64" s="13">
        <v>58.0</v>
      </c>
      <c r="M64" s="1" t="s">
        <v>60</v>
      </c>
      <c r="N64" s="1" t="s">
        <v>61</v>
      </c>
      <c r="O64" s="1" t="s">
        <v>62</v>
      </c>
      <c r="P64" s="1">
        <v>100.0</v>
      </c>
      <c r="Q64" s="14">
        <v>153.03</v>
      </c>
      <c r="R64" s="1" t="s">
        <v>75</v>
      </c>
      <c r="S64" s="1" t="s">
        <v>76</v>
      </c>
      <c r="T64" s="15" t="s">
        <v>65</v>
      </c>
      <c r="U64" s="16">
        <v>0.675</v>
      </c>
      <c r="V64" s="14">
        <v>0.0</v>
      </c>
      <c r="W64" s="14">
        <v>-103.3</v>
      </c>
      <c r="X64" s="1" t="s">
        <v>59</v>
      </c>
      <c r="Y64" s="1"/>
      <c r="Z64" s="1"/>
    </row>
    <row r="65" ht="14.25" customHeight="1">
      <c r="A65" s="1" t="s">
        <v>140</v>
      </c>
      <c r="B65" s="1" t="s">
        <v>49</v>
      </c>
      <c r="C65" s="1" t="s">
        <v>113</v>
      </c>
      <c r="D65" s="1" t="s">
        <v>284</v>
      </c>
      <c r="E65" s="1" t="s">
        <v>295</v>
      </c>
      <c r="F65" s="1" t="s">
        <v>296</v>
      </c>
      <c r="G65" s="1" t="s">
        <v>54</v>
      </c>
      <c r="H65" s="1" t="s">
        <v>152</v>
      </c>
      <c r="I65" s="1" t="s">
        <v>144</v>
      </c>
      <c r="J65" s="1" t="s">
        <v>297</v>
      </c>
      <c r="K65" s="1" t="s">
        <v>206</v>
      </c>
      <c r="L65" s="13">
        <v>29.0</v>
      </c>
      <c r="M65" s="1" t="s">
        <v>60</v>
      </c>
      <c r="N65" s="1" t="s">
        <v>61</v>
      </c>
      <c r="O65" s="1" t="s">
        <v>62</v>
      </c>
      <c r="P65" s="1">
        <v>300.0</v>
      </c>
      <c r="Q65" s="14">
        <v>90.88</v>
      </c>
      <c r="R65" s="1" t="s">
        <v>75</v>
      </c>
      <c r="S65" s="1" t="s">
        <v>76</v>
      </c>
      <c r="T65" s="15" t="s">
        <v>65</v>
      </c>
      <c r="U65" s="16">
        <v>0.675</v>
      </c>
      <c r="V65" s="14">
        <v>0.0</v>
      </c>
      <c r="W65" s="14">
        <v>-61.34</v>
      </c>
      <c r="X65" s="1" t="s">
        <v>59</v>
      </c>
      <c r="Y65" s="1"/>
      <c r="Z65" s="1"/>
    </row>
    <row r="66" ht="14.25" customHeight="1">
      <c r="A66" s="1" t="s">
        <v>140</v>
      </c>
      <c r="B66" s="1" t="s">
        <v>49</v>
      </c>
      <c r="C66" s="1" t="s">
        <v>113</v>
      </c>
      <c r="D66" s="1" t="s">
        <v>284</v>
      </c>
      <c r="E66" s="1" t="s">
        <v>298</v>
      </c>
      <c r="F66" s="1" t="s">
        <v>299</v>
      </c>
      <c r="G66" s="1" t="s">
        <v>177</v>
      </c>
      <c r="H66" s="1" t="s">
        <v>85</v>
      </c>
      <c r="I66" s="1" t="s">
        <v>150</v>
      </c>
      <c r="J66" s="1" t="s">
        <v>300</v>
      </c>
      <c r="K66" s="1" t="s">
        <v>227</v>
      </c>
      <c r="L66" s="13">
        <v>53.0</v>
      </c>
      <c r="M66" s="1" t="s">
        <v>60</v>
      </c>
      <c r="N66" s="1" t="s">
        <v>61</v>
      </c>
      <c r="O66" s="1" t="s">
        <v>62</v>
      </c>
      <c r="P66" s="1">
        <v>120.0</v>
      </c>
      <c r="Q66" s="14">
        <v>98.04</v>
      </c>
      <c r="R66" s="1" t="s">
        <v>75</v>
      </c>
      <c r="S66" s="1" t="s">
        <v>153</v>
      </c>
      <c r="T66" s="15" t="s">
        <v>65</v>
      </c>
      <c r="U66" s="16">
        <v>1.5</v>
      </c>
      <c r="V66" s="14">
        <v>0.0</v>
      </c>
      <c r="W66" s="14">
        <v>-147.06</v>
      </c>
      <c r="X66" s="1" t="s">
        <v>59</v>
      </c>
      <c r="Y66" s="1"/>
      <c r="Z66" s="1"/>
    </row>
    <row r="67" ht="14.25" customHeight="1">
      <c r="A67" s="1" t="s">
        <v>140</v>
      </c>
      <c r="B67" s="1" t="s">
        <v>49</v>
      </c>
      <c r="C67" s="1" t="s">
        <v>113</v>
      </c>
      <c r="D67" s="1" t="s">
        <v>301</v>
      </c>
      <c r="E67" s="1" t="s">
        <v>302</v>
      </c>
      <c r="F67" s="1" t="s">
        <v>303</v>
      </c>
      <c r="G67" s="1" t="s">
        <v>214</v>
      </c>
      <c r="H67" s="1" t="s">
        <v>138</v>
      </c>
      <c r="I67" s="1" t="s">
        <v>144</v>
      </c>
      <c r="J67" s="1" t="s">
        <v>138</v>
      </c>
      <c r="K67" s="1" t="s">
        <v>138</v>
      </c>
      <c r="L67" s="13">
        <v>30.0</v>
      </c>
      <c r="M67" s="1" t="s">
        <v>60</v>
      </c>
      <c r="N67" s="1" t="s">
        <v>61</v>
      </c>
      <c r="O67" s="1" t="s">
        <v>62</v>
      </c>
      <c r="P67" s="1">
        <v>50.0</v>
      </c>
      <c r="Q67" s="14">
        <v>208.8</v>
      </c>
      <c r="R67" s="1" t="s">
        <v>75</v>
      </c>
      <c r="S67" s="1" t="s">
        <v>118</v>
      </c>
      <c r="T67" s="15" t="s">
        <v>65</v>
      </c>
      <c r="U67" s="16">
        <v>0.25</v>
      </c>
      <c r="V67" s="14">
        <v>52.2</v>
      </c>
      <c r="W67" s="14">
        <v>52.2</v>
      </c>
      <c r="X67" s="1" t="s">
        <v>59</v>
      </c>
      <c r="Y67" s="1"/>
      <c r="Z67" s="1"/>
    </row>
    <row r="68" ht="14.25" customHeight="1">
      <c r="A68" s="1" t="s">
        <v>140</v>
      </c>
      <c r="B68" s="1" t="s">
        <v>49</v>
      </c>
      <c r="C68" s="1" t="s">
        <v>113</v>
      </c>
      <c r="D68" s="1" t="s">
        <v>304</v>
      </c>
      <c r="E68" s="1" t="s">
        <v>305</v>
      </c>
      <c r="F68" s="1" t="s">
        <v>306</v>
      </c>
      <c r="G68" s="1" t="s">
        <v>307</v>
      </c>
      <c r="H68" s="1" t="s">
        <v>85</v>
      </c>
      <c r="I68" s="1" t="s">
        <v>150</v>
      </c>
      <c r="J68" s="1" t="s">
        <v>171</v>
      </c>
      <c r="K68" s="1" t="s">
        <v>163</v>
      </c>
      <c r="L68" s="13">
        <v>55.0</v>
      </c>
      <c r="M68" s="1" t="s">
        <v>60</v>
      </c>
      <c r="N68" s="1" t="s">
        <v>61</v>
      </c>
      <c r="O68" s="1" t="s">
        <v>62</v>
      </c>
      <c r="P68" s="1">
        <v>200.0</v>
      </c>
      <c r="Q68" s="14">
        <v>182.98</v>
      </c>
      <c r="R68" s="1" t="s">
        <v>75</v>
      </c>
      <c r="S68" s="1" t="s">
        <v>76</v>
      </c>
      <c r="T68" s="15" t="s">
        <v>65</v>
      </c>
      <c r="U68" s="16">
        <v>1.5</v>
      </c>
      <c r="V68" s="14">
        <v>0.0</v>
      </c>
      <c r="W68" s="14">
        <v>-274.47</v>
      </c>
      <c r="X68" s="1" t="s">
        <v>59</v>
      </c>
      <c r="Y68" s="1"/>
      <c r="Z68" s="1"/>
    </row>
    <row r="69" ht="14.25" customHeight="1">
      <c r="A69" s="1" t="s">
        <v>140</v>
      </c>
      <c r="B69" s="1" t="s">
        <v>49</v>
      </c>
      <c r="C69" s="1" t="s">
        <v>113</v>
      </c>
      <c r="D69" s="1" t="s">
        <v>304</v>
      </c>
      <c r="E69" s="1" t="s">
        <v>308</v>
      </c>
      <c r="F69" s="1" t="s">
        <v>309</v>
      </c>
      <c r="G69" s="1" t="s">
        <v>310</v>
      </c>
      <c r="H69" s="1" t="s">
        <v>138</v>
      </c>
      <c r="I69" s="1" t="s">
        <v>239</v>
      </c>
      <c r="J69" s="1" t="s">
        <v>311</v>
      </c>
      <c r="K69" s="1" t="s">
        <v>139</v>
      </c>
      <c r="L69" s="13">
        <v>25.0</v>
      </c>
      <c r="M69" s="1" t="s">
        <v>60</v>
      </c>
      <c r="N69" s="1" t="s">
        <v>61</v>
      </c>
      <c r="O69" s="1" t="s">
        <v>62</v>
      </c>
      <c r="P69" s="1">
        <v>300.0</v>
      </c>
      <c r="Q69" s="14">
        <v>62.57</v>
      </c>
      <c r="R69" s="1" t="s">
        <v>75</v>
      </c>
      <c r="S69" s="1" t="s">
        <v>76</v>
      </c>
      <c r="T69" s="15" t="s">
        <v>65</v>
      </c>
      <c r="U69" s="16">
        <v>1.5</v>
      </c>
      <c r="V69" s="14">
        <v>0.0</v>
      </c>
      <c r="W69" s="14">
        <v>-93.86</v>
      </c>
      <c r="X69" s="1" t="s">
        <v>59</v>
      </c>
      <c r="Y69" s="1"/>
      <c r="Z69" s="1"/>
    </row>
    <row r="70" ht="14.25" customHeight="1">
      <c r="A70" s="1" t="s">
        <v>140</v>
      </c>
      <c r="B70" s="1" t="s">
        <v>49</v>
      </c>
      <c r="C70" s="1" t="s">
        <v>113</v>
      </c>
      <c r="D70" s="1" t="s">
        <v>304</v>
      </c>
      <c r="E70" s="1" t="s">
        <v>312</v>
      </c>
      <c r="F70" s="1" t="s">
        <v>313</v>
      </c>
      <c r="G70" s="1" t="s">
        <v>156</v>
      </c>
      <c r="H70" s="1" t="s">
        <v>138</v>
      </c>
      <c r="I70" s="1" t="s">
        <v>150</v>
      </c>
      <c r="J70" s="1" t="s">
        <v>311</v>
      </c>
      <c r="K70" s="1" t="s">
        <v>139</v>
      </c>
      <c r="L70" s="13">
        <v>62.0</v>
      </c>
      <c r="M70" s="1" t="s">
        <v>60</v>
      </c>
      <c r="N70" s="1" t="s">
        <v>61</v>
      </c>
      <c r="O70" s="1" t="s">
        <v>62</v>
      </c>
      <c r="P70" s="1">
        <v>25.0</v>
      </c>
      <c r="Q70" s="14">
        <v>87.87</v>
      </c>
      <c r="R70" s="1" t="s">
        <v>75</v>
      </c>
      <c r="S70" s="1" t="s">
        <v>76</v>
      </c>
      <c r="T70" s="15" t="s">
        <v>65</v>
      </c>
      <c r="U70" s="16">
        <v>1.5</v>
      </c>
      <c r="V70" s="14">
        <v>0.0</v>
      </c>
      <c r="W70" s="14">
        <v>-131.81</v>
      </c>
      <c r="X70" s="1" t="s">
        <v>59</v>
      </c>
      <c r="Y70" s="1"/>
      <c r="Z70" s="1"/>
    </row>
    <row r="71" ht="14.25" customHeight="1">
      <c r="A71" s="1" t="s">
        <v>140</v>
      </c>
      <c r="B71" s="1" t="s">
        <v>49</v>
      </c>
      <c r="C71" s="1" t="s">
        <v>113</v>
      </c>
      <c r="D71" s="1" t="s">
        <v>304</v>
      </c>
      <c r="E71" s="1" t="s">
        <v>314</v>
      </c>
      <c r="F71" s="1" t="s">
        <v>315</v>
      </c>
      <c r="G71" s="1" t="s">
        <v>251</v>
      </c>
      <c r="H71" s="1" t="s">
        <v>85</v>
      </c>
      <c r="I71" s="1" t="s">
        <v>150</v>
      </c>
      <c r="J71" s="1" t="s">
        <v>171</v>
      </c>
      <c r="K71" s="1" t="s">
        <v>163</v>
      </c>
      <c r="L71" s="13">
        <v>58.0</v>
      </c>
      <c r="M71" s="1" t="s">
        <v>60</v>
      </c>
      <c r="N71" s="1" t="s">
        <v>61</v>
      </c>
      <c r="O71" s="1" t="s">
        <v>62</v>
      </c>
      <c r="P71" s="1">
        <v>125.0</v>
      </c>
      <c r="Q71" s="14">
        <v>141.96</v>
      </c>
      <c r="R71" s="1" t="s">
        <v>75</v>
      </c>
      <c r="S71" s="1" t="s">
        <v>76</v>
      </c>
      <c r="T71" s="15" t="s">
        <v>65</v>
      </c>
      <c r="U71" s="16">
        <v>1.5</v>
      </c>
      <c r="V71" s="14">
        <v>0.0</v>
      </c>
      <c r="W71" s="14">
        <v>-212.94</v>
      </c>
      <c r="X71" s="1" t="s">
        <v>59</v>
      </c>
      <c r="Y71" s="1"/>
      <c r="Z71" s="1"/>
    </row>
    <row r="72" ht="14.25" customHeight="1">
      <c r="A72" s="1" t="s">
        <v>140</v>
      </c>
      <c r="B72" s="1" t="s">
        <v>49</v>
      </c>
      <c r="C72" s="1" t="s">
        <v>113</v>
      </c>
      <c r="D72" s="1" t="s">
        <v>316</v>
      </c>
      <c r="E72" s="1" t="s">
        <v>317</v>
      </c>
      <c r="F72" s="1" t="s">
        <v>318</v>
      </c>
      <c r="G72" s="1" t="s">
        <v>54</v>
      </c>
      <c r="H72" s="1" t="s">
        <v>85</v>
      </c>
      <c r="I72" s="1" t="s">
        <v>144</v>
      </c>
      <c r="J72" s="1" t="s">
        <v>300</v>
      </c>
      <c r="K72" s="1" t="s">
        <v>227</v>
      </c>
      <c r="L72" s="13">
        <v>65.0</v>
      </c>
      <c r="M72" s="1" t="s">
        <v>60</v>
      </c>
      <c r="N72" s="1" t="s">
        <v>61</v>
      </c>
      <c r="O72" s="1" t="s">
        <v>62</v>
      </c>
      <c r="P72" s="1">
        <v>25.0</v>
      </c>
      <c r="Q72" s="14">
        <v>68.66</v>
      </c>
      <c r="R72" s="1" t="s">
        <v>75</v>
      </c>
      <c r="S72" s="1" t="s">
        <v>153</v>
      </c>
      <c r="T72" s="15" t="s">
        <v>65</v>
      </c>
      <c r="U72" s="16">
        <v>1.35</v>
      </c>
      <c r="V72" s="14">
        <v>0.0</v>
      </c>
      <c r="W72" s="14">
        <v>-92.69</v>
      </c>
      <c r="X72" s="1" t="s">
        <v>59</v>
      </c>
      <c r="Y72" s="1"/>
      <c r="Z72" s="1"/>
    </row>
    <row r="73" ht="14.25" customHeight="1">
      <c r="A73" s="1" t="s">
        <v>140</v>
      </c>
      <c r="B73" s="1" t="s">
        <v>49</v>
      </c>
      <c r="C73" s="1" t="s">
        <v>113</v>
      </c>
      <c r="D73" s="1" t="s">
        <v>132</v>
      </c>
      <c r="E73" s="1" t="s">
        <v>319</v>
      </c>
      <c r="F73" s="1" t="s">
        <v>320</v>
      </c>
      <c r="G73" s="1" t="s">
        <v>54</v>
      </c>
      <c r="H73" s="1" t="s">
        <v>85</v>
      </c>
      <c r="I73" s="1" t="s">
        <v>144</v>
      </c>
      <c r="J73" s="1" t="s">
        <v>162</v>
      </c>
      <c r="K73" s="1" t="s">
        <v>163</v>
      </c>
      <c r="L73" s="13">
        <v>65.0</v>
      </c>
      <c r="M73" s="1" t="s">
        <v>60</v>
      </c>
      <c r="N73" s="1" t="s">
        <v>61</v>
      </c>
      <c r="O73" s="1" t="s">
        <v>62</v>
      </c>
      <c r="P73" s="1">
        <v>50.0</v>
      </c>
      <c r="Q73" s="14">
        <v>128.75</v>
      </c>
      <c r="R73" s="1" t="s">
        <v>75</v>
      </c>
      <c r="S73" s="1" t="s">
        <v>76</v>
      </c>
      <c r="T73" s="15" t="s">
        <v>65</v>
      </c>
      <c r="U73" s="16">
        <v>1.35</v>
      </c>
      <c r="V73" s="14">
        <v>0.0</v>
      </c>
      <c r="W73" s="14">
        <v>-173.81</v>
      </c>
      <c r="X73" s="1" t="s">
        <v>59</v>
      </c>
      <c r="Y73" s="1"/>
      <c r="Z73" s="1"/>
    </row>
    <row r="74" ht="14.25" customHeight="1">
      <c r="A74" s="1" t="s">
        <v>140</v>
      </c>
      <c r="B74" s="1" t="s">
        <v>49</v>
      </c>
      <c r="C74" s="1" t="s">
        <v>113</v>
      </c>
      <c r="D74" s="1" t="s">
        <v>126</v>
      </c>
      <c r="E74" s="1" t="s">
        <v>321</v>
      </c>
      <c r="F74" s="1" t="s">
        <v>322</v>
      </c>
      <c r="G74" s="1" t="s">
        <v>129</v>
      </c>
      <c r="H74" s="1" t="s">
        <v>85</v>
      </c>
      <c r="I74" s="1" t="s">
        <v>144</v>
      </c>
      <c r="J74" s="1" t="s">
        <v>323</v>
      </c>
      <c r="K74" s="1" t="s">
        <v>324</v>
      </c>
      <c r="L74" s="13">
        <v>64.0</v>
      </c>
      <c r="M74" s="1" t="s">
        <v>60</v>
      </c>
      <c r="N74" s="1" t="s">
        <v>61</v>
      </c>
      <c r="O74" s="1" t="s">
        <v>62</v>
      </c>
      <c r="P74" s="1">
        <v>35.0</v>
      </c>
      <c r="Q74" s="14">
        <v>91.03</v>
      </c>
      <c r="R74" s="1" t="s">
        <v>75</v>
      </c>
      <c r="S74" s="1" t="s">
        <v>76</v>
      </c>
      <c r="T74" s="15" t="s">
        <v>65</v>
      </c>
      <c r="U74" s="16">
        <v>1.35</v>
      </c>
      <c r="V74" s="14">
        <v>0.0</v>
      </c>
      <c r="W74" s="14">
        <v>-122.89</v>
      </c>
      <c r="X74" s="1" t="s">
        <v>59</v>
      </c>
      <c r="Y74" s="1"/>
      <c r="Z74" s="1"/>
    </row>
    <row r="75" ht="14.25" customHeight="1">
      <c r="A75" s="1" t="s">
        <v>140</v>
      </c>
      <c r="B75" s="1" t="s">
        <v>49</v>
      </c>
      <c r="C75" s="1" t="s">
        <v>113</v>
      </c>
      <c r="D75" s="1" t="s">
        <v>97</v>
      </c>
      <c r="E75" s="1" t="s">
        <v>325</v>
      </c>
      <c r="F75" s="1" t="s">
        <v>326</v>
      </c>
      <c r="G75" s="1" t="s">
        <v>287</v>
      </c>
      <c r="H75" s="1" t="s">
        <v>138</v>
      </c>
      <c r="I75" s="1" t="s">
        <v>144</v>
      </c>
      <c r="J75" s="1" t="s">
        <v>327</v>
      </c>
      <c r="K75" s="1" t="s">
        <v>328</v>
      </c>
      <c r="L75" s="13">
        <v>53.0</v>
      </c>
      <c r="M75" s="1" t="s">
        <v>60</v>
      </c>
      <c r="N75" s="1" t="s">
        <v>61</v>
      </c>
      <c r="O75" s="1" t="s">
        <v>62</v>
      </c>
      <c r="P75" s="1">
        <v>200.0</v>
      </c>
      <c r="Q75" s="14">
        <v>-309.85</v>
      </c>
      <c r="R75" s="1" t="s">
        <v>75</v>
      </c>
      <c r="S75" s="1" t="s">
        <v>329</v>
      </c>
      <c r="T75" s="15" t="s">
        <v>65</v>
      </c>
      <c r="U75" s="16">
        <v>0.675</v>
      </c>
      <c r="V75" s="14">
        <v>-0.01</v>
      </c>
      <c r="W75" s="14">
        <v>209.14</v>
      </c>
      <c r="X75" s="1" t="s">
        <v>59</v>
      </c>
      <c r="Y75" s="1"/>
      <c r="Z75" s="1"/>
    </row>
    <row r="76" ht="14.25" customHeight="1">
      <c r="A76" s="1" t="s">
        <v>140</v>
      </c>
      <c r="B76" s="1" t="s">
        <v>49</v>
      </c>
      <c r="C76" s="1" t="s">
        <v>113</v>
      </c>
      <c r="D76" s="1" t="s">
        <v>330</v>
      </c>
      <c r="E76" s="1" t="s">
        <v>331</v>
      </c>
      <c r="F76" s="1" t="s">
        <v>332</v>
      </c>
      <c r="G76" s="1" t="s">
        <v>54</v>
      </c>
      <c r="H76" s="1" t="s">
        <v>85</v>
      </c>
      <c r="I76" s="1" t="s">
        <v>144</v>
      </c>
      <c r="J76" s="1" t="s">
        <v>333</v>
      </c>
      <c r="K76" s="1" t="s">
        <v>324</v>
      </c>
      <c r="L76" s="13">
        <v>47.0</v>
      </c>
      <c r="M76" s="1" t="s">
        <v>60</v>
      </c>
      <c r="N76" s="1" t="s">
        <v>61</v>
      </c>
      <c r="O76" s="1" t="s">
        <v>62</v>
      </c>
      <c r="P76" s="1">
        <v>110.0</v>
      </c>
      <c r="Q76" s="14">
        <v>100.06</v>
      </c>
      <c r="R76" s="1" t="s">
        <v>75</v>
      </c>
      <c r="S76" s="1" t="s">
        <v>76</v>
      </c>
      <c r="T76" s="15" t="s">
        <v>65</v>
      </c>
      <c r="U76" s="16">
        <v>1.35</v>
      </c>
      <c r="V76" s="14">
        <v>135.08</v>
      </c>
      <c r="W76" s="14">
        <v>0.0</v>
      </c>
      <c r="X76" s="1" t="s">
        <v>59</v>
      </c>
      <c r="Y76" s="1"/>
      <c r="Z76" s="1"/>
    </row>
    <row r="77" ht="14.25" customHeight="1">
      <c r="A77" s="1" t="s">
        <v>140</v>
      </c>
      <c r="B77" s="1" t="s">
        <v>49</v>
      </c>
      <c r="C77" s="1" t="s">
        <v>113</v>
      </c>
      <c r="D77" s="1" t="s">
        <v>97</v>
      </c>
      <c r="E77" s="1" t="s">
        <v>334</v>
      </c>
      <c r="F77" s="1" t="s">
        <v>335</v>
      </c>
      <c r="G77" s="1" t="s">
        <v>177</v>
      </c>
      <c r="H77" s="1" t="s">
        <v>152</v>
      </c>
      <c r="I77" s="1" t="s">
        <v>144</v>
      </c>
      <c r="J77" s="1" t="s">
        <v>336</v>
      </c>
      <c r="K77" s="1" t="s">
        <v>337</v>
      </c>
      <c r="L77" s="13">
        <v>64.0</v>
      </c>
      <c r="M77" s="1" t="s">
        <v>60</v>
      </c>
      <c r="N77" s="1" t="s">
        <v>61</v>
      </c>
      <c r="O77" s="1" t="s">
        <v>62</v>
      </c>
      <c r="P77" s="1">
        <v>100.0</v>
      </c>
      <c r="Q77" s="14">
        <v>234.36</v>
      </c>
      <c r="R77" s="1" t="s">
        <v>75</v>
      </c>
      <c r="S77" s="1" t="s">
        <v>76</v>
      </c>
      <c r="T77" s="15" t="s">
        <v>65</v>
      </c>
      <c r="U77" s="16">
        <v>0.675</v>
      </c>
      <c r="V77" s="14">
        <v>0.0</v>
      </c>
      <c r="W77" s="14">
        <v>-158.19</v>
      </c>
      <c r="X77" s="1" t="s">
        <v>59</v>
      </c>
      <c r="Y77" s="1"/>
      <c r="Z77" s="1"/>
    </row>
    <row r="78" ht="14.25" customHeight="1">
      <c r="A78" s="1" t="s">
        <v>140</v>
      </c>
      <c r="B78" s="1" t="s">
        <v>49</v>
      </c>
      <c r="C78" s="1" t="s">
        <v>113</v>
      </c>
      <c r="D78" s="1" t="s">
        <v>304</v>
      </c>
      <c r="E78" s="1" t="s">
        <v>338</v>
      </c>
      <c r="F78" s="1" t="s">
        <v>339</v>
      </c>
      <c r="G78" s="1" t="s">
        <v>307</v>
      </c>
      <c r="H78" s="1" t="s">
        <v>85</v>
      </c>
      <c r="I78" s="1" t="s">
        <v>150</v>
      </c>
      <c r="J78" s="1" t="s">
        <v>171</v>
      </c>
      <c r="K78" s="1" t="s">
        <v>163</v>
      </c>
      <c r="L78" s="13">
        <v>55.0</v>
      </c>
      <c r="M78" s="1" t="s">
        <v>60</v>
      </c>
      <c r="N78" s="1" t="s">
        <v>61</v>
      </c>
      <c r="O78" s="1" t="s">
        <v>62</v>
      </c>
      <c r="P78" s="1">
        <v>200.0</v>
      </c>
      <c r="Q78" s="14">
        <v>193.84</v>
      </c>
      <c r="R78" s="1" t="s">
        <v>75</v>
      </c>
      <c r="S78" s="1" t="s">
        <v>76</v>
      </c>
      <c r="T78" s="15" t="s">
        <v>65</v>
      </c>
      <c r="U78" s="16">
        <v>1.5</v>
      </c>
      <c r="V78" s="14">
        <v>0.0</v>
      </c>
      <c r="W78" s="14">
        <v>-290.76</v>
      </c>
      <c r="X78" s="1" t="s">
        <v>59</v>
      </c>
      <c r="Y78" s="1"/>
      <c r="Z78" s="1"/>
    </row>
    <row r="79" ht="14.25" customHeight="1">
      <c r="A79" s="1" t="s">
        <v>140</v>
      </c>
      <c r="B79" s="1" t="s">
        <v>49</v>
      </c>
      <c r="C79" s="1" t="s">
        <v>340</v>
      </c>
      <c r="D79" s="1" t="s">
        <v>228</v>
      </c>
      <c r="E79" s="1" t="s">
        <v>341</v>
      </c>
      <c r="F79" s="1" t="s">
        <v>342</v>
      </c>
      <c r="G79" s="1" t="s">
        <v>54</v>
      </c>
      <c r="H79" s="1" t="s">
        <v>130</v>
      </c>
      <c r="I79" s="1" t="s">
        <v>225</v>
      </c>
      <c r="J79" s="1" t="s">
        <v>343</v>
      </c>
      <c r="K79" s="1" t="s">
        <v>163</v>
      </c>
      <c r="L79" s="13">
        <v>66.0</v>
      </c>
      <c r="M79" s="1" t="s">
        <v>60</v>
      </c>
      <c r="N79" s="1" t="s">
        <v>61</v>
      </c>
      <c r="O79" s="1" t="s">
        <v>62</v>
      </c>
      <c r="P79" s="1">
        <v>12.0</v>
      </c>
      <c r="Q79" s="14">
        <v>71.62</v>
      </c>
      <c r="R79" s="1" t="s">
        <v>63</v>
      </c>
      <c r="S79" s="1" t="s">
        <v>64</v>
      </c>
      <c r="T79" s="15" t="s">
        <v>65</v>
      </c>
      <c r="U79" s="16">
        <v>0.07</v>
      </c>
      <c r="V79" s="14">
        <v>5.01</v>
      </c>
      <c r="W79" s="14">
        <v>0.0</v>
      </c>
      <c r="X79" s="1" t="s">
        <v>59</v>
      </c>
      <c r="Y79" s="1"/>
      <c r="Z79" s="1"/>
    </row>
    <row r="80" ht="14.25" customHeight="1">
      <c r="A80" s="1" t="s">
        <v>140</v>
      </c>
      <c r="B80" s="1" t="s">
        <v>49</v>
      </c>
      <c r="C80" s="1" t="s">
        <v>340</v>
      </c>
      <c r="D80" s="1" t="s">
        <v>211</v>
      </c>
      <c r="E80" s="1" t="s">
        <v>344</v>
      </c>
      <c r="F80" s="1" t="s">
        <v>345</v>
      </c>
      <c r="G80" s="1" t="s">
        <v>214</v>
      </c>
      <c r="H80" s="1" t="s">
        <v>152</v>
      </c>
      <c r="I80" s="1" t="s">
        <v>225</v>
      </c>
      <c r="J80" s="1" t="s">
        <v>346</v>
      </c>
      <c r="K80" s="1" t="s">
        <v>221</v>
      </c>
      <c r="L80" s="13">
        <v>69.0</v>
      </c>
      <c r="M80" s="1" t="s">
        <v>60</v>
      </c>
      <c r="N80" s="1" t="s">
        <v>61</v>
      </c>
      <c r="O80" s="1" t="s">
        <v>62</v>
      </c>
      <c r="P80" s="1">
        <v>5.0</v>
      </c>
      <c r="Q80" s="14">
        <v>27.01</v>
      </c>
      <c r="R80" s="1" t="s">
        <v>63</v>
      </c>
      <c r="S80" s="1" t="s">
        <v>64</v>
      </c>
      <c r="T80" s="15" t="s">
        <v>65</v>
      </c>
      <c r="U80" s="16">
        <v>0.07</v>
      </c>
      <c r="V80" s="14">
        <v>1.89</v>
      </c>
      <c r="W80" s="14">
        <v>0.0</v>
      </c>
      <c r="X80" s="1" t="s">
        <v>59</v>
      </c>
      <c r="Y80" s="1"/>
      <c r="Z80" s="1"/>
    </row>
    <row r="81" ht="14.25" customHeight="1">
      <c r="A81" s="1" t="s">
        <v>140</v>
      </c>
      <c r="B81" s="1" t="s">
        <v>49</v>
      </c>
      <c r="C81" s="1" t="s">
        <v>340</v>
      </c>
      <c r="D81" s="1" t="s">
        <v>228</v>
      </c>
      <c r="E81" s="1" t="s">
        <v>347</v>
      </c>
      <c r="F81" s="1" t="s">
        <v>348</v>
      </c>
      <c r="G81" s="1" t="s">
        <v>54</v>
      </c>
      <c r="H81" s="1" t="s">
        <v>130</v>
      </c>
      <c r="I81" s="1" t="s">
        <v>225</v>
      </c>
      <c r="J81" s="1" t="s">
        <v>349</v>
      </c>
      <c r="K81" s="1" t="s">
        <v>266</v>
      </c>
      <c r="L81" s="13">
        <v>71.0</v>
      </c>
      <c r="M81" s="1" t="s">
        <v>60</v>
      </c>
      <c r="N81" s="1" t="s">
        <v>61</v>
      </c>
      <c r="O81" s="1" t="s">
        <v>62</v>
      </c>
      <c r="P81" s="1">
        <v>12.0</v>
      </c>
      <c r="Q81" s="14">
        <v>137.37</v>
      </c>
      <c r="R81" s="1" t="s">
        <v>63</v>
      </c>
      <c r="S81" s="1" t="s">
        <v>64</v>
      </c>
      <c r="T81" s="15" t="s">
        <v>65</v>
      </c>
      <c r="U81" s="16">
        <v>0.07</v>
      </c>
      <c r="V81" s="14">
        <v>9.62</v>
      </c>
      <c r="W81" s="14">
        <v>0.0</v>
      </c>
      <c r="X81" s="1" t="s">
        <v>59</v>
      </c>
      <c r="Y81" s="1"/>
      <c r="Z81" s="1"/>
    </row>
    <row r="82" ht="14.25" customHeight="1">
      <c r="A82" s="1" t="s">
        <v>140</v>
      </c>
      <c r="B82" s="1" t="s">
        <v>49</v>
      </c>
      <c r="C82" s="1" t="s">
        <v>340</v>
      </c>
      <c r="D82" s="1" t="s">
        <v>97</v>
      </c>
      <c r="E82" s="1" t="s">
        <v>350</v>
      </c>
      <c r="F82" s="1" t="s">
        <v>351</v>
      </c>
      <c r="G82" s="1" t="s">
        <v>352</v>
      </c>
      <c r="H82" s="1" t="s">
        <v>85</v>
      </c>
      <c r="I82" s="1" t="s">
        <v>144</v>
      </c>
      <c r="J82" s="1" t="s">
        <v>353</v>
      </c>
      <c r="K82" s="1" t="s">
        <v>102</v>
      </c>
      <c r="L82" s="13">
        <v>63.0</v>
      </c>
      <c r="M82" s="1" t="s">
        <v>60</v>
      </c>
      <c r="N82" s="1" t="s">
        <v>61</v>
      </c>
      <c r="O82" s="1" t="s">
        <v>62</v>
      </c>
      <c r="P82" s="1">
        <v>50.0</v>
      </c>
      <c r="Q82" s="14">
        <v>134.81</v>
      </c>
      <c r="R82" s="1" t="s">
        <v>75</v>
      </c>
      <c r="S82" s="1" t="s">
        <v>76</v>
      </c>
      <c r="T82" s="15" t="s">
        <v>65</v>
      </c>
      <c r="U82" s="16">
        <v>0.675</v>
      </c>
      <c r="V82" s="14">
        <v>91.0</v>
      </c>
      <c r="W82" s="14">
        <v>0.0</v>
      </c>
      <c r="X82" s="1" t="s">
        <v>59</v>
      </c>
      <c r="Y82" s="1"/>
      <c r="Z82" s="1"/>
    </row>
    <row r="83" ht="14.25" customHeight="1">
      <c r="A83" s="1" t="s">
        <v>140</v>
      </c>
      <c r="B83" s="1" t="s">
        <v>49</v>
      </c>
      <c r="C83" s="1" t="s">
        <v>340</v>
      </c>
      <c r="D83" s="1" t="s">
        <v>97</v>
      </c>
      <c r="E83" s="1" t="s">
        <v>354</v>
      </c>
      <c r="F83" s="1" t="s">
        <v>355</v>
      </c>
      <c r="G83" s="1" t="s">
        <v>352</v>
      </c>
      <c r="H83" s="1" t="s">
        <v>85</v>
      </c>
      <c r="I83" s="1" t="s">
        <v>144</v>
      </c>
      <c r="J83" s="1" t="s">
        <v>356</v>
      </c>
      <c r="K83" s="1" t="s">
        <v>163</v>
      </c>
      <c r="L83" s="13">
        <v>59.0</v>
      </c>
      <c r="M83" s="1" t="s">
        <v>60</v>
      </c>
      <c r="N83" s="1" t="s">
        <v>61</v>
      </c>
      <c r="O83" s="1" t="s">
        <v>62</v>
      </c>
      <c r="P83" s="1">
        <v>75.0</v>
      </c>
      <c r="Q83" s="14">
        <v>160.63</v>
      </c>
      <c r="R83" s="1" t="s">
        <v>75</v>
      </c>
      <c r="S83" s="1" t="s">
        <v>76</v>
      </c>
      <c r="T83" s="15" t="s">
        <v>65</v>
      </c>
      <c r="U83" s="16">
        <v>0.675</v>
      </c>
      <c r="V83" s="14">
        <v>108.43</v>
      </c>
      <c r="W83" s="14">
        <v>0.0</v>
      </c>
      <c r="X83" s="1" t="s">
        <v>59</v>
      </c>
      <c r="Y83" s="1"/>
      <c r="Z83" s="1"/>
    </row>
    <row r="84" ht="14.25" customHeight="1">
      <c r="A84" s="1" t="s">
        <v>140</v>
      </c>
      <c r="B84" s="1" t="s">
        <v>49</v>
      </c>
      <c r="C84" s="1" t="s">
        <v>340</v>
      </c>
      <c r="D84" s="1" t="s">
        <v>97</v>
      </c>
      <c r="E84" s="1" t="s">
        <v>357</v>
      </c>
      <c r="F84" s="1" t="s">
        <v>358</v>
      </c>
      <c r="G84" s="1" t="s">
        <v>352</v>
      </c>
      <c r="H84" s="1" t="s">
        <v>85</v>
      </c>
      <c r="I84" s="1" t="s">
        <v>144</v>
      </c>
      <c r="J84" s="1" t="s">
        <v>356</v>
      </c>
      <c r="K84" s="1" t="s">
        <v>163</v>
      </c>
      <c r="L84" s="13">
        <v>59.0</v>
      </c>
      <c r="M84" s="1" t="s">
        <v>60</v>
      </c>
      <c r="N84" s="1" t="s">
        <v>61</v>
      </c>
      <c r="O84" s="1" t="s">
        <v>62</v>
      </c>
      <c r="P84" s="1">
        <v>75.0</v>
      </c>
      <c r="Q84" s="14">
        <v>160.63</v>
      </c>
      <c r="R84" s="1" t="s">
        <v>75</v>
      </c>
      <c r="S84" s="1" t="s">
        <v>76</v>
      </c>
      <c r="T84" s="15" t="s">
        <v>65</v>
      </c>
      <c r="U84" s="16">
        <v>0.675</v>
      </c>
      <c r="V84" s="14">
        <v>108.43</v>
      </c>
      <c r="W84" s="14">
        <v>0.0</v>
      </c>
      <c r="X84" s="1" t="s">
        <v>59</v>
      </c>
      <c r="Y84" s="1"/>
      <c r="Z84" s="1"/>
    </row>
    <row r="85" ht="14.25" customHeight="1">
      <c r="A85" s="1" t="s">
        <v>140</v>
      </c>
      <c r="B85" s="1" t="s">
        <v>49</v>
      </c>
      <c r="C85" s="1" t="s">
        <v>340</v>
      </c>
      <c r="D85" s="1" t="s">
        <v>97</v>
      </c>
      <c r="E85" s="1" t="s">
        <v>359</v>
      </c>
      <c r="F85" s="1" t="s">
        <v>360</v>
      </c>
      <c r="G85" s="1" t="s">
        <v>54</v>
      </c>
      <c r="H85" s="1" t="s">
        <v>138</v>
      </c>
      <c r="I85" s="1" t="s">
        <v>144</v>
      </c>
      <c r="J85" s="1" t="s">
        <v>361</v>
      </c>
      <c r="K85" s="1" t="s">
        <v>139</v>
      </c>
      <c r="L85" s="13">
        <v>68.0</v>
      </c>
      <c r="M85" s="1" t="s">
        <v>60</v>
      </c>
      <c r="N85" s="1" t="s">
        <v>61</v>
      </c>
      <c r="O85" s="1" t="s">
        <v>62</v>
      </c>
      <c r="P85" s="1">
        <v>75.0</v>
      </c>
      <c r="Q85" s="14">
        <v>225.39</v>
      </c>
      <c r="R85" s="1" t="s">
        <v>75</v>
      </c>
      <c r="S85" s="1" t="s">
        <v>76</v>
      </c>
      <c r="T85" s="15" t="s">
        <v>65</v>
      </c>
      <c r="U85" s="16">
        <v>1.35</v>
      </c>
      <c r="V85" s="14">
        <v>304.28</v>
      </c>
      <c r="W85" s="14">
        <v>0.0</v>
      </c>
      <c r="X85" s="1" t="s">
        <v>59</v>
      </c>
      <c r="Y85" s="1"/>
      <c r="Z85" s="1"/>
    </row>
    <row r="86" ht="14.25" customHeight="1">
      <c r="A86" s="1" t="s">
        <v>140</v>
      </c>
      <c r="B86" s="1" t="s">
        <v>49</v>
      </c>
      <c r="C86" s="1" t="s">
        <v>340</v>
      </c>
      <c r="D86" s="1" t="s">
        <v>97</v>
      </c>
      <c r="E86" s="1" t="s">
        <v>362</v>
      </c>
      <c r="F86" s="1" t="s">
        <v>363</v>
      </c>
      <c r="G86" s="1" t="s">
        <v>166</v>
      </c>
      <c r="H86" s="1" t="s">
        <v>85</v>
      </c>
      <c r="I86" s="1" t="s">
        <v>225</v>
      </c>
      <c r="J86" s="1" t="s">
        <v>343</v>
      </c>
      <c r="K86" s="1" t="s">
        <v>163</v>
      </c>
      <c r="L86" s="13">
        <v>62.0</v>
      </c>
      <c r="M86" s="1" t="s">
        <v>60</v>
      </c>
      <c r="N86" s="1" t="s">
        <v>61</v>
      </c>
      <c r="O86" s="1" t="s">
        <v>62</v>
      </c>
      <c r="P86" s="1">
        <v>50.0</v>
      </c>
      <c r="Q86" s="14">
        <v>167.5</v>
      </c>
      <c r="R86" s="1" t="s">
        <v>63</v>
      </c>
      <c r="S86" s="1" t="s">
        <v>64</v>
      </c>
      <c r="T86" s="15" t="s">
        <v>65</v>
      </c>
      <c r="U86" s="16">
        <v>0.07</v>
      </c>
      <c r="V86" s="14">
        <v>11.73</v>
      </c>
      <c r="W86" s="14">
        <v>0.0</v>
      </c>
      <c r="X86" s="1" t="s">
        <v>59</v>
      </c>
      <c r="Y86" s="1"/>
      <c r="Z86" s="1"/>
    </row>
    <row r="87" ht="14.25" customHeight="1">
      <c r="A87" s="1" t="s">
        <v>140</v>
      </c>
      <c r="B87" s="1" t="s">
        <v>49</v>
      </c>
      <c r="C87" s="1" t="s">
        <v>340</v>
      </c>
      <c r="D87" s="1" t="s">
        <v>97</v>
      </c>
      <c r="E87" s="1" t="s">
        <v>364</v>
      </c>
      <c r="F87" s="1" t="s">
        <v>365</v>
      </c>
      <c r="G87" s="1" t="s">
        <v>161</v>
      </c>
      <c r="H87" s="1" t="s">
        <v>138</v>
      </c>
      <c r="I87" s="1" t="s">
        <v>225</v>
      </c>
      <c r="J87" s="1" t="s">
        <v>366</v>
      </c>
      <c r="K87" s="1" t="s">
        <v>192</v>
      </c>
      <c r="L87" s="13">
        <v>57.0</v>
      </c>
      <c r="M87" s="1" t="s">
        <v>60</v>
      </c>
      <c r="N87" s="1" t="s">
        <v>61</v>
      </c>
      <c r="O87" s="1" t="s">
        <v>62</v>
      </c>
      <c r="P87" s="1">
        <v>50.0</v>
      </c>
      <c r="Q87" s="14">
        <v>137.1</v>
      </c>
      <c r="R87" s="1" t="s">
        <v>63</v>
      </c>
      <c r="S87" s="1" t="s">
        <v>64</v>
      </c>
      <c r="T87" s="15" t="s">
        <v>65</v>
      </c>
      <c r="U87" s="16">
        <v>0.07</v>
      </c>
      <c r="V87" s="14">
        <v>9.6</v>
      </c>
      <c r="W87" s="14">
        <v>0.0</v>
      </c>
      <c r="X87" s="1" t="s">
        <v>59</v>
      </c>
      <c r="Y87" s="1"/>
      <c r="Z87" s="1"/>
    </row>
    <row r="88" ht="14.25" customHeight="1">
      <c r="A88" s="1" t="s">
        <v>140</v>
      </c>
      <c r="B88" s="1" t="s">
        <v>49</v>
      </c>
      <c r="C88" s="1" t="s">
        <v>340</v>
      </c>
      <c r="D88" s="1" t="s">
        <v>301</v>
      </c>
      <c r="E88" s="1" t="s">
        <v>367</v>
      </c>
      <c r="F88" s="1" t="s">
        <v>368</v>
      </c>
      <c r="G88" s="1" t="s">
        <v>214</v>
      </c>
      <c r="H88" s="1" t="s">
        <v>138</v>
      </c>
      <c r="I88" s="1" t="s">
        <v>225</v>
      </c>
      <c r="J88" s="1" t="s">
        <v>369</v>
      </c>
      <c r="K88" s="1" t="s">
        <v>179</v>
      </c>
      <c r="L88" s="13">
        <v>63.0</v>
      </c>
      <c r="M88" s="1" t="s">
        <v>60</v>
      </c>
      <c r="N88" s="1" t="s">
        <v>61</v>
      </c>
      <c r="O88" s="1" t="s">
        <v>62</v>
      </c>
      <c r="P88" s="1">
        <v>10.0</v>
      </c>
      <c r="Q88" s="14">
        <v>52.07</v>
      </c>
      <c r="R88" s="1" t="s">
        <v>63</v>
      </c>
      <c r="S88" s="1" t="s">
        <v>64</v>
      </c>
      <c r="T88" s="15" t="s">
        <v>65</v>
      </c>
      <c r="U88" s="16">
        <v>0.025</v>
      </c>
      <c r="V88" s="14">
        <v>1.3</v>
      </c>
      <c r="W88" s="14">
        <v>0.0</v>
      </c>
      <c r="X88" s="1" t="s">
        <v>59</v>
      </c>
      <c r="Y88" s="1"/>
      <c r="Z88" s="1"/>
    </row>
    <row r="89" ht="14.25" customHeight="1">
      <c r="A89" s="1" t="s">
        <v>140</v>
      </c>
      <c r="B89" s="1" t="s">
        <v>49</v>
      </c>
      <c r="C89" s="1" t="s">
        <v>50</v>
      </c>
      <c r="D89" s="1" t="s">
        <v>370</v>
      </c>
      <c r="E89" s="1" t="s">
        <v>371</v>
      </c>
      <c r="F89" s="1" t="s">
        <v>372</v>
      </c>
      <c r="G89" s="1" t="s">
        <v>214</v>
      </c>
      <c r="H89" s="1" t="s">
        <v>138</v>
      </c>
      <c r="I89" s="1" t="s">
        <v>373</v>
      </c>
      <c r="J89" s="1" t="s">
        <v>374</v>
      </c>
      <c r="K89" s="1" t="s">
        <v>375</v>
      </c>
      <c r="L89" s="13" t="s">
        <v>59</v>
      </c>
      <c r="M89" s="1" t="s">
        <v>376</v>
      </c>
      <c r="N89" s="1" t="s">
        <v>377</v>
      </c>
      <c r="O89" s="1" t="s">
        <v>378</v>
      </c>
      <c r="P89" s="1">
        <v>0.0</v>
      </c>
      <c r="Q89" s="14">
        <v>498.42</v>
      </c>
      <c r="R89" s="1" t="s">
        <v>63</v>
      </c>
      <c r="S89" s="1" t="s">
        <v>64</v>
      </c>
      <c r="T89" s="15" t="s">
        <v>65</v>
      </c>
      <c r="U89" s="16">
        <v>0.215</v>
      </c>
      <c r="V89" s="14">
        <v>107.16</v>
      </c>
      <c r="W89" s="14">
        <v>0.0</v>
      </c>
      <c r="X89" s="1" t="s">
        <v>59</v>
      </c>
      <c r="Y89" s="1"/>
      <c r="Z89" s="1"/>
    </row>
    <row r="90" ht="14.25" customHeight="1">
      <c r="A90" s="1" t="s">
        <v>379</v>
      </c>
      <c r="B90" s="1" t="s">
        <v>49</v>
      </c>
      <c r="C90" s="1" t="s">
        <v>50</v>
      </c>
      <c r="D90" s="1" t="s">
        <v>97</v>
      </c>
      <c r="E90" s="1" t="s">
        <v>380</v>
      </c>
      <c r="F90" s="1" t="s">
        <v>381</v>
      </c>
      <c r="G90" s="1" t="s">
        <v>177</v>
      </c>
      <c r="H90" s="1" t="s">
        <v>130</v>
      </c>
      <c r="I90" s="1" t="s">
        <v>382</v>
      </c>
      <c r="J90" s="1" t="s">
        <v>68</v>
      </c>
      <c r="K90" s="1" t="s">
        <v>375</v>
      </c>
      <c r="L90" s="13" t="s">
        <v>59</v>
      </c>
      <c r="M90" s="1" t="s">
        <v>376</v>
      </c>
      <c r="N90" s="1" t="s">
        <v>377</v>
      </c>
      <c r="O90" s="1" t="s">
        <v>378</v>
      </c>
      <c r="P90" s="1">
        <v>0.0</v>
      </c>
      <c r="Q90" s="14">
        <v>592.83</v>
      </c>
      <c r="R90" s="1" t="s">
        <v>63</v>
      </c>
      <c r="S90" s="1" t="s">
        <v>64</v>
      </c>
      <c r="T90" s="15" t="s">
        <v>65</v>
      </c>
      <c r="U90" s="16">
        <v>0.19</v>
      </c>
      <c r="V90" s="14">
        <v>112.65</v>
      </c>
      <c r="W90" s="14">
        <v>0.0</v>
      </c>
      <c r="X90" s="1" t="s">
        <v>59</v>
      </c>
      <c r="Y90" s="1"/>
      <c r="Z90" s="1"/>
    </row>
    <row r="91" ht="14.25" customHeight="1">
      <c r="A91" s="1" t="s">
        <v>140</v>
      </c>
      <c r="B91" s="1" t="s">
        <v>49</v>
      </c>
      <c r="C91" s="1" t="s">
        <v>50</v>
      </c>
      <c r="D91" s="1" t="s">
        <v>370</v>
      </c>
      <c r="E91" s="1" t="s">
        <v>383</v>
      </c>
      <c r="F91" s="1" t="s">
        <v>384</v>
      </c>
      <c r="G91" s="1" t="s">
        <v>214</v>
      </c>
      <c r="H91" s="1" t="s">
        <v>55</v>
      </c>
      <c r="I91" s="1" t="s">
        <v>385</v>
      </c>
      <c r="J91" s="1" t="s">
        <v>386</v>
      </c>
      <c r="K91" s="1" t="s">
        <v>58</v>
      </c>
      <c r="L91" s="13" t="s">
        <v>59</v>
      </c>
      <c r="M91" s="1" t="s">
        <v>60</v>
      </c>
      <c r="N91" s="1" t="s">
        <v>61</v>
      </c>
      <c r="O91" s="1" t="s">
        <v>62</v>
      </c>
      <c r="P91" s="1">
        <v>0.0</v>
      </c>
      <c r="Q91" s="14">
        <v>99.8</v>
      </c>
      <c r="R91" s="1" t="s">
        <v>63</v>
      </c>
      <c r="S91" s="1" t="s">
        <v>64</v>
      </c>
      <c r="T91" s="15" t="s">
        <v>65</v>
      </c>
      <c r="U91" s="16">
        <v>0.255</v>
      </c>
      <c r="V91" s="14">
        <v>25.45</v>
      </c>
      <c r="W91" s="14">
        <v>0.0</v>
      </c>
      <c r="X91" s="1" t="s">
        <v>59</v>
      </c>
      <c r="Y91" s="1"/>
      <c r="Z91" s="1"/>
    </row>
    <row r="92" ht="14.25" customHeight="1">
      <c r="A92" s="1" t="s">
        <v>387</v>
      </c>
      <c r="B92" s="1" t="s">
        <v>49</v>
      </c>
      <c r="C92" s="1" t="s">
        <v>50</v>
      </c>
      <c r="D92" s="1" t="s">
        <v>217</v>
      </c>
      <c r="E92" s="1" t="s">
        <v>388</v>
      </c>
      <c r="F92" s="1" t="s">
        <v>389</v>
      </c>
      <c r="G92" s="1" t="s">
        <v>149</v>
      </c>
      <c r="H92" s="1" t="s">
        <v>55</v>
      </c>
      <c r="I92" s="1" t="s">
        <v>390</v>
      </c>
      <c r="J92" s="1" t="s">
        <v>391</v>
      </c>
      <c r="K92" s="1" t="s">
        <v>58</v>
      </c>
      <c r="L92" s="13" t="s">
        <v>59</v>
      </c>
      <c r="M92" s="1" t="s">
        <v>60</v>
      </c>
      <c r="N92" s="1" t="s">
        <v>61</v>
      </c>
      <c r="O92" s="1" t="s">
        <v>62</v>
      </c>
      <c r="P92" s="1">
        <v>0.0</v>
      </c>
      <c r="Q92" s="14">
        <v>120.5</v>
      </c>
      <c r="R92" s="1" t="s">
        <v>63</v>
      </c>
      <c r="S92" s="1" t="s">
        <v>64</v>
      </c>
      <c r="T92" s="15" t="s">
        <v>65</v>
      </c>
      <c r="U92" s="16">
        <v>0.27</v>
      </c>
      <c r="V92" s="14">
        <v>32.54</v>
      </c>
      <c r="W92" s="14">
        <v>0.0</v>
      </c>
      <c r="X92" s="1" t="s">
        <v>59</v>
      </c>
      <c r="Y92" s="1"/>
      <c r="Z92" s="1"/>
    </row>
    <row r="93" ht="14.25" customHeight="1">
      <c r="A93" s="1" t="s">
        <v>387</v>
      </c>
      <c r="B93" s="1" t="s">
        <v>49</v>
      </c>
      <c r="C93" s="1" t="s">
        <v>50</v>
      </c>
      <c r="D93" s="1" t="s">
        <v>392</v>
      </c>
      <c r="E93" s="1" t="s">
        <v>393</v>
      </c>
      <c r="F93" s="1" t="s">
        <v>394</v>
      </c>
      <c r="G93" s="1" t="s">
        <v>54</v>
      </c>
      <c r="H93" s="1" t="s">
        <v>152</v>
      </c>
      <c r="I93" s="1" t="s">
        <v>395</v>
      </c>
      <c r="J93" s="1" t="s">
        <v>396</v>
      </c>
      <c r="K93" s="1" t="s">
        <v>206</v>
      </c>
      <c r="L93" s="13" t="s">
        <v>59</v>
      </c>
      <c r="M93" s="1" t="s">
        <v>60</v>
      </c>
      <c r="N93" s="1" t="s">
        <v>61</v>
      </c>
      <c r="O93" s="1" t="s">
        <v>62</v>
      </c>
      <c r="P93" s="1">
        <v>0.0</v>
      </c>
      <c r="Q93" s="14">
        <v>36.08</v>
      </c>
      <c r="R93" s="1" t="s">
        <v>63</v>
      </c>
      <c r="S93" s="1" t="s">
        <v>64</v>
      </c>
      <c r="T93" s="15" t="s">
        <v>65</v>
      </c>
      <c r="U93" s="16">
        <v>0.03</v>
      </c>
      <c r="V93" s="14">
        <v>1.08</v>
      </c>
      <c r="W93" s="14">
        <v>0.0</v>
      </c>
      <c r="X93" s="1" t="s">
        <v>59</v>
      </c>
      <c r="Y93" s="1"/>
      <c r="Z93" s="1"/>
    </row>
    <row r="94" ht="14.25" customHeight="1">
      <c r="A94" s="1" t="s">
        <v>387</v>
      </c>
      <c r="B94" s="1" t="s">
        <v>49</v>
      </c>
      <c r="C94" s="1" t="s">
        <v>50</v>
      </c>
      <c r="D94" s="1" t="s">
        <v>97</v>
      </c>
      <c r="E94" s="1" t="s">
        <v>397</v>
      </c>
      <c r="F94" s="1" t="s">
        <v>398</v>
      </c>
      <c r="G94" s="1" t="s">
        <v>291</v>
      </c>
      <c r="H94" s="1" t="s">
        <v>55</v>
      </c>
      <c r="I94" s="1" t="s">
        <v>399</v>
      </c>
      <c r="J94" s="1" t="s">
        <v>400</v>
      </c>
      <c r="K94" s="1" t="s">
        <v>401</v>
      </c>
      <c r="L94" s="13" t="s">
        <v>59</v>
      </c>
      <c r="M94" s="1" t="s">
        <v>60</v>
      </c>
      <c r="N94" s="1" t="s">
        <v>61</v>
      </c>
      <c r="O94" s="1" t="s">
        <v>62</v>
      </c>
      <c r="P94" s="1">
        <v>0.0</v>
      </c>
      <c r="Q94" s="14">
        <v>128.09</v>
      </c>
      <c r="R94" s="1" t="s">
        <v>63</v>
      </c>
      <c r="S94" s="1" t="s">
        <v>64</v>
      </c>
      <c r="T94" s="15" t="s">
        <v>65</v>
      </c>
      <c r="U94" s="16">
        <v>0.215</v>
      </c>
      <c r="V94" s="14">
        <v>27.54</v>
      </c>
      <c r="W94" s="14">
        <v>0.0</v>
      </c>
      <c r="X94" s="1" t="s">
        <v>59</v>
      </c>
      <c r="Y94" s="1"/>
      <c r="Z94" s="1"/>
    </row>
    <row r="95" ht="14.25" customHeight="1">
      <c r="A95" s="1" t="s">
        <v>387</v>
      </c>
      <c r="B95" s="1" t="s">
        <v>49</v>
      </c>
      <c r="C95" s="1" t="s">
        <v>50</v>
      </c>
      <c r="D95" s="1" t="s">
        <v>402</v>
      </c>
      <c r="E95" s="1" t="s">
        <v>403</v>
      </c>
      <c r="F95" s="1" t="s">
        <v>404</v>
      </c>
      <c r="G95" s="1" t="s">
        <v>54</v>
      </c>
      <c r="H95" s="1" t="s">
        <v>138</v>
      </c>
      <c r="I95" s="1" t="s">
        <v>405</v>
      </c>
      <c r="J95" s="1" t="s">
        <v>406</v>
      </c>
      <c r="K95" s="1" t="s">
        <v>407</v>
      </c>
      <c r="L95" s="13" t="s">
        <v>59</v>
      </c>
      <c r="M95" s="1" t="s">
        <v>60</v>
      </c>
      <c r="N95" s="1" t="s">
        <v>377</v>
      </c>
      <c r="O95" s="1" t="s">
        <v>62</v>
      </c>
      <c r="P95" s="1">
        <v>0.0</v>
      </c>
      <c r="Q95" s="14">
        <v>81.28</v>
      </c>
      <c r="R95" s="1" t="s">
        <v>63</v>
      </c>
      <c r="S95" s="1" t="s">
        <v>64</v>
      </c>
      <c r="T95" s="15" t="s">
        <v>65</v>
      </c>
      <c r="U95" s="16">
        <v>0.03</v>
      </c>
      <c r="V95" s="14">
        <v>2.44</v>
      </c>
      <c r="W95" s="14">
        <v>0.0</v>
      </c>
      <c r="X95" s="1" t="s">
        <v>59</v>
      </c>
      <c r="Y95" s="1"/>
      <c r="Z95" s="1"/>
    </row>
    <row r="96" ht="14.25" customHeight="1">
      <c r="A96" s="1" t="s">
        <v>387</v>
      </c>
      <c r="B96" s="1" t="s">
        <v>49</v>
      </c>
      <c r="C96" s="1" t="s">
        <v>50</v>
      </c>
      <c r="D96" s="1" t="s">
        <v>258</v>
      </c>
      <c r="E96" s="1" t="s">
        <v>408</v>
      </c>
      <c r="F96" s="1" t="s">
        <v>409</v>
      </c>
      <c r="G96" s="1" t="s">
        <v>174</v>
      </c>
      <c r="H96" s="1" t="s">
        <v>55</v>
      </c>
      <c r="I96" s="1" t="s">
        <v>410</v>
      </c>
      <c r="J96" s="1" t="s">
        <v>343</v>
      </c>
      <c r="K96" s="1" t="s">
        <v>163</v>
      </c>
      <c r="L96" s="13" t="s">
        <v>59</v>
      </c>
      <c r="M96" s="1" t="s">
        <v>60</v>
      </c>
      <c r="N96" s="1" t="s">
        <v>61</v>
      </c>
      <c r="O96" s="1" t="s">
        <v>62</v>
      </c>
      <c r="P96" s="1">
        <v>0.0</v>
      </c>
      <c r="Q96" s="14">
        <v>59.14</v>
      </c>
      <c r="R96" s="1" t="s">
        <v>63</v>
      </c>
      <c r="S96" s="1" t="s">
        <v>64</v>
      </c>
      <c r="T96" s="15" t="s">
        <v>65</v>
      </c>
      <c r="U96" s="16">
        <v>0.03</v>
      </c>
      <c r="V96" s="14">
        <v>1.77</v>
      </c>
      <c r="W96" s="14">
        <v>0.0</v>
      </c>
      <c r="X96" s="1" t="s">
        <v>59</v>
      </c>
      <c r="Y96" s="1"/>
      <c r="Z96" s="1"/>
    </row>
    <row r="97" ht="14.25" customHeight="1">
      <c r="A97" s="1" t="s">
        <v>387</v>
      </c>
      <c r="B97" s="1" t="s">
        <v>49</v>
      </c>
      <c r="C97" s="1" t="s">
        <v>50</v>
      </c>
      <c r="D97" s="1" t="s">
        <v>411</v>
      </c>
      <c r="E97" s="1" t="s">
        <v>412</v>
      </c>
      <c r="F97" s="1" t="s">
        <v>413</v>
      </c>
      <c r="G97" s="1" t="s">
        <v>54</v>
      </c>
      <c r="H97" s="1" t="s">
        <v>55</v>
      </c>
      <c r="I97" s="1" t="s">
        <v>395</v>
      </c>
      <c r="J97" s="1" t="s">
        <v>414</v>
      </c>
      <c r="K97" s="1" t="s">
        <v>163</v>
      </c>
      <c r="L97" s="13" t="s">
        <v>59</v>
      </c>
      <c r="M97" s="1" t="s">
        <v>60</v>
      </c>
      <c r="N97" s="1" t="s">
        <v>61</v>
      </c>
      <c r="O97" s="1" t="s">
        <v>62</v>
      </c>
      <c r="P97" s="1">
        <v>0.0</v>
      </c>
      <c r="Q97" s="14">
        <v>36.08</v>
      </c>
      <c r="R97" s="1" t="s">
        <v>63</v>
      </c>
      <c r="S97" s="1" t="s">
        <v>64</v>
      </c>
      <c r="T97" s="15" t="s">
        <v>65</v>
      </c>
      <c r="U97" s="16">
        <v>0.03</v>
      </c>
      <c r="V97" s="14">
        <v>1.08</v>
      </c>
      <c r="W97" s="14">
        <v>0.0</v>
      </c>
      <c r="X97" s="1" t="s">
        <v>59</v>
      </c>
      <c r="Y97" s="1"/>
      <c r="Z97" s="1"/>
    </row>
    <row r="98" ht="14.25" customHeight="1">
      <c r="A98" s="1" t="s">
        <v>387</v>
      </c>
      <c r="B98" s="1" t="s">
        <v>49</v>
      </c>
      <c r="C98" s="1" t="s">
        <v>50</v>
      </c>
      <c r="D98" s="1" t="s">
        <v>411</v>
      </c>
      <c r="E98" s="1" t="s">
        <v>415</v>
      </c>
      <c r="F98" s="1" t="s">
        <v>416</v>
      </c>
      <c r="G98" s="1" t="s">
        <v>54</v>
      </c>
      <c r="H98" s="1" t="s">
        <v>152</v>
      </c>
      <c r="I98" s="1" t="s">
        <v>405</v>
      </c>
      <c r="J98" s="1" t="s">
        <v>80</v>
      </c>
      <c r="K98" s="1" t="s">
        <v>58</v>
      </c>
      <c r="L98" s="13" t="s">
        <v>59</v>
      </c>
      <c r="M98" s="1" t="s">
        <v>60</v>
      </c>
      <c r="N98" s="1" t="s">
        <v>61</v>
      </c>
      <c r="O98" s="1" t="s">
        <v>62</v>
      </c>
      <c r="P98" s="1">
        <v>0.0</v>
      </c>
      <c r="Q98" s="14">
        <v>68.76</v>
      </c>
      <c r="R98" s="1" t="s">
        <v>63</v>
      </c>
      <c r="S98" s="1" t="s">
        <v>64</v>
      </c>
      <c r="T98" s="15" t="s">
        <v>65</v>
      </c>
      <c r="U98" s="16">
        <v>0.03</v>
      </c>
      <c r="V98" s="14">
        <v>2.06</v>
      </c>
      <c r="W98" s="14">
        <v>0.0</v>
      </c>
      <c r="X98" s="1" t="s">
        <v>59</v>
      </c>
      <c r="Y98" s="1"/>
      <c r="Z98" s="1"/>
    </row>
    <row r="99" ht="14.25" customHeight="1">
      <c r="A99" s="1" t="s">
        <v>387</v>
      </c>
      <c r="B99" s="1" t="s">
        <v>49</v>
      </c>
      <c r="C99" s="1" t="s">
        <v>50</v>
      </c>
      <c r="D99" s="1" t="s">
        <v>411</v>
      </c>
      <c r="E99" s="1" t="s">
        <v>417</v>
      </c>
      <c r="F99" s="1" t="s">
        <v>418</v>
      </c>
      <c r="G99" s="1" t="s">
        <v>54</v>
      </c>
      <c r="H99" s="1" t="s">
        <v>55</v>
      </c>
      <c r="I99" s="1" t="s">
        <v>395</v>
      </c>
      <c r="J99" s="1" t="s">
        <v>80</v>
      </c>
      <c r="K99" s="1" t="s">
        <v>58</v>
      </c>
      <c r="L99" s="13" t="s">
        <v>59</v>
      </c>
      <c r="M99" s="1" t="s">
        <v>60</v>
      </c>
      <c r="N99" s="1" t="s">
        <v>61</v>
      </c>
      <c r="O99" s="1" t="s">
        <v>62</v>
      </c>
      <c r="P99" s="1">
        <v>0.0</v>
      </c>
      <c r="Q99" s="14">
        <v>36.08</v>
      </c>
      <c r="R99" s="1" t="s">
        <v>63</v>
      </c>
      <c r="S99" s="1" t="s">
        <v>64</v>
      </c>
      <c r="T99" s="15" t="s">
        <v>65</v>
      </c>
      <c r="U99" s="16">
        <v>0.03</v>
      </c>
      <c r="V99" s="14">
        <v>1.08</v>
      </c>
      <c r="W99" s="14">
        <v>0.0</v>
      </c>
      <c r="X99" s="1" t="s">
        <v>59</v>
      </c>
      <c r="Y99" s="1"/>
      <c r="Z99" s="1"/>
    </row>
    <row r="100" ht="14.25" customHeight="1">
      <c r="A100" s="1" t="s">
        <v>387</v>
      </c>
      <c r="B100" s="1" t="s">
        <v>49</v>
      </c>
      <c r="C100" s="1" t="s">
        <v>50</v>
      </c>
      <c r="D100" s="1" t="s">
        <v>411</v>
      </c>
      <c r="E100" s="1" t="s">
        <v>419</v>
      </c>
      <c r="F100" s="1" t="s">
        <v>420</v>
      </c>
      <c r="G100" s="1" t="s">
        <v>54</v>
      </c>
      <c r="H100" s="1" t="s">
        <v>138</v>
      </c>
      <c r="I100" s="1" t="s">
        <v>395</v>
      </c>
      <c r="J100" s="1" t="s">
        <v>421</v>
      </c>
      <c r="K100" s="1" t="s">
        <v>221</v>
      </c>
      <c r="L100" s="13" t="s">
        <v>59</v>
      </c>
      <c r="M100" s="1" t="s">
        <v>60</v>
      </c>
      <c r="N100" s="1" t="s">
        <v>61</v>
      </c>
      <c r="O100" s="1" t="s">
        <v>62</v>
      </c>
      <c r="P100" s="1">
        <v>0.0</v>
      </c>
      <c r="Q100" s="14">
        <v>36.08</v>
      </c>
      <c r="R100" s="1" t="s">
        <v>63</v>
      </c>
      <c r="S100" s="1" t="s">
        <v>64</v>
      </c>
      <c r="T100" s="15" t="s">
        <v>65</v>
      </c>
      <c r="U100" s="16">
        <v>0.03</v>
      </c>
      <c r="V100" s="14">
        <v>1.08</v>
      </c>
      <c r="W100" s="14">
        <v>0.0</v>
      </c>
      <c r="X100" s="1" t="s">
        <v>59</v>
      </c>
      <c r="Y100" s="1"/>
      <c r="Z100" s="1"/>
    </row>
    <row r="101" ht="14.25" customHeight="1">
      <c r="A101" s="1" t="s">
        <v>387</v>
      </c>
      <c r="B101" s="1" t="s">
        <v>49</v>
      </c>
      <c r="C101" s="1" t="s">
        <v>50</v>
      </c>
      <c r="D101" s="1" t="s">
        <v>411</v>
      </c>
      <c r="E101" s="1" t="s">
        <v>422</v>
      </c>
      <c r="F101" s="1" t="s">
        <v>423</v>
      </c>
      <c r="G101" s="1" t="s">
        <v>54</v>
      </c>
      <c r="H101" s="1" t="s">
        <v>138</v>
      </c>
      <c r="I101" s="1" t="s">
        <v>395</v>
      </c>
      <c r="J101" s="1" t="s">
        <v>421</v>
      </c>
      <c r="K101" s="1" t="s">
        <v>221</v>
      </c>
      <c r="L101" s="13" t="s">
        <v>59</v>
      </c>
      <c r="M101" s="1" t="s">
        <v>60</v>
      </c>
      <c r="N101" s="1" t="s">
        <v>61</v>
      </c>
      <c r="O101" s="1" t="s">
        <v>62</v>
      </c>
      <c r="P101" s="1">
        <v>0.0</v>
      </c>
      <c r="Q101" s="14">
        <v>36.08</v>
      </c>
      <c r="R101" s="1" t="s">
        <v>63</v>
      </c>
      <c r="S101" s="1" t="s">
        <v>64</v>
      </c>
      <c r="T101" s="15" t="s">
        <v>65</v>
      </c>
      <c r="U101" s="16">
        <v>0.03</v>
      </c>
      <c r="V101" s="14">
        <v>1.08</v>
      </c>
      <c r="W101" s="14">
        <v>0.0</v>
      </c>
      <c r="X101" s="1" t="s">
        <v>59</v>
      </c>
      <c r="Y101" s="1"/>
      <c r="Z101" s="1"/>
    </row>
    <row r="102" ht="14.25" customHeight="1">
      <c r="A102" s="1" t="s">
        <v>387</v>
      </c>
      <c r="B102" s="1" t="s">
        <v>49</v>
      </c>
      <c r="C102" s="1" t="s">
        <v>50</v>
      </c>
      <c r="D102" s="1" t="s">
        <v>392</v>
      </c>
      <c r="E102" s="1" t="s">
        <v>424</v>
      </c>
      <c r="F102" s="1" t="s">
        <v>425</v>
      </c>
      <c r="G102" s="1" t="s">
        <v>54</v>
      </c>
      <c r="H102" s="1" t="s">
        <v>152</v>
      </c>
      <c r="I102" s="1" t="s">
        <v>405</v>
      </c>
      <c r="J102" s="1" t="s">
        <v>396</v>
      </c>
      <c r="K102" s="1" t="s">
        <v>206</v>
      </c>
      <c r="L102" s="13" t="s">
        <v>59</v>
      </c>
      <c r="M102" s="1" t="s">
        <v>60</v>
      </c>
      <c r="N102" s="1" t="s">
        <v>61</v>
      </c>
      <c r="O102" s="1" t="s">
        <v>62</v>
      </c>
      <c r="P102" s="1">
        <v>0.0</v>
      </c>
      <c r="Q102" s="14">
        <v>79.28</v>
      </c>
      <c r="R102" s="1" t="s">
        <v>63</v>
      </c>
      <c r="S102" s="1" t="s">
        <v>64</v>
      </c>
      <c r="T102" s="15" t="s">
        <v>65</v>
      </c>
      <c r="U102" s="16">
        <v>0.03</v>
      </c>
      <c r="V102" s="14">
        <v>2.38</v>
      </c>
      <c r="W102" s="14">
        <v>0.0</v>
      </c>
      <c r="X102" s="1" t="s">
        <v>59</v>
      </c>
      <c r="Y102" s="1"/>
      <c r="Z102" s="1"/>
    </row>
    <row r="103" ht="14.25" customHeight="1">
      <c r="A103" s="1" t="s">
        <v>387</v>
      </c>
      <c r="B103" s="1" t="s">
        <v>49</v>
      </c>
      <c r="C103" s="1" t="s">
        <v>113</v>
      </c>
      <c r="D103" s="1" t="s">
        <v>132</v>
      </c>
      <c r="E103" s="1" t="s">
        <v>426</v>
      </c>
      <c r="F103" s="1" t="s">
        <v>427</v>
      </c>
      <c r="G103" s="1" t="s">
        <v>251</v>
      </c>
      <c r="H103" s="1" t="s">
        <v>55</v>
      </c>
      <c r="I103" s="1" t="s">
        <v>428</v>
      </c>
      <c r="J103" s="1" t="s">
        <v>429</v>
      </c>
      <c r="K103" s="1" t="s">
        <v>58</v>
      </c>
      <c r="L103" s="13" t="s">
        <v>59</v>
      </c>
      <c r="M103" s="1" t="s">
        <v>60</v>
      </c>
      <c r="N103" s="1" t="s">
        <v>61</v>
      </c>
      <c r="O103" s="1" t="s">
        <v>62</v>
      </c>
      <c r="P103" s="1">
        <v>0.0</v>
      </c>
      <c r="Q103" s="14">
        <v>74.21</v>
      </c>
      <c r="R103" s="1" t="s">
        <v>75</v>
      </c>
      <c r="S103" s="1" t="s">
        <v>76</v>
      </c>
      <c r="T103" s="15" t="s">
        <v>65</v>
      </c>
      <c r="U103" s="16">
        <v>0.52</v>
      </c>
      <c r="V103" s="14">
        <v>38.59</v>
      </c>
      <c r="W103" s="14">
        <v>0.0</v>
      </c>
      <c r="X103" s="1" t="s">
        <v>59</v>
      </c>
      <c r="Y103" s="1"/>
      <c r="Z103" s="1"/>
    </row>
    <row r="104" ht="14.25" customHeight="1">
      <c r="A104" s="1" t="s">
        <v>387</v>
      </c>
      <c r="B104" s="1" t="s">
        <v>49</v>
      </c>
      <c r="C104" s="1" t="s">
        <v>113</v>
      </c>
      <c r="D104" s="1" t="s">
        <v>132</v>
      </c>
      <c r="E104" s="1" t="s">
        <v>430</v>
      </c>
      <c r="F104" s="1" t="s">
        <v>431</v>
      </c>
      <c r="G104" s="1" t="s">
        <v>251</v>
      </c>
      <c r="H104" s="1" t="s">
        <v>55</v>
      </c>
      <c r="I104" s="1" t="s">
        <v>428</v>
      </c>
      <c r="J104" s="1" t="s">
        <v>429</v>
      </c>
      <c r="K104" s="1" t="s">
        <v>58</v>
      </c>
      <c r="L104" s="13" t="s">
        <v>59</v>
      </c>
      <c r="M104" s="1" t="s">
        <v>60</v>
      </c>
      <c r="N104" s="1" t="s">
        <v>61</v>
      </c>
      <c r="O104" s="1" t="s">
        <v>62</v>
      </c>
      <c r="P104" s="1">
        <v>0.0</v>
      </c>
      <c r="Q104" s="14">
        <v>74.21</v>
      </c>
      <c r="R104" s="1" t="s">
        <v>75</v>
      </c>
      <c r="S104" s="1" t="s">
        <v>76</v>
      </c>
      <c r="T104" s="15" t="s">
        <v>65</v>
      </c>
      <c r="U104" s="16">
        <v>0.52</v>
      </c>
      <c r="V104" s="14">
        <v>38.59</v>
      </c>
      <c r="W104" s="14">
        <v>0.0</v>
      </c>
      <c r="X104" s="1" t="s">
        <v>59</v>
      </c>
      <c r="Y104" s="1"/>
      <c r="Z104" s="1"/>
    </row>
    <row r="105" ht="14.25" customHeight="1">
      <c r="A105" s="1" t="s">
        <v>387</v>
      </c>
      <c r="B105" s="1" t="s">
        <v>49</v>
      </c>
      <c r="C105" s="1" t="s">
        <v>113</v>
      </c>
      <c r="D105" s="1" t="s">
        <v>402</v>
      </c>
      <c r="E105" s="1" t="s">
        <v>432</v>
      </c>
      <c r="F105" s="1" t="s">
        <v>433</v>
      </c>
      <c r="G105" s="1" t="s">
        <v>54</v>
      </c>
      <c r="H105" s="1" t="s">
        <v>55</v>
      </c>
      <c r="I105" s="1" t="s">
        <v>428</v>
      </c>
      <c r="J105" s="1" t="s">
        <v>135</v>
      </c>
      <c r="K105" s="1" t="s">
        <v>58</v>
      </c>
      <c r="L105" s="13" t="s">
        <v>59</v>
      </c>
      <c r="M105" s="1" t="s">
        <v>60</v>
      </c>
      <c r="N105" s="1" t="s">
        <v>61</v>
      </c>
      <c r="O105" s="1" t="s">
        <v>62</v>
      </c>
      <c r="P105" s="1">
        <v>0.0</v>
      </c>
      <c r="Q105" s="14">
        <v>72.33</v>
      </c>
      <c r="R105" s="1" t="s">
        <v>75</v>
      </c>
      <c r="S105" s="1" t="s">
        <v>76</v>
      </c>
      <c r="T105" s="15" t="s">
        <v>65</v>
      </c>
      <c r="U105" s="16">
        <v>0.52</v>
      </c>
      <c r="V105" s="14">
        <v>37.61</v>
      </c>
      <c r="W105" s="14">
        <v>0.0</v>
      </c>
      <c r="X105" s="1" t="s">
        <v>59</v>
      </c>
      <c r="Y105" s="1"/>
      <c r="Z105" s="1"/>
    </row>
    <row r="106" ht="14.25" customHeight="1">
      <c r="A106" s="1" t="s">
        <v>387</v>
      </c>
      <c r="B106" s="1" t="s">
        <v>49</v>
      </c>
      <c r="C106" s="1" t="s">
        <v>113</v>
      </c>
      <c r="D106" s="1" t="s">
        <v>434</v>
      </c>
      <c r="E106" s="1" t="s">
        <v>435</v>
      </c>
      <c r="F106" s="1" t="s">
        <v>436</v>
      </c>
      <c r="G106" s="1" t="s">
        <v>54</v>
      </c>
      <c r="H106" s="1" t="s">
        <v>85</v>
      </c>
      <c r="I106" s="1" t="s">
        <v>405</v>
      </c>
      <c r="J106" s="1" t="s">
        <v>437</v>
      </c>
      <c r="K106" s="1" t="s">
        <v>58</v>
      </c>
      <c r="L106" s="13" t="s">
        <v>59</v>
      </c>
      <c r="M106" s="1" t="s">
        <v>60</v>
      </c>
      <c r="N106" s="1" t="s">
        <v>61</v>
      </c>
      <c r="O106" s="1" t="s">
        <v>62</v>
      </c>
      <c r="P106" s="1">
        <v>0.0</v>
      </c>
      <c r="Q106" s="14">
        <v>79.28</v>
      </c>
      <c r="R106" s="1" t="s">
        <v>75</v>
      </c>
      <c r="S106" s="1" t="s">
        <v>76</v>
      </c>
      <c r="T106" s="15" t="s">
        <v>65</v>
      </c>
      <c r="U106" s="16">
        <v>0.52</v>
      </c>
      <c r="V106" s="14">
        <v>41.23</v>
      </c>
      <c r="W106" s="14">
        <v>0.0</v>
      </c>
      <c r="X106" s="1" t="s">
        <v>59</v>
      </c>
      <c r="Y106" s="1"/>
      <c r="Z106" s="1"/>
    </row>
    <row r="107" ht="14.25" customHeight="1">
      <c r="A107" s="1" t="s">
        <v>387</v>
      </c>
      <c r="B107" s="1" t="s">
        <v>49</v>
      </c>
      <c r="C107" s="1" t="s">
        <v>113</v>
      </c>
      <c r="D107" s="1" t="s">
        <v>434</v>
      </c>
      <c r="E107" s="1" t="s">
        <v>438</v>
      </c>
      <c r="F107" s="1" t="s">
        <v>439</v>
      </c>
      <c r="G107" s="1" t="s">
        <v>54</v>
      </c>
      <c r="H107" s="1" t="s">
        <v>55</v>
      </c>
      <c r="I107" s="1" t="s">
        <v>410</v>
      </c>
      <c r="J107" s="1" t="s">
        <v>429</v>
      </c>
      <c r="K107" s="1" t="s">
        <v>58</v>
      </c>
      <c r="L107" s="13" t="s">
        <v>59</v>
      </c>
      <c r="M107" s="1" t="s">
        <v>60</v>
      </c>
      <c r="N107" s="1" t="s">
        <v>61</v>
      </c>
      <c r="O107" s="1" t="s">
        <v>62</v>
      </c>
      <c r="P107" s="1">
        <v>0.0</v>
      </c>
      <c r="Q107" s="14">
        <v>63.16</v>
      </c>
      <c r="R107" s="1" t="s">
        <v>75</v>
      </c>
      <c r="S107" s="1" t="s">
        <v>76</v>
      </c>
      <c r="T107" s="15" t="s">
        <v>65</v>
      </c>
      <c r="U107" s="16">
        <v>0.52</v>
      </c>
      <c r="V107" s="14">
        <v>32.84</v>
      </c>
      <c r="W107" s="14">
        <v>0.0</v>
      </c>
      <c r="X107" s="1" t="s">
        <v>59</v>
      </c>
      <c r="Y107" s="1"/>
      <c r="Z107" s="1"/>
    </row>
    <row r="108" ht="14.25" customHeight="1">
      <c r="A108" s="1" t="s">
        <v>387</v>
      </c>
      <c r="B108" s="1" t="s">
        <v>49</v>
      </c>
      <c r="C108" s="1" t="s">
        <v>113</v>
      </c>
      <c r="D108" s="1" t="s">
        <v>434</v>
      </c>
      <c r="E108" s="1" t="s">
        <v>440</v>
      </c>
      <c r="F108" s="1" t="s">
        <v>441</v>
      </c>
      <c r="G108" s="1" t="s">
        <v>54</v>
      </c>
      <c r="H108" s="1" t="s">
        <v>55</v>
      </c>
      <c r="I108" s="1" t="s">
        <v>428</v>
      </c>
      <c r="J108" s="1" t="s">
        <v>442</v>
      </c>
      <c r="K108" s="1" t="s">
        <v>58</v>
      </c>
      <c r="L108" s="13" t="s">
        <v>59</v>
      </c>
      <c r="M108" s="1" t="s">
        <v>60</v>
      </c>
      <c r="N108" s="1" t="s">
        <v>61</v>
      </c>
      <c r="O108" s="1" t="s">
        <v>62</v>
      </c>
      <c r="P108" s="1">
        <v>0.0</v>
      </c>
      <c r="Q108" s="14">
        <v>72.33</v>
      </c>
      <c r="R108" s="1" t="s">
        <v>75</v>
      </c>
      <c r="S108" s="1" t="s">
        <v>76</v>
      </c>
      <c r="T108" s="15" t="s">
        <v>65</v>
      </c>
      <c r="U108" s="16">
        <v>0.52</v>
      </c>
      <c r="V108" s="14">
        <v>37.61</v>
      </c>
      <c r="W108" s="14">
        <v>0.0</v>
      </c>
      <c r="X108" s="1" t="s">
        <v>59</v>
      </c>
      <c r="Y108" s="1"/>
      <c r="Z108" s="1"/>
    </row>
    <row r="109" ht="14.25" customHeight="1">
      <c r="A109" s="1" t="s">
        <v>387</v>
      </c>
      <c r="B109" s="1" t="s">
        <v>49</v>
      </c>
      <c r="C109" s="1" t="s">
        <v>113</v>
      </c>
      <c r="D109" s="1" t="s">
        <v>443</v>
      </c>
      <c r="E109" s="1" t="s">
        <v>444</v>
      </c>
      <c r="F109" s="1" t="s">
        <v>445</v>
      </c>
      <c r="G109" s="1" t="s">
        <v>177</v>
      </c>
      <c r="H109" s="1" t="s">
        <v>55</v>
      </c>
      <c r="I109" s="1" t="s">
        <v>395</v>
      </c>
      <c r="J109" s="1" t="s">
        <v>200</v>
      </c>
      <c r="K109" s="1" t="s">
        <v>192</v>
      </c>
      <c r="L109" s="13" t="s">
        <v>59</v>
      </c>
      <c r="M109" s="1" t="s">
        <v>60</v>
      </c>
      <c r="N109" s="1" t="s">
        <v>61</v>
      </c>
      <c r="O109" s="1" t="s">
        <v>62</v>
      </c>
      <c r="P109" s="1">
        <v>0.0</v>
      </c>
      <c r="Q109" s="14">
        <v>27.69</v>
      </c>
      <c r="R109" s="1" t="s">
        <v>75</v>
      </c>
      <c r="S109" s="1" t="s">
        <v>76</v>
      </c>
      <c r="T109" s="15" t="s">
        <v>65</v>
      </c>
      <c r="U109" s="16">
        <v>0.52</v>
      </c>
      <c r="V109" s="14">
        <v>14.4</v>
      </c>
      <c r="W109" s="14">
        <v>0.0</v>
      </c>
      <c r="X109" s="1" t="s">
        <v>59</v>
      </c>
      <c r="Y109" s="1"/>
      <c r="Z109" s="1"/>
    </row>
    <row r="110" ht="14.25" customHeight="1">
      <c r="A110" s="1" t="s">
        <v>387</v>
      </c>
      <c r="B110" s="1" t="s">
        <v>49</v>
      </c>
      <c r="C110" s="1" t="s">
        <v>113</v>
      </c>
      <c r="D110" s="1" t="s">
        <v>443</v>
      </c>
      <c r="E110" s="1" t="s">
        <v>446</v>
      </c>
      <c r="F110" s="1" t="s">
        <v>447</v>
      </c>
      <c r="G110" s="1" t="s">
        <v>177</v>
      </c>
      <c r="H110" s="1" t="s">
        <v>55</v>
      </c>
      <c r="I110" s="1" t="s">
        <v>395</v>
      </c>
      <c r="J110" s="1" t="s">
        <v>200</v>
      </c>
      <c r="K110" s="1" t="s">
        <v>192</v>
      </c>
      <c r="L110" s="13" t="s">
        <v>59</v>
      </c>
      <c r="M110" s="1" t="s">
        <v>60</v>
      </c>
      <c r="N110" s="1" t="s">
        <v>61</v>
      </c>
      <c r="O110" s="1" t="s">
        <v>62</v>
      </c>
      <c r="P110" s="1">
        <v>0.0</v>
      </c>
      <c r="Q110" s="14">
        <v>27.69</v>
      </c>
      <c r="R110" s="1" t="s">
        <v>75</v>
      </c>
      <c r="S110" s="1" t="s">
        <v>76</v>
      </c>
      <c r="T110" s="15" t="s">
        <v>65</v>
      </c>
      <c r="U110" s="16">
        <v>0.52</v>
      </c>
      <c r="V110" s="14">
        <v>14.4</v>
      </c>
      <c r="W110" s="14">
        <v>0.0</v>
      </c>
      <c r="X110" s="1" t="s">
        <v>59</v>
      </c>
      <c r="Y110" s="1"/>
      <c r="Z110" s="1"/>
    </row>
    <row r="111" ht="14.25" customHeight="1">
      <c r="A111" s="1" t="s">
        <v>387</v>
      </c>
      <c r="B111" s="1" t="s">
        <v>49</v>
      </c>
      <c r="C111" s="1" t="s">
        <v>113</v>
      </c>
      <c r="D111" s="1" t="s">
        <v>126</v>
      </c>
      <c r="E111" s="1" t="s">
        <v>448</v>
      </c>
      <c r="F111" s="1" t="s">
        <v>449</v>
      </c>
      <c r="G111" s="1" t="s">
        <v>129</v>
      </c>
      <c r="H111" s="1" t="s">
        <v>152</v>
      </c>
      <c r="I111" s="1" t="s">
        <v>450</v>
      </c>
      <c r="J111" s="1" t="s">
        <v>58</v>
      </c>
      <c r="K111" s="1" t="s">
        <v>117</v>
      </c>
      <c r="L111" s="13" t="s">
        <v>59</v>
      </c>
      <c r="M111" s="1" t="s">
        <v>60</v>
      </c>
      <c r="N111" s="1" t="s">
        <v>61</v>
      </c>
      <c r="O111" s="1" t="s">
        <v>62</v>
      </c>
      <c r="P111" s="1">
        <v>0.0</v>
      </c>
      <c r="Q111" s="14">
        <v>96.64</v>
      </c>
      <c r="R111" s="1" t="s">
        <v>75</v>
      </c>
      <c r="S111" s="1" t="s">
        <v>118</v>
      </c>
      <c r="T111" s="15" t="s">
        <v>65</v>
      </c>
      <c r="U111" s="16">
        <v>0.56</v>
      </c>
      <c r="V111" s="14">
        <v>54.12</v>
      </c>
      <c r="W111" s="14">
        <v>0.0</v>
      </c>
      <c r="X111" s="1" t="s">
        <v>59</v>
      </c>
      <c r="Y111" s="1"/>
      <c r="Z111" s="1"/>
    </row>
    <row r="112" ht="14.25" customHeight="1">
      <c r="A112" s="1" t="s">
        <v>387</v>
      </c>
      <c r="B112" s="1" t="s">
        <v>49</v>
      </c>
      <c r="C112" s="1" t="s">
        <v>113</v>
      </c>
      <c r="D112" s="1" t="s">
        <v>126</v>
      </c>
      <c r="E112" s="1" t="s">
        <v>451</v>
      </c>
      <c r="F112" s="1" t="s">
        <v>452</v>
      </c>
      <c r="G112" s="1" t="s">
        <v>129</v>
      </c>
      <c r="H112" s="1" t="s">
        <v>152</v>
      </c>
      <c r="I112" s="1" t="s">
        <v>450</v>
      </c>
      <c r="J112" s="1" t="s">
        <v>58</v>
      </c>
      <c r="K112" s="1" t="s">
        <v>117</v>
      </c>
      <c r="L112" s="13" t="s">
        <v>59</v>
      </c>
      <c r="M112" s="1" t="s">
        <v>60</v>
      </c>
      <c r="N112" s="1" t="s">
        <v>61</v>
      </c>
      <c r="O112" s="1" t="s">
        <v>62</v>
      </c>
      <c r="P112" s="1">
        <v>0.0</v>
      </c>
      <c r="Q112" s="14">
        <v>100.14</v>
      </c>
      <c r="R112" s="1" t="s">
        <v>75</v>
      </c>
      <c r="S112" s="1" t="s">
        <v>118</v>
      </c>
      <c r="T112" s="15" t="s">
        <v>65</v>
      </c>
      <c r="U112" s="16">
        <v>0.56</v>
      </c>
      <c r="V112" s="14">
        <v>56.08</v>
      </c>
      <c r="W112" s="14">
        <v>0.0</v>
      </c>
      <c r="X112" s="1" t="s">
        <v>59</v>
      </c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6.86"/>
    <col customWidth="1" min="4" max="4" width="15.57"/>
    <col customWidth="1" min="5" max="5" width="14.0"/>
    <col customWidth="1" min="6" max="6" width="28.14"/>
    <col customWidth="1" min="7" max="7" width="13.0"/>
    <col customWidth="1" min="8" max="9" width="15.0"/>
    <col customWidth="1" min="10" max="10" width="8.0"/>
    <col customWidth="1" min="11" max="11" width="9.0"/>
    <col customWidth="1" min="12" max="13" width="6.29"/>
    <col customWidth="1" min="14" max="14" width="6.14"/>
    <col customWidth="1" min="15" max="15" width="14.0"/>
    <col customWidth="1" min="16" max="16" width="17.14"/>
    <col customWidth="1" min="17" max="17" width="9.0"/>
    <col customWidth="1" min="18" max="18" width="12.43"/>
    <col customWidth="1" min="19" max="19" width="18.0"/>
    <col customWidth="1" min="20" max="20" width="5.57"/>
    <col customWidth="1" min="21" max="21" width="17.43"/>
    <col customWidth="1" min="22" max="22" width="9.43"/>
    <col customWidth="1" min="23" max="23" width="10.0"/>
    <col customWidth="1" min="24" max="24" width="15.0"/>
    <col customWidth="1" min="25" max="34" width="9.14"/>
  </cols>
  <sheetData>
    <row r="1" ht="30.0" customHeight="1">
      <c r="A1" s="12" t="s">
        <v>27</v>
      </c>
      <c r="B1" s="12" t="s">
        <v>453</v>
      </c>
      <c r="C1" s="12" t="s">
        <v>454</v>
      </c>
      <c r="D1" s="22" t="s">
        <v>455</v>
      </c>
      <c r="E1" s="12" t="s">
        <v>28</v>
      </c>
      <c r="F1" s="12" t="s">
        <v>29</v>
      </c>
      <c r="G1" s="12" t="s">
        <v>30</v>
      </c>
      <c r="H1" s="12" t="s">
        <v>33</v>
      </c>
      <c r="I1" s="12" t="s">
        <v>34</v>
      </c>
      <c r="J1" s="12" t="s">
        <v>36</v>
      </c>
      <c r="K1" s="12" t="s">
        <v>38</v>
      </c>
      <c r="L1" s="12"/>
      <c r="M1" s="12"/>
      <c r="N1" s="12"/>
      <c r="O1" s="12" t="s">
        <v>456</v>
      </c>
      <c r="P1" s="12" t="s">
        <v>457</v>
      </c>
      <c r="Q1" s="12" t="s">
        <v>458</v>
      </c>
      <c r="R1" s="12" t="s">
        <v>459</v>
      </c>
      <c r="S1" s="12" t="s">
        <v>40</v>
      </c>
      <c r="T1" s="12" t="s">
        <v>41</v>
      </c>
      <c r="U1" s="12" t="s">
        <v>42</v>
      </c>
      <c r="V1" s="12" t="s">
        <v>44</v>
      </c>
      <c r="W1" s="12" t="s">
        <v>45</v>
      </c>
      <c r="X1" s="12" t="s">
        <v>46</v>
      </c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4.25" customHeight="1">
      <c r="A2" s="23">
        <v>1275324.0</v>
      </c>
      <c r="B2" s="24" t="s">
        <v>460</v>
      </c>
      <c r="C2" s="24" t="s">
        <v>460</v>
      </c>
      <c r="D2" s="23" t="s">
        <v>461</v>
      </c>
      <c r="E2" s="24" t="s">
        <v>249</v>
      </c>
      <c r="F2" s="24" t="s">
        <v>250</v>
      </c>
      <c r="G2" s="24" t="s">
        <v>251</v>
      </c>
      <c r="H2" s="24" t="s">
        <v>138</v>
      </c>
      <c r="I2" s="24" t="s">
        <v>138</v>
      </c>
      <c r="J2" s="24" t="s">
        <v>60</v>
      </c>
      <c r="K2" s="24">
        <v>1.0</v>
      </c>
      <c r="L2" s="24">
        <f t="shared" ref="L2:L105" si="1">DATEDIF(H2,I2,"M")</f>
        <v>0</v>
      </c>
      <c r="M2" s="24" t="s">
        <v>462</v>
      </c>
      <c r="N2" s="24" t="s">
        <v>463</v>
      </c>
      <c r="O2" s="24" t="s">
        <v>464</v>
      </c>
      <c r="P2" s="24" t="s">
        <v>465</v>
      </c>
      <c r="Q2" s="25">
        <v>21.63</v>
      </c>
      <c r="R2" s="25">
        <f t="shared" ref="R2:R105" si="2">Q2*V2</f>
        <v>29.2005</v>
      </c>
      <c r="S2" s="26">
        <v>194.67</v>
      </c>
      <c r="T2" s="24" t="s">
        <v>75</v>
      </c>
      <c r="U2" s="24" t="s">
        <v>118</v>
      </c>
      <c r="V2" s="27">
        <v>1.35</v>
      </c>
      <c r="W2" s="26">
        <v>262.8</v>
      </c>
      <c r="X2" s="26">
        <v>262.8</v>
      </c>
      <c r="Y2" s="24"/>
      <c r="Z2" s="24"/>
      <c r="AA2" s="24"/>
      <c r="AB2" s="24"/>
      <c r="AC2" s="24"/>
      <c r="AD2" s="24"/>
      <c r="AE2" s="24"/>
      <c r="AF2" s="24"/>
      <c r="AG2" s="28"/>
      <c r="AH2" s="28"/>
    </row>
    <row r="3" ht="14.25" customHeight="1">
      <c r="A3" s="23">
        <v>1093959.0</v>
      </c>
      <c r="B3" s="24" t="s">
        <v>466</v>
      </c>
      <c r="C3" s="24" t="s">
        <v>466</v>
      </c>
      <c r="D3" s="23">
        <v>2.1345012E7</v>
      </c>
      <c r="E3" s="24" t="s">
        <v>302</v>
      </c>
      <c r="F3" s="24" t="s">
        <v>303</v>
      </c>
      <c r="G3" s="24" t="s">
        <v>214</v>
      </c>
      <c r="H3" s="24" t="s">
        <v>138</v>
      </c>
      <c r="I3" s="24" t="s">
        <v>138</v>
      </c>
      <c r="J3" s="24" t="s">
        <v>60</v>
      </c>
      <c r="K3" s="24">
        <v>1.0</v>
      </c>
      <c r="L3" s="24">
        <f t="shared" si="1"/>
        <v>0</v>
      </c>
      <c r="M3" s="24" t="s">
        <v>467</v>
      </c>
      <c r="N3" s="24" t="s">
        <v>468</v>
      </c>
      <c r="O3" s="24" t="s">
        <v>464</v>
      </c>
      <c r="P3" s="24" t="s">
        <v>469</v>
      </c>
      <c r="Q3" s="25">
        <v>23.2</v>
      </c>
      <c r="R3" s="25">
        <f t="shared" si="2"/>
        <v>5.8</v>
      </c>
      <c r="S3" s="26">
        <v>208.8</v>
      </c>
      <c r="T3" s="24" t="s">
        <v>75</v>
      </c>
      <c r="U3" s="24" t="s">
        <v>118</v>
      </c>
      <c r="V3" s="27">
        <v>0.25</v>
      </c>
      <c r="W3" s="26">
        <v>52.2</v>
      </c>
      <c r="X3" s="26">
        <v>52.2</v>
      </c>
      <c r="Y3" s="24"/>
      <c r="Z3" s="24"/>
      <c r="AA3" s="24"/>
      <c r="AB3" s="24"/>
      <c r="AC3" s="24"/>
      <c r="AD3" s="24"/>
      <c r="AE3" s="24"/>
      <c r="AF3" s="24"/>
      <c r="AG3" s="1"/>
      <c r="AH3" s="1"/>
    </row>
    <row r="4" ht="14.25" customHeight="1">
      <c r="A4" s="23">
        <v>893387.0</v>
      </c>
      <c r="B4" s="24" t="s">
        <v>470</v>
      </c>
      <c r="C4" s="24" t="s">
        <v>470</v>
      </c>
      <c r="D4" s="23">
        <v>8307933.0</v>
      </c>
      <c r="E4" s="24" t="s">
        <v>187</v>
      </c>
      <c r="F4" s="24" t="s">
        <v>188</v>
      </c>
      <c r="G4" s="24" t="s">
        <v>54</v>
      </c>
      <c r="H4" s="24" t="s">
        <v>125</v>
      </c>
      <c r="I4" s="24" t="s">
        <v>125</v>
      </c>
      <c r="J4" s="24" t="s">
        <v>60</v>
      </c>
      <c r="K4" s="24">
        <v>1.0</v>
      </c>
      <c r="L4" s="24">
        <f t="shared" si="1"/>
        <v>0</v>
      </c>
      <c r="M4" s="24" t="s">
        <v>467</v>
      </c>
      <c r="N4" s="24" t="s">
        <v>468</v>
      </c>
      <c r="O4" s="24" t="s">
        <v>464</v>
      </c>
      <c r="P4" s="24" t="s">
        <v>465</v>
      </c>
      <c r="Q4" s="25">
        <v>122.08</v>
      </c>
      <c r="R4" s="25">
        <f t="shared" si="2"/>
        <v>164.808</v>
      </c>
      <c r="S4" s="26">
        <v>1098.72</v>
      </c>
      <c r="T4" s="24" t="s">
        <v>75</v>
      </c>
      <c r="U4" s="24" t="s">
        <v>189</v>
      </c>
      <c r="V4" s="27">
        <v>1.35</v>
      </c>
      <c r="W4" s="26">
        <v>1483.27</v>
      </c>
      <c r="X4" s="26">
        <v>1483.27</v>
      </c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ht="14.25" customHeight="1">
      <c r="A5" s="23">
        <v>496849.0</v>
      </c>
      <c r="B5" s="24" t="s">
        <v>471</v>
      </c>
      <c r="C5" s="24" t="s">
        <v>471</v>
      </c>
      <c r="D5" s="23" t="s">
        <v>472</v>
      </c>
      <c r="E5" s="24" t="s">
        <v>281</v>
      </c>
      <c r="F5" s="24" t="s">
        <v>282</v>
      </c>
      <c r="G5" s="24" t="s">
        <v>283</v>
      </c>
      <c r="H5" s="24" t="s">
        <v>152</v>
      </c>
      <c r="I5" s="24" t="s">
        <v>152</v>
      </c>
      <c r="J5" s="24" t="s">
        <v>60</v>
      </c>
      <c r="K5" s="24">
        <v>1.0</v>
      </c>
      <c r="L5" s="24">
        <f t="shared" si="1"/>
        <v>0</v>
      </c>
      <c r="M5" s="24" t="s">
        <v>462</v>
      </c>
      <c r="N5" s="24" t="s">
        <v>463</v>
      </c>
      <c r="O5" s="24" t="s">
        <v>473</v>
      </c>
      <c r="P5" s="24" t="s">
        <v>474</v>
      </c>
      <c r="Q5" s="25">
        <v>122.86</v>
      </c>
      <c r="R5" s="25">
        <f t="shared" si="2"/>
        <v>184.29</v>
      </c>
      <c r="S5" s="26">
        <v>1105.74</v>
      </c>
      <c r="T5" s="24" t="s">
        <v>75</v>
      </c>
      <c r="U5" s="24" t="s">
        <v>118</v>
      </c>
      <c r="V5" s="27">
        <v>1.5</v>
      </c>
      <c r="W5" s="26">
        <v>1658.61</v>
      </c>
      <c r="X5" s="26">
        <v>1658.61</v>
      </c>
      <c r="Y5" s="24"/>
      <c r="Z5" s="24"/>
      <c r="AA5" s="24"/>
      <c r="AB5" s="24"/>
      <c r="AC5" s="24"/>
      <c r="AD5" s="24"/>
      <c r="AE5" s="24"/>
      <c r="AF5" s="24"/>
      <c r="AG5" s="28"/>
      <c r="AH5" s="28"/>
    </row>
    <row r="6" ht="14.25" customHeight="1">
      <c r="A6" s="23">
        <v>893387.0</v>
      </c>
      <c r="B6" s="24" t="s">
        <v>470</v>
      </c>
      <c r="C6" s="24" t="s">
        <v>470</v>
      </c>
      <c r="D6" s="23">
        <v>8307933.0</v>
      </c>
      <c r="E6" s="24" t="s">
        <v>190</v>
      </c>
      <c r="F6" s="24" t="s">
        <v>191</v>
      </c>
      <c r="G6" s="24" t="s">
        <v>156</v>
      </c>
      <c r="H6" s="24" t="s">
        <v>192</v>
      </c>
      <c r="I6" s="24" t="s">
        <v>192</v>
      </c>
      <c r="J6" s="24" t="s">
        <v>60</v>
      </c>
      <c r="K6" s="24">
        <v>1.0</v>
      </c>
      <c r="L6" s="24">
        <f t="shared" si="1"/>
        <v>0</v>
      </c>
      <c r="M6" s="24" t="s">
        <v>467</v>
      </c>
      <c r="N6" s="24" t="s">
        <v>468</v>
      </c>
      <c r="O6" s="24" t="s">
        <v>464</v>
      </c>
      <c r="P6" s="24" t="s">
        <v>475</v>
      </c>
      <c r="Q6" s="25">
        <v>153.03</v>
      </c>
      <c r="R6" s="25">
        <f t="shared" si="2"/>
        <v>103.29525</v>
      </c>
      <c r="S6" s="26">
        <v>1377.27</v>
      </c>
      <c r="T6" s="24" t="s">
        <v>75</v>
      </c>
      <c r="U6" s="24" t="s">
        <v>186</v>
      </c>
      <c r="V6" s="27">
        <v>0.675</v>
      </c>
      <c r="W6" s="26">
        <v>929.66</v>
      </c>
      <c r="X6" s="26">
        <v>929.66</v>
      </c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ht="14.25" customHeight="1">
      <c r="A7" s="23">
        <v>893387.0</v>
      </c>
      <c r="B7" s="24" t="s">
        <v>470</v>
      </c>
      <c r="C7" s="24" t="s">
        <v>470</v>
      </c>
      <c r="D7" s="23">
        <v>8307933.0</v>
      </c>
      <c r="E7" s="24" t="s">
        <v>193</v>
      </c>
      <c r="F7" s="24" t="s">
        <v>194</v>
      </c>
      <c r="G7" s="24" t="s">
        <v>156</v>
      </c>
      <c r="H7" s="24" t="s">
        <v>195</v>
      </c>
      <c r="I7" s="24" t="s">
        <v>195</v>
      </c>
      <c r="J7" s="24" t="s">
        <v>60</v>
      </c>
      <c r="K7" s="24">
        <v>1.0</v>
      </c>
      <c r="L7" s="24">
        <f t="shared" si="1"/>
        <v>0</v>
      </c>
      <c r="M7" s="24" t="s">
        <v>467</v>
      </c>
      <c r="N7" s="24" t="s">
        <v>468</v>
      </c>
      <c r="O7" s="24" t="s">
        <v>464</v>
      </c>
      <c r="P7" s="24" t="s">
        <v>475</v>
      </c>
      <c r="Q7" s="25">
        <v>323.26</v>
      </c>
      <c r="R7" s="25">
        <f t="shared" si="2"/>
        <v>218.2005</v>
      </c>
      <c r="S7" s="26">
        <v>2909.34</v>
      </c>
      <c r="T7" s="24" t="s">
        <v>75</v>
      </c>
      <c r="U7" s="24" t="s">
        <v>186</v>
      </c>
      <c r="V7" s="27">
        <v>0.675</v>
      </c>
      <c r="W7" s="26">
        <v>1963.8</v>
      </c>
      <c r="X7" s="26">
        <v>1963.8</v>
      </c>
      <c r="Y7" s="24"/>
      <c r="Z7" s="24"/>
      <c r="AA7" s="24"/>
      <c r="AB7" s="24"/>
      <c r="AC7" s="24"/>
      <c r="AD7" s="24"/>
      <c r="AE7" s="24"/>
      <c r="AF7" s="24"/>
      <c r="AG7" s="28"/>
      <c r="AH7" s="28"/>
    </row>
    <row r="8" ht="14.25" customHeight="1">
      <c r="A8" s="23">
        <v>910791.0</v>
      </c>
      <c r="B8" s="24" t="s">
        <v>476</v>
      </c>
      <c r="C8" s="24" t="s">
        <v>476</v>
      </c>
      <c r="D8" s="23">
        <v>1.9491313E7</v>
      </c>
      <c r="E8" s="24" t="s">
        <v>448</v>
      </c>
      <c r="F8" s="24" t="s">
        <v>449</v>
      </c>
      <c r="G8" s="24" t="s">
        <v>129</v>
      </c>
      <c r="H8" s="24" t="s">
        <v>58</v>
      </c>
      <c r="I8" s="24" t="s">
        <v>117</v>
      </c>
      <c r="J8" s="24" t="s">
        <v>60</v>
      </c>
      <c r="K8" s="24">
        <v>1.0</v>
      </c>
      <c r="L8" s="24">
        <f t="shared" si="1"/>
        <v>1</v>
      </c>
      <c r="M8" s="24" t="s">
        <v>467</v>
      </c>
      <c r="N8" s="24" t="s">
        <v>468</v>
      </c>
      <c r="O8" s="24" t="s">
        <v>477</v>
      </c>
      <c r="P8" s="24" t="s">
        <v>478</v>
      </c>
      <c r="Q8" s="25">
        <v>96.64</v>
      </c>
      <c r="R8" s="25">
        <f t="shared" si="2"/>
        <v>54.1184</v>
      </c>
      <c r="S8" s="26">
        <v>96.64</v>
      </c>
      <c r="T8" s="24" t="s">
        <v>75</v>
      </c>
      <c r="U8" s="24" t="s">
        <v>118</v>
      </c>
      <c r="V8" s="27">
        <v>0.56</v>
      </c>
      <c r="W8" s="26">
        <v>54.12</v>
      </c>
      <c r="X8" s="26">
        <v>0.0</v>
      </c>
      <c r="Y8" s="24"/>
      <c r="Z8" s="24"/>
      <c r="AA8" s="24"/>
      <c r="AB8" s="24"/>
      <c r="AC8" s="24"/>
      <c r="AD8" s="24"/>
      <c r="AE8" s="24"/>
      <c r="AF8" s="24"/>
      <c r="AG8" s="28"/>
      <c r="AH8" s="28"/>
    </row>
    <row r="9" ht="14.25" customHeight="1">
      <c r="A9" s="23">
        <v>910791.0</v>
      </c>
      <c r="B9" s="24" t="s">
        <v>476</v>
      </c>
      <c r="C9" s="24" t="s">
        <v>476</v>
      </c>
      <c r="D9" s="23">
        <v>1.9491313E7</v>
      </c>
      <c r="E9" s="24" t="s">
        <v>451</v>
      </c>
      <c r="F9" s="24" t="s">
        <v>452</v>
      </c>
      <c r="G9" s="24" t="s">
        <v>129</v>
      </c>
      <c r="H9" s="24" t="s">
        <v>58</v>
      </c>
      <c r="I9" s="24" t="s">
        <v>117</v>
      </c>
      <c r="J9" s="24" t="s">
        <v>60</v>
      </c>
      <c r="K9" s="24">
        <v>1.0</v>
      </c>
      <c r="L9" s="24">
        <f t="shared" si="1"/>
        <v>1</v>
      </c>
      <c r="M9" s="24" t="s">
        <v>467</v>
      </c>
      <c r="N9" s="24" t="s">
        <v>468</v>
      </c>
      <c r="O9" s="24" t="s">
        <v>477</v>
      </c>
      <c r="P9" s="24" t="s">
        <v>478</v>
      </c>
      <c r="Q9" s="25">
        <v>100.14</v>
      </c>
      <c r="R9" s="25">
        <f t="shared" si="2"/>
        <v>56.0784</v>
      </c>
      <c r="S9" s="26">
        <v>100.14</v>
      </c>
      <c r="T9" s="24" t="s">
        <v>75</v>
      </c>
      <c r="U9" s="24" t="s">
        <v>118</v>
      </c>
      <c r="V9" s="27">
        <v>0.56</v>
      </c>
      <c r="W9" s="26">
        <v>56.08</v>
      </c>
      <c r="X9" s="26">
        <v>0.0</v>
      </c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ht="14.25" customHeight="1">
      <c r="A10" s="23">
        <v>910791.0</v>
      </c>
      <c r="B10" s="24" t="s">
        <v>476</v>
      </c>
      <c r="C10" s="24" t="s">
        <v>476</v>
      </c>
      <c r="D10" s="23">
        <v>1.9491313E7</v>
      </c>
      <c r="E10" s="24" t="s">
        <v>127</v>
      </c>
      <c r="F10" s="24" t="s">
        <v>128</v>
      </c>
      <c r="G10" s="24" t="s">
        <v>129</v>
      </c>
      <c r="H10" s="24" t="s">
        <v>58</v>
      </c>
      <c r="I10" s="24" t="s">
        <v>117</v>
      </c>
      <c r="J10" s="24" t="s">
        <v>60</v>
      </c>
      <c r="K10" s="24">
        <v>1.0</v>
      </c>
      <c r="L10" s="24">
        <f t="shared" si="1"/>
        <v>1</v>
      </c>
      <c r="M10" s="24" t="s">
        <v>467</v>
      </c>
      <c r="N10" s="24" t="s">
        <v>468</v>
      </c>
      <c r="O10" s="24" t="s">
        <v>479</v>
      </c>
      <c r="P10" s="24" t="s">
        <v>480</v>
      </c>
      <c r="Q10" s="25">
        <v>116.59</v>
      </c>
      <c r="R10" s="25">
        <f t="shared" si="2"/>
        <v>30.89635</v>
      </c>
      <c r="S10" s="26">
        <v>116.59</v>
      </c>
      <c r="T10" s="24" t="s">
        <v>75</v>
      </c>
      <c r="U10" s="24" t="s">
        <v>118</v>
      </c>
      <c r="V10" s="27">
        <v>0.265</v>
      </c>
      <c r="W10" s="26">
        <v>30.9</v>
      </c>
      <c r="X10" s="26">
        <v>0.0</v>
      </c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ht="14.25" customHeight="1">
      <c r="A11" s="23">
        <v>899216.0</v>
      </c>
      <c r="B11" s="24" t="s">
        <v>481</v>
      </c>
      <c r="C11" s="24" t="s">
        <v>481</v>
      </c>
      <c r="D11" s="23">
        <v>5442438.0</v>
      </c>
      <c r="E11" s="24" t="s">
        <v>147</v>
      </c>
      <c r="F11" s="24" t="s">
        <v>148</v>
      </c>
      <c r="G11" s="24" t="s">
        <v>149</v>
      </c>
      <c r="H11" s="24" t="s">
        <v>85</v>
      </c>
      <c r="I11" s="24" t="s">
        <v>102</v>
      </c>
      <c r="J11" s="24" t="s">
        <v>60</v>
      </c>
      <c r="K11" s="24">
        <v>1.0</v>
      </c>
      <c r="L11" s="24">
        <f t="shared" si="1"/>
        <v>1</v>
      </c>
      <c r="M11" s="24" t="s">
        <v>467</v>
      </c>
      <c r="N11" s="24" t="s">
        <v>468</v>
      </c>
      <c r="O11" s="24" t="s">
        <v>473</v>
      </c>
      <c r="P11" s="24" t="s">
        <v>474</v>
      </c>
      <c r="Q11" s="25">
        <v>117.99</v>
      </c>
      <c r="R11" s="25">
        <f t="shared" si="2"/>
        <v>176.985</v>
      </c>
      <c r="S11" s="26">
        <v>117.99</v>
      </c>
      <c r="T11" s="24" t="s">
        <v>75</v>
      </c>
      <c r="U11" s="24" t="s">
        <v>153</v>
      </c>
      <c r="V11" s="27">
        <v>1.5</v>
      </c>
      <c r="W11" s="26">
        <v>0.0</v>
      </c>
      <c r="X11" s="26">
        <v>-176.99</v>
      </c>
      <c r="Y11" s="24"/>
      <c r="Z11" s="24"/>
      <c r="AA11" s="24"/>
      <c r="AB11" s="24"/>
      <c r="AC11" s="24"/>
      <c r="AD11" s="24"/>
      <c r="AE11" s="24"/>
      <c r="AF11" s="24"/>
      <c r="AG11" s="28"/>
      <c r="AH11" s="28"/>
    </row>
    <row r="12" ht="14.25" customHeight="1">
      <c r="A12" s="23">
        <v>1227344.0</v>
      </c>
      <c r="B12" s="24" t="s">
        <v>482</v>
      </c>
      <c r="C12" s="24" t="s">
        <v>482</v>
      </c>
      <c r="D12" s="23" t="s">
        <v>483</v>
      </c>
      <c r="E12" s="24" t="s">
        <v>245</v>
      </c>
      <c r="F12" s="24" t="s">
        <v>246</v>
      </c>
      <c r="G12" s="24" t="s">
        <v>149</v>
      </c>
      <c r="H12" s="24" t="s">
        <v>152</v>
      </c>
      <c r="I12" s="24" t="s">
        <v>247</v>
      </c>
      <c r="J12" s="24" t="s">
        <v>60</v>
      </c>
      <c r="K12" s="24">
        <v>1.0</v>
      </c>
      <c r="L12" s="24">
        <f t="shared" si="1"/>
        <v>1</v>
      </c>
      <c r="M12" s="24" t="s">
        <v>462</v>
      </c>
      <c r="N12" s="24" t="s">
        <v>463</v>
      </c>
      <c r="O12" s="24" t="s">
        <v>464</v>
      </c>
      <c r="P12" s="24" t="s">
        <v>465</v>
      </c>
      <c r="Q12" s="25">
        <v>152.0</v>
      </c>
      <c r="R12" s="25">
        <f t="shared" si="2"/>
        <v>205.2</v>
      </c>
      <c r="S12" s="26">
        <v>152.0</v>
      </c>
      <c r="T12" s="24" t="s">
        <v>75</v>
      </c>
      <c r="U12" s="24" t="s">
        <v>153</v>
      </c>
      <c r="V12" s="27">
        <v>1.35</v>
      </c>
      <c r="W12" s="26">
        <v>0.0</v>
      </c>
      <c r="X12" s="26">
        <v>-205.2</v>
      </c>
      <c r="Y12" s="24"/>
      <c r="Z12" s="24"/>
      <c r="AA12" s="24"/>
      <c r="AB12" s="24"/>
      <c r="AC12" s="24"/>
      <c r="AD12" s="24"/>
      <c r="AE12" s="24"/>
      <c r="AF12" s="24"/>
      <c r="AG12" s="28"/>
      <c r="AH12" s="28"/>
    </row>
    <row r="13" ht="14.25" customHeight="1">
      <c r="A13" s="23">
        <v>892054.0</v>
      </c>
      <c r="B13" s="24" t="s">
        <v>484</v>
      </c>
      <c r="C13" s="24" t="s">
        <v>484</v>
      </c>
      <c r="D13" s="23" t="s">
        <v>485</v>
      </c>
      <c r="E13" s="24" t="s">
        <v>119</v>
      </c>
      <c r="F13" s="24" t="s">
        <v>120</v>
      </c>
      <c r="G13" s="24" t="s">
        <v>54</v>
      </c>
      <c r="H13" s="24" t="s">
        <v>58</v>
      </c>
      <c r="I13" s="24" t="s">
        <v>117</v>
      </c>
      <c r="J13" s="24" t="s">
        <v>60</v>
      </c>
      <c r="K13" s="24">
        <v>1.0</v>
      </c>
      <c r="L13" s="24">
        <f t="shared" si="1"/>
        <v>1</v>
      </c>
      <c r="M13" s="24" t="s">
        <v>462</v>
      </c>
      <c r="N13" s="24" t="s">
        <v>463</v>
      </c>
      <c r="O13" s="24" t="s">
        <v>486</v>
      </c>
      <c r="P13" s="24" t="s">
        <v>487</v>
      </c>
      <c r="Q13" s="25">
        <v>180.27</v>
      </c>
      <c r="R13" s="25">
        <f t="shared" si="2"/>
        <v>41.4621</v>
      </c>
      <c r="S13" s="26">
        <v>180.27</v>
      </c>
      <c r="T13" s="24" t="s">
        <v>75</v>
      </c>
      <c r="U13" s="24" t="s">
        <v>118</v>
      </c>
      <c r="V13" s="27">
        <v>0.23</v>
      </c>
      <c r="W13" s="26">
        <v>41.46</v>
      </c>
      <c r="X13" s="26">
        <v>0.0</v>
      </c>
      <c r="Y13" s="24"/>
      <c r="Z13" s="24"/>
      <c r="AA13" s="24"/>
      <c r="AB13" s="24"/>
      <c r="AC13" s="24"/>
      <c r="AD13" s="24"/>
      <c r="AE13" s="24"/>
      <c r="AF13" s="24"/>
      <c r="AG13" s="1"/>
      <c r="AH13" s="1"/>
    </row>
    <row r="14" ht="14.25" customHeight="1">
      <c r="A14" s="23">
        <v>893387.0</v>
      </c>
      <c r="B14" s="24" t="s">
        <v>470</v>
      </c>
      <c r="C14" s="24" t="s">
        <v>470</v>
      </c>
      <c r="D14" s="23">
        <v>8307933.0</v>
      </c>
      <c r="E14" s="24" t="s">
        <v>136</v>
      </c>
      <c r="F14" s="24" t="s">
        <v>137</v>
      </c>
      <c r="G14" s="24" t="s">
        <v>54</v>
      </c>
      <c r="H14" s="24" t="s">
        <v>130</v>
      </c>
      <c r="I14" s="24" t="s">
        <v>139</v>
      </c>
      <c r="J14" s="24" t="s">
        <v>60</v>
      </c>
      <c r="K14" s="24">
        <v>1.0</v>
      </c>
      <c r="L14" s="24">
        <f t="shared" si="1"/>
        <v>1</v>
      </c>
      <c r="M14" s="24" t="s">
        <v>467</v>
      </c>
      <c r="N14" s="24" t="s">
        <v>468</v>
      </c>
      <c r="O14" s="24" t="s">
        <v>486</v>
      </c>
      <c r="P14" s="24" t="s">
        <v>487</v>
      </c>
      <c r="Q14" s="25">
        <v>199.91</v>
      </c>
      <c r="R14" s="25">
        <f t="shared" si="2"/>
        <v>45.9793</v>
      </c>
      <c r="S14" s="26">
        <v>199.91</v>
      </c>
      <c r="T14" s="24" t="s">
        <v>75</v>
      </c>
      <c r="U14" s="24" t="s">
        <v>118</v>
      </c>
      <c r="V14" s="27">
        <v>0.23</v>
      </c>
      <c r="W14" s="26">
        <v>45.98</v>
      </c>
      <c r="X14" s="26">
        <v>0.0</v>
      </c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ht="14.25" customHeight="1">
      <c r="A15" s="23">
        <v>892054.0</v>
      </c>
      <c r="B15" s="24" t="s">
        <v>484</v>
      </c>
      <c r="C15" s="24" t="s">
        <v>484</v>
      </c>
      <c r="D15" s="23" t="s">
        <v>485</v>
      </c>
      <c r="E15" s="24" t="s">
        <v>115</v>
      </c>
      <c r="F15" s="24" t="s">
        <v>116</v>
      </c>
      <c r="G15" s="24" t="s">
        <v>54</v>
      </c>
      <c r="H15" s="24" t="s">
        <v>58</v>
      </c>
      <c r="I15" s="24" t="s">
        <v>117</v>
      </c>
      <c r="J15" s="24" t="s">
        <v>60</v>
      </c>
      <c r="K15" s="24">
        <v>1.0</v>
      </c>
      <c r="L15" s="24">
        <f t="shared" si="1"/>
        <v>1</v>
      </c>
      <c r="M15" s="24" t="s">
        <v>462</v>
      </c>
      <c r="N15" s="24" t="s">
        <v>463</v>
      </c>
      <c r="O15" s="24" t="s">
        <v>486</v>
      </c>
      <c r="P15" s="24" t="s">
        <v>487</v>
      </c>
      <c r="Q15" s="25">
        <v>207.5</v>
      </c>
      <c r="R15" s="25">
        <f t="shared" si="2"/>
        <v>47.725</v>
      </c>
      <c r="S15" s="26">
        <v>207.5</v>
      </c>
      <c r="T15" s="24" t="s">
        <v>75</v>
      </c>
      <c r="U15" s="24" t="s">
        <v>118</v>
      </c>
      <c r="V15" s="27">
        <v>0.23</v>
      </c>
      <c r="W15" s="26">
        <v>47.73</v>
      </c>
      <c r="X15" s="26">
        <v>0.0</v>
      </c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ht="14.25" customHeight="1">
      <c r="A16" s="23">
        <v>893387.0</v>
      </c>
      <c r="B16" s="24" t="s">
        <v>470</v>
      </c>
      <c r="C16" s="24" t="s">
        <v>470</v>
      </c>
      <c r="D16" s="23">
        <v>8307933.0</v>
      </c>
      <c r="E16" s="24" t="s">
        <v>183</v>
      </c>
      <c r="F16" s="24" t="s">
        <v>184</v>
      </c>
      <c r="G16" s="24" t="s">
        <v>54</v>
      </c>
      <c r="H16" s="24" t="s">
        <v>185</v>
      </c>
      <c r="I16" s="24" t="s">
        <v>58</v>
      </c>
      <c r="J16" s="24" t="s">
        <v>60</v>
      </c>
      <c r="K16" s="24">
        <v>1.0</v>
      </c>
      <c r="L16" s="24">
        <f t="shared" si="1"/>
        <v>1</v>
      </c>
      <c r="M16" s="24" t="s">
        <v>467</v>
      </c>
      <c r="N16" s="24" t="s">
        <v>468</v>
      </c>
      <c r="O16" s="24" t="s">
        <v>464</v>
      </c>
      <c r="P16" s="24" t="s">
        <v>475</v>
      </c>
      <c r="Q16" s="25">
        <v>348.8</v>
      </c>
      <c r="R16" s="25">
        <f t="shared" si="2"/>
        <v>235.44</v>
      </c>
      <c r="S16" s="26">
        <v>348.8</v>
      </c>
      <c r="T16" s="24" t="s">
        <v>75</v>
      </c>
      <c r="U16" s="24" t="s">
        <v>153</v>
      </c>
      <c r="V16" s="27">
        <v>0.675</v>
      </c>
      <c r="W16" s="26">
        <v>0.0</v>
      </c>
      <c r="X16" s="26">
        <v>-235.44</v>
      </c>
      <c r="Y16" s="24"/>
      <c r="Z16" s="24"/>
      <c r="AA16" s="24"/>
      <c r="AB16" s="24"/>
      <c r="AC16" s="24"/>
      <c r="AD16" s="24"/>
      <c r="AE16" s="24"/>
      <c r="AF16" s="24"/>
      <c r="AG16" s="1"/>
      <c r="AH16" s="1"/>
    </row>
    <row r="17" ht="14.25" customHeight="1">
      <c r="A17" s="29">
        <v>1075176.0</v>
      </c>
      <c r="B17" s="28" t="s">
        <v>488</v>
      </c>
      <c r="C17" s="28" t="s">
        <v>489</v>
      </c>
      <c r="D17" s="29">
        <v>2.0220688E7</v>
      </c>
      <c r="E17" s="28" t="s">
        <v>317</v>
      </c>
      <c r="F17" s="28" t="s">
        <v>318</v>
      </c>
      <c r="G17" s="28" t="s">
        <v>54</v>
      </c>
      <c r="H17" s="28" t="s">
        <v>300</v>
      </c>
      <c r="I17" s="28" t="s">
        <v>227</v>
      </c>
      <c r="J17" s="28" t="s">
        <v>60</v>
      </c>
      <c r="K17" s="28">
        <v>1.0</v>
      </c>
      <c r="L17" s="28">
        <f t="shared" si="1"/>
        <v>1</v>
      </c>
      <c r="M17" s="28" t="s">
        <v>467</v>
      </c>
      <c r="N17" s="28" t="s">
        <v>490</v>
      </c>
      <c r="O17" s="28" t="s">
        <v>464</v>
      </c>
      <c r="P17" s="28" t="s">
        <v>465</v>
      </c>
      <c r="Q17" s="30">
        <v>68.66</v>
      </c>
      <c r="R17" s="30">
        <f t="shared" si="2"/>
        <v>92.691</v>
      </c>
      <c r="S17" s="31">
        <v>68.66</v>
      </c>
      <c r="T17" s="28" t="s">
        <v>75</v>
      </c>
      <c r="U17" s="28" t="s">
        <v>153</v>
      </c>
      <c r="V17" s="32">
        <v>1.35</v>
      </c>
      <c r="W17" s="31">
        <v>0.0</v>
      </c>
      <c r="X17" s="31">
        <v>-92.69</v>
      </c>
      <c r="Y17" s="28"/>
      <c r="Z17" s="28"/>
      <c r="AA17" s="28"/>
      <c r="AB17" s="28"/>
      <c r="AC17" s="28"/>
      <c r="AD17" s="28"/>
      <c r="AE17" s="28"/>
      <c r="AF17" s="28"/>
      <c r="AG17" s="1"/>
      <c r="AH17" s="1"/>
    </row>
    <row r="18" ht="14.25" customHeight="1">
      <c r="A18" s="29">
        <v>1227344.0</v>
      </c>
      <c r="B18" s="28" t="s">
        <v>482</v>
      </c>
      <c r="C18" s="28" t="s">
        <v>491</v>
      </c>
      <c r="D18" s="29">
        <v>2.1561165E7</v>
      </c>
      <c r="E18" s="28" t="s">
        <v>242</v>
      </c>
      <c r="F18" s="28" t="s">
        <v>243</v>
      </c>
      <c r="G18" s="28" t="s">
        <v>149</v>
      </c>
      <c r="H18" s="28" t="s">
        <v>244</v>
      </c>
      <c r="I18" s="28" t="s">
        <v>216</v>
      </c>
      <c r="J18" s="28" t="s">
        <v>60</v>
      </c>
      <c r="K18" s="28">
        <v>1.0</v>
      </c>
      <c r="L18" s="28">
        <f t="shared" si="1"/>
        <v>1</v>
      </c>
      <c r="M18" s="28" t="s">
        <v>467</v>
      </c>
      <c r="N18" s="28" t="s">
        <v>490</v>
      </c>
      <c r="O18" s="28" t="s">
        <v>492</v>
      </c>
      <c r="P18" s="28" t="s">
        <v>493</v>
      </c>
      <c r="Q18" s="30">
        <v>262.79</v>
      </c>
      <c r="R18" s="30">
        <f t="shared" si="2"/>
        <v>354.7665</v>
      </c>
      <c r="S18" s="31">
        <v>262.79</v>
      </c>
      <c r="T18" s="28" t="s">
        <v>75</v>
      </c>
      <c r="U18" s="28" t="s">
        <v>153</v>
      </c>
      <c r="V18" s="32">
        <v>1.35</v>
      </c>
      <c r="W18" s="31">
        <v>0.0</v>
      </c>
      <c r="X18" s="31">
        <v>-354.77</v>
      </c>
      <c r="Y18" s="28"/>
      <c r="Z18" s="28"/>
      <c r="AA18" s="28"/>
      <c r="AB18" s="28"/>
      <c r="AC18" s="28"/>
      <c r="AD18" s="28"/>
      <c r="AE18" s="28"/>
      <c r="AF18" s="28"/>
      <c r="AG18" s="1"/>
      <c r="AH18" s="1"/>
    </row>
    <row r="19" ht="14.25" customHeight="1">
      <c r="A19" s="29">
        <v>257168.0</v>
      </c>
      <c r="B19" s="28" t="s">
        <v>494</v>
      </c>
      <c r="C19" s="28" t="s">
        <v>495</v>
      </c>
      <c r="D19" s="29">
        <v>371819.0</v>
      </c>
      <c r="E19" s="28" t="s">
        <v>263</v>
      </c>
      <c r="F19" s="28" t="s">
        <v>264</v>
      </c>
      <c r="G19" s="28" t="s">
        <v>261</v>
      </c>
      <c r="H19" s="28" t="s">
        <v>265</v>
      </c>
      <c r="I19" s="28" t="s">
        <v>266</v>
      </c>
      <c r="J19" s="28" t="s">
        <v>60</v>
      </c>
      <c r="K19" s="28">
        <v>1.0</v>
      </c>
      <c r="L19" s="28">
        <f t="shared" si="1"/>
        <v>2</v>
      </c>
      <c r="M19" s="28" t="s">
        <v>467</v>
      </c>
      <c r="N19" s="28" t="s">
        <v>490</v>
      </c>
      <c r="O19" s="28" t="s">
        <v>473</v>
      </c>
      <c r="P19" s="28" t="s">
        <v>474</v>
      </c>
      <c r="Q19" s="30">
        <v>47.39</v>
      </c>
      <c r="R19" s="30">
        <f t="shared" si="2"/>
        <v>71.085</v>
      </c>
      <c r="S19" s="31">
        <v>47.39</v>
      </c>
      <c r="T19" s="28" t="s">
        <v>75</v>
      </c>
      <c r="U19" s="28" t="s">
        <v>76</v>
      </c>
      <c r="V19" s="32">
        <v>1.5</v>
      </c>
      <c r="W19" s="31">
        <v>0.0</v>
      </c>
      <c r="X19" s="31">
        <v>-71.09</v>
      </c>
      <c r="Y19" s="28"/>
      <c r="Z19" s="28"/>
      <c r="AA19" s="28"/>
      <c r="AB19" s="28"/>
      <c r="AC19" s="28"/>
      <c r="AD19" s="28"/>
      <c r="AE19" s="28"/>
      <c r="AF19" s="28"/>
      <c r="AG19" s="24"/>
      <c r="AH19" s="24"/>
    </row>
    <row r="20" ht="14.25" customHeight="1">
      <c r="A20" s="29">
        <v>257168.0</v>
      </c>
      <c r="B20" s="28" t="s">
        <v>494</v>
      </c>
      <c r="C20" s="28" t="s">
        <v>495</v>
      </c>
      <c r="D20" s="29">
        <v>371819.0</v>
      </c>
      <c r="E20" s="28" t="s">
        <v>267</v>
      </c>
      <c r="F20" s="28" t="s">
        <v>268</v>
      </c>
      <c r="G20" s="28" t="s">
        <v>261</v>
      </c>
      <c r="H20" s="28" t="s">
        <v>269</v>
      </c>
      <c r="I20" s="28" t="s">
        <v>270</v>
      </c>
      <c r="J20" s="28" t="s">
        <v>60</v>
      </c>
      <c r="K20" s="28">
        <v>1.0</v>
      </c>
      <c r="L20" s="28">
        <f t="shared" si="1"/>
        <v>2</v>
      </c>
      <c r="M20" s="28" t="s">
        <v>467</v>
      </c>
      <c r="N20" s="28" t="s">
        <v>490</v>
      </c>
      <c r="O20" s="28" t="s">
        <v>473</v>
      </c>
      <c r="P20" s="28" t="s">
        <v>474</v>
      </c>
      <c r="Q20" s="30">
        <v>48.24</v>
      </c>
      <c r="R20" s="30">
        <f t="shared" si="2"/>
        <v>72.36</v>
      </c>
      <c r="S20" s="31">
        <v>48.24</v>
      </c>
      <c r="T20" s="28" t="s">
        <v>75</v>
      </c>
      <c r="U20" s="28" t="s">
        <v>76</v>
      </c>
      <c r="V20" s="32">
        <v>1.5</v>
      </c>
      <c r="W20" s="31">
        <v>0.0</v>
      </c>
      <c r="X20" s="31">
        <v>-72.36</v>
      </c>
      <c r="Y20" s="28"/>
      <c r="Z20" s="28"/>
      <c r="AA20" s="28"/>
      <c r="AB20" s="28"/>
      <c r="AC20" s="28"/>
      <c r="AD20" s="28"/>
      <c r="AE20" s="28"/>
      <c r="AF20" s="28"/>
      <c r="AG20" s="24"/>
      <c r="AH20" s="24"/>
    </row>
    <row r="21" ht="14.25" customHeight="1">
      <c r="A21" s="29">
        <v>928275.0</v>
      </c>
      <c r="B21" s="28" t="s">
        <v>496</v>
      </c>
      <c r="C21" s="28" t="s">
        <v>497</v>
      </c>
      <c r="D21" s="29">
        <v>8405446.0</v>
      </c>
      <c r="E21" s="28" t="s">
        <v>197</v>
      </c>
      <c r="F21" s="28" t="s">
        <v>198</v>
      </c>
      <c r="G21" s="28" t="s">
        <v>54</v>
      </c>
      <c r="H21" s="28" t="s">
        <v>200</v>
      </c>
      <c r="I21" s="28" t="s">
        <v>192</v>
      </c>
      <c r="J21" s="28" t="s">
        <v>60</v>
      </c>
      <c r="K21" s="28">
        <v>1.0</v>
      </c>
      <c r="L21" s="28">
        <f t="shared" si="1"/>
        <v>3</v>
      </c>
      <c r="M21" s="28" t="s">
        <v>467</v>
      </c>
      <c r="N21" s="28" t="s">
        <v>490</v>
      </c>
      <c r="O21" s="28" t="s">
        <v>473</v>
      </c>
      <c r="P21" s="28" t="s">
        <v>474</v>
      </c>
      <c r="Q21" s="30">
        <v>16.58</v>
      </c>
      <c r="R21" s="30">
        <f t="shared" si="2"/>
        <v>24.87</v>
      </c>
      <c r="S21" s="31">
        <v>16.58</v>
      </c>
      <c r="T21" s="28" t="s">
        <v>75</v>
      </c>
      <c r="U21" s="28" t="s">
        <v>76</v>
      </c>
      <c r="V21" s="32">
        <v>1.5</v>
      </c>
      <c r="W21" s="31">
        <v>0.0</v>
      </c>
      <c r="X21" s="31">
        <v>-24.87</v>
      </c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 ht="14.25" customHeight="1">
      <c r="A22" s="29">
        <v>907625.0</v>
      </c>
      <c r="B22" s="28" t="s">
        <v>498</v>
      </c>
      <c r="C22" s="28" t="s">
        <v>499</v>
      </c>
      <c r="D22" s="29">
        <v>1.7117649E7</v>
      </c>
      <c r="E22" s="28" t="s">
        <v>444</v>
      </c>
      <c r="F22" s="28" t="s">
        <v>445</v>
      </c>
      <c r="G22" s="28" t="s">
        <v>177</v>
      </c>
      <c r="H22" s="28" t="s">
        <v>200</v>
      </c>
      <c r="I22" s="28" t="s">
        <v>192</v>
      </c>
      <c r="J22" s="28" t="s">
        <v>60</v>
      </c>
      <c r="K22" s="28">
        <v>1.0</v>
      </c>
      <c r="L22" s="28">
        <f t="shared" si="1"/>
        <v>3</v>
      </c>
      <c r="M22" s="28" t="s">
        <v>467</v>
      </c>
      <c r="N22" s="28" t="s">
        <v>490</v>
      </c>
      <c r="O22" s="28" t="s">
        <v>500</v>
      </c>
      <c r="P22" s="28" t="s">
        <v>501</v>
      </c>
      <c r="Q22" s="30">
        <v>27.69</v>
      </c>
      <c r="R22" s="30">
        <f t="shared" si="2"/>
        <v>14.3988</v>
      </c>
      <c r="S22" s="31">
        <v>27.69</v>
      </c>
      <c r="T22" s="28" t="s">
        <v>75</v>
      </c>
      <c r="U22" s="28" t="s">
        <v>76</v>
      </c>
      <c r="V22" s="32">
        <v>0.52</v>
      </c>
      <c r="W22" s="31">
        <v>14.4</v>
      </c>
      <c r="X22" s="31">
        <v>0.0</v>
      </c>
      <c r="Y22" s="28"/>
      <c r="Z22" s="28"/>
      <c r="AA22" s="28"/>
      <c r="AB22" s="28"/>
      <c r="AC22" s="28"/>
      <c r="AD22" s="28"/>
      <c r="AE22" s="28"/>
      <c r="AF22" s="28"/>
      <c r="AG22" s="28"/>
      <c r="AH22" s="28"/>
    </row>
    <row r="23" ht="14.25" customHeight="1">
      <c r="A23" s="29">
        <v>907625.0</v>
      </c>
      <c r="B23" s="28" t="s">
        <v>498</v>
      </c>
      <c r="C23" s="28" t="s">
        <v>499</v>
      </c>
      <c r="D23" s="29">
        <v>1.7117649E7</v>
      </c>
      <c r="E23" s="28" t="s">
        <v>446</v>
      </c>
      <c r="F23" s="28" t="s">
        <v>447</v>
      </c>
      <c r="G23" s="28" t="s">
        <v>177</v>
      </c>
      <c r="H23" s="28" t="s">
        <v>200</v>
      </c>
      <c r="I23" s="28" t="s">
        <v>192</v>
      </c>
      <c r="J23" s="28" t="s">
        <v>60</v>
      </c>
      <c r="K23" s="28">
        <v>1.0</v>
      </c>
      <c r="L23" s="28">
        <f t="shared" si="1"/>
        <v>3</v>
      </c>
      <c r="M23" s="28" t="s">
        <v>467</v>
      </c>
      <c r="N23" s="28" t="s">
        <v>490</v>
      </c>
      <c r="O23" s="28" t="s">
        <v>500</v>
      </c>
      <c r="P23" s="28" t="s">
        <v>501</v>
      </c>
      <c r="Q23" s="30">
        <v>27.69</v>
      </c>
      <c r="R23" s="30">
        <f t="shared" si="2"/>
        <v>14.3988</v>
      </c>
      <c r="S23" s="31">
        <v>27.69</v>
      </c>
      <c r="T23" s="28" t="s">
        <v>75</v>
      </c>
      <c r="U23" s="28" t="s">
        <v>76</v>
      </c>
      <c r="V23" s="32">
        <v>0.52</v>
      </c>
      <c r="W23" s="31">
        <v>14.4</v>
      </c>
      <c r="X23" s="31">
        <v>0.0</v>
      </c>
      <c r="Y23" s="28"/>
      <c r="Z23" s="28"/>
      <c r="AA23" s="28"/>
      <c r="AB23" s="28"/>
      <c r="AC23" s="28"/>
      <c r="AD23" s="28"/>
      <c r="AE23" s="28"/>
      <c r="AF23" s="28"/>
      <c r="AG23" s="28"/>
      <c r="AH23" s="28"/>
    </row>
    <row r="24" ht="14.25" customHeight="1">
      <c r="A24" s="29">
        <v>684147.0</v>
      </c>
      <c r="B24" s="28" t="s">
        <v>502</v>
      </c>
      <c r="C24" s="28" t="s">
        <v>503</v>
      </c>
      <c r="D24" s="29" t="s">
        <v>504</v>
      </c>
      <c r="E24" s="28" t="s">
        <v>122</v>
      </c>
      <c r="F24" s="28" t="s">
        <v>123</v>
      </c>
      <c r="G24" s="28" t="s">
        <v>54</v>
      </c>
      <c r="H24" s="28" t="s">
        <v>124</v>
      </c>
      <c r="I24" s="28" t="s">
        <v>125</v>
      </c>
      <c r="J24" s="28" t="s">
        <v>60</v>
      </c>
      <c r="K24" s="28">
        <v>1.0</v>
      </c>
      <c r="L24" s="28">
        <f t="shared" si="1"/>
        <v>3</v>
      </c>
      <c r="M24" s="28" t="s">
        <v>467</v>
      </c>
      <c r="N24" s="28" t="s">
        <v>490</v>
      </c>
      <c r="O24" s="28" t="s">
        <v>486</v>
      </c>
      <c r="P24" s="28" t="s">
        <v>505</v>
      </c>
      <c r="Q24" s="30">
        <v>239.28</v>
      </c>
      <c r="R24" s="30">
        <f t="shared" si="2"/>
        <v>49.53096</v>
      </c>
      <c r="S24" s="31">
        <v>239.28</v>
      </c>
      <c r="T24" s="28" t="s">
        <v>75</v>
      </c>
      <c r="U24" s="28" t="s">
        <v>76</v>
      </c>
      <c r="V24" s="32">
        <v>0.207</v>
      </c>
      <c r="W24" s="31">
        <v>49.53</v>
      </c>
      <c r="X24" s="31">
        <v>0.0</v>
      </c>
      <c r="Y24" s="28"/>
      <c r="Z24" s="28"/>
      <c r="AA24" s="28"/>
      <c r="AB24" s="28"/>
      <c r="AC24" s="28"/>
      <c r="AD24" s="28"/>
      <c r="AE24" s="28"/>
      <c r="AF24" s="28"/>
      <c r="AG24" s="28"/>
      <c r="AH24" s="28"/>
    </row>
    <row r="25" ht="14.25" customHeight="1">
      <c r="A25" s="29">
        <v>938286.0</v>
      </c>
      <c r="B25" s="28" t="s">
        <v>506</v>
      </c>
      <c r="C25" s="28" t="s">
        <v>507</v>
      </c>
      <c r="D25" s="29">
        <v>1.9681796E7</v>
      </c>
      <c r="E25" s="28" t="s">
        <v>432</v>
      </c>
      <c r="F25" s="28" t="s">
        <v>433</v>
      </c>
      <c r="G25" s="28" t="s">
        <v>54</v>
      </c>
      <c r="H25" s="28" t="s">
        <v>135</v>
      </c>
      <c r="I25" s="28" t="s">
        <v>58</v>
      </c>
      <c r="J25" s="28" t="s">
        <v>60</v>
      </c>
      <c r="K25" s="28">
        <v>1.0</v>
      </c>
      <c r="L25" s="28">
        <f t="shared" si="1"/>
        <v>4</v>
      </c>
      <c r="M25" s="28" t="s">
        <v>467</v>
      </c>
      <c r="N25" s="28" t="s">
        <v>490</v>
      </c>
      <c r="O25" s="28" t="s">
        <v>508</v>
      </c>
      <c r="P25" s="28" t="s">
        <v>501</v>
      </c>
      <c r="Q25" s="30">
        <v>72.33</v>
      </c>
      <c r="R25" s="30">
        <f t="shared" si="2"/>
        <v>37.6116</v>
      </c>
      <c r="S25" s="31">
        <v>72.33</v>
      </c>
      <c r="T25" s="28" t="s">
        <v>75</v>
      </c>
      <c r="U25" s="28" t="s">
        <v>76</v>
      </c>
      <c r="V25" s="32">
        <v>0.52</v>
      </c>
      <c r="W25" s="31">
        <v>37.61</v>
      </c>
      <c r="X25" s="31">
        <v>0.0</v>
      </c>
      <c r="Y25" s="28"/>
      <c r="Z25" s="28"/>
      <c r="AA25" s="28"/>
      <c r="AB25" s="28"/>
      <c r="AC25" s="28"/>
      <c r="AD25" s="28"/>
      <c r="AE25" s="28"/>
      <c r="AF25" s="28"/>
      <c r="AG25" s="28"/>
      <c r="AH25" s="28"/>
    </row>
    <row r="26" ht="14.25" customHeight="1">
      <c r="A26" s="29">
        <v>1093252.0</v>
      </c>
      <c r="B26" s="28" t="s">
        <v>509</v>
      </c>
      <c r="C26" s="28" t="s">
        <v>510</v>
      </c>
      <c r="D26" s="29" t="s">
        <v>511</v>
      </c>
      <c r="E26" s="28" t="s">
        <v>440</v>
      </c>
      <c r="F26" s="28" t="s">
        <v>441</v>
      </c>
      <c r="G26" s="28" t="s">
        <v>54</v>
      </c>
      <c r="H26" s="28" t="s">
        <v>442</v>
      </c>
      <c r="I26" s="28" t="s">
        <v>58</v>
      </c>
      <c r="J26" s="28" t="s">
        <v>60</v>
      </c>
      <c r="K26" s="28">
        <v>1.0</v>
      </c>
      <c r="L26" s="28">
        <f t="shared" si="1"/>
        <v>6</v>
      </c>
      <c r="M26" s="28" t="s">
        <v>467</v>
      </c>
      <c r="N26" s="28" t="s">
        <v>490</v>
      </c>
      <c r="O26" s="28" t="s">
        <v>508</v>
      </c>
      <c r="P26" s="28" t="s">
        <v>501</v>
      </c>
      <c r="Q26" s="30">
        <v>72.33</v>
      </c>
      <c r="R26" s="30">
        <f t="shared" si="2"/>
        <v>37.6116</v>
      </c>
      <c r="S26" s="31">
        <v>72.33</v>
      </c>
      <c r="T26" s="28" t="s">
        <v>75</v>
      </c>
      <c r="U26" s="28" t="s">
        <v>76</v>
      </c>
      <c r="V26" s="32">
        <v>0.52</v>
      </c>
      <c r="W26" s="31">
        <v>37.61</v>
      </c>
      <c r="X26" s="31">
        <v>0.0</v>
      </c>
      <c r="Y26" s="28"/>
      <c r="Z26" s="28"/>
      <c r="AA26" s="28"/>
      <c r="AB26" s="28"/>
      <c r="AC26" s="28"/>
      <c r="AD26" s="28"/>
      <c r="AE26" s="28"/>
      <c r="AF26" s="28"/>
      <c r="AG26" s="1"/>
      <c r="AH26" s="1"/>
    </row>
    <row r="27" ht="14.25" customHeight="1">
      <c r="A27" s="29">
        <v>1093252.0</v>
      </c>
      <c r="B27" s="28" t="s">
        <v>509</v>
      </c>
      <c r="C27" s="28" t="s">
        <v>510</v>
      </c>
      <c r="D27" s="29" t="s">
        <v>511</v>
      </c>
      <c r="E27" s="28" t="s">
        <v>438</v>
      </c>
      <c r="F27" s="28" t="s">
        <v>439</v>
      </c>
      <c r="G27" s="28" t="s">
        <v>54</v>
      </c>
      <c r="H27" s="28" t="s">
        <v>429</v>
      </c>
      <c r="I27" s="28" t="s">
        <v>58</v>
      </c>
      <c r="J27" s="28" t="s">
        <v>60</v>
      </c>
      <c r="K27" s="28">
        <v>1.0</v>
      </c>
      <c r="L27" s="28">
        <f t="shared" si="1"/>
        <v>8</v>
      </c>
      <c r="M27" s="28" t="s">
        <v>467</v>
      </c>
      <c r="N27" s="28" t="s">
        <v>490</v>
      </c>
      <c r="O27" s="28" t="s">
        <v>512</v>
      </c>
      <c r="P27" s="28" t="s">
        <v>501</v>
      </c>
      <c r="Q27" s="30">
        <v>63.16</v>
      </c>
      <c r="R27" s="30">
        <f t="shared" si="2"/>
        <v>32.8432</v>
      </c>
      <c r="S27" s="31">
        <v>63.16</v>
      </c>
      <c r="T27" s="28" t="s">
        <v>75</v>
      </c>
      <c r="U27" s="28" t="s">
        <v>76</v>
      </c>
      <c r="V27" s="32">
        <v>0.52</v>
      </c>
      <c r="W27" s="31">
        <v>32.84</v>
      </c>
      <c r="X27" s="31">
        <v>0.0</v>
      </c>
      <c r="Y27" s="28"/>
      <c r="Z27" s="28"/>
      <c r="AA27" s="28"/>
      <c r="AB27" s="28"/>
      <c r="AC27" s="28"/>
      <c r="AD27" s="28"/>
      <c r="AE27" s="28"/>
      <c r="AF27" s="28"/>
      <c r="AG27" s="24"/>
      <c r="AH27" s="24"/>
    </row>
    <row r="28" ht="14.25" customHeight="1">
      <c r="A28" s="29">
        <v>468247.0</v>
      </c>
      <c r="B28" s="28" t="s">
        <v>513</v>
      </c>
      <c r="C28" s="28" t="s">
        <v>514</v>
      </c>
      <c r="D28" s="29">
        <v>8244481.0</v>
      </c>
      <c r="E28" s="28" t="s">
        <v>272</v>
      </c>
      <c r="F28" s="28" t="s">
        <v>273</v>
      </c>
      <c r="G28" s="28" t="s">
        <v>54</v>
      </c>
      <c r="H28" s="28" t="s">
        <v>275</v>
      </c>
      <c r="I28" s="28" t="s">
        <v>270</v>
      </c>
      <c r="J28" s="28" t="s">
        <v>60</v>
      </c>
      <c r="K28" s="28">
        <v>1.0</v>
      </c>
      <c r="L28" s="28">
        <f t="shared" si="1"/>
        <v>9</v>
      </c>
      <c r="M28" s="28" t="s">
        <v>467</v>
      </c>
      <c r="N28" s="28" t="s">
        <v>468</v>
      </c>
      <c r="O28" s="28" t="s">
        <v>515</v>
      </c>
      <c r="P28" s="28" t="s">
        <v>515</v>
      </c>
      <c r="Q28" s="30">
        <v>19.04</v>
      </c>
      <c r="R28" s="30">
        <f t="shared" si="2"/>
        <v>21.896</v>
      </c>
      <c r="S28" s="31">
        <v>19.04</v>
      </c>
      <c r="T28" s="28" t="s">
        <v>75</v>
      </c>
      <c r="U28" s="28" t="s">
        <v>76</v>
      </c>
      <c r="V28" s="32">
        <v>1.15</v>
      </c>
      <c r="W28" s="31">
        <v>0.0</v>
      </c>
      <c r="X28" s="31">
        <v>-21.9</v>
      </c>
      <c r="Y28" s="28"/>
      <c r="Z28" s="28"/>
      <c r="AA28" s="28"/>
      <c r="AB28" s="28"/>
      <c r="AC28" s="28"/>
      <c r="AD28" s="28"/>
      <c r="AE28" s="28"/>
      <c r="AF28" s="28"/>
      <c r="AG28" s="28"/>
      <c r="AH28" s="28"/>
    </row>
    <row r="29" ht="14.25" customHeight="1">
      <c r="A29" s="29">
        <v>468247.0</v>
      </c>
      <c r="B29" s="28" t="s">
        <v>513</v>
      </c>
      <c r="C29" s="28" t="s">
        <v>514</v>
      </c>
      <c r="D29" s="29">
        <v>8244481.0</v>
      </c>
      <c r="E29" s="28" t="s">
        <v>276</v>
      </c>
      <c r="F29" s="28" t="s">
        <v>277</v>
      </c>
      <c r="G29" s="28" t="s">
        <v>54</v>
      </c>
      <c r="H29" s="28" t="s">
        <v>278</v>
      </c>
      <c r="I29" s="28" t="s">
        <v>279</v>
      </c>
      <c r="J29" s="28" t="s">
        <v>60</v>
      </c>
      <c r="K29" s="28">
        <v>1.0</v>
      </c>
      <c r="L29" s="28">
        <f t="shared" si="1"/>
        <v>9</v>
      </c>
      <c r="M29" s="28" t="s">
        <v>467</v>
      </c>
      <c r="N29" s="28" t="s">
        <v>468</v>
      </c>
      <c r="O29" s="28" t="s">
        <v>515</v>
      </c>
      <c r="P29" s="28" t="s">
        <v>515</v>
      </c>
      <c r="Q29" s="30">
        <v>19.04</v>
      </c>
      <c r="R29" s="30">
        <f t="shared" si="2"/>
        <v>21.896</v>
      </c>
      <c r="S29" s="31">
        <v>19.04</v>
      </c>
      <c r="T29" s="28" t="s">
        <v>75</v>
      </c>
      <c r="U29" s="28" t="s">
        <v>76</v>
      </c>
      <c r="V29" s="32">
        <v>1.15</v>
      </c>
      <c r="W29" s="31">
        <v>0.0</v>
      </c>
      <c r="X29" s="31">
        <v>-21.9</v>
      </c>
      <c r="Y29" s="28"/>
      <c r="Z29" s="28"/>
      <c r="AA29" s="28"/>
      <c r="AB29" s="28"/>
      <c r="AC29" s="28"/>
      <c r="AD29" s="28"/>
      <c r="AE29" s="28"/>
      <c r="AF29" s="28"/>
      <c r="AG29" s="28"/>
      <c r="AH29" s="28"/>
    </row>
    <row r="30" ht="14.25" customHeight="1">
      <c r="A30" s="29">
        <v>1227344.0</v>
      </c>
      <c r="B30" s="28" t="s">
        <v>482</v>
      </c>
      <c r="C30" s="28" t="s">
        <v>491</v>
      </c>
      <c r="D30" s="29">
        <v>2.1561165E7</v>
      </c>
      <c r="E30" s="28" t="s">
        <v>237</v>
      </c>
      <c r="F30" s="28" t="s">
        <v>238</v>
      </c>
      <c r="G30" s="28" t="s">
        <v>149</v>
      </c>
      <c r="H30" s="28" t="s">
        <v>240</v>
      </c>
      <c r="I30" s="28" t="s">
        <v>241</v>
      </c>
      <c r="J30" s="28" t="s">
        <v>60</v>
      </c>
      <c r="K30" s="28">
        <v>1.0</v>
      </c>
      <c r="L30" s="28">
        <f t="shared" si="1"/>
        <v>9</v>
      </c>
      <c r="M30" s="28" t="s">
        <v>467</v>
      </c>
      <c r="N30" s="28" t="s">
        <v>468</v>
      </c>
      <c r="O30" s="28" t="s">
        <v>473</v>
      </c>
      <c r="P30" s="28" t="s">
        <v>474</v>
      </c>
      <c r="Q30" s="30">
        <v>19.69</v>
      </c>
      <c r="R30" s="30">
        <f t="shared" si="2"/>
        <v>29.535</v>
      </c>
      <c r="S30" s="31">
        <v>19.69</v>
      </c>
      <c r="T30" s="28" t="s">
        <v>75</v>
      </c>
      <c r="U30" s="28" t="s">
        <v>76</v>
      </c>
      <c r="V30" s="32">
        <v>1.5</v>
      </c>
      <c r="W30" s="31">
        <v>0.0</v>
      </c>
      <c r="X30" s="31">
        <v>-29.54</v>
      </c>
      <c r="Y30" s="28"/>
      <c r="Z30" s="28"/>
      <c r="AA30" s="28"/>
      <c r="AB30" s="28"/>
      <c r="AC30" s="28"/>
      <c r="AD30" s="28"/>
      <c r="AE30" s="28"/>
      <c r="AF30" s="28"/>
      <c r="AG30" s="28"/>
      <c r="AH30" s="28"/>
    </row>
    <row r="31" ht="14.25" customHeight="1">
      <c r="A31" s="29">
        <v>1093252.0</v>
      </c>
      <c r="B31" s="28" t="s">
        <v>509</v>
      </c>
      <c r="C31" s="28" t="s">
        <v>510</v>
      </c>
      <c r="D31" s="29" t="s">
        <v>511</v>
      </c>
      <c r="E31" s="28" t="s">
        <v>435</v>
      </c>
      <c r="F31" s="28" t="s">
        <v>436</v>
      </c>
      <c r="G31" s="28" t="s">
        <v>54</v>
      </c>
      <c r="H31" s="28" t="s">
        <v>437</v>
      </c>
      <c r="I31" s="28" t="s">
        <v>58</v>
      </c>
      <c r="J31" s="28" t="s">
        <v>60</v>
      </c>
      <c r="K31" s="28">
        <v>1.0</v>
      </c>
      <c r="L31" s="28">
        <f t="shared" si="1"/>
        <v>9</v>
      </c>
      <c r="M31" s="28" t="s">
        <v>467</v>
      </c>
      <c r="N31" s="28" t="s">
        <v>490</v>
      </c>
      <c r="O31" s="28" t="s">
        <v>516</v>
      </c>
      <c r="P31" s="28" t="s">
        <v>501</v>
      </c>
      <c r="Q31" s="30">
        <v>79.28</v>
      </c>
      <c r="R31" s="30">
        <f t="shared" si="2"/>
        <v>41.2256</v>
      </c>
      <c r="S31" s="31">
        <v>79.28</v>
      </c>
      <c r="T31" s="28" t="s">
        <v>75</v>
      </c>
      <c r="U31" s="28" t="s">
        <v>76</v>
      </c>
      <c r="V31" s="32">
        <v>0.52</v>
      </c>
      <c r="W31" s="31">
        <v>41.23</v>
      </c>
      <c r="X31" s="31">
        <v>0.0</v>
      </c>
      <c r="Y31" s="28"/>
      <c r="Z31" s="28"/>
      <c r="AA31" s="28"/>
      <c r="AB31" s="28"/>
      <c r="AC31" s="28"/>
      <c r="AD31" s="28"/>
      <c r="AE31" s="28"/>
      <c r="AF31" s="28"/>
      <c r="AG31" s="24"/>
      <c r="AH31" s="24"/>
    </row>
    <row r="32" ht="14.25" customHeight="1">
      <c r="A32" s="29">
        <v>257168.0</v>
      </c>
      <c r="B32" s="28" t="s">
        <v>494</v>
      </c>
      <c r="C32" s="28" t="s">
        <v>495</v>
      </c>
      <c r="D32" s="29" t="s">
        <v>517</v>
      </c>
      <c r="E32" s="28" t="s">
        <v>259</v>
      </c>
      <c r="F32" s="28" t="s">
        <v>260</v>
      </c>
      <c r="G32" s="28" t="s">
        <v>261</v>
      </c>
      <c r="H32" s="28" t="s">
        <v>262</v>
      </c>
      <c r="I32" s="28" t="s">
        <v>58</v>
      </c>
      <c r="J32" s="28" t="s">
        <v>60</v>
      </c>
      <c r="K32" s="28">
        <v>1.0</v>
      </c>
      <c r="L32" s="28">
        <f t="shared" si="1"/>
        <v>11</v>
      </c>
      <c r="M32" s="28" t="s">
        <v>467</v>
      </c>
      <c r="N32" s="28" t="s">
        <v>468</v>
      </c>
      <c r="O32" s="28" t="s">
        <v>492</v>
      </c>
      <c r="P32" s="28" t="s">
        <v>518</v>
      </c>
      <c r="Q32" s="30">
        <v>106.21</v>
      </c>
      <c r="R32" s="30">
        <f t="shared" si="2"/>
        <v>100.8995</v>
      </c>
      <c r="S32" s="31">
        <v>106.21</v>
      </c>
      <c r="T32" s="28" t="s">
        <v>75</v>
      </c>
      <c r="U32" s="28" t="s">
        <v>76</v>
      </c>
      <c r="V32" s="32">
        <v>0.95</v>
      </c>
      <c r="W32" s="31">
        <v>100.9</v>
      </c>
      <c r="X32" s="31">
        <v>0.0</v>
      </c>
      <c r="Y32" s="28"/>
      <c r="Z32" s="28"/>
      <c r="AA32" s="28"/>
      <c r="AB32" s="28"/>
      <c r="AC32" s="28"/>
      <c r="AD32" s="28"/>
      <c r="AE32" s="28"/>
      <c r="AF32" s="28"/>
      <c r="AG32" s="1"/>
      <c r="AH32" s="1"/>
    </row>
    <row r="33" ht="14.25" customHeight="1">
      <c r="A33" s="29">
        <v>891923.0</v>
      </c>
      <c r="B33" s="28" t="s">
        <v>519</v>
      </c>
      <c r="C33" s="28" t="s">
        <v>520</v>
      </c>
      <c r="D33" s="29">
        <v>1.9200754E7</v>
      </c>
      <c r="E33" s="28" t="s">
        <v>72</v>
      </c>
      <c r="F33" s="28" t="s">
        <v>73</v>
      </c>
      <c r="G33" s="28" t="s">
        <v>54</v>
      </c>
      <c r="H33" s="28" t="s">
        <v>74</v>
      </c>
      <c r="I33" s="28" t="s">
        <v>58</v>
      </c>
      <c r="J33" s="28" t="s">
        <v>60</v>
      </c>
      <c r="K33" s="28">
        <v>1.0</v>
      </c>
      <c r="L33" s="28">
        <f t="shared" si="1"/>
        <v>12</v>
      </c>
      <c r="M33" s="28" t="s">
        <v>467</v>
      </c>
      <c r="N33" s="28" t="s">
        <v>468</v>
      </c>
      <c r="O33" s="28" t="s">
        <v>486</v>
      </c>
      <c r="P33" s="28" t="s">
        <v>487</v>
      </c>
      <c r="Q33" s="30">
        <v>162.27</v>
      </c>
      <c r="R33" s="30">
        <f t="shared" si="2"/>
        <v>37.3221</v>
      </c>
      <c r="S33" s="31">
        <v>162.27</v>
      </c>
      <c r="T33" s="28" t="s">
        <v>75</v>
      </c>
      <c r="U33" s="28" t="s">
        <v>76</v>
      </c>
      <c r="V33" s="32">
        <v>0.23</v>
      </c>
      <c r="W33" s="31">
        <v>37.32</v>
      </c>
      <c r="X33" s="31">
        <v>0.0</v>
      </c>
      <c r="Y33" s="28"/>
      <c r="Z33" s="28"/>
      <c r="AA33" s="28"/>
      <c r="AB33" s="28"/>
      <c r="AC33" s="28"/>
      <c r="AD33" s="28"/>
      <c r="AE33" s="28"/>
      <c r="AF33" s="28"/>
      <c r="AG33" s="24"/>
      <c r="AH33" s="24"/>
    </row>
    <row r="34" ht="14.25" customHeight="1">
      <c r="A34" s="29">
        <v>1174646.0</v>
      </c>
      <c r="B34" s="28" t="s">
        <v>521</v>
      </c>
      <c r="C34" s="28" t="s">
        <v>522</v>
      </c>
      <c r="D34" s="29">
        <v>1.8828278E7</v>
      </c>
      <c r="E34" s="28" t="s">
        <v>66</v>
      </c>
      <c r="F34" s="28" t="s">
        <v>67</v>
      </c>
      <c r="G34" s="28" t="s">
        <v>54</v>
      </c>
      <c r="H34" s="28" t="s">
        <v>68</v>
      </c>
      <c r="I34" s="28" t="s">
        <v>58</v>
      </c>
      <c r="J34" s="28" t="s">
        <v>60</v>
      </c>
      <c r="K34" s="28">
        <v>1.0</v>
      </c>
      <c r="L34" s="28">
        <f t="shared" si="1"/>
        <v>13</v>
      </c>
      <c r="M34" s="28" t="s">
        <v>467</v>
      </c>
      <c r="N34" s="28" t="s">
        <v>468</v>
      </c>
      <c r="O34" s="28" t="s">
        <v>486</v>
      </c>
      <c r="P34" s="28" t="s">
        <v>487</v>
      </c>
      <c r="Q34" s="30">
        <v>159.41</v>
      </c>
      <c r="R34" s="30">
        <f t="shared" si="2"/>
        <v>36.6643</v>
      </c>
      <c r="S34" s="31">
        <v>113.86</v>
      </c>
      <c r="T34" s="28" t="s">
        <v>63</v>
      </c>
      <c r="U34" s="28" t="s">
        <v>64</v>
      </c>
      <c r="V34" s="32">
        <v>0.23</v>
      </c>
      <c r="W34" s="31">
        <v>26.19</v>
      </c>
      <c r="X34" s="31">
        <v>0.0</v>
      </c>
      <c r="Y34" s="28"/>
      <c r="Z34" s="28"/>
      <c r="AA34" s="28"/>
      <c r="AB34" s="28"/>
      <c r="AC34" s="28"/>
      <c r="AD34" s="28"/>
      <c r="AE34" s="28"/>
      <c r="AF34" s="28"/>
      <c r="AG34" s="24"/>
      <c r="AH34" s="24"/>
    </row>
    <row r="35" ht="14.25" customHeight="1">
      <c r="A35" s="29">
        <v>513364.0</v>
      </c>
      <c r="B35" s="28" t="s">
        <v>523</v>
      </c>
      <c r="C35" s="28" t="s">
        <v>524</v>
      </c>
      <c r="D35" s="29">
        <v>8325282.0</v>
      </c>
      <c r="E35" s="28" t="s">
        <v>419</v>
      </c>
      <c r="F35" s="28" t="s">
        <v>420</v>
      </c>
      <c r="G35" s="28" t="s">
        <v>54</v>
      </c>
      <c r="H35" s="28" t="s">
        <v>421</v>
      </c>
      <c r="I35" s="28" t="s">
        <v>221</v>
      </c>
      <c r="J35" s="28" t="s">
        <v>60</v>
      </c>
      <c r="K35" s="28">
        <v>1.0</v>
      </c>
      <c r="L35" s="28">
        <f t="shared" si="1"/>
        <v>14</v>
      </c>
      <c r="M35" s="28" t="s">
        <v>467</v>
      </c>
      <c r="N35" s="28" t="s">
        <v>468</v>
      </c>
      <c r="O35" s="28" t="s">
        <v>500</v>
      </c>
      <c r="P35" s="28" t="s">
        <v>501</v>
      </c>
      <c r="Q35" s="30">
        <v>36.08</v>
      </c>
      <c r="R35" s="30">
        <f t="shared" si="2"/>
        <v>1.0824</v>
      </c>
      <c r="S35" s="31">
        <v>36.08</v>
      </c>
      <c r="T35" s="28" t="s">
        <v>63</v>
      </c>
      <c r="U35" s="28" t="s">
        <v>64</v>
      </c>
      <c r="V35" s="32">
        <v>0.03</v>
      </c>
      <c r="W35" s="31">
        <v>1.08</v>
      </c>
      <c r="X35" s="31">
        <v>0.0</v>
      </c>
      <c r="Y35" s="28"/>
      <c r="Z35" s="28"/>
      <c r="AA35" s="28"/>
      <c r="AB35" s="28"/>
      <c r="AC35" s="28"/>
      <c r="AD35" s="28"/>
      <c r="AE35" s="28"/>
      <c r="AF35" s="28"/>
      <c r="AG35" s="24"/>
      <c r="AH35" s="24"/>
    </row>
    <row r="36" ht="14.25" customHeight="1">
      <c r="A36" s="29">
        <v>513364.0</v>
      </c>
      <c r="B36" s="28" t="s">
        <v>523</v>
      </c>
      <c r="C36" s="28" t="s">
        <v>524</v>
      </c>
      <c r="D36" s="29">
        <v>8325282.0</v>
      </c>
      <c r="E36" s="28" t="s">
        <v>422</v>
      </c>
      <c r="F36" s="28" t="s">
        <v>423</v>
      </c>
      <c r="G36" s="28" t="s">
        <v>54</v>
      </c>
      <c r="H36" s="28" t="s">
        <v>421</v>
      </c>
      <c r="I36" s="28" t="s">
        <v>221</v>
      </c>
      <c r="J36" s="28" t="s">
        <v>60</v>
      </c>
      <c r="K36" s="28">
        <v>1.0</v>
      </c>
      <c r="L36" s="28">
        <f t="shared" si="1"/>
        <v>14</v>
      </c>
      <c r="M36" s="28" t="s">
        <v>467</v>
      </c>
      <c r="N36" s="28" t="s">
        <v>468</v>
      </c>
      <c r="O36" s="28" t="s">
        <v>500</v>
      </c>
      <c r="P36" s="28" t="s">
        <v>501</v>
      </c>
      <c r="Q36" s="30">
        <v>36.08</v>
      </c>
      <c r="R36" s="30">
        <f t="shared" si="2"/>
        <v>1.0824</v>
      </c>
      <c r="S36" s="31">
        <v>36.08</v>
      </c>
      <c r="T36" s="28" t="s">
        <v>63</v>
      </c>
      <c r="U36" s="28" t="s">
        <v>64</v>
      </c>
      <c r="V36" s="32">
        <v>0.03</v>
      </c>
      <c r="W36" s="31">
        <v>1.08</v>
      </c>
      <c r="X36" s="31">
        <v>0.0</v>
      </c>
      <c r="Y36" s="28"/>
      <c r="Z36" s="28"/>
      <c r="AA36" s="28"/>
      <c r="AB36" s="28"/>
      <c r="AC36" s="28"/>
      <c r="AD36" s="28"/>
      <c r="AE36" s="28"/>
      <c r="AF36" s="28"/>
      <c r="AG36" s="24"/>
      <c r="AH36" s="24"/>
    </row>
    <row r="37" ht="14.25" customHeight="1">
      <c r="A37" s="29">
        <v>938286.0</v>
      </c>
      <c r="B37" s="28" t="s">
        <v>506</v>
      </c>
      <c r="C37" s="28" t="s">
        <v>507</v>
      </c>
      <c r="D37" s="29">
        <v>1.9681796E7</v>
      </c>
      <c r="E37" s="28" t="s">
        <v>403</v>
      </c>
      <c r="F37" s="28" t="s">
        <v>404</v>
      </c>
      <c r="G37" s="28" t="s">
        <v>54</v>
      </c>
      <c r="H37" s="28" t="s">
        <v>406</v>
      </c>
      <c r="I37" s="28" t="s">
        <v>407</v>
      </c>
      <c r="J37" s="28" t="s">
        <v>60</v>
      </c>
      <c r="K37" s="28">
        <v>1.0</v>
      </c>
      <c r="L37" s="28">
        <f t="shared" si="1"/>
        <v>14</v>
      </c>
      <c r="M37" s="28" t="s">
        <v>467</v>
      </c>
      <c r="N37" s="28" t="s">
        <v>468</v>
      </c>
      <c r="O37" s="28" t="s">
        <v>516</v>
      </c>
      <c r="P37" s="28" t="s">
        <v>501</v>
      </c>
      <c r="Q37" s="30">
        <v>73.55</v>
      </c>
      <c r="R37" s="30">
        <f t="shared" si="2"/>
        <v>2.2065</v>
      </c>
      <c r="S37" s="31">
        <v>81.28</v>
      </c>
      <c r="T37" s="28" t="s">
        <v>63</v>
      </c>
      <c r="U37" s="28" t="s">
        <v>64</v>
      </c>
      <c r="V37" s="32">
        <v>0.03</v>
      </c>
      <c r="W37" s="31">
        <v>2.44</v>
      </c>
      <c r="X37" s="31">
        <v>0.0</v>
      </c>
      <c r="Y37" s="28"/>
      <c r="Z37" s="28"/>
      <c r="AA37" s="28"/>
      <c r="AB37" s="28"/>
      <c r="AC37" s="28"/>
      <c r="AD37" s="28"/>
      <c r="AE37" s="28"/>
      <c r="AF37" s="28"/>
      <c r="AG37" s="24"/>
      <c r="AH37" s="24"/>
    </row>
    <row r="38" ht="14.25" customHeight="1">
      <c r="A38" s="29">
        <v>1174646.0</v>
      </c>
      <c r="B38" s="28" t="s">
        <v>521</v>
      </c>
      <c r="C38" s="28" t="s">
        <v>522</v>
      </c>
      <c r="D38" s="29">
        <v>1.8828278E7</v>
      </c>
      <c r="E38" s="28" t="s">
        <v>91</v>
      </c>
      <c r="F38" s="28" t="s">
        <v>92</v>
      </c>
      <c r="G38" s="28" t="s">
        <v>54</v>
      </c>
      <c r="H38" s="28" t="s">
        <v>57</v>
      </c>
      <c r="I38" s="28" t="s">
        <v>58</v>
      </c>
      <c r="J38" s="28" t="s">
        <v>60</v>
      </c>
      <c r="K38" s="28">
        <v>1.0</v>
      </c>
      <c r="L38" s="28">
        <f t="shared" si="1"/>
        <v>14</v>
      </c>
      <c r="M38" s="28" t="s">
        <v>467</v>
      </c>
      <c r="N38" s="28" t="s">
        <v>468</v>
      </c>
      <c r="O38" s="28" t="s">
        <v>486</v>
      </c>
      <c r="P38" s="28" t="s">
        <v>487</v>
      </c>
      <c r="Q38" s="30">
        <v>159.41</v>
      </c>
      <c r="R38" s="30">
        <f t="shared" si="2"/>
        <v>36.6643</v>
      </c>
      <c r="S38" s="31">
        <v>113.86</v>
      </c>
      <c r="T38" s="28" t="s">
        <v>63</v>
      </c>
      <c r="U38" s="28" t="s">
        <v>64</v>
      </c>
      <c r="V38" s="32">
        <v>0.23</v>
      </c>
      <c r="W38" s="31">
        <v>26.19</v>
      </c>
      <c r="X38" s="31">
        <v>0.0</v>
      </c>
      <c r="Y38" s="28"/>
      <c r="Z38" s="28"/>
      <c r="AA38" s="28"/>
      <c r="AB38" s="28"/>
      <c r="AC38" s="28"/>
      <c r="AD38" s="28"/>
      <c r="AE38" s="28"/>
      <c r="AF38" s="28"/>
      <c r="AG38" s="24"/>
      <c r="AH38" s="24"/>
    </row>
    <row r="39" ht="14.25" customHeight="1">
      <c r="A39" s="29">
        <v>1174646.0</v>
      </c>
      <c r="B39" s="28" t="s">
        <v>521</v>
      </c>
      <c r="C39" s="28" t="s">
        <v>522</v>
      </c>
      <c r="D39" s="29">
        <v>1.8828278E7</v>
      </c>
      <c r="E39" s="28" t="s">
        <v>95</v>
      </c>
      <c r="F39" s="28" t="s">
        <v>96</v>
      </c>
      <c r="G39" s="28" t="s">
        <v>54</v>
      </c>
      <c r="H39" s="28" t="s">
        <v>57</v>
      </c>
      <c r="I39" s="28" t="s">
        <v>58</v>
      </c>
      <c r="J39" s="28" t="s">
        <v>60</v>
      </c>
      <c r="K39" s="28">
        <v>1.0</v>
      </c>
      <c r="L39" s="28">
        <f t="shared" si="1"/>
        <v>14</v>
      </c>
      <c r="M39" s="28" t="s">
        <v>467</v>
      </c>
      <c r="N39" s="28" t="s">
        <v>468</v>
      </c>
      <c r="O39" s="28" t="s">
        <v>486</v>
      </c>
      <c r="P39" s="28" t="s">
        <v>487</v>
      </c>
      <c r="Q39" s="30">
        <v>165.47</v>
      </c>
      <c r="R39" s="30">
        <f t="shared" si="2"/>
        <v>38.0581</v>
      </c>
      <c r="S39" s="31">
        <v>116.03</v>
      </c>
      <c r="T39" s="28" t="s">
        <v>63</v>
      </c>
      <c r="U39" s="28" t="s">
        <v>64</v>
      </c>
      <c r="V39" s="32">
        <v>0.23</v>
      </c>
      <c r="W39" s="31">
        <v>26.69</v>
      </c>
      <c r="X39" s="31">
        <v>0.0</v>
      </c>
      <c r="Y39" s="28"/>
      <c r="Z39" s="28"/>
      <c r="AA39" s="28"/>
      <c r="AB39" s="28"/>
      <c r="AC39" s="28"/>
      <c r="AD39" s="28"/>
      <c r="AE39" s="28"/>
      <c r="AF39" s="28"/>
      <c r="AG39" s="1"/>
      <c r="AH39" s="1"/>
    </row>
    <row r="40" ht="14.25" customHeight="1">
      <c r="A40" s="29">
        <v>1174646.0</v>
      </c>
      <c r="B40" s="28" t="s">
        <v>521</v>
      </c>
      <c r="C40" s="28" t="s">
        <v>522</v>
      </c>
      <c r="D40" s="29">
        <v>1.8828278E7</v>
      </c>
      <c r="E40" s="28" t="s">
        <v>93</v>
      </c>
      <c r="F40" s="28" t="s">
        <v>94</v>
      </c>
      <c r="G40" s="28" t="s">
        <v>54</v>
      </c>
      <c r="H40" s="28" t="s">
        <v>57</v>
      </c>
      <c r="I40" s="28" t="s">
        <v>58</v>
      </c>
      <c r="J40" s="28" t="s">
        <v>60</v>
      </c>
      <c r="K40" s="28">
        <v>1.0</v>
      </c>
      <c r="L40" s="28">
        <f t="shared" si="1"/>
        <v>14</v>
      </c>
      <c r="M40" s="28" t="s">
        <v>467</v>
      </c>
      <c r="N40" s="28" t="s">
        <v>468</v>
      </c>
      <c r="O40" s="28" t="s">
        <v>486</v>
      </c>
      <c r="P40" s="28" t="s">
        <v>487</v>
      </c>
      <c r="Q40" s="30">
        <v>180.14</v>
      </c>
      <c r="R40" s="30">
        <f t="shared" si="2"/>
        <v>41.4322</v>
      </c>
      <c r="S40" s="31">
        <v>128.67</v>
      </c>
      <c r="T40" s="28" t="s">
        <v>63</v>
      </c>
      <c r="U40" s="28" t="s">
        <v>64</v>
      </c>
      <c r="V40" s="32">
        <v>0.23</v>
      </c>
      <c r="W40" s="31">
        <v>29.59</v>
      </c>
      <c r="X40" s="31">
        <v>0.0</v>
      </c>
      <c r="Y40" s="28"/>
      <c r="Z40" s="28"/>
      <c r="AA40" s="28"/>
      <c r="AB40" s="28"/>
      <c r="AC40" s="28"/>
      <c r="AD40" s="28"/>
      <c r="AE40" s="28"/>
      <c r="AF40" s="28"/>
      <c r="AG40" s="1"/>
      <c r="AH40" s="1"/>
    </row>
    <row r="41" ht="14.25" customHeight="1">
      <c r="A41" s="29">
        <v>1174646.0</v>
      </c>
      <c r="B41" s="28" t="s">
        <v>521</v>
      </c>
      <c r="C41" s="28" t="s">
        <v>522</v>
      </c>
      <c r="D41" s="29">
        <v>1.8828278E7</v>
      </c>
      <c r="E41" s="28" t="s">
        <v>111</v>
      </c>
      <c r="F41" s="28" t="s">
        <v>112</v>
      </c>
      <c r="G41" s="28" t="s">
        <v>54</v>
      </c>
      <c r="H41" s="28" t="s">
        <v>57</v>
      </c>
      <c r="I41" s="28" t="s">
        <v>58</v>
      </c>
      <c r="J41" s="28" t="s">
        <v>60</v>
      </c>
      <c r="K41" s="28">
        <v>1.0</v>
      </c>
      <c r="L41" s="28">
        <f t="shared" si="1"/>
        <v>14</v>
      </c>
      <c r="M41" s="28" t="s">
        <v>467</v>
      </c>
      <c r="N41" s="28" t="s">
        <v>468</v>
      </c>
      <c r="O41" s="28" t="s">
        <v>486</v>
      </c>
      <c r="P41" s="28" t="s">
        <v>487</v>
      </c>
      <c r="Q41" s="30">
        <v>180.14</v>
      </c>
      <c r="R41" s="30">
        <f t="shared" si="2"/>
        <v>41.4322</v>
      </c>
      <c r="S41" s="31">
        <v>128.67</v>
      </c>
      <c r="T41" s="28" t="s">
        <v>63</v>
      </c>
      <c r="U41" s="28" t="s">
        <v>64</v>
      </c>
      <c r="V41" s="32">
        <v>0.23</v>
      </c>
      <c r="W41" s="31">
        <v>29.59</v>
      </c>
      <c r="X41" s="31">
        <v>0.0</v>
      </c>
      <c r="Y41" s="28"/>
      <c r="Z41" s="28"/>
      <c r="AA41" s="28"/>
      <c r="AB41" s="28"/>
      <c r="AC41" s="28"/>
      <c r="AD41" s="28"/>
      <c r="AE41" s="28"/>
      <c r="AF41" s="28"/>
      <c r="AG41" s="1"/>
      <c r="AH41" s="1"/>
    </row>
    <row r="42" ht="14.25" customHeight="1">
      <c r="A42" s="29">
        <v>1174646.0</v>
      </c>
      <c r="B42" s="28" t="s">
        <v>521</v>
      </c>
      <c r="C42" s="28" t="s">
        <v>522</v>
      </c>
      <c r="D42" s="29">
        <v>1.8828278E7</v>
      </c>
      <c r="E42" s="28" t="s">
        <v>52</v>
      </c>
      <c r="F42" s="28" t="s">
        <v>53</v>
      </c>
      <c r="G42" s="28" t="s">
        <v>54</v>
      </c>
      <c r="H42" s="28" t="s">
        <v>57</v>
      </c>
      <c r="I42" s="28" t="s">
        <v>58</v>
      </c>
      <c r="J42" s="28" t="s">
        <v>60</v>
      </c>
      <c r="K42" s="28">
        <v>1.0</v>
      </c>
      <c r="L42" s="28">
        <f t="shared" si="1"/>
        <v>14</v>
      </c>
      <c r="M42" s="28" t="s">
        <v>467</v>
      </c>
      <c r="N42" s="28" t="s">
        <v>468</v>
      </c>
      <c r="O42" s="28" t="s">
        <v>486</v>
      </c>
      <c r="P42" s="28" t="s">
        <v>487</v>
      </c>
      <c r="Q42" s="30">
        <v>181.15</v>
      </c>
      <c r="R42" s="30">
        <f t="shared" si="2"/>
        <v>41.6645</v>
      </c>
      <c r="S42" s="31">
        <v>129.39</v>
      </c>
      <c r="T42" s="28" t="s">
        <v>63</v>
      </c>
      <c r="U42" s="28" t="s">
        <v>64</v>
      </c>
      <c r="V42" s="32">
        <v>0.23</v>
      </c>
      <c r="W42" s="31">
        <v>29.76</v>
      </c>
      <c r="X42" s="31">
        <v>0.0</v>
      </c>
      <c r="Y42" s="28"/>
      <c r="Z42" s="28"/>
      <c r="AA42" s="28"/>
      <c r="AB42" s="28"/>
      <c r="AC42" s="28"/>
      <c r="AD42" s="28"/>
      <c r="AE42" s="28"/>
      <c r="AF42" s="28"/>
      <c r="AG42" s="1"/>
      <c r="AH42" s="1"/>
    </row>
    <row r="43" ht="14.25" customHeight="1">
      <c r="A43" s="29">
        <v>1174646.0</v>
      </c>
      <c r="B43" s="28" t="s">
        <v>521</v>
      </c>
      <c r="C43" s="28" t="s">
        <v>522</v>
      </c>
      <c r="D43" s="29">
        <v>1.8828278E7</v>
      </c>
      <c r="E43" s="28" t="s">
        <v>69</v>
      </c>
      <c r="F43" s="28" t="s">
        <v>70</v>
      </c>
      <c r="G43" s="28" t="s">
        <v>54</v>
      </c>
      <c r="H43" s="28" t="s">
        <v>57</v>
      </c>
      <c r="I43" s="28" t="s">
        <v>58</v>
      </c>
      <c r="J43" s="28" t="s">
        <v>60</v>
      </c>
      <c r="K43" s="28">
        <v>1.0</v>
      </c>
      <c r="L43" s="28">
        <f t="shared" si="1"/>
        <v>14</v>
      </c>
      <c r="M43" s="28" t="s">
        <v>467</v>
      </c>
      <c r="N43" s="28" t="s">
        <v>468</v>
      </c>
      <c r="O43" s="28" t="s">
        <v>486</v>
      </c>
      <c r="P43" s="28" t="s">
        <v>487</v>
      </c>
      <c r="Q43" s="30">
        <v>198.24</v>
      </c>
      <c r="R43" s="30">
        <f t="shared" si="2"/>
        <v>45.5952</v>
      </c>
      <c r="S43" s="31">
        <v>137.34</v>
      </c>
      <c r="T43" s="28" t="s">
        <v>63</v>
      </c>
      <c r="U43" s="28" t="s">
        <v>64</v>
      </c>
      <c r="V43" s="32">
        <v>0.23</v>
      </c>
      <c r="W43" s="31">
        <v>31.59</v>
      </c>
      <c r="X43" s="31">
        <v>0.0</v>
      </c>
      <c r="Y43" s="28"/>
      <c r="Z43" s="28"/>
      <c r="AA43" s="28"/>
      <c r="AB43" s="28"/>
      <c r="AC43" s="28"/>
      <c r="AD43" s="28"/>
      <c r="AE43" s="28"/>
      <c r="AF43" s="28"/>
      <c r="AG43" s="24"/>
      <c r="AH43" s="24"/>
    </row>
    <row r="44" ht="14.25" customHeight="1">
      <c r="A44" s="29">
        <v>1174646.0</v>
      </c>
      <c r="B44" s="28" t="s">
        <v>521</v>
      </c>
      <c r="C44" s="28" t="s">
        <v>522</v>
      </c>
      <c r="D44" s="29">
        <v>1.8828278E7</v>
      </c>
      <c r="E44" s="28" t="s">
        <v>86</v>
      </c>
      <c r="F44" s="28" t="s">
        <v>87</v>
      </c>
      <c r="G44" s="28" t="s">
        <v>54</v>
      </c>
      <c r="H44" s="28" t="s">
        <v>88</v>
      </c>
      <c r="I44" s="28" t="s">
        <v>58</v>
      </c>
      <c r="J44" s="28" t="s">
        <v>60</v>
      </c>
      <c r="K44" s="28">
        <v>1.0</v>
      </c>
      <c r="L44" s="28">
        <f t="shared" si="1"/>
        <v>15</v>
      </c>
      <c r="M44" s="28" t="s">
        <v>467</v>
      </c>
      <c r="N44" s="28" t="s">
        <v>468</v>
      </c>
      <c r="O44" s="28" t="s">
        <v>486</v>
      </c>
      <c r="P44" s="28" t="s">
        <v>487</v>
      </c>
      <c r="Q44" s="30">
        <v>168.38</v>
      </c>
      <c r="R44" s="30">
        <f t="shared" si="2"/>
        <v>38.7274</v>
      </c>
      <c r="S44" s="31">
        <v>113.86</v>
      </c>
      <c r="T44" s="28" t="s">
        <v>63</v>
      </c>
      <c r="U44" s="28" t="s">
        <v>64</v>
      </c>
      <c r="V44" s="32">
        <v>0.23</v>
      </c>
      <c r="W44" s="31">
        <v>26.19</v>
      </c>
      <c r="X44" s="31">
        <v>0.0</v>
      </c>
      <c r="Y44" s="28"/>
      <c r="Z44" s="28"/>
      <c r="AA44" s="28"/>
      <c r="AB44" s="28"/>
      <c r="AC44" s="28"/>
      <c r="AD44" s="28"/>
      <c r="AE44" s="28"/>
      <c r="AF44" s="28"/>
      <c r="AG44" s="1"/>
      <c r="AH44" s="1"/>
    </row>
    <row r="45" ht="14.25" customHeight="1">
      <c r="A45" s="29">
        <v>1174646.0</v>
      </c>
      <c r="B45" s="28" t="s">
        <v>521</v>
      </c>
      <c r="C45" s="28" t="s">
        <v>522</v>
      </c>
      <c r="D45" s="29">
        <v>1.8828278E7</v>
      </c>
      <c r="E45" s="28" t="s">
        <v>89</v>
      </c>
      <c r="F45" s="28" t="s">
        <v>90</v>
      </c>
      <c r="G45" s="28" t="s">
        <v>54</v>
      </c>
      <c r="H45" s="28" t="s">
        <v>88</v>
      </c>
      <c r="I45" s="28" t="s">
        <v>58</v>
      </c>
      <c r="J45" s="28" t="s">
        <v>60</v>
      </c>
      <c r="K45" s="28">
        <v>1.0</v>
      </c>
      <c r="L45" s="28">
        <f t="shared" si="1"/>
        <v>15</v>
      </c>
      <c r="M45" s="28" t="s">
        <v>467</v>
      </c>
      <c r="N45" s="28" t="s">
        <v>468</v>
      </c>
      <c r="O45" s="28" t="s">
        <v>486</v>
      </c>
      <c r="P45" s="28" t="s">
        <v>487</v>
      </c>
      <c r="Q45" s="30">
        <v>180.14</v>
      </c>
      <c r="R45" s="30">
        <f t="shared" si="2"/>
        <v>41.4322</v>
      </c>
      <c r="S45" s="31">
        <v>128.67</v>
      </c>
      <c r="T45" s="28" t="s">
        <v>63</v>
      </c>
      <c r="U45" s="28" t="s">
        <v>64</v>
      </c>
      <c r="V45" s="32">
        <v>0.23</v>
      </c>
      <c r="W45" s="31">
        <v>29.59</v>
      </c>
      <c r="X45" s="31">
        <v>0.0</v>
      </c>
      <c r="Y45" s="28"/>
      <c r="Z45" s="28"/>
      <c r="AA45" s="28"/>
      <c r="AB45" s="28"/>
      <c r="AC45" s="28"/>
      <c r="AD45" s="28"/>
      <c r="AE45" s="28"/>
      <c r="AF45" s="28"/>
      <c r="AG45" s="1"/>
      <c r="AH45" s="1"/>
    </row>
    <row r="46" ht="14.25" customHeight="1">
      <c r="A46" s="29">
        <v>513364.0</v>
      </c>
      <c r="B46" s="28" t="s">
        <v>523</v>
      </c>
      <c r="C46" s="28" t="s">
        <v>524</v>
      </c>
      <c r="D46" s="29">
        <v>8325282.0</v>
      </c>
      <c r="E46" s="28" t="s">
        <v>417</v>
      </c>
      <c r="F46" s="28" t="s">
        <v>418</v>
      </c>
      <c r="G46" s="28" t="s">
        <v>54</v>
      </c>
      <c r="H46" s="28" t="s">
        <v>80</v>
      </c>
      <c r="I46" s="28" t="s">
        <v>58</v>
      </c>
      <c r="J46" s="28" t="s">
        <v>60</v>
      </c>
      <c r="K46" s="28">
        <v>1.0</v>
      </c>
      <c r="L46" s="28">
        <f t="shared" si="1"/>
        <v>16</v>
      </c>
      <c r="M46" s="28" t="s">
        <v>467</v>
      </c>
      <c r="N46" s="28" t="s">
        <v>468</v>
      </c>
      <c r="O46" s="28" t="s">
        <v>500</v>
      </c>
      <c r="P46" s="28" t="s">
        <v>501</v>
      </c>
      <c r="Q46" s="30">
        <v>36.08</v>
      </c>
      <c r="R46" s="30">
        <f t="shared" si="2"/>
        <v>1.0824</v>
      </c>
      <c r="S46" s="31">
        <v>36.08</v>
      </c>
      <c r="T46" s="28" t="s">
        <v>63</v>
      </c>
      <c r="U46" s="28" t="s">
        <v>64</v>
      </c>
      <c r="V46" s="32">
        <v>0.03</v>
      </c>
      <c r="W46" s="31">
        <v>1.08</v>
      </c>
      <c r="X46" s="31">
        <v>0.0</v>
      </c>
      <c r="Y46" s="28"/>
      <c r="Z46" s="28"/>
      <c r="AA46" s="28"/>
      <c r="AB46" s="28"/>
      <c r="AC46" s="28"/>
      <c r="AD46" s="28"/>
      <c r="AE46" s="28"/>
      <c r="AF46" s="28"/>
      <c r="AG46" s="1"/>
      <c r="AH46" s="1"/>
    </row>
    <row r="47" ht="14.25" customHeight="1">
      <c r="A47" s="29">
        <v>257168.0</v>
      </c>
      <c r="B47" s="28" t="s">
        <v>494</v>
      </c>
      <c r="C47" s="28" t="s">
        <v>495</v>
      </c>
      <c r="D47" s="29" t="s">
        <v>517</v>
      </c>
      <c r="E47" s="28" t="s">
        <v>408</v>
      </c>
      <c r="F47" s="28" t="s">
        <v>409</v>
      </c>
      <c r="G47" s="28" t="s">
        <v>174</v>
      </c>
      <c r="H47" s="28" t="s">
        <v>343</v>
      </c>
      <c r="I47" s="28" t="s">
        <v>163</v>
      </c>
      <c r="J47" s="28" t="s">
        <v>60</v>
      </c>
      <c r="K47" s="28">
        <v>1.0</v>
      </c>
      <c r="L47" s="28">
        <f t="shared" si="1"/>
        <v>16</v>
      </c>
      <c r="M47" s="28" t="s">
        <v>467</v>
      </c>
      <c r="N47" s="28" t="s">
        <v>468</v>
      </c>
      <c r="O47" s="28" t="s">
        <v>512</v>
      </c>
      <c r="P47" s="28" t="s">
        <v>501</v>
      </c>
      <c r="Q47" s="30">
        <v>59.14</v>
      </c>
      <c r="R47" s="30">
        <f t="shared" si="2"/>
        <v>1.7742</v>
      </c>
      <c r="S47" s="31">
        <v>59.14</v>
      </c>
      <c r="T47" s="28" t="s">
        <v>63</v>
      </c>
      <c r="U47" s="28" t="s">
        <v>64</v>
      </c>
      <c r="V47" s="32">
        <v>0.03</v>
      </c>
      <c r="W47" s="31">
        <v>1.77</v>
      </c>
      <c r="X47" s="31">
        <v>0.0</v>
      </c>
      <c r="Y47" s="28"/>
      <c r="Z47" s="28"/>
      <c r="AA47" s="28"/>
      <c r="AB47" s="28"/>
      <c r="AC47" s="28"/>
      <c r="AD47" s="28"/>
      <c r="AE47" s="28"/>
      <c r="AF47" s="28"/>
      <c r="AG47" s="24"/>
      <c r="AH47" s="24"/>
    </row>
    <row r="48" ht="14.25" customHeight="1">
      <c r="A48" s="29">
        <v>513364.0</v>
      </c>
      <c r="B48" s="28" t="s">
        <v>523</v>
      </c>
      <c r="C48" s="28" t="s">
        <v>524</v>
      </c>
      <c r="D48" s="29">
        <v>8325282.0</v>
      </c>
      <c r="E48" s="28" t="s">
        <v>415</v>
      </c>
      <c r="F48" s="28" t="s">
        <v>416</v>
      </c>
      <c r="G48" s="28" t="s">
        <v>54</v>
      </c>
      <c r="H48" s="28" t="s">
        <v>80</v>
      </c>
      <c r="I48" s="28" t="s">
        <v>58</v>
      </c>
      <c r="J48" s="28" t="s">
        <v>60</v>
      </c>
      <c r="K48" s="28">
        <v>1.0</v>
      </c>
      <c r="L48" s="28">
        <f t="shared" si="1"/>
        <v>16</v>
      </c>
      <c r="M48" s="28" t="s">
        <v>467</v>
      </c>
      <c r="N48" s="28" t="s">
        <v>468</v>
      </c>
      <c r="O48" s="28" t="s">
        <v>516</v>
      </c>
      <c r="P48" s="28" t="s">
        <v>501</v>
      </c>
      <c r="Q48" s="30">
        <v>68.76</v>
      </c>
      <c r="R48" s="30">
        <f t="shared" si="2"/>
        <v>2.0628</v>
      </c>
      <c r="S48" s="31">
        <v>68.76</v>
      </c>
      <c r="T48" s="28" t="s">
        <v>63</v>
      </c>
      <c r="U48" s="28" t="s">
        <v>64</v>
      </c>
      <c r="V48" s="32">
        <v>0.03</v>
      </c>
      <c r="W48" s="31">
        <v>2.06</v>
      </c>
      <c r="X48" s="31">
        <v>0.0</v>
      </c>
      <c r="Y48" s="28"/>
      <c r="Z48" s="28"/>
      <c r="AA48" s="28"/>
      <c r="AB48" s="28"/>
      <c r="AC48" s="28"/>
      <c r="AD48" s="28"/>
      <c r="AE48" s="28"/>
      <c r="AF48" s="28"/>
      <c r="AG48" s="1"/>
      <c r="AH48" s="1"/>
    </row>
    <row r="49" ht="14.25" customHeight="1">
      <c r="A49" s="29">
        <v>1174646.0</v>
      </c>
      <c r="B49" s="28" t="s">
        <v>521</v>
      </c>
      <c r="C49" s="28" t="s">
        <v>522</v>
      </c>
      <c r="D49" s="29">
        <v>1.8828278E7</v>
      </c>
      <c r="E49" s="28" t="s">
        <v>83</v>
      </c>
      <c r="F49" s="28" t="s">
        <v>84</v>
      </c>
      <c r="G49" s="28" t="s">
        <v>54</v>
      </c>
      <c r="H49" s="28" t="s">
        <v>80</v>
      </c>
      <c r="I49" s="28" t="s">
        <v>58</v>
      </c>
      <c r="J49" s="28" t="s">
        <v>60</v>
      </c>
      <c r="K49" s="28">
        <v>1.0</v>
      </c>
      <c r="L49" s="28">
        <f t="shared" si="1"/>
        <v>16</v>
      </c>
      <c r="M49" s="28" t="s">
        <v>467</v>
      </c>
      <c r="N49" s="28" t="s">
        <v>468</v>
      </c>
      <c r="O49" s="28" t="s">
        <v>486</v>
      </c>
      <c r="P49" s="28" t="s">
        <v>487</v>
      </c>
      <c r="Q49" s="30">
        <v>211.74</v>
      </c>
      <c r="R49" s="30">
        <f t="shared" si="2"/>
        <v>48.7002</v>
      </c>
      <c r="S49" s="31">
        <v>146.42</v>
      </c>
      <c r="T49" s="28" t="s">
        <v>63</v>
      </c>
      <c r="U49" s="28" t="s">
        <v>64</v>
      </c>
      <c r="V49" s="32">
        <v>0.23</v>
      </c>
      <c r="W49" s="31">
        <v>33.68</v>
      </c>
      <c r="X49" s="31">
        <v>0.0</v>
      </c>
      <c r="Y49" s="28"/>
      <c r="Z49" s="28"/>
      <c r="AA49" s="28"/>
      <c r="AB49" s="28"/>
      <c r="AC49" s="28"/>
      <c r="AD49" s="28"/>
      <c r="AE49" s="28"/>
      <c r="AF49" s="28"/>
      <c r="AG49" s="1"/>
      <c r="AH49" s="1"/>
    </row>
    <row r="50" ht="14.25" customHeight="1">
      <c r="A50" s="29">
        <v>1174646.0</v>
      </c>
      <c r="B50" s="28" t="s">
        <v>521</v>
      </c>
      <c r="C50" s="28" t="s">
        <v>522</v>
      </c>
      <c r="D50" s="29">
        <v>1.8828278E7</v>
      </c>
      <c r="E50" s="28" t="s">
        <v>81</v>
      </c>
      <c r="F50" s="28" t="s">
        <v>82</v>
      </c>
      <c r="G50" s="28" t="s">
        <v>54</v>
      </c>
      <c r="H50" s="28" t="s">
        <v>80</v>
      </c>
      <c r="I50" s="28" t="s">
        <v>58</v>
      </c>
      <c r="J50" s="28" t="s">
        <v>60</v>
      </c>
      <c r="K50" s="28">
        <v>1.0</v>
      </c>
      <c r="L50" s="28">
        <f t="shared" si="1"/>
        <v>16</v>
      </c>
      <c r="M50" s="28" t="s">
        <v>467</v>
      </c>
      <c r="N50" s="28" t="s">
        <v>468</v>
      </c>
      <c r="O50" s="28" t="s">
        <v>486</v>
      </c>
      <c r="P50" s="28" t="s">
        <v>487</v>
      </c>
      <c r="Q50" s="30">
        <v>218.5</v>
      </c>
      <c r="R50" s="30">
        <f t="shared" si="2"/>
        <v>50.255</v>
      </c>
      <c r="S50" s="31">
        <v>151.24</v>
      </c>
      <c r="T50" s="28" t="s">
        <v>63</v>
      </c>
      <c r="U50" s="28" t="s">
        <v>64</v>
      </c>
      <c r="V50" s="32">
        <v>0.23</v>
      </c>
      <c r="W50" s="31">
        <v>34.79</v>
      </c>
      <c r="X50" s="31">
        <v>0.0</v>
      </c>
      <c r="Y50" s="28"/>
      <c r="Z50" s="28"/>
      <c r="AA50" s="28"/>
      <c r="AB50" s="28"/>
      <c r="AC50" s="28"/>
      <c r="AD50" s="28"/>
      <c r="AE50" s="28"/>
      <c r="AF50" s="28"/>
      <c r="AG50" s="1"/>
      <c r="AH50" s="1"/>
    </row>
    <row r="51" ht="14.25" customHeight="1">
      <c r="A51" s="29">
        <v>732257.0</v>
      </c>
      <c r="B51" s="28" t="s">
        <v>525</v>
      </c>
      <c r="C51" s="28" t="s">
        <v>526</v>
      </c>
      <c r="D51" s="29">
        <v>1.7094718E7</v>
      </c>
      <c r="E51" s="28" t="s">
        <v>78</v>
      </c>
      <c r="F51" s="28" t="s">
        <v>79</v>
      </c>
      <c r="G51" s="28" t="s">
        <v>54</v>
      </c>
      <c r="H51" s="28" t="s">
        <v>80</v>
      </c>
      <c r="I51" s="28" t="s">
        <v>58</v>
      </c>
      <c r="J51" s="28" t="s">
        <v>60</v>
      </c>
      <c r="K51" s="28">
        <v>1.0</v>
      </c>
      <c r="L51" s="28">
        <f t="shared" si="1"/>
        <v>16</v>
      </c>
      <c r="M51" s="28" t="s">
        <v>467</v>
      </c>
      <c r="N51" s="28" t="s">
        <v>468</v>
      </c>
      <c r="O51" s="28" t="s">
        <v>486</v>
      </c>
      <c r="P51" s="28" t="s">
        <v>487</v>
      </c>
      <c r="Q51" s="30">
        <v>279.66</v>
      </c>
      <c r="R51" s="30">
        <f t="shared" si="2"/>
        <v>64.3218</v>
      </c>
      <c r="S51" s="31">
        <v>192.36</v>
      </c>
      <c r="T51" s="28" t="s">
        <v>63</v>
      </c>
      <c r="U51" s="28" t="s">
        <v>64</v>
      </c>
      <c r="V51" s="32">
        <v>0.23</v>
      </c>
      <c r="W51" s="31">
        <v>44.24</v>
      </c>
      <c r="X51" s="31">
        <v>0.0</v>
      </c>
      <c r="Y51" s="28"/>
      <c r="Z51" s="28"/>
      <c r="AA51" s="28"/>
      <c r="AB51" s="28"/>
      <c r="AC51" s="28"/>
      <c r="AD51" s="28"/>
      <c r="AE51" s="28"/>
      <c r="AF51" s="28"/>
      <c r="AG51" s="24"/>
      <c r="AH51" s="24"/>
    </row>
    <row r="52" ht="14.25" customHeight="1">
      <c r="A52" s="29">
        <v>513364.0</v>
      </c>
      <c r="B52" s="28" t="s">
        <v>523</v>
      </c>
      <c r="C52" s="28" t="s">
        <v>524</v>
      </c>
      <c r="D52" s="29">
        <v>8325282.0</v>
      </c>
      <c r="E52" s="28" t="s">
        <v>412</v>
      </c>
      <c r="F52" s="28" t="s">
        <v>413</v>
      </c>
      <c r="G52" s="28" t="s">
        <v>54</v>
      </c>
      <c r="H52" s="28" t="s">
        <v>414</v>
      </c>
      <c r="I52" s="28" t="s">
        <v>163</v>
      </c>
      <c r="J52" s="28" t="s">
        <v>60</v>
      </c>
      <c r="K52" s="28">
        <v>1.0</v>
      </c>
      <c r="L52" s="28">
        <f t="shared" si="1"/>
        <v>20</v>
      </c>
      <c r="M52" s="28" t="s">
        <v>467</v>
      </c>
      <c r="N52" s="28" t="s">
        <v>468</v>
      </c>
      <c r="O52" s="28" t="s">
        <v>500</v>
      </c>
      <c r="P52" s="28" t="s">
        <v>501</v>
      </c>
      <c r="Q52" s="30">
        <v>36.08</v>
      </c>
      <c r="R52" s="30">
        <f t="shared" si="2"/>
        <v>1.0824</v>
      </c>
      <c r="S52" s="31">
        <v>36.08</v>
      </c>
      <c r="T52" s="28" t="s">
        <v>63</v>
      </c>
      <c r="U52" s="28" t="s">
        <v>64</v>
      </c>
      <c r="V52" s="32">
        <v>0.03</v>
      </c>
      <c r="W52" s="31">
        <v>1.08</v>
      </c>
      <c r="X52" s="31">
        <v>0.0</v>
      </c>
      <c r="Y52" s="28"/>
      <c r="Z52" s="28"/>
      <c r="AA52" s="28"/>
      <c r="AB52" s="28"/>
      <c r="AC52" s="28"/>
      <c r="AD52" s="28"/>
      <c r="AE52" s="28"/>
      <c r="AF52" s="28"/>
      <c r="AG52" s="28"/>
      <c r="AH52" s="28"/>
    </row>
    <row r="53" ht="14.25" customHeight="1">
      <c r="A53" s="29">
        <v>892048.0</v>
      </c>
      <c r="B53" s="28" t="s">
        <v>527</v>
      </c>
      <c r="C53" s="28" t="s">
        <v>528</v>
      </c>
      <c r="D53" s="29">
        <v>1.6633294E7</v>
      </c>
      <c r="E53" s="28" t="s">
        <v>393</v>
      </c>
      <c r="F53" s="28" t="s">
        <v>394</v>
      </c>
      <c r="G53" s="28" t="s">
        <v>54</v>
      </c>
      <c r="H53" s="28" t="s">
        <v>396</v>
      </c>
      <c r="I53" s="28" t="s">
        <v>206</v>
      </c>
      <c r="J53" s="28" t="s">
        <v>60</v>
      </c>
      <c r="K53" s="28">
        <v>1.0</v>
      </c>
      <c r="L53" s="28">
        <f t="shared" si="1"/>
        <v>21</v>
      </c>
      <c r="M53" s="28" t="s">
        <v>467</v>
      </c>
      <c r="N53" s="28" t="s">
        <v>468</v>
      </c>
      <c r="O53" s="28" t="s">
        <v>500</v>
      </c>
      <c r="P53" s="28" t="s">
        <v>501</v>
      </c>
      <c r="Q53" s="30">
        <v>36.08</v>
      </c>
      <c r="R53" s="30">
        <f t="shared" si="2"/>
        <v>1.0824</v>
      </c>
      <c r="S53" s="31">
        <v>36.08</v>
      </c>
      <c r="T53" s="28" t="s">
        <v>63</v>
      </c>
      <c r="U53" s="28" t="s">
        <v>64</v>
      </c>
      <c r="V53" s="32">
        <v>0.03</v>
      </c>
      <c r="W53" s="31">
        <v>1.08</v>
      </c>
      <c r="X53" s="31">
        <v>0.0</v>
      </c>
      <c r="Y53" s="28"/>
      <c r="Z53" s="28"/>
      <c r="AA53" s="28"/>
      <c r="AB53" s="28"/>
      <c r="AC53" s="28"/>
      <c r="AD53" s="28"/>
      <c r="AE53" s="28"/>
      <c r="AF53" s="28"/>
      <c r="AG53" s="1"/>
      <c r="AH53" s="1"/>
    </row>
    <row r="54" ht="14.25" customHeight="1">
      <c r="A54" s="29">
        <v>892048.0</v>
      </c>
      <c r="B54" s="28" t="s">
        <v>527</v>
      </c>
      <c r="C54" s="28" t="s">
        <v>528</v>
      </c>
      <c r="D54" s="29">
        <v>1.6633294E7</v>
      </c>
      <c r="E54" s="28" t="s">
        <v>424</v>
      </c>
      <c r="F54" s="28" t="s">
        <v>425</v>
      </c>
      <c r="G54" s="28" t="s">
        <v>54</v>
      </c>
      <c r="H54" s="28" t="s">
        <v>396</v>
      </c>
      <c r="I54" s="28" t="s">
        <v>206</v>
      </c>
      <c r="J54" s="28" t="s">
        <v>60</v>
      </c>
      <c r="K54" s="28">
        <v>1.0</v>
      </c>
      <c r="L54" s="28">
        <f t="shared" si="1"/>
        <v>21</v>
      </c>
      <c r="M54" s="28" t="s">
        <v>467</v>
      </c>
      <c r="N54" s="28" t="s">
        <v>468</v>
      </c>
      <c r="O54" s="28" t="s">
        <v>516</v>
      </c>
      <c r="P54" s="28" t="s">
        <v>501</v>
      </c>
      <c r="Q54" s="30">
        <v>79.28</v>
      </c>
      <c r="R54" s="30">
        <f t="shared" si="2"/>
        <v>2.3784</v>
      </c>
      <c r="S54" s="31">
        <v>79.28</v>
      </c>
      <c r="T54" s="28" t="s">
        <v>63</v>
      </c>
      <c r="U54" s="28" t="s">
        <v>64</v>
      </c>
      <c r="V54" s="32">
        <v>0.03</v>
      </c>
      <c r="W54" s="31">
        <v>2.38</v>
      </c>
      <c r="X54" s="31">
        <v>0.0</v>
      </c>
      <c r="Y54" s="28"/>
      <c r="Z54" s="28"/>
      <c r="AA54" s="28"/>
      <c r="AB54" s="28"/>
      <c r="AC54" s="28"/>
      <c r="AD54" s="28"/>
      <c r="AE54" s="28"/>
      <c r="AF54" s="28"/>
      <c r="AG54" s="1"/>
      <c r="AH54" s="1"/>
    </row>
    <row r="55" ht="14.25" customHeight="1">
      <c r="A55" s="13">
        <v>606680.0</v>
      </c>
      <c r="B55" s="1" t="s">
        <v>529</v>
      </c>
      <c r="C55" s="1" t="s">
        <v>530</v>
      </c>
      <c r="D55" s="13">
        <v>8977234.0</v>
      </c>
      <c r="E55" s="1" t="s">
        <v>298</v>
      </c>
      <c r="F55" s="1" t="s">
        <v>299</v>
      </c>
      <c r="G55" s="1" t="s">
        <v>177</v>
      </c>
      <c r="H55" s="1" t="s">
        <v>300</v>
      </c>
      <c r="I55" s="1" t="s">
        <v>227</v>
      </c>
      <c r="J55" s="1" t="s">
        <v>60</v>
      </c>
      <c r="K55" s="1">
        <v>1.0</v>
      </c>
      <c r="L55" s="1">
        <f t="shared" si="1"/>
        <v>1</v>
      </c>
      <c r="M55" s="1" t="s">
        <v>467</v>
      </c>
      <c r="N55" s="1" t="s">
        <v>468</v>
      </c>
      <c r="O55" s="1" t="s">
        <v>531</v>
      </c>
      <c r="P55" s="1" t="s">
        <v>474</v>
      </c>
      <c r="Q55" s="33">
        <v>98.04</v>
      </c>
      <c r="R55" s="33">
        <f t="shared" si="2"/>
        <v>147.06</v>
      </c>
      <c r="S55" s="14">
        <v>98.04</v>
      </c>
      <c r="T55" s="1" t="s">
        <v>75</v>
      </c>
      <c r="U55" s="1" t="s">
        <v>153</v>
      </c>
      <c r="V55" s="16">
        <v>1.5</v>
      </c>
      <c r="W55" s="14">
        <v>0.0</v>
      </c>
      <c r="X55" s="14">
        <v>-147.06</v>
      </c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4.25" customHeight="1">
      <c r="A56" s="13">
        <v>1282681.0</v>
      </c>
      <c r="B56" s="1" t="s">
        <v>532</v>
      </c>
      <c r="C56" s="1" t="s">
        <v>533</v>
      </c>
      <c r="D56" s="13">
        <v>2.0703542E7</v>
      </c>
      <c r="E56" s="1" t="s">
        <v>253</v>
      </c>
      <c r="F56" s="1" t="s">
        <v>254</v>
      </c>
      <c r="G56" s="1" t="s">
        <v>177</v>
      </c>
      <c r="H56" s="1" t="s">
        <v>256</v>
      </c>
      <c r="I56" s="1" t="s">
        <v>257</v>
      </c>
      <c r="J56" s="1" t="s">
        <v>60</v>
      </c>
      <c r="K56" s="1">
        <v>1.0</v>
      </c>
      <c r="L56" s="1">
        <f t="shared" si="1"/>
        <v>2</v>
      </c>
      <c r="M56" s="1" t="s">
        <v>467</v>
      </c>
      <c r="N56" s="1" t="s">
        <v>468</v>
      </c>
      <c r="O56" s="1" t="s">
        <v>534</v>
      </c>
      <c r="P56" s="1" t="s">
        <v>535</v>
      </c>
      <c r="Q56" s="33">
        <v>44.94</v>
      </c>
      <c r="R56" s="33">
        <f t="shared" si="2"/>
        <v>56.6244</v>
      </c>
      <c r="S56" s="14">
        <v>39.56</v>
      </c>
      <c r="T56" s="1" t="s">
        <v>75</v>
      </c>
      <c r="U56" s="1" t="s">
        <v>76</v>
      </c>
      <c r="V56" s="16">
        <v>1.26</v>
      </c>
      <c r="W56" s="14">
        <v>0.0</v>
      </c>
      <c r="X56" s="14">
        <v>-49.85</v>
      </c>
      <c r="Y56" s="1"/>
      <c r="Z56" s="1"/>
      <c r="AA56" s="1"/>
      <c r="AB56" s="1"/>
      <c r="AC56" s="1"/>
      <c r="AD56" s="1"/>
      <c r="AE56" s="1"/>
      <c r="AF56" s="1"/>
      <c r="AG56" s="28"/>
      <c r="AH56" s="28"/>
    </row>
    <row r="57" ht="14.25" customHeight="1">
      <c r="A57" s="13">
        <v>819525.0</v>
      </c>
      <c r="B57" s="1" t="s">
        <v>536</v>
      </c>
      <c r="C57" s="1" t="s">
        <v>537</v>
      </c>
      <c r="D57" s="13">
        <v>9213293.0</v>
      </c>
      <c r="E57" s="1" t="s">
        <v>229</v>
      </c>
      <c r="F57" s="1" t="s">
        <v>230</v>
      </c>
      <c r="G57" s="1" t="s">
        <v>54</v>
      </c>
      <c r="H57" s="1" t="s">
        <v>231</v>
      </c>
      <c r="I57" s="1" t="s">
        <v>179</v>
      </c>
      <c r="J57" s="1" t="s">
        <v>60</v>
      </c>
      <c r="K57" s="1">
        <v>1.0</v>
      </c>
      <c r="L57" s="1">
        <f t="shared" si="1"/>
        <v>2</v>
      </c>
      <c r="M57" s="1" t="s">
        <v>467</v>
      </c>
      <c r="N57" s="1" t="s">
        <v>468</v>
      </c>
      <c r="O57" s="1" t="s">
        <v>492</v>
      </c>
      <c r="P57" s="1" t="s">
        <v>538</v>
      </c>
      <c r="Q57" s="33">
        <v>83.51</v>
      </c>
      <c r="R57" s="33">
        <f t="shared" si="2"/>
        <v>112.7385</v>
      </c>
      <c r="S57" s="14">
        <v>83.51</v>
      </c>
      <c r="T57" s="1" t="s">
        <v>75</v>
      </c>
      <c r="U57" s="1" t="s">
        <v>76</v>
      </c>
      <c r="V57" s="16">
        <v>1.35</v>
      </c>
      <c r="W57" s="14">
        <v>0.0</v>
      </c>
      <c r="X57" s="14">
        <v>-112.74</v>
      </c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4.25" customHeight="1">
      <c r="A58" s="13">
        <v>818994.0</v>
      </c>
      <c r="B58" s="1" t="s">
        <v>539</v>
      </c>
      <c r="C58" s="1" t="s">
        <v>540</v>
      </c>
      <c r="D58" s="13">
        <v>1.6170994E7</v>
      </c>
      <c r="E58" s="1" t="s">
        <v>223</v>
      </c>
      <c r="F58" s="1" t="s">
        <v>224</v>
      </c>
      <c r="G58" s="1" t="s">
        <v>129</v>
      </c>
      <c r="H58" s="1" t="s">
        <v>226</v>
      </c>
      <c r="I58" s="1" t="s">
        <v>227</v>
      </c>
      <c r="J58" s="1" t="s">
        <v>60</v>
      </c>
      <c r="K58" s="1">
        <v>1.0</v>
      </c>
      <c r="L58" s="1">
        <f t="shared" si="1"/>
        <v>2</v>
      </c>
      <c r="M58" s="1" t="s">
        <v>467</v>
      </c>
      <c r="N58" s="1" t="s">
        <v>468</v>
      </c>
      <c r="O58" s="1" t="s">
        <v>492</v>
      </c>
      <c r="P58" s="1" t="s">
        <v>541</v>
      </c>
      <c r="Q58" s="33">
        <v>83.99</v>
      </c>
      <c r="R58" s="33">
        <f t="shared" si="2"/>
        <v>113.3865</v>
      </c>
      <c r="S58" s="14">
        <v>83.99</v>
      </c>
      <c r="T58" s="1" t="s">
        <v>75</v>
      </c>
      <c r="U58" s="1" t="s">
        <v>76</v>
      </c>
      <c r="V58" s="16">
        <v>1.35</v>
      </c>
      <c r="W58" s="14">
        <v>0.0</v>
      </c>
      <c r="X58" s="14">
        <v>-113.39</v>
      </c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4.25" customHeight="1">
      <c r="A59" s="13">
        <v>910791.0</v>
      </c>
      <c r="B59" s="1" t="s">
        <v>476</v>
      </c>
      <c r="C59" s="1" t="s">
        <v>542</v>
      </c>
      <c r="D59" s="13">
        <v>1.9491313E7</v>
      </c>
      <c r="E59" s="1" t="s">
        <v>321</v>
      </c>
      <c r="F59" s="1" t="s">
        <v>322</v>
      </c>
      <c r="G59" s="1" t="s">
        <v>129</v>
      </c>
      <c r="H59" s="1" t="s">
        <v>323</v>
      </c>
      <c r="I59" s="1" t="s">
        <v>324</v>
      </c>
      <c r="J59" s="1" t="s">
        <v>60</v>
      </c>
      <c r="K59" s="1">
        <v>1.0</v>
      </c>
      <c r="L59" s="1">
        <f t="shared" si="1"/>
        <v>2</v>
      </c>
      <c r="M59" s="1" t="s">
        <v>467</v>
      </c>
      <c r="N59" s="1" t="s">
        <v>468</v>
      </c>
      <c r="O59" s="1" t="s">
        <v>464</v>
      </c>
      <c r="P59" s="1" t="s">
        <v>541</v>
      </c>
      <c r="Q59" s="33">
        <v>91.03</v>
      </c>
      <c r="R59" s="33">
        <f t="shared" si="2"/>
        <v>122.8905</v>
      </c>
      <c r="S59" s="14">
        <v>91.03</v>
      </c>
      <c r="T59" s="1" t="s">
        <v>75</v>
      </c>
      <c r="U59" s="1" t="s">
        <v>76</v>
      </c>
      <c r="V59" s="16">
        <v>1.35</v>
      </c>
      <c r="W59" s="14">
        <v>0.0</v>
      </c>
      <c r="X59" s="14">
        <v>-122.89</v>
      </c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4.25" customHeight="1">
      <c r="A60" s="13">
        <v>910791.0</v>
      </c>
      <c r="B60" s="1" t="s">
        <v>476</v>
      </c>
      <c r="C60" s="1" t="s">
        <v>542</v>
      </c>
      <c r="D60" s="13">
        <v>1.9491313E7</v>
      </c>
      <c r="E60" s="1" t="s">
        <v>201</v>
      </c>
      <c r="F60" s="1" t="s">
        <v>202</v>
      </c>
      <c r="G60" s="1" t="s">
        <v>129</v>
      </c>
      <c r="H60" s="1" t="s">
        <v>145</v>
      </c>
      <c r="I60" s="1" t="s">
        <v>58</v>
      </c>
      <c r="J60" s="1" t="s">
        <v>60</v>
      </c>
      <c r="K60" s="1">
        <v>1.0</v>
      </c>
      <c r="L60" s="1">
        <f t="shared" si="1"/>
        <v>2</v>
      </c>
      <c r="M60" s="1" t="s">
        <v>467</v>
      </c>
      <c r="N60" s="1" t="s">
        <v>468</v>
      </c>
      <c r="O60" s="1" t="s">
        <v>473</v>
      </c>
      <c r="P60" s="1" t="s">
        <v>474</v>
      </c>
      <c r="Q60" s="33">
        <v>92.12</v>
      </c>
      <c r="R60" s="33">
        <f t="shared" si="2"/>
        <v>138.18</v>
      </c>
      <c r="S60" s="14">
        <v>92.12</v>
      </c>
      <c r="T60" s="1" t="s">
        <v>75</v>
      </c>
      <c r="U60" s="1" t="s">
        <v>76</v>
      </c>
      <c r="V60" s="16">
        <v>1.5</v>
      </c>
      <c r="W60" s="14">
        <v>0.0</v>
      </c>
      <c r="X60" s="14">
        <v>-138.18</v>
      </c>
      <c r="Y60" s="1"/>
      <c r="Z60" s="1"/>
      <c r="AA60" s="1"/>
      <c r="AB60" s="1"/>
      <c r="AC60" s="1"/>
      <c r="AD60" s="1"/>
      <c r="AE60" s="1"/>
      <c r="AF60" s="1"/>
      <c r="AG60" s="24"/>
      <c r="AH60" s="24"/>
    </row>
    <row r="61" ht="14.25" customHeight="1">
      <c r="A61" s="13">
        <v>910791.0</v>
      </c>
      <c r="B61" s="1" t="s">
        <v>476</v>
      </c>
      <c r="C61" s="1" t="s">
        <v>542</v>
      </c>
      <c r="D61" s="13">
        <v>1.9491313E7</v>
      </c>
      <c r="E61" s="1" t="s">
        <v>203</v>
      </c>
      <c r="F61" s="1" t="s">
        <v>204</v>
      </c>
      <c r="G61" s="1" t="s">
        <v>129</v>
      </c>
      <c r="H61" s="1" t="s">
        <v>205</v>
      </c>
      <c r="I61" s="1" t="s">
        <v>206</v>
      </c>
      <c r="J61" s="1" t="s">
        <v>60</v>
      </c>
      <c r="K61" s="1">
        <v>1.0</v>
      </c>
      <c r="L61" s="1">
        <f t="shared" si="1"/>
        <v>2</v>
      </c>
      <c r="M61" s="1" t="s">
        <v>467</v>
      </c>
      <c r="N61" s="1" t="s">
        <v>468</v>
      </c>
      <c r="O61" s="1" t="s">
        <v>473</v>
      </c>
      <c r="P61" s="1" t="s">
        <v>474</v>
      </c>
      <c r="Q61" s="33">
        <v>103.73</v>
      </c>
      <c r="R61" s="33">
        <f t="shared" si="2"/>
        <v>155.595</v>
      </c>
      <c r="S61" s="14">
        <v>103.73</v>
      </c>
      <c r="T61" s="1" t="s">
        <v>75</v>
      </c>
      <c r="U61" s="1" t="s">
        <v>76</v>
      </c>
      <c r="V61" s="16">
        <v>1.5</v>
      </c>
      <c r="W61" s="14">
        <v>0.0</v>
      </c>
      <c r="X61" s="14">
        <v>-155.6</v>
      </c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4.25" customHeight="1">
      <c r="A62" s="13">
        <v>894080.0</v>
      </c>
      <c r="B62" s="1" t="s">
        <v>543</v>
      </c>
      <c r="C62" s="1" t="s">
        <v>544</v>
      </c>
      <c r="D62" s="13">
        <v>1.8754354E7</v>
      </c>
      <c r="E62" s="1" t="s">
        <v>142</v>
      </c>
      <c r="F62" s="1" t="s">
        <v>143</v>
      </c>
      <c r="G62" s="1" t="s">
        <v>54</v>
      </c>
      <c r="H62" s="1" t="s">
        <v>145</v>
      </c>
      <c r="I62" s="1" t="s">
        <v>58</v>
      </c>
      <c r="J62" s="1" t="s">
        <v>60</v>
      </c>
      <c r="K62" s="1">
        <v>1.0</v>
      </c>
      <c r="L62" s="1">
        <f t="shared" si="1"/>
        <v>2</v>
      </c>
      <c r="M62" s="1" t="s">
        <v>467</v>
      </c>
      <c r="N62" s="1" t="s">
        <v>468</v>
      </c>
      <c r="O62" s="1" t="s">
        <v>464</v>
      </c>
      <c r="P62" s="1" t="s">
        <v>465</v>
      </c>
      <c r="Q62" s="33">
        <v>213.38</v>
      </c>
      <c r="R62" s="33">
        <f t="shared" si="2"/>
        <v>288.063</v>
      </c>
      <c r="S62" s="14">
        <v>213.38</v>
      </c>
      <c r="T62" s="1" t="s">
        <v>75</v>
      </c>
      <c r="U62" s="1" t="s">
        <v>76</v>
      </c>
      <c r="V62" s="16">
        <v>1.35</v>
      </c>
      <c r="W62" s="14">
        <v>0.0</v>
      </c>
      <c r="X62" s="14">
        <v>-288.06</v>
      </c>
      <c r="Y62" s="1"/>
      <c r="Z62" s="1"/>
      <c r="AA62" s="1"/>
      <c r="AB62" s="1"/>
      <c r="AC62" s="1"/>
      <c r="AD62" s="1"/>
      <c r="AE62" s="1"/>
      <c r="AF62" s="1"/>
      <c r="AG62" s="24"/>
      <c r="AH62" s="24"/>
    </row>
    <row r="63" ht="14.25" customHeight="1">
      <c r="A63" s="13">
        <v>606680.0</v>
      </c>
      <c r="B63" s="1" t="s">
        <v>529</v>
      </c>
      <c r="C63" s="1" t="s">
        <v>530</v>
      </c>
      <c r="D63" s="13">
        <v>8977234.0</v>
      </c>
      <c r="E63" s="1" t="s">
        <v>295</v>
      </c>
      <c r="F63" s="1" t="s">
        <v>296</v>
      </c>
      <c r="G63" s="1" t="s">
        <v>54</v>
      </c>
      <c r="H63" s="1" t="s">
        <v>297</v>
      </c>
      <c r="I63" s="1" t="s">
        <v>206</v>
      </c>
      <c r="J63" s="1" t="s">
        <v>60</v>
      </c>
      <c r="K63" s="1">
        <v>1.0</v>
      </c>
      <c r="L63" s="1">
        <f t="shared" si="1"/>
        <v>3</v>
      </c>
      <c r="M63" s="1" t="s">
        <v>467</v>
      </c>
      <c r="N63" s="1" t="s">
        <v>468</v>
      </c>
      <c r="O63" s="1" t="s">
        <v>464</v>
      </c>
      <c r="P63" s="1" t="s">
        <v>475</v>
      </c>
      <c r="Q63" s="33">
        <v>90.88</v>
      </c>
      <c r="R63" s="33">
        <f t="shared" si="2"/>
        <v>61.344</v>
      </c>
      <c r="S63" s="14">
        <v>90.88</v>
      </c>
      <c r="T63" s="1" t="s">
        <v>75</v>
      </c>
      <c r="U63" s="1" t="s">
        <v>76</v>
      </c>
      <c r="V63" s="16">
        <v>0.675</v>
      </c>
      <c r="W63" s="14">
        <v>0.0</v>
      </c>
      <c r="X63" s="14">
        <v>-61.34</v>
      </c>
      <c r="Y63" s="1"/>
      <c r="Z63" s="1"/>
      <c r="AA63" s="1"/>
      <c r="AB63" s="1"/>
      <c r="AC63" s="1"/>
      <c r="AD63" s="1"/>
      <c r="AE63" s="1"/>
      <c r="AF63" s="1"/>
      <c r="AG63" s="28"/>
      <c r="AH63" s="28"/>
    </row>
    <row r="64" ht="14.25" customHeight="1">
      <c r="A64" s="13">
        <v>893387.0</v>
      </c>
      <c r="B64" s="1" t="s">
        <v>470</v>
      </c>
      <c r="C64" s="1" t="s">
        <v>545</v>
      </c>
      <c r="D64" s="13">
        <v>8307933.0</v>
      </c>
      <c r="E64" s="1" t="s">
        <v>175</v>
      </c>
      <c r="F64" s="1" t="s">
        <v>176</v>
      </c>
      <c r="G64" s="1" t="s">
        <v>177</v>
      </c>
      <c r="H64" s="1" t="s">
        <v>178</v>
      </c>
      <c r="I64" s="1" t="s">
        <v>179</v>
      </c>
      <c r="J64" s="1" t="s">
        <v>60</v>
      </c>
      <c r="K64" s="1">
        <v>1.0</v>
      </c>
      <c r="L64" s="1">
        <f t="shared" si="1"/>
        <v>3</v>
      </c>
      <c r="M64" s="1" t="s">
        <v>467</v>
      </c>
      <c r="N64" s="1" t="s">
        <v>468</v>
      </c>
      <c r="O64" s="1" t="s">
        <v>464</v>
      </c>
      <c r="P64" s="1" t="s">
        <v>475</v>
      </c>
      <c r="Q64" s="33">
        <v>156.77</v>
      </c>
      <c r="R64" s="33">
        <f t="shared" si="2"/>
        <v>105.81975</v>
      </c>
      <c r="S64" s="14">
        <v>156.77</v>
      </c>
      <c r="T64" s="1" t="s">
        <v>75</v>
      </c>
      <c r="U64" s="1" t="s">
        <v>76</v>
      </c>
      <c r="V64" s="16">
        <v>0.675</v>
      </c>
      <c r="W64" s="14">
        <v>0.0</v>
      </c>
      <c r="X64" s="14">
        <v>-105.82</v>
      </c>
      <c r="Y64" s="1"/>
      <c r="Z64" s="1"/>
      <c r="AA64" s="1"/>
      <c r="AB64" s="1"/>
      <c r="AC64" s="1"/>
      <c r="AD64" s="1"/>
      <c r="AE64" s="1"/>
      <c r="AF64" s="1"/>
      <c r="AG64" s="28"/>
      <c r="AH64" s="28"/>
    </row>
    <row r="65" ht="14.25" customHeight="1">
      <c r="A65" s="13">
        <v>893387.0</v>
      </c>
      <c r="B65" s="1" t="s">
        <v>470</v>
      </c>
      <c r="C65" s="1" t="s">
        <v>545</v>
      </c>
      <c r="D65" s="13">
        <v>8307933.0</v>
      </c>
      <c r="E65" s="1" t="s">
        <v>180</v>
      </c>
      <c r="F65" s="1" t="s">
        <v>181</v>
      </c>
      <c r="G65" s="1" t="s">
        <v>54</v>
      </c>
      <c r="H65" s="1" t="s">
        <v>182</v>
      </c>
      <c r="I65" s="1" t="s">
        <v>58</v>
      </c>
      <c r="J65" s="1" t="s">
        <v>60</v>
      </c>
      <c r="K65" s="1">
        <v>1.0</v>
      </c>
      <c r="L65" s="1">
        <f t="shared" si="1"/>
        <v>3</v>
      </c>
      <c r="M65" s="1" t="s">
        <v>467</v>
      </c>
      <c r="N65" s="1" t="s">
        <v>468</v>
      </c>
      <c r="O65" s="1" t="s">
        <v>464</v>
      </c>
      <c r="P65" s="1" t="s">
        <v>475</v>
      </c>
      <c r="Q65" s="33">
        <v>163.99</v>
      </c>
      <c r="R65" s="33">
        <f t="shared" si="2"/>
        <v>110.69325</v>
      </c>
      <c r="S65" s="14">
        <v>163.99</v>
      </c>
      <c r="T65" s="1" t="s">
        <v>75</v>
      </c>
      <c r="U65" s="1" t="s">
        <v>76</v>
      </c>
      <c r="V65" s="16">
        <v>0.675</v>
      </c>
      <c r="W65" s="14">
        <v>0.0</v>
      </c>
      <c r="X65" s="14">
        <v>-110.69</v>
      </c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4.25" customHeight="1">
      <c r="A66" s="13">
        <v>816910.0</v>
      </c>
      <c r="B66" s="1" t="s">
        <v>546</v>
      </c>
      <c r="C66" s="1" t="s">
        <v>547</v>
      </c>
      <c r="D66" s="13">
        <v>9079571.0</v>
      </c>
      <c r="E66" s="1" t="s">
        <v>218</v>
      </c>
      <c r="F66" s="1" t="s">
        <v>219</v>
      </c>
      <c r="G66" s="1" t="s">
        <v>149</v>
      </c>
      <c r="H66" s="1" t="s">
        <v>220</v>
      </c>
      <c r="I66" s="1" t="s">
        <v>221</v>
      </c>
      <c r="J66" s="1" t="s">
        <v>60</v>
      </c>
      <c r="K66" s="1">
        <v>1.0</v>
      </c>
      <c r="L66" s="1">
        <f t="shared" si="1"/>
        <v>3</v>
      </c>
      <c r="M66" s="1" t="s">
        <v>467</v>
      </c>
      <c r="N66" s="1" t="s">
        <v>468</v>
      </c>
      <c r="O66" s="1" t="s">
        <v>464</v>
      </c>
      <c r="P66" s="1" t="s">
        <v>475</v>
      </c>
      <c r="Q66" s="33">
        <v>164.95</v>
      </c>
      <c r="R66" s="33">
        <f t="shared" si="2"/>
        <v>111.34125</v>
      </c>
      <c r="S66" s="14">
        <v>164.95</v>
      </c>
      <c r="T66" s="1" t="s">
        <v>75</v>
      </c>
      <c r="U66" s="1" t="s">
        <v>76</v>
      </c>
      <c r="V66" s="16">
        <v>0.675</v>
      </c>
      <c r="W66" s="14">
        <v>0.0</v>
      </c>
      <c r="X66" s="14">
        <v>-111.34</v>
      </c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4.25" customHeight="1">
      <c r="A67" s="13">
        <v>893214.0</v>
      </c>
      <c r="B67" s="1" t="s">
        <v>548</v>
      </c>
      <c r="C67" s="1" t="s">
        <v>549</v>
      </c>
      <c r="D67" s="13">
        <v>1.6228684E7</v>
      </c>
      <c r="E67" s="1" t="s">
        <v>133</v>
      </c>
      <c r="F67" s="1" t="s">
        <v>134</v>
      </c>
      <c r="G67" s="1" t="s">
        <v>106</v>
      </c>
      <c r="H67" s="1" t="s">
        <v>135</v>
      </c>
      <c r="I67" s="1" t="s">
        <v>58</v>
      </c>
      <c r="J67" s="1" t="s">
        <v>60</v>
      </c>
      <c r="K67" s="1">
        <v>1.0</v>
      </c>
      <c r="L67" s="1">
        <f t="shared" si="1"/>
        <v>4</v>
      </c>
      <c r="M67" s="1" t="s">
        <v>467</v>
      </c>
      <c r="N67" s="1" t="s">
        <v>468</v>
      </c>
      <c r="O67" s="1" t="s">
        <v>486</v>
      </c>
      <c r="P67" s="1" t="s">
        <v>550</v>
      </c>
      <c r="Q67" s="33">
        <v>155.84</v>
      </c>
      <c r="R67" s="33">
        <f t="shared" si="2"/>
        <v>37.4016</v>
      </c>
      <c r="S67" s="14">
        <v>155.84</v>
      </c>
      <c r="T67" s="1" t="s">
        <v>75</v>
      </c>
      <c r="U67" s="1" t="s">
        <v>76</v>
      </c>
      <c r="V67" s="16">
        <v>0.24</v>
      </c>
      <c r="W67" s="14">
        <v>37.4</v>
      </c>
      <c r="X67" s="14">
        <v>0.0</v>
      </c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4.25" customHeight="1">
      <c r="A68" s="13">
        <v>1099222.0</v>
      </c>
      <c r="B68" s="1" t="s">
        <v>551</v>
      </c>
      <c r="C68" s="1" t="s">
        <v>552</v>
      </c>
      <c r="D68" s="13">
        <v>1706194.0</v>
      </c>
      <c r="E68" s="1" t="s">
        <v>308</v>
      </c>
      <c r="F68" s="1" t="s">
        <v>309</v>
      </c>
      <c r="G68" s="1" t="s">
        <v>310</v>
      </c>
      <c r="H68" s="1" t="s">
        <v>311</v>
      </c>
      <c r="I68" s="1" t="s">
        <v>139</v>
      </c>
      <c r="J68" s="1" t="s">
        <v>60</v>
      </c>
      <c r="K68" s="1">
        <v>1.0</v>
      </c>
      <c r="L68" s="1">
        <f t="shared" si="1"/>
        <v>5</v>
      </c>
      <c r="M68" s="1" t="s">
        <v>467</v>
      </c>
      <c r="N68" s="1" t="s">
        <v>468</v>
      </c>
      <c r="O68" s="1" t="s">
        <v>473</v>
      </c>
      <c r="P68" s="1" t="s">
        <v>474</v>
      </c>
      <c r="Q68" s="33">
        <v>62.57</v>
      </c>
      <c r="R68" s="33">
        <f t="shared" si="2"/>
        <v>93.855</v>
      </c>
      <c r="S68" s="14">
        <v>62.57</v>
      </c>
      <c r="T68" s="1" t="s">
        <v>75</v>
      </c>
      <c r="U68" s="1" t="s">
        <v>76</v>
      </c>
      <c r="V68" s="16">
        <v>1.5</v>
      </c>
      <c r="W68" s="14">
        <v>0.0</v>
      </c>
      <c r="X68" s="14">
        <v>-93.86</v>
      </c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4.25" customHeight="1">
      <c r="A69" s="13">
        <v>1099222.0</v>
      </c>
      <c r="B69" s="1" t="s">
        <v>551</v>
      </c>
      <c r="C69" s="1" t="s">
        <v>552</v>
      </c>
      <c r="D69" s="13">
        <v>1706194.0</v>
      </c>
      <c r="E69" s="1" t="s">
        <v>312</v>
      </c>
      <c r="F69" s="1" t="s">
        <v>313</v>
      </c>
      <c r="G69" s="1" t="s">
        <v>156</v>
      </c>
      <c r="H69" s="1" t="s">
        <v>311</v>
      </c>
      <c r="I69" s="1" t="s">
        <v>139</v>
      </c>
      <c r="J69" s="1" t="s">
        <v>60</v>
      </c>
      <c r="K69" s="1">
        <v>1.0</v>
      </c>
      <c r="L69" s="1">
        <f t="shared" si="1"/>
        <v>5</v>
      </c>
      <c r="M69" s="1" t="s">
        <v>467</v>
      </c>
      <c r="N69" s="1" t="s">
        <v>468</v>
      </c>
      <c r="O69" s="1" t="s">
        <v>473</v>
      </c>
      <c r="P69" s="1" t="s">
        <v>474</v>
      </c>
      <c r="Q69" s="33">
        <v>87.87</v>
      </c>
      <c r="R69" s="33">
        <f t="shared" si="2"/>
        <v>131.805</v>
      </c>
      <c r="S69" s="14">
        <v>87.87</v>
      </c>
      <c r="T69" s="1" t="s">
        <v>75</v>
      </c>
      <c r="U69" s="1" t="s">
        <v>76</v>
      </c>
      <c r="V69" s="16">
        <v>1.5</v>
      </c>
      <c r="W69" s="14">
        <v>0.0</v>
      </c>
      <c r="X69" s="14">
        <v>-131.81</v>
      </c>
      <c r="Y69" s="1"/>
      <c r="Z69" s="1"/>
      <c r="AA69" s="1"/>
      <c r="AB69" s="1"/>
      <c r="AC69" s="1"/>
      <c r="AD69" s="1"/>
      <c r="AE69" s="1"/>
      <c r="AF69" s="1"/>
      <c r="AG69" s="28"/>
      <c r="AH69" s="28"/>
    </row>
    <row r="70" ht="14.25" customHeight="1">
      <c r="A70" s="13">
        <v>1099222.0</v>
      </c>
      <c r="B70" s="1" t="s">
        <v>551</v>
      </c>
      <c r="C70" s="1" t="s">
        <v>552</v>
      </c>
      <c r="D70" s="13">
        <v>1706194.0</v>
      </c>
      <c r="E70" s="1" t="s">
        <v>314</v>
      </c>
      <c r="F70" s="1" t="s">
        <v>315</v>
      </c>
      <c r="G70" s="1" t="s">
        <v>251</v>
      </c>
      <c r="H70" s="1" t="s">
        <v>171</v>
      </c>
      <c r="I70" s="1" t="s">
        <v>163</v>
      </c>
      <c r="J70" s="1" t="s">
        <v>60</v>
      </c>
      <c r="K70" s="1">
        <v>1.0</v>
      </c>
      <c r="L70" s="1">
        <f t="shared" si="1"/>
        <v>5</v>
      </c>
      <c r="M70" s="1" t="s">
        <v>467</v>
      </c>
      <c r="N70" s="1" t="s">
        <v>468</v>
      </c>
      <c r="O70" s="1" t="s">
        <v>531</v>
      </c>
      <c r="P70" s="1" t="s">
        <v>474</v>
      </c>
      <c r="Q70" s="33">
        <v>141.96</v>
      </c>
      <c r="R70" s="33">
        <f t="shared" si="2"/>
        <v>212.94</v>
      </c>
      <c r="S70" s="14">
        <v>141.96</v>
      </c>
      <c r="T70" s="1" t="s">
        <v>75</v>
      </c>
      <c r="U70" s="1" t="s">
        <v>76</v>
      </c>
      <c r="V70" s="16">
        <v>1.5</v>
      </c>
      <c r="W70" s="14">
        <v>0.0</v>
      </c>
      <c r="X70" s="14">
        <v>-212.94</v>
      </c>
      <c r="Y70" s="1"/>
      <c r="Z70" s="1"/>
      <c r="AA70" s="1"/>
      <c r="AB70" s="1"/>
      <c r="AC70" s="1"/>
      <c r="AD70" s="1"/>
      <c r="AE70" s="1"/>
      <c r="AF70" s="1"/>
      <c r="AG70" s="28"/>
      <c r="AH70" s="28"/>
    </row>
    <row r="71" ht="14.25" customHeight="1">
      <c r="A71" s="13">
        <v>606680.0</v>
      </c>
      <c r="B71" s="1" t="s">
        <v>529</v>
      </c>
      <c r="C71" s="1" t="s">
        <v>530</v>
      </c>
      <c r="D71" s="13">
        <v>8977234.0</v>
      </c>
      <c r="E71" s="1" t="s">
        <v>293</v>
      </c>
      <c r="F71" s="1" t="s">
        <v>294</v>
      </c>
      <c r="G71" s="1" t="s">
        <v>161</v>
      </c>
      <c r="H71" s="1" t="s">
        <v>171</v>
      </c>
      <c r="I71" s="1" t="s">
        <v>163</v>
      </c>
      <c r="J71" s="1" t="s">
        <v>60</v>
      </c>
      <c r="K71" s="1">
        <v>1.0</v>
      </c>
      <c r="L71" s="1">
        <f t="shared" si="1"/>
        <v>5</v>
      </c>
      <c r="M71" s="1" t="s">
        <v>467</v>
      </c>
      <c r="N71" s="1" t="s">
        <v>468</v>
      </c>
      <c r="O71" s="1" t="s">
        <v>464</v>
      </c>
      <c r="P71" s="1" t="s">
        <v>475</v>
      </c>
      <c r="Q71" s="33">
        <v>153.03</v>
      </c>
      <c r="R71" s="33">
        <f t="shared" si="2"/>
        <v>103.29525</v>
      </c>
      <c r="S71" s="14">
        <v>153.03</v>
      </c>
      <c r="T71" s="1" t="s">
        <v>75</v>
      </c>
      <c r="U71" s="1" t="s">
        <v>76</v>
      </c>
      <c r="V71" s="16">
        <v>0.675</v>
      </c>
      <c r="W71" s="14">
        <v>0.0</v>
      </c>
      <c r="X71" s="14">
        <v>-103.3</v>
      </c>
      <c r="Y71" s="1"/>
      <c r="Z71" s="1"/>
      <c r="AA71" s="1"/>
      <c r="AB71" s="1"/>
      <c r="AC71" s="1"/>
      <c r="AD71" s="1"/>
      <c r="AE71" s="1"/>
      <c r="AF71" s="1"/>
      <c r="AG71" s="28"/>
      <c r="AH71" s="28"/>
    </row>
    <row r="72" ht="14.25" customHeight="1">
      <c r="A72" s="13">
        <v>1099222.0</v>
      </c>
      <c r="B72" s="1" t="s">
        <v>551</v>
      </c>
      <c r="C72" s="1" t="s">
        <v>552</v>
      </c>
      <c r="D72" s="13">
        <v>1706194.0</v>
      </c>
      <c r="E72" s="1" t="s">
        <v>305</v>
      </c>
      <c r="F72" s="1" t="s">
        <v>306</v>
      </c>
      <c r="G72" s="1" t="s">
        <v>307</v>
      </c>
      <c r="H72" s="1" t="s">
        <v>171</v>
      </c>
      <c r="I72" s="1" t="s">
        <v>163</v>
      </c>
      <c r="J72" s="1" t="s">
        <v>60</v>
      </c>
      <c r="K72" s="1">
        <v>1.0</v>
      </c>
      <c r="L72" s="1">
        <f t="shared" si="1"/>
        <v>5</v>
      </c>
      <c r="M72" s="1" t="s">
        <v>467</v>
      </c>
      <c r="N72" s="1" t="s">
        <v>468</v>
      </c>
      <c r="O72" s="1" t="s">
        <v>473</v>
      </c>
      <c r="P72" s="1" t="s">
        <v>474</v>
      </c>
      <c r="Q72" s="33">
        <v>182.98</v>
      </c>
      <c r="R72" s="33">
        <f t="shared" si="2"/>
        <v>274.47</v>
      </c>
      <c r="S72" s="14">
        <v>182.98</v>
      </c>
      <c r="T72" s="1" t="s">
        <v>75</v>
      </c>
      <c r="U72" s="1" t="s">
        <v>76</v>
      </c>
      <c r="V72" s="16">
        <v>1.5</v>
      </c>
      <c r="W72" s="14">
        <v>0.0</v>
      </c>
      <c r="X72" s="14">
        <v>-274.47</v>
      </c>
      <c r="Y72" s="1"/>
      <c r="Z72" s="1"/>
      <c r="AA72" s="1"/>
      <c r="AB72" s="1"/>
      <c r="AC72" s="1"/>
      <c r="AD72" s="1"/>
      <c r="AE72" s="1"/>
      <c r="AF72" s="1"/>
      <c r="AG72" s="28"/>
      <c r="AH72" s="28"/>
    </row>
    <row r="73" ht="14.25" customHeight="1">
      <c r="A73" s="13">
        <v>893387.0</v>
      </c>
      <c r="B73" s="1" t="s">
        <v>470</v>
      </c>
      <c r="C73" s="1" t="s">
        <v>545</v>
      </c>
      <c r="D73" s="13">
        <v>8307933.0</v>
      </c>
      <c r="E73" s="1" t="s">
        <v>168</v>
      </c>
      <c r="F73" s="1" t="s">
        <v>169</v>
      </c>
      <c r="G73" s="1" t="s">
        <v>170</v>
      </c>
      <c r="H73" s="1" t="s">
        <v>171</v>
      </c>
      <c r="I73" s="1" t="s">
        <v>163</v>
      </c>
      <c r="J73" s="1" t="s">
        <v>60</v>
      </c>
      <c r="K73" s="1">
        <v>1.0</v>
      </c>
      <c r="L73" s="1">
        <f t="shared" si="1"/>
        <v>5</v>
      </c>
      <c r="M73" s="1" t="s">
        <v>467</v>
      </c>
      <c r="N73" s="1" t="s">
        <v>468</v>
      </c>
      <c r="O73" s="1" t="s">
        <v>531</v>
      </c>
      <c r="P73" s="1" t="s">
        <v>474</v>
      </c>
      <c r="Q73" s="33">
        <v>192.42</v>
      </c>
      <c r="R73" s="33">
        <f t="shared" si="2"/>
        <v>288.63</v>
      </c>
      <c r="S73" s="14">
        <v>192.42</v>
      </c>
      <c r="T73" s="1" t="s">
        <v>75</v>
      </c>
      <c r="U73" s="1" t="s">
        <v>76</v>
      </c>
      <c r="V73" s="16">
        <v>1.5</v>
      </c>
      <c r="W73" s="14">
        <v>0.0</v>
      </c>
      <c r="X73" s="14">
        <v>-288.63</v>
      </c>
      <c r="Y73" s="1"/>
      <c r="Z73" s="1"/>
      <c r="AA73" s="1"/>
      <c r="AB73" s="1"/>
      <c r="AC73" s="1"/>
      <c r="AD73" s="1"/>
      <c r="AE73" s="1"/>
      <c r="AF73" s="1"/>
      <c r="AG73" s="28"/>
      <c r="AH73" s="28"/>
    </row>
    <row r="74" ht="14.25" customHeight="1">
      <c r="A74" s="13">
        <v>1099222.0</v>
      </c>
      <c r="B74" s="1" t="s">
        <v>551</v>
      </c>
      <c r="C74" s="1" t="s">
        <v>552</v>
      </c>
      <c r="D74" s="13">
        <v>1706194.0</v>
      </c>
      <c r="E74" s="1" t="s">
        <v>338</v>
      </c>
      <c r="F74" s="1" t="s">
        <v>339</v>
      </c>
      <c r="G74" s="1" t="s">
        <v>307</v>
      </c>
      <c r="H74" s="1" t="s">
        <v>171</v>
      </c>
      <c r="I74" s="1" t="s">
        <v>163</v>
      </c>
      <c r="J74" s="1" t="s">
        <v>60</v>
      </c>
      <c r="K74" s="1">
        <v>1.0</v>
      </c>
      <c r="L74" s="1">
        <f t="shared" si="1"/>
        <v>5</v>
      </c>
      <c r="M74" s="1" t="s">
        <v>467</v>
      </c>
      <c r="N74" s="1" t="s">
        <v>468</v>
      </c>
      <c r="O74" s="1" t="s">
        <v>473</v>
      </c>
      <c r="P74" s="1" t="s">
        <v>474</v>
      </c>
      <c r="Q74" s="33">
        <v>193.84</v>
      </c>
      <c r="R74" s="33">
        <f t="shared" si="2"/>
        <v>290.76</v>
      </c>
      <c r="S74" s="14">
        <v>193.84</v>
      </c>
      <c r="T74" s="1" t="s">
        <v>75</v>
      </c>
      <c r="U74" s="1" t="s">
        <v>76</v>
      </c>
      <c r="V74" s="16">
        <v>1.5</v>
      </c>
      <c r="W74" s="14">
        <v>0.0</v>
      </c>
      <c r="X74" s="14">
        <v>-290.76</v>
      </c>
      <c r="Y74" s="1"/>
      <c r="Z74" s="1"/>
      <c r="AA74" s="1"/>
      <c r="AB74" s="1"/>
      <c r="AC74" s="1"/>
      <c r="AD74" s="1"/>
      <c r="AE74" s="1"/>
      <c r="AF74" s="1"/>
      <c r="AG74" s="28"/>
      <c r="AH74" s="28"/>
    </row>
    <row r="75" ht="14.25" customHeight="1">
      <c r="A75" s="13">
        <v>815797.0</v>
      </c>
      <c r="B75" s="1" t="s">
        <v>553</v>
      </c>
      <c r="C75" s="1" t="s">
        <v>554</v>
      </c>
      <c r="D75" s="13" t="s">
        <v>555</v>
      </c>
      <c r="E75" s="1" t="s">
        <v>212</v>
      </c>
      <c r="F75" s="1" t="s">
        <v>213</v>
      </c>
      <c r="G75" s="1" t="s">
        <v>214</v>
      </c>
      <c r="H75" s="1" t="s">
        <v>215</v>
      </c>
      <c r="I75" s="1" t="s">
        <v>216</v>
      </c>
      <c r="J75" s="1" t="s">
        <v>60</v>
      </c>
      <c r="K75" s="1">
        <v>1.0</v>
      </c>
      <c r="L75" s="1">
        <f t="shared" si="1"/>
        <v>6</v>
      </c>
      <c r="M75" s="1" t="s">
        <v>467</v>
      </c>
      <c r="N75" s="1" t="s">
        <v>468</v>
      </c>
      <c r="O75" s="1" t="s">
        <v>464</v>
      </c>
      <c r="P75" s="1" t="s">
        <v>465</v>
      </c>
      <c r="Q75" s="33">
        <v>144.24</v>
      </c>
      <c r="R75" s="33">
        <f t="shared" si="2"/>
        <v>194.724</v>
      </c>
      <c r="S75" s="14">
        <v>144.24</v>
      </c>
      <c r="T75" s="1" t="s">
        <v>75</v>
      </c>
      <c r="U75" s="1" t="s">
        <v>76</v>
      </c>
      <c r="V75" s="16">
        <v>1.35</v>
      </c>
      <c r="W75" s="14">
        <v>0.0</v>
      </c>
      <c r="X75" s="14">
        <v>-194.72</v>
      </c>
      <c r="Y75" s="1"/>
      <c r="Z75" s="1"/>
      <c r="AA75" s="1"/>
      <c r="AB75" s="1"/>
      <c r="AC75" s="1"/>
      <c r="AD75" s="1"/>
      <c r="AE75" s="1"/>
      <c r="AF75" s="1"/>
      <c r="AG75" s="28"/>
      <c r="AH75" s="28"/>
    </row>
    <row r="76" ht="14.25" customHeight="1">
      <c r="A76" s="13">
        <v>893387.0</v>
      </c>
      <c r="B76" s="1" t="s">
        <v>470</v>
      </c>
      <c r="C76" s="1" t="s">
        <v>545</v>
      </c>
      <c r="D76" s="13">
        <v>8307933.0</v>
      </c>
      <c r="E76" s="1" t="s">
        <v>164</v>
      </c>
      <c r="F76" s="1" t="s">
        <v>165</v>
      </c>
      <c r="G76" s="1" t="s">
        <v>166</v>
      </c>
      <c r="H76" s="1" t="s">
        <v>167</v>
      </c>
      <c r="I76" s="1" t="s">
        <v>163</v>
      </c>
      <c r="J76" s="1" t="s">
        <v>60</v>
      </c>
      <c r="K76" s="1">
        <v>1.0</v>
      </c>
      <c r="L76" s="1">
        <f t="shared" si="1"/>
        <v>6</v>
      </c>
      <c r="M76" s="1" t="s">
        <v>467</v>
      </c>
      <c r="N76" s="1" t="s">
        <v>468</v>
      </c>
      <c r="O76" s="1" t="s">
        <v>473</v>
      </c>
      <c r="P76" s="1" t="s">
        <v>474</v>
      </c>
      <c r="Q76" s="33">
        <v>192.42</v>
      </c>
      <c r="R76" s="33">
        <f t="shared" si="2"/>
        <v>288.63</v>
      </c>
      <c r="S76" s="14">
        <v>192.42</v>
      </c>
      <c r="T76" s="1" t="s">
        <v>75</v>
      </c>
      <c r="U76" s="1" t="s">
        <v>76</v>
      </c>
      <c r="V76" s="16">
        <v>1.5</v>
      </c>
      <c r="W76" s="14">
        <v>0.0</v>
      </c>
      <c r="X76" s="14">
        <v>-288.63</v>
      </c>
      <c r="Y76" s="1"/>
      <c r="Z76" s="1"/>
      <c r="AA76" s="1"/>
      <c r="AB76" s="1"/>
      <c r="AC76" s="1"/>
      <c r="AD76" s="1"/>
      <c r="AE76" s="1"/>
      <c r="AF76" s="1"/>
      <c r="AG76" s="28"/>
      <c r="AH76" s="28"/>
    </row>
    <row r="77" ht="14.25" customHeight="1">
      <c r="A77" s="13">
        <v>893387.0</v>
      </c>
      <c r="B77" s="1" t="s">
        <v>470</v>
      </c>
      <c r="C77" s="1" t="s">
        <v>545</v>
      </c>
      <c r="D77" s="13">
        <v>8307933.0</v>
      </c>
      <c r="E77" s="1" t="s">
        <v>172</v>
      </c>
      <c r="F77" s="1" t="s">
        <v>173</v>
      </c>
      <c r="G77" s="1" t="s">
        <v>174</v>
      </c>
      <c r="H77" s="1" t="s">
        <v>167</v>
      </c>
      <c r="I77" s="1" t="s">
        <v>163</v>
      </c>
      <c r="J77" s="1" t="s">
        <v>60</v>
      </c>
      <c r="K77" s="1">
        <v>1.0</v>
      </c>
      <c r="L77" s="1">
        <f t="shared" si="1"/>
        <v>6</v>
      </c>
      <c r="M77" s="1" t="s">
        <v>467</v>
      </c>
      <c r="N77" s="1" t="s">
        <v>468</v>
      </c>
      <c r="O77" s="1" t="s">
        <v>473</v>
      </c>
      <c r="P77" s="1" t="s">
        <v>474</v>
      </c>
      <c r="Q77" s="33">
        <v>194.02</v>
      </c>
      <c r="R77" s="33">
        <f t="shared" si="2"/>
        <v>291.03</v>
      </c>
      <c r="S77" s="14">
        <v>194.02</v>
      </c>
      <c r="T77" s="1" t="s">
        <v>75</v>
      </c>
      <c r="U77" s="1" t="s">
        <v>76</v>
      </c>
      <c r="V77" s="16">
        <v>1.5</v>
      </c>
      <c r="W77" s="14">
        <v>0.0</v>
      </c>
      <c r="X77" s="14">
        <v>-291.03</v>
      </c>
      <c r="Y77" s="1"/>
      <c r="Z77" s="1"/>
      <c r="AA77" s="1"/>
      <c r="AB77" s="1"/>
      <c r="AC77" s="1"/>
      <c r="AD77" s="1"/>
      <c r="AE77" s="1"/>
      <c r="AF77" s="1"/>
      <c r="AG77" s="28"/>
      <c r="AH77" s="28"/>
    </row>
    <row r="78" ht="14.25" customHeight="1">
      <c r="A78" s="13">
        <v>893387.0</v>
      </c>
      <c r="B78" s="1" t="s">
        <v>470</v>
      </c>
      <c r="C78" s="1" t="s">
        <v>545</v>
      </c>
      <c r="D78" s="13">
        <v>8307933.0</v>
      </c>
      <c r="E78" s="1" t="s">
        <v>334</v>
      </c>
      <c r="F78" s="1" t="s">
        <v>335</v>
      </c>
      <c r="G78" s="1" t="s">
        <v>177</v>
      </c>
      <c r="H78" s="1" t="s">
        <v>336</v>
      </c>
      <c r="I78" s="1" t="s">
        <v>337</v>
      </c>
      <c r="J78" s="1" t="s">
        <v>60</v>
      </c>
      <c r="K78" s="1">
        <v>1.0</v>
      </c>
      <c r="L78" s="1">
        <f t="shared" si="1"/>
        <v>6</v>
      </c>
      <c r="M78" s="1" t="s">
        <v>467</v>
      </c>
      <c r="N78" s="1" t="s">
        <v>468</v>
      </c>
      <c r="O78" s="1" t="s">
        <v>464</v>
      </c>
      <c r="P78" s="1" t="s">
        <v>475</v>
      </c>
      <c r="Q78" s="33">
        <v>234.36</v>
      </c>
      <c r="R78" s="33">
        <f t="shared" si="2"/>
        <v>158.193</v>
      </c>
      <c r="S78" s="14">
        <v>234.36</v>
      </c>
      <c r="T78" s="1" t="s">
        <v>75</v>
      </c>
      <c r="U78" s="1" t="s">
        <v>76</v>
      </c>
      <c r="V78" s="16">
        <v>0.675</v>
      </c>
      <c r="W78" s="14">
        <v>0.0</v>
      </c>
      <c r="X78" s="14">
        <v>-158.19</v>
      </c>
      <c r="Y78" s="1"/>
      <c r="Z78" s="1"/>
      <c r="AA78" s="1"/>
      <c r="AB78" s="1"/>
      <c r="AC78" s="1"/>
      <c r="AD78" s="1"/>
      <c r="AE78" s="1"/>
      <c r="AF78" s="1"/>
      <c r="AG78" s="28"/>
      <c r="AH78" s="28"/>
    </row>
    <row r="79" ht="14.25" customHeight="1">
      <c r="A79" s="13">
        <v>893214.0</v>
      </c>
      <c r="B79" s="1" t="s">
        <v>548</v>
      </c>
      <c r="C79" s="1" t="s">
        <v>549</v>
      </c>
      <c r="D79" s="13">
        <v>1.6228684E7</v>
      </c>
      <c r="E79" s="1" t="s">
        <v>426</v>
      </c>
      <c r="F79" s="1" t="s">
        <v>427</v>
      </c>
      <c r="G79" s="1" t="s">
        <v>251</v>
      </c>
      <c r="H79" s="1" t="s">
        <v>429</v>
      </c>
      <c r="I79" s="1" t="s">
        <v>58</v>
      </c>
      <c r="J79" s="1" t="s">
        <v>60</v>
      </c>
      <c r="K79" s="1">
        <v>1.0</v>
      </c>
      <c r="L79" s="1">
        <f t="shared" si="1"/>
        <v>8</v>
      </c>
      <c r="M79" s="1" t="s">
        <v>467</v>
      </c>
      <c r="N79" s="1" t="s">
        <v>468</v>
      </c>
      <c r="O79" s="1" t="s">
        <v>508</v>
      </c>
      <c r="P79" s="1" t="s">
        <v>501</v>
      </c>
      <c r="Q79" s="33">
        <v>74.21</v>
      </c>
      <c r="R79" s="33">
        <f t="shared" si="2"/>
        <v>38.5892</v>
      </c>
      <c r="S79" s="14">
        <v>74.21</v>
      </c>
      <c r="T79" s="1" t="s">
        <v>75</v>
      </c>
      <c r="U79" s="1" t="s">
        <v>76</v>
      </c>
      <c r="V79" s="16">
        <v>0.52</v>
      </c>
      <c r="W79" s="14">
        <v>38.59</v>
      </c>
      <c r="X79" s="14">
        <v>0.0</v>
      </c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4.25" customHeight="1">
      <c r="A80" s="13">
        <v>893214.0</v>
      </c>
      <c r="B80" s="1" t="s">
        <v>548</v>
      </c>
      <c r="C80" s="1" t="s">
        <v>549</v>
      </c>
      <c r="D80" s="13">
        <v>1.6228684E7</v>
      </c>
      <c r="E80" s="1" t="s">
        <v>430</v>
      </c>
      <c r="F80" s="1" t="s">
        <v>431</v>
      </c>
      <c r="G80" s="1" t="s">
        <v>251</v>
      </c>
      <c r="H80" s="1" t="s">
        <v>429</v>
      </c>
      <c r="I80" s="1" t="s">
        <v>58</v>
      </c>
      <c r="J80" s="1" t="s">
        <v>60</v>
      </c>
      <c r="K80" s="1">
        <v>1.0</v>
      </c>
      <c r="L80" s="1">
        <f t="shared" si="1"/>
        <v>8</v>
      </c>
      <c r="M80" s="1" t="s">
        <v>467</v>
      </c>
      <c r="N80" s="1" t="s">
        <v>468</v>
      </c>
      <c r="O80" s="1" t="s">
        <v>508</v>
      </c>
      <c r="P80" s="1" t="s">
        <v>501</v>
      </c>
      <c r="Q80" s="33">
        <v>74.21</v>
      </c>
      <c r="R80" s="33">
        <f t="shared" si="2"/>
        <v>38.5892</v>
      </c>
      <c r="S80" s="14">
        <v>74.21</v>
      </c>
      <c r="T80" s="1" t="s">
        <v>75</v>
      </c>
      <c r="U80" s="1" t="s">
        <v>76</v>
      </c>
      <c r="V80" s="16">
        <v>0.52</v>
      </c>
      <c r="W80" s="14">
        <v>38.59</v>
      </c>
      <c r="X80" s="14">
        <v>0.0</v>
      </c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4.25" customHeight="1">
      <c r="A81" s="13">
        <v>893214.0</v>
      </c>
      <c r="B81" s="1" t="s">
        <v>548</v>
      </c>
      <c r="C81" s="1" t="s">
        <v>549</v>
      </c>
      <c r="D81" s="13">
        <v>1.6228684E7</v>
      </c>
      <c r="E81" s="1" t="s">
        <v>319</v>
      </c>
      <c r="F81" s="1" t="s">
        <v>320</v>
      </c>
      <c r="G81" s="1" t="s">
        <v>54</v>
      </c>
      <c r="H81" s="1" t="s">
        <v>162</v>
      </c>
      <c r="I81" s="1" t="s">
        <v>163</v>
      </c>
      <c r="J81" s="1" t="s">
        <v>60</v>
      </c>
      <c r="K81" s="1">
        <v>1.0</v>
      </c>
      <c r="L81" s="1">
        <f t="shared" si="1"/>
        <v>8</v>
      </c>
      <c r="M81" s="1" t="s">
        <v>467</v>
      </c>
      <c r="N81" s="1" t="s">
        <v>468</v>
      </c>
      <c r="O81" s="1" t="s">
        <v>464</v>
      </c>
      <c r="P81" s="1" t="s">
        <v>538</v>
      </c>
      <c r="Q81" s="33">
        <v>128.75</v>
      </c>
      <c r="R81" s="33">
        <f t="shared" si="2"/>
        <v>173.8125</v>
      </c>
      <c r="S81" s="14">
        <v>128.75</v>
      </c>
      <c r="T81" s="1" t="s">
        <v>75</v>
      </c>
      <c r="U81" s="1" t="s">
        <v>76</v>
      </c>
      <c r="V81" s="16">
        <v>1.35</v>
      </c>
      <c r="W81" s="14">
        <v>0.0</v>
      </c>
      <c r="X81" s="14">
        <v>-173.81</v>
      </c>
      <c r="Y81" s="1"/>
      <c r="Z81" s="1"/>
      <c r="AA81" s="1"/>
      <c r="AB81" s="1"/>
      <c r="AC81" s="1"/>
      <c r="AD81" s="1"/>
      <c r="AE81" s="1"/>
      <c r="AF81" s="1"/>
      <c r="AG81" s="28"/>
      <c r="AH81" s="28"/>
    </row>
    <row r="82" ht="14.25" customHeight="1">
      <c r="A82" s="13">
        <v>893387.0</v>
      </c>
      <c r="B82" s="1" t="s">
        <v>470</v>
      </c>
      <c r="C82" s="1" t="s">
        <v>545</v>
      </c>
      <c r="D82" s="13">
        <v>8307933.0</v>
      </c>
      <c r="E82" s="1" t="s">
        <v>159</v>
      </c>
      <c r="F82" s="1" t="s">
        <v>160</v>
      </c>
      <c r="G82" s="1" t="s">
        <v>161</v>
      </c>
      <c r="H82" s="1" t="s">
        <v>162</v>
      </c>
      <c r="I82" s="1" t="s">
        <v>163</v>
      </c>
      <c r="J82" s="1" t="s">
        <v>60</v>
      </c>
      <c r="K82" s="1">
        <v>1.0</v>
      </c>
      <c r="L82" s="1">
        <f t="shared" si="1"/>
        <v>8</v>
      </c>
      <c r="M82" s="1" t="s">
        <v>467</v>
      </c>
      <c r="N82" s="1" t="s">
        <v>468</v>
      </c>
      <c r="O82" s="1" t="s">
        <v>464</v>
      </c>
      <c r="P82" s="1" t="s">
        <v>475</v>
      </c>
      <c r="Q82" s="33">
        <v>198.23</v>
      </c>
      <c r="R82" s="33">
        <f t="shared" si="2"/>
        <v>133.80525</v>
      </c>
      <c r="S82" s="14">
        <v>198.23</v>
      </c>
      <c r="T82" s="1" t="s">
        <v>75</v>
      </c>
      <c r="U82" s="1" t="s">
        <v>76</v>
      </c>
      <c r="V82" s="16">
        <v>0.675</v>
      </c>
      <c r="W82" s="14">
        <v>0.0</v>
      </c>
      <c r="X82" s="14">
        <v>-133.81</v>
      </c>
      <c r="Y82" s="1"/>
      <c r="Z82" s="1"/>
      <c r="AA82" s="1"/>
      <c r="AB82" s="1"/>
      <c r="AC82" s="1"/>
      <c r="AD82" s="1"/>
      <c r="AE82" s="1"/>
      <c r="AF82" s="1"/>
      <c r="AG82" s="28"/>
      <c r="AH82" s="28"/>
    </row>
    <row r="83" ht="14.25" customHeight="1">
      <c r="A83" s="13">
        <v>893387.0</v>
      </c>
      <c r="B83" s="1" t="s">
        <v>470</v>
      </c>
      <c r="C83" s="1" t="s">
        <v>545</v>
      </c>
      <c r="D83" s="13">
        <v>8307933.0</v>
      </c>
      <c r="E83" s="1" t="s">
        <v>154</v>
      </c>
      <c r="F83" s="1" t="s">
        <v>155</v>
      </c>
      <c r="G83" s="1" t="s">
        <v>156</v>
      </c>
      <c r="H83" s="1" t="s">
        <v>157</v>
      </c>
      <c r="I83" s="1" t="s">
        <v>158</v>
      </c>
      <c r="J83" s="1" t="s">
        <v>60</v>
      </c>
      <c r="K83" s="1">
        <v>1.0</v>
      </c>
      <c r="L83" s="1">
        <f t="shared" si="1"/>
        <v>8</v>
      </c>
      <c r="M83" s="1" t="s">
        <v>467</v>
      </c>
      <c r="N83" s="1" t="s">
        <v>468</v>
      </c>
      <c r="O83" s="1" t="s">
        <v>464</v>
      </c>
      <c r="P83" s="1" t="s">
        <v>475</v>
      </c>
      <c r="Q83" s="33">
        <v>202.13</v>
      </c>
      <c r="R83" s="33">
        <f t="shared" si="2"/>
        <v>136.43775</v>
      </c>
      <c r="S83" s="14">
        <v>202.13</v>
      </c>
      <c r="T83" s="1" t="s">
        <v>75</v>
      </c>
      <c r="U83" s="1" t="s">
        <v>76</v>
      </c>
      <c r="V83" s="16">
        <v>0.675</v>
      </c>
      <c r="W83" s="14">
        <v>0.0</v>
      </c>
      <c r="X83" s="14">
        <v>-136.44</v>
      </c>
      <c r="Y83" s="1"/>
      <c r="Z83" s="1"/>
      <c r="AA83" s="1"/>
      <c r="AB83" s="1"/>
      <c r="AC83" s="1"/>
      <c r="AD83" s="1"/>
      <c r="AE83" s="1"/>
      <c r="AF83" s="1"/>
      <c r="AG83" s="28"/>
      <c r="AH83" s="28"/>
    </row>
    <row r="84" ht="14.25" customHeight="1">
      <c r="A84" s="13">
        <v>606680.0</v>
      </c>
      <c r="B84" s="1" t="s">
        <v>529</v>
      </c>
      <c r="C84" s="1" t="s">
        <v>530</v>
      </c>
      <c r="D84" s="13">
        <v>8977234.0</v>
      </c>
      <c r="E84" s="1" t="s">
        <v>289</v>
      </c>
      <c r="F84" s="1" t="s">
        <v>290</v>
      </c>
      <c r="G84" s="1" t="s">
        <v>291</v>
      </c>
      <c r="H84" s="1" t="s">
        <v>292</v>
      </c>
      <c r="I84" s="1" t="s">
        <v>163</v>
      </c>
      <c r="J84" s="1" t="s">
        <v>60</v>
      </c>
      <c r="K84" s="1">
        <v>1.0</v>
      </c>
      <c r="L84" s="1">
        <f t="shared" si="1"/>
        <v>9</v>
      </c>
      <c r="M84" s="1" t="s">
        <v>467</v>
      </c>
      <c r="N84" s="1" t="s">
        <v>468</v>
      </c>
      <c r="O84" s="1" t="s">
        <v>473</v>
      </c>
      <c r="P84" s="1" t="s">
        <v>474</v>
      </c>
      <c r="Q84" s="33">
        <v>58.85</v>
      </c>
      <c r="R84" s="33">
        <f t="shared" si="2"/>
        <v>88.275</v>
      </c>
      <c r="S84" s="14">
        <v>58.85</v>
      </c>
      <c r="T84" s="1" t="s">
        <v>75</v>
      </c>
      <c r="U84" s="1" t="s">
        <v>76</v>
      </c>
      <c r="V84" s="16">
        <v>1.5</v>
      </c>
      <c r="W84" s="14">
        <v>0.0</v>
      </c>
      <c r="X84" s="14">
        <v>-88.28</v>
      </c>
      <c r="Y84" s="1"/>
      <c r="Z84" s="1"/>
      <c r="AA84" s="1"/>
      <c r="AB84" s="1"/>
      <c r="AC84" s="1"/>
      <c r="AD84" s="1"/>
      <c r="AE84" s="1"/>
      <c r="AF84" s="1"/>
      <c r="AG84" s="28"/>
      <c r="AH84" s="28"/>
    </row>
    <row r="85" ht="14.25" customHeight="1">
      <c r="A85" s="13">
        <v>1196651.0</v>
      </c>
      <c r="B85" s="1" t="s">
        <v>556</v>
      </c>
      <c r="C85" s="1" t="s">
        <v>557</v>
      </c>
      <c r="D85" s="13">
        <v>2.1122864E7</v>
      </c>
      <c r="E85" s="1" t="s">
        <v>233</v>
      </c>
      <c r="F85" s="1" t="s">
        <v>234</v>
      </c>
      <c r="G85" s="1" t="s">
        <v>149</v>
      </c>
      <c r="H85" s="1" t="s">
        <v>235</v>
      </c>
      <c r="I85" s="1" t="s">
        <v>206</v>
      </c>
      <c r="J85" s="1" t="s">
        <v>60</v>
      </c>
      <c r="K85" s="1">
        <v>1.0</v>
      </c>
      <c r="L85" s="1">
        <f t="shared" si="1"/>
        <v>11</v>
      </c>
      <c r="M85" s="1" t="s">
        <v>467</v>
      </c>
      <c r="N85" s="1" t="s">
        <v>468</v>
      </c>
      <c r="O85" s="1" t="s">
        <v>492</v>
      </c>
      <c r="P85" s="1" t="s">
        <v>558</v>
      </c>
      <c r="Q85" s="33">
        <v>78.68</v>
      </c>
      <c r="R85" s="33">
        <f t="shared" si="2"/>
        <v>106.218</v>
      </c>
      <c r="S85" s="14">
        <v>78.68</v>
      </c>
      <c r="T85" s="1" t="s">
        <v>75</v>
      </c>
      <c r="U85" s="1" t="s">
        <v>76</v>
      </c>
      <c r="V85" s="16">
        <v>1.35</v>
      </c>
      <c r="W85" s="14">
        <v>106.22</v>
      </c>
      <c r="X85" s="14">
        <v>0.0</v>
      </c>
      <c r="Y85" s="1"/>
      <c r="Z85" s="1"/>
      <c r="AA85" s="1"/>
      <c r="AB85" s="1"/>
      <c r="AC85" s="1"/>
      <c r="AD85" s="1"/>
      <c r="AE85" s="1"/>
      <c r="AF85" s="1"/>
      <c r="AG85" s="28"/>
      <c r="AH85" s="28"/>
    </row>
    <row r="86" ht="14.25" customHeight="1">
      <c r="A86" s="13">
        <v>606680.0</v>
      </c>
      <c r="B86" s="1" t="s">
        <v>529</v>
      </c>
      <c r="C86" s="1" t="s">
        <v>530</v>
      </c>
      <c r="D86" s="13">
        <v>8977234.0</v>
      </c>
      <c r="E86" s="1" t="s">
        <v>285</v>
      </c>
      <c r="F86" s="1" t="s">
        <v>286</v>
      </c>
      <c r="G86" s="1" t="s">
        <v>287</v>
      </c>
      <c r="H86" s="1" t="s">
        <v>235</v>
      </c>
      <c r="I86" s="1" t="s">
        <v>206</v>
      </c>
      <c r="J86" s="1" t="s">
        <v>60</v>
      </c>
      <c r="K86" s="1">
        <v>1.0</v>
      </c>
      <c r="L86" s="1">
        <f t="shared" si="1"/>
        <v>11</v>
      </c>
      <c r="M86" s="1" t="s">
        <v>467</v>
      </c>
      <c r="N86" s="1" t="s">
        <v>468</v>
      </c>
      <c r="O86" s="1" t="s">
        <v>559</v>
      </c>
      <c r="P86" s="1" t="s">
        <v>560</v>
      </c>
      <c r="Q86" s="33">
        <v>91.63</v>
      </c>
      <c r="R86" s="33">
        <f t="shared" si="2"/>
        <v>80.17625</v>
      </c>
      <c r="S86" s="14">
        <v>91.63</v>
      </c>
      <c r="T86" s="1" t="s">
        <v>75</v>
      </c>
      <c r="U86" s="1" t="s">
        <v>76</v>
      </c>
      <c r="V86" s="16">
        <v>0.875</v>
      </c>
      <c r="W86" s="14">
        <v>80.18</v>
      </c>
      <c r="X86" s="14">
        <v>0.0</v>
      </c>
      <c r="Y86" s="1"/>
      <c r="Z86" s="1"/>
      <c r="AA86" s="1"/>
      <c r="AB86" s="1"/>
      <c r="AC86" s="1"/>
      <c r="AD86" s="1"/>
      <c r="AE86" s="1"/>
      <c r="AF86" s="1"/>
      <c r="AG86" s="24"/>
      <c r="AH86" s="24"/>
    </row>
    <row r="87" ht="14.25" customHeight="1">
      <c r="A87" s="13">
        <v>1121105.0</v>
      </c>
      <c r="B87" s="1" t="s">
        <v>561</v>
      </c>
      <c r="C87" s="1" t="s">
        <v>562</v>
      </c>
      <c r="D87" s="13">
        <v>2.0999157E7</v>
      </c>
      <c r="E87" s="1" t="s">
        <v>331</v>
      </c>
      <c r="F87" s="1" t="s">
        <v>332</v>
      </c>
      <c r="G87" s="1" t="s">
        <v>54</v>
      </c>
      <c r="H87" s="1" t="s">
        <v>333</v>
      </c>
      <c r="I87" s="1" t="s">
        <v>324</v>
      </c>
      <c r="J87" s="1" t="s">
        <v>60</v>
      </c>
      <c r="K87" s="1">
        <v>1.0</v>
      </c>
      <c r="L87" s="1">
        <f t="shared" si="1"/>
        <v>11</v>
      </c>
      <c r="M87" s="1" t="s">
        <v>467</v>
      </c>
      <c r="N87" s="1" t="s">
        <v>468</v>
      </c>
      <c r="O87" s="1" t="s">
        <v>464</v>
      </c>
      <c r="P87" s="1" t="s">
        <v>558</v>
      </c>
      <c r="Q87" s="33">
        <v>100.06</v>
      </c>
      <c r="R87" s="33">
        <f t="shared" si="2"/>
        <v>135.081</v>
      </c>
      <c r="S87" s="14">
        <v>100.06</v>
      </c>
      <c r="T87" s="1" t="s">
        <v>75</v>
      </c>
      <c r="U87" s="1" t="s">
        <v>76</v>
      </c>
      <c r="V87" s="16">
        <v>1.35</v>
      </c>
      <c r="W87" s="14">
        <v>135.08</v>
      </c>
      <c r="X87" s="14">
        <v>0.0</v>
      </c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4.25" customHeight="1">
      <c r="A88" s="13">
        <v>893387.0</v>
      </c>
      <c r="B88" s="1" t="s">
        <v>470</v>
      </c>
      <c r="C88" s="1" t="s">
        <v>545</v>
      </c>
      <c r="D88" s="13">
        <v>8307933.0</v>
      </c>
      <c r="E88" s="1" t="s">
        <v>359</v>
      </c>
      <c r="F88" s="1" t="s">
        <v>360</v>
      </c>
      <c r="G88" s="1" t="s">
        <v>54</v>
      </c>
      <c r="H88" s="1" t="s">
        <v>361</v>
      </c>
      <c r="I88" s="1" t="s">
        <v>139</v>
      </c>
      <c r="J88" s="1" t="s">
        <v>60</v>
      </c>
      <c r="K88" s="1">
        <v>1.0</v>
      </c>
      <c r="L88" s="1">
        <f t="shared" si="1"/>
        <v>11</v>
      </c>
      <c r="M88" s="1" t="s">
        <v>467</v>
      </c>
      <c r="N88" s="1" t="s">
        <v>468</v>
      </c>
      <c r="O88" s="1" t="s">
        <v>464</v>
      </c>
      <c r="P88" s="1" t="s">
        <v>538</v>
      </c>
      <c r="Q88" s="33">
        <v>225.39</v>
      </c>
      <c r="R88" s="33">
        <f t="shared" si="2"/>
        <v>304.2765</v>
      </c>
      <c r="S88" s="14">
        <v>225.39</v>
      </c>
      <c r="T88" s="1" t="s">
        <v>75</v>
      </c>
      <c r="U88" s="1" t="s">
        <v>76</v>
      </c>
      <c r="V88" s="16">
        <v>1.35</v>
      </c>
      <c r="W88" s="14">
        <v>304.28</v>
      </c>
      <c r="X88" s="14">
        <v>0.0</v>
      </c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4.25" customHeight="1">
      <c r="A89" s="13">
        <v>893387.0</v>
      </c>
      <c r="B89" s="1" t="s">
        <v>470</v>
      </c>
      <c r="C89" s="1" t="s">
        <v>545</v>
      </c>
      <c r="D89" s="13">
        <v>8307933.0</v>
      </c>
      <c r="E89" s="1" t="s">
        <v>354</v>
      </c>
      <c r="F89" s="1" t="s">
        <v>355</v>
      </c>
      <c r="G89" s="1" t="s">
        <v>352</v>
      </c>
      <c r="H89" s="1" t="s">
        <v>356</v>
      </c>
      <c r="I89" s="1" t="s">
        <v>163</v>
      </c>
      <c r="J89" s="1" t="s">
        <v>60</v>
      </c>
      <c r="K89" s="1">
        <v>1.0</v>
      </c>
      <c r="L89" s="1">
        <f t="shared" si="1"/>
        <v>12</v>
      </c>
      <c r="M89" s="1" t="s">
        <v>467</v>
      </c>
      <c r="N89" s="1" t="s">
        <v>468</v>
      </c>
      <c r="O89" s="1" t="s">
        <v>464</v>
      </c>
      <c r="P89" s="1" t="s">
        <v>475</v>
      </c>
      <c r="Q89" s="33">
        <v>160.63</v>
      </c>
      <c r="R89" s="33">
        <f t="shared" si="2"/>
        <v>108.42525</v>
      </c>
      <c r="S89" s="14">
        <v>160.63</v>
      </c>
      <c r="T89" s="1" t="s">
        <v>75</v>
      </c>
      <c r="U89" s="1" t="s">
        <v>76</v>
      </c>
      <c r="V89" s="16">
        <v>0.675</v>
      </c>
      <c r="W89" s="14">
        <v>108.43</v>
      </c>
      <c r="X89" s="14">
        <v>0.0</v>
      </c>
      <c r="Y89" s="1"/>
      <c r="Z89" s="1"/>
      <c r="AA89" s="1"/>
      <c r="AB89" s="1"/>
      <c r="AC89" s="1"/>
      <c r="AD89" s="1"/>
      <c r="AE89" s="1"/>
      <c r="AF89" s="1"/>
      <c r="AG89" s="24"/>
      <c r="AH89" s="24"/>
    </row>
    <row r="90" ht="14.25" customHeight="1">
      <c r="A90" s="13">
        <v>893387.0</v>
      </c>
      <c r="B90" s="1" t="s">
        <v>470</v>
      </c>
      <c r="C90" s="1" t="s">
        <v>545</v>
      </c>
      <c r="D90" s="13">
        <v>8307933.0</v>
      </c>
      <c r="E90" s="1" t="s">
        <v>357</v>
      </c>
      <c r="F90" s="1" t="s">
        <v>358</v>
      </c>
      <c r="G90" s="1" t="s">
        <v>352</v>
      </c>
      <c r="H90" s="1" t="s">
        <v>356</v>
      </c>
      <c r="I90" s="1" t="s">
        <v>163</v>
      </c>
      <c r="J90" s="1" t="s">
        <v>60</v>
      </c>
      <c r="K90" s="1">
        <v>1.0</v>
      </c>
      <c r="L90" s="1">
        <f t="shared" si="1"/>
        <v>12</v>
      </c>
      <c r="M90" s="1" t="s">
        <v>467</v>
      </c>
      <c r="N90" s="1" t="s">
        <v>468</v>
      </c>
      <c r="O90" s="1" t="s">
        <v>464</v>
      </c>
      <c r="P90" s="1" t="s">
        <v>475</v>
      </c>
      <c r="Q90" s="33">
        <v>160.63</v>
      </c>
      <c r="R90" s="33">
        <f t="shared" si="2"/>
        <v>108.42525</v>
      </c>
      <c r="S90" s="14">
        <v>160.63</v>
      </c>
      <c r="T90" s="1" t="s">
        <v>75</v>
      </c>
      <c r="U90" s="1" t="s">
        <v>76</v>
      </c>
      <c r="V90" s="16">
        <v>0.675</v>
      </c>
      <c r="W90" s="14">
        <v>108.43</v>
      </c>
      <c r="X90" s="14">
        <v>0.0</v>
      </c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4.25" customHeight="1">
      <c r="A91" s="13">
        <v>893387.0</v>
      </c>
      <c r="B91" s="1" t="s">
        <v>470</v>
      </c>
      <c r="C91" s="1" t="s">
        <v>545</v>
      </c>
      <c r="D91" s="13">
        <v>8307933.0</v>
      </c>
      <c r="E91" s="1" t="s">
        <v>350</v>
      </c>
      <c r="F91" s="1" t="s">
        <v>351</v>
      </c>
      <c r="G91" s="1" t="s">
        <v>352</v>
      </c>
      <c r="H91" s="1" t="s">
        <v>353</v>
      </c>
      <c r="I91" s="1" t="s">
        <v>102</v>
      </c>
      <c r="J91" s="1" t="s">
        <v>60</v>
      </c>
      <c r="K91" s="1">
        <v>1.0</v>
      </c>
      <c r="L91" s="1">
        <f t="shared" si="1"/>
        <v>13</v>
      </c>
      <c r="M91" s="1" t="s">
        <v>467</v>
      </c>
      <c r="N91" s="1" t="s">
        <v>468</v>
      </c>
      <c r="O91" s="1" t="s">
        <v>464</v>
      </c>
      <c r="P91" s="1" t="s">
        <v>475</v>
      </c>
      <c r="Q91" s="33">
        <v>134.81</v>
      </c>
      <c r="R91" s="33">
        <f t="shared" si="2"/>
        <v>90.99675</v>
      </c>
      <c r="S91" s="14">
        <v>134.81</v>
      </c>
      <c r="T91" s="1" t="s">
        <v>75</v>
      </c>
      <c r="U91" s="1" t="s">
        <v>76</v>
      </c>
      <c r="V91" s="16">
        <v>0.675</v>
      </c>
      <c r="W91" s="14">
        <v>91.0</v>
      </c>
      <c r="X91" s="14">
        <v>0.0</v>
      </c>
      <c r="Y91" s="1"/>
      <c r="Z91" s="1"/>
      <c r="AA91" s="1"/>
      <c r="AB91" s="1"/>
      <c r="AC91" s="1"/>
      <c r="AD91" s="1"/>
      <c r="AE91" s="1"/>
      <c r="AF91" s="1"/>
      <c r="AG91" s="24"/>
      <c r="AH91" s="24"/>
    </row>
    <row r="92" ht="14.25" customHeight="1">
      <c r="A92" s="13">
        <v>893387.0</v>
      </c>
      <c r="B92" s="1" t="s">
        <v>470</v>
      </c>
      <c r="C92" s="1" t="s">
        <v>545</v>
      </c>
      <c r="D92" s="13">
        <v>8307933.0</v>
      </c>
      <c r="E92" s="1" t="s">
        <v>364</v>
      </c>
      <c r="F92" s="1" t="s">
        <v>365</v>
      </c>
      <c r="G92" s="1" t="s">
        <v>161</v>
      </c>
      <c r="H92" s="1" t="s">
        <v>366</v>
      </c>
      <c r="I92" s="1" t="s">
        <v>192</v>
      </c>
      <c r="J92" s="1" t="s">
        <v>60</v>
      </c>
      <c r="K92" s="1">
        <v>1.0</v>
      </c>
      <c r="L92" s="1">
        <f t="shared" si="1"/>
        <v>14</v>
      </c>
      <c r="M92" s="1" t="s">
        <v>467</v>
      </c>
      <c r="N92" s="1" t="s">
        <v>468</v>
      </c>
      <c r="O92" s="1" t="s">
        <v>492</v>
      </c>
      <c r="P92" s="1" t="s">
        <v>538</v>
      </c>
      <c r="Q92" s="33">
        <v>137.1</v>
      </c>
      <c r="R92" s="33">
        <f t="shared" si="2"/>
        <v>9.597</v>
      </c>
      <c r="S92" s="14">
        <v>137.1</v>
      </c>
      <c r="T92" s="1" t="s">
        <v>63</v>
      </c>
      <c r="U92" s="1" t="s">
        <v>64</v>
      </c>
      <c r="V92" s="16">
        <v>0.07</v>
      </c>
      <c r="W92" s="14">
        <v>9.6</v>
      </c>
      <c r="X92" s="14">
        <v>0.0</v>
      </c>
      <c r="Y92" s="1"/>
      <c r="Z92" s="1"/>
      <c r="AA92" s="1"/>
      <c r="AB92" s="1"/>
      <c r="AC92" s="1"/>
      <c r="AD92" s="1"/>
      <c r="AE92" s="1"/>
      <c r="AF92" s="1"/>
      <c r="AG92" s="24"/>
      <c r="AH92" s="24"/>
    </row>
    <row r="93" ht="14.25" customHeight="1">
      <c r="A93" s="13">
        <v>819525.0</v>
      </c>
      <c r="B93" s="1" t="s">
        <v>536</v>
      </c>
      <c r="C93" s="1" t="s">
        <v>537</v>
      </c>
      <c r="D93" s="13">
        <v>9213293.0</v>
      </c>
      <c r="E93" s="1" t="s">
        <v>341</v>
      </c>
      <c r="F93" s="1" t="s">
        <v>342</v>
      </c>
      <c r="G93" s="1" t="s">
        <v>54</v>
      </c>
      <c r="H93" s="1" t="s">
        <v>343</v>
      </c>
      <c r="I93" s="1" t="s">
        <v>163</v>
      </c>
      <c r="J93" s="1" t="s">
        <v>60</v>
      </c>
      <c r="K93" s="1">
        <v>1.0</v>
      </c>
      <c r="L93" s="1">
        <f t="shared" si="1"/>
        <v>16</v>
      </c>
      <c r="M93" s="1" t="s">
        <v>467</v>
      </c>
      <c r="N93" s="1" t="s">
        <v>468</v>
      </c>
      <c r="O93" s="1" t="s">
        <v>492</v>
      </c>
      <c r="P93" s="1" t="s">
        <v>538</v>
      </c>
      <c r="Q93" s="33">
        <v>71.62</v>
      </c>
      <c r="R93" s="33">
        <f t="shared" si="2"/>
        <v>5.0134</v>
      </c>
      <c r="S93" s="14">
        <v>71.62</v>
      </c>
      <c r="T93" s="1" t="s">
        <v>63</v>
      </c>
      <c r="U93" s="1" t="s">
        <v>64</v>
      </c>
      <c r="V93" s="16">
        <v>0.07</v>
      </c>
      <c r="W93" s="14">
        <v>5.01</v>
      </c>
      <c r="X93" s="14">
        <v>0.0</v>
      </c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4.25" customHeight="1">
      <c r="A94" s="13">
        <v>819525.0</v>
      </c>
      <c r="B94" s="1" t="s">
        <v>536</v>
      </c>
      <c r="C94" s="1" t="s">
        <v>537</v>
      </c>
      <c r="D94" s="13">
        <v>9213293.0</v>
      </c>
      <c r="E94" s="1" t="s">
        <v>347</v>
      </c>
      <c r="F94" s="1" t="s">
        <v>348</v>
      </c>
      <c r="G94" s="1" t="s">
        <v>54</v>
      </c>
      <c r="H94" s="1" t="s">
        <v>349</v>
      </c>
      <c r="I94" s="1" t="s">
        <v>266</v>
      </c>
      <c r="J94" s="1" t="s">
        <v>60</v>
      </c>
      <c r="K94" s="1">
        <v>1.0</v>
      </c>
      <c r="L94" s="1">
        <f t="shared" si="1"/>
        <v>16</v>
      </c>
      <c r="M94" s="1" t="s">
        <v>467</v>
      </c>
      <c r="N94" s="1" t="s">
        <v>468</v>
      </c>
      <c r="O94" s="1" t="s">
        <v>492</v>
      </c>
      <c r="P94" s="1" t="s">
        <v>538</v>
      </c>
      <c r="Q94" s="33">
        <v>137.37</v>
      </c>
      <c r="R94" s="33">
        <f t="shared" si="2"/>
        <v>9.6159</v>
      </c>
      <c r="S94" s="14">
        <v>137.37</v>
      </c>
      <c r="T94" s="1" t="s">
        <v>63</v>
      </c>
      <c r="U94" s="1" t="s">
        <v>64</v>
      </c>
      <c r="V94" s="16">
        <v>0.07</v>
      </c>
      <c r="W94" s="14">
        <v>9.62</v>
      </c>
      <c r="X94" s="14">
        <v>0.0</v>
      </c>
      <c r="Y94" s="1"/>
      <c r="Z94" s="1"/>
      <c r="AA94" s="1"/>
      <c r="AB94" s="1"/>
      <c r="AC94" s="1"/>
      <c r="AD94" s="1"/>
      <c r="AE94" s="1"/>
      <c r="AF94" s="1"/>
      <c r="AG94" s="24"/>
      <c r="AH94" s="24"/>
    </row>
    <row r="95" ht="14.25" customHeight="1">
      <c r="A95" s="13">
        <v>893387.0</v>
      </c>
      <c r="B95" s="1" t="s">
        <v>470</v>
      </c>
      <c r="C95" s="1" t="s">
        <v>545</v>
      </c>
      <c r="D95" s="13">
        <v>8307933.0</v>
      </c>
      <c r="E95" s="1" t="s">
        <v>362</v>
      </c>
      <c r="F95" s="1" t="s">
        <v>363</v>
      </c>
      <c r="G95" s="1" t="s">
        <v>166</v>
      </c>
      <c r="H95" s="1" t="s">
        <v>343</v>
      </c>
      <c r="I95" s="1" t="s">
        <v>163</v>
      </c>
      <c r="J95" s="1" t="s">
        <v>60</v>
      </c>
      <c r="K95" s="1">
        <v>1.0</v>
      </c>
      <c r="L95" s="1">
        <f t="shared" si="1"/>
        <v>16</v>
      </c>
      <c r="M95" s="1" t="s">
        <v>467</v>
      </c>
      <c r="N95" s="1" t="s">
        <v>468</v>
      </c>
      <c r="O95" s="1" t="s">
        <v>492</v>
      </c>
      <c r="P95" s="1" t="s">
        <v>541</v>
      </c>
      <c r="Q95" s="33">
        <v>167.5</v>
      </c>
      <c r="R95" s="33">
        <f t="shared" si="2"/>
        <v>11.725</v>
      </c>
      <c r="S95" s="14">
        <v>167.5</v>
      </c>
      <c r="T95" s="1" t="s">
        <v>63</v>
      </c>
      <c r="U95" s="1" t="s">
        <v>64</v>
      </c>
      <c r="V95" s="16">
        <v>0.07</v>
      </c>
      <c r="W95" s="14">
        <v>11.73</v>
      </c>
      <c r="X95" s="14">
        <v>0.0</v>
      </c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4.25" customHeight="1">
      <c r="A96" s="13">
        <v>893387.0</v>
      </c>
      <c r="B96" s="1" t="s">
        <v>470</v>
      </c>
      <c r="C96" s="1" t="s">
        <v>545</v>
      </c>
      <c r="D96" s="13">
        <v>8307933.0</v>
      </c>
      <c r="E96" s="1" t="s">
        <v>380</v>
      </c>
      <c r="F96" s="1" t="s">
        <v>381</v>
      </c>
      <c r="G96" s="1" t="s">
        <v>177</v>
      </c>
      <c r="H96" s="1" t="s">
        <v>68</v>
      </c>
      <c r="I96" s="1" t="s">
        <v>375</v>
      </c>
      <c r="J96" s="1" t="s">
        <v>376</v>
      </c>
      <c r="K96" s="1">
        <v>3.0</v>
      </c>
      <c r="L96" s="1">
        <f t="shared" si="1"/>
        <v>16</v>
      </c>
      <c r="M96" s="1" t="s">
        <v>467</v>
      </c>
      <c r="N96" s="1" t="s">
        <v>468</v>
      </c>
      <c r="O96" s="1" t="s">
        <v>486</v>
      </c>
      <c r="P96" s="1" t="s">
        <v>563</v>
      </c>
      <c r="Q96" s="33">
        <v>592.83</v>
      </c>
      <c r="R96" s="33">
        <f t="shared" si="2"/>
        <v>112.6377</v>
      </c>
      <c r="S96" s="14">
        <v>592.83</v>
      </c>
      <c r="T96" s="1" t="s">
        <v>63</v>
      </c>
      <c r="U96" s="1" t="s">
        <v>64</v>
      </c>
      <c r="V96" s="16">
        <v>0.19</v>
      </c>
      <c r="W96" s="14">
        <v>112.65</v>
      </c>
      <c r="X96" s="14">
        <v>0.0</v>
      </c>
      <c r="Y96" s="1"/>
      <c r="Z96" s="1"/>
      <c r="AA96" s="1"/>
      <c r="AB96" s="1"/>
      <c r="AC96" s="1"/>
      <c r="AD96" s="1"/>
      <c r="AE96" s="1"/>
      <c r="AF96" s="1"/>
      <c r="AG96" s="24"/>
      <c r="AH96" s="24"/>
    </row>
    <row r="97" ht="14.25" customHeight="1">
      <c r="A97" s="13">
        <v>893387.0</v>
      </c>
      <c r="B97" s="1" t="s">
        <v>470</v>
      </c>
      <c r="C97" s="1" t="s">
        <v>545</v>
      </c>
      <c r="D97" s="13">
        <v>8307933.0</v>
      </c>
      <c r="E97" s="1" t="s">
        <v>104</v>
      </c>
      <c r="F97" s="1" t="s">
        <v>105</v>
      </c>
      <c r="G97" s="1" t="s">
        <v>106</v>
      </c>
      <c r="H97" s="1" t="s">
        <v>108</v>
      </c>
      <c r="I97" s="1" t="s">
        <v>58</v>
      </c>
      <c r="J97" s="1" t="s">
        <v>60</v>
      </c>
      <c r="K97" s="1">
        <v>1.0</v>
      </c>
      <c r="L97" s="1">
        <f t="shared" si="1"/>
        <v>17</v>
      </c>
      <c r="M97" s="1" t="s">
        <v>467</v>
      </c>
      <c r="N97" s="1" t="s">
        <v>468</v>
      </c>
      <c r="O97" s="1" t="s">
        <v>486</v>
      </c>
      <c r="P97" s="1" t="s">
        <v>487</v>
      </c>
      <c r="Q97" s="33">
        <v>124.93</v>
      </c>
      <c r="R97" s="33">
        <f t="shared" si="2"/>
        <v>28.7339</v>
      </c>
      <c r="S97" s="14">
        <v>105.87</v>
      </c>
      <c r="T97" s="1" t="s">
        <v>63</v>
      </c>
      <c r="U97" s="1" t="s">
        <v>64</v>
      </c>
      <c r="V97" s="16">
        <v>0.23</v>
      </c>
      <c r="W97" s="14">
        <v>24.35</v>
      </c>
      <c r="X97" s="14">
        <v>0.0</v>
      </c>
      <c r="Y97" s="1"/>
      <c r="Z97" s="1"/>
      <c r="AA97" s="1"/>
      <c r="AB97" s="1"/>
      <c r="AC97" s="1"/>
      <c r="AD97" s="1"/>
      <c r="AE97" s="1"/>
      <c r="AF97" s="1"/>
      <c r="AG97" s="28"/>
      <c r="AH97" s="28"/>
    </row>
    <row r="98" ht="14.25" customHeight="1">
      <c r="A98" s="13">
        <v>1093959.0</v>
      </c>
      <c r="B98" s="1" t="s">
        <v>564</v>
      </c>
      <c r="C98" s="1" t="s">
        <v>565</v>
      </c>
      <c r="D98" s="13">
        <v>1.7886092E7</v>
      </c>
      <c r="E98" s="1" t="s">
        <v>367</v>
      </c>
      <c r="F98" s="1" t="s">
        <v>368</v>
      </c>
      <c r="G98" s="1" t="s">
        <v>214</v>
      </c>
      <c r="H98" s="1" t="s">
        <v>369</v>
      </c>
      <c r="I98" s="1" t="s">
        <v>179</v>
      </c>
      <c r="J98" s="1" t="s">
        <v>60</v>
      </c>
      <c r="K98" s="1">
        <v>1.0</v>
      </c>
      <c r="L98" s="1">
        <f t="shared" si="1"/>
        <v>20</v>
      </c>
      <c r="M98" s="1" t="s">
        <v>467</v>
      </c>
      <c r="N98" s="1" t="s">
        <v>468</v>
      </c>
      <c r="O98" s="1" t="s">
        <v>492</v>
      </c>
      <c r="P98" s="1" t="s">
        <v>469</v>
      </c>
      <c r="Q98" s="33">
        <v>52.07</v>
      </c>
      <c r="R98" s="33">
        <f t="shared" si="2"/>
        <v>1.30175</v>
      </c>
      <c r="S98" s="14">
        <v>52.07</v>
      </c>
      <c r="T98" s="1" t="s">
        <v>63</v>
      </c>
      <c r="U98" s="1" t="s">
        <v>64</v>
      </c>
      <c r="V98" s="16">
        <v>0.025</v>
      </c>
      <c r="W98" s="14">
        <v>1.3</v>
      </c>
      <c r="X98" s="14">
        <v>0.0</v>
      </c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4.25" customHeight="1">
      <c r="A99" s="13">
        <v>816910.0</v>
      </c>
      <c r="B99" s="1" t="s">
        <v>546</v>
      </c>
      <c r="C99" s="1" t="s">
        <v>547</v>
      </c>
      <c r="D99" s="13">
        <v>9079571.0</v>
      </c>
      <c r="E99" s="1" t="s">
        <v>388</v>
      </c>
      <c r="F99" s="1" t="s">
        <v>389</v>
      </c>
      <c r="G99" s="1" t="s">
        <v>149</v>
      </c>
      <c r="H99" s="1" t="s">
        <v>391</v>
      </c>
      <c r="I99" s="1" t="s">
        <v>58</v>
      </c>
      <c r="J99" s="1" t="s">
        <v>60</v>
      </c>
      <c r="K99" s="1">
        <v>1.0</v>
      </c>
      <c r="L99" s="1">
        <f t="shared" si="1"/>
        <v>21</v>
      </c>
      <c r="M99" s="1" t="s">
        <v>467</v>
      </c>
      <c r="N99" s="1" t="s">
        <v>468</v>
      </c>
      <c r="O99" s="1" t="s">
        <v>479</v>
      </c>
      <c r="P99" s="1" t="s">
        <v>566</v>
      </c>
      <c r="Q99" s="33">
        <v>120.5</v>
      </c>
      <c r="R99" s="33">
        <f t="shared" si="2"/>
        <v>32.535</v>
      </c>
      <c r="S99" s="14">
        <v>120.5</v>
      </c>
      <c r="T99" s="1" t="s">
        <v>63</v>
      </c>
      <c r="U99" s="1" t="s">
        <v>64</v>
      </c>
      <c r="V99" s="16">
        <v>0.27</v>
      </c>
      <c r="W99" s="14">
        <v>32.54</v>
      </c>
      <c r="X99" s="14">
        <v>0.0</v>
      </c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4.25" customHeight="1">
      <c r="A100" s="13">
        <v>815797.0</v>
      </c>
      <c r="B100" s="1" t="s">
        <v>553</v>
      </c>
      <c r="C100" s="1" t="s">
        <v>554</v>
      </c>
      <c r="D100" s="13">
        <v>1.7528908E7</v>
      </c>
      <c r="E100" s="1" t="s">
        <v>344</v>
      </c>
      <c r="F100" s="1" t="s">
        <v>345</v>
      </c>
      <c r="G100" s="1" t="s">
        <v>214</v>
      </c>
      <c r="H100" s="1" t="s">
        <v>346</v>
      </c>
      <c r="I100" s="1" t="s">
        <v>221</v>
      </c>
      <c r="J100" s="1" t="s">
        <v>60</v>
      </c>
      <c r="K100" s="1">
        <v>1.0</v>
      </c>
      <c r="L100" s="1">
        <f t="shared" si="1"/>
        <v>22</v>
      </c>
      <c r="M100" s="1" t="s">
        <v>467</v>
      </c>
      <c r="N100" s="1" t="s">
        <v>468</v>
      </c>
      <c r="O100" s="1" t="s">
        <v>492</v>
      </c>
      <c r="P100" s="1" t="s">
        <v>538</v>
      </c>
      <c r="Q100" s="33">
        <v>27.01</v>
      </c>
      <c r="R100" s="33">
        <f t="shared" si="2"/>
        <v>1.8907</v>
      </c>
      <c r="S100" s="14">
        <v>27.01</v>
      </c>
      <c r="T100" s="1" t="s">
        <v>63</v>
      </c>
      <c r="U100" s="1" t="s">
        <v>64</v>
      </c>
      <c r="V100" s="16">
        <v>0.07</v>
      </c>
      <c r="W100" s="14">
        <v>1.89</v>
      </c>
      <c r="X100" s="14">
        <v>0.0</v>
      </c>
      <c r="Y100" s="1"/>
      <c r="Z100" s="1"/>
      <c r="AA100" s="1"/>
      <c r="AB100" s="1"/>
      <c r="AC100" s="1"/>
      <c r="AD100" s="1"/>
      <c r="AE100" s="1"/>
      <c r="AF100" s="1"/>
      <c r="AG100" s="28"/>
      <c r="AH100" s="28"/>
    </row>
    <row r="101" ht="14.25" customHeight="1">
      <c r="A101" s="13">
        <v>957310.0</v>
      </c>
      <c r="B101" s="1" t="s">
        <v>567</v>
      </c>
      <c r="C101" s="1" t="s">
        <v>568</v>
      </c>
      <c r="D101" s="13" t="s">
        <v>569</v>
      </c>
      <c r="E101" s="1" t="s">
        <v>371</v>
      </c>
      <c r="F101" s="1" t="s">
        <v>372</v>
      </c>
      <c r="G101" s="1" t="s">
        <v>214</v>
      </c>
      <c r="H101" s="1" t="s">
        <v>374</v>
      </c>
      <c r="I101" s="1" t="s">
        <v>375</v>
      </c>
      <c r="J101" s="1" t="s">
        <v>376</v>
      </c>
      <c r="K101" s="1">
        <v>3.0</v>
      </c>
      <c r="L101" s="1">
        <f t="shared" si="1"/>
        <v>22</v>
      </c>
      <c r="M101" s="1" t="s">
        <v>467</v>
      </c>
      <c r="N101" s="1" t="s">
        <v>468</v>
      </c>
      <c r="O101" s="1" t="s">
        <v>486</v>
      </c>
      <c r="P101" s="1" t="s">
        <v>563</v>
      </c>
      <c r="Q101" s="33">
        <v>620.46</v>
      </c>
      <c r="R101" s="33">
        <f t="shared" si="2"/>
        <v>133.3989</v>
      </c>
      <c r="S101" s="14">
        <v>498.42</v>
      </c>
      <c r="T101" s="1" t="s">
        <v>63</v>
      </c>
      <c r="U101" s="1" t="s">
        <v>64</v>
      </c>
      <c r="V101" s="16">
        <v>0.215</v>
      </c>
      <c r="W101" s="14">
        <v>107.16</v>
      </c>
      <c r="X101" s="14">
        <v>0.0</v>
      </c>
      <c r="Y101" s="1"/>
      <c r="Z101" s="1"/>
      <c r="AA101" s="1"/>
      <c r="AB101" s="1"/>
      <c r="AC101" s="1"/>
      <c r="AD101" s="1"/>
      <c r="AE101" s="1"/>
      <c r="AF101" s="1"/>
      <c r="AG101" s="28"/>
      <c r="AH101" s="28"/>
    </row>
    <row r="102" ht="14.25" customHeight="1">
      <c r="A102" s="13">
        <v>957310.0</v>
      </c>
      <c r="B102" s="1" t="s">
        <v>567</v>
      </c>
      <c r="C102" s="1" t="s">
        <v>568</v>
      </c>
      <c r="D102" s="13" t="s">
        <v>569</v>
      </c>
      <c r="E102" s="1" t="s">
        <v>383</v>
      </c>
      <c r="F102" s="1" t="s">
        <v>384</v>
      </c>
      <c r="G102" s="1" t="s">
        <v>214</v>
      </c>
      <c r="H102" s="1" t="s">
        <v>386</v>
      </c>
      <c r="I102" s="1" t="s">
        <v>58</v>
      </c>
      <c r="J102" s="1" t="s">
        <v>60</v>
      </c>
      <c r="K102" s="1">
        <v>1.0</v>
      </c>
      <c r="L102" s="1">
        <f t="shared" si="1"/>
        <v>23</v>
      </c>
      <c r="M102" s="1" t="s">
        <v>467</v>
      </c>
      <c r="N102" s="1" t="s">
        <v>468</v>
      </c>
      <c r="O102" s="1" t="s">
        <v>479</v>
      </c>
      <c r="P102" s="1" t="s">
        <v>570</v>
      </c>
      <c r="Q102" s="33">
        <v>118.77</v>
      </c>
      <c r="R102" s="33">
        <f t="shared" si="2"/>
        <v>30.28635</v>
      </c>
      <c r="S102" s="14">
        <v>99.8</v>
      </c>
      <c r="T102" s="1" t="s">
        <v>63</v>
      </c>
      <c r="U102" s="1" t="s">
        <v>64</v>
      </c>
      <c r="V102" s="16">
        <v>0.255</v>
      </c>
      <c r="W102" s="14">
        <v>25.45</v>
      </c>
      <c r="X102" s="14">
        <v>0.0</v>
      </c>
      <c r="Y102" s="1"/>
      <c r="Z102" s="1"/>
      <c r="AA102" s="1"/>
      <c r="AB102" s="1"/>
      <c r="AC102" s="1"/>
      <c r="AD102" s="1"/>
      <c r="AE102" s="1"/>
      <c r="AF102" s="1"/>
      <c r="AG102" s="28"/>
      <c r="AH102" s="28"/>
    </row>
    <row r="103" ht="14.25" customHeight="1">
      <c r="A103" s="13">
        <v>893387.0</v>
      </c>
      <c r="B103" s="1" t="s">
        <v>470</v>
      </c>
      <c r="C103" s="1" t="s">
        <v>545</v>
      </c>
      <c r="D103" s="13">
        <v>8307933.0</v>
      </c>
      <c r="E103" s="1" t="s">
        <v>109</v>
      </c>
      <c r="F103" s="1" t="s">
        <v>110</v>
      </c>
      <c r="G103" s="1" t="s">
        <v>54</v>
      </c>
      <c r="H103" s="1" t="s">
        <v>101</v>
      </c>
      <c r="I103" s="1" t="s">
        <v>102</v>
      </c>
      <c r="J103" s="1" t="s">
        <v>60</v>
      </c>
      <c r="K103" s="1">
        <v>1.0</v>
      </c>
      <c r="L103" s="1">
        <f t="shared" si="1"/>
        <v>26</v>
      </c>
      <c r="M103" s="1" t="s">
        <v>467</v>
      </c>
      <c r="N103" s="1" t="s">
        <v>468</v>
      </c>
      <c r="O103" s="1" t="s">
        <v>486</v>
      </c>
      <c r="P103" s="1" t="s">
        <v>487</v>
      </c>
      <c r="Q103" s="33">
        <v>183.64</v>
      </c>
      <c r="R103" s="33">
        <f t="shared" si="2"/>
        <v>42.2372</v>
      </c>
      <c r="S103" s="14">
        <v>112.82</v>
      </c>
      <c r="T103" s="1" t="s">
        <v>63</v>
      </c>
      <c r="U103" s="1" t="s">
        <v>64</v>
      </c>
      <c r="V103" s="16">
        <v>0.23</v>
      </c>
      <c r="W103" s="14">
        <v>25.95</v>
      </c>
      <c r="X103" s="14">
        <v>0.0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4.25" customHeight="1">
      <c r="A104" s="13">
        <v>893387.0</v>
      </c>
      <c r="B104" s="1" t="s">
        <v>470</v>
      </c>
      <c r="C104" s="1" t="s">
        <v>545</v>
      </c>
      <c r="D104" s="13">
        <v>8307933.0</v>
      </c>
      <c r="E104" s="1" t="s">
        <v>98</v>
      </c>
      <c r="F104" s="1" t="s">
        <v>99</v>
      </c>
      <c r="G104" s="1" t="s">
        <v>54</v>
      </c>
      <c r="H104" s="1" t="s">
        <v>101</v>
      </c>
      <c r="I104" s="1" t="s">
        <v>102</v>
      </c>
      <c r="J104" s="1" t="s">
        <v>60</v>
      </c>
      <c r="K104" s="1">
        <v>1.0</v>
      </c>
      <c r="L104" s="1">
        <f t="shared" si="1"/>
        <v>26</v>
      </c>
      <c r="M104" s="1" t="s">
        <v>467</v>
      </c>
      <c r="N104" s="1" t="s">
        <v>468</v>
      </c>
      <c r="O104" s="1" t="s">
        <v>486</v>
      </c>
      <c r="P104" s="1" t="s">
        <v>487</v>
      </c>
      <c r="Q104" s="33">
        <v>268.6</v>
      </c>
      <c r="R104" s="33">
        <f t="shared" si="2"/>
        <v>61.778</v>
      </c>
      <c r="S104" s="14">
        <v>160.36</v>
      </c>
      <c r="T104" s="1" t="s">
        <v>63</v>
      </c>
      <c r="U104" s="1" t="s">
        <v>64</v>
      </c>
      <c r="V104" s="16">
        <v>0.23</v>
      </c>
      <c r="W104" s="14">
        <v>36.88</v>
      </c>
      <c r="X104" s="14">
        <v>0.0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4.25" customHeight="1">
      <c r="A105" s="13">
        <v>893387.0</v>
      </c>
      <c r="B105" s="1" t="s">
        <v>470</v>
      </c>
      <c r="C105" s="1" t="s">
        <v>545</v>
      </c>
      <c r="D105" s="13">
        <v>8307933.0</v>
      </c>
      <c r="E105" s="1" t="s">
        <v>397</v>
      </c>
      <c r="F105" s="1" t="s">
        <v>398</v>
      </c>
      <c r="G105" s="1" t="s">
        <v>291</v>
      </c>
      <c r="H105" s="1" t="s">
        <v>400</v>
      </c>
      <c r="I105" s="1" t="s">
        <v>401</v>
      </c>
      <c r="J105" s="1" t="s">
        <v>60</v>
      </c>
      <c r="K105" s="1">
        <v>1.0</v>
      </c>
      <c r="L105" s="1">
        <f t="shared" si="1"/>
        <v>27</v>
      </c>
      <c r="M105" s="1" t="s">
        <v>467</v>
      </c>
      <c r="N105" s="1" t="s">
        <v>468</v>
      </c>
      <c r="O105" s="1" t="s">
        <v>486</v>
      </c>
      <c r="P105" s="1" t="s">
        <v>571</v>
      </c>
      <c r="Q105" s="33">
        <v>185.06</v>
      </c>
      <c r="R105" s="33">
        <f t="shared" si="2"/>
        <v>39.7879</v>
      </c>
      <c r="S105" s="14">
        <v>128.09</v>
      </c>
      <c r="T105" s="1" t="s">
        <v>63</v>
      </c>
      <c r="U105" s="1" t="s">
        <v>64</v>
      </c>
      <c r="V105" s="16">
        <v>0.215</v>
      </c>
      <c r="W105" s="14">
        <v>27.54</v>
      </c>
      <c r="X105" s="14">
        <v>0.0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4.25" customHeight="1">
      <c r="A106" s="1"/>
      <c r="B106" s="1"/>
      <c r="C106" s="1"/>
      <c r="D106" s="1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4.25" customHeight="1">
      <c r="A107" s="1"/>
      <c r="B107" s="1"/>
      <c r="C107" s="1"/>
      <c r="D107" s="1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4.25" customHeight="1">
      <c r="A108" s="1"/>
      <c r="B108" s="1"/>
      <c r="C108" s="1"/>
      <c r="D108" s="1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4.25" customHeight="1">
      <c r="A109" s="23">
        <v>893387.0</v>
      </c>
      <c r="B109" s="24" t="s">
        <v>470</v>
      </c>
      <c r="C109" s="24" t="s">
        <v>470</v>
      </c>
      <c r="D109" s="23">
        <v>8307933.0</v>
      </c>
      <c r="E109" s="24" t="s">
        <v>183</v>
      </c>
      <c r="F109" s="24" t="s">
        <v>184</v>
      </c>
      <c r="G109" s="24" t="s">
        <v>54</v>
      </c>
      <c r="H109" s="24" t="s">
        <v>185</v>
      </c>
      <c r="I109" s="24" t="s">
        <v>58</v>
      </c>
      <c r="J109" s="24" t="s">
        <v>60</v>
      </c>
      <c r="K109" s="24">
        <v>1.0</v>
      </c>
      <c r="L109" s="24">
        <f t="shared" ref="L109:L111" si="3">DATEDIF(H109,I109,"M")</f>
        <v>1</v>
      </c>
      <c r="M109" s="24" t="s">
        <v>467</v>
      </c>
      <c r="N109" s="24" t="s">
        <v>468</v>
      </c>
      <c r="O109" s="24" t="s">
        <v>464</v>
      </c>
      <c r="P109" s="24" t="s">
        <v>475</v>
      </c>
      <c r="Q109" s="25">
        <v>348.8</v>
      </c>
      <c r="R109" s="25">
        <f t="shared" ref="R109:R111" si="4">Q109*V109</f>
        <v>235.44</v>
      </c>
      <c r="S109" s="26">
        <v>3139.2</v>
      </c>
      <c r="T109" s="24" t="s">
        <v>75</v>
      </c>
      <c r="U109" s="24" t="s">
        <v>186</v>
      </c>
      <c r="V109" s="27">
        <v>0.675</v>
      </c>
      <c r="W109" s="26">
        <v>2000.0</v>
      </c>
      <c r="X109" s="26">
        <v>2000.0</v>
      </c>
      <c r="Y109" s="24" t="s">
        <v>572</v>
      </c>
      <c r="Z109" s="24"/>
      <c r="AA109" s="24"/>
      <c r="AB109" s="24"/>
      <c r="AC109" s="24"/>
      <c r="AD109" s="24"/>
      <c r="AE109" s="24"/>
      <c r="AF109" s="24"/>
      <c r="AG109" s="1"/>
      <c r="AH109" s="1"/>
    </row>
    <row r="110" ht="14.25" customHeight="1">
      <c r="A110" s="23">
        <v>899216.0</v>
      </c>
      <c r="B110" s="24" t="s">
        <v>481</v>
      </c>
      <c r="C110" s="24" t="s">
        <v>481</v>
      </c>
      <c r="D110" s="23">
        <v>5442438.0</v>
      </c>
      <c r="E110" s="24" t="s">
        <v>147</v>
      </c>
      <c r="F110" s="24" t="s">
        <v>148</v>
      </c>
      <c r="G110" s="24" t="s">
        <v>149</v>
      </c>
      <c r="H110" s="24" t="s">
        <v>85</v>
      </c>
      <c r="I110" s="24" t="s">
        <v>102</v>
      </c>
      <c r="J110" s="24" t="s">
        <v>60</v>
      </c>
      <c r="K110" s="24">
        <v>1.0</v>
      </c>
      <c r="L110" s="24">
        <f t="shared" si="3"/>
        <v>1</v>
      </c>
      <c r="M110" s="24" t="s">
        <v>467</v>
      </c>
      <c r="N110" s="24" t="s">
        <v>468</v>
      </c>
      <c r="O110" s="24" t="s">
        <v>473</v>
      </c>
      <c r="P110" s="24" t="s">
        <v>474</v>
      </c>
      <c r="Q110" s="25">
        <v>117.99</v>
      </c>
      <c r="R110" s="25">
        <f t="shared" si="4"/>
        <v>176.985</v>
      </c>
      <c r="S110" s="26">
        <v>1061.91</v>
      </c>
      <c r="T110" s="24" t="s">
        <v>75</v>
      </c>
      <c r="U110" s="24" t="s">
        <v>151</v>
      </c>
      <c r="V110" s="27">
        <v>1.5</v>
      </c>
      <c r="W110" s="26">
        <v>1592.87</v>
      </c>
      <c r="X110" s="26">
        <v>1592.87</v>
      </c>
      <c r="Y110" s="24" t="s">
        <v>572</v>
      </c>
      <c r="Z110" s="24"/>
      <c r="AA110" s="24"/>
      <c r="AB110" s="24"/>
      <c r="AC110" s="24"/>
      <c r="AD110" s="24"/>
      <c r="AE110" s="24"/>
      <c r="AF110" s="24"/>
      <c r="AG110" s="1"/>
      <c r="AH110" s="1"/>
    </row>
    <row r="111" ht="14.25" customHeight="1">
      <c r="A111" s="23">
        <v>1227344.0</v>
      </c>
      <c r="B111" s="24" t="s">
        <v>482</v>
      </c>
      <c r="C111" s="24" t="s">
        <v>482</v>
      </c>
      <c r="D111" s="23" t="s">
        <v>483</v>
      </c>
      <c r="E111" s="24" t="s">
        <v>245</v>
      </c>
      <c r="F111" s="24" t="s">
        <v>246</v>
      </c>
      <c r="G111" s="24" t="s">
        <v>149</v>
      </c>
      <c r="H111" s="24" t="s">
        <v>152</v>
      </c>
      <c r="I111" s="24" t="s">
        <v>247</v>
      </c>
      <c r="J111" s="24" t="s">
        <v>60</v>
      </c>
      <c r="K111" s="24">
        <v>1.0</v>
      </c>
      <c r="L111" s="24">
        <f t="shared" si="3"/>
        <v>1</v>
      </c>
      <c r="M111" s="24" t="s">
        <v>462</v>
      </c>
      <c r="N111" s="24" t="s">
        <v>463</v>
      </c>
      <c r="O111" s="24" t="s">
        <v>464</v>
      </c>
      <c r="P111" s="24" t="s">
        <v>465</v>
      </c>
      <c r="Q111" s="25">
        <v>152.0</v>
      </c>
      <c r="R111" s="25">
        <f t="shared" si="4"/>
        <v>205.2</v>
      </c>
      <c r="S111" s="26">
        <v>1368.0</v>
      </c>
      <c r="T111" s="24" t="s">
        <v>75</v>
      </c>
      <c r="U111" s="24" t="s">
        <v>118</v>
      </c>
      <c r="V111" s="27">
        <v>1.35</v>
      </c>
      <c r="W111" s="26">
        <v>1846.8</v>
      </c>
      <c r="X111" s="26">
        <v>1846.8</v>
      </c>
      <c r="Y111" s="24" t="s">
        <v>572</v>
      </c>
      <c r="Z111" s="24"/>
      <c r="AA111" s="24"/>
      <c r="AB111" s="24"/>
      <c r="AC111" s="24"/>
      <c r="AD111" s="24"/>
      <c r="AE111" s="24"/>
      <c r="AF111" s="24"/>
      <c r="AG111" s="28"/>
      <c r="AH111" s="28"/>
    </row>
    <row r="112" ht="14.25" customHeight="1">
      <c r="A112" s="1"/>
      <c r="B112" s="1"/>
      <c r="C112" s="1"/>
      <c r="D112" s="1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4.25" customHeight="1">
      <c r="A113" s="34">
        <v>910791.0</v>
      </c>
      <c r="B113" s="35" t="s">
        <v>476</v>
      </c>
      <c r="C113" s="35" t="s">
        <v>542</v>
      </c>
      <c r="D113" s="34">
        <v>1.9491313E7</v>
      </c>
      <c r="E113" s="35" t="s">
        <v>207</v>
      </c>
      <c r="F113" s="35" t="s">
        <v>208</v>
      </c>
      <c r="G113" s="35" t="s">
        <v>129</v>
      </c>
      <c r="H113" s="35" t="s">
        <v>185</v>
      </c>
      <c r="I113" s="35" t="s">
        <v>58</v>
      </c>
      <c r="J113" s="35" t="s">
        <v>60</v>
      </c>
      <c r="K113" s="35">
        <v>1.0</v>
      </c>
      <c r="L113" s="35">
        <f t="shared" ref="L113:L115" si="5">DATEDIF(H113,I113,"M")</f>
        <v>1</v>
      </c>
      <c r="M113" s="35"/>
      <c r="N113" s="35"/>
      <c r="O113" s="35" t="s">
        <v>473</v>
      </c>
      <c r="P113" s="35" t="s">
        <v>474</v>
      </c>
      <c r="Q113" s="36">
        <v>98.99</v>
      </c>
      <c r="R113" s="36">
        <f t="shared" ref="R113:R115" si="6">Q113*V113</f>
        <v>148.485</v>
      </c>
      <c r="S113" s="37">
        <v>98.99</v>
      </c>
      <c r="T113" s="35" t="s">
        <v>75</v>
      </c>
      <c r="U113" s="35" t="s">
        <v>153</v>
      </c>
      <c r="V113" s="38">
        <v>1.5</v>
      </c>
      <c r="W113" s="37">
        <v>0.0</v>
      </c>
      <c r="X113" s="37">
        <v>-148.49</v>
      </c>
      <c r="Y113" s="35" t="s">
        <v>573</v>
      </c>
      <c r="Z113" s="35"/>
      <c r="AA113" s="35"/>
      <c r="AB113" s="35"/>
      <c r="AC113" s="35"/>
      <c r="AD113" s="35"/>
      <c r="AE113" s="35"/>
      <c r="AF113" s="35"/>
      <c r="AG113" s="35"/>
      <c r="AH113" s="35"/>
    </row>
    <row r="114" ht="14.25" customHeight="1">
      <c r="A114" s="34">
        <v>910791.0</v>
      </c>
      <c r="B114" s="35" t="s">
        <v>476</v>
      </c>
      <c r="C114" s="35" t="s">
        <v>542</v>
      </c>
      <c r="D114" s="34">
        <v>1.9491313E7</v>
      </c>
      <c r="E114" s="35" t="s">
        <v>207</v>
      </c>
      <c r="F114" s="35" t="s">
        <v>208</v>
      </c>
      <c r="G114" s="35" t="s">
        <v>129</v>
      </c>
      <c r="H114" s="35" t="s">
        <v>185</v>
      </c>
      <c r="I114" s="35" t="s">
        <v>58</v>
      </c>
      <c r="J114" s="35" t="s">
        <v>60</v>
      </c>
      <c r="K114" s="35">
        <v>1.0</v>
      </c>
      <c r="L114" s="35">
        <f t="shared" si="5"/>
        <v>1</v>
      </c>
      <c r="M114" s="35"/>
      <c r="N114" s="35"/>
      <c r="O114" s="35" t="s">
        <v>473</v>
      </c>
      <c r="P114" s="35" t="s">
        <v>474</v>
      </c>
      <c r="Q114" s="36">
        <v>98.99</v>
      </c>
      <c r="R114" s="36">
        <f t="shared" si="6"/>
        <v>148.485</v>
      </c>
      <c r="S114" s="37">
        <v>890.91</v>
      </c>
      <c r="T114" s="35" t="s">
        <v>75</v>
      </c>
      <c r="U114" s="35" t="s">
        <v>209</v>
      </c>
      <c r="V114" s="38">
        <v>1.5</v>
      </c>
      <c r="W114" s="37">
        <v>1336.41</v>
      </c>
      <c r="X114" s="37">
        <v>1336.41</v>
      </c>
      <c r="Y114" s="35" t="s">
        <v>572</v>
      </c>
      <c r="Z114" s="35"/>
      <c r="AA114" s="35"/>
      <c r="AB114" s="35"/>
      <c r="AC114" s="35"/>
      <c r="AD114" s="35"/>
      <c r="AE114" s="35"/>
      <c r="AF114" s="35"/>
      <c r="AG114" s="35"/>
      <c r="AH114" s="35"/>
    </row>
    <row r="115" ht="14.25" customHeight="1">
      <c r="A115" s="34">
        <v>910791.0</v>
      </c>
      <c r="B115" s="35" t="s">
        <v>476</v>
      </c>
      <c r="C115" s="35" t="s">
        <v>542</v>
      </c>
      <c r="D115" s="34">
        <v>1.9491313E7</v>
      </c>
      <c r="E115" s="35" t="s">
        <v>207</v>
      </c>
      <c r="F115" s="35" t="s">
        <v>208</v>
      </c>
      <c r="G115" s="35" t="s">
        <v>129</v>
      </c>
      <c r="H115" s="35" t="s">
        <v>185</v>
      </c>
      <c r="I115" s="35" t="s">
        <v>58</v>
      </c>
      <c r="J115" s="35" t="s">
        <v>60</v>
      </c>
      <c r="K115" s="35">
        <v>1.0</v>
      </c>
      <c r="L115" s="35">
        <f t="shared" si="5"/>
        <v>1</v>
      </c>
      <c r="M115" s="35"/>
      <c r="N115" s="35"/>
      <c r="O115" s="35" t="s">
        <v>473</v>
      </c>
      <c r="P115" s="35" t="s">
        <v>474</v>
      </c>
      <c r="Q115" s="36">
        <v>98.99</v>
      </c>
      <c r="R115" s="36">
        <f t="shared" si="6"/>
        <v>148.485</v>
      </c>
      <c r="S115" s="37">
        <v>-1614.2</v>
      </c>
      <c r="T115" s="35" t="s">
        <v>75</v>
      </c>
      <c r="U115" s="35" t="s">
        <v>210</v>
      </c>
      <c r="V115" s="38">
        <v>1.5</v>
      </c>
      <c r="W115" s="37">
        <v>-2000.0</v>
      </c>
      <c r="X115" s="37">
        <v>-1757.87</v>
      </c>
      <c r="Y115" s="35" t="s">
        <v>574</v>
      </c>
      <c r="Z115" s="35"/>
      <c r="AA115" s="35"/>
      <c r="AB115" s="35"/>
      <c r="AC115" s="35"/>
      <c r="AD115" s="35"/>
      <c r="AE115" s="35"/>
      <c r="AF115" s="35"/>
      <c r="AG115" s="35"/>
      <c r="AH115" s="35"/>
    </row>
    <row r="116" ht="14.25" customHeight="1">
      <c r="A116" s="1"/>
      <c r="B116" s="1"/>
      <c r="C116" s="1"/>
      <c r="D116" s="1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4.25" customHeight="1">
      <c r="A117" s="39">
        <v>893387.0</v>
      </c>
      <c r="B117" s="40" t="s">
        <v>470</v>
      </c>
      <c r="C117" s="40" t="s">
        <v>545</v>
      </c>
      <c r="D117" s="39">
        <v>8307933.0</v>
      </c>
      <c r="E117" s="40" t="s">
        <v>325</v>
      </c>
      <c r="F117" s="40" t="s">
        <v>326</v>
      </c>
      <c r="G117" s="40" t="s">
        <v>287</v>
      </c>
      <c r="H117" s="40" t="s">
        <v>327</v>
      </c>
      <c r="I117" s="40" t="s">
        <v>328</v>
      </c>
      <c r="J117" s="40" t="s">
        <v>60</v>
      </c>
      <c r="K117" s="40">
        <v>1.0</v>
      </c>
      <c r="L117" s="40">
        <f>DATEDIF(H117,I117,"M")</f>
        <v>10</v>
      </c>
      <c r="M117" s="40" t="s">
        <v>467</v>
      </c>
      <c r="N117" s="40" t="s">
        <v>468</v>
      </c>
      <c r="O117" s="40" t="s">
        <v>464</v>
      </c>
      <c r="P117" s="40" t="s">
        <v>475</v>
      </c>
      <c r="Q117" s="41">
        <v>309.85</v>
      </c>
      <c r="R117" s="41">
        <f>Q117*V117</f>
        <v>209.14875</v>
      </c>
      <c r="S117" s="42">
        <v>-309.85</v>
      </c>
      <c r="T117" s="40" t="s">
        <v>75</v>
      </c>
      <c r="U117" s="40" t="s">
        <v>329</v>
      </c>
      <c r="V117" s="43">
        <v>0.675</v>
      </c>
      <c r="W117" s="42">
        <v>-0.01</v>
      </c>
      <c r="X117" s="42">
        <v>209.14</v>
      </c>
      <c r="Y117" s="40" t="s">
        <v>575</v>
      </c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14.25" customHeight="1">
      <c r="A118" s="1"/>
      <c r="B118" s="1"/>
      <c r="C118" s="1"/>
      <c r="D118" s="1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4.25" customHeight="1">
      <c r="A119" s="1"/>
      <c r="B119" s="1"/>
      <c r="C119" s="1"/>
      <c r="D119" s="1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4.25" customHeight="1">
      <c r="A120" s="1"/>
      <c r="B120" s="1"/>
      <c r="C120" s="1"/>
      <c r="D120" s="1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4.25" customHeight="1">
      <c r="A121" s="1"/>
      <c r="B121" s="1"/>
      <c r="C121" s="1"/>
      <c r="D121" s="1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4.25" customHeight="1">
      <c r="A122" s="1"/>
      <c r="B122" s="1"/>
      <c r="C122" s="1"/>
      <c r="D122" s="1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4.25" customHeight="1">
      <c r="A123" s="1"/>
      <c r="B123" s="1"/>
      <c r="C123" s="1"/>
      <c r="D123" s="1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4.25" customHeight="1">
      <c r="A124" s="1"/>
      <c r="B124" s="1"/>
      <c r="C124" s="1"/>
      <c r="D124" s="1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4.25" customHeight="1">
      <c r="A125" s="1"/>
      <c r="B125" s="1"/>
      <c r="C125" s="1"/>
      <c r="D125" s="1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4.25" customHeight="1">
      <c r="A126" s="1"/>
      <c r="B126" s="1"/>
      <c r="C126" s="1"/>
      <c r="D126" s="1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4.25" customHeight="1">
      <c r="A127" s="1"/>
      <c r="B127" s="1"/>
      <c r="C127" s="1"/>
      <c r="D127" s="1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4.25" customHeight="1">
      <c r="A128" s="1"/>
      <c r="B128" s="1"/>
      <c r="C128" s="1"/>
      <c r="D128" s="1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4.25" customHeight="1">
      <c r="A129" s="1"/>
      <c r="B129" s="1"/>
      <c r="C129" s="1"/>
      <c r="D129" s="1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4.25" customHeight="1">
      <c r="A130" s="1"/>
      <c r="B130" s="1"/>
      <c r="C130" s="1"/>
      <c r="D130" s="1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4.25" customHeight="1">
      <c r="A131" s="1"/>
      <c r="B131" s="1"/>
      <c r="C131" s="1"/>
      <c r="D131" s="1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4.25" customHeight="1">
      <c r="A132" s="1"/>
      <c r="B132" s="1"/>
      <c r="C132" s="1"/>
      <c r="D132" s="1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4.25" customHeight="1">
      <c r="A133" s="1"/>
      <c r="B133" s="1"/>
      <c r="C133" s="1"/>
      <c r="D133" s="1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4.25" customHeight="1">
      <c r="A134" s="1"/>
      <c r="B134" s="1"/>
      <c r="C134" s="1"/>
      <c r="D134" s="1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4.25" customHeight="1">
      <c r="A135" s="1"/>
      <c r="B135" s="1"/>
      <c r="C135" s="1"/>
      <c r="D135" s="1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4.25" customHeight="1">
      <c r="A136" s="1"/>
      <c r="B136" s="1"/>
      <c r="C136" s="1"/>
      <c r="D136" s="1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4.25" customHeight="1">
      <c r="A137" s="1"/>
      <c r="B137" s="1"/>
      <c r="C137" s="1"/>
      <c r="D137" s="1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4.25" customHeight="1">
      <c r="A138" s="1"/>
      <c r="B138" s="1"/>
      <c r="C138" s="1"/>
      <c r="D138" s="1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4.25" customHeight="1">
      <c r="A139" s="1"/>
      <c r="B139" s="1"/>
      <c r="C139" s="1"/>
      <c r="D139" s="1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4.25" customHeight="1">
      <c r="A140" s="1"/>
      <c r="B140" s="1"/>
      <c r="C140" s="1"/>
      <c r="D140" s="1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4.25" customHeight="1">
      <c r="A141" s="1"/>
      <c r="B141" s="1"/>
      <c r="C141" s="1"/>
      <c r="D141" s="1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4.25" customHeight="1">
      <c r="A142" s="1"/>
      <c r="B142" s="1"/>
      <c r="C142" s="1"/>
      <c r="D142" s="1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4.25" customHeight="1">
      <c r="A143" s="1"/>
      <c r="B143" s="1"/>
      <c r="C143" s="1"/>
      <c r="D143" s="1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4.25" customHeight="1">
      <c r="A144" s="1"/>
      <c r="B144" s="1"/>
      <c r="C144" s="1"/>
      <c r="D144" s="1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4.25" customHeight="1">
      <c r="A145" s="1"/>
      <c r="B145" s="1"/>
      <c r="C145" s="1"/>
      <c r="D145" s="1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4.25" customHeight="1">
      <c r="A146" s="1"/>
      <c r="B146" s="1"/>
      <c r="C146" s="1"/>
      <c r="D146" s="1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4.25" customHeight="1">
      <c r="A147" s="1"/>
      <c r="B147" s="1"/>
      <c r="C147" s="1"/>
      <c r="D147" s="1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4.25" customHeight="1">
      <c r="A148" s="1"/>
      <c r="B148" s="1"/>
      <c r="C148" s="1"/>
      <c r="D148" s="1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4.25" customHeight="1">
      <c r="A149" s="1"/>
      <c r="B149" s="1"/>
      <c r="C149" s="1"/>
      <c r="D149" s="1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4.25" customHeight="1">
      <c r="A150" s="1"/>
      <c r="B150" s="1"/>
      <c r="C150" s="1"/>
      <c r="D150" s="1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4.25" customHeight="1">
      <c r="A151" s="1"/>
      <c r="B151" s="1"/>
      <c r="C151" s="1"/>
      <c r="D151" s="1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4.25" customHeight="1">
      <c r="A152" s="1"/>
      <c r="B152" s="1"/>
      <c r="C152" s="1"/>
      <c r="D152" s="1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4.25" customHeight="1">
      <c r="A153" s="1"/>
      <c r="B153" s="1"/>
      <c r="C153" s="1"/>
      <c r="D153" s="1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4.25" customHeight="1">
      <c r="A154" s="1"/>
      <c r="B154" s="1"/>
      <c r="C154" s="1"/>
      <c r="D154" s="1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4.25" customHeight="1">
      <c r="A155" s="1"/>
      <c r="B155" s="1"/>
      <c r="C155" s="1"/>
      <c r="D155" s="1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4.25" customHeight="1">
      <c r="A156" s="1"/>
      <c r="B156" s="1"/>
      <c r="C156" s="1"/>
      <c r="D156" s="1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4.25" customHeight="1">
      <c r="A157" s="1"/>
      <c r="B157" s="1"/>
      <c r="C157" s="1"/>
      <c r="D157" s="1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4.25" customHeight="1">
      <c r="A158" s="1"/>
      <c r="B158" s="1"/>
      <c r="C158" s="1"/>
      <c r="D158" s="1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4.25" customHeight="1">
      <c r="A159" s="1"/>
      <c r="B159" s="1"/>
      <c r="C159" s="1"/>
      <c r="D159" s="1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4.25" customHeight="1">
      <c r="A160" s="1"/>
      <c r="B160" s="1"/>
      <c r="C160" s="1"/>
      <c r="D160" s="1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4.25" customHeight="1">
      <c r="A161" s="1"/>
      <c r="B161" s="1"/>
      <c r="C161" s="1"/>
      <c r="D161" s="1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4.25" customHeight="1">
      <c r="A162" s="1"/>
      <c r="B162" s="1"/>
      <c r="C162" s="1"/>
      <c r="D162" s="1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4.25" customHeight="1">
      <c r="A163" s="1"/>
      <c r="B163" s="1"/>
      <c r="C163" s="1"/>
      <c r="D163" s="1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4.25" customHeight="1">
      <c r="A164" s="1"/>
      <c r="B164" s="1"/>
      <c r="C164" s="1"/>
      <c r="D164" s="1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4.25" customHeight="1">
      <c r="A165" s="1"/>
      <c r="B165" s="1"/>
      <c r="C165" s="1"/>
      <c r="D165" s="1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4.25" customHeight="1">
      <c r="A166" s="1"/>
      <c r="B166" s="1"/>
      <c r="C166" s="1"/>
      <c r="D166" s="1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4.25" customHeight="1">
      <c r="A167" s="1"/>
      <c r="B167" s="1"/>
      <c r="C167" s="1"/>
      <c r="D167" s="1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4.25" customHeight="1">
      <c r="A168" s="1"/>
      <c r="B168" s="1"/>
      <c r="C168" s="1"/>
      <c r="D168" s="1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4.25" customHeight="1">
      <c r="A169" s="1"/>
      <c r="B169" s="1"/>
      <c r="C169" s="1"/>
      <c r="D169" s="1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4.25" customHeight="1">
      <c r="A170" s="1"/>
      <c r="B170" s="1"/>
      <c r="C170" s="1"/>
      <c r="D170" s="1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4.25" customHeight="1">
      <c r="A171" s="1"/>
      <c r="B171" s="1"/>
      <c r="C171" s="1"/>
      <c r="D171" s="1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4.25" customHeight="1">
      <c r="A172" s="1"/>
      <c r="B172" s="1"/>
      <c r="C172" s="1"/>
      <c r="D172" s="1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4.25" customHeight="1">
      <c r="A173" s="1"/>
      <c r="B173" s="1"/>
      <c r="C173" s="1"/>
      <c r="D173" s="1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4.25" customHeight="1">
      <c r="A174" s="1"/>
      <c r="B174" s="1"/>
      <c r="C174" s="1"/>
      <c r="D174" s="1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4.25" customHeight="1">
      <c r="A175" s="1"/>
      <c r="B175" s="1"/>
      <c r="C175" s="1"/>
      <c r="D175" s="1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4.25" customHeight="1">
      <c r="A176" s="1"/>
      <c r="B176" s="1"/>
      <c r="C176" s="1"/>
      <c r="D176" s="1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4.25" customHeight="1">
      <c r="A177" s="1"/>
      <c r="B177" s="1"/>
      <c r="C177" s="1"/>
      <c r="D177" s="1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4.25" customHeight="1">
      <c r="A178" s="1"/>
      <c r="B178" s="1"/>
      <c r="C178" s="1"/>
      <c r="D178" s="1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4.25" customHeight="1">
      <c r="A179" s="1"/>
      <c r="B179" s="1"/>
      <c r="C179" s="1"/>
      <c r="D179" s="1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4.25" customHeight="1">
      <c r="A180" s="1"/>
      <c r="B180" s="1"/>
      <c r="C180" s="1"/>
      <c r="D180" s="1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4.25" customHeight="1">
      <c r="A181" s="1"/>
      <c r="B181" s="1"/>
      <c r="C181" s="1"/>
      <c r="D181" s="1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4.25" customHeight="1">
      <c r="A182" s="1"/>
      <c r="B182" s="1"/>
      <c r="C182" s="1"/>
      <c r="D182" s="1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4.25" customHeight="1">
      <c r="A183" s="1"/>
      <c r="B183" s="1"/>
      <c r="C183" s="1"/>
      <c r="D183" s="1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4.25" customHeight="1">
      <c r="A184" s="1"/>
      <c r="B184" s="1"/>
      <c r="C184" s="1"/>
      <c r="D184" s="1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4.25" customHeight="1">
      <c r="A185" s="1"/>
      <c r="B185" s="1"/>
      <c r="C185" s="1"/>
      <c r="D185" s="1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4.25" customHeight="1">
      <c r="A186" s="1"/>
      <c r="B186" s="1"/>
      <c r="C186" s="1"/>
      <c r="D186" s="1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4.25" customHeight="1">
      <c r="A187" s="1"/>
      <c r="B187" s="1"/>
      <c r="C187" s="1"/>
      <c r="D187" s="1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4.25" customHeight="1">
      <c r="A188" s="1"/>
      <c r="B188" s="1"/>
      <c r="C188" s="1"/>
      <c r="D188" s="1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4.25" customHeight="1">
      <c r="A189" s="1"/>
      <c r="B189" s="1"/>
      <c r="C189" s="1"/>
      <c r="D189" s="1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4.25" customHeight="1">
      <c r="A190" s="1"/>
      <c r="B190" s="1"/>
      <c r="C190" s="1"/>
      <c r="D190" s="1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4.25" customHeight="1">
      <c r="A191" s="1"/>
      <c r="B191" s="1"/>
      <c r="C191" s="1"/>
      <c r="D191" s="1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4.25" customHeight="1">
      <c r="A192" s="1"/>
      <c r="B192" s="1"/>
      <c r="C192" s="1"/>
      <c r="D192" s="1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4.25" customHeight="1">
      <c r="A193" s="1"/>
      <c r="B193" s="1"/>
      <c r="C193" s="1"/>
      <c r="D193" s="1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4.25" customHeight="1">
      <c r="A194" s="1"/>
      <c r="B194" s="1"/>
      <c r="C194" s="1"/>
      <c r="D194" s="1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4.25" customHeight="1">
      <c r="A195" s="1"/>
      <c r="B195" s="1"/>
      <c r="C195" s="1"/>
      <c r="D195" s="1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4.25" customHeight="1">
      <c r="A196" s="1"/>
      <c r="B196" s="1"/>
      <c r="C196" s="1"/>
      <c r="D196" s="1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4.25" customHeight="1">
      <c r="A197" s="1"/>
      <c r="B197" s="1"/>
      <c r="C197" s="1"/>
      <c r="D197" s="1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4.25" customHeight="1">
      <c r="A198" s="1"/>
      <c r="B198" s="1"/>
      <c r="C198" s="1"/>
      <c r="D198" s="1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4.25" customHeight="1">
      <c r="A199" s="1"/>
      <c r="B199" s="1"/>
      <c r="C199" s="1"/>
      <c r="D199" s="1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4.25" customHeight="1">
      <c r="A200" s="1"/>
      <c r="B200" s="1"/>
      <c r="C200" s="1"/>
      <c r="D200" s="1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4.25" customHeight="1">
      <c r="A201" s="1"/>
      <c r="B201" s="1"/>
      <c r="C201" s="1"/>
      <c r="D201" s="1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4.25" customHeight="1">
      <c r="A202" s="1"/>
      <c r="B202" s="1"/>
      <c r="C202" s="1"/>
      <c r="D202" s="1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4.25" customHeight="1">
      <c r="A203" s="1"/>
      <c r="B203" s="1"/>
      <c r="C203" s="1"/>
      <c r="D203" s="1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4.25" customHeight="1">
      <c r="A204" s="1"/>
      <c r="B204" s="1"/>
      <c r="C204" s="1"/>
      <c r="D204" s="1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4.25" customHeight="1">
      <c r="A205" s="1"/>
      <c r="B205" s="1"/>
      <c r="C205" s="1"/>
      <c r="D205" s="1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4.25" customHeight="1">
      <c r="A206" s="1"/>
      <c r="B206" s="1"/>
      <c r="C206" s="1"/>
      <c r="D206" s="1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4.25" customHeight="1">
      <c r="A207" s="1"/>
      <c r="B207" s="1"/>
      <c r="C207" s="1"/>
      <c r="D207" s="1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4.25" customHeight="1">
      <c r="A208" s="1"/>
      <c r="B208" s="1"/>
      <c r="C208" s="1"/>
      <c r="D208" s="1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4.25" customHeight="1">
      <c r="A209" s="1"/>
      <c r="B209" s="1"/>
      <c r="C209" s="1"/>
      <c r="D209" s="1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4.25" customHeight="1">
      <c r="A210" s="1"/>
      <c r="B210" s="1"/>
      <c r="C210" s="1"/>
      <c r="D210" s="1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4.25" customHeight="1">
      <c r="A211" s="1"/>
      <c r="B211" s="1"/>
      <c r="C211" s="1"/>
      <c r="D211" s="1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4.25" customHeight="1">
      <c r="A212" s="1"/>
      <c r="B212" s="1"/>
      <c r="C212" s="1"/>
      <c r="D212" s="1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4.25" customHeight="1">
      <c r="A213" s="1"/>
      <c r="B213" s="1"/>
      <c r="C213" s="1"/>
      <c r="D213" s="1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4.25" customHeight="1">
      <c r="A214" s="1"/>
      <c r="B214" s="1"/>
      <c r="C214" s="1"/>
      <c r="D214" s="1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4.25" customHeight="1">
      <c r="A215" s="1"/>
      <c r="B215" s="1"/>
      <c r="C215" s="1"/>
      <c r="D215" s="1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4.25" customHeight="1">
      <c r="A216" s="1"/>
      <c r="B216" s="1"/>
      <c r="C216" s="1"/>
      <c r="D216" s="1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4.25" customHeight="1">
      <c r="A217" s="1"/>
      <c r="B217" s="1"/>
      <c r="C217" s="1"/>
      <c r="D217" s="1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4.25" customHeight="1">
      <c r="A218" s="1"/>
      <c r="B218" s="1"/>
      <c r="C218" s="1"/>
      <c r="D218" s="1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4.25" customHeight="1">
      <c r="A219" s="1"/>
      <c r="B219" s="1"/>
      <c r="C219" s="1"/>
      <c r="D219" s="1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4.25" customHeight="1">
      <c r="A220" s="1"/>
      <c r="B220" s="1"/>
      <c r="C220" s="1"/>
      <c r="D220" s="1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4.25" customHeight="1">
      <c r="A221" s="1"/>
      <c r="B221" s="1"/>
      <c r="C221" s="1"/>
      <c r="D221" s="1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4.25" customHeight="1">
      <c r="A222" s="1"/>
      <c r="B222" s="1"/>
      <c r="C222" s="1"/>
      <c r="D222" s="1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4.25" customHeight="1">
      <c r="A223" s="1"/>
      <c r="B223" s="1"/>
      <c r="C223" s="1"/>
      <c r="D223" s="1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4.25" customHeight="1">
      <c r="A224" s="1"/>
      <c r="B224" s="1"/>
      <c r="C224" s="1"/>
      <c r="D224" s="1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4.25" customHeight="1">
      <c r="A225" s="1"/>
      <c r="B225" s="1"/>
      <c r="C225" s="1"/>
      <c r="D225" s="1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4.25" customHeight="1">
      <c r="A226" s="1"/>
      <c r="B226" s="1"/>
      <c r="C226" s="1"/>
      <c r="D226" s="1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4.25" customHeight="1">
      <c r="A227" s="1"/>
      <c r="B227" s="1"/>
      <c r="C227" s="1"/>
      <c r="D227" s="1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4.25" customHeight="1">
      <c r="A228" s="1"/>
      <c r="B228" s="1"/>
      <c r="C228" s="1"/>
      <c r="D228" s="1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4.25" customHeight="1">
      <c r="A229" s="1"/>
      <c r="B229" s="1"/>
      <c r="C229" s="1"/>
      <c r="D229" s="1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4.25" customHeight="1">
      <c r="A230" s="1"/>
      <c r="B230" s="1"/>
      <c r="C230" s="1"/>
      <c r="D230" s="1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4.25" customHeight="1">
      <c r="A231" s="1"/>
      <c r="B231" s="1"/>
      <c r="C231" s="1"/>
      <c r="D231" s="1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4.25" customHeight="1">
      <c r="A232" s="1"/>
      <c r="B232" s="1"/>
      <c r="C232" s="1"/>
      <c r="D232" s="1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4.25" customHeight="1">
      <c r="A233" s="1"/>
      <c r="B233" s="1"/>
      <c r="C233" s="1"/>
      <c r="D233" s="1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4.25" customHeight="1">
      <c r="A234" s="1"/>
      <c r="B234" s="1"/>
      <c r="C234" s="1"/>
      <c r="D234" s="1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4.25" customHeight="1">
      <c r="A235" s="1"/>
      <c r="B235" s="1"/>
      <c r="C235" s="1"/>
      <c r="D235" s="1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4.25" customHeight="1">
      <c r="A236" s="1"/>
      <c r="B236" s="1"/>
      <c r="C236" s="1"/>
      <c r="D236" s="1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4.25" customHeight="1">
      <c r="A237" s="1"/>
      <c r="B237" s="1"/>
      <c r="C237" s="1"/>
      <c r="D237" s="1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4.25" customHeight="1">
      <c r="A238" s="1"/>
      <c r="B238" s="1"/>
      <c r="C238" s="1"/>
      <c r="D238" s="1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4.25" customHeight="1">
      <c r="A239" s="1"/>
      <c r="B239" s="1"/>
      <c r="C239" s="1"/>
      <c r="D239" s="1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4.25" customHeight="1">
      <c r="A240" s="1"/>
      <c r="B240" s="1"/>
      <c r="C240" s="1"/>
      <c r="D240" s="1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4.25" customHeight="1">
      <c r="A241" s="1"/>
      <c r="B241" s="1"/>
      <c r="C241" s="1"/>
      <c r="D241" s="1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4.25" customHeight="1">
      <c r="A242" s="1"/>
      <c r="B242" s="1"/>
      <c r="C242" s="1"/>
      <c r="D242" s="1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4.25" customHeight="1">
      <c r="A243" s="1"/>
      <c r="B243" s="1"/>
      <c r="C243" s="1"/>
      <c r="D243" s="1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4.25" customHeight="1">
      <c r="A244" s="1"/>
      <c r="B244" s="1"/>
      <c r="C244" s="1"/>
      <c r="D244" s="1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4.25" customHeight="1">
      <c r="A245" s="1"/>
      <c r="B245" s="1"/>
      <c r="C245" s="1"/>
      <c r="D245" s="1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4.25" customHeight="1">
      <c r="A246" s="1"/>
      <c r="B246" s="1"/>
      <c r="C246" s="1"/>
      <c r="D246" s="1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4.25" customHeight="1">
      <c r="A247" s="1"/>
      <c r="B247" s="1"/>
      <c r="C247" s="1"/>
      <c r="D247" s="1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4.25" customHeight="1">
      <c r="A248" s="1"/>
      <c r="B248" s="1"/>
      <c r="C248" s="1"/>
      <c r="D248" s="1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4.25" customHeight="1">
      <c r="A249" s="1"/>
      <c r="B249" s="1"/>
      <c r="C249" s="1"/>
      <c r="D249" s="1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4.25" customHeight="1">
      <c r="A250" s="1"/>
      <c r="B250" s="1"/>
      <c r="C250" s="1"/>
      <c r="D250" s="1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4.25" customHeight="1">
      <c r="A251" s="1"/>
      <c r="B251" s="1"/>
      <c r="C251" s="1"/>
      <c r="D251" s="1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4.25" customHeight="1">
      <c r="A252" s="1"/>
      <c r="B252" s="1"/>
      <c r="C252" s="1"/>
      <c r="D252" s="1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4.25" customHeight="1">
      <c r="A253" s="1"/>
      <c r="B253" s="1"/>
      <c r="C253" s="1"/>
      <c r="D253" s="1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4.25" customHeight="1">
      <c r="A254" s="1"/>
      <c r="B254" s="1"/>
      <c r="C254" s="1"/>
      <c r="D254" s="1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4.25" customHeight="1">
      <c r="A255" s="1"/>
      <c r="B255" s="1"/>
      <c r="C255" s="1"/>
      <c r="D255" s="1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4.25" customHeight="1">
      <c r="A256" s="1"/>
      <c r="B256" s="1"/>
      <c r="C256" s="1"/>
      <c r="D256" s="1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4.25" customHeight="1">
      <c r="A257" s="1"/>
      <c r="B257" s="1"/>
      <c r="C257" s="1"/>
      <c r="D257" s="1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4.25" customHeight="1">
      <c r="A258" s="1"/>
      <c r="B258" s="1"/>
      <c r="C258" s="1"/>
      <c r="D258" s="1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4.25" customHeight="1">
      <c r="A259" s="1"/>
      <c r="B259" s="1"/>
      <c r="C259" s="1"/>
      <c r="D259" s="1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4.25" customHeight="1">
      <c r="A260" s="1"/>
      <c r="B260" s="1"/>
      <c r="C260" s="1"/>
      <c r="D260" s="1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4.25" customHeight="1">
      <c r="A261" s="1"/>
      <c r="B261" s="1"/>
      <c r="C261" s="1"/>
      <c r="D261" s="1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4.25" customHeight="1">
      <c r="A262" s="1"/>
      <c r="B262" s="1"/>
      <c r="C262" s="1"/>
      <c r="D262" s="1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4.25" customHeight="1">
      <c r="A263" s="1"/>
      <c r="B263" s="1"/>
      <c r="C263" s="1"/>
      <c r="D263" s="1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4.25" customHeight="1">
      <c r="A264" s="1"/>
      <c r="B264" s="1"/>
      <c r="C264" s="1"/>
      <c r="D264" s="1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4.25" customHeight="1">
      <c r="A265" s="1"/>
      <c r="B265" s="1"/>
      <c r="C265" s="1"/>
      <c r="D265" s="1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4.25" customHeight="1">
      <c r="A266" s="1"/>
      <c r="B266" s="1"/>
      <c r="C266" s="1"/>
      <c r="D266" s="1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4.25" customHeight="1">
      <c r="A267" s="1"/>
      <c r="B267" s="1"/>
      <c r="C267" s="1"/>
      <c r="D267" s="1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4.25" customHeight="1">
      <c r="A268" s="1"/>
      <c r="B268" s="1"/>
      <c r="C268" s="1"/>
      <c r="D268" s="1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4.25" customHeight="1">
      <c r="A269" s="1"/>
      <c r="B269" s="1"/>
      <c r="C269" s="1"/>
      <c r="D269" s="1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4.25" customHeight="1">
      <c r="A270" s="1"/>
      <c r="B270" s="1"/>
      <c r="C270" s="1"/>
      <c r="D270" s="1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4.25" customHeight="1">
      <c r="A271" s="1"/>
      <c r="B271" s="1"/>
      <c r="C271" s="1"/>
      <c r="D271" s="1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4.25" customHeight="1">
      <c r="A272" s="1"/>
      <c r="B272" s="1"/>
      <c r="C272" s="1"/>
      <c r="D272" s="1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4.25" customHeight="1">
      <c r="A273" s="1"/>
      <c r="B273" s="1"/>
      <c r="C273" s="1"/>
      <c r="D273" s="1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4.25" customHeight="1">
      <c r="A274" s="1"/>
      <c r="B274" s="1"/>
      <c r="C274" s="1"/>
      <c r="D274" s="1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4.25" customHeight="1">
      <c r="A275" s="1"/>
      <c r="B275" s="1"/>
      <c r="C275" s="1"/>
      <c r="D275" s="1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4.25" customHeight="1">
      <c r="A276" s="1"/>
      <c r="B276" s="1"/>
      <c r="C276" s="1"/>
      <c r="D276" s="1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4.25" customHeight="1">
      <c r="A277" s="1"/>
      <c r="B277" s="1"/>
      <c r="C277" s="1"/>
      <c r="D277" s="1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4.25" customHeight="1">
      <c r="A278" s="1"/>
      <c r="B278" s="1"/>
      <c r="C278" s="1"/>
      <c r="D278" s="1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4.25" customHeight="1">
      <c r="A279" s="1"/>
      <c r="B279" s="1"/>
      <c r="C279" s="1"/>
      <c r="D279" s="1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4.25" customHeight="1">
      <c r="A280" s="1"/>
      <c r="B280" s="1"/>
      <c r="C280" s="1"/>
      <c r="D280" s="1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4.25" customHeight="1">
      <c r="A281" s="1"/>
      <c r="B281" s="1"/>
      <c r="C281" s="1"/>
      <c r="D281" s="1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4.25" customHeight="1">
      <c r="A282" s="1"/>
      <c r="B282" s="1"/>
      <c r="C282" s="1"/>
      <c r="D282" s="1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4.25" customHeight="1">
      <c r="A283" s="1"/>
      <c r="B283" s="1"/>
      <c r="C283" s="1"/>
      <c r="D283" s="1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4.25" customHeight="1">
      <c r="A284" s="1"/>
      <c r="B284" s="1"/>
      <c r="C284" s="1"/>
      <c r="D284" s="1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4.25" customHeight="1">
      <c r="A285" s="1"/>
      <c r="B285" s="1"/>
      <c r="C285" s="1"/>
      <c r="D285" s="1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4.25" customHeight="1">
      <c r="A286" s="1"/>
      <c r="B286" s="1"/>
      <c r="C286" s="1"/>
      <c r="D286" s="1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4.25" customHeight="1">
      <c r="A287" s="1"/>
      <c r="B287" s="1"/>
      <c r="C287" s="1"/>
      <c r="D287" s="1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4.25" customHeight="1">
      <c r="A288" s="1"/>
      <c r="B288" s="1"/>
      <c r="C288" s="1"/>
      <c r="D288" s="1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4.25" customHeight="1">
      <c r="A289" s="1"/>
      <c r="B289" s="1"/>
      <c r="C289" s="1"/>
      <c r="D289" s="1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4.25" customHeight="1">
      <c r="A290" s="1"/>
      <c r="B290" s="1"/>
      <c r="C290" s="1"/>
      <c r="D290" s="1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4.25" customHeight="1">
      <c r="A291" s="1"/>
      <c r="B291" s="1"/>
      <c r="C291" s="1"/>
      <c r="D291" s="1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4.25" customHeight="1">
      <c r="A292" s="1"/>
      <c r="B292" s="1"/>
      <c r="C292" s="1"/>
      <c r="D292" s="1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4.25" customHeight="1">
      <c r="A293" s="1"/>
      <c r="B293" s="1"/>
      <c r="C293" s="1"/>
      <c r="D293" s="1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4.25" customHeight="1">
      <c r="A294" s="1"/>
      <c r="B294" s="1"/>
      <c r="C294" s="1"/>
      <c r="D294" s="1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4.25" customHeight="1">
      <c r="A295" s="1"/>
      <c r="B295" s="1"/>
      <c r="C295" s="1"/>
      <c r="D295" s="1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4.25" customHeight="1">
      <c r="A296" s="1"/>
      <c r="B296" s="1"/>
      <c r="C296" s="1"/>
      <c r="D296" s="1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4.25" customHeight="1">
      <c r="A297" s="1"/>
      <c r="B297" s="1"/>
      <c r="C297" s="1"/>
      <c r="D297" s="1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4.25" customHeight="1">
      <c r="A298" s="1"/>
      <c r="B298" s="1"/>
      <c r="C298" s="1"/>
      <c r="D298" s="1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4.25" customHeight="1">
      <c r="A299" s="1"/>
      <c r="B299" s="1"/>
      <c r="C299" s="1"/>
      <c r="D299" s="1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4.25" customHeight="1">
      <c r="A300" s="1"/>
      <c r="B300" s="1"/>
      <c r="C300" s="1"/>
      <c r="D300" s="1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4.25" customHeight="1">
      <c r="A301" s="1"/>
      <c r="B301" s="1"/>
      <c r="C301" s="1"/>
      <c r="D301" s="1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4.25" customHeight="1">
      <c r="A302" s="1"/>
      <c r="B302" s="1"/>
      <c r="C302" s="1"/>
      <c r="D302" s="1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4.25" customHeight="1">
      <c r="A303" s="1"/>
      <c r="B303" s="1"/>
      <c r="C303" s="1"/>
      <c r="D303" s="1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4.25" customHeight="1">
      <c r="A304" s="1"/>
      <c r="B304" s="1"/>
      <c r="C304" s="1"/>
      <c r="D304" s="1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4.25" customHeight="1">
      <c r="A305" s="1"/>
      <c r="B305" s="1"/>
      <c r="C305" s="1"/>
      <c r="D305" s="1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4.25" customHeight="1">
      <c r="A306" s="1"/>
      <c r="B306" s="1"/>
      <c r="C306" s="1"/>
      <c r="D306" s="1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4.25" customHeight="1">
      <c r="A307" s="1"/>
      <c r="B307" s="1"/>
      <c r="C307" s="1"/>
      <c r="D307" s="1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4.25" customHeight="1">
      <c r="A308" s="1"/>
      <c r="B308" s="1"/>
      <c r="C308" s="1"/>
      <c r="D308" s="1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4.25" customHeight="1">
      <c r="A309" s="1"/>
      <c r="B309" s="1"/>
      <c r="C309" s="1"/>
      <c r="D309" s="1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4.25" customHeight="1">
      <c r="A310" s="1"/>
      <c r="B310" s="1"/>
      <c r="C310" s="1"/>
      <c r="D310" s="1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4.25" customHeight="1">
      <c r="A311" s="1"/>
      <c r="B311" s="1"/>
      <c r="C311" s="1"/>
      <c r="D311" s="1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4.25" customHeight="1">
      <c r="A312" s="1"/>
      <c r="B312" s="1"/>
      <c r="C312" s="1"/>
      <c r="D312" s="1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4.25" customHeight="1">
      <c r="A313" s="1"/>
      <c r="B313" s="1"/>
      <c r="C313" s="1"/>
      <c r="D313" s="1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4.25" customHeight="1">
      <c r="A314" s="1"/>
      <c r="B314" s="1"/>
      <c r="C314" s="1"/>
      <c r="D314" s="1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4.25" customHeight="1">
      <c r="A315" s="1"/>
      <c r="B315" s="1"/>
      <c r="C315" s="1"/>
      <c r="D315" s="1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4.25" customHeight="1">
      <c r="A316" s="1"/>
      <c r="B316" s="1"/>
      <c r="C316" s="1"/>
      <c r="D316" s="1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4.25" customHeight="1">
      <c r="A317" s="1"/>
      <c r="B317" s="1"/>
      <c r="C317" s="1"/>
      <c r="D317" s="1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4.25" customHeight="1">
      <c r="A318" s="1"/>
      <c r="B318" s="1"/>
      <c r="C318" s="1"/>
      <c r="D318" s="1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4.25" customHeight="1">
      <c r="A319" s="1"/>
      <c r="B319" s="1"/>
      <c r="C319" s="1"/>
      <c r="D319" s="1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4.25" customHeight="1">
      <c r="A320" s="1"/>
      <c r="B320" s="1"/>
      <c r="C320" s="1"/>
      <c r="D320" s="1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4.25" customHeight="1">
      <c r="A321" s="1"/>
      <c r="B321" s="1"/>
      <c r="C321" s="1"/>
      <c r="D321" s="1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4.25" customHeight="1">
      <c r="A322" s="1"/>
      <c r="B322" s="1"/>
      <c r="C322" s="1"/>
      <c r="D322" s="1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4.25" customHeight="1">
      <c r="A323" s="1"/>
      <c r="B323" s="1"/>
      <c r="C323" s="1"/>
      <c r="D323" s="1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4.25" customHeight="1">
      <c r="A324" s="1"/>
      <c r="B324" s="1"/>
      <c r="C324" s="1"/>
      <c r="D324" s="1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4.25" customHeight="1">
      <c r="A325" s="1"/>
      <c r="B325" s="1"/>
      <c r="C325" s="1"/>
      <c r="D325" s="1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4.25" customHeight="1">
      <c r="A326" s="1"/>
      <c r="B326" s="1"/>
      <c r="C326" s="1"/>
      <c r="D326" s="1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4.25" customHeight="1">
      <c r="A327" s="1"/>
      <c r="B327" s="1"/>
      <c r="C327" s="1"/>
      <c r="D327" s="1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4.25" customHeight="1">
      <c r="A328" s="1"/>
      <c r="B328" s="1"/>
      <c r="C328" s="1"/>
      <c r="D328" s="1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4.25" customHeight="1">
      <c r="A329" s="1"/>
      <c r="B329" s="1"/>
      <c r="C329" s="1"/>
      <c r="D329" s="1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4.25" customHeight="1">
      <c r="A330" s="1"/>
      <c r="B330" s="1"/>
      <c r="C330" s="1"/>
      <c r="D330" s="1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4.25" customHeight="1">
      <c r="A331" s="1"/>
      <c r="B331" s="1"/>
      <c r="C331" s="1"/>
      <c r="D331" s="1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4.25" customHeight="1">
      <c r="A332" s="1"/>
      <c r="B332" s="1"/>
      <c r="C332" s="1"/>
      <c r="D332" s="1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4.25" customHeight="1">
      <c r="A333" s="1"/>
      <c r="B333" s="1"/>
      <c r="C333" s="1"/>
      <c r="D333" s="1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4.25" customHeight="1">
      <c r="A334" s="1"/>
      <c r="B334" s="1"/>
      <c r="C334" s="1"/>
      <c r="D334" s="1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4.25" customHeight="1">
      <c r="A335" s="1"/>
      <c r="B335" s="1"/>
      <c r="C335" s="1"/>
      <c r="D335" s="1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4.25" customHeight="1">
      <c r="A336" s="1"/>
      <c r="B336" s="1"/>
      <c r="C336" s="1"/>
      <c r="D336" s="1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4.25" customHeight="1">
      <c r="A337" s="1"/>
      <c r="B337" s="1"/>
      <c r="C337" s="1"/>
      <c r="D337" s="1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4.25" customHeight="1">
      <c r="A338" s="1"/>
      <c r="B338" s="1"/>
      <c r="C338" s="1"/>
      <c r="D338" s="1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4.25" customHeight="1">
      <c r="A339" s="1"/>
      <c r="B339" s="1"/>
      <c r="C339" s="1"/>
      <c r="D339" s="1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4.25" customHeight="1">
      <c r="A340" s="1"/>
      <c r="B340" s="1"/>
      <c r="C340" s="1"/>
      <c r="D340" s="1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4.25" customHeight="1">
      <c r="A341" s="1"/>
      <c r="B341" s="1"/>
      <c r="C341" s="1"/>
      <c r="D341" s="1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4.25" customHeight="1">
      <c r="A342" s="1"/>
      <c r="B342" s="1"/>
      <c r="C342" s="1"/>
      <c r="D342" s="1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4.25" customHeight="1">
      <c r="A343" s="1"/>
      <c r="B343" s="1"/>
      <c r="C343" s="1"/>
      <c r="D343" s="1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4.25" customHeight="1">
      <c r="A344" s="1"/>
      <c r="B344" s="1"/>
      <c r="C344" s="1"/>
      <c r="D344" s="1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4.25" customHeight="1">
      <c r="A345" s="1"/>
      <c r="B345" s="1"/>
      <c r="C345" s="1"/>
      <c r="D345" s="1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4.25" customHeight="1">
      <c r="A346" s="1"/>
      <c r="B346" s="1"/>
      <c r="C346" s="1"/>
      <c r="D346" s="1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4.25" customHeight="1">
      <c r="A347" s="1"/>
      <c r="B347" s="1"/>
      <c r="C347" s="1"/>
      <c r="D347" s="1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4.25" customHeight="1">
      <c r="A348" s="1"/>
      <c r="B348" s="1"/>
      <c r="C348" s="1"/>
      <c r="D348" s="1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4.25" customHeight="1">
      <c r="A349" s="1"/>
      <c r="B349" s="1"/>
      <c r="C349" s="1"/>
      <c r="D349" s="1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4.25" customHeight="1">
      <c r="A350" s="1"/>
      <c r="B350" s="1"/>
      <c r="C350" s="1"/>
      <c r="D350" s="1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4.25" customHeight="1">
      <c r="A351" s="1"/>
      <c r="B351" s="1"/>
      <c r="C351" s="1"/>
      <c r="D351" s="1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4.25" customHeight="1">
      <c r="A352" s="1"/>
      <c r="B352" s="1"/>
      <c r="C352" s="1"/>
      <c r="D352" s="1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4.25" customHeight="1">
      <c r="A353" s="1"/>
      <c r="B353" s="1"/>
      <c r="C353" s="1"/>
      <c r="D353" s="1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4.25" customHeight="1">
      <c r="A354" s="1"/>
      <c r="B354" s="1"/>
      <c r="C354" s="1"/>
      <c r="D354" s="1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4.25" customHeight="1">
      <c r="A355" s="1"/>
      <c r="B355" s="1"/>
      <c r="C355" s="1"/>
      <c r="D355" s="1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4.25" customHeight="1">
      <c r="A356" s="1"/>
      <c r="B356" s="1"/>
      <c r="C356" s="1"/>
      <c r="D356" s="1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4.25" customHeight="1">
      <c r="A357" s="1"/>
      <c r="B357" s="1"/>
      <c r="C357" s="1"/>
      <c r="D357" s="1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4.25" customHeight="1">
      <c r="A358" s="1"/>
      <c r="B358" s="1"/>
      <c r="C358" s="1"/>
      <c r="D358" s="1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4.25" customHeight="1">
      <c r="A359" s="1"/>
      <c r="B359" s="1"/>
      <c r="C359" s="1"/>
      <c r="D359" s="1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4.25" customHeight="1">
      <c r="A360" s="1"/>
      <c r="B360" s="1"/>
      <c r="C360" s="1"/>
      <c r="D360" s="1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4.25" customHeight="1">
      <c r="A361" s="1"/>
      <c r="B361" s="1"/>
      <c r="C361" s="1"/>
      <c r="D361" s="1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4.25" customHeight="1">
      <c r="A362" s="1"/>
      <c r="B362" s="1"/>
      <c r="C362" s="1"/>
      <c r="D362" s="1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4.25" customHeight="1">
      <c r="A363" s="1"/>
      <c r="B363" s="1"/>
      <c r="C363" s="1"/>
      <c r="D363" s="1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4.25" customHeight="1">
      <c r="A364" s="1"/>
      <c r="B364" s="1"/>
      <c r="C364" s="1"/>
      <c r="D364" s="1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4.25" customHeight="1">
      <c r="A365" s="1"/>
      <c r="B365" s="1"/>
      <c r="C365" s="1"/>
      <c r="D365" s="1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4.25" customHeight="1">
      <c r="A366" s="1"/>
      <c r="B366" s="1"/>
      <c r="C366" s="1"/>
      <c r="D366" s="1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4.25" customHeight="1">
      <c r="A367" s="1"/>
      <c r="B367" s="1"/>
      <c r="C367" s="1"/>
      <c r="D367" s="1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4.25" customHeight="1">
      <c r="A368" s="1"/>
      <c r="B368" s="1"/>
      <c r="C368" s="1"/>
      <c r="D368" s="1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4.25" customHeight="1">
      <c r="A369" s="1"/>
      <c r="B369" s="1"/>
      <c r="C369" s="1"/>
      <c r="D369" s="1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4.25" customHeight="1">
      <c r="A370" s="1"/>
      <c r="B370" s="1"/>
      <c r="C370" s="1"/>
      <c r="D370" s="1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4.25" customHeight="1">
      <c r="A371" s="1"/>
      <c r="B371" s="1"/>
      <c r="C371" s="1"/>
      <c r="D371" s="1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4.25" customHeight="1">
      <c r="A372" s="1"/>
      <c r="B372" s="1"/>
      <c r="C372" s="1"/>
      <c r="D372" s="1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4.25" customHeight="1">
      <c r="A373" s="1"/>
      <c r="B373" s="1"/>
      <c r="C373" s="1"/>
      <c r="D373" s="1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4.25" customHeight="1">
      <c r="A374" s="1"/>
      <c r="B374" s="1"/>
      <c r="C374" s="1"/>
      <c r="D374" s="1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4.25" customHeight="1">
      <c r="A375" s="1"/>
      <c r="B375" s="1"/>
      <c r="C375" s="1"/>
      <c r="D375" s="1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4.25" customHeight="1">
      <c r="A376" s="1"/>
      <c r="B376" s="1"/>
      <c r="C376" s="1"/>
      <c r="D376" s="1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4.25" customHeight="1">
      <c r="A377" s="1"/>
      <c r="B377" s="1"/>
      <c r="C377" s="1"/>
      <c r="D377" s="1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4.25" customHeight="1">
      <c r="A378" s="1"/>
      <c r="B378" s="1"/>
      <c r="C378" s="1"/>
      <c r="D378" s="1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4.25" customHeight="1">
      <c r="A379" s="1"/>
      <c r="B379" s="1"/>
      <c r="C379" s="1"/>
      <c r="D379" s="1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4.25" customHeight="1">
      <c r="A380" s="1"/>
      <c r="B380" s="1"/>
      <c r="C380" s="1"/>
      <c r="D380" s="1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4.25" customHeight="1">
      <c r="A381" s="1"/>
      <c r="B381" s="1"/>
      <c r="C381" s="1"/>
      <c r="D381" s="1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4.25" customHeight="1">
      <c r="A382" s="1"/>
      <c r="B382" s="1"/>
      <c r="C382" s="1"/>
      <c r="D382" s="1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4.25" customHeight="1">
      <c r="A383" s="1"/>
      <c r="B383" s="1"/>
      <c r="C383" s="1"/>
      <c r="D383" s="1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4.25" customHeight="1">
      <c r="A384" s="1"/>
      <c r="B384" s="1"/>
      <c r="C384" s="1"/>
      <c r="D384" s="1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4.25" customHeight="1">
      <c r="A385" s="1"/>
      <c r="B385" s="1"/>
      <c r="C385" s="1"/>
      <c r="D385" s="1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4.25" customHeight="1">
      <c r="A386" s="1"/>
      <c r="B386" s="1"/>
      <c r="C386" s="1"/>
      <c r="D386" s="1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4.25" customHeight="1">
      <c r="A387" s="1"/>
      <c r="B387" s="1"/>
      <c r="C387" s="1"/>
      <c r="D387" s="1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4.25" customHeight="1">
      <c r="A388" s="1"/>
      <c r="B388" s="1"/>
      <c r="C388" s="1"/>
      <c r="D388" s="1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4.25" customHeight="1">
      <c r="A389" s="1"/>
      <c r="B389" s="1"/>
      <c r="C389" s="1"/>
      <c r="D389" s="1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4.25" customHeight="1">
      <c r="A390" s="1"/>
      <c r="B390" s="1"/>
      <c r="C390" s="1"/>
      <c r="D390" s="1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4.25" customHeight="1">
      <c r="A391" s="1"/>
      <c r="B391" s="1"/>
      <c r="C391" s="1"/>
      <c r="D391" s="1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4.25" customHeight="1">
      <c r="A392" s="1"/>
      <c r="B392" s="1"/>
      <c r="C392" s="1"/>
      <c r="D392" s="1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4.25" customHeight="1">
      <c r="A393" s="1"/>
      <c r="B393" s="1"/>
      <c r="C393" s="1"/>
      <c r="D393" s="1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4.25" customHeight="1">
      <c r="A394" s="1"/>
      <c r="B394" s="1"/>
      <c r="C394" s="1"/>
      <c r="D394" s="1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4.25" customHeight="1">
      <c r="A395" s="1"/>
      <c r="B395" s="1"/>
      <c r="C395" s="1"/>
      <c r="D395" s="1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4.25" customHeight="1">
      <c r="A396" s="1"/>
      <c r="B396" s="1"/>
      <c r="C396" s="1"/>
      <c r="D396" s="1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4.25" customHeight="1">
      <c r="A397" s="1"/>
      <c r="B397" s="1"/>
      <c r="C397" s="1"/>
      <c r="D397" s="1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4.25" customHeight="1">
      <c r="A398" s="1"/>
      <c r="B398" s="1"/>
      <c r="C398" s="1"/>
      <c r="D398" s="1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4.25" customHeight="1">
      <c r="A399" s="1"/>
      <c r="B399" s="1"/>
      <c r="C399" s="1"/>
      <c r="D399" s="1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4.25" customHeight="1">
      <c r="A400" s="1"/>
      <c r="B400" s="1"/>
      <c r="C400" s="1"/>
      <c r="D400" s="1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4.25" customHeight="1">
      <c r="A401" s="1"/>
      <c r="B401" s="1"/>
      <c r="C401" s="1"/>
      <c r="D401" s="1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4.25" customHeight="1">
      <c r="A402" s="1"/>
      <c r="B402" s="1"/>
      <c r="C402" s="1"/>
      <c r="D402" s="1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4.25" customHeight="1">
      <c r="A403" s="1"/>
      <c r="B403" s="1"/>
      <c r="C403" s="1"/>
      <c r="D403" s="1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4.25" customHeight="1">
      <c r="A404" s="1"/>
      <c r="B404" s="1"/>
      <c r="C404" s="1"/>
      <c r="D404" s="1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4.25" customHeight="1">
      <c r="A405" s="1"/>
      <c r="B405" s="1"/>
      <c r="C405" s="1"/>
      <c r="D405" s="1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4.25" customHeight="1">
      <c r="A406" s="1"/>
      <c r="B406" s="1"/>
      <c r="C406" s="1"/>
      <c r="D406" s="1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4.25" customHeight="1">
      <c r="A407" s="1"/>
      <c r="B407" s="1"/>
      <c r="C407" s="1"/>
      <c r="D407" s="1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4.25" customHeight="1">
      <c r="A408" s="1"/>
      <c r="B408" s="1"/>
      <c r="C408" s="1"/>
      <c r="D408" s="1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4.25" customHeight="1">
      <c r="A409" s="1"/>
      <c r="B409" s="1"/>
      <c r="C409" s="1"/>
      <c r="D409" s="1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4.25" customHeight="1">
      <c r="A410" s="1"/>
      <c r="B410" s="1"/>
      <c r="C410" s="1"/>
      <c r="D410" s="1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4.25" customHeight="1">
      <c r="A411" s="1"/>
      <c r="B411" s="1"/>
      <c r="C411" s="1"/>
      <c r="D411" s="1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4.25" customHeight="1">
      <c r="A412" s="1"/>
      <c r="B412" s="1"/>
      <c r="C412" s="1"/>
      <c r="D412" s="1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4.25" customHeight="1">
      <c r="A413" s="1"/>
      <c r="B413" s="1"/>
      <c r="C413" s="1"/>
      <c r="D413" s="1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4.25" customHeight="1">
      <c r="A414" s="1"/>
      <c r="B414" s="1"/>
      <c r="C414" s="1"/>
      <c r="D414" s="1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4.25" customHeight="1">
      <c r="A415" s="1"/>
      <c r="B415" s="1"/>
      <c r="C415" s="1"/>
      <c r="D415" s="1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4.25" customHeight="1">
      <c r="A416" s="1"/>
      <c r="B416" s="1"/>
      <c r="C416" s="1"/>
      <c r="D416" s="1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4.25" customHeight="1">
      <c r="A417" s="1"/>
      <c r="B417" s="1"/>
      <c r="C417" s="1"/>
      <c r="D417" s="1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4.25" customHeight="1">
      <c r="A418" s="1"/>
      <c r="B418" s="1"/>
      <c r="C418" s="1"/>
      <c r="D418" s="1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4.25" customHeight="1">
      <c r="A419" s="1"/>
      <c r="B419" s="1"/>
      <c r="C419" s="1"/>
      <c r="D419" s="1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4.25" customHeight="1">
      <c r="A420" s="1"/>
      <c r="B420" s="1"/>
      <c r="C420" s="1"/>
      <c r="D420" s="1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4.25" customHeight="1">
      <c r="A421" s="1"/>
      <c r="B421" s="1"/>
      <c r="C421" s="1"/>
      <c r="D421" s="1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4.25" customHeight="1">
      <c r="A422" s="1"/>
      <c r="B422" s="1"/>
      <c r="C422" s="1"/>
      <c r="D422" s="1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4.25" customHeight="1">
      <c r="A423" s="1"/>
      <c r="B423" s="1"/>
      <c r="C423" s="1"/>
      <c r="D423" s="1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4.25" customHeight="1">
      <c r="A424" s="1"/>
      <c r="B424" s="1"/>
      <c r="C424" s="1"/>
      <c r="D424" s="1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4.25" customHeight="1">
      <c r="A425" s="1"/>
      <c r="B425" s="1"/>
      <c r="C425" s="1"/>
      <c r="D425" s="1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4.25" customHeight="1">
      <c r="A426" s="1"/>
      <c r="B426" s="1"/>
      <c r="C426" s="1"/>
      <c r="D426" s="1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4.25" customHeight="1">
      <c r="A427" s="1"/>
      <c r="B427" s="1"/>
      <c r="C427" s="1"/>
      <c r="D427" s="1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4.25" customHeight="1">
      <c r="A428" s="1"/>
      <c r="B428" s="1"/>
      <c r="C428" s="1"/>
      <c r="D428" s="1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4.25" customHeight="1">
      <c r="A429" s="1"/>
      <c r="B429" s="1"/>
      <c r="C429" s="1"/>
      <c r="D429" s="1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4.25" customHeight="1">
      <c r="A430" s="1"/>
      <c r="B430" s="1"/>
      <c r="C430" s="1"/>
      <c r="D430" s="1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4.25" customHeight="1">
      <c r="A431" s="1"/>
      <c r="B431" s="1"/>
      <c r="C431" s="1"/>
      <c r="D431" s="1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4.25" customHeight="1">
      <c r="A432" s="1"/>
      <c r="B432" s="1"/>
      <c r="C432" s="1"/>
      <c r="D432" s="1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4.25" customHeight="1">
      <c r="A433" s="1"/>
      <c r="B433" s="1"/>
      <c r="C433" s="1"/>
      <c r="D433" s="1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4.25" customHeight="1">
      <c r="A434" s="1"/>
      <c r="B434" s="1"/>
      <c r="C434" s="1"/>
      <c r="D434" s="1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4.25" customHeight="1">
      <c r="A435" s="1"/>
      <c r="B435" s="1"/>
      <c r="C435" s="1"/>
      <c r="D435" s="1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4.25" customHeight="1">
      <c r="A436" s="1"/>
      <c r="B436" s="1"/>
      <c r="C436" s="1"/>
      <c r="D436" s="1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4.25" customHeight="1">
      <c r="A437" s="1"/>
      <c r="B437" s="1"/>
      <c r="C437" s="1"/>
      <c r="D437" s="1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4.25" customHeight="1">
      <c r="A438" s="1"/>
      <c r="B438" s="1"/>
      <c r="C438" s="1"/>
      <c r="D438" s="1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4.25" customHeight="1">
      <c r="A439" s="1"/>
      <c r="B439" s="1"/>
      <c r="C439" s="1"/>
      <c r="D439" s="1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4.25" customHeight="1">
      <c r="A440" s="1"/>
      <c r="B440" s="1"/>
      <c r="C440" s="1"/>
      <c r="D440" s="1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4.25" customHeight="1">
      <c r="A441" s="1"/>
      <c r="B441" s="1"/>
      <c r="C441" s="1"/>
      <c r="D441" s="1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4.25" customHeight="1">
      <c r="A442" s="1"/>
      <c r="B442" s="1"/>
      <c r="C442" s="1"/>
      <c r="D442" s="1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4.25" customHeight="1">
      <c r="A443" s="1"/>
      <c r="B443" s="1"/>
      <c r="C443" s="1"/>
      <c r="D443" s="1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4.25" customHeight="1">
      <c r="A444" s="1"/>
      <c r="B444" s="1"/>
      <c r="C444" s="1"/>
      <c r="D444" s="1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4.25" customHeight="1">
      <c r="A445" s="1"/>
      <c r="B445" s="1"/>
      <c r="C445" s="1"/>
      <c r="D445" s="1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4.25" customHeight="1">
      <c r="A446" s="1"/>
      <c r="B446" s="1"/>
      <c r="C446" s="1"/>
      <c r="D446" s="1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4.25" customHeight="1">
      <c r="A447" s="1"/>
      <c r="B447" s="1"/>
      <c r="C447" s="1"/>
      <c r="D447" s="1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4.25" customHeight="1">
      <c r="A448" s="1"/>
      <c r="B448" s="1"/>
      <c r="C448" s="1"/>
      <c r="D448" s="1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4.25" customHeight="1">
      <c r="A449" s="1"/>
      <c r="B449" s="1"/>
      <c r="C449" s="1"/>
      <c r="D449" s="1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4.25" customHeight="1">
      <c r="A450" s="1"/>
      <c r="B450" s="1"/>
      <c r="C450" s="1"/>
      <c r="D450" s="1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4.25" customHeight="1">
      <c r="A451" s="1"/>
      <c r="B451" s="1"/>
      <c r="C451" s="1"/>
      <c r="D451" s="1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4.25" customHeight="1">
      <c r="A452" s="1"/>
      <c r="B452" s="1"/>
      <c r="C452" s="1"/>
      <c r="D452" s="1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4.25" customHeight="1">
      <c r="A453" s="1"/>
      <c r="B453" s="1"/>
      <c r="C453" s="1"/>
      <c r="D453" s="1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4.25" customHeight="1">
      <c r="A454" s="1"/>
      <c r="B454" s="1"/>
      <c r="C454" s="1"/>
      <c r="D454" s="1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4.25" customHeight="1">
      <c r="A455" s="1"/>
      <c r="B455" s="1"/>
      <c r="C455" s="1"/>
      <c r="D455" s="1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4.25" customHeight="1">
      <c r="A456" s="1"/>
      <c r="B456" s="1"/>
      <c r="C456" s="1"/>
      <c r="D456" s="1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4.25" customHeight="1">
      <c r="A457" s="1"/>
      <c r="B457" s="1"/>
      <c r="C457" s="1"/>
      <c r="D457" s="1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4.25" customHeight="1">
      <c r="A458" s="1"/>
      <c r="B458" s="1"/>
      <c r="C458" s="1"/>
      <c r="D458" s="1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4.25" customHeight="1">
      <c r="A459" s="1"/>
      <c r="B459" s="1"/>
      <c r="C459" s="1"/>
      <c r="D459" s="1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4.25" customHeight="1">
      <c r="A460" s="1"/>
      <c r="B460" s="1"/>
      <c r="C460" s="1"/>
      <c r="D460" s="1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4.25" customHeight="1">
      <c r="A461" s="1"/>
      <c r="B461" s="1"/>
      <c r="C461" s="1"/>
      <c r="D461" s="1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4.25" customHeight="1">
      <c r="A462" s="1"/>
      <c r="B462" s="1"/>
      <c r="C462" s="1"/>
      <c r="D462" s="1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4.25" customHeight="1">
      <c r="A463" s="1"/>
      <c r="B463" s="1"/>
      <c r="C463" s="1"/>
      <c r="D463" s="1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4.25" customHeight="1">
      <c r="A464" s="1"/>
      <c r="B464" s="1"/>
      <c r="C464" s="1"/>
      <c r="D464" s="1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4.25" customHeight="1">
      <c r="A465" s="1"/>
      <c r="B465" s="1"/>
      <c r="C465" s="1"/>
      <c r="D465" s="1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4.25" customHeight="1">
      <c r="A466" s="1"/>
      <c r="B466" s="1"/>
      <c r="C466" s="1"/>
      <c r="D466" s="1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4.25" customHeight="1">
      <c r="A467" s="1"/>
      <c r="B467" s="1"/>
      <c r="C467" s="1"/>
      <c r="D467" s="1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4.25" customHeight="1">
      <c r="A468" s="1"/>
      <c r="B468" s="1"/>
      <c r="C468" s="1"/>
      <c r="D468" s="1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4.25" customHeight="1">
      <c r="A469" s="1"/>
      <c r="B469" s="1"/>
      <c r="C469" s="1"/>
      <c r="D469" s="1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4.25" customHeight="1">
      <c r="A470" s="1"/>
      <c r="B470" s="1"/>
      <c r="C470" s="1"/>
      <c r="D470" s="1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4.25" customHeight="1">
      <c r="A471" s="1"/>
      <c r="B471" s="1"/>
      <c r="C471" s="1"/>
      <c r="D471" s="1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4.25" customHeight="1">
      <c r="A472" s="1"/>
      <c r="B472" s="1"/>
      <c r="C472" s="1"/>
      <c r="D472" s="1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4.25" customHeight="1">
      <c r="A473" s="1"/>
      <c r="B473" s="1"/>
      <c r="C473" s="1"/>
      <c r="D473" s="1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4.25" customHeight="1">
      <c r="A474" s="1"/>
      <c r="B474" s="1"/>
      <c r="C474" s="1"/>
      <c r="D474" s="1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4.25" customHeight="1">
      <c r="A475" s="1"/>
      <c r="B475" s="1"/>
      <c r="C475" s="1"/>
      <c r="D475" s="1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4.25" customHeight="1">
      <c r="A476" s="1"/>
      <c r="B476" s="1"/>
      <c r="C476" s="1"/>
      <c r="D476" s="1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4.25" customHeight="1">
      <c r="A477" s="1"/>
      <c r="B477" s="1"/>
      <c r="C477" s="1"/>
      <c r="D477" s="1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4.25" customHeight="1">
      <c r="A478" s="1"/>
      <c r="B478" s="1"/>
      <c r="C478" s="1"/>
      <c r="D478" s="1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4.25" customHeight="1">
      <c r="A479" s="1"/>
      <c r="B479" s="1"/>
      <c r="C479" s="1"/>
      <c r="D479" s="1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4.25" customHeight="1">
      <c r="A480" s="1"/>
      <c r="B480" s="1"/>
      <c r="C480" s="1"/>
      <c r="D480" s="1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4.25" customHeight="1">
      <c r="A481" s="1"/>
      <c r="B481" s="1"/>
      <c r="C481" s="1"/>
      <c r="D481" s="1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4.25" customHeight="1">
      <c r="A482" s="1"/>
      <c r="B482" s="1"/>
      <c r="C482" s="1"/>
      <c r="D482" s="1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4.25" customHeight="1">
      <c r="A483" s="1"/>
      <c r="B483" s="1"/>
      <c r="C483" s="1"/>
      <c r="D483" s="1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4.25" customHeight="1">
      <c r="A484" s="1"/>
      <c r="B484" s="1"/>
      <c r="C484" s="1"/>
      <c r="D484" s="1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4.25" customHeight="1">
      <c r="A485" s="1"/>
      <c r="B485" s="1"/>
      <c r="C485" s="1"/>
      <c r="D485" s="1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4.25" customHeight="1">
      <c r="A486" s="1"/>
      <c r="B486" s="1"/>
      <c r="C486" s="1"/>
      <c r="D486" s="1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4.25" customHeight="1">
      <c r="A487" s="1"/>
      <c r="B487" s="1"/>
      <c r="C487" s="1"/>
      <c r="D487" s="1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4.25" customHeight="1">
      <c r="A488" s="1"/>
      <c r="B488" s="1"/>
      <c r="C488" s="1"/>
      <c r="D488" s="1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4.25" customHeight="1">
      <c r="A489" s="1"/>
      <c r="B489" s="1"/>
      <c r="C489" s="1"/>
      <c r="D489" s="1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4.25" customHeight="1">
      <c r="A490" s="1"/>
      <c r="B490" s="1"/>
      <c r="C490" s="1"/>
      <c r="D490" s="1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4.25" customHeight="1">
      <c r="A491" s="1"/>
      <c r="B491" s="1"/>
      <c r="C491" s="1"/>
      <c r="D491" s="1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4.25" customHeight="1">
      <c r="A492" s="1"/>
      <c r="B492" s="1"/>
      <c r="C492" s="1"/>
      <c r="D492" s="1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4.25" customHeight="1">
      <c r="A493" s="1"/>
      <c r="B493" s="1"/>
      <c r="C493" s="1"/>
      <c r="D493" s="1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4.25" customHeight="1">
      <c r="A494" s="1"/>
      <c r="B494" s="1"/>
      <c r="C494" s="1"/>
      <c r="D494" s="1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4.25" customHeight="1">
      <c r="A495" s="1"/>
      <c r="B495" s="1"/>
      <c r="C495" s="1"/>
      <c r="D495" s="1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4.25" customHeight="1">
      <c r="A496" s="1"/>
      <c r="B496" s="1"/>
      <c r="C496" s="1"/>
      <c r="D496" s="1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4.25" customHeight="1">
      <c r="A497" s="1"/>
      <c r="B497" s="1"/>
      <c r="C497" s="1"/>
      <c r="D497" s="1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4.25" customHeight="1">
      <c r="A498" s="1"/>
      <c r="B498" s="1"/>
      <c r="C498" s="1"/>
      <c r="D498" s="1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4.25" customHeight="1">
      <c r="A499" s="1"/>
      <c r="B499" s="1"/>
      <c r="C499" s="1"/>
      <c r="D499" s="1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4.25" customHeight="1">
      <c r="A500" s="1"/>
      <c r="B500" s="1"/>
      <c r="C500" s="1"/>
      <c r="D500" s="1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4.25" customHeight="1">
      <c r="A501" s="1"/>
      <c r="B501" s="1"/>
      <c r="C501" s="1"/>
      <c r="D501" s="1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4.25" customHeight="1">
      <c r="A502" s="1"/>
      <c r="B502" s="1"/>
      <c r="C502" s="1"/>
      <c r="D502" s="1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4.25" customHeight="1">
      <c r="A503" s="1"/>
      <c r="B503" s="1"/>
      <c r="C503" s="1"/>
      <c r="D503" s="1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4.25" customHeight="1">
      <c r="A504" s="1"/>
      <c r="B504" s="1"/>
      <c r="C504" s="1"/>
      <c r="D504" s="1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4.25" customHeight="1">
      <c r="A505" s="1"/>
      <c r="B505" s="1"/>
      <c r="C505" s="1"/>
      <c r="D505" s="1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4.25" customHeight="1">
      <c r="A506" s="1"/>
      <c r="B506" s="1"/>
      <c r="C506" s="1"/>
      <c r="D506" s="1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4.25" customHeight="1">
      <c r="A507" s="1"/>
      <c r="B507" s="1"/>
      <c r="C507" s="1"/>
      <c r="D507" s="1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4.25" customHeight="1">
      <c r="A508" s="1"/>
      <c r="B508" s="1"/>
      <c r="C508" s="1"/>
      <c r="D508" s="1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4.25" customHeight="1">
      <c r="A509" s="1"/>
      <c r="B509" s="1"/>
      <c r="C509" s="1"/>
      <c r="D509" s="1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4.25" customHeight="1">
      <c r="A510" s="1"/>
      <c r="B510" s="1"/>
      <c r="C510" s="1"/>
      <c r="D510" s="1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4.25" customHeight="1">
      <c r="A511" s="1"/>
      <c r="B511" s="1"/>
      <c r="C511" s="1"/>
      <c r="D511" s="1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4.25" customHeight="1">
      <c r="A512" s="1"/>
      <c r="B512" s="1"/>
      <c r="C512" s="1"/>
      <c r="D512" s="1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4.25" customHeight="1">
      <c r="A513" s="1"/>
      <c r="B513" s="1"/>
      <c r="C513" s="1"/>
      <c r="D513" s="1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4.25" customHeight="1">
      <c r="A514" s="1"/>
      <c r="B514" s="1"/>
      <c r="C514" s="1"/>
      <c r="D514" s="1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4.25" customHeight="1">
      <c r="A515" s="1"/>
      <c r="B515" s="1"/>
      <c r="C515" s="1"/>
      <c r="D515" s="1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4.25" customHeight="1">
      <c r="A516" s="1"/>
      <c r="B516" s="1"/>
      <c r="C516" s="1"/>
      <c r="D516" s="1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4.25" customHeight="1">
      <c r="A517" s="1"/>
      <c r="B517" s="1"/>
      <c r="C517" s="1"/>
      <c r="D517" s="1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4.25" customHeight="1">
      <c r="A518" s="1"/>
      <c r="B518" s="1"/>
      <c r="C518" s="1"/>
      <c r="D518" s="1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4.25" customHeight="1">
      <c r="A519" s="1"/>
      <c r="B519" s="1"/>
      <c r="C519" s="1"/>
      <c r="D519" s="1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4.25" customHeight="1">
      <c r="A520" s="1"/>
      <c r="B520" s="1"/>
      <c r="C520" s="1"/>
      <c r="D520" s="1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4.25" customHeight="1">
      <c r="A521" s="1"/>
      <c r="B521" s="1"/>
      <c r="C521" s="1"/>
      <c r="D521" s="1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4.25" customHeight="1">
      <c r="A522" s="1"/>
      <c r="B522" s="1"/>
      <c r="C522" s="1"/>
      <c r="D522" s="1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4.25" customHeight="1">
      <c r="A523" s="1"/>
      <c r="B523" s="1"/>
      <c r="C523" s="1"/>
      <c r="D523" s="1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4.25" customHeight="1">
      <c r="A524" s="1"/>
      <c r="B524" s="1"/>
      <c r="C524" s="1"/>
      <c r="D524" s="1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4.25" customHeight="1">
      <c r="A525" s="1"/>
      <c r="B525" s="1"/>
      <c r="C525" s="1"/>
      <c r="D525" s="1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4.25" customHeight="1">
      <c r="A526" s="1"/>
      <c r="B526" s="1"/>
      <c r="C526" s="1"/>
      <c r="D526" s="1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4.25" customHeight="1">
      <c r="A527" s="1"/>
      <c r="B527" s="1"/>
      <c r="C527" s="1"/>
      <c r="D527" s="1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4.25" customHeight="1">
      <c r="A528" s="1"/>
      <c r="B528" s="1"/>
      <c r="C528" s="1"/>
      <c r="D528" s="1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4.25" customHeight="1">
      <c r="A529" s="1"/>
      <c r="B529" s="1"/>
      <c r="C529" s="1"/>
      <c r="D529" s="1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4.25" customHeight="1">
      <c r="A530" s="1"/>
      <c r="B530" s="1"/>
      <c r="C530" s="1"/>
      <c r="D530" s="1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4.25" customHeight="1">
      <c r="A531" s="1"/>
      <c r="B531" s="1"/>
      <c r="C531" s="1"/>
      <c r="D531" s="1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4.25" customHeight="1">
      <c r="A532" s="1"/>
      <c r="B532" s="1"/>
      <c r="C532" s="1"/>
      <c r="D532" s="1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4.25" customHeight="1">
      <c r="A533" s="1"/>
      <c r="B533" s="1"/>
      <c r="C533" s="1"/>
      <c r="D533" s="1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4.25" customHeight="1">
      <c r="A534" s="1"/>
      <c r="B534" s="1"/>
      <c r="C534" s="1"/>
      <c r="D534" s="1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4.25" customHeight="1">
      <c r="A535" s="1"/>
      <c r="B535" s="1"/>
      <c r="C535" s="1"/>
      <c r="D535" s="1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4.25" customHeight="1">
      <c r="A536" s="1"/>
      <c r="B536" s="1"/>
      <c r="C536" s="1"/>
      <c r="D536" s="1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4.25" customHeight="1">
      <c r="A537" s="1"/>
      <c r="B537" s="1"/>
      <c r="C537" s="1"/>
      <c r="D537" s="1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4.25" customHeight="1">
      <c r="A538" s="1"/>
      <c r="B538" s="1"/>
      <c r="C538" s="1"/>
      <c r="D538" s="1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4.25" customHeight="1">
      <c r="A539" s="1"/>
      <c r="B539" s="1"/>
      <c r="C539" s="1"/>
      <c r="D539" s="1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4.25" customHeight="1">
      <c r="A540" s="1"/>
      <c r="B540" s="1"/>
      <c r="C540" s="1"/>
      <c r="D540" s="1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4.25" customHeight="1">
      <c r="A541" s="1"/>
      <c r="B541" s="1"/>
      <c r="C541" s="1"/>
      <c r="D541" s="1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4.25" customHeight="1">
      <c r="A542" s="1"/>
      <c r="B542" s="1"/>
      <c r="C542" s="1"/>
      <c r="D542" s="1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4.25" customHeight="1">
      <c r="A543" s="1"/>
      <c r="B543" s="1"/>
      <c r="C543" s="1"/>
      <c r="D543" s="1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4.25" customHeight="1">
      <c r="A544" s="1"/>
      <c r="B544" s="1"/>
      <c r="C544" s="1"/>
      <c r="D544" s="1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4.25" customHeight="1">
      <c r="A545" s="1"/>
      <c r="B545" s="1"/>
      <c r="C545" s="1"/>
      <c r="D545" s="1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4.25" customHeight="1">
      <c r="A546" s="1"/>
      <c r="B546" s="1"/>
      <c r="C546" s="1"/>
      <c r="D546" s="1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4.25" customHeight="1">
      <c r="A547" s="1"/>
      <c r="B547" s="1"/>
      <c r="C547" s="1"/>
      <c r="D547" s="1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4.25" customHeight="1">
      <c r="A548" s="1"/>
      <c r="B548" s="1"/>
      <c r="C548" s="1"/>
      <c r="D548" s="1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4.25" customHeight="1">
      <c r="A549" s="1"/>
      <c r="B549" s="1"/>
      <c r="C549" s="1"/>
      <c r="D549" s="1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4.25" customHeight="1">
      <c r="A550" s="1"/>
      <c r="B550" s="1"/>
      <c r="C550" s="1"/>
      <c r="D550" s="1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4.25" customHeight="1">
      <c r="A551" s="1"/>
      <c r="B551" s="1"/>
      <c r="C551" s="1"/>
      <c r="D551" s="1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4.25" customHeight="1">
      <c r="A552" s="1"/>
      <c r="B552" s="1"/>
      <c r="C552" s="1"/>
      <c r="D552" s="1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4.25" customHeight="1">
      <c r="A553" s="1"/>
      <c r="B553" s="1"/>
      <c r="C553" s="1"/>
      <c r="D553" s="1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4.25" customHeight="1">
      <c r="A554" s="1"/>
      <c r="B554" s="1"/>
      <c r="C554" s="1"/>
      <c r="D554" s="1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4.25" customHeight="1">
      <c r="A555" s="1"/>
      <c r="B555" s="1"/>
      <c r="C555" s="1"/>
      <c r="D555" s="1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4.25" customHeight="1">
      <c r="A556" s="1"/>
      <c r="B556" s="1"/>
      <c r="C556" s="1"/>
      <c r="D556" s="1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4.25" customHeight="1">
      <c r="A557" s="1"/>
      <c r="B557" s="1"/>
      <c r="C557" s="1"/>
      <c r="D557" s="1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4.25" customHeight="1">
      <c r="A558" s="1"/>
      <c r="B558" s="1"/>
      <c r="C558" s="1"/>
      <c r="D558" s="1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4.25" customHeight="1">
      <c r="A559" s="1"/>
      <c r="B559" s="1"/>
      <c r="C559" s="1"/>
      <c r="D559" s="1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4.25" customHeight="1">
      <c r="A560" s="1"/>
      <c r="B560" s="1"/>
      <c r="C560" s="1"/>
      <c r="D560" s="1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4.25" customHeight="1">
      <c r="A561" s="1"/>
      <c r="B561" s="1"/>
      <c r="C561" s="1"/>
      <c r="D561" s="1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4.25" customHeight="1">
      <c r="A562" s="1"/>
      <c r="B562" s="1"/>
      <c r="C562" s="1"/>
      <c r="D562" s="1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4.25" customHeight="1">
      <c r="A563" s="1"/>
      <c r="B563" s="1"/>
      <c r="C563" s="1"/>
      <c r="D563" s="1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4.25" customHeight="1">
      <c r="A564" s="1"/>
      <c r="B564" s="1"/>
      <c r="C564" s="1"/>
      <c r="D564" s="1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4.25" customHeight="1">
      <c r="A565" s="1"/>
      <c r="B565" s="1"/>
      <c r="C565" s="1"/>
      <c r="D565" s="1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4.25" customHeight="1">
      <c r="A566" s="1"/>
      <c r="B566" s="1"/>
      <c r="C566" s="1"/>
      <c r="D566" s="1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4.25" customHeight="1">
      <c r="A567" s="1"/>
      <c r="B567" s="1"/>
      <c r="C567" s="1"/>
      <c r="D567" s="1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4.25" customHeight="1">
      <c r="A568" s="1"/>
      <c r="B568" s="1"/>
      <c r="C568" s="1"/>
      <c r="D568" s="1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4.25" customHeight="1">
      <c r="A569" s="1"/>
      <c r="B569" s="1"/>
      <c r="C569" s="1"/>
      <c r="D569" s="1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4.25" customHeight="1">
      <c r="A570" s="1"/>
      <c r="B570" s="1"/>
      <c r="C570" s="1"/>
      <c r="D570" s="1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4.25" customHeight="1">
      <c r="A571" s="1"/>
      <c r="B571" s="1"/>
      <c r="C571" s="1"/>
      <c r="D571" s="1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4.25" customHeight="1">
      <c r="A572" s="1"/>
      <c r="B572" s="1"/>
      <c r="C572" s="1"/>
      <c r="D572" s="1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4.25" customHeight="1">
      <c r="A573" s="1"/>
      <c r="B573" s="1"/>
      <c r="C573" s="1"/>
      <c r="D573" s="1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4.25" customHeight="1">
      <c r="A574" s="1"/>
      <c r="B574" s="1"/>
      <c r="C574" s="1"/>
      <c r="D574" s="1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4.25" customHeight="1">
      <c r="A575" s="1"/>
      <c r="B575" s="1"/>
      <c r="C575" s="1"/>
      <c r="D575" s="1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4.25" customHeight="1">
      <c r="A576" s="1"/>
      <c r="B576" s="1"/>
      <c r="C576" s="1"/>
      <c r="D576" s="1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4.25" customHeight="1">
      <c r="A577" s="1"/>
      <c r="B577" s="1"/>
      <c r="C577" s="1"/>
      <c r="D577" s="1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4.25" customHeight="1">
      <c r="A578" s="1"/>
      <c r="B578" s="1"/>
      <c r="C578" s="1"/>
      <c r="D578" s="1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4.25" customHeight="1">
      <c r="A579" s="1"/>
      <c r="B579" s="1"/>
      <c r="C579" s="1"/>
      <c r="D579" s="1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4.25" customHeight="1">
      <c r="A580" s="1"/>
      <c r="B580" s="1"/>
      <c r="C580" s="1"/>
      <c r="D580" s="1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4.25" customHeight="1">
      <c r="A581" s="1"/>
      <c r="B581" s="1"/>
      <c r="C581" s="1"/>
      <c r="D581" s="1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4.25" customHeight="1">
      <c r="A582" s="1"/>
      <c r="B582" s="1"/>
      <c r="C582" s="1"/>
      <c r="D582" s="1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4.25" customHeight="1">
      <c r="A583" s="1"/>
      <c r="B583" s="1"/>
      <c r="C583" s="1"/>
      <c r="D583" s="1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4.25" customHeight="1">
      <c r="A584" s="1"/>
      <c r="B584" s="1"/>
      <c r="C584" s="1"/>
      <c r="D584" s="1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4.25" customHeight="1">
      <c r="A585" s="1"/>
      <c r="B585" s="1"/>
      <c r="C585" s="1"/>
      <c r="D585" s="1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4.25" customHeight="1">
      <c r="A586" s="1"/>
      <c r="B586" s="1"/>
      <c r="C586" s="1"/>
      <c r="D586" s="1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4.25" customHeight="1">
      <c r="A587" s="1"/>
      <c r="B587" s="1"/>
      <c r="C587" s="1"/>
      <c r="D587" s="1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4.25" customHeight="1">
      <c r="A588" s="1"/>
      <c r="B588" s="1"/>
      <c r="C588" s="1"/>
      <c r="D588" s="1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4.25" customHeight="1">
      <c r="A589" s="1"/>
      <c r="B589" s="1"/>
      <c r="C589" s="1"/>
      <c r="D589" s="1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4.25" customHeight="1">
      <c r="A590" s="1"/>
      <c r="B590" s="1"/>
      <c r="C590" s="1"/>
      <c r="D590" s="1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4.25" customHeight="1">
      <c r="A591" s="1"/>
      <c r="B591" s="1"/>
      <c r="C591" s="1"/>
      <c r="D591" s="1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4.25" customHeight="1">
      <c r="A592" s="1"/>
      <c r="B592" s="1"/>
      <c r="C592" s="1"/>
      <c r="D592" s="1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4.25" customHeight="1">
      <c r="A593" s="1"/>
      <c r="B593" s="1"/>
      <c r="C593" s="1"/>
      <c r="D593" s="1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4.25" customHeight="1">
      <c r="A594" s="1"/>
      <c r="B594" s="1"/>
      <c r="C594" s="1"/>
      <c r="D594" s="1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4.25" customHeight="1">
      <c r="A595" s="1"/>
      <c r="B595" s="1"/>
      <c r="C595" s="1"/>
      <c r="D595" s="1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4.25" customHeight="1">
      <c r="A596" s="1"/>
      <c r="B596" s="1"/>
      <c r="C596" s="1"/>
      <c r="D596" s="1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4.25" customHeight="1">
      <c r="A597" s="1"/>
      <c r="B597" s="1"/>
      <c r="C597" s="1"/>
      <c r="D597" s="1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4.25" customHeight="1">
      <c r="A598" s="1"/>
      <c r="B598" s="1"/>
      <c r="C598" s="1"/>
      <c r="D598" s="1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4.25" customHeight="1">
      <c r="A599" s="1"/>
      <c r="B599" s="1"/>
      <c r="C599" s="1"/>
      <c r="D599" s="1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4.25" customHeight="1">
      <c r="A600" s="1"/>
      <c r="B600" s="1"/>
      <c r="C600" s="1"/>
      <c r="D600" s="1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4.25" customHeight="1">
      <c r="A601" s="1"/>
      <c r="B601" s="1"/>
      <c r="C601" s="1"/>
      <c r="D601" s="1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4.25" customHeight="1">
      <c r="A602" s="1"/>
      <c r="B602" s="1"/>
      <c r="C602" s="1"/>
      <c r="D602" s="1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4.25" customHeight="1">
      <c r="A603" s="1"/>
      <c r="B603" s="1"/>
      <c r="C603" s="1"/>
      <c r="D603" s="1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4.25" customHeight="1">
      <c r="A604" s="1"/>
      <c r="B604" s="1"/>
      <c r="C604" s="1"/>
      <c r="D604" s="1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4.25" customHeight="1">
      <c r="A605" s="1"/>
      <c r="B605" s="1"/>
      <c r="C605" s="1"/>
      <c r="D605" s="1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4.25" customHeight="1">
      <c r="A606" s="1"/>
      <c r="B606" s="1"/>
      <c r="C606" s="1"/>
      <c r="D606" s="1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4.25" customHeight="1">
      <c r="A607" s="1"/>
      <c r="B607" s="1"/>
      <c r="C607" s="1"/>
      <c r="D607" s="1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4.25" customHeight="1">
      <c r="A608" s="1"/>
      <c r="B608" s="1"/>
      <c r="C608" s="1"/>
      <c r="D608" s="1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4.25" customHeight="1">
      <c r="A609" s="1"/>
      <c r="B609" s="1"/>
      <c r="C609" s="1"/>
      <c r="D609" s="1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4.25" customHeight="1">
      <c r="A610" s="1"/>
      <c r="B610" s="1"/>
      <c r="C610" s="1"/>
      <c r="D610" s="1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4.25" customHeight="1">
      <c r="A611" s="1"/>
      <c r="B611" s="1"/>
      <c r="C611" s="1"/>
      <c r="D611" s="1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4.25" customHeight="1">
      <c r="A612" s="1"/>
      <c r="B612" s="1"/>
      <c r="C612" s="1"/>
      <c r="D612" s="1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4.25" customHeight="1">
      <c r="A613" s="1"/>
      <c r="B613" s="1"/>
      <c r="C613" s="1"/>
      <c r="D613" s="1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4.25" customHeight="1">
      <c r="A614" s="1"/>
      <c r="B614" s="1"/>
      <c r="C614" s="1"/>
      <c r="D614" s="1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4.25" customHeight="1">
      <c r="A615" s="1"/>
      <c r="B615" s="1"/>
      <c r="C615" s="1"/>
      <c r="D615" s="1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4.25" customHeight="1">
      <c r="A616" s="1"/>
      <c r="B616" s="1"/>
      <c r="C616" s="1"/>
      <c r="D616" s="1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4.25" customHeight="1">
      <c r="A617" s="1"/>
      <c r="B617" s="1"/>
      <c r="C617" s="1"/>
      <c r="D617" s="1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4.25" customHeight="1">
      <c r="A618" s="1"/>
      <c r="B618" s="1"/>
      <c r="C618" s="1"/>
      <c r="D618" s="1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4.25" customHeight="1">
      <c r="A619" s="1"/>
      <c r="B619" s="1"/>
      <c r="C619" s="1"/>
      <c r="D619" s="1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4.25" customHeight="1">
      <c r="A620" s="1"/>
      <c r="B620" s="1"/>
      <c r="C620" s="1"/>
      <c r="D620" s="1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4.25" customHeight="1">
      <c r="A621" s="1"/>
      <c r="B621" s="1"/>
      <c r="C621" s="1"/>
      <c r="D621" s="1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4.25" customHeight="1">
      <c r="A622" s="1"/>
      <c r="B622" s="1"/>
      <c r="C622" s="1"/>
      <c r="D622" s="1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4.25" customHeight="1">
      <c r="A623" s="1"/>
      <c r="B623" s="1"/>
      <c r="C623" s="1"/>
      <c r="D623" s="1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4.25" customHeight="1">
      <c r="A624" s="1"/>
      <c r="B624" s="1"/>
      <c r="C624" s="1"/>
      <c r="D624" s="1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4.25" customHeight="1">
      <c r="A625" s="1"/>
      <c r="B625" s="1"/>
      <c r="C625" s="1"/>
      <c r="D625" s="1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4.25" customHeight="1">
      <c r="A626" s="1"/>
      <c r="B626" s="1"/>
      <c r="C626" s="1"/>
      <c r="D626" s="1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4.25" customHeight="1">
      <c r="A627" s="1"/>
      <c r="B627" s="1"/>
      <c r="C627" s="1"/>
      <c r="D627" s="1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4.25" customHeight="1">
      <c r="A628" s="1"/>
      <c r="B628" s="1"/>
      <c r="C628" s="1"/>
      <c r="D628" s="1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4.25" customHeight="1">
      <c r="A629" s="1"/>
      <c r="B629" s="1"/>
      <c r="C629" s="1"/>
      <c r="D629" s="1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4.25" customHeight="1">
      <c r="A630" s="1"/>
      <c r="B630" s="1"/>
      <c r="C630" s="1"/>
      <c r="D630" s="1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4.25" customHeight="1">
      <c r="A631" s="1"/>
      <c r="B631" s="1"/>
      <c r="C631" s="1"/>
      <c r="D631" s="1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4.25" customHeight="1">
      <c r="A632" s="1"/>
      <c r="B632" s="1"/>
      <c r="C632" s="1"/>
      <c r="D632" s="1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4.25" customHeight="1">
      <c r="A633" s="1"/>
      <c r="B633" s="1"/>
      <c r="C633" s="1"/>
      <c r="D633" s="1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4.25" customHeight="1">
      <c r="A634" s="1"/>
      <c r="B634" s="1"/>
      <c r="C634" s="1"/>
      <c r="D634" s="1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4.25" customHeight="1">
      <c r="A635" s="1"/>
      <c r="B635" s="1"/>
      <c r="C635" s="1"/>
      <c r="D635" s="1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4.25" customHeight="1">
      <c r="A636" s="1"/>
      <c r="B636" s="1"/>
      <c r="C636" s="1"/>
      <c r="D636" s="1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4.25" customHeight="1">
      <c r="A637" s="1"/>
      <c r="B637" s="1"/>
      <c r="C637" s="1"/>
      <c r="D637" s="1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4.25" customHeight="1">
      <c r="A638" s="1"/>
      <c r="B638" s="1"/>
      <c r="C638" s="1"/>
      <c r="D638" s="1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4.25" customHeight="1">
      <c r="A639" s="1"/>
      <c r="B639" s="1"/>
      <c r="C639" s="1"/>
      <c r="D639" s="1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4.25" customHeight="1">
      <c r="A640" s="1"/>
      <c r="B640" s="1"/>
      <c r="C640" s="1"/>
      <c r="D640" s="1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4.25" customHeight="1">
      <c r="A641" s="1"/>
      <c r="B641" s="1"/>
      <c r="C641" s="1"/>
      <c r="D641" s="1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4.25" customHeight="1">
      <c r="A642" s="1"/>
      <c r="B642" s="1"/>
      <c r="C642" s="1"/>
      <c r="D642" s="1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4.25" customHeight="1">
      <c r="A643" s="1"/>
      <c r="B643" s="1"/>
      <c r="C643" s="1"/>
      <c r="D643" s="1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4.25" customHeight="1">
      <c r="A644" s="1"/>
      <c r="B644" s="1"/>
      <c r="C644" s="1"/>
      <c r="D644" s="1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4.25" customHeight="1">
      <c r="A645" s="1"/>
      <c r="B645" s="1"/>
      <c r="C645" s="1"/>
      <c r="D645" s="1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4.25" customHeight="1">
      <c r="A646" s="1"/>
      <c r="B646" s="1"/>
      <c r="C646" s="1"/>
      <c r="D646" s="1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4.25" customHeight="1">
      <c r="A647" s="1"/>
      <c r="B647" s="1"/>
      <c r="C647" s="1"/>
      <c r="D647" s="1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4.25" customHeight="1">
      <c r="A648" s="1"/>
      <c r="B648" s="1"/>
      <c r="C648" s="1"/>
      <c r="D648" s="1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4.25" customHeight="1">
      <c r="A649" s="1"/>
      <c r="B649" s="1"/>
      <c r="C649" s="1"/>
      <c r="D649" s="1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4.25" customHeight="1">
      <c r="A650" s="1"/>
      <c r="B650" s="1"/>
      <c r="C650" s="1"/>
      <c r="D650" s="1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4.25" customHeight="1">
      <c r="A651" s="1"/>
      <c r="B651" s="1"/>
      <c r="C651" s="1"/>
      <c r="D651" s="1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4.25" customHeight="1">
      <c r="A652" s="1"/>
      <c r="B652" s="1"/>
      <c r="C652" s="1"/>
      <c r="D652" s="1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4.25" customHeight="1">
      <c r="A653" s="1"/>
      <c r="B653" s="1"/>
      <c r="C653" s="1"/>
      <c r="D653" s="1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4.25" customHeight="1">
      <c r="A654" s="1"/>
      <c r="B654" s="1"/>
      <c r="C654" s="1"/>
      <c r="D654" s="1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4.25" customHeight="1">
      <c r="A655" s="1"/>
      <c r="B655" s="1"/>
      <c r="C655" s="1"/>
      <c r="D655" s="1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4.25" customHeight="1">
      <c r="A656" s="1"/>
      <c r="B656" s="1"/>
      <c r="C656" s="1"/>
      <c r="D656" s="1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4.25" customHeight="1">
      <c r="A657" s="1"/>
      <c r="B657" s="1"/>
      <c r="C657" s="1"/>
      <c r="D657" s="1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4.25" customHeight="1">
      <c r="A658" s="1"/>
      <c r="B658" s="1"/>
      <c r="C658" s="1"/>
      <c r="D658" s="1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4.25" customHeight="1">
      <c r="A659" s="1"/>
      <c r="B659" s="1"/>
      <c r="C659" s="1"/>
      <c r="D659" s="1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4.25" customHeight="1">
      <c r="A660" s="1"/>
      <c r="B660" s="1"/>
      <c r="C660" s="1"/>
      <c r="D660" s="1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4.25" customHeight="1">
      <c r="A661" s="1"/>
      <c r="B661" s="1"/>
      <c r="C661" s="1"/>
      <c r="D661" s="1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4.25" customHeight="1">
      <c r="A662" s="1"/>
      <c r="B662" s="1"/>
      <c r="C662" s="1"/>
      <c r="D662" s="1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4.25" customHeight="1">
      <c r="A663" s="1"/>
      <c r="B663" s="1"/>
      <c r="C663" s="1"/>
      <c r="D663" s="1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4.25" customHeight="1">
      <c r="A664" s="1"/>
      <c r="B664" s="1"/>
      <c r="C664" s="1"/>
      <c r="D664" s="1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4.25" customHeight="1">
      <c r="A665" s="1"/>
      <c r="B665" s="1"/>
      <c r="C665" s="1"/>
      <c r="D665" s="1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4.25" customHeight="1">
      <c r="A666" s="1"/>
      <c r="B666" s="1"/>
      <c r="C666" s="1"/>
      <c r="D666" s="1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4.25" customHeight="1">
      <c r="A667" s="1"/>
      <c r="B667" s="1"/>
      <c r="C667" s="1"/>
      <c r="D667" s="1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4.25" customHeight="1">
      <c r="A668" s="1"/>
      <c r="B668" s="1"/>
      <c r="C668" s="1"/>
      <c r="D668" s="1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4.25" customHeight="1">
      <c r="A669" s="1"/>
      <c r="B669" s="1"/>
      <c r="C669" s="1"/>
      <c r="D669" s="1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4.25" customHeight="1">
      <c r="A670" s="1"/>
      <c r="B670" s="1"/>
      <c r="C670" s="1"/>
      <c r="D670" s="1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4.25" customHeight="1">
      <c r="A671" s="1"/>
      <c r="B671" s="1"/>
      <c r="C671" s="1"/>
      <c r="D671" s="1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4.25" customHeight="1">
      <c r="A672" s="1"/>
      <c r="B672" s="1"/>
      <c r="C672" s="1"/>
      <c r="D672" s="1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4.25" customHeight="1">
      <c r="A673" s="1"/>
      <c r="B673" s="1"/>
      <c r="C673" s="1"/>
      <c r="D673" s="1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4.25" customHeight="1">
      <c r="A674" s="1"/>
      <c r="B674" s="1"/>
      <c r="C674" s="1"/>
      <c r="D674" s="1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4.25" customHeight="1">
      <c r="A675" s="1"/>
      <c r="B675" s="1"/>
      <c r="C675" s="1"/>
      <c r="D675" s="1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4.25" customHeight="1">
      <c r="A676" s="1"/>
      <c r="B676" s="1"/>
      <c r="C676" s="1"/>
      <c r="D676" s="1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4.25" customHeight="1">
      <c r="A677" s="1"/>
      <c r="B677" s="1"/>
      <c r="C677" s="1"/>
      <c r="D677" s="1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4.25" customHeight="1">
      <c r="A678" s="1"/>
      <c r="B678" s="1"/>
      <c r="C678" s="1"/>
      <c r="D678" s="1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4.25" customHeight="1">
      <c r="A679" s="1"/>
      <c r="B679" s="1"/>
      <c r="C679" s="1"/>
      <c r="D679" s="1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4.25" customHeight="1">
      <c r="A680" s="1"/>
      <c r="B680" s="1"/>
      <c r="C680" s="1"/>
      <c r="D680" s="1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4.25" customHeight="1">
      <c r="A681" s="1"/>
      <c r="B681" s="1"/>
      <c r="C681" s="1"/>
      <c r="D681" s="1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4.25" customHeight="1">
      <c r="A682" s="1"/>
      <c r="B682" s="1"/>
      <c r="C682" s="1"/>
      <c r="D682" s="1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4.25" customHeight="1">
      <c r="A683" s="1"/>
      <c r="B683" s="1"/>
      <c r="C683" s="1"/>
      <c r="D683" s="1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4.25" customHeight="1">
      <c r="A684" s="1"/>
      <c r="B684" s="1"/>
      <c r="C684" s="1"/>
      <c r="D684" s="1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4.25" customHeight="1">
      <c r="A685" s="1"/>
      <c r="B685" s="1"/>
      <c r="C685" s="1"/>
      <c r="D685" s="1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4.25" customHeight="1">
      <c r="A686" s="1"/>
      <c r="B686" s="1"/>
      <c r="C686" s="1"/>
      <c r="D686" s="1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4.25" customHeight="1">
      <c r="A687" s="1"/>
      <c r="B687" s="1"/>
      <c r="C687" s="1"/>
      <c r="D687" s="1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4.25" customHeight="1">
      <c r="A688" s="1"/>
      <c r="B688" s="1"/>
      <c r="C688" s="1"/>
      <c r="D688" s="1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4.25" customHeight="1">
      <c r="A689" s="1"/>
      <c r="B689" s="1"/>
      <c r="C689" s="1"/>
      <c r="D689" s="1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4.25" customHeight="1">
      <c r="A690" s="1"/>
      <c r="B690" s="1"/>
      <c r="C690" s="1"/>
      <c r="D690" s="1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4.25" customHeight="1">
      <c r="A691" s="1"/>
      <c r="B691" s="1"/>
      <c r="C691" s="1"/>
      <c r="D691" s="1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4.25" customHeight="1">
      <c r="A692" s="1"/>
      <c r="B692" s="1"/>
      <c r="C692" s="1"/>
      <c r="D692" s="1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4.25" customHeight="1">
      <c r="A693" s="1"/>
      <c r="B693" s="1"/>
      <c r="C693" s="1"/>
      <c r="D693" s="1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4.25" customHeight="1">
      <c r="A694" s="1"/>
      <c r="B694" s="1"/>
      <c r="C694" s="1"/>
      <c r="D694" s="1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4.25" customHeight="1">
      <c r="A695" s="1"/>
      <c r="B695" s="1"/>
      <c r="C695" s="1"/>
      <c r="D695" s="1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4.25" customHeight="1">
      <c r="A696" s="1"/>
      <c r="B696" s="1"/>
      <c r="C696" s="1"/>
      <c r="D696" s="1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4.25" customHeight="1">
      <c r="A697" s="1"/>
      <c r="B697" s="1"/>
      <c r="C697" s="1"/>
      <c r="D697" s="1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4.25" customHeight="1">
      <c r="A698" s="1"/>
      <c r="B698" s="1"/>
      <c r="C698" s="1"/>
      <c r="D698" s="1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4.25" customHeight="1">
      <c r="A699" s="1"/>
      <c r="B699" s="1"/>
      <c r="C699" s="1"/>
      <c r="D699" s="1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4.25" customHeight="1">
      <c r="A700" s="1"/>
      <c r="B700" s="1"/>
      <c r="C700" s="1"/>
      <c r="D700" s="1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4.25" customHeight="1">
      <c r="A701" s="1"/>
      <c r="B701" s="1"/>
      <c r="C701" s="1"/>
      <c r="D701" s="1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4.25" customHeight="1">
      <c r="A702" s="1"/>
      <c r="B702" s="1"/>
      <c r="C702" s="1"/>
      <c r="D702" s="1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4.25" customHeight="1">
      <c r="A703" s="1"/>
      <c r="B703" s="1"/>
      <c r="C703" s="1"/>
      <c r="D703" s="1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4.25" customHeight="1">
      <c r="A704" s="1"/>
      <c r="B704" s="1"/>
      <c r="C704" s="1"/>
      <c r="D704" s="1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4.25" customHeight="1">
      <c r="A705" s="1"/>
      <c r="B705" s="1"/>
      <c r="C705" s="1"/>
      <c r="D705" s="1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4.25" customHeight="1">
      <c r="A706" s="1"/>
      <c r="B706" s="1"/>
      <c r="C706" s="1"/>
      <c r="D706" s="1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4.25" customHeight="1">
      <c r="A707" s="1"/>
      <c r="B707" s="1"/>
      <c r="C707" s="1"/>
      <c r="D707" s="1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4.25" customHeight="1">
      <c r="A708" s="1"/>
      <c r="B708" s="1"/>
      <c r="C708" s="1"/>
      <c r="D708" s="1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4.25" customHeight="1">
      <c r="A709" s="1"/>
      <c r="B709" s="1"/>
      <c r="C709" s="1"/>
      <c r="D709" s="1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4.25" customHeight="1">
      <c r="A710" s="1"/>
      <c r="B710" s="1"/>
      <c r="C710" s="1"/>
      <c r="D710" s="1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4.25" customHeight="1">
      <c r="A711" s="1"/>
      <c r="B711" s="1"/>
      <c r="C711" s="1"/>
      <c r="D711" s="1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4.25" customHeight="1">
      <c r="A712" s="1"/>
      <c r="B712" s="1"/>
      <c r="C712" s="1"/>
      <c r="D712" s="1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4.25" customHeight="1">
      <c r="A713" s="1"/>
      <c r="B713" s="1"/>
      <c r="C713" s="1"/>
      <c r="D713" s="1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4.25" customHeight="1">
      <c r="A714" s="1"/>
      <c r="B714" s="1"/>
      <c r="C714" s="1"/>
      <c r="D714" s="1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4.25" customHeight="1">
      <c r="A715" s="1"/>
      <c r="B715" s="1"/>
      <c r="C715" s="1"/>
      <c r="D715" s="1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4.25" customHeight="1">
      <c r="A716" s="1"/>
      <c r="B716" s="1"/>
      <c r="C716" s="1"/>
      <c r="D716" s="1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4.25" customHeight="1">
      <c r="A717" s="1"/>
      <c r="B717" s="1"/>
      <c r="C717" s="1"/>
      <c r="D717" s="1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4.25" customHeight="1">
      <c r="A718" s="1"/>
      <c r="B718" s="1"/>
      <c r="C718" s="1"/>
      <c r="D718" s="1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4.25" customHeight="1">
      <c r="A719" s="1"/>
      <c r="B719" s="1"/>
      <c r="C719" s="1"/>
      <c r="D719" s="1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4.25" customHeight="1">
      <c r="A720" s="1"/>
      <c r="B720" s="1"/>
      <c r="C720" s="1"/>
      <c r="D720" s="1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4.25" customHeight="1">
      <c r="A721" s="1"/>
      <c r="B721" s="1"/>
      <c r="C721" s="1"/>
      <c r="D721" s="1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4.25" customHeight="1">
      <c r="A722" s="1"/>
      <c r="B722" s="1"/>
      <c r="C722" s="1"/>
      <c r="D722" s="1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4.25" customHeight="1">
      <c r="A723" s="1"/>
      <c r="B723" s="1"/>
      <c r="C723" s="1"/>
      <c r="D723" s="1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4.25" customHeight="1">
      <c r="A724" s="1"/>
      <c r="B724" s="1"/>
      <c r="C724" s="1"/>
      <c r="D724" s="1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4.25" customHeight="1">
      <c r="A725" s="1"/>
      <c r="B725" s="1"/>
      <c r="C725" s="1"/>
      <c r="D725" s="1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4.25" customHeight="1">
      <c r="A726" s="1"/>
      <c r="B726" s="1"/>
      <c r="C726" s="1"/>
      <c r="D726" s="1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4.25" customHeight="1">
      <c r="A727" s="1"/>
      <c r="B727" s="1"/>
      <c r="C727" s="1"/>
      <c r="D727" s="1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4.25" customHeight="1">
      <c r="A728" s="1"/>
      <c r="B728" s="1"/>
      <c r="C728" s="1"/>
      <c r="D728" s="1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4.25" customHeight="1">
      <c r="A729" s="1"/>
      <c r="B729" s="1"/>
      <c r="C729" s="1"/>
      <c r="D729" s="1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4.25" customHeight="1">
      <c r="A730" s="1"/>
      <c r="B730" s="1"/>
      <c r="C730" s="1"/>
      <c r="D730" s="1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4.25" customHeight="1">
      <c r="A731" s="1"/>
      <c r="B731" s="1"/>
      <c r="C731" s="1"/>
      <c r="D731" s="1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4.25" customHeight="1">
      <c r="A732" s="1"/>
      <c r="B732" s="1"/>
      <c r="C732" s="1"/>
      <c r="D732" s="1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4.25" customHeight="1">
      <c r="A733" s="1"/>
      <c r="B733" s="1"/>
      <c r="C733" s="1"/>
      <c r="D733" s="1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4.25" customHeight="1">
      <c r="A734" s="1"/>
      <c r="B734" s="1"/>
      <c r="C734" s="1"/>
      <c r="D734" s="1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4.25" customHeight="1">
      <c r="A735" s="1"/>
      <c r="B735" s="1"/>
      <c r="C735" s="1"/>
      <c r="D735" s="1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4.25" customHeight="1">
      <c r="A736" s="1"/>
      <c r="B736" s="1"/>
      <c r="C736" s="1"/>
      <c r="D736" s="1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4.25" customHeight="1">
      <c r="A737" s="1"/>
      <c r="B737" s="1"/>
      <c r="C737" s="1"/>
      <c r="D737" s="1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4.25" customHeight="1">
      <c r="A738" s="1"/>
      <c r="B738" s="1"/>
      <c r="C738" s="1"/>
      <c r="D738" s="1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4.25" customHeight="1">
      <c r="A739" s="1"/>
      <c r="B739" s="1"/>
      <c r="C739" s="1"/>
      <c r="D739" s="1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4.25" customHeight="1">
      <c r="A740" s="1"/>
      <c r="B740" s="1"/>
      <c r="C740" s="1"/>
      <c r="D740" s="1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4.25" customHeight="1">
      <c r="A741" s="1"/>
      <c r="B741" s="1"/>
      <c r="C741" s="1"/>
      <c r="D741" s="1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4.25" customHeight="1">
      <c r="A742" s="1"/>
      <c r="B742" s="1"/>
      <c r="C742" s="1"/>
      <c r="D742" s="1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4.25" customHeight="1">
      <c r="A743" s="1"/>
      <c r="B743" s="1"/>
      <c r="C743" s="1"/>
      <c r="D743" s="1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4.25" customHeight="1">
      <c r="A744" s="1"/>
      <c r="B744" s="1"/>
      <c r="C744" s="1"/>
      <c r="D744" s="1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4.25" customHeight="1">
      <c r="A745" s="1"/>
      <c r="B745" s="1"/>
      <c r="C745" s="1"/>
      <c r="D745" s="1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4.25" customHeight="1">
      <c r="A746" s="1"/>
      <c r="B746" s="1"/>
      <c r="C746" s="1"/>
      <c r="D746" s="1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4.25" customHeight="1">
      <c r="A747" s="1"/>
      <c r="B747" s="1"/>
      <c r="C747" s="1"/>
      <c r="D747" s="1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4.25" customHeight="1">
      <c r="A748" s="1"/>
      <c r="B748" s="1"/>
      <c r="C748" s="1"/>
      <c r="D748" s="1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4.25" customHeight="1">
      <c r="A749" s="1"/>
      <c r="B749" s="1"/>
      <c r="C749" s="1"/>
      <c r="D749" s="1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4.25" customHeight="1">
      <c r="A750" s="1"/>
      <c r="B750" s="1"/>
      <c r="C750" s="1"/>
      <c r="D750" s="1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4.25" customHeight="1">
      <c r="A751" s="1"/>
      <c r="B751" s="1"/>
      <c r="C751" s="1"/>
      <c r="D751" s="1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4.25" customHeight="1">
      <c r="A752" s="1"/>
      <c r="B752" s="1"/>
      <c r="C752" s="1"/>
      <c r="D752" s="1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4.25" customHeight="1">
      <c r="A753" s="1"/>
      <c r="B753" s="1"/>
      <c r="C753" s="1"/>
      <c r="D753" s="1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4.25" customHeight="1">
      <c r="A754" s="1"/>
      <c r="B754" s="1"/>
      <c r="C754" s="1"/>
      <c r="D754" s="1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4.25" customHeight="1">
      <c r="A755" s="1"/>
      <c r="B755" s="1"/>
      <c r="C755" s="1"/>
      <c r="D755" s="1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4.25" customHeight="1">
      <c r="A756" s="1"/>
      <c r="B756" s="1"/>
      <c r="C756" s="1"/>
      <c r="D756" s="1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4.25" customHeight="1">
      <c r="A757" s="1"/>
      <c r="B757" s="1"/>
      <c r="C757" s="1"/>
      <c r="D757" s="1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4.25" customHeight="1">
      <c r="A758" s="1"/>
      <c r="B758" s="1"/>
      <c r="C758" s="1"/>
      <c r="D758" s="1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4.25" customHeight="1">
      <c r="A759" s="1"/>
      <c r="B759" s="1"/>
      <c r="C759" s="1"/>
      <c r="D759" s="1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4.25" customHeight="1">
      <c r="A760" s="1"/>
      <c r="B760" s="1"/>
      <c r="C760" s="1"/>
      <c r="D760" s="1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4.25" customHeight="1">
      <c r="A761" s="1"/>
      <c r="B761" s="1"/>
      <c r="C761" s="1"/>
      <c r="D761" s="1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4.25" customHeight="1">
      <c r="A762" s="1"/>
      <c r="B762" s="1"/>
      <c r="C762" s="1"/>
      <c r="D762" s="1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4.25" customHeight="1">
      <c r="A763" s="1"/>
      <c r="B763" s="1"/>
      <c r="C763" s="1"/>
      <c r="D763" s="1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4.25" customHeight="1">
      <c r="A764" s="1"/>
      <c r="B764" s="1"/>
      <c r="C764" s="1"/>
      <c r="D764" s="1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4.25" customHeight="1">
      <c r="A765" s="1"/>
      <c r="B765" s="1"/>
      <c r="C765" s="1"/>
      <c r="D765" s="1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4.25" customHeight="1">
      <c r="A766" s="1"/>
      <c r="B766" s="1"/>
      <c r="C766" s="1"/>
      <c r="D766" s="1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4.25" customHeight="1">
      <c r="A767" s="1"/>
      <c r="B767" s="1"/>
      <c r="C767" s="1"/>
      <c r="D767" s="1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4.25" customHeight="1">
      <c r="A768" s="1"/>
      <c r="B768" s="1"/>
      <c r="C768" s="1"/>
      <c r="D768" s="1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4.25" customHeight="1">
      <c r="A769" s="1"/>
      <c r="B769" s="1"/>
      <c r="C769" s="1"/>
      <c r="D769" s="1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4.25" customHeight="1">
      <c r="A770" s="1"/>
      <c r="B770" s="1"/>
      <c r="C770" s="1"/>
      <c r="D770" s="1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4.25" customHeight="1">
      <c r="A771" s="1"/>
      <c r="B771" s="1"/>
      <c r="C771" s="1"/>
      <c r="D771" s="1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4.25" customHeight="1">
      <c r="A772" s="1"/>
      <c r="B772" s="1"/>
      <c r="C772" s="1"/>
      <c r="D772" s="1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4.25" customHeight="1">
      <c r="A773" s="1"/>
      <c r="B773" s="1"/>
      <c r="C773" s="1"/>
      <c r="D773" s="1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4.25" customHeight="1">
      <c r="A774" s="1"/>
      <c r="B774" s="1"/>
      <c r="C774" s="1"/>
      <c r="D774" s="1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4.25" customHeight="1">
      <c r="A775" s="1"/>
      <c r="B775" s="1"/>
      <c r="C775" s="1"/>
      <c r="D775" s="1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4.25" customHeight="1">
      <c r="A776" s="1"/>
      <c r="B776" s="1"/>
      <c r="C776" s="1"/>
      <c r="D776" s="1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4.25" customHeight="1">
      <c r="A777" s="1"/>
      <c r="B777" s="1"/>
      <c r="C777" s="1"/>
      <c r="D777" s="1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4.25" customHeight="1">
      <c r="A778" s="1"/>
      <c r="B778" s="1"/>
      <c r="C778" s="1"/>
      <c r="D778" s="1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4.25" customHeight="1">
      <c r="A779" s="1"/>
      <c r="B779" s="1"/>
      <c r="C779" s="1"/>
      <c r="D779" s="1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4.25" customHeight="1">
      <c r="A780" s="1"/>
      <c r="B780" s="1"/>
      <c r="C780" s="1"/>
      <c r="D780" s="1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4.25" customHeight="1">
      <c r="A781" s="1"/>
      <c r="B781" s="1"/>
      <c r="C781" s="1"/>
      <c r="D781" s="1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4.25" customHeight="1">
      <c r="A782" s="1"/>
      <c r="B782" s="1"/>
      <c r="C782" s="1"/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4.25" customHeight="1">
      <c r="A783" s="1"/>
      <c r="B783" s="1"/>
      <c r="C783" s="1"/>
      <c r="D783" s="1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4.25" customHeight="1">
      <c r="A784" s="1"/>
      <c r="B784" s="1"/>
      <c r="C784" s="1"/>
      <c r="D784" s="1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4.25" customHeight="1">
      <c r="A785" s="1"/>
      <c r="B785" s="1"/>
      <c r="C785" s="1"/>
      <c r="D785" s="1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4.25" customHeight="1">
      <c r="A786" s="1"/>
      <c r="B786" s="1"/>
      <c r="C786" s="1"/>
      <c r="D786" s="1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4.25" customHeight="1">
      <c r="A787" s="1"/>
      <c r="B787" s="1"/>
      <c r="C787" s="1"/>
      <c r="D787" s="1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4.25" customHeight="1">
      <c r="A788" s="1"/>
      <c r="B788" s="1"/>
      <c r="C788" s="1"/>
      <c r="D788" s="1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4.25" customHeight="1">
      <c r="A789" s="1"/>
      <c r="B789" s="1"/>
      <c r="C789" s="1"/>
      <c r="D789" s="1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4.25" customHeight="1">
      <c r="A790" s="1"/>
      <c r="B790" s="1"/>
      <c r="C790" s="1"/>
      <c r="D790" s="1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4.25" customHeight="1">
      <c r="A791" s="1"/>
      <c r="B791" s="1"/>
      <c r="C791" s="1"/>
      <c r="D791" s="1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4.25" customHeight="1">
      <c r="A792" s="1"/>
      <c r="B792" s="1"/>
      <c r="C792" s="1"/>
      <c r="D792" s="1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4.25" customHeight="1">
      <c r="A793" s="1"/>
      <c r="B793" s="1"/>
      <c r="C793" s="1"/>
      <c r="D793" s="1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4.25" customHeight="1">
      <c r="A794" s="1"/>
      <c r="B794" s="1"/>
      <c r="C794" s="1"/>
      <c r="D794" s="1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4.25" customHeight="1">
      <c r="A795" s="1"/>
      <c r="B795" s="1"/>
      <c r="C795" s="1"/>
      <c r="D795" s="1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4.25" customHeight="1">
      <c r="A796" s="1"/>
      <c r="B796" s="1"/>
      <c r="C796" s="1"/>
      <c r="D796" s="1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4.25" customHeight="1">
      <c r="A797" s="1"/>
      <c r="B797" s="1"/>
      <c r="C797" s="1"/>
      <c r="D797" s="1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4.25" customHeight="1">
      <c r="A798" s="1"/>
      <c r="B798" s="1"/>
      <c r="C798" s="1"/>
      <c r="D798" s="1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4.25" customHeight="1">
      <c r="A799" s="1"/>
      <c r="B799" s="1"/>
      <c r="C799" s="1"/>
      <c r="D799" s="1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4.25" customHeight="1">
      <c r="A800" s="1"/>
      <c r="B800" s="1"/>
      <c r="C800" s="1"/>
      <c r="D800" s="1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4.25" customHeight="1">
      <c r="A801" s="1"/>
      <c r="B801" s="1"/>
      <c r="C801" s="1"/>
      <c r="D801" s="1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4.25" customHeight="1">
      <c r="A802" s="1"/>
      <c r="B802" s="1"/>
      <c r="C802" s="1"/>
      <c r="D802" s="1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4.25" customHeight="1">
      <c r="A803" s="1"/>
      <c r="B803" s="1"/>
      <c r="C803" s="1"/>
      <c r="D803" s="1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4.25" customHeight="1">
      <c r="A804" s="1"/>
      <c r="B804" s="1"/>
      <c r="C804" s="1"/>
      <c r="D804" s="1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4.25" customHeight="1">
      <c r="A805" s="1"/>
      <c r="B805" s="1"/>
      <c r="C805" s="1"/>
      <c r="D805" s="1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4.25" customHeight="1">
      <c r="A806" s="1"/>
      <c r="B806" s="1"/>
      <c r="C806" s="1"/>
      <c r="D806" s="1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4.25" customHeight="1">
      <c r="A807" s="1"/>
      <c r="B807" s="1"/>
      <c r="C807" s="1"/>
      <c r="D807" s="1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4.25" customHeight="1">
      <c r="A808" s="1"/>
      <c r="B808" s="1"/>
      <c r="C808" s="1"/>
      <c r="D808" s="1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4.25" customHeight="1">
      <c r="A809" s="1"/>
      <c r="B809" s="1"/>
      <c r="C809" s="1"/>
      <c r="D809" s="1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4.25" customHeight="1">
      <c r="A810" s="1"/>
      <c r="B810" s="1"/>
      <c r="C810" s="1"/>
      <c r="D810" s="1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4.25" customHeight="1">
      <c r="A811" s="1"/>
      <c r="B811" s="1"/>
      <c r="C811" s="1"/>
      <c r="D811" s="1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4.25" customHeight="1">
      <c r="A812" s="1"/>
      <c r="B812" s="1"/>
      <c r="C812" s="1"/>
      <c r="D812" s="1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4.25" customHeight="1">
      <c r="A813" s="1"/>
      <c r="B813" s="1"/>
      <c r="C813" s="1"/>
      <c r="D813" s="1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4.25" customHeight="1">
      <c r="A814" s="1"/>
      <c r="B814" s="1"/>
      <c r="C814" s="1"/>
      <c r="D814" s="1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4.25" customHeight="1">
      <c r="A815" s="1"/>
      <c r="B815" s="1"/>
      <c r="C815" s="1"/>
      <c r="D815" s="1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4.25" customHeight="1">
      <c r="A816" s="1"/>
      <c r="B816" s="1"/>
      <c r="C816" s="1"/>
      <c r="D816" s="1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4.25" customHeight="1">
      <c r="A817" s="1"/>
      <c r="B817" s="1"/>
      <c r="C817" s="1"/>
      <c r="D817" s="1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4.25" customHeight="1">
      <c r="A818" s="1"/>
      <c r="B818" s="1"/>
      <c r="C818" s="1"/>
      <c r="D818" s="1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4.25" customHeight="1">
      <c r="A819" s="1"/>
      <c r="B819" s="1"/>
      <c r="C819" s="1"/>
      <c r="D819" s="1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4.25" customHeight="1">
      <c r="A820" s="1"/>
      <c r="B820" s="1"/>
      <c r="C820" s="1"/>
      <c r="D820" s="1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4.25" customHeight="1">
      <c r="A821" s="1"/>
      <c r="B821" s="1"/>
      <c r="C821" s="1"/>
      <c r="D821" s="1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4.25" customHeight="1">
      <c r="A822" s="1"/>
      <c r="B822" s="1"/>
      <c r="C822" s="1"/>
      <c r="D822" s="1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4.25" customHeight="1">
      <c r="A823" s="1"/>
      <c r="B823" s="1"/>
      <c r="C823" s="1"/>
      <c r="D823" s="1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4.25" customHeight="1">
      <c r="A824" s="1"/>
      <c r="B824" s="1"/>
      <c r="C824" s="1"/>
      <c r="D824" s="1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4.25" customHeight="1">
      <c r="A825" s="1"/>
      <c r="B825" s="1"/>
      <c r="C825" s="1"/>
      <c r="D825" s="1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4.25" customHeight="1">
      <c r="A826" s="1"/>
      <c r="B826" s="1"/>
      <c r="C826" s="1"/>
      <c r="D826" s="1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4.25" customHeight="1">
      <c r="A827" s="1"/>
      <c r="B827" s="1"/>
      <c r="C827" s="1"/>
      <c r="D827" s="1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4.25" customHeight="1">
      <c r="A828" s="1"/>
      <c r="B828" s="1"/>
      <c r="C828" s="1"/>
      <c r="D828" s="1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4.25" customHeight="1">
      <c r="A829" s="1"/>
      <c r="B829" s="1"/>
      <c r="C829" s="1"/>
      <c r="D829" s="1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4.25" customHeight="1">
      <c r="A830" s="1"/>
      <c r="B830" s="1"/>
      <c r="C830" s="1"/>
      <c r="D830" s="1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4.25" customHeight="1">
      <c r="A831" s="1"/>
      <c r="B831" s="1"/>
      <c r="C831" s="1"/>
      <c r="D831" s="1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4.25" customHeight="1">
      <c r="A832" s="1"/>
      <c r="B832" s="1"/>
      <c r="C832" s="1"/>
      <c r="D832" s="1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4.25" customHeight="1">
      <c r="A833" s="1"/>
      <c r="B833" s="1"/>
      <c r="C833" s="1"/>
      <c r="D833" s="1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4.25" customHeight="1">
      <c r="A834" s="1"/>
      <c r="B834" s="1"/>
      <c r="C834" s="1"/>
      <c r="D834" s="1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4.25" customHeight="1">
      <c r="A835" s="1"/>
      <c r="B835" s="1"/>
      <c r="C835" s="1"/>
      <c r="D835" s="1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4.25" customHeight="1">
      <c r="A836" s="1"/>
      <c r="B836" s="1"/>
      <c r="C836" s="1"/>
      <c r="D836" s="1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4.25" customHeight="1">
      <c r="A837" s="1"/>
      <c r="B837" s="1"/>
      <c r="C837" s="1"/>
      <c r="D837" s="1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4.25" customHeight="1">
      <c r="A838" s="1"/>
      <c r="B838" s="1"/>
      <c r="C838" s="1"/>
      <c r="D838" s="1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4.25" customHeight="1">
      <c r="A839" s="1"/>
      <c r="B839" s="1"/>
      <c r="C839" s="1"/>
      <c r="D839" s="1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4.25" customHeight="1">
      <c r="A840" s="1"/>
      <c r="B840" s="1"/>
      <c r="C840" s="1"/>
      <c r="D840" s="1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4.25" customHeight="1">
      <c r="A841" s="1"/>
      <c r="B841" s="1"/>
      <c r="C841" s="1"/>
      <c r="D841" s="1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4.25" customHeight="1">
      <c r="A842" s="1"/>
      <c r="B842" s="1"/>
      <c r="C842" s="1"/>
      <c r="D842" s="1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4.25" customHeight="1">
      <c r="A843" s="1"/>
      <c r="B843" s="1"/>
      <c r="C843" s="1"/>
      <c r="D843" s="1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4.25" customHeight="1">
      <c r="A844" s="1"/>
      <c r="B844" s="1"/>
      <c r="C844" s="1"/>
      <c r="D844" s="1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4.25" customHeight="1">
      <c r="A845" s="1"/>
      <c r="B845" s="1"/>
      <c r="C845" s="1"/>
      <c r="D845" s="1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4.25" customHeight="1">
      <c r="A846" s="1"/>
      <c r="B846" s="1"/>
      <c r="C846" s="1"/>
      <c r="D846" s="1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4.25" customHeight="1">
      <c r="A847" s="1"/>
      <c r="B847" s="1"/>
      <c r="C847" s="1"/>
      <c r="D847" s="1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4.25" customHeight="1">
      <c r="A848" s="1"/>
      <c r="B848" s="1"/>
      <c r="C848" s="1"/>
      <c r="D848" s="1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4.25" customHeight="1">
      <c r="A849" s="1"/>
      <c r="B849" s="1"/>
      <c r="C849" s="1"/>
      <c r="D849" s="1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4.25" customHeight="1">
      <c r="A850" s="1"/>
      <c r="B850" s="1"/>
      <c r="C850" s="1"/>
      <c r="D850" s="1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4.25" customHeight="1">
      <c r="A851" s="1"/>
      <c r="B851" s="1"/>
      <c r="C851" s="1"/>
      <c r="D851" s="1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4.25" customHeight="1">
      <c r="A852" s="1"/>
      <c r="B852" s="1"/>
      <c r="C852" s="1"/>
      <c r="D852" s="1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4.25" customHeight="1">
      <c r="A853" s="1"/>
      <c r="B853" s="1"/>
      <c r="C853" s="1"/>
      <c r="D853" s="1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4.25" customHeight="1">
      <c r="A854" s="1"/>
      <c r="B854" s="1"/>
      <c r="C854" s="1"/>
      <c r="D854" s="1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4.25" customHeight="1">
      <c r="A855" s="1"/>
      <c r="B855" s="1"/>
      <c r="C855" s="1"/>
      <c r="D855" s="1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4.25" customHeight="1">
      <c r="A856" s="1"/>
      <c r="B856" s="1"/>
      <c r="C856" s="1"/>
      <c r="D856" s="1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4.25" customHeight="1">
      <c r="A857" s="1"/>
      <c r="B857" s="1"/>
      <c r="C857" s="1"/>
      <c r="D857" s="1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4.25" customHeight="1">
      <c r="A858" s="1"/>
      <c r="B858" s="1"/>
      <c r="C858" s="1"/>
      <c r="D858" s="1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4.25" customHeight="1">
      <c r="A859" s="1"/>
      <c r="B859" s="1"/>
      <c r="C859" s="1"/>
      <c r="D859" s="1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4.25" customHeight="1">
      <c r="A860" s="1"/>
      <c r="B860" s="1"/>
      <c r="C860" s="1"/>
      <c r="D860" s="1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4.25" customHeight="1">
      <c r="A861" s="1"/>
      <c r="B861" s="1"/>
      <c r="C861" s="1"/>
      <c r="D861" s="1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4.25" customHeight="1">
      <c r="A862" s="1"/>
      <c r="B862" s="1"/>
      <c r="C862" s="1"/>
      <c r="D862" s="1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4.25" customHeight="1">
      <c r="A863" s="1"/>
      <c r="B863" s="1"/>
      <c r="C863" s="1"/>
      <c r="D863" s="1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4.25" customHeight="1">
      <c r="A864" s="1"/>
      <c r="B864" s="1"/>
      <c r="C864" s="1"/>
      <c r="D864" s="1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4.25" customHeight="1">
      <c r="A865" s="1"/>
      <c r="B865" s="1"/>
      <c r="C865" s="1"/>
      <c r="D865" s="1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4.25" customHeight="1">
      <c r="A866" s="1"/>
      <c r="B866" s="1"/>
      <c r="C866" s="1"/>
      <c r="D866" s="1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4.25" customHeight="1">
      <c r="A867" s="1"/>
      <c r="B867" s="1"/>
      <c r="C867" s="1"/>
      <c r="D867" s="1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4.25" customHeight="1">
      <c r="A868" s="1"/>
      <c r="B868" s="1"/>
      <c r="C868" s="1"/>
      <c r="D868" s="1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4.25" customHeight="1">
      <c r="A869" s="1"/>
      <c r="B869" s="1"/>
      <c r="C869" s="1"/>
      <c r="D869" s="1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4.25" customHeight="1">
      <c r="A870" s="1"/>
      <c r="B870" s="1"/>
      <c r="C870" s="1"/>
      <c r="D870" s="1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4.25" customHeight="1">
      <c r="A871" s="1"/>
      <c r="B871" s="1"/>
      <c r="C871" s="1"/>
      <c r="D871" s="1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4.25" customHeight="1">
      <c r="A872" s="1"/>
      <c r="B872" s="1"/>
      <c r="C872" s="1"/>
      <c r="D872" s="1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4.25" customHeight="1">
      <c r="A873" s="1"/>
      <c r="B873" s="1"/>
      <c r="C873" s="1"/>
      <c r="D873" s="1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4.25" customHeight="1">
      <c r="A874" s="1"/>
      <c r="B874" s="1"/>
      <c r="C874" s="1"/>
      <c r="D874" s="1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4.25" customHeight="1">
      <c r="A875" s="1"/>
      <c r="B875" s="1"/>
      <c r="C875" s="1"/>
      <c r="D875" s="1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4.25" customHeight="1">
      <c r="A876" s="1"/>
      <c r="B876" s="1"/>
      <c r="C876" s="1"/>
      <c r="D876" s="1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4.25" customHeight="1">
      <c r="A877" s="1"/>
      <c r="B877" s="1"/>
      <c r="C877" s="1"/>
      <c r="D877" s="1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4.25" customHeight="1">
      <c r="A878" s="1"/>
      <c r="B878" s="1"/>
      <c r="C878" s="1"/>
      <c r="D878" s="1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4.25" customHeight="1">
      <c r="A879" s="1"/>
      <c r="B879" s="1"/>
      <c r="C879" s="1"/>
      <c r="D879" s="1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4.25" customHeight="1">
      <c r="A880" s="1"/>
      <c r="B880" s="1"/>
      <c r="C880" s="1"/>
      <c r="D880" s="1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4.25" customHeight="1">
      <c r="A881" s="1"/>
      <c r="B881" s="1"/>
      <c r="C881" s="1"/>
      <c r="D881" s="1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4.25" customHeight="1">
      <c r="A882" s="1"/>
      <c r="B882" s="1"/>
      <c r="C882" s="1"/>
      <c r="D882" s="1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4.25" customHeight="1">
      <c r="A883" s="1"/>
      <c r="B883" s="1"/>
      <c r="C883" s="1"/>
      <c r="D883" s="1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4.25" customHeight="1">
      <c r="A884" s="1"/>
      <c r="B884" s="1"/>
      <c r="C884" s="1"/>
      <c r="D884" s="1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4.25" customHeight="1">
      <c r="A885" s="1"/>
      <c r="B885" s="1"/>
      <c r="C885" s="1"/>
      <c r="D885" s="1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4.25" customHeight="1">
      <c r="A886" s="1"/>
      <c r="B886" s="1"/>
      <c r="C886" s="1"/>
      <c r="D886" s="1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4.25" customHeight="1">
      <c r="A887" s="1"/>
      <c r="B887" s="1"/>
      <c r="C887" s="1"/>
      <c r="D887" s="1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4.25" customHeight="1">
      <c r="A888" s="1"/>
      <c r="B888" s="1"/>
      <c r="C888" s="1"/>
      <c r="D888" s="1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4.25" customHeight="1">
      <c r="A889" s="1"/>
      <c r="B889" s="1"/>
      <c r="C889" s="1"/>
      <c r="D889" s="1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4.25" customHeight="1">
      <c r="A890" s="1"/>
      <c r="B890" s="1"/>
      <c r="C890" s="1"/>
      <c r="D890" s="1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4.25" customHeight="1">
      <c r="A891" s="1"/>
      <c r="B891" s="1"/>
      <c r="C891" s="1"/>
      <c r="D891" s="1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4.25" customHeight="1">
      <c r="A892" s="1"/>
      <c r="B892" s="1"/>
      <c r="C892" s="1"/>
      <c r="D892" s="1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4.25" customHeight="1">
      <c r="A893" s="1"/>
      <c r="B893" s="1"/>
      <c r="C893" s="1"/>
      <c r="D893" s="1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4.25" customHeight="1">
      <c r="A894" s="1"/>
      <c r="B894" s="1"/>
      <c r="C894" s="1"/>
      <c r="D894" s="1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4.25" customHeight="1">
      <c r="A895" s="1"/>
      <c r="B895" s="1"/>
      <c r="C895" s="1"/>
      <c r="D895" s="1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4.25" customHeight="1">
      <c r="A896" s="1"/>
      <c r="B896" s="1"/>
      <c r="C896" s="1"/>
      <c r="D896" s="1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4.25" customHeight="1">
      <c r="A897" s="1"/>
      <c r="B897" s="1"/>
      <c r="C897" s="1"/>
      <c r="D897" s="1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4.25" customHeight="1">
      <c r="A898" s="1"/>
      <c r="B898" s="1"/>
      <c r="C898" s="1"/>
      <c r="D898" s="1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4.25" customHeight="1">
      <c r="A899" s="1"/>
      <c r="B899" s="1"/>
      <c r="C899" s="1"/>
      <c r="D899" s="1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4.25" customHeight="1">
      <c r="A900" s="1"/>
      <c r="B900" s="1"/>
      <c r="C900" s="1"/>
      <c r="D900" s="1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4.25" customHeight="1">
      <c r="A901" s="1"/>
      <c r="B901" s="1"/>
      <c r="C901" s="1"/>
      <c r="D901" s="1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4.25" customHeight="1">
      <c r="A902" s="1"/>
      <c r="B902" s="1"/>
      <c r="C902" s="1"/>
      <c r="D902" s="1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4.25" customHeight="1">
      <c r="A903" s="1"/>
      <c r="B903" s="1"/>
      <c r="C903" s="1"/>
      <c r="D903" s="1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4.25" customHeight="1">
      <c r="A904" s="1"/>
      <c r="B904" s="1"/>
      <c r="C904" s="1"/>
      <c r="D904" s="1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4.25" customHeight="1">
      <c r="A905" s="1"/>
      <c r="B905" s="1"/>
      <c r="C905" s="1"/>
      <c r="D905" s="1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4.25" customHeight="1">
      <c r="A906" s="1"/>
      <c r="B906" s="1"/>
      <c r="C906" s="1"/>
      <c r="D906" s="1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4.25" customHeight="1">
      <c r="A907" s="1"/>
      <c r="B907" s="1"/>
      <c r="C907" s="1"/>
      <c r="D907" s="1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4.25" customHeight="1">
      <c r="A908" s="1"/>
      <c r="B908" s="1"/>
      <c r="C908" s="1"/>
      <c r="D908" s="1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4.25" customHeight="1">
      <c r="A909" s="1"/>
      <c r="B909" s="1"/>
      <c r="C909" s="1"/>
      <c r="D909" s="1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4.25" customHeight="1">
      <c r="A910" s="1"/>
      <c r="B910" s="1"/>
      <c r="C910" s="1"/>
      <c r="D910" s="1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4.25" customHeight="1">
      <c r="A911" s="1"/>
      <c r="B911" s="1"/>
      <c r="C911" s="1"/>
      <c r="D911" s="1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4.25" customHeight="1">
      <c r="A912" s="1"/>
      <c r="B912" s="1"/>
      <c r="C912" s="1"/>
      <c r="D912" s="1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4.25" customHeight="1">
      <c r="A913" s="1"/>
      <c r="B913" s="1"/>
      <c r="C913" s="1"/>
      <c r="D913" s="1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4.25" customHeight="1">
      <c r="A914" s="1"/>
      <c r="B914" s="1"/>
      <c r="C914" s="1"/>
      <c r="D914" s="1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4.25" customHeight="1">
      <c r="A915" s="1"/>
      <c r="B915" s="1"/>
      <c r="C915" s="1"/>
      <c r="D915" s="1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4.25" customHeight="1">
      <c r="A916" s="1"/>
      <c r="B916" s="1"/>
      <c r="C916" s="1"/>
      <c r="D916" s="1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4.25" customHeight="1">
      <c r="A917" s="1"/>
      <c r="B917" s="1"/>
      <c r="C917" s="1"/>
      <c r="D917" s="1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4.25" customHeight="1">
      <c r="A918" s="1"/>
      <c r="B918" s="1"/>
      <c r="C918" s="1"/>
      <c r="D918" s="1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4.25" customHeight="1">
      <c r="A919" s="1"/>
      <c r="B919" s="1"/>
      <c r="C919" s="1"/>
      <c r="D919" s="1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4.25" customHeight="1">
      <c r="A920" s="1"/>
      <c r="B920" s="1"/>
      <c r="C920" s="1"/>
      <c r="D920" s="1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4.25" customHeight="1">
      <c r="A921" s="1"/>
      <c r="B921" s="1"/>
      <c r="C921" s="1"/>
      <c r="D921" s="1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4.25" customHeight="1">
      <c r="A922" s="1"/>
      <c r="B922" s="1"/>
      <c r="C922" s="1"/>
      <c r="D922" s="1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4.25" customHeight="1">
      <c r="A923" s="1"/>
      <c r="B923" s="1"/>
      <c r="C923" s="1"/>
      <c r="D923" s="1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4.25" customHeight="1">
      <c r="A924" s="1"/>
      <c r="B924" s="1"/>
      <c r="C924" s="1"/>
      <c r="D924" s="1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4.25" customHeight="1">
      <c r="A925" s="1"/>
      <c r="B925" s="1"/>
      <c r="C925" s="1"/>
      <c r="D925" s="1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4.25" customHeight="1">
      <c r="A926" s="1"/>
      <c r="B926" s="1"/>
      <c r="C926" s="1"/>
      <c r="D926" s="1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4.25" customHeight="1">
      <c r="A927" s="1"/>
      <c r="B927" s="1"/>
      <c r="C927" s="1"/>
      <c r="D927" s="1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4.25" customHeight="1">
      <c r="A928" s="1"/>
      <c r="B928" s="1"/>
      <c r="C928" s="1"/>
      <c r="D928" s="1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4.25" customHeight="1">
      <c r="A929" s="1"/>
      <c r="B929" s="1"/>
      <c r="C929" s="1"/>
      <c r="D929" s="1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4.25" customHeight="1">
      <c r="A930" s="1"/>
      <c r="B930" s="1"/>
      <c r="C930" s="1"/>
      <c r="D930" s="1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4.25" customHeight="1">
      <c r="A931" s="1"/>
      <c r="B931" s="1"/>
      <c r="C931" s="1"/>
      <c r="D931" s="1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4.25" customHeight="1">
      <c r="A932" s="1"/>
      <c r="B932" s="1"/>
      <c r="C932" s="1"/>
      <c r="D932" s="1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4.25" customHeight="1">
      <c r="A933" s="1"/>
      <c r="B933" s="1"/>
      <c r="C933" s="1"/>
      <c r="D933" s="1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4.25" customHeight="1">
      <c r="A934" s="1"/>
      <c r="B934" s="1"/>
      <c r="C934" s="1"/>
      <c r="D934" s="1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4.25" customHeight="1">
      <c r="A935" s="1"/>
      <c r="B935" s="1"/>
      <c r="C935" s="1"/>
      <c r="D935" s="1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4.25" customHeight="1">
      <c r="A936" s="1"/>
      <c r="B936" s="1"/>
      <c r="C936" s="1"/>
      <c r="D936" s="1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4.25" customHeight="1">
      <c r="A937" s="1"/>
      <c r="B937" s="1"/>
      <c r="C937" s="1"/>
      <c r="D937" s="1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4.25" customHeight="1">
      <c r="A938" s="1"/>
      <c r="B938" s="1"/>
      <c r="C938" s="1"/>
      <c r="D938" s="1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4.25" customHeight="1">
      <c r="A939" s="1"/>
      <c r="B939" s="1"/>
      <c r="C939" s="1"/>
      <c r="D939" s="1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4.25" customHeight="1">
      <c r="A940" s="1"/>
      <c r="B940" s="1"/>
      <c r="C940" s="1"/>
      <c r="D940" s="1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4.25" customHeight="1">
      <c r="A941" s="1"/>
      <c r="B941" s="1"/>
      <c r="C941" s="1"/>
      <c r="D941" s="1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4.25" customHeight="1">
      <c r="A942" s="1"/>
      <c r="B942" s="1"/>
      <c r="C942" s="1"/>
      <c r="D942" s="1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4.25" customHeight="1">
      <c r="A943" s="1"/>
      <c r="B943" s="1"/>
      <c r="C943" s="1"/>
      <c r="D943" s="1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4.25" customHeight="1">
      <c r="A944" s="1"/>
      <c r="B944" s="1"/>
      <c r="C944" s="1"/>
      <c r="D944" s="1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4.25" customHeight="1">
      <c r="A945" s="1"/>
      <c r="B945" s="1"/>
      <c r="C945" s="1"/>
      <c r="D945" s="1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4.25" customHeight="1">
      <c r="A946" s="1"/>
      <c r="B946" s="1"/>
      <c r="C946" s="1"/>
      <c r="D946" s="1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4.25" customHeight="1">
      <c r="A947" s="1"/>
      <c r="B947" s="1"/>
      <c r="C947" s="1"/>
      <c r="D947" s="1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4.25" customHeight="1">
      <c r="A948" s="1"/>
      <c r="B948" s="1"/>
      <c r="C948" s="1"/>
      <c r="D948" s="1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4.25" customHeight="1">
      <c r="A949" s="1"/>
      <c r="B949" s="1"/>
      <c r="C949" s="1"/>
      <c r="D949" s="1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4.25" customHeight="1">
      <c r="A950" s="1"/>
      <c r="B950" s="1"/>
      <c r="C950" s="1"/>
      <c r="D950" s="1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4.25" customHeight="1">
      <c r="A951" s="1"/>
      <c r="B951" s="1"/>
      <c r="C951" s="1"/>
      <c r="D951" s="1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4.25" customHeight="1">
      <c r="A952" s="1"/>
      <c r="B952" s="1"/>
      <c r="C952" s="1"/>
      <c r="D952" s="1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4.25" customHeight="1">
      <c r="A953" s="1"/>
      <c r="B953" s="1"/>
      <c r="C953" s="1"/>
      <c r="D953" s="1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4.25" customHeight="1">
      <c r="A954" s="1"/>
      <c r="B954" s="1"/>
      <c r="C954" s="1"/>
      <c r="D954" s="1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4.25" customHeight="1">
      <c r="A955" s="1"/>
      <c r="B955" s="1"/>
      <c r="C955" s="1"/>
      <c r="D955" s="1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4.25" customHeight="1">
      <c r="A956" s="1"/>
      <c r="B956" s="1"/>
      <c r="C956" s="1"/>
      <c r="D956" s="1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4.25" customHeight="1">
      <c r="A957" s="1"/>
      <c r="B957" s="1"/>
      <c r="C957" s="1"/>
      <c r="D957" s="1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4.25" customHeight="1">
      <c r="A958" s="1"/>
      <c r="B958" s="1"/>
      <c r="C958" s="1"/>
      <c r="D958" s="1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4.25" customHeight="1">
      <c r="A959" s="1"/>
      <c r="B959" s="1"/>
      <c r="C959" s="1"/>
      <c r="D959" s="1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4.25" customHeight="1">
      <c r="A960" s="1"/>
      <c r="B960" s="1"/>
      <c r="C960" s="1"/>
      <c r="D960" s="1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4.25" customHeight="1">
      <c r="A961" s="1"/>
      <c r="B961" s="1"/>
      <c r="C961" s="1"/>
      <c r="D961" s="1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4.25" customHeight="1">
      <c r="A962" s="1"/>
      <c r="B962" s="1"/>
      <c r="C962" s="1"/>
      <c r="D962" s="1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4.25" customHeight="1">
      <c r="A963" s="1"/>
      <c r="B963" s="1"/>
      <c r="C963" s="1"/>
      <c r="D963" s="1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4.25" customHeight="1">
      <c r="A964" s="1"/>
      <c r="B964" s="1"/>
      <c r="C964" s="1"/>
      <c r="D964" s="1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4.25" customHeight="1">
      <c r="A965" s="1"/>
      <c r="B965" s="1"/>
      <c r="C965" s="1"/>
      <c r="D965" s="1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4.25" customHeight="1">
      <c r="A966" s="1"/>
      <c r="B966" s="1"/>
      <c r="C966" s="1"/>
      <c r="D966" s="1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4.25" customHeight="1">
      <c r="A967" s="1"/>
      <c r="B967" s="1"/>
      <c r="C967" s="1"/>
      <c r="D967" s="1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4.25" customHeight="1">
      <c r="A968" s="1"/>
      <c r="B968" s="1"/>
      <c r="C968" s="1"/>
      <c r="D968" s="1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4.25" customHeight="1">
      <c r="A969" s="1"/>
      <c r="B969" s="1"/>
      <c r="C969" s="1"/>
      <c r="D969" s="1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4.25" customHeight="1">
      <c r="A970" s="1"/>
      <c r="B970" s="1"/>
      <c r="C970" s="1"/>
      <c r="D970" s="1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4.25" customHeight="1">
      <c r="A971" s="1"/>
      <c r="B971" s="1"/>
      <c r="C971" s="1"/>
      <c r="D971" s="1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4.25" customHeight="1">
      <c r="A972" s="1"/>
      <c r="B972" s="1"/>
      <c r="C972" s="1"/>
      <c r="D972" s="1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4.25" customHeight="1">
      <c r="A973" s="1"/>
      <c r="B973" s="1"/>
      <c r="C973" s="1"/>
      <c r="D973" s="1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4.25" customHeight="1">
      <c r="A974" s="1"/>
      <c r="B974" s="1"/>
      <c r="C974" s="1"/>
      <c r="D974" s="1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4.25" customHeight="1">
      <c r="A975" s="1"/>
      <c r="B975" s="1"/>
      <c r="C975" s="1"/>
      <c r="D975" s="1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4.25" customHeight="1">
      <c r="A976" s="1"/>
      <c r="B976" s="1"/>
      <c r="C976" s="1"/>
      <c r="D976" s="1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4.25" customHeight="1">
      <c r="A977" s="1"/>
      <c r="B977" s="1"/>
      <c r="C977" s="1"/>
      <c r="D977" s="1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4.25" customHeight="1">
      <c r="A978" s="1"/>
      <c r="B978" s="1"/>
      <c r="C978" s="1"/>
      <c r="D978" s="1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4.25" customHeight="1">
      <c r="A979" s="1"/>
      <c r="B979" s="1"/>
      <c r="C979" s="1"/>
      <c r="D979" s="1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4.25" customHeight="1">
      <c r="A980" s="1"/>
      <c r="B980" s="1"/>
      <c r="C980" s="1"/>
      <c r="D980" s="1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4.25" customHeight="1">
      <c r="A981" s="1"/>
      <c r="B981" s="1"/>
      <c r="C981" s="1"/>
      <c r="D981" s="1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4.25" customHeight="1">
      <c r="A982" s="1"/>
      <c r="B982" s="1"/>
      <c r="C982" s="1"/>
      <c r="D982" s="1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4.25" customHeight="1">
      <c r="A983" s="1"/>
      <c r="B983" s="1"/>
      <c r="C983" s="1"/>
      <c r="D983" s="1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4.25" customHeight="1">
      <c r="A984" s="1"/>
      <c r="B984" s="1"/>
      <c r="C984" s="1"/>
      <c r="D984" s="1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4.25" customHeight="1">
      <c r="A985" s="1"/>
      <c r="B985" s="1"/>
      <c r="C985" s="1"/>
      <c r="D985" s="1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4.25" customHeight="1">
      <c r="A986" s="1"/>
      <c r="B986" s="1"/>
      <c r="C986" s="1"/>
      <c r="D986" s="1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4.25" customHeight="1">
      <c r="A987" s="1"/>
      <c r="B987" s="1"/>
      <c r="C987" s="1"/>
      <c r="D987" s="1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4.25" customHeight="1">
      <c r="A988" s="1"/>
      <c r="B988" s="1"/>
      <c r="C988" s="1"/>
      <c r="D988" s="1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4.25" customHeight="1">
      <c r="A989" s="1"/>
      <c r="B989" s="1"/>
      <c r="C989" s="1"/>
      <c r="D989" s="1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4.25" customHeight="1">
      <c r="A990" s="1"/>
      <c r="B990" s="1"/>
      <c r="C990" s="1"/>
      <c r="D990" s="1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4.25" customHeight="1">
      <c r="A991" s="1"/>
      <c r="B991" s="1"/>
      <c r="C991" s="1"/>
      <c r="D991" s="1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4.25" customHeight="1">
      <c r="A992" s="1"/>
      <c r="B992" s="1"/>
      <c r="C992" s="1"/>
      <c r="D992" s="1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4.25" customHeight="1">
      <c r="A993" s="1"/>
      <c r="B993" s="1"/>
      <c r="C993" s="1"/>
      <c r="D993" s="1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4.25" customHeight="1">
      <c r="A994" s="1"/>
      <c r="B994" s="1"/>
      <c r="C994" s="1"/>
      <c r="D994" s="1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4.25" customHeight="1">
      <c r="A995" s="1"/>
      <c r="B995" s="1"/>
      <c r="C995" s="1"/>
      <c r="D995" s="1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4.25" customHeight="1">
      <c r="A996" s="1"/>
      <c r="B996" s="1"/>
      <c r="C996" s="1"/>
      <c r="D996" s="1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4.25" customHeight="1">
      <c r="A997" s="1"/>
      <c r="B997" s="1"/>
      <c r="C997" s="1"/>
      <c r="D997" s="1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4.25" customHeight="1">
      <c r="A998" s="1"/>
      <c r="B998" s="1"/>
      <c r="C998" s="1"/>
      <c r="D998" s="1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4.25" customHeight="1">
      <c r="A999" s="1"/>
      <c r="B999" s="1"/>
      <c r="C999" s="1"/>
      <c r="D999" s="1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4.25" customHeight="1">
      <c r="A1000" s="1"/>
      <c r="B1000" s="1"/>
      <c r="C1000" s="1"/>
      <c r="D1000" s="1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2026-04-23T08:54:35Z</dcterms:created>
  <dc:creator>Mutual of Omaha - IS IFS Distribution Support - Cameron Gaines</dc:creator>
</cp:coreProperties>
</file>