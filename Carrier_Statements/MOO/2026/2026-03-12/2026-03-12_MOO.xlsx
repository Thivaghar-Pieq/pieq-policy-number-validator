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6\3-12-26\"/>
    </mc:Choice>
  </mc:AlternateContent>
  <xr:revisionPtr revIDLastSave="0" documentId="13_ncr:1_{912E63C0-E013-45C8-8D87-43A3A58FAE0E}" xr6:coauthVersionLast="47" xr6:coauthVersionMax="47" xr10:uidLastSave="{00000000-0000-0000-0000-000000000000}"/>
  <bookViews>
    <workbookView xWindow="-28920" yWindow="-45" windowWidth="29040" windowHeight="15720" activeTab="2" xr2:uid="{00000000-000D-0000-FFFF-FFFF00000000}"/>
  </bookViews>
  <sheets>
    <sheet name="SUMMARY" sheetId="1" r:id="rId1"/>
    <sheet name="DETAILS" sheetId="2" r:id="rId2"/>
    <sheet name="clean sheet" sheetId="3" r:id="rId3"/>
    <sheet name="hold" sheetId="5" r:id="rId4"/>
    <sheet name="Sheet2" sheetId="4" r:id="rId5"/>
  </sheets>
  <externalReferences>
    <externalReference r:id="rId6"/>
  </externalReferences>
  <definedNames>
    <definedName name="_xlnm._FilterDatabase" localSheetId="2" hidden="1">'clean sheet'!$A$1:$Y$152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4" l="1" a="1"/>
  <c r="B1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<sst xmlns="http://schemas.openxmlformats.org/spreadsheetml/2006/main" count="5274" uniqueCount="619">
  <si>
    <t>MUTUAL OF OMAHA</t>
  </si>
  <si>
    <t>SUMMARY COMPENSATION STATEMENT</t>
  </si>
  <si>
    <t>For Period Ending 03/10/2026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</si>
  <si>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</si>
  <si>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</si>
  <si>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</si>
  <si>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</si>
  <si>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</si>
  <si>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</si>
  <si>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</si>
  <si>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</si>
  <si>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</si>
  <si>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</si>
  <si>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</si>
  <si>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</si>
  <si>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</si>
  <si>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</si>
  <si>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</si>
  <si>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</si>
  <si>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</si>
  <si>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</si>
  <si>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</si>
  <si>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</si>
  <si>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</si>
  <si>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</si>
  <si>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</si>
  <si>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</si>
  <si>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</si>
  <si>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</si>
  <si>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</si>
  <si>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</si>
  <si>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</si>
  <si>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</si>
  <si>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</si>
  <si>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</si>
  <si>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</si>
  <si>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</si>
  <si>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</si>
  <si>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</si>
  <si>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</si>
  <si>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</si>
  <si>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</si>
  <si>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</si>
  <si>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</si>
  <si>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</si>
  <si>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</si>
  <si>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</si>
  <si>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</si>
  <si>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HEARTLAND FINANCIAL GROUP LLC</t>
  </si>
  <si>
    <t>0684147</t>
  </si>
  <si>
    <t>317475-41</t>
  </si>
  <si>
    <t>BOSWELL JERRY</t>
  </si>
  <si>
    <t>IL</t>
  </si>
  <si>
    <t>03/05/2026</t>
  </si>
  <si>
    <t>NM36L</t>
  </si>
  <si>
    <t>11/01/2025</t>
  </si>
  <si>
    <t>04/01/2026</t>
  </si>
  <si>
    <t/>
  </si>
  <si>
    <t>M</t>
  </si>
  <si>
    <t>BSP</t>
  </si>
  <si>
    <t>001</t>
  </si>
  <si>
    <t>F</t>
  </si>
  <si>
    <t>BFY PAYMENT</t>
  </si>
  <si>
    <t>100.0%</t>
  </si>
  <si>
    <t>OMAHA SUPP</t>
  </si>
  <si>
    <t>0893387</t>
  </si>
  <si>
    <t>758948-97</t>
  </si>
  <si>
    <t>VON TERSCH ALANNA</t>
  </si>
  <si>
    <t>MI</t>
  </si>
  <si>
    <t>SM25L</t>
  </si>
  <si>
    <t>08/01/2025</t>
  </si>
  <si>
    <t>787921-97</t>
  </si>
  <si>
    <t>HARMON PAULA</t>
  </si>
  <si>
    <t>NM24HL</t>
  </si>
  <si>
    <t>404890-41</t>
  </si>
  <si>
    <t>AVERY FAITH</t>
  </si>
  <si>
    <t>01/01/2026</t>
  </si>
  <si>
    <t>399799-41</t>
  </si>
  <si>
    <t>SCHIMPF BRENDA</t>
  </si>
  <si>
    <t>399774-41</t>
  </si>
  <si>
    <t>SCHIMPF KEVIN</t>
  </si>
  <si>
    <t>374956-41</t>
  </si>
  <si>
    <t>PALMER SCOTT</t>
  </si>
  <si>
    <t>374935-41</t>
  </si>
  <si>
    <t>PALMER ATHENA</t>
  </si>
  <si>
    <t>347811-41</t>
  </si>
  <si>
    <t>CASSENS DAVID</t>
  </si>
  <si>
    <t>12/01/2025</t>
  </si>
  <si>
    <t>GURU INSURANCE MARKETING, LLC</t>
  </si>
  <si>
    <t>1174646</t>
  </si>
  <si>
    <t>647995-97</t>
  </si>
  <si>
    <t>RICE PAMELA</t>
  </si>
  <si>
    <t>03/10/2026</t>
  </si>
  <si>
    <t>04/01/2025</t>
  </si>
  <si>
    <t>650070-97</t>
  </si>
  <si>
    <t>SMITH JEFFREY</t>
  </si>
  <si>
    <t>05/01/2025</t>
  </si>
  <si>
    <t>491264-97</t>
  </si>
  <si>
    <t>MCDOWELL DENNIS</t>
  </si>
  <si>
    <t>03/09/2026</t>
  </si>
  <si>
    <t>12/01/2024</t>
  </si>
  <si>
    <t>R</t>
  </si>
  <si>
    <t>RENEWAL PYMT</t>
  </si>
  <si>
    <t>500156-97</t>
  </si>
  <si>
    <t>KENNEDY MICHAEL</t>
  </si>
  <si>
    <t>01/01/2025</t>
  </si>
  <si>
    <t>500219-97</t>
  </si>
  <si>
    <t>KENNEDY CYNTHIA</t>
  </si>
  <si>
    <t>511676-97</t>
  </si>
  <si>
    <t>CONVIS RANDALL</t>
  </si>
  <si>
    <t>0513364</t>
  </si>
  <si>
    <t>459062-97</t>
  </si>
  <si>
    <t>BREWER TAUN</t>
  </si>
  <si>
    <t>752514-97</t>
  </si>
  <si>
    <t>MEGARO ROBERT</t>
  </si>
  <si>
    <t>06/10/2025</t>
  </si>
  <si>
    <t>04/10/2026</t>
  </si>
  <si>
    <t>601712-97</t>
  </si>
  <si>
    <t>CRUTTENDEN LORI</t>
  </si>
  <si>
    <t>02/01/2025</t>
  </si>
  <si>
    <t>934966-96</t>
  </si>
  <si>
    <t>SCHMIDT ROBERT</t>
  </si>
  <si>
    <t>06/01/2024</t>
  </si>
  <si>
    <t>UNITED</t>
  </si>
  <si>
    <t>0957310</t>
  </si>
  <si>
    <t>610516-97</t>
  </si>
  <si>
    <t>FAUST GARY</t>
  </si>
  <si>
    <t>PA</t>
  </si>
  <si>
    <t>UM35HLV</t>
  </si>
  <si>
    <t>03/01/2025</t>
  </si>
  <si>
    <t>821212-96</t>
  </si>
  <si>
    <t>DIMIDIO REGINA</t>
  </si>
  <si>
    <t>UM24HLV</t>
  </si>
  <si>
    <t>01/01/2024</t>
  </si>
  <si>
    <t>821308-96</t>
  </si>
  <si>
    <t>DIMIDIO LEONARD</t>
  </si>
  <si>
    <t>UNITED WORLD</t>
  </si>
  <si>
    <t>0821331</t>
  </si>
  <si>
    <t>372782-97</t>
  </si>
  <si>
    <t>CARLIN DENNIS</t>
  </si>
  <si>
    <t>NJ</t>
  </si>
  <si>
    <t>WM25GL</t>
  </si>
  <si>
    <t>08/01/2024</t>
  </si>
  <si>
    <t>599869-97</t>
  </si>
  <si>
    <t>CONNOR Deborah</t>
  </si>
  <si>
    <t>WM35NL</t>
  </si>
  <si>
    <t>868160-96</t>
  </si>
  <si>
    <t>SCHWARTZ RICHARD</t>
  </si>
  <si>
    <t>02/01/2024</t>
  </si>
  <si>
    <t>0648177</t>
  </si>
  <si>
    <t>620585-96</t>
  </si>
  <si>
    <t>SHEFTEL ELLIOT</t>
  </si>
  <si>
    <t>08/01/2023</t>
  </si>
  <si>
    <t>0815390</t>
  </si>
  <si>
    <t>689222-97</t>
  </si>
  <si>
    <t>ROGERS DONALD</t>
  </si>
  <si>
    <t>OR</t>
  </si>
  <si>
    <t>WM35HTL</t>
  </si>
  <si>
    <t>REG</t>
  </si>
  <si>
    <t>458537-97</t>
  </si>
  <si>
    <t>SEELEY JAMES</t>
  </si>
  <si>
    <t>WM24FL</t>
  </si>
  <si>
    <t>723099-96</t>
  </si>
  <si>
    <t>PATEL RAJANIKANT</t>
  </si>
  <si>
    <t>11/01/2023</t>
  </si>
  <si>
    <t>INNOVATIVE FINANCIAL PARTNERS LLC</t>
  </si>
  <si>
    <t>0613147</t>
  </si>
  <si>
    <t>BU5219524</t>
  </si>
  <si>
    <t>COVACIU LAVINIA</t>
  </si>
  <si>
    <t>03/06/2026</t>
  </si>
  <si>
    <t>15GPT1</t>
  </si>
  <si>
    <t>0814837</t>
  </si>
  <si>
    <t>BU4377381</t>
  </si>
  <si>
    <t>ARRICH DONNA</t>
  </si>
  <si>
    <t>MD</t>
  </si>
  <si>
    <t>FEPL 1</t>
  </si>
  <si>
    <t>11/05/2023</t>
  </si>
  <si>
    <t>04/05/2026</t>
  </si>
  <si>
    <t>BU4377430</t>
  </si>
  <si>
    <t>ARRICH MICHAEL</t>
  </si>
  <si>
    <t>0819525</t>
  </si>
  <si>
    <t>BU4990567</t>
  </si>
  <si>
    <t>MIJAILOVIC VERONA</t>
  </si>
  <si>
    <t>0892054</t>
  </si>
  <si>
    <t>BU5028450</t>
  </si>
  <si>
    <t>KONG DEBRA</t>
  </si>
  <si>
    <t>01/05/2025</t>
  </si>
  <si>
    <t>BU5146814</t>
  </si>
  <si>
    <t>SUFFERN SUZANNE</t>
  </si>
  <si>
    <t>BU4947684</t>
  </si>
  <si>
    <t>SHEWMAKER DAVID</t>
  </si>
  <si>
    <t>MO</t>
  </si>
  <si>
    <t>03/04/2026</t>
  </si>
  <si>
    <t>11/04/2024</t>
  </si>
  <si>
    <t>04/04/2026</t>
  </si>
  <si>
    <t>1099222</t>
  </si>
  <si>
    <t>BU5284060</t>
  </si>
  <si>
    <t>DAVIS HEATHER</t>
  </si>
  <si>
    <t>UT</t>
  </si>
  <si>
    <t>TE15 1</t>
  </si>
  <si>
    <t>06/06/2025</t>
  </si>
  <si>
    <t>04/06/2026</t>
  </si>
  <si>
    <t>417286-41</t>
  </si>
  <si>
    <t>SINGER ANNE</t>
  </si>
  <si>
    <t>FL</t>
  </si>
  <si>
    <t>WM25L</t>
  </si>
  <si>
    <t>402584-41</t>
  </si>
  <si>
    <t>MIHET MARIA</t>
  </si>
  <si>
    <t>WM35L</t>
  </si>
  <si>
    <t>371451-41</t>
  </si>
  <si>
    <t>WILSON BONNIE</t>
  </si>
  <si>
    <t>BU6463369</t>
  </si>
  <si>
    <t>BENSON LORI</t>
  </si>
  <si>
    <t>NEW COV ISS</t>
  </si>
  <si>
    <t>BU6450110</t>
  </si>
  <si>
    <t>DAKE JOSEPH</t>
  </si>
  <si>
    <t>IXEXP1</t>
  </si>
  <si>
    <t>03/26/2026</t>
  </si>
  <si>
    <t>CONV NEW BUS</t>
  </si>
  <si>
    <t>BU6450105</t>
  </si>
  <si>
    <t>SANDERS SHARON</t>
  </si>
  <si>
    <t>03/01/2026</t>
  </si>
  <si>
    <t>NEW ISS PYMT</t>
  </si>
  <si>
    <t>NEW ISS REV</t>
  </si>
  <si>
    <t>BU6445595</t>
  </si>
  <si>
    <t>YORK GARY</t>
  </si>
  <si>
    <t>TX</t>
  </si>
  <si>
    <t>RE/RE REPL</t>
  </si>
  <si>
    <t>BU6440444</t>
  </si>
  <si>
    <t>BANNISTER SHARON</t>
  </si>
  <si>
    <t>AL</t>
  </si>
  <si>
    <t>BU6417810</t>
  </si>
  <si>
    <t>SIMMONS DENISE</t>
  </si>
  <si>
    <t>BU6281561</t>
  </si>
  <si>
    <t>DEKAT PAUL</t>
  </si>
  <si>
    <t>KS</t>
  </si>
  <si>
    <t>01/05/2026</t>
  </si>
  <si>
    <t>BU6269156</t>
  </si>
  <si>
    <t>MORELLI JAMES</t>
  </si>
  <si>
    <t>MT</t>
  </si>
  <si>
    <t>01/02/2026</t>
  </si>
  <si>
    <t>04/02/2026</t>
  </si>
  <si>
    <t>BU6269155</t>
  </si>
  <si>
    <t>MORELLI ROBERTA</t>
  </si>
  <si>
    <t>BU6169909</t>
  </si>
  <si>
    <t>DAVIS TAMMIE</t>
  </si>
  <si>
    <t>11/05/2025</t>
  </si>
  <si>
    <t>BU5592069</t>
  </si>
  <si>
    <t>SOUTHARD KARL</t>
  </si>
  <si>
    <t>10/05/2025</t>
  </si>
  <si>
    <t>BU5539063</t>
  </si>
  <si>
    <t>RUSS MONICA</t>
  </si>
  <si>
    <t>09/05/2025</t>
  </si>
  <si>
    <t>BU5538494</t>
  </si>
  <si>
    <t>OZAN STEPHEN</t>
  </si>
  <si>
    <t>09/03/2025</t>
  </si>
  <si>
    <t>04/03/2026</t>
  </si>
  <si>
    <t>RECPT ADV CO</t>
  </si>
  <si>
    <t>LAPSE</t>
  </si>
  <si>
    <t>BU5521068</t>
  </si>
  <si>
    <t>POCHET DONNA</t>
  </si>
  <si>
    <t>0257168</t>
  </si>
  <si>
    <t>BU6195162</t>
  </si>
  <si>
    <t>MORRISON DANIELLE</t>
  </si>
  <si>
    <t>11/03/2025</t>
  </si>
  <si>
    <t>BU6386412</t>
  </si>
  <si>
    <t>WIGGINS ROBERT</t>
  </si>
  <si>
    <t>FEPG 1</t>
  </si>
  <si>
    <t>02/04/2026</t>
  </si>
  <si>
    <t>0816910</t>
  </si>
  <si>
    <t>BU6476892</t>
  </si>
  <si>
    <t>KAUFFMAN CYNTHIA</t>
  </si>
  <si>
    <t>02/19/2026</t>
  </si>
  <si>
    <t>BU6472411</t>
  </si>
  <si>
    <t>SERRANO WILLIAM</t>
  </si>
  <si>
    <t>BU6251679</t>
  </si>
  <si>
    <t>EUGENE ELIJAH</t>
  </si>
  <si>
    <t>JVWL 1</t>
  </si>
  <si>
    <t>BU6251675</t>
  </si>
  <si>
    <t>EUGENE BRIANNA</t>
  </si>
  <si>
    <t>BU6251670</t>
  </si>
  <si>
    <t>EUGENE MICHELLE</t>
  </si>
  <si>
    <t>BU6251397</t>
  </si>
  <si>
    <t>EUGENE GUERBY</t>
  </si>
  <si>
    <t>BU6462078</t>
  </si>
  <si>
    <t>PAGAN JEANINE</t>
  </si>
  <si>
    <t>E30301</t>
  </si>
  <si>
    <t>BU6400042</t>
  </si>
  <si>
    <t>WILSON ILENE</t>
  </si>
  <si>
    <t>02/10/2026</t>
  </si>
  <si>
    <t>BU4216513</t>
  </si>
  <si>
    <t>GEIBEL JOEL</t>
  </si>
  <si>
    <t>07/12/2023</t>
  </si>
  <si>
    <t>04/12/2026</t>
  </si>
  <si>
    <t>BU6381304</t>
  </si>
  <si>
    <t>BATTY ASHLEY</t>
  </si>
  <si>
    <t>20GPT1</t>
  </si>
  <si>
    <t>0893214</t>
  </si>
  <si>
    <t>BU5501966</t>
  </si>
  <si>
    <t>FISHER KATHLEEN</t>
  </si>
  <si>
    <t>09/09/2025</t>
  </si>
  <si>
    <t>04/09/2026</t>
  </si>
  <si>
    <t>0892719</t>
  </si>
  <si>
    <t>BU6376478</t>
  </si>
  <si>
    <t>POPP HALEY</t>
  </si>
  <si>
    <t>02/05/2026</t>
  </si>
  <si>
    <t>BU6204845</t>
  </si>
  <si>
    <t>SIMMONS MONICA</t>
  </si>
  <si>
    <t>TN</t>
  </si>
  <si>
    <t>05/01/2026</t>
  </si>
  <si>
    <t>0910791</t>
  </si>
  <si>
    <t>BU6442032</t>
  </si>
  <si>
    <t>GOETZ MICHAEL</t>
  </si>
  <si>
    <t>OH</t>
  </si>
  <si>
    <t>REISS/REBILL</t>
  </si>
  <si>
    <t>1264381</t>
  </si>
  <si>
    <t>BU6172468</t>
  </si>
  <si>
    <t>ADDAIR KIMBERLY</t>
  </si>
  <si>
    <t>IN</t>
  </si>
  <si>
    <t>1202932</t>
  </si>
  <si>
    <t>BU6454185</t>
  </si>
  <si>
    <t>HALL TAMMY</t>
  </si>
  <si>
    <t>WA</t>
  </si>
  <si>
    <t>E10101</t>
  </si>
  <si>
    <t>03/02/2026</t>
  </si>
  <si>
    <t>1169782</t>
  </si>
  <si>
    <t>BU5502285</t>
  </si>
  <si>
    <t>FUENTES MELISSA</t>
  </si>
  <si>
    <t>E20201</t>
  </si>
  <si>
    <t>08/15/2025</t>
  </si>
  <si>
    <t>04/15/2026</t>
  </si>
  <si>
    <t>BU6466049</t>
  </si>
  <si>
    <t>GEORGE ABRAHAM</t>
  </si>
  <si>
    <t>BU5642719</t>
  </si>
  <si>
    <t>HOWARD TRACE</t>
  </si>
  <si>
    <t>10/04/2025</t>
  </si>
  <si>
    <t>BU5525738</t>
  </si>
  <si>
    <t>BUEL CONNIE</t>
  </si>
  <si>
    <t>09/04/2025</t>
  </si>
  <si>
    <t>BU6464552</t>
  </si>
  <si>
    <t>KUCHLER CONSTANCE</t>
  </si>
  <si>
    <t>0899216</t>
  </si>
  <si>
    <t>BU5350886</t>
  </si>
  <si>
    <t>DATTOLI STEPHANIE</t>
  </si>
  <si>
    <t>06/09/2025</t>
  </si>
  <si>
    <t>BU6398368</t>
  </si>
  <si>
    <t>RIVERA LIANGIELI</t>
  </si>
  <si>
    <t>02/09/2026</t>
  </si>
  <si>
    <t>BU6251354</t>
  </si>
  <si>
    <t>EUGENE PRINCESSE</t>
  </si>
  <si>
    <t>MUTUAL</t>
  </si>
  <si>
    <t>0891923</t>
  </si>
  <si>
    <t>496866-41</t>
  </si>
  <si>
    <t>NUTT SHAWNNYCE</t>
  </si>
  <si>
    <t>NV</t>
  </si>
  <si>
    <t>DNT2EL</t>
  </si>
  <si>
    <t>0938286</t>
  </si>
  <si>
    <t>414750-41</t>
  </si>
  <si>
    <t>TESCHNER MICHAEL</t>
  </si>
  <si>
    <t>DNT2IL</t>
  </si>
  <si>
    <t>367763-41</t>
  </si>
  <si>
    <t>PEREIRAS-LEIVE M</t>
  </si>
  <si>
    <t>DNT5EL</t>
  </si>
  <si>
    <t>1149088</t>
  </si>
  <si>
    <t>497307-41</t>
  </si>
  <si>
    <t>MOUNTAIN HANH</t>
  </si>
  <si>
    <t>809235-97</t>
  </si>
  <si>
    <t>OHANIAN KEVORK</t>
  </si>
  <si>
    <t>08/04/2025</t>
  </si>
  <si>
    <t>0892048</t>
  </si>
  <si>
    <t>428514-41</t>
  </si>
  <si>
    <t>THOMPSON DEBORAH</t>
  </si>
  <si>
    <t>DNT5IL</t>
  </si>
  <si>
    <t>409011-41</t>
  </si>
  <si>
    <t>SHAKER ELLEN</t>
  </si>
  <si>
    <t>12/05/2025</t>
  </si>
  <si>
    <t>340193-41</t>
  </si>
  <si>
    <t>LASER STEPHEN</t>
  </si>
  <si>
    <t>340190-41</t>
  </si>
  <si>
    <t>LASER LAURIE</t>
  </si>
  <si>
    <t>325912-41</t>
  </si>
  <si>
    <t>TRAUSCH CYNTHIA</t>
  </si>
  <si>
    <t>325903-41</t>
  </si>
  <si>
    <t>TRAUSCH PHILIP</t>
  </si>
  <si>
    <t>427493-41</t>
  </si>
  <si>
    <t>ANGLIN HEATHER</t>
  </si>
  <si>
    <t>MM20HL</t>
  </si>
  <si>
    <t>372064-41</t>
  </si>
  <si>
    <t>BRADY MARK</t>
  </si>
  <si>
    <t>MM25HL</t>
  </si>
  <si>
    <t>757536-97</t>
  </si>
  <si>
    <t>D ACHINO ELAINE</t>
  </si>
  <si>
    <t>07/01/2025</t>
  </si>
  <si>
    <t>859528-97</t>
  </si>
  <si>
    <t>SMITH JAMES</t>
  </si>
  <si>
    <t>399061-41</t>
  </si>
  <si>
    <t>DICKERSON CINDY</t>
  </si>
  <si>
    <t>SD</t>
  </si>
  <si>
    <t>399021-41</t>
  </si>
  <si>
    <t>DOLGE SCOTT</t>
  </si>
  <si>
    <t>392276-41</t>
  </si>
  <si>
    <t>HEINERT KENNETH</t>
  </si>
  <si>
    <t>ND</t>
  </si>
  <si>
    <t>MM25L</t>
  </si>
  <si>
    <t>359165-41</t>
  </si>
  <si>
    <t>HARRIS MARK</t>
  </si>
  <si>
    <t>710987-97</t>
  </si>
  <si>
    <t>WULFF PRENTICE</t>
  </si>
  <si>
    <t>367215-97</t>
  </si>
  <si>
    <t>BRADLEY MARTHA</t>
  </si>
  <si>
    <t>MM35HL</t>
  </si>
  <si>
    <t>367876-97</t>
  </si>
  <si>
    <t>ATTRIDGE JOAN</t>
  </si>
  <si>
    <t>373674-97</t>
  </si>
  <si>
    <t>SPOKUS FRANCIS</t>
  </si>
  <si>
    <t>09/01/2024</t>
  </si>
  <si>
    <t>422587-97</t>
  </si>
  <si>
    <t>ST VIL WILLAIR</t>
  </si>
  <si>
    <t>10/01/2024</t>
  </si>
  <si>
    <t>422614-97</t>
  </si>
  <si>
    <t>DAVIS ST VIL CAPRI</t>
  </si>
  <si>
    <t>433969-97</t>
  </si>
  <si>
    <t>HULL SUSAN</t>
  </si>
  <si>
    <t>433978-97</t>
  </si>
  <si>
    <t>SAMMONS PATRICE</t>
  </si>
  <si>
    <t>515267-97</t>
  </si>
  <si>
    <t>LINK JEANNE</t>
  </si>
  <si>
    <t>MM36L</t>
  </si>
  <si>
    <t>523947-97</t>
  </si>
  <si>
    <t>HENDERSON JOHN</t>
  </si>
  <si>
    <t>588575-96</t>
  </si>
  <si>
    <t>DOERING MELISSA</t>
  </si>
  <si>
    <t>06/01/2023</t>
  </si>
  <si>
    <t>588926-96</t>
  </si>
  <si>
    <t>MARSH PATRICK</t>
  </si>
  <si>
    <t>635937-96</t>
  </si>
  <si>
    <t>HARDESTER FRANK</t>
  </si>
  <si>
    <t>004</t>
  </si>
  <si>
    <t>637121-96</t>
  </si>
  <si>
    <t>IQBAL HILDA</t>
  </si>
  <si>
    <t>660631-96</t>
  </si>
  <si>
    <t>WILKERSON DONALD</t>
  </si>
  <si>
    <t>10/01/2023</t>
  </si>
  <si>
    <t>667938-96</t>
  </si>
  <si>
    <t>RICE KEITH</t>
  </si>
  <si>
    <t>09/01/2023</t>
  </si>
  <si>
    <t>685497-96</t>
  </si>
  <si>
    <t>HADSELL NORMAN</t>
  </si>
  <si>
    <t>780733-96</t>
  </si>
  <si>
    <t>ELSOM BRYAN</t>
  </si>
  <si>
    <t>12/01/2023</t>
  </si>
  <si>
    <t>800385-96</t>
  </si>
  <si>
    <t>DONALDSON CHARLES</t>
  </si>
  <si>
    <t>805076-96</t>
  </si>
  <si>
    <t>WULFF ERIK</t>
  </si>
  <si>
    <t>809971-96</t>
  </si>
  <si>
    <t>MARGOLIS GARY</t>
  </si>
  <si>
    <t>815334-96</t>
  </si>
  <si>
    <t>SCHILLING WENDY</t>
  </si>
  <si>
    <t>03/01/2024</t>
  </si>
  <si>
    <t>870697-96</t>
  </si>
  <si>
    <t>KAEHLER BEVERLY</t>
  </si>
  <si>
    <t>MM25HTL</t>
  </si>
  <si>
    <t>870699-96</t>
  </si>
  <si>
    <t>KAEHLER JAMES</t>
  </si>
  <si>
    <t>941740-96</t>
  </si>
  <si>
    <t>HEBRON ALLEN</t>
  </si>
  <si>
    <t>05/01/2024</t>
  </si>
  <si>
    <t>941769-96</t>
  </si>
  <si>
    <t>HEBRON DIANA</t>
  </si>
  <si>
    <t>952374-96</t>
  </si>
  <si>
    <t>NORRIS GEOFFREY</t>
  </si>
  <si>
    <t>980713-96</t>
  </si>
  <si>
    <t>AMARAL CRAIG</t>
  </si>
  <si>
    <t>07/01/2024</t>
  </si>
  <si>
    <t>986494-96</t>
  </si>
  <si>
    <t>SENSENEY JEANETTE</t>
  </si>
  <si>
    <t>986500-96</t>
  </si>
  <si>
    <t>SENSENEY EUGENE</t>
  </si>
  <si>
    <t>992897-96</t>
  </si>
  <si>
    <t>HENDERSON DIANNE</t>
  </si>
  <si>
    <t>0806149</t>
  </si>
  <si>
    <t>693332-97</t>
  </si>
  <si>
    <t>LYON AUDREY</t>
  </si>
  <si>
    <t>404091-97</t>
  </si>
  <si>
    <t>MCNEELEY TRACY</t>
  </si>
  <si>
    <t>09/25/2024</t>
  </si>
  <si>
    <t>04/25/2026</t>
  </si>
  <si>
    <t>494514-97</t>
  </si>
  <si>
    <t>JACKSON MILDRED</t>
  </si>
  <si>
    <t>11/13/2024</t>
  </si>
  <si>
    <t>04/13/2026</t>
  </si>
  <si>
    <t>510182-97</t>
  </si>
  <si>
    <t>GRUBER MARY</t>
  </si>
  <si>
    <t>522991-97</t>
  </si>
  <si>
    <t>SUMMERS KRISTINA</t>
  </si>
  <si>
    <t>WI</t>
  </si>
  <si>
    <t>522993-97</t>
  </si>
  <si>
    <t>SUMMERS JOHN</t>
  </si>
  <si>
    <t>527324-97</t>
  </si>
  <si>
    <t>SUAREZ ARMANDO</t>
  </si>
  <si>
    <t>546146-97</t>
  </si>
  <si>
    <t>SKAGGS JEANNE</t>
  </si>
  <si>
    <t>552478-97</t>
  </si>
  <si>
    <t>YOUNG SCOTT</t>
  </si>
  <si>
    <t>563880-97</t>
  </si>
  <si>
    <t>KNEPPER AMY</t>
  </si>
  <si>
    <t>595201-97</t>
  </si>
  <si>
    <t>ROSENBERG LAURA</t>
  </si>
  <si>
    <t>01/28/2025</t>
  </si>
  <si>
    <t>04/28/2026</t>
  </si>
  <si>
    <t>651670-97</t>
  </si>
  <si>
    <t>CHIN LAI PAMELA</t>
  </si>
  <si>
    <t>06/01/2025</t>
  </si>
  <si>
    <t>544227-97</t>
  </si>
  <si>
    <t>MERCER MELISSA</t>
  </si>
  <si>
    <t>684329-96</t>
  </si>
  <si>
    <t>GASNER DARLENE</t>
  </si>
  <si>
    <t>WY</t>
  </si>
  <si>
    <t>900385-96</t>
  </si>
  <si>
    <t>BURTON PATRICIA</t>
  </si>
  <si>
    <t>03/07/2024</t>
  </si>
  <si>
    <t>04/07/2026</t>
  </si>
  <si>
    <t>673405-97</t>
  </si>
  <si>
    <t>ALBRECHT DANA</t>
  </si>
  <si>
    <t>485725-97</t>
  </si>
  <si>
    <t>CLOW THERESA</t>
  </si>
  <si>
    <t>11/07/2024</t>
  </si>
  <si>
    <t>570778-97</t>
  </si>
  <si>
    <t>KOZAN KRISTIAN</t>
  </si>
  <si>
    <t>01/04/2025</t>
  </si>
  <si>
    <t>623629-97</t>
  </si>
  <si>
    <t>BRINKMEIER JEAN</t>
  </si>
  <si>
    <t>623640-97</t>
  </si>
  <si>
    <t>BRINKMEIER GREGORY</t>
  </si>
  <si>
    <t>mlb agent</t>
  </si>
  <si>
    <t>product</t>
  </si>
  <si>
    <t>mlb product</t>
  </si>
  <si>
    <t>OICH Plan G-HIGH DED</t>
  </si>
  <si>
    <t>MI 65-69 Association New Business, Internal and External Replacements</t>
  </si>
  <si>
    <t>Med Supp IL/DE/TX/IN Ages 65-83</t>
  </si>
  <si>
    <t>Med Supp MD/NJ/TN/VA/WY Ages 65-83</t>
  </si>
  <si>
    <t>Med Supp OR Plans H.D F, H.D G, and N All Ages NB, Internal &amp; External Replacements</t>
  </si>
  <si>
    <t>Term Life Answers 15 Year Term</t>
  </si>
  <si>
    <t>Term Life Express</t>
  </si>
  <si>
    <t>FL High Deductible F High Deductible G and Plan N Area 1 Age 75-80 Affiliate Company Replacements</t>
  </si>
  <si>
    <t>Medicare Supp FL Plans High Deductible F,G,&amp;N 65+</t>
  </si>
  <si>
    <t>All Plans 2026 Plans High Deductible F, High Deductible G, and Plan N</t>
  </si>
  <si>
    <t>Universal Life</t>
  </si>
  <si>
    <t>IULE TP</t>
  </si>
  <si>
    <t>2024 Final Expense: Level Product Commission Ages 45-80</t>
  </si>
  <si>
    <t>Living Promise Graded</t>
  </si>
  <si>
    <t>Children S - Whole Life</t>
  </si>
  <si>
    <t>IUL express</t>
  </si>
  <si>
    <t>2024 Term Life Express: IXEXP1 Term Life Conversion to IUL in years 6+ of term issue date</t>
  </si>
  <si>
    <t>National Dental</t>
  </si>
  <si>
    <t>FL All Plans Except High Deductible F, 19%</t>
  </si>
  <si>
    <t>MD Plan A NB, Internal &amp; External Replace (Open Enrollment, Underwritten) Ages 65-80</t>
  </si>
  <si>
    <t>Medicare Supplement Plan G</t>
  </si>
  <si>
    <t>Med Supp MD/NJ/TN/VA/WY Ages 65-83 2025</t>
  </si>
  <si>
    <t>Mutual of Omaha OVR</t>
  </si>
  <si>
    <t>FEX Level Ages 45-80</t>
  </si>
  <si>
    <t>Term Life Express 10 Year</t>
  </si>
  <si>
    <t>Medicare Supp- PA Plans High Deductible F,G,&amp;N 65+</t>
  </si>
  <si>
    <t>OH All Plans Except F, G, and N NB, Internal &amp; External Replacements. Renewal</t>
  </si>
  <si>
    <t>MD HD F,G,N</t>
  </si>
  <si>
    <t>Medicare Supp- PA All Plans</t>
  </si>
  <si>
    <t>IUL</t>
  </si>
  <si>
    <t>21283956old</t>
  </si>
  <si>
    <t>19278370old</t>
  </si>
  <si>
    <t>MLB Agent name</t>
  </si>
  <si>
    <t>Matthew Sherman</t>
  </si>
  <si>
    <t>Gregory Teipel</t>
  </si>
  <si>
    <t>Michael Dunavant</t>
  </si>
  <si>
    <t>Carol Foley</t>
  </si>
  <si>
    <t>Andrea Petrungaro</t>
  </si>
  <si>
    <t>Matthew Daugherty</t>
  </si>
  <si>
    <t>Gary Portugal</t>
  </si>
  <si>
    <t>Adam Richter</t>
  </si>
  <si>
    <t>Jason Roller</t>
  </si>
  <si>
    <t>Colleen Finnigan</t>
  </si>
  <si>
    <t>Dominic Lytle</t>
  </si>
  <si>
    <t>Victor Fuentes</t>
  </si>
  <si>
    <t>Ronald Max</t>
  </si>
  <si>
    <t>Christian Taugner</t>
  </si>
  <si>
    <t>Richard Yale</t>
  </si>
  <si>
    <t>Thomas Kucan</t>
  </si>
  <si>
    <t>Chad Bender</t>
  </si>
  <si>
    <t>Dale Walenga</t>
  </si>
  <si>
    <t>Steven Brandt</t>
  </si>
  <si>
    <t>Ricardo Santos</t>
  </si>
  <si>
    <t>Jared Kinyua</t>
  </si>
  <si>
    <t>Jake Shulman</t>
  </si>
  <si>
    <t>Anne Marie Kozacheck</t>
  </si>
  <si>
    <t>Murray Sterner</t>
  </si>
  <si>
    <t>Jason Hoffmann</t>
  </si>
  <si>
    <t>Frank Liskovec</t>
  </si>
  <si>
    <t>monthly premium BOB</t>
  </si>
  <si>
    <t>MLB Comm</t>
  </si>
  <si>
    <t>Medicare Supplement Plan G High Deductible</t>
  </si>
  <si>
    <t>Medicare Supplement Plan N</t>
  </si>
  <si>
    <t>Term Life Answer 10 15 20 30</t>
  </si>
  <si>
    <t>Term Life Express 10 15 20 30</t>
  </si>
  <si>
    <t>Iul Express</t>
  </si>
  <si>
    <t xml:space="preserve">Living Promise-graded                   </t>
  </si>
  <si>
    <t xml:space="preserve">Children S - Whole Life                 </t>
  </si>
  <si>
    <t xml:space="preserve">Preferred Plan (a) Dnt2i                </t>
  </si>
  <si>
    <t xml:space="preserve">Protection  Plan (c) Dnt5e              </t>
  </si>
  <si>
    <t xml:space="preserve">Preferred Plan (a) Dnt2e                </t>
  </si>
  <si>
    <t xml:space="preserve">Protection  Plan (c) Dnt5i              </t>
  </si>
  <si>
    <t>Medicare Supplement Plan A</t>
  </si>
  <si>
    <t>Medicare Supplement Plan F</t>
  </si>
  <si>
    <t xml:space="preserve">Living Promise - Level  Benefit         </t>
  </si>
  <si>
    <t>19279958AV9</t>
  </si>
  <si>
    <t>19200754AV9</t>
  </si>
  <si>
    <t>paycode</t>
  </si>
  <si>
    <t>AE</t>
  </si>
  <si>
    <t>AV</t>
  </si>
  <si>
    <t>Term Life Answers- 20 &amp; 30 year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</si>
</sst>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3" x14ac:knownFonts="1">
    <font>
      <sz val="11"/>
      <name val="Calibri"/>
    </font>
    <font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4" fontId="1" fillId="0" borderId="0" xfId="0" applyNumberFormat="1" applyFont="1" applyFill="1" applyAlignment="1">
      <alignment horizontal="left"/>
    </xf>
    <xf numFmtId="10" fontId="1" fillId="0" borderId="0" xfId="0" applyNumberFormat="1" applyFont="1" applyFill="1" applyAlignment="1">
      <alignment horizontal="left"/>
    </xf>
    <xf numFmtId="165" fontId="1" fillId="0" borderId="0" xfId="0" applyNumberFormat="1" applyFont="1" applyFill="1" applyAlignment="1">
      <alignment horizontal="left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4" fontId="1" fillId="3" borderId="0" xfId="0" applyNumberFormat="1" applyFont="1" applyFill="1"/>
    <xf numFmtId="0" fontId="1" fillId="3" borderId="0" xfId="0" applyFont="1" applyFill="1" applyAlignment="1">
      <alignment horizontal="right"/>
    </xf>
    <xf numFmtId="165" fontId="1" fillId="3" borderId="0" xfId="0" applyNumberFormat="1" applyFont="1" applyFill="1"/>
    <xf numFmtId="0" fontId="1" fillId="3" borderId="0" xfId="0" applyNumberFormat="1" applyFont="1" applyFill="1" applyAlignment="1">
      <alignment horizontal="left"/>
    </xf>
    <xf numFmtId="165" fontId="1" fillId="3" borderId="0" xfId="0" applyNumberFormat="1" applyFont="1" applyFill="1" applyAlignment="1">
      <alignment horizontal="left"/>
    </xf>
    <xf numFmtId="4" fontId="1" fillId="3" borderId="0" xfId="0" applyNumberFormat="1" applyFont="1" applyFill="1" applyAlignment="1">
      <alignment horizontal="left"/>
    </xf>
    <xf numFmtId="10" fontId="1" fillId="3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OB.xlsx" TargetMode="External"/><Relationship Id="rId2" Type="http://schemas.openxmlformats.org/officeDocument/2006/relationships/externalLinkPath" Target="file:///G:\Shared%20drives\Main%20Line%20Benefits%20Office\Commissions\Commission%20Processing\Carrier%20Statements\MOO\BOB.xlsx" TargetMode="External"/><Relationship Id="rId1" Type="http://schemas.openxmlformats.org/officeDocument/2006/relationships/externalLinkPath" Target="/Shared%20drives/Main%20Line%20Benefits%20Office/Commissions/Commission%20Processing/Carrier%20Statements/MOO/BO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055790-1773860175849"/>
      <sheetName val="Sheet1"/>
    </sheetNames>
    <sheetDataSet>
      <sheetData sheetId="0"/>
      <sheetData sheetId="1">
        <row r="1">
          <cell r="A1" t="str">
            <v>POLICY_NUMBER</v>
          </cell>
          <cell r="B1" t="str">
            <v>PRODUCT_DESC</v>
          </cell>
          <cell r="C1" t="str">
            <v>WRT_AGT_NME</v>
          </cell>
          <cell r="D1" t="str">
            <v>PREMIUM</v>
          </cell>
        </row>
        <row r="2">
          <cell r="A2" t="str">
            <v>BU5050127</v>
          </cell>
          <cell r="B2" t="str">
            <v>Term Life Express 10 15 20 30</v>
          </cell>
          <cell r="C2" t="str">
            <v>Ronald Max</v>
          </cell>
          <cell r="D2">
            <v>76.180000000000007</v>
          </cell>
        </row>
        <row r="3">
          <cell r="A3" t="str">
            <v>BU6216990</v>
          </cell>
          <cell r="B3" t="str">
            <v>Term Life Express 10 15 20 30</v>
          </cell>
          <cell r="C3" t="str">
            <v>Matthew Daugherty</v>
          </cell>
          <cell r="D3">
            <v>87.87</v>
          </cell>
        </row>
        <row r="4">
          <cell r="A4" t="str">
            <v>BU4943236</v>
          </cell>
          <cell r="B4" t="str">
            <v>Iul Express</v>
          </cell>
          <cell r="C4" t="str">
            <v>Ronald Max</v>
          </cell>
          <cell r="D4">
            <v>156.96</v>
          </cell>
        </row>
        <row r="5">
          <cell r="A5" t="str">
            <v>BU4446545</v>
          </cell>
          <cell r="B5" t="str">
            <v>Term Life</v>
          </cell>
          <cell r="C5" t="str">
            <v>Matthew Daugherty</v>
          </cell>
          <cell r="D5">
            <v>121.94</v>
          </cell>
        </row>
        <row r="6">
          <cell r="A6" t="str">
            <v>BU5108255</v>
          </cell>
          <cell r="B6" t="str">
            <v xml:space="preserve">Living Promise-graded                   </v>
          </cell>
          <cell r="C6" t="str">
            <v>Ryan Caltagirone</v>
          </cell>
          <cell r="D6">
            <v>75.91</v>
          </cell>
        </row>
        <row r="7">
          <cell r="A7" t="str">
            <v>BU4168490</v>
          </cell>
          <cell r="B7" t="str">
            <v>Iul Express</v>
          </cell>
          <cell r="C7" t="str">
            <v>Gregory Teipel</v>
          </cell>
          <cell r="D7">
            <v>330.35</v>
          </cell>
        </row>
        <row r="8">
          <cell r="A8" t="str">
            <v>BU3849338</v>
          </cell>
          <cell r="B8" t="str">
            <v>Tle 20-20yr Guar</v>
          </cell>
          <cell r="C8" t="str">
            <v>Katelenn Caltagirone</v>
          </cell>
          <cell r="D8">
            <v>151.52000000000001</v>
          </cell>
        </row>
        <row r="9">
          <cell r="A9" t="str">
            <v>BU4728029</v>
          </cell>
          <cell r="B9" t="str">
            <v>Term Life Express 10 15 20 30</v>
          </cell>
          <cell r="C9" t="str">
            <v>Matthew Daugherty</v>
          </cell>
          <cell r="D9">
            <v>93.45</v>
          </cell>
        </row>
        <row r="10">
          <cell r="A10" t="str">
            <v>BU4459042</v>
          </cell>
          <cell r="B10" t="str">
            <v>Term Life Express 10 15 20 30</v>
          </cell>
          <cell r="C10" t="str">
            <v>Michael Lutz</v>
          </cell>
          <cell r="D10">
            <v>144.4</v>
          </cell>
        </row>
        <row r="11">
          <cell r="A11" t="str">
            <v>491264-97</v>
          </cell>
          <cell r="B11" t="str">
            <v>Medicare Supplement Plan G</v>
          </cell>
          <cell r="C11" t="str">
            <v>Michael Dunavant</v>
          </cell>
          <cell r="D11">
            <v>239.28</v>
          </cell>
        </row>
        <row r="12">
          <cell r="A12" t="str">
            <v>BU5027805</v>
          </cell>
          <cell r="B12" t="str">
            <v>Term Life Express 10 15 20 30</v>
          </cell>
          <cell r="C12" t="str">
            <v>Adam Richter</v>
          </cell>
          <cell r="D12">
            <v>148.99</v>
          </cell>
        </row>
        <row r="13">
          <cell r="A13" t="str">
            <v>BU4389036</v>
          </cell>
          <cell r="B13" t="str">
            <v>Term Life Express 10 15 20 30</v>
          </cell>
          <cell r="C13" t="str">
            <v>Gregory Teipel</v>
          </cell>
          <cell r="D13">
            <v>74.760000000000005</v>
          </cell>
        </row>
        <row r="14">
          <cell r="A14" t="str">
            <v>523666-97</v>
          </cell>
          <cell r="B14" t="str">
            <v>Medicare Supplement Plan G</v>
          </cell>
          <cell r="C14" t="str">
            <v>Gregory Hansford</v>
          </cell>
          <cell r="D14">
            <v>279.66000000000003</v>
          </cell>
        </row>
        <row r="15">
          <cell r="A15" t="str">
            <v>BU4887510</v>
          </cell>
          <cell r="B15" t="str">
            <v>Iul Express</v>
          </cell>
          <cell r="C15" t="str">
            <v>Gregory Teipel</v>
          </cell>
          <cell r="D15">
            <v>232.46</v>
          </cell>
        </row>
        <row r="16">
          <cell r="A16" t="str">
            <v>BU4435120</v>
          </cell>
          <cell r="B16" t="str">
            <v>Iul Express</v>
          </cell>
          <cell r="C16" t="str">
            <v>Gregory Teipel</v>
          </cell>
          <cell r="D16">
            <v>270.51</v>
          </cell>
        </row>
        <row r="17">
          <cell r="A17" t="str">
            <v>BU6454185</v>
          </cell>
          <cell r="B17" t="str">
            <v>Term Life Express 10 15 20 30</v>
          </cell>
          <cell r="C17" t="str">
            <v>Jake Shulman</v>
          </cell>
          <cell r="D17">
            <v>89.29</v>
          </cell>
        </row>
        <row r="18">
          <cell r="A18" t="str">
            <v>BU4969542</v>
          </cell>
          <cell r="B18" t="str">
            <v>Term Life Express 10 15 20 30</v>
          </cell>
          <cell r="C18" t="str">
            <v>Ryan Caltagirone</v>
          </cell>
          <cell r="D18">
            <v>175.37</v>
          </cell>
        </row>
        <row r="19">
          <cell r="A19" t="str">
            <v>BU4508048</v>
          </cell>
          <cell r="B19" t="str">
            <v>Tle 20-20yr Guar</v>
          </cell>
          <cell r="C19" t="str">
            <v>Matthew Daugherty</v>
          </cell>
          <cell r="D19">
            <v>97.54</v>
          </cell>
        </row>
        <row r="20">
          <cell r="A20" t="str">
            <v>BU4956432</v>
          </cell>
          <cell r="B20" t="str">
            <v>Term Life Express 10 15 20 30</v>
          </cell>
          <cell r="C20" t="str">
            <v>Gregory Teipel</v>
          </cell>
          <cell r="D20">
            <v>63.41</v>
          </cell>
        </row>
        <row r="21">
          <cell r="A21" t="str">
            <v>878137-96</v>
          </cell>
          <cell r="B21" t="str">
            <v>Medicare Supplement Plan N</v>
          </cell>
          <cell r="C21" t="str">
            <v>Anne Marie Kozacheck</v>
          </cell>
          <cell r="D21">
            <v>240.09</v>
          </cell>
        </row>
        <row r="22">
          <cell r="A22" t="str">
            <v>BU6450119</v>
          </cell>
          <cell r="B22" t="str">
            <v>Iul Express</v>
          </cell>
          <cell r="C22" t="str">
            <v>Gregory Teipel</v>
          </cell>
          <cell r="D22">
            <v>159.62</v>
          </cell>
        </row>
        <row r="23">
          <cell r="A23" t="str">
            <v>BU6209153</v>
          </cell>
          <cell r="B23" t="str">
            <v>Iul Express</v>
          </cell>
          <cell r="C23" t="str">
            <v>Ryan Caltagirone</v>
          </cell>
          <cell r="D23">
            <v>59.98</v>
          </cell>
        </row>
        <row r="24">
          <cell r="A24" t="str">
            <v>BU4973281</v>
          </cell>
          <cell r="B24" t="str">
            <v>Term Life Express 10 15 20 30</v>
          </cell>
          <cell r="C24" t="str">
            <v>Ryan Caltagirone</v>
          </cell>
          <cell r="D24">
            <v>46.73</v>
          </cell>
        </row>
        <row r="25">
          <cell r="A25" t="str">
            <v>BU5284060</v>
          </cell>
          <cell r="B25" t="str">
            <v>Term Life Express 10 15 20 30</v>
          </cell>
          <cell r="C25" t="str">
            <v>Matthew Daugherty</v>
          </cell>
          <cell r="D25">
            <v>97.44</v>
          </cell>
        </row>
        <row r="26">
          <cell r="A26" t="str">
            <v>BU4957353</v>
          </cell>
          <cell r="B26" t="str">
            <v>Term Life Express 10 15 20 30</v>
          </cell>
          <cell r="C26" t="str">
            <v>Gregory Teipel</v>
          </cell>
          <cell r="D26">
            <v>157.80000000000001</v>
          </cell>
        </row>
        <row r="27">
          <cell r="A27" t="str">
            <v>BU6485224</v>
          </cell>
          <cell r="B27" t="str">
            <v>Iul Express</v>
          </cell>
          <cell r="C27" t="str">
            <v>Gregory Teipel</v>
          </cell>
          <cell r="D27">
            <v>214.53</v>
          </cell>
        </row>
        <row r="28">
          <cell r="A28" t="str">
            <v>BU5131276</v>
          </cell>
          <cell r="B28" t="str">
            <v xml:space="preserve">Living Promise-graded                   </v>
          </cell>
          <cell r="C28" t="str">
            <v>Thomas Pardue</v>
          </cell>
          <cell r="D28">
            <v>36.31</v>
          </cell>
        </row>
        <row r="29">
          <cell r="A29" t="str">
            <v>BU5305579</v>
          </cell>
          <cell r="B29" t="str">
            <v>Iul Express</v>
          </cell>
          <cell r="C29" t="str">
            <v>Gregory Teipel</v>
          </cell>
          <cell r="D29">
            <v>220.93</v>
          </cell>
        </row>
        <row r="30">
          <cell r="A30" t="str">
            <v>BU5495248</v>
          </cell>
          <cell r="B30" t="str">
            <v>Term Life Express 10 15 20 30</v>
          </cell>
          <cell r="C30" t="str">
            <v>Gregory Teipel</v>
          </cell>
          <cell r="D30">
            <v>109.85</v>
          </cell>
        </row>
        <row r="31">
          <cell r="A31" t="str">
            <v>BU4758764</v>
          </cell>
          <cell r="B31" t="str">
            <v xml:space="preserve">Living Promise - Level  Benefit         </v>
          </cell>
          <cell r="C31" t="str">
            <v>Deborah Inskipt</v>
          </cell>
          <cell r="D31">
            <v>27.01</v>
          </cell>
        </row>
        <row r="32">
          <cell r="A32" t="str">
            <v>BU6235224</v>
          </cell>
          <cell r="B32" t="str">
            <v>Iul Express</v>
          </cell>
          <cell r="C32" t="str">
            <v>Ryan Caltagirone</v>
          </cell>
          <cell r="D32">
            <v>153.03</v>
          </cell>
        </row>
        <row r="33">
          <cell r="A33" t="str">
            <v>BU6386651</v>
          </cell>
          <cell r="B33" t="str">
            <v>Term Life Express 10 15 20 30</v>
          </cell>
          <cell r="C33" t="str">
            <v>Thomas Pardue</v>
          </cell>
          <cell r="D33">
            <v>76.180000000000007</v>
          </cell>
        </row>
        <row r="34">
          <cell r="A34" t="str">
            <v>BU6437181</v>
          </cell>
          <cell r="B34" t="str">
            <v xml:space="preserve">Living Promise - Level  Benefit         </v>
          </cell>
          <cell r="C34" t="str">
            <v>Gregory Teipel</v>
          </cell>
          <cell r="D34">
            <v>20.46</v>
          </cell>
        </row>
        <row r="35">
          <cell r="A35" t="str">
            <v>BU6358307</v>
          </cell>
          <cell r="B35" t="str">
            <v>Iul Express</v>
          </cell>
          <cell r="C35" t="str">
            <v>Richard Yale</v>
          </cell>
          <cell r="D35">
            <v>25.28</v>
          </cell>
        </row>
        <row r="36">
          <cell r="A36" t="str">
            <v>BU4356042</v>
          </cell>
          <cell r="B36" t="str">
            <v>Term Life Express 10 15 20 30</v>
          </cell>
          <cell r="C36" t="str">
            <v>Matthew Daugherty</v>
          </cell>
          <cell r="D36">
            <v>133.94999999999999</v>
          </cell>
        </row>
        <row r="37">
          <cell r="A37" t="str">
            <v>BU4885588</v>
          </cell>
          <cell r="B37" t="str">
            <v>Term Life Express 10 15 20 30</v>
          </cell>
          <cell r="C37" t="str">
            <v>Matthew Daugherty</v>
          </cell>
          <cell r="D37">
            <v>91.31</v>
          </cell>
        </row>
        <row r="38">
          <cell r="A38" t="str">
            <v>BU5273530</v>
          </cell>
          <cell r="B38" t="str">
            <v>Iul Express</v>
          </cell>
          <cell r="C38" t="str">
            <v>Gregory Teipel</v>
          </cell>
          <cell r="D38">
            <v>265.12</v>
          </cell>
        </row>
        <row r="39">
          <cell r="A39" t="str">
            <v>BU4377430</v>
          </cell>
          <cell r="B39" t="str">
            <v xml:space="preserve">Living Promise - Level  Benefit         </v>
          </cell>
          <cell r="C39" t="str">
            <v>Thomas Kucan</v>
          </cell>
          <cell r="D39">
            <v>191.04</v>
          </cell>
        </row>
        <row r="40">
          <cell r="A40" t="str">
            <v>BU6462078</v>
          </cell>
          <cell r="B40" t="str">
            <v>Term Life Express 10 15 20 30</v>
          </cell>
          <cell r="C40" t="str">
            <v>Gary Portugal</v>
          </cell>
          <cell r="D40">
            <v>58.74</v>
          </cell>
        </row>
        <row r="41">
          <cell r="A41" t="str">
            <v>BU4729898</v>
          </cell>
          <cell r="B41" t="str">
            <v>Term Life Express 10 15 20 30</v>
          </cell>
          <cell r="C41" t="str">
            <v>Ryan Caltagirone</v>
          </cell>
          <cell r="D41">
            <v>120</v>
          </cell>
        </row>
        <row r="42">
          <cell r="A42" t="str">
            <v>BU5610346</v>
          </cell>
          <cell r="B42" t="str">
            <v>Iul Express</v>
          </cell>
          <cell r="C42" t="str">
            <v>Gregory Teipel</v>
          </cell>
          <cell r="D42">
            <v>241.54</v>
          </cell>
        </row>
        <row r="43">
          <cell r="A43" t="str">
            <v>BU6325859</v>
          </cell>
          <cell r="B43" t="str">
            <v>Tle 20-20yr Guar</v>
          </cell>
          <cell r="C43" t="str">
            <v>Gregory Teipel</v>
          </cell>
          <cell r="D43">
            <v>19.62</v>
          </cell>
        </row>
        <row r="44">
          <cell r="A44" t="str">
            <v>BU5255660</v>
          </cell>
          <cell r="B44" t="str">
            <v>Iul Express</v>
          </cell>
          <cell r="C44" t="str">
            <v>Gregory Teipel</v>
          </cell>
          <cell r="D44">
            <v>160.63</v>
          </cell>
        </row>
        <row r="45">
          <cell r="A45" t="str">
            <v>978415-96</v>
          </cell>
          <cell r="B45" t="str">
            <v>Medicare Supplement Plan N</v>
          </cell>
          <cell r="C45" t="str">
            <v>Anne Marie Kozacheck</v>
          </cell>
          <cell r="D45">
            <v>118.77</v>
          </cell>
        </row>
        <row r="46">
          <cell r="A46" t="str">
            <v>BU4936830</v>
          </cell>
          <cell r="B46" t="str">
            <v>Term Life Express 10 15 20 30</v>
          </cell>
          <cell r="C46" t="str">
            <v>Ryan Caltagirone</v>
          </cell>
          <cell r="D46">
            <v>59.42</v>
          </cell>
        </row>
        <row r="47">
          <cell r="A47" t="str">
            <v>BU4697634</v>
          </cell>
          <cell r="B47" t="str">
            <v>Iul Express</v>
          </cell>
          <cell r="C47" t="str">
            <v>Gregory Teipel</v>
          </cell>
          <cell r="D47">
            <v>163.63999999999999</v>
          </cell>
        </row>
        <row r="48">
          <cell r="A48" t="str">
            <v>BU4486377</v>
          </cell>
          <cell r="B48" t="str">
            <v>Iul Express</v>
          </cell>
          <cell r="C48" t="str">
            <v>Ryan Caltagirone</v>
          </cell>
          <cell r="D48">
            <v>298.74</v>
          </cell>
        </row>
        <row r="49">
          <cell r="A49" t="str">
            <v>BU4552285</v>
          </cell>
          <cell r="B49" t="str">
            <v>Tle 20-20yr Guar</v>
          </cell>
          <cell r="C49" t="str">
            <v>Ryan Caltagirone</v>
          </cell>
          <cell r="D49">
            <v>47.53</v>
          </cell>
        </row>
        <row r="50">
          <cell r="A50" t="str">
            <v>BU3851564</v>
          </cell>
          <cell r="B50" t="str">
            <v>Term Life Express 10 15 20 30</v>
          </cell>
          <cell r="C50" t="str">
            <v>Adam Richter</v>
          </cell>
          <cell r="D50">
            <v>98.88</v>
          </cell>
        </row>
        <row r="51">
          <cell r="A51" t="str">
            <v>BU5533904</v>
          </cell>
          <cell r="B51" t="str">
            <v>Iul Express</v>
          </cell>
          <cell r="C51" t="str">
            <v>Ryan Caltagirone</v>
          </cell>
          <cell r="D51">
            <v>136.82</v>
          </cell>
        </row>
        <row r="52">
          <cell r="A52" t="str">
            <v>BU4454175</v>
          </cell>
          <cell r="B52" t="str">
            <v>Term Life Express 10 15 20 30</v>
          </cell>
          <cell r="C52" t="str">
            <v>Matthew Daugherty</v>
          </cell>
          <cell r="D52">
            <v>225.17</v>
          </cell>
        </row>
        <row r="53">
          <cell r="A53" t="str">
            <v>BU4497521</v>
          </cell>
          <cell r="B53" t="str">
            <v>Term Life Express 10 15 20 30</v>
          </cell>
          <cell r="C53" t="str">
            <v>Matthew Daugherty</v>
          </cell>
          <cell r="D53">
            <v>112.35</v>
          </cell>
        </row>
        <row r="54">
          <cell r="A54" t="str">
            <v>BU5050059</v>
          </cell>
          <cell r="B54" t="str">
            <v>Term Life Express 10 15 20 30</v>
          </cell>
          <cell r="C54" t="str">
            <v>Ronald Max</v>
          </cell>
          <cell r="D54">
            <v>71.87</v>
          </cell>
        </row>
        <row r="55">
          <cell r="A55" t="str">
            <v>BU5065764</v>
          </cell>
          <cell r="B55" t="str">
            <v xml:space="preserve">Living Promise-graded                   </v>
          </cell>
          <cell r="C55" t="str">
            <v>Thomas Pardue</v>
          </cell>
          <cell r="D55">
            <v>32.49</v>
          </cell>
        </row>
        <row r="56">
          <cell r="A56" t="str">
            <v>BU6485428</v>
          </cell>
          <cell r="B56" t="str">
            <v>Term Life Express 10 15 20 30</v>
          </cell>
          <cell r="C56" t="str">
            <v>Steven Brandt</v>
          </cell>
          <cell r="D56">
            <v>69.900000000000006</v>
          </cell>
        </row>
        <row r="57">
          <cell r="A57" t="str">
            <v>BU6264931</v>
          </cell>
          <cell r="B57" t="str">
            <v>Iul Express</v>
          </cell>
          <cell r="C57" t="str">
            <v>Matthew Daugherty</v>
          </cell>
          <cell r="D57">
            <v>293.87</v>
          </cell>
        </row>
        <row r="58">
          <cell r="A58" t="str">
            <v>BU5019796</v>
          </cell>
          <cell r="B58" t="str">
            <v>Term Life Express 10 15 20 30</v>
          </cell>
          <cell r="C58" t="str">
            <v>Matthew Daugherty</v>
          </cell>
          <cell r="D58">
            <v>87.4</v>
          </cell>
        </row>
        <row r="59">
          <cell r="A59" t="str">
            <v>BU5143768</v>
          </cell>
          <cell r="B59" t="str">
            <v xml:space="preserve">Living Promise - Level  Benefit         </v>
          </cell>
          <cell r="C59" t="str">
            <v>Andrew Choi</v>
          </cell>
          <cell r="D59">
            <v>139.72999999999999</v>
          </cell>
        </row>
        <row r="60">
          <cell r="A60" t="str">
            <v>BU4506759</v>
          </cell>
          <cell r="B60" t="str">
            <v>Term Life Express 10 15 20 30</v>
          </cell>
          <cell r="C60" t="str">
            <v>Matthew Daugherty</v>
          </cell>
          <cell r="D60">
            <v>16.54</v>
          </cell>
        </row>
        <row r="61">
          <cell r="A61" t="str">
            <v>367876-97</v>
          </cell>
          <cell r="B61" t="str">
            <v>Medicare Supplement Plan G</v>
          </cell>
          <cell r="C61" t="str">
            <v>Adam Richter</v>
          </cell>
          <cell r="D61">
            <v>168.14</v>
          </cell>
        </row>
        <row r="62">
          <cell r="A62" t="str">
            <v>BU5244342</v>
          </cell>
          <cell r="B62" t="str">
            <v>Term Life Express 10 15 20 30</v>
          </cell>
          <cell r="C62" t="str">
            <v>Gregory Teipel</v>
          </cell>
          <cell r="D62">
            <v>232.02</v>
          </cell>
        </row>
        <row r="63">
          <cell r="A63" t="str">
            <v>BU4659406</v>
          </cell>
          <cell r="B63" t="str">
            <v>Term Life Express 10 15 20 30</v>
          </cell>
          <cell r="C63" t="str">
            <v>Gregory Teipel</v>
          </cell>
          <cell r="D63">
            <v>158.87</v>
          </cell>
        </row>
        <row r="64">
          <cell r="A64" t="str">
            <v>BU4393471</v>
          </cell>
          <cell r="B64" t="str">
            <v>Term Life Express 10 15 20 30</v>
          </cell>
          <cell r="C64" t="str">
            <v>Colleen Finnigan</v>
          </cell>
          <cell r="D64">
            <v>83.94</v>
          </cell>
        </row>
        <row r="65">
          <cell r="A65" t="str">
            <v>325903-41</v>
          </cell>
          <cell r="B65" t="str">
            <v xml:space="preserve">Preferred Plan (a) Dnt2i                </v>
          </cell>
          <cell r="C65" t="str">
            <v>Richard Yale</v>
          </cell>
          <cell r="D65">
            <v>79.28</v>
          </cell>
        </row>
        <row r="66">
          <cell r="A66" t="str">
            <v>BU5522548</v>
          </cell>
          <cell r="B66" t="str">
            <v>Term Life Express 10 15 20 30</v>
          </cell>
          <cell r="C66" t="str">
            <v>Gregory Teipel</v>
          </cell>
          <cell r="D66">
            <v>169.14</v>
          </cell>
        </row>
        <row r="67">
          <cell r="A67" t="str">
            <v>BU5074244</v>
          </cell>
          <cell r="B67" t="str">
            <v>Term Life Express 10 15 20 30</v>
          </cell>
          <cell r="C67" t="str">
            <v>Ryan Caltagirone</v>
          </cell>
          <cell r="D67">
            <v>103.57</v>
          </cell>
        </row>
        <row r="68">
          <cell r="A68" t="str">
            <v>BU4240523</v>
          </cell>
          <cell r="B68" t="str">
            <v>Iul Express</v>
          </cell>
          <cell r="C68" t="str">
            <v>Gregory Teipel</v>
          </cell>
          <cell r="D68">
            <v>280.55</v>
          </cell>
        </row>
        <row r="69">
          <cell r="A69" t="str">
            <v>623640-97</v>
          </cell>
          <cell r="B69" t="str">
            <v xml:space="preserve">Protection  Plan (c) Dnt5e              </v>
          </cell>
          <cell r="C69" t="str">
            <v>Dale Walenga</v>
          </cell>
          <cell r="D69">
            <v>33.74</v>
          </cell>
        </row>
        <row r="70">
          <cell r="A70" t="str">
            <v>BU5592709</v>
          </cell>
          <cell r="B70" t="str">
            <v xml:space="preserve">Children S - Whole Life                 </v>
          </cell>
          <cell r="C70" t="str">
            <v>Andrew Choi</v>
          </cell>
          <cell r="D70">
            <v>34.75</v>
          </cell>
        </row>
        <row r="71">
          <cell r="A71" t="str">
            <v>780733-96</v>
          </cell>
          <cell r="B71" t="str">
            <v>Medicare Supplement Plan G</v>
          </cell>
          <cell r="C71" t="str">
            <v>Adam Richter</v>
          </cell>
          <cell r="D71">
            <v>250.85</v>
          </cell>
        </row>
        <row r="72">
          <cell r="A72" t="str">
            <v>BU6219853</v>
          </cell>
          <cell r="B72" t="str">
            <v>Term Life Express 10 15 20 30</v>
          </cell>
          <cell r="C72" t="str">
            <v>Gregory Teipel</v>
          </cell>
          <cell r="D72">
            <v>194.02</v>
          </cell>
        </row>
        <row r="73">
          <cell r="A73" t="str">
            <v>BU4984976</v>
          </cell>
          <cell r="B73" t="str">
            <v>Term Life Express 10 15 20 30</v>
          </cell>
          <cell r="C73" t="str">
            <v>Matthew Daugherty</v>
          </cell>
          <cell r="D73">
            <v>65.5</v>
          </cell>
        </row>
        <row r="74">
          <cell r="A74" t="str">
            <v>BU5170082</v>
          </cell>
          <cell r="B74" t="str">
            <v>Iul Express</v>
          </cell>
          <cell r="C74" t="str">
            <v>Nasandelger Zana</v>
          </cell>
          <cell r="D74">
            <v>100.61</v>
          </cell>
        </row>
        <row r="75">
          <cell r="A75" t="str">
            <v>BU6277506</v>
          </cell>
          <cell r="B75" t="str">
            <v>Iul Express</v>
          </cell>
          <cell r="C75" t="str">
            <v>Gregory Teipel</v>
          </cell>
          <cell r="D75">
            <v>174.24</v>
          </cell>
        </row>
        <row r="76">
          <cell r="A76" t="str">
            <v>BU6235213</v>
          </cell>
          <cell r="B76" t="str">
            <v>Iul Express</v>
          </cell>
          <cell r="C76" t="str">
            <v>Matthew Daugherty</v>
          </cell>
          <cell r="D76">
            <v>106.85</v>
          </cell>
        </row>
        <row r="77">
          <cell r="A77" t="str">
            <v>BU4489869</v>
          </cell>
          <cell r="B77" t="str">
            <v>Term Life Express 10 15 20 30</v>
          </cell>
          <cell r="C77" t="str">
            <v>Gregory Teipel</v>
          </cell>
          <cell r="D77">
            <v>243.64</v>
          </cell>
        </row>
        <row r="78">
          <cell r="A78" t="str">
            <v>BU5477819</v>
          </cell>
          <cell r="B78" t="str">
            <v>Term Life Express 10 15 20 30</v>
          </cell>
          <cell r="C78" t="str">
            <v>Taliah Ferguson</v>
          </cell>
          <cell r="D78">
            <v>19.690000000000001</v>
          </cell>
        </row>
        <row r="79">
          <cell r="A79" t="str">
            <v>BU5238225</v>
          </cell>
          <cell r="B79" t="str">
            <v>Iul Express</v>
          </cell>
          <cell r="C79" t="str">
            <v>Gregory Teipel</v>
          </cell>
          <cell r="D79">
            <v>210.19</v>
          </cell>
        </row>
        <row r="80">
          <cell r="A80" t="str">
            <v>BU4553958</v>
          </cell>
          <cell r="B80" t="str">
            <v>Iul Express</v>
          </cell>
          <cell r="C80" t="str">
            <v>Colleen Finnigan</v>
          </cell>
          <cell r="D80">
            <v>720.43</v>
          </cell>
        </row>
        <row r="81">
          <cell r="A81" t="str">
            <v>BU4388198</v>
          </cell>
          <cell r="B81" t="str">
            <v>Term Life Express 10 15 20 30</v>
          </cell>
          <cell r="C81" t="str">
            <v>Matthew Daugherty</v>
          </cell>
          <cell r="D81">
            <v>359.92</v>
          </cell>
        </row>
        <row r="82">
          <cell r="A82" t="str">
            <v>BU4449213</v>
          </cell>
          <cell r="B82" t="str">
            <v>Term Life Express 10 15 20 30</v>
          </cell>
          <cell r="C82" t="str">
            <v>Matthew Daugherty</v>
          </cell>
          <cell r="D82">
            <v>315.45999999999998</v>
          </cell>
        </row>
        <row r="83">
          <cell r="A83" t="str">
            <v>BU4386051</v>
          </cell>
          <cell r="B83" t="str">
            <v>Term Life Express 10 15 20 30</v>
          </cell>
          <cell r="C83" t="str">
            <v>Gregory Teipel</v>
          </cell>
          <cell r="D83">
            <v>54.53</v>
          </cell>
        </row>
        <row r="84">
          <cell r="A84" t="str">
            <v>BU4779283</v>
          </cell>
          <cell r="B84" t="str">
            <v>Term Life Express 10 15 20 30</v>
          </cell>
          <cell r="C84" t="str">
            <v>Gregory Teipel</v>
          </cell>
          <cell r="D84">
            <v>121.49</v>
          </cell>
        </row>
        <row r="85">
          <cell r="A85" t="str">
            <v>BU4112016</v>
          </cell>
          <cell r="B85" t="str">
            <v>Iul Express</v>
          </cell>
          <cell r="C85" t="str">
            <v>Ryan Caltagirone</v>
          </cell>
          <cell r="D85">
            <v>107.32</v>
          </cell>
        </row>
        <row r="86">
          <cell r="A86" t="str">
            <v>BU4863460</v>
          </cell>
          <cell r="B86" t="str">
            <v>Iul Express</v>
          </cell>
          <cell r="C86" t="str">
            <v>Gregory Teipel</v>
          </cell>
          <cell r="D86">
            <v>1963.68</v>
          </cell>
        </row>
        <row r="87">
          <cell r="A87" t="str">
            <v>BU5592069</v>
          </cell>
          <cell r="B87" t="str">
            <v>Term Life Express 10 15 20 30</v>
          </cell>
          <cell r="C87" t="str">
            <v>Gregory Teipel</v>
          </cell>
          <cell r="D87">
            <v>278.35000000000002</v>
          </cell>
        </row>
        <row r="88">
          <cell r="A88" t="str">
            <v>BU5059669</v>
          </cell>
          <cell r="B88" t="str">
            <v>Iul Express</v>
          </cell>
          <cell r="C88" t="str">
            <v>Ryan Caltagirone</v>
          </cell>
          <cell r="D88">
            <v>180</v>
          </cell>
        </row>
        <row r="89">
          <cell r="A89" t="str">
            <v>BU5349221</v>
          </cell>
          <cell r="B89" t="str">
            <v>Iul Express</v>
          </cell>
          <cell r="C89" t="str">
            <v>Ryan Caltagirone</v>
          </cell>
          <cell r="D89">
            <v>87</v>
          </cell>
        </row>
        <row r="90">
          <cell r="A90" t="str">
            <v>BU4108645</v>
          </cell>
          <cell r="B90" t="str">
            <v>Term Life Express 10 15 20 30</v>
          </cell>
          <cell r="C90" t="str">
            <v>Adam Richter</v>
          </cell>
          <cell r="D90">
            <v>53.67</v>
          </cell>
        </row>
        <row r="91">
          <cell r="A91" t="str">
            <v>BU4297361</v>
          </cell>
          <cell r="B91" t="str">
            <v>Term Life Express 10 15 20 30</v>
          </cell>
          <cell r="C91" t="str">
            <v>Matthew Daugherty</v>
          </cell>
          <cell r="D91">
            <v>79.03</v>
          </cell>
        </row>
        <row r="92">
          <cell r="A92" t="str">
            <v>BU4701926</v>
          </cell>
          <cell r="B92" t="str">
            <v xml:space="preserve">Living Promise-graded                   </v>
          </cell>
          <cell r="C92" t="str">
            <v>Gregory Teipel</v>
          </cell>
          <cell r="D92">
            <v>152.55000000000001</v>
          </cell>
        </row>
        <row r="93">
          <cell r="A93" t="str">
            <v>915616-96</v>
          </cell>
          <cell r="B93" t="str">
            <v>Medicare Supplement Plan G</v>
          </cell>
          <cell r="C93" t="str">
            <v>Carol Foley</v>
          </cell>
          <cell r="D93">
            <v>183.59</v>
          </cell>
        </row>
        <row r="94">
          <cell r="A94" t="str">
            <v>BU3867395</v>
          </cell>
          <cell r="B94" t="str">
            <v>Term Life Express 10 15 20 30</v>
          </cell>
          <cell r="C94" t="str">
            <v>Adam Richter</v>
          </cell>
          <cell r="D94">
            <v>58.3</v>
          </cell>
        </row>
        <row r="95">
          <cell r="A95" t="str">
            <v>BU4659472</v>
          </cell>
          <cell r="B95" t="str">
            <v xml:space="preserve">Children S - Whole Life                 </v>
          </cell>
          <cell r="C95" t="str">
            <v>Gregory Teipel</v>
          </cell>
          <cell r="D95">
            <v>34.75</v>
          </cell>
        </row>
        <row r="96">
          <cell r="A96" t="str">
            <v>497307-41</v>
          </cell>
          <cell r="B96" t="str">
            <v xml:space="preserve">Protection  Plan (c) Dnt5e              </v>
          </cell>
          <cell r="C96" t="str">
            <v>Jared Kinyua</v>
          </cell>
          <cell r="D96">
            <v>34.39</v>
          </cell>
        </row>
        <row r="97">
          <cell r="A97" t="str">
            <v>BU4960769</v>
          </cell>
          <cell r="B97" t="str">
            <v>Iul Express</v>
          </cell>
          <cell r="C97" t="str">
            <v>Gregory Teipel</v>
          </cell>
          <cell r="D97">
            <v>66.09</v>
          </cell>
        </row>
        <row r="98">
          <cell r="A98" t="str">
            <v>BU5640899</v>
          </cell>
          <cell r="B98" t="str">
            <v>Tle 20-20yr Guar</v>
          </cell>
          <cell r="C98" t="str">
            <v>Matthew Daugherty</v>
          </cell>
          <cell r="D98">
            <v>80.66</v>
          </cell>
        </row>
        <row r="99">
          <cell r="A99" t="str">
            <v>BU6283309</v>
          </cell>
          <cell r="B99" t="str">
            <v>Tle 20-20yr Guar</v>
          </cell>
          <cell r="C99" t="str">
            <v>Ryan Caltagirone</v>
          </cell>
          <cell r="D99">
            <v>42.05</v>
          </cell>
        </row>
        <row r="100">
          <cell r="A100" t="str">
            <v>BU4714531</v>
          </cell>
          <cell r="B100" t="str">
            <v xml:space="preserve">Living Promise - Level  Benefit         </v>
          </cell>
          <cell r="C100" t="str">
            <v>Ryan Caltagirone</v>
          </cell>
          <cell r="D100">
            <v>89.49</v>
          </cell>
        </row>
        <row r="101">
          <cell r="A101" t="str">
            <v>BU4521007</v>
          </cell>
          <cell r="B101" t="str">
            <v>Term Life Express 10 15 20 30</v>
          </cell>
          <cell r="C101" t="str">
            <v>Matthew Daugherty</v>
          </cell>
          <cell r="D101">
            <v>77.27</v>
          </cell>
        </row>
        <row r="102">
          <cell r="A102" t="str">
            <v>BU5636812</v>
          </cell>
          <cell r="B102" t="str">
            <v>Tle 20-20yr Guar</v>
          </cell>
          <cell r="C102" t="str">
            <v>Ryan Caltagirone</v>
          </cell>
          <cell r="D102">
            <v>65.28</v>
          </cell>
        </row>
        <row r="103">
          <cell r="A103" t="str">
            <v>BU4431701</v>
          </cell>
          <cell r="B103" t="str">
            <v>Term Life Express 10 15 20 30</v>
          </cell>
          <cell r="C103" t="str">
            <v>Gregory Teipel</v>
          </cell>
          <cell r="D103">
            <v>86.37</v>
          </cell>
        </row>
        <row r="104">
          <cell r="A104" t="str">
            <v>BU4855055</v>
          </cell>
          <cell r="B104" t="str">
            <v>Term Life Express 10 15 20 30</v>
          </cell>
          <cell r="C104" t="str">
            <v>Gregory Teipel</v>
          </cell>
          <cell r="D104">
            <v>86.69</v>
          </cell>
        </row>
        <row r="105">
          <cell r="A105" t="str">
            <v>BU4405645</v>
          </cell>
          <cell r="B105" t="str">
            <v>Term Life Express 10 15 20 30</v>
          </cell>
          <cell r="C105" t="str">
            <v>Matthew Daugherty</v>
          </cell>
          <cell r="D105">
            <v>173.55</v>
          </cell>
        </row>
        <row r="106">
          <cell r="A106" t="str">
            <v>BU4512893</v>
          </cell>
          <cell r="B106" t="str">
            <v>Iul Express</v>
          </cell>
          <cell r="C106" t="str">
            <v>Ryan Caltagirone</v>
          </cell>
          <cell r="D106">
            <v>110</v>
          </cell>
        </row>
        <row r="107">
          <cell r="A107" t="str">
            <v>BU6409083</v>
          </cell>
          <cell r="B107" t="str">
            <v>Iul Express</v>
          </cell>
          <cell r="C107" t="str">
            <v>Ryan Caltagirone</v>
          </cell>
          <cell r="D107">
            <v>90.88</v>
          </cell>
        </row>
        <row r="108">
          <cell r="A108" t="str">
            <v>722082-97</v>
          </cell>
          <cell r="B108" t="str">
            <v>Medicare Supplement Plan G</v>
          </cell>
          <cell r="C108" t="str">
            <v>Gregory Teipel</v>
          </cell>
          <cell r="D108">
            <v>197.61</v>
          </cell>
        </row>
        <row r="109">
          <cell r="A109" t="str">
            <v>415807-41</v>
          </cell>
          <cell r="B109" t="str">
            <v xml:space="preserve">Preferred Plan (a) Dnt2e                </v>
          </cell>
          <cell r="C109" t="str">
            <v>Victor Fuentes</v>
          </cell>
          <cell r="D109">
            <v>72.33</v>
          </cell>
        </row>
        <row r="110">
          <cell r="A110" t="str">
            <v>BU4935778</v>
          </cell>
          <cell r="B110" t="str">
            <v>Iul Express</v>
          </cell>
          <cell r="C110" t="str">
            <v>Ryan Caltagirone</v>
          </cell>
          <cell r="D110">
            <v>191.82</v>
          </cell>
        </row>
        <row r="111">
          <cell r="A111" t="str">
            <v>BU5199695</v>
          </cell>
          <cell r="B111" t="str">
            <v>Iul Express</v>
          </cell>
          <cell r="C111" t="str">
            <v>Ryan Caltagirone</v>
          </cell>
          <cell r="D111">
            <v>174.77</v>
          </cell>
        </row>
        <row r="112">
          <cell r="A112" t="str">
            <v>BU5066974</v>
          </cell>
          <cell r="B112" t="str">
            <v xml:space="preserve">Living Promise - Level  Benefit         </v>
          </cell>
          <cell r="C112" t="str">
            <v>Victor Fuentes</v>
          </cell>
          <cell r="D112">
            <v>74.45</v>
          </cell>
        </row>
        <row r="113">
          <cell r="A113" t="str">
            <v>759136-96</v>
          </cell>
          <cell r="B113" t="str">
            <v>Critical Illness 2014 Ia - Lump Sum Crit</v>
          </cell>
          <cell r="C113" t="str">
            <v>Jason Hoffmann</v>
          </cell>
          <cell r="D113">
            <v>84</v>
          </cell>
        </row>
        <row r="114">
          <cell r="A114" t="str">
            <v>BU5174297</v>
          </cell>
          <cell r="B114" t="str">
            <v>Tle 20-20yr Guar</v>
          </cell>
          <cell r="C114" t="str">
            <v>Ryan Caltagirone</v>
          </cell>
          <cell r="D114">
            <v>221.49</v>
          </cell>
        </row>
        <row r="115">
          <cell r="A115" t="str">
            <v>BU6212432</v>
          </cell>
          <cell r="B115" t="str">
            <v>Term Life Express 10 15 20 30</v>
          </cell>
          <cell r="C115" t="str">
            <v>Matthew Daugherty</v>
          </cell>
          <cell r="D115">
            <v>193.84</v>
          </cell>
        </row>
        <row r="116">
          <cell r="A116" t="str">
            <v>BU5274800</v>
          </cell>
          <cell r="B116" t="str">
            <v>Term Life Express 10 15 20 30</v>
          </cell>
          <cell r="C116" t="str">
            <v>Ryan Caltagirone</v>
          </cell>
          <cell r="D116">
            <v>34.380000000000003</v>
          </cell>
        </row>
        <row r="117">
          <cell r="A117" t="str">
            <v>BU5471174</v>
          </cell>
          <cell r="B117" t="str">
            <v>Term Life Express 10 15 20 30</v>
          </cell>
          <cell r="C117" t="str">
            <v>Matthew Daugherty</v>
          </cell>
          <cell r="D117">
            <v>179.11</v>
          </cell>
        </row>
        <row r="118">
          <cell r="A118" t="str">
            <v>BU6386412</v>
          </cell>
          <cell r="B118" t="str">
            <v xml:space="preserve">Living Promise-graded                   </v>
          </cell>
          <cell r="C118" t="str">
            <v>Gary Portugal</v>
          </cell>
          <cell r="D118">
            <v>114.04</v>
          </cell>
        </row>
        <row r="119">
          <cell r="A119" t="str">
            <v>BU4973730</v>
          </cell>
          <cell r="B119" t="str">
            <v>Iul Express</v>
          </cell>
          <cell r="C119" t="str">
            <v>Ronald Max</v>
          </cell>
          <cell r="D119">
            <v>827.88</v>
          </cell>
        </row>
        <row r="120">
          <cell r="A120" t="str">
            <v>BU4287816</v>
          </cell>
          <cell r="B120" t="str">
            <v>Iul Express</v>
          </cell>
          <cell r="C120" t="str">
            <v>Ryan Caltagirone</v>
          </cell>
          <cell r="D120">
            <v>276.48</v>
          </cell>
        </row>
        <row r="121">
          <cell r="A121" t="str">
            <v>BU4767839</v>
          </cell>
          <cell r="B121" t="str">
            <v>Term Life Express 10 15 20 30</v>
          </cell>
          <cell r="C121" t="str">
            <v>Gregory Teipel</v>
          </cell>
          <cell r="D121">
            <v>272.87</v>
          </cell>
        </row>
        <row r="122">
          <cell r="A122" t="str">
            <v>BU5264787</v>
          </cell>
          <cell r="B122" t="str">
            <v>Term Life Express 10 15 20 30</v>
          </cell>
          <cell r="C122" t="str">
            <v>Matthew Daugherty</v>
          </cell>
          <cell r="D122">
            <v>70.59</v>
          </cell>
        </row>
        <row r="123">
          <cell r="A123" t="str">
            <v>BU4818598</v>
          </cell>
          <cell r="B123" t="str">
            <v>Tle 20-20yr Guar</v>
          </cell>
          <cell r="C123" t="str">
            <v>Ryan Caltagirone</v>
          </cell>
          <cell r="D123">
            <v>113.57</v>
          </cell>
        </row>
        <row r="124">
          <cell r="A124" t="str">
            <v>BU4269815</v>
          </cell>
          <cell r="B124" t="str">
            <v>Iul Express</v>
          </cell>
          <cell r="C124" t="str">
            <v>Gregory Teipel</v>
          </cell>
          <cell r="D124">
            <v>321.93</v>
          </cell>
        </row>
        <row r="125">
          <cell r="A125" t="str">
            <v>BU4326380</v>
          </cell>
          <cell r="B125" t="str">
            <v>Term Life Express 10 15 20 30</v>
          </cell>
          <cell r="C125" t="str">
            <v>Matthew Daugherty</v>
          </cell>
          <cell r="D125">
            <v>176.75</v>
          </cell>
        </row>
        <row r="126">
          <cell r="A126" t="str">
            <v>BU4975536</v>
          </cell>
          <cell r="B126" t="str">
            <v>Iul Express</v>
          </cell>
          <cell r="C126" t="str">
            <v>Gregory Teipel</v>
          </cell>
          <cell r="D126">
            <v>171.54</v>
          </cell>
        </row>
        <row r="127">
          <cell r="A127" t="str">
            <v>548688-97</v>
          </cell>
          <cell r="B127" t="str">
            <v>Medicare Supplement Plan G</v>
          </cell>
          <cell r="C127" t="str">
            <v>Gregory Teipel</v>
          </cell>
          <cell r="D127">
            <v>199.91</v>
          </cell>
        </row>
        <row r="128">
          <cell r="A128" t="str">
            <v>BU4872144</v>
          </cell>
          <cell r="B128" t="str">
            <v>Term Life Express 10 15 20 30</v>
          </cell>
          <cell r="C128" t="str">
            <v>Gregory Teipel</v>
          </cell>
          <cell r="D128">
            <v>300.51</v>
          </cell>
        </row>
        <row r="129">
          <cell r="A129" t="str">
            <v>BU6285679</v>
          </cell>
          <cell r="B129" t="str">
            <v>Iul Express</v>
          </cell>
          <cell r="C129" t="str">
            <v>Matthew Daugherty</v>
          </cell>
          <cell r="D129">
            <v>233.74</v>
          </cell>
        </row>
        <row r="130">
          <cell r="A130" t="str">
            <v>BU4959472</v>
          </cell>
          <cell r="B130" t="str">
            <v>Term Life Express 10 15 20 30</v>
          </cell>
          <cell r="C130" t="str">
            <v>Gregory Teipel</v>
          </cell>
          <cell r="D130">
            <v>144.36000000000001</v>
          </cell>
        </row>
        <row r="131">
          <cell r="A131" t="str">
            <v>BU3884506</v>
          </cell>
          <cell r="B131" t="str">
            <v>Term Life Express 10 15 20 30</v>
          </cell>
          <cell r="C131" t="str">
            <v>Ashley Teipel</v>
          </cell>
          <cell r="D131">
            <v>117.59</v>
          </cell>
        </row>
        <row r="132">
          <cell r="A132" t="str">
            <v>BU6252355</v>
          </cell>
          <cell r="B132" t="str">
            <v>Iul Express</v>
          </cell>
          <cell r="C132" t="str">
            <v>Gregory Teipel</v>
          </cell>
          <cell r="D132">
            <v>309.25</v>
          </cell>
        </row>
        <row r="133">
          <cell r="A133" t="str">
            <v>BU4166114</v>
          </cell>
          <cell r="B133" t="str">
            <v>Term Life Express 10 15 20 30</v>
          </cell>
          <cell r="C133" t="str">
            <v>Adam Richter</v>
          </cell>
          <cell r="D133">
            <v>137.77000000000001</v>
          </cell>
        </row>
        <row r="134">
          <cell r="A134" t="str">
            <v>BU4637403</v>
          </cell>
          <cell r="B134" t="str">
            <v>Term Life Express 10 15 20 30</v>
          </cell>
          <cell r="C134" t="str">
            <v>Gregory Teipel</v>
          </cell>
          <cell r="D134">
            <v>138.4</v>
          </cell>
        </row>
        <row r="135">
          <cell r="A135" t="str">
            <v>BU4227413</v>
          </cell>
          <cell r="B135" t="str">
            <v>Iul Express</v>
          </cell>
          <cell r="C135" t="str">
            <v>Gregory Teipel</v>
          </cell>
          <cell r="D135">
            <v>200.81</v>
          </cell>
        </row>
        <row r="136">
          <cell r="A136" t="str">
            <v>385102-97</v>
          </cell>
          <cell r="B136" t="str">
            <v xml:space="preserve">Preferred Plan (a) Dnt2i                </v>
          </cell>
          <cell r="C136" t="str">
            <v>Dale Walenga</v>
          </cell>
          <cell r="D136">
            <v>79.28</v>
          </cell>
        </row>
        <row r="137">
          <cell r="A137" t="str">
            <v>BU5518399</v>
          </cell>
          <cell r="B137" t="str">
            <v xml:space="preserve">Living Promise-graded                   </v>
          </cell>
          <cell r="C137" t="str">
            <v>Gregory Teipel</v>
          </cell>
          <cell r="D137">
            <v>130.72</v>
          </cell>
        </row>
        <row r="138">
          <cell r="A138" t="str">
            <v>BU5101654</v>
          </cell>
          <cell r="B138" t="str">
            <v>Term Life Express 10 15 20 30</v>
          </cell>
          <cell r="C138" t="str">
            <v>Gregory Teipel</v>
          </cell>
          <cell r="D138">
            <v>278.35000000000002</v>
          </cell>
        </row>
        <row r="139">
          <cell r="A139" t="str">
            <v>BU4925327</v>
          </cell>
          <cell r="B139" t="str">
            <v xml:space="preserve">Living Promise-graded                   </v>
          </cell>
          <cell r="C139" t="str">
            <v>Michael Lutz</v>
          </cell>
          <cell r="D139">
            <v>58.92</v>
          </cell>
        </row>
        <row r="140">
          <cell r="A140" t="str">
            <v>473139-97</v>
          </cell>
          <cell r="B140" t="str">
            <v>Medicare Supplement Plan G</v>
          </cell>
          <cell r="C140" t="str">
            <v>Michael Dunavant</v>
          </cell>
          <cell r="D140">
            <v>181.15</v>
          </cell>
        </row>
        <row r="141">
          <cell r="A141" t="str">
            <v>BU4893860</v>
          </cell>
          <cell r="B141" t="str">
            <v xml:space="preserve">Living Promise - Level  Benefit         </v>
          </cell>
          <cell r="C141" t="str">
            <v>Carol Foley</v>
          </cell>
          <cell r="D141">
            <v>284.87</v>
          </cell>
        </row>
        <row r="142">
          <cell r="A142" t="str">
            <v>BU4780391</v>
          </cell>
          <cell r="B142" t="str">
            <v>Iul Express</v>
          </cell>
          <cell r="C142" t="str">
            <v>Gregory Teipel</v>
          </cell>
          <cell r="D142">
            <v>1330.56</v>
          </cell>
        </row>
        <row r="143">
          <cell r="A143" t="str">
            <v>BU6269163</v>
          </cell>
          <cell r="B143" t="str">
            <v>Iul Express</v>
          </cell>
          <cell r="C143" t="str">
            <v>Gregory Teipel</v>
          </cell>
          <cell r="D143">
            <v>296.8</v>
          </cell>
        </row>
        <row r="144">
          <cell r="A144" t="str">
            <v>708548-97</v>
          </cell>
          <cell r="B144" t="str">
            <v xml:space="preserve">Preferred Plan (a) Dnt2b                </v>
          </cell>
          <cell r="C144" t="str">
            <v>Jacob Yale</v>
          </cell>
          <cell r="D144">
            <v>57.22</v>
          </cell>
        </row>
        <row r="145">
          <cell r="A145" t="str">
            <v>BU5001531</v>
          </cell>
          <cell r="B145" t="str">
            <v>Term Life Express 10 15 20 30</v>
          </cell>
          <cell r="C145" t="str">
            <v>Matthew Daugherty</v>
          </cell>
          <cell r="D145">
            <v>250.45</v>
          </cell>
        </row>
        <row r="146">
          <cell r="A146" t="str">
            <v>BU6328041</v>
          </cell>
          <cell r="B146" t="str">
            <v>Iul Express</v>
          </cell>
          <cell r="C146" t="str">
            <v>Gregory Teipel</v>
          </cell>
          <cell r="D146">
            <v>186.64</v>
          </cell>
        </row>
        <row r="147">
          <cell r="A147" t="str">
            <v>BU5323954</v>
          </cell>
          <cell r="B147" t="str">
            <v>Iul Express</v>
          </cell>
          <cell r="C147" t="str">
            <v>Gregory Teipel</v>
          </cell>
          <cell r="D147">
            <v>366</v>
          </cell>
        </row>
        <row r="148">
          <cell r="A148" t="str">
            <v>BU4384335</v>
          </cell>
          <cell r="B148" t="str">
            <v>Term Life Express 10 15 20 30</v>
          </cell>
          <cell r="C148" t="str">
            <v>Gregory Teipel</v>
          </cell>
          <cell r="D148">
            <v>138.57</v>
          </cell>
        </row>
        <row r="149">
          <cell r="A149" t="str">
            <v>BU6431509</v>
          </cell>
          <cell r="B149" t="str">
            <v>Iul Express</v>
          </cell>
          <cell r="C149" t="str">
            <v>Matthew Daugherty</v>
          </cell>
          <cell r="D149">
            <v>458.53</v>
          </cell>
        </row>
        <row r="150">
          <cell r="A150" t="str">
            <v>BU5345147</v>
          </cell>
          <cell r="B150" t="str">
            <v>Iul Express</v>
          </cell>
          <cell r="C150" t="str">
            <v>Ryan Caltagirone</v>
          </cell>
          <cell r="D150">
            <v>76.760000000000005</v>
          </cell>
        </row>
        <row r="151">
          <cell r="A151" t="str">
            <v>BU4878416</v>
          </cell>
          <cell r="B151" t="str">
            <v>Iul Express</v>
          </cell>
          <cell r="C151" t="str">
            <v>Gregory Teipel</v>
          </cell>
          <cell r="D151">
            <v>162.01</v>
          </cell>
        </row>
        <row r="152">
          <cell r="A152" t="str">
            <v>BU5159761</v>
          </cell>
          <cell r="B152" t="str">
            <v>Iul Express</v>
          </cell>
          <cell r="C152" t="str">
            <v>Ryan Caltagirone</v>
          </cell>
          <cell r="D152">
            <v>252.77</v>
          </cell>
        </row>
        <row r="153">
          <cell r="A153" t="str">
            <v>BU4458927</v>
          </cell>
          <cell r="B153" t="str">
            <v>Term Life Express 10 15 20 30</v>
          </cell>
          <cell r="C153" t="str">
            <v>Matthew Daugherty</v>
          </cell>
          <cell r="D153">
            <v>69.42</v>
          </cell>
        </row>
        <row r="154">
          <cell r="A154" t="str">
            <v>BU5255661</v>
          </cell>
          <cell r="B154" t="str">
            <v>Iul Express</v>
          </cell>
          <cell r="C154" t="str">
            <v>Gregory Teipel</v>
          </cell>
          <cell r="D154">
            <v>160.63</v>
          </cell>
        </row>
        <row r="155">
          <cell r="A155" t="str">
            <v>BU6466049</v>
          </cell>
          <cell r="B155" t="str">
            <v>Term Life Express 10 15 20 30</v>
          </cell>
          <cell r="C155" t="str">
            <v>Steven Brandt</v>
          </cell>
          <cell r="D155">
            <v>156.28</v>
          </cell>
        </row>
        <row r="156">
          <cell r="A156" t="str">
            <v>BU4227390</v>
          </cell>
          <cell r="B156" t="str">
            <v>Iul Express</v>
          </cell>
          <cell r="C156" t="str">
            <v>Ryan Caltagirone</v>
          </cell>
          <cell r="D156">
            <v>158</v>
          </cell>
        </row>
        <row r="157">
          <cell r="A157" t="str">
            <v>BU6401237</v>
          </cell>
          <cell r="B157" t="str">
            <v>Term Life Express 10 15 20 30</v>
          </cell>
          <cell r="C157" t="str">
            <v>Gregory Teipel</v>
          </cell>
          <cell r="D157">
            <v>278.35000000000002</v>
          </cell>
        </row>
        <row r="158">
          <cell r="A158" t="str">
            <v>BU5103089</v>
          </cell>
          <cell r="B158" t="str">
            <v>Iul Express</v>
          </cell>
          <cell r="C158" t="str">
            <v>Nasandelger Zana</v>
          </cell>
          <cell r="D158">
            <v>71.709999999999994</v>
          </cell>
        </row>
        <row r="159">
          <cell r="A159" t="str">
            <v>BU4438009</v>
          </cell>
          <cell r="B159" t="str">
            <v>Iul Express</v>
          </cell>
          <cell r="C159" t="str">
            <v>Gregory Teipel</v>
          </cell>
          <cell r="D159">
            <v>84.74</v>
          </cell>
        </row>
        <row r="160">
          <cell r="A160" t="str">
            <v>673405-97</v>
          </cell>
          <cell r="B160" t="str">
            <v xml:space="preserve">Preferred Plan (a) Dnt2e                </v>
          </cell>
          <cell r="C160" t="str">
            <v>Dale Walenga</v>
          </cell>
          <cell r="D160">
            <v>68.56</v>
          </cell>
        </row>
        <row r="161">
          <cell r="A161" t="str">
            <v>BU4116217</v>
          </cell>
          <cell r="B161" t="str">
            <v>Iul Express</v>
          </cell>
          <cell r="C161" t="str">
            <v>Ryan Caltagirone</v>
          </cell>
          <cell r="D161">
            <v>2735.88</v>
          </cell>
        </row>
        <row r="162">
          <cell r="A162" t="str">
            <v>BU6398368</v>
          </cell>
          <cell r="B162" t="str">
            <v xml:space="preserve">Children S - Whole Life                 </v>
          </cell>
          <cell r="C162" t="str">
            <v>Gary Portugal</v>
          </cell>
          <cell r="D162">
            <v>26.75</v>
          </cell>
        </row>
        <row r="163">
          <cell r="A163" t="str">
            <v>BU5062646</v>
          </cell>
          <cell r="B163" t="str">
            <v xml:space="preserve">Living Promise - Level  Benefit         </v>
          </cell>
          <cell r="C163" t="str">
            <v>Gary Portugal</v>
          </cell>
          <cell r="D163">
            <v>137.37</v>
          </cell>
        </row>
        <row r="164">
          <cell r="A164" t="str">
            <v>BU5521064</v>
          </cell>
          <cell r="B164" t="str">
            <v>Iul Express</v>
          </cell>
          <cell r="C164" t="str">
            <v>Ryan Caltagirone</v>
          </cell>
          <cell r="D164">
            <v>277.95999999999998</v>
          </cell>
        </row>
        <row r="165">
          <cell r="A165" t="str">
            <v>BU4732784</v>
          </cell>
          <cell r="B165" t="str">
            <v>Term Life Express 10 15 20 30</v>
          </cell>
          <cell r="C165" t="str">
            <v>Gregory Teipel</v>
          </cell>
          <cell r="D165">
            <v>229.18</v>
          </cell>
        </row>
        <row r="166">
          <cell r="A166" t="str">
            <v>BU4474389</v>
          </cell>
          <cell r="B166" t="str">
            <v>Term Life Express 10 15 20 30</v>
          </cell>
          <cell r="C166" t="str">
            <v>Matthew Daugherty</v>
          </cell>
          <cell r="D166">
            <v>75.83</v>
          </cell>
        </row>
        <row r="167">
          <cell r="A167" t="str">
            <v>BU4439406</v>
          </cell>
          <cell r="B167" t="str">
            <v>Term Life</v>
          </cell>
          <cell r="C167" t="str">
            <v>Matthew Daugherty</v>
          </cell>
          <cell r="D167">
            <v>205.68</v>
          </cell>
        </row>
        <row r="168">
          <cell r="A168" t="str">
            <v>BU5340838</v>
          </cell>
          <cell r="B168" t="str">
            <v>Iul Express</v>
          </cell>
          <cell r="C168" t="str">
            <v>Gregory Teipel</v>
          </cell>
          <cell r="D168">
            <v>152.07</v>
          </cell>
        </row>
        <row r="169">
          <cell r="A169" t="str">
            <v>BU4314003</v>
          </cell>
          <cell r="B169" t="str">
            <v>Term Life Express 10 15 20 30</v>
          </cell>
          <cell r="C169" t="str">
            <v>Gregory Teipel</v>
          </cell>
          <cell r="D169">
            <v>323.74</v>
          </cell>
        </row>
        <row r="170">
          <cell r="A170" t="str">
            <v>BU5546843</v>
          </cell>
          <cell r="B170" t="str">
            <v>Term Life Express 10 15 20 30</v>
          </cell>
          <cell r="C170" t="str">
            <v>Matthew Daugherty</v>
          </cell>
          <cell r="D170">
            <v>62.21</v>
          </cell>
        </row>
        <row r="171">
          <cell r="A171" t="str">
            <v>BU4060472</v>
          </cell>
          <cell r="B171" t="str">
            <v>Iul Express</v>
          </cell>
          <cell r="C171" t="str">
            <v>Gregory Teipel</v>
          </cell>
          <cell r="D171">
            <v>125</v>
          </cell>
        </row>
        <row r="172">
          <cell r="A172" t="str">
            <v>BU4611957</v>
          </cell>
          <cell r="B172" t="str">
            <v>Iul Express</v>
          </cell>
          <cell r="C172" t="str">
            <v>Deborah Inskipt</v>
          </cell>
          <cell r="D172">
            <v>123.97</v>
          </cell>
        </row>
        <row r="173">
          <cell r="A173" t="str">
            <v>BU4325037</v>
          </cell>
          <cell r="B173" t="str">
            <v>Term Life Express 10 15 20 30</v>
          </cell>
          <cell r="C173" t="str">
            <v>Matthew Daugherty</v>
          </cell>
          <cell r="D173">
            <v>80.63</v>
          </cell>
        </row>
        <row r="174">
          <cell r="A174" t="str">
            <v>BU4299372</v>
          </cell>
          <cell r="B174" t="str">
            <v>Iul Express</v>
          </cell>
          <cell r="C174" t="str">
            <v>Colleen Finnigan</v>
          </cell>
          <cell r="D174">
            <v>125</v>
          </cell>
        </row>
        <row r="175">
          <cell r="A175" t="str">
            <v>BU4488531</v>
          </cell>
          <cell r="B175" t="str">
            <v>Term Life Express 10 15 20 30</v>
          </cell>
          <cell r="C175" t="str">
            <v>Matthew Daugherty</v>
          </cell>
          <cell r="D175">
            <v>364.46</v>
          </cell>
        </row>
        <row r="176">
          <cell r="A176" t="str">
            <v>BU4508054</v>
          </cell>
          <cell r="B176" t="str">
            <v>Tle 20-20yr Guar</v>
          </cell>
          <cell r="C176" t="str">
            <v>Matthew Daugherty</v>
          </cell>
          <cell r="D176">
            <v>104.22</v>
          </cell>
        </row>
        <row r="177">
          <cell r="A177" t="str">
            <v>BU5508002</v>
          </cell>
          <cell r="B177" t="str">
            <v>Term Life Express 10 15 20 30</v>
          </cell>
          <cell r="C177" t="str">
            <v>Colleen Finnigan</v>
          </cell>
          <cell r="D177">
            <v>245.51</v>
          </cell>
        </row>
        <row r="178">
          <cell r="A178" t="str">
            <v>BU5274718</v>
          </cell>
          <cell r="B178" t="str">
            <v>Term Life Express 10 15 20 30</v>
          </cell>
          <cell r="C178" t="str">
            <v>Ryan Caltagirone</v>
          </cell>
          <cell r="D178">
            <v>47.62</v>
          </cell>
        </row>
        <row r="179">
          <cell r="A179" t="str">
            <v>340193-41</v>
          </cell>
          <cell r="B179" t="str">
            <v xml:space="preserve">Preferred Plan (a) Dnt2i                </v>
          </cell>
          <cell r="C179" t="str">
            <v>Richard Yale</v>
          </cell>
          <cell r="D179">
            <v>79.28</v>
          </cell>
        </row>
        <row r="180">
          <cell r="A180" t="str">
            <v>502942-97</v>
          </cell>
          <cell r="B180" t="str">
            <v>Medicare Supplement Plan G</v>
          </cell>
          <cell r="C180" t="str">
            <v>Michael Dunavant</v>
          </cell>
          <cell r="D180">
            <v>218.5</v>
          </cell>
        </row>
        <row r="181">
          <cell r="A181" t="str">
            <v>BU6212512</v>
          </cell>
          <cell r="B181" t="str">
            <v>Term Life Express 10 15 20 30</v>
          </cell>
          <cell r="C181" t="str">
            <v>Matthew Daugherty</v>
          </cell>
          <cell r="D181">
            <v>182.98</v>
          </cell>
        </row>
        <row r="182">
          <cell r="A182" t="str">
            <v>BU4325161</v>
          </cell>
          <cell r="B182" t="str">
            <v>Term Life Express 10 15 20 30</v>
          </cell>
          <cell r="C182" t="str">
            <v>Matthew Daugherty</v>
          </cell>
          <cell r="D182">
            <v>113.03</v>
          </cell>
        </row>
        <row r="183">
          <cell r="A183" t="str">
            <v>BU5146814</v>
          </cell>
          <cell r="B183" t="str">
            <v xml:space="preserve">Living Promise - Level  Benefit         </v>
          </cell>
          <cell r="C183" t="str">
            <v>Frank Liskovec</v>
          </cell>
          <cell r="D183">
            <v>55</v>
          </cell>
        </row>
        <row r="184">
          <cell r="A184" t="str">
            <v>BU4671853</v>
          </cell>
          <cell r="B184" t="str">
            <v>Term Life Express 10 15 20 30</v>
          </cell>
          <cell r="C184" t="str">
            <v>Ryan Caltagirone</v>
          </cell>
          <cell r="D184">
            <v>112.81</v>
          </cell>
        </row>
        <row r="185">
          <cell r="A185" t="str">
            <v>BU6476892</v>
          </cell>
          <cell r="B185" t="str">
            <v>Iul Express</v>
          </cell>
          <cell r="C185" t="str">
            <v>Adam Richter</v>
          </cell>
          <cell r="D185">
            <v>164.95</v>
          </cell>
        </row>
        <row r="186">
          <cell r="A186" t="str">
            <v>BU4992710</v>
          </cell>
          <cell r="B186" t="str">
            <v>Term Life Express 10 15 20 30</v>
          </cell>
          <cell r="C186" t="str">
            <v>Matthew Daugherty</v>
          </cell>
          <cell r="D186">
            <v>72.540000000000006</v>
          </cell>
        </row>
        <row r="187">
          <cell r="A187" t="str">
            <v>BU4705402</v>
          </cell>
          <cell r="B187" t="str">
            <v>Term Life Express 10 15 20 30</v>
          </cell>
          <cell r="C187" t="str">
            <v>Ryan Caltagirone</v>
          </cell>
          <cell r="D187">
            <v>91.5</v>
          </cell>
        </row>
        <row r="188">
          <cell r="A188" t="str">
            <v>BU5164017</v>
          </cell>
          <cell r="B188" t="str">
            <v>Iul Express</v>
          </cell>
          <cell r="C188" t="str">
            <v>Ryan Caltagirone</v>
          </cell>
          <cell r="D188">
            <v>163.63999999999999</v>
          </cell>
        </row>
        <row r="189">
          <cell r="A189" t="str">
            <v>BU4675070</v>
          </cell>
          <cell r="B189" t="str">
            <v>Tle 20-20yr Guar</v>
          </cell>
          <cell r="C189" t="str">
            <v>Gregory Teipel</v>
          </cell>
          <cell r="D189">
            <v>179.11</v>
          </cell>
        </row>
        <row r="190">
          <cell r="A190" t="str">
            <v>BU4125376</v>
          </cell>
          <cell r="B190" t="str">
            <v>Term Life Express 10 15 20 30</v>
          </cell>
          <cell r="C190" t="str">
            <v>Adam Richter</v>
          </cell>
          <cell r="D190">
            <v>108.09</v>
          </cell>
        </row>
        <row r="191">
          <cell r="A191" t="str">
            <v>BU4730873</v>
          </cell>
          <cell r="B191" t="str">
            <v>Iul Express</v>
          </cell>
          <cell r="C191" t="str">
            <v>Ryan Caltagirone</v>
          </cell>
          <cell r="D191">
            <v>114.52</v>
          </cell>
        </row>
        <row r="192">
          <cell r="A192" t="str">
            <v>BU4730858</v>
          </cell>
          <cell r="B192" t="str">
            <v>Iul Express</v>
          </cell>
          <cell r="C192" t="str">
            <v>Gregory Teipel</v>
          </cell>
          <cell r="D192">
            <v>275.91000000000003</v>
          </cell>
        </row>
        <row r="193">
          <cell r="A193" t="str">
            <v>BU5516959</v>
          </cell>
          <cell r="B193" t="str">
            <v>Iul Express</v>
          </cell>
          <cell r="C193" t="str">
            <v>Ryan Caltagirone</v>
          </cell>
          <cell r="D193">
            <v>114.92</v>
          </cell>
        </row>
        <row r="194">
          <cell r="A194" t="str">
            <v>BU6472409</v>
          </cell>
          <cell r="B194" t="str">
            <v>Iul Express</v>
          </cell>
          <cell r="C194" t="str">
            <v>Adam Richter</v>
          </cell>
          <cell r="D194">
            <v>116.91</v>
          </cell>
        </row>
        <row r="195">
          <cell r="A195" t="str">
            <v>BU6362045</v>
          </cell>
          <cell r="B195" t="str">
            <v>Iul Express</v>
          </cell>
          <cell r="C195" t="str">
            <v>Ryan Caltagirone</v>
          </cell>
          <cell r="D195">
            <v>123.26</v>
          </cell>
        </row>
        <row r="196">
          <cell r="A196" t="str">
            <v>BU6464552</v>
          </cell>
          <cell r="B196" t="str">
            <v>Iul Express</v>
          </cell>
          <cell r="C196" t="str">
            <v>Steven Brandt</v>
          </cell>
          <cell r="D196">
            <v>91.03</v>
          </cell>
        </row>
        <row r="197">
          <cell r="A197" t="str">
            <v>689222-97</v>
          </cell>
          <cell r="B197" t="str">
            <v>Medicare Supplement Plan N</v>
          </cell>
          <cell r="C197" t="str">
            <v>Carol Foley</v>
          </cell>
          <cell r="D197">
            <v>178.26</v>
          </cell>
        </row>
        <row r="198">
          <cell r="A198" t="str">
            <v>BU6244568</v>
          </cell>
          <cell r="B198" t="str">
            <v xml:space="preserve">Living Promise-graded                   </v>
          </cell>
          <cell r="C198" t="str">
            <v>Andrew Choi</v>
          </cell>
          <cell r="D198">
            <v>93.7</v>
          </cell>
        </row>
        <row r="199">
          <cell r="A199" t="str">
            <v>BU4375205</v>
          </cell>
          <cell r="B199" t="str">
            <v>Iul Express</v>
          </cell>
          <cell r="C199" t="str">
            <v>Gregory Teipel</v>
          </cell>
          <cell r="D199">
            <v>180</v>
          </cell>
        </row>
        <row r="200">
          <cell r="A200" t="str">
            <v>637121-96</v>
          </cell>
          <cell r="B200" t="str">
            <v>Medicare Supplement Plan G</v>
          </cell>
          <cell r="C200" t="str">
            <v>Adam Richter</v>
          </cell>
          <cell r="D200">
            <v>168.14</v>
          </cell>
        </row>
        <row r="201">
          <cell r="A201" t="str">
            <v>BU5147631</v>
          </cell>
          <cell r="B201" t="str">
            <v>Term Life Express 10 15 20 30</v>
          </cell>
          <cell r="C201" t="str">
            <v>Ronald Max</v>
          </cell>
          <cell r="D201">
            <v>244.39</v>
          </cell>
        </row>
        <row r="202">
          <cell r="A202" t="str">
            <v>BU5487744</v>
          </cell>
          <cell r="B202" t="str">
            <v>Term Life Express 10 15 20 30</v>
          </cell>
          <cell r="C202" t="str">
            <v>Ryan Caltagirone</v>
          </cell>
          <cell r="D202">
            <v>229.35</v>
          </cell>
        </row>
        <row r="203">
          <cell r="A203" t="str">
            <v>BU4269816</v>
          </cell>
          <cell r="B203" t="str">
            <v>Iul Express</v>
          </cell>
          <cell r="C203" t="str">
            <v>Gregory Teipel</v>
          </cell>
          <cell r="D203">
            <v>195.28</v>
          </cell>
        </row>
        <row r="204">
          <cell r="A204" t="str">
            <v>BU6294052</v>
          </cell>
          <cell r="B204" t="str">
            <v>Iul Express</v>
          </cell>
          <cell r="C204" t="str">
            <v>Matthew Daugherty</v>
          </cell>
          <cell r="D204">
            <v>104.61</v>
          </cell>
        </row>
        <row r="205">
          <cell r="A205" t="str">
            <v>BU5054688</v>
          </cell>
          <cell r="B205" t="str">
            <v>Term Life Express 10 15 20 30</v>
          </cell>
          <cell r="C205" t="str">
            <v>Gregory Teipel</v>
          </cell>
          <cell r="D205">
            <v>63.28</v>
          </cell>
        </row>
        <row r="206">
          <cell r="A206" t="str">
            <v>BU4398521</v>
          </cell>
          <cell r="B206" t="str">
            <v>Term Life Express 10 15 20 30</v>
          </cell>
          <cell r="C206" t="str">
            <v>Matthew Daugherty</v>
          </cell>
          <cell r="D206">
            <v>255.65</v>
          </cell>
        </row>
        <row r="207">
          <cell r="A207" t="str">
            <v>BU3867354</v>
          </cell>
          <cell r="B207" t="str">
            <v>Term Life Express 10 15 20 30</v>
          </cell>
          <cell r="C207" t="str">
            <v>Adam Richter</v>
          </cell>
          <cell r="D207">
            <v>61.81</v>
          </cell>
        </row>
        <row r="208">
          <cell r="A208" t="str">
            <v>BU6231181</v>
          </cell>
          <cell r="B208" t="str">
            <v>Iul Express</v>
          </cell>
          <cell r="C208" t="str">
            <v>Gregory Teipel</v>
          </cell>
          <cell r="D208">
            <v>210.11</v>
          </cell>
        </row>
        <row r="209">
          <cell r="A209" t="str">
            <v>BU5346759</v>
          </cell>
          <cell r="B209" t="str">
            <v>Iul Express</v>
          </cell>
          <cell r="C209" t="str">
            <v>Odmaa Enkhtur</v>
          </cell>
          <cell r="D209">
            <v>100.06</v>
          </cell>
        </row>
        <row r="210">
          <cell r="A210" t="str">
            <v>BU5078620</v>
          </cell>
          <cell r="B210" t="str">
            <v>Iul Express</v>
          </cell>
          <cell r="C210" t="str">
            <v>Gregory Teipel</v>
          </cell>
          <cell r="D210">
            <v>172.71</v>
          </cell>
        </row>
        <row r="211">
          <cell r="A211" t="str">
            <v>583853-97</v>
          </cell>
          <cell r="B211" t="str">
            <v>Medicare Supplement Plan G</v>
          </cell>
          <cell r="C211" t="str">
            <v>Michael Dunavant</v>
          </cell>
          <cell r="D211">
            <v>180.14</v>
          </cell>
        </row>
        <row r="212">
          <cell r="A212" t="str">
            <v>399061-41</v>
          </cell>
          <cell r="B212" t="str">
            <v>Medicare Supplement Plan G</v>
          </cell>
          <cell r="C212" t="str">
            <v>Gregory Teipel</v>
          </cell>
          <cell r="D212">
            <v>153.22</v>
          </cell>
        </row>
        <row r="213">
          <cell r="A213" t="str">
            <v>BU5194609</v>
          </cell>
          <cell r="B213" t="str">
            <v>Iul Express</v>
          </cell>
          <cell r="C213" t="str">
            <v>Gregory Teipel</v>
          </cell>
          <cell r="D213">
            <v>188.82</v>
          </cell>
        </row>
        <row r="214">
          <cell r="A214" t="str">
            <v>483393-41</v>
          </cell>
          <cell r="B214" t="str">
            <v>Medicare Supplement Plan G</v>
          </cell>
          <cell r="C214" t="str">
            <v>Gregory Teipel</v>
          </cell>
          <cell r="D214">
            <v>201.89</v>
          </cell>
        </row>
        <row r="215">
          <cell r="A215" t="str">
            <v>BU4084138</v>
          </cell>
          <cell r="B215" t="str">
            <v>Term Life Express 10 15 20 30</v>
          </cell>
          <cell r="C215" t="str">
            <v>Gregory Teipel</v>
          </cell>
          <cell r="D215">
            <v>208.44</v>
          </cell>
        </row>
        <row r="216">
          <cell r="A216" t="str">
            <v>BU4538333</v>
          </cell>
          <cell r="B216" t="str">
            <v xml:space="preserve">Children S - Whole Life                 </v>
          </cell>
          <cell r="C216" t="str">
            <v>Ryan Caltagirone</v>
          </cell>
          <cell r="D216">
            <v>19.04</v>
          </cell>
        </row>
        <row r="217">
          <cell r="A217" t="str">
            <v>BU5547008</v>
          </cell>
          <cell r="B217" t="str">
            <v>Iul Express</v>
          </cell>
          <cell r="C217" t="str">
            <v>Gregory Teipel</v>
          </cell>
          <cell r="D217">
            <v>202.13</v>
          </cell>
        </row>
        <row r="218">
          <cell r="A218" t="str">
            <v>452527-41</v>
          </cell>
          <cell r="B218" t="str">
            <v>Medicare Supplement Plan G</v>
          </cell>
          <cell r="C218" t="str">
            <v>Gregory Teipel</v>
          </cell>
          <cell r="D218">
            <v>143.68</v>
          </cell>
        </row>
        <row r="219">
          <cell r="A219" t="str">
            <v>BU5238226</v>
          </cell>
          <cell r="B219" t="str">
            <v>Iul Express</v>
          </cell>
          <cell r="C219" t="str">
            <v>Gregory Teipel</v>
          </cell>
          <cell r="D219">
            <v>152.47999999999999</v>
          </cell>
        </row>
        <row r="220">
          <cell r="A220" t="str">
            <v>401788-41</v>
          </cell>
          <cell r="B220" t="str">
            <v>Medicare Supplement Plan G</v>
          </cell>
          <cell r="C220" t="str">
            <v>Jason Roller</v>
          </cell>
          <cell r="D220">
            <v>155.84</v>
          </cell>
        </row>
        <row r="221">
          <cell r="A221" t="str">
            <v>BU6281566</v>
          </cell>
          <cell r="B221" t="str">
            <v>Iul Express</v>
          </cell>
          <cell r="C221" t="str">
            <v>Gregory Teipel</v>
          </cell>
          <cell r="D221">
            <v>211.69</v>
          </cell>
        </row>
        <row r="222">
          <cell r="A222" t="str">
            <v>BU5387139</v>
          </cell>
          <cell r="B222" t="str">
            <v>Tle 20-20yr Guar</v>
          </cell>
          <cell r="C222" t="str">
            <v>Thomas Pardue</v>
          </cell>
          <cell r="D222">
            <v>20.29</v>
          </cell>
        </row>
        <row r="223">
          <cell r="A223" t="str">
            <v>BU6277516</v>
          </cell>
          <cell r="B223" t="str">
            <v>Iul Express</v>
          </cell>
          <cell r="C223" t="str">
            <v>Gregory Teipel</v>
          </cell>
          <cell r="D223">
            <v>126.42</v>
          </cell>
        </row>
        <row r="224">
          <cell r="A224" t="str">
            <v>BU3898458</v>
          </cell>
          <cell r="B224" t="str">
            <v>Term Life Express 10 15 20 30</v>
          </cell>
          <cell r="C224" t="str">
            <v>Jason Hoffmann</v>
          </cell>
          <cell r="D224">
            <v>67.77</v>
          </cell>
        </row>
        <row r="225">
          <cell r="A225" t="str">
            <v>BU5392885</v>
          </cell>
          <cell r="B225" t="str">
            <v>Iul Express</v>
          </cell>
          <cell r="C225" t="str">
            <v>Gregory Teipel</v>
          </cell>
          <cell r="D225">
            <v>179.82</v>
          </cell>
        </row>
        <row r="226">
          <cell r="A226" t="str">
            <v>624106-97</v>
          </cell>
          <cell r="B226" t="str">
            <v>Medicare Supplement Plan G</v>
          </cell>
          <cell r="C226" t="str">
            <v>Michael Dunavant</v>
          </cell>
          <cell r="D226">
            <v>113.86</v>
          </cell>
        </row>
        <row r="227">
          <cell r="A227" t="str">
            <v>BU4736235</v>
          </cell>
          <cell r="B227" t="str">
            <v>Term Life Express 10 15 20 30</v>
          </cell>
          <cell r="C227" t="str">
            <v>Gregory Teipel</v>
          </cell>
          <cell r="D227">
            <v>64.37</v>
          </cell>
        </row>
        <row r="228">
          <cell r="A228" t="str">
            <v>BU6222083</v>
          </cell>
          <cell r="B228" t="str">
            <v>Iul Express</v>
          </cell>
          <cell r="C228" t="str">
            <v>Gregory Teipel</v>
          </cell>
          <cell r="D228">
            <v>258.06</v>
          </cell>
        </row>
        <row r="229">
          <cell r="A229" t="str">
            <v>BU6269156</v>
          </cell>
          <cell r="B229" t="str">
            <v>Iul Express</v>
          </cell>
          <cell r="C229" t="str">
            <v>Gregory Teipel</v>
          </cell>
          <cell r="D229">
            <v>265.99</v>
          </cell>
        </row>
        <row r="230">
          <cell r="A230" t="str">
            <v>BU5539523</v>
          </cell>
          <cell r="B230" t="str">
            <v>Term Life Express 10 15 20 30</v>
          </cell>
          <cell r="C230" t="str">
            <v>Gregory Teipel</v>
          </cell>
          <cell r="D230">
            <v>245.51</v>
          </cell>
        </row>
        <row r="231">
          <cell r="A231" t="str">
            <v>BU5619694</v>
          </cell>
          <cell r="B231" t="str">
            <v xml:space="preserve">Living Promise - Level  Benefit         </v>
          </cell>
          <cell r="C231" t="str">
            <v>Deborah Inskipt</v>
          </cell>
          <cell r="D231">
            <v>59.91</v>
          </cell>
        </row>
        <row r="232">
          <cell r="A232" t="str">
            <v>BU5065025</v>
          </cell>
          <cell r="B232" t="str">
            <v>Term Life Express 10 15 20 30</v>
          </cell>
          <cell r="C232" t="str">
            <v>Ricardo Santos</v>
          </cell>
          <cell r="D232">
            <v>41.61</v>
          </cell>
        </row>
        <row r="233">
          <cell r="A233" t="str">
            <v>BU3882061</v>
          </cell>
          <cell r="B233" t="str">
            <v>Term Life Express 10 15 20 30</v>
          </cell>
          <cell r="C233" t="str">
            <v>Ashley Teipel</v>
          </cell>
          <cell r="D233">
            <v>130.21</v>
          </cell>
        </row>
        <row r="234">
          <cell r="A234" t="str">
            <v>BU5268999</v>
          </cell>
          <cell r="B234" t="str">
            <v>Iul Express</v>
          </cell>
          <cell r="C234" t="str">
            <v>Gregory Teipel</v>
          </cell>
          <cell r="D234">
            <v>193.43</v>
          </cell>
        </row>
        <row r="235">
          <cell r="A235" t="str">
            <v>466381-41</v>
          </cell>
          <cell r="B235" t="str">
            <v xml:space="preserve">Protection  Plan (c) Dnt5i              </v>
          </cell>
          <cell r="C235" t="str">
            <v>Ines Berg</v>
          </cell>
          <cell r="D235">
            <v>27.69</v>
          </cell>
        </row>
        <row r="236">
          <cell r="A236" t="str">
            <v>BU4548555</v>
          </cell>
          <cell r="B236" t="str">
            <v>Iul Express</v>
          </cell>
          <cell r="C236" t="str">
            <v>Ryan Caltagirone</v>
          </cell>
          <cell r="D236">
            <v>106.71</v>
          </cell>
        </row>
        <row r="237">
          <cell r="A237" t="str">
            <v>BU4416710</v>
          </cell>
          <cell r="B237" t="str">
            <v>Term Life Express 10 15 20 30</v>
          </cell>
          <cell r="C237" t="str">
            <v>Gregory Teipel</v>
          </cell>
          <cell r="D237">
            <v>87.24</v>
          </cell>
        </row>
        <row r="238">
          <cell r="A238" t="str">
            <v>BU5217041</v>
          </cell>
          <cell r="B238" t="str">
            <v>Term Life Express 10 15 20 30</v>
          </cell>
          <cell r="C238" t="str">
            <v>Matthew Daugherty</v>
          </cell>
          <cell r="D238">
            <v>71.819999999999993</v>
          </cell>
        </row>
        <row r="239">
          <cell r="A239" t="str">
            <v>BU5242404</v>
          </cell>
          <cell r="B239" t="str">
            <v>Iul Express</v>
          </cell>
          <cell r="C239" t="str">
            <v>Ryan Caltagirone</v>
          </cell>
          <cell r="D239">
            <v>134.44999999999999</v>
          </cell>
        </row>
        <row r="240">
          <cell r="A240" t="str">
            <v>BU5182312</v>
          </cell>
          <cell r="B240" t="str">
            <v>Iul Express</v>
          </cell>
          <cell r="C240" t="str">
            <v>Gregory Teipel</v>
          </cell>
          <cell r="D240">
            <v>134.81</v>
          </cell>
        </row>
        <row r="241">
          <cell r="A241" t="str">
            <v>BU3902219</v>
          </cell>
          <cell r="B241" t="str">
            <v>Term Life Express 10 15 20 30</v>
          </cell>
          <cell r="C241" t="str">
            <v>Ashley Teipel</v>
          </cell>
          <cell r="D241">
            <v>130.21</v>
          </cell>
        </row>
        <row r="242">
          <cell r="A242" t="str">
            <v>476680-41</v>
          </cell>
          <cell r="B242" t="str">
            <v xml:space="preserve">Protection  Plan (c) Dnt5e              </v>
          </cell>
          <cell r="C242" t="str">
            <v>Jared Kinyua</v>
          </cell>
          <cell r="D242">
            <v>34.39</v>
          </cell>
        </row>
        <row r="243">
          <cell r="A243" t="str">
            <v>BU4791342</v>
          </cell>
          <cell r="B243" t="str">
            <v>Term Life Express 10 15 20 30</v>
          </cell>
          <cell r="C243" t="str">
            <v>Ryan Caltagirone</v>
          </cell>
          <cell r="D243">
            <v>192.44</v>
          </cell>
        </row>
        <row r="244">
          <cell r="A244" t="str">
            <v>BU4239139</v>
          </cell>
          <cell r="B244" t="str">
            <v>Term Life Express 10 15 20 30</v>
          </cell>
          <cell r="C244" t="str">
            <v>Adam Richter</v>
          </cell>
          <cell r="D244">
            <v>136.13999999999999</v>
          </cell>
        </row>
        <row r="245">
          <cell r="A245" t="str">
            <v>512529-97</v>
          </cell>
          <cell r="B245" t="str">
            <v>Medicare Supplement Plan G</v>
          </cell>
          <cell r="C245" t="str">
            <v>Michael Dunavant</v>
          </cell>
          <cell r="D245">
            <v>211.74</v>
          </cell>
        </row>
        <row r="246">
          <cell r="A246" t="str">
            <v>BU4266838</v>
          </cell>
          <cell r="B246" t="str">
            <v>Iul Express</v>
          </cell>
          <cell r="C246" t="str">
            <v>Ryan Caltagirone</v>
          </cell>
          <cell r="D246">
            <v>187.59</v>
          </cell>
        </row>
        <row r="247">
          <cell r="A247" t="str">
            <v>BU4328388</v>
          </cell>
          <cell r="B247" t="str">
            <v>Term Life Express 10 15 20 30</v>
          </cell>
          <cell r="C247" t="str">
            <v>Gregory Teipel</v>
          </cell>
          <cell r="D247">
            <v>106.89</v>
          </cell>
        </row>
        <row r="248">
          <cell r="A248" t="str">
            <v>658295-97</v>
          </cell>
          <cell r="B248" t="str">
            <v>Medicare Supplement Plan G</v>
          </cell>
          <cell r="C248" t="str">
            <v>Michael Dunavant</v>
          </cell>
          <cell r="D248">
            <v>151.24</v>
          </cell>
        </row>
        <row r="249">
          <cell r="A249" t="str">
            <v>BU3885153</v>
          </cell>
          <cell r="B249" t="str">
            <v>Tle 20-20yr Guar</v>
          </cell>
          <cell r="C249" t="str">
            <v>Katelenn Caltagirone</v>
          </cell>
          <cell r="D249">
            <v>138.91999999999999</v>
          </cell>
        </row>
        <row r="250">
          <cell r="A250" t="str">
            <v>BU5466392</v>
          </cell>
          <cell r="B250" t="str">
            <v>Iul Express</v>
          </cell>
          <cell r="C250" t="str">
            <v>Colleen Finnigan</v>
          </cell>
          <cell r="D250">
            <v>175</v>
          </cell>
        </row>
        <row r="251">
          <cell r="A251" t="str">
            <v>BU4780819</v>
          </cell>
          <cell r="B251" t="str">
            <v>Iul Express</v>
          </cell>
          <cell r="C251" t="str">
            <v>Colleen Finnigan</v>
          </cell>
          <cell r="D251">
            <v>80</v>
          </cell>
        </row>
        <row r="252">
          <cell r="A252" t="str">
            <v>BU4969261</v>
          </cell>
          <cell r="B252" t="str">
            <v xml:space="preserve">Living Promise-graded                   </v>
          </cell>
          <cell r="C252" t="str">
            <v>Gregory Teipel</v>
          </cell>
          <cell r="D252">
            <v>66.930000000000007</v>
          </cell>
        </row>
        <row r="253">
          <cell r="A253" t="str">
            <v>BU3898468</v>
          </cell>
          <cell r="B253" t="str">
            <v>Term Life Express 10 15 20 30</v>
          </cell>
          <cell r="C253" t="str">
            <v>Jason Hoffmann</v>
          </cell>
          <cell r="D253">
            <v>59.99</v>
          </cell>
        </row>
        <row r="254">
          <cell r="A254" t="str">
            <v>BU4283392</v>
          </cell>
          <cell r="B254" t="str">
            <v>Iul Express</v>
          </cell>
          <cell r="C254" t="str">
            <v>Ryan Caltagirone</v>
          </cell>
          <cell r="D254">
            <v>173.83</v>
          </cell>
        </row>
        <row r="255">
          <cell r="A255" t="str">
            <v>BU5264779</v>
          </cell>
          <cell r="B255" t="str">
            <v>Term Life Express 10 15 20 30</v>
          </cell>
          <cell r="C255" t="str">
            <v>Matthew Daugherty</v>
          </cell>
          <cell r="D255">
            <v>79.03</v>
          </cell>
        </row>
        <row r="256">
          <cell r="A256" t="str">
            <v>850902-97</v>
          </cell>
          <cell r="B256" t="str">
            <v>Medicare Supplement Plan G</v>
          </cell>
          <cell r="C256" t="str">
            <v>Gregory Teipel</v>
          </cell>
          <cell r="D256">
            <v>180.14</v>
          </cell>
        </row>
        <row r="257">
          <cell r="A257" t="str">
            <v>760293-97</v>
          </cell>
          <cell r="B257" t="str">
            <v xml:space="preserve">Preferred Plan (a) Dnt2i                </v>
          </cell>
          <cell r="C257" t="str">
            <v>Christian Taugner</v>
          </cell>
          <cell r="D257">
            <v>64.959999999999994</v>
          </cell>
        </row>
        <row r="258">
          <cell r="A258" t="str">
            <v>BU5263398</v>
          </cell>
          <cell r="B258" t="str">
            <v>Term Life Express 10 15 20 30</v>
          </cell>
          <cell r="C258" t="str">
            <v>Ryan Caltagirone</v>
          </cell>
          <cell r="D258">
            <v>62.21</v>
          </cell>
        </row>
        <row r="259">
          <cell r="A259" t="str">
            <v>466463-41</v>
          </cell>
          <cell r="B259" t="str">
            <v xml:space="preserve">Protection  Plan (c) Dnt5i              </v>
          </cell>
          <cell r="C259" t="str">
            <v>Ines Berg</v>
          </cell>
          <cell r="D259">
            <v>27.69</v>
          </cell>
        </row>
        <row r="260">
          <cell r="A260" t="str">
            <v>359165-41</v>
          </cell>
          <cell r="B260" t="str">
            <v>Medicare Supplement Plan G</v>
          </cell>
          <cell r="C260" t="str">
            <v>Gregory Teipel</v>
          </cell>
          <cell r="D260">
            <v>162.11000000000001</v>
          </cell>
        </row>
        <row r="261">
          <cell r="A261" t="str">
            <v>BU4379263</v>
          </cell>
          <cell r="B261" t="str">
            <v>Iul Express</v>
          </cell>
          <cell r="C261" t="str">
            <v>Gregory Teipel</v>
          </cell>
          <cell r="D261">
            <v>188.82</v>
          </cell>
        </row>
        <row r="262">
          <cell r="A262" t="str">
            <v>BU4196307</v>
          </cell>
          <cell r="B262" t="str">
            <v>Term Life Express 10 15 20 30</v>
          </cell>
          <cell r="C262" t="str">
            <v>Gregory Teipel</v>
          </cell>
          <cell r="D262">
            <v>36.71</v>
          </cell>
        </row>
        <row r="263">
          <cell r="A263" t="str">
            <v>660631-96</v>
          </cell>
          <cell r="B263" t="str">
            <v>Medicare Supplement Plan N</v>
          </cell>
          <cell r="C263" t="str">
            <v>Adam Richter</v>
          </cell>
          <cell r="D263">
            <v>164.18</v>
          </cell>
        </row>
        <row r="264">
          <cell r="A264" t="str">
            <v>BU5055568</v>
          </cell>
          <cell r="B264" t="str">
            <v>Iul Express</v>
          </cell>
          <cell r="C264" t="str">
            <v>Gregory Teipel</v>
          </cell>
          <cell r="D264">
            <v>259.27999999999997</v>
          </cell>
        </row>
        <row r="265">
          <cell r="A265" t="str">
            <v>BU5211450</v>
          </cell>
          <cell r="B265" t="str">
            <v xml:space="preserve">Living Promise - Level  Benefit         </v>
          </cell>
          <cell r="C265" t="str">
            <v>Victor Fuentes</v>
          </cell>
          <cell r="D265">
            <v>92.16</v>
          </cell>
        </row>
        <row r="266">
          <cell r="A266" t="str">
            <v>329085-41</v>
          </cell>
          <cell r="B266" t="str">
            <v xml:space="preserve">Preferred Plan (a) Dnt2i                </v>
          </cell>
          <cell r="C266" t="str">
            <v>Jason Roller</v>
          </cell>
          <cell r="D266">
            <v>58.23</v>
          </cell>
        </row>
        <row r="267">
          <cell r="A267" t="str">
            <v>BU5012508</v>
          </cell>
          <cell r="B267" t="str">
            <v>Term Life Express 10 15 20 30</v>
          </cell>
          <cell r="C267" t="str">
            <v>Gregory Teipel</v>
          </cell>
          <cell r="D267">
            <v>158.87</v>
          </cell>
        </row>
        <row r="268">
          <cell r="A268" t="str">
            <v>BU5074530</v>
          </cell>
          <cell r="B268" t="str">
            <v>Term Life Express 10 15 20 30</v>
          </cell>
          <cell r="C268" t="str">
            <v>Matthew Daugherty</v>
          </cell>
          <cell r="D268">
            <v>86.86</v>
          </cell>
        </row>
        <row r="269">
          <cell r="A269" t="str">
            <v>BU4426215</v>
          </cell>
          <cell r="B269" t="str">
            <v>Term Life Express 10 15 20 30</v>
          </cell>
          <cell r="C269" t="str">
            <v>Matthew Daugherty</v>
          </cell>
          <cell r="D269">
            <v>151.91999999999999</v>
          </cell>
        </row>
        <row r="270">
          <cell r="A270" t="str">
            <v>BU5461766</v>
          </cell>
          <cell r="B270" t="str">
            <v>Term Life Express 10 15 20 30</v>
          </cell>
          <cell r="C270" t="str">
            <v>Ryan Caltagirone</v>
          </cell>
          <cell r="D270">
            <v>102.62</v>
          </cell>
        </row>
        <row r="271">
          <cell r="A271" t="str">
            <v>BU5065497</v>
          </cell>
          <cell r="B271" t="str">
            <v>Term Life Express 10 15 20 30</v>
          </cell>
          <cell r="C271" t="str">
            <v>Ronald Max</v>
          </cell>
          <cell r="D271">
            <v>111.61</v>
          </cell>
        </row>
        <row r="272">
          <cell r="A272" t="str">
            <v>BU4550082</v>
          </cell>
          <cell r="B272" t="str">
            <v>Term Life Express 10 15 20 30</v>
          </cell>
          <cell r="C272" t="str">
            <v>Gregory Teipel</v>
          </cell>
          <cell r="D272">
            <v>169.14</v>
          </cell>
        </row>
        <row r="273">
          <cell r="A273" t="str">
            <v>BU5119221</v>
          </cell>
          <cell r="B273" t="str">
            <v>Iul Express</v>
          </cell>
          <cell r="C273" t="str">
            <v>Ryan Caltagirone</v>
          </cell>
          <cell r="D273">
            <v>400.14</v>
          </cell>
        </row>
        <row r="274">
          <cell r="A274" t="str">
            <v>BU6222055</v>
          </cell>
          <cell r="B274" t="str">
            <v>Iul Express</v>
          </cell>
          <cell r="C274" t="str">
            <v>Gregory Teipel</v>
          </cell>
          <cell r="D274">
            <v>164.92</v>
          </cell>
        </row>
        <row r="275">
          <cell r="A275" t="str">
            <v>BU5058620</v>
          </cell>
          <cell r="B275" t="str">
            <v>Term Life Express 10 15 20 30</v>
          </cell>
          <cell r="C275" t="str">
            <v>Thomas Pardue</v>
          </cell>
          <cell r="D275">
            <v>66.22</v>
          </cell>
        </row>
        <row r="276">
          <cell r="A276" t="str">
            <v>BU6286653</v>
          </cell>
          <cell r="B276" t="str">
            <v>Tle 20-20yr Guar</v>
          </cell>
          <cell r="C276" t="str">
            <v>Matthew Daugherty</v>
          </cell>
          <cell r="D276">
            <v>61.68</v>
          </cell>
        </row>
        <row r="277">
          <cell r="A277" t="str">
            <v>BU4436598</v>
          </cell>
          <cell r="B277" t="str">
            <v>Tle 20-20yr Guar</v>
          </cell>
          <cell r="C277" t="str">
            <v>Matthew Daugherty</v>
          </cell>
          <cell r="D277">
            <v>231.18</v>
          </cell>
        </row>
        <row r="278">
          <cell r="A278" t="str">
            <v>BU4980964</v>
          </cell>
          <cell r="B278" t="str">
            <v>Term Life Express 10 15 20 30</v>
          </cell>
          <cell r="C278" t="str">
            <v>Gregory Teipel</v>
          </cell>
          <cell r="D278">
            <v>237.63</v>
          </cell>
        </row>
        <row r="279">
          <cell r="A279" t="str">
            <v>BU4383508</v>
          </cell>
          <cell r="B279" t="str">
            <v>Term Life Express 10 15 20 30</v>
          </cell>
          <cell r="C279" t="str">
            <v>Matthew Daugherty</v>
          </cell>
          <cell r="D279">
            <v>257.66000000000003</v>
          </cell>
        </row>
        <row r="280">
          <cell r="A280" t="str">
            <v>409011-41</v>
          </cell>
          <cell r="B280" t="str">
            <v xml:space="preserve">Preferred Plan (a) Dnt2i                </v>
          </cell>
          <cell r="C280" t="str">
            <v>Richard Yale</v>
          </cell>
          <cell r="D280">
            <v>79.28</v>
          </cell>
        </row>
        <row r="281">
          <cell r="A281" t="str">
            <v>BU5439108</v>
          </cell>
          <cell r="B281" t="str">
            <v xml:space="preserve">Living Promise - Level  Benefit         </v>
          </cell>
          <cell r="C281" t="str">
            <v>Jason Roller</v>
          </cell>
          <cell r="D281">
            <v>3431</v>
          </cell>
        </row>
        <row r="282">
          <cell r="A282" t="str">
            <v>BU4408515</v>
          </cell>
          <cell r="B282" t="str">
            <v>Term Life Express 10 15 20 30</v>
          </cell>
          <cell r="C282" t="str">
            <v>Matthew Daugherty</v>
          </cell>
          <cell r="D282">
            <v>169.1</v>
          </cell>
        </row>
        <row r="283">
          <cell r="A283" t="str">
            <v>BU6443327</v>
          </cell>
          <cell r="B283" t="str">
            <v xml:space="preserve">Children S - Whole Life                 </v>
          </cell>
          <cell r="C283" t="str">
            <v>Jo Lauder</v>
          </cell>
          <cell r="D283">
            <v>23.17</v>
          </cell>
        </row>
        <row r="284">
          <cell r="A284" t="str">
            <v>851525-96</v>
          </cell>
          <cell r="B284" t="str">
            <v>Medicare Supplement Plan G</v>
          </cell>
          <cell r="C284" t="str">
            <v>Carol Foley</v>
          </cell>
          <cell r="D284">
            <v>228.77</v>
          </cell>
        </row>
        <row r="285">
          <cell r="A285" t="str">
            <v>BU4177079</v>
          </cell>
          <cell r="B285" t="str">
            <v>Term Life Express 10 15 20 30</v>
          </cell>
          <cell r="C285" t="str">
            <v>Colleen Finnigan</v>
          </cell>
          <cell r="D285">
            <v>52.29</v>
          </cell>
        </row>
        <row r="286">
          <cell r="A286" t="str">
            <v>BU4439153</v>
          </cell>
          <cell r="B286" t="str">
            <v>Term Life Express 10 15 20 30</v>
          </cell>
          <cell r="C286" t="str">
            <v>Adam Richter</v>
          </cell>
          <cell r="D286">
            <v>76.989999999999995</v>
          </cell>
        </row>
        <row r="287">
          <cell r="A287" t="str">
            <v>BU4681002</v>
          </cell>
          <cell r="B287" t="str">
            <v>Iul Express</v>
          </cell>
          <cell r="C287" t="str">
            <v>Ryan Caltagirone</v>
          </cell>
          <cell r="D287">
            <v>233.73</v>
          </cell>
        </row>
        <row r="288">
          <cell r="A288" t="str">
            <v>BU6450122</v>
          </cell>
          <cell r="B288" t="str">
            <v>Iul Express</v>
          </cell>
          <cell r="C288" t="str">
            <v>Gregory Teipel</v>
          </cell>
          <cell r="D288">
            <v>152.13</v>
          </cell>
        </row>
        <row r="289">
          <cell r="A289" t="str">
            <v>BU5127828</v>
          </cell>
          <cell r="B289" t="str">
            <v>Iul Express</v>
          </cell>
          <cell r="C289" t="str">
            <v>Nasandelger Zana</v>
          </cell>
          <cell r="D289">
            <v>64.66</v>
          </cell>
        </row>
        <row r="290">
          <cell r="A290" t="str">
            <v>BU4432774</v>
          </cell>
          <cell r="B290" t="str">
            <v>Term Life Express 10 15 20 30</v>
          </cell>
          <cell r="C290" t="str">
            <v>Matthew Daugherty</v>
          </cell>
          <cell r="D290">
            <v>39.119999999999997</v>
          </cell>
        </row>
        <row r="291">
          <cell r="A291" t="str">
            <v>BU6307837</v>
          </cell>
          <cell r="B291" t="str">
            <v>Term Life Express 10 15 20 30</v>
          </cell>
          <cell r="C291" t="str">
            <v>Matthew Daugherty</v>
          </cell>
          <cell r="D291">
            <v>64.349999999999994</v>
          </cell>
        </row>
        <row r="292">
          <cell r="A292" t="str">
            <v>BU5360400</v>
          </cell>
          <cell r="B292" t="str">
            <v>Term Life Express 10 15 20 30</v>
          </cell>
          <cell r="C292" t="str">
            <v>Gregory Teipel</v>
          </cell>
          <cell r="D292">
            <v>223.92</v>
          </cell>
        </row>
        <row r="293">
          <cell r="A293" t="str">
            <v>BU5062572</v>
          </cell>
          <cell r="B293" t="str">
            <v xml:space="preserve">Living Promise - Level  Benefit         </v>
          </cell>
          <cell r="C293" t="str">
            <v>Gary Portugal</v>
          </cell>
          <cell r="D293">
            <v>71.62</v>
          </cell>
        </row>
        <row r="294">
          <cell r="A294" t="str">
            <v>BU5028450</v>
          </cell>
          <cell r="B294" t="str">
            <v xml:space="preserve">Living Promise - Level  Benefit         </v>
          </cell>
          <cell r="C294" t="str">
            <v>Frank Liskovec</v>
          </cell>
          <cell r="D294">
            <v>175.78</v>
          </cell>
        </row>
        <row r="295">
          <cell r="A295" t="str">
            <v>416716-97</v>
          </cell>
          <cell r="B295" t="str">
            <v>Medicare Supplement Plan G</v>
          </cell>
          <cell r="C295" t="str">
            <v>Gregory Teipel</v>
          </cell>
          <cell r="D295">
            <v>124.93</v>
          </cell>
        </row>
        <row r="296">
          <cell r="A296" t="str">
            <v>BU5229901</v>
          </cell>
          <cell r="B296" t="str">
            <v xml:space="preserve">Living Promise-graded                   </v>
          </cell>
          <cell r="C296" t="str">
            <v>Gregory Teipel</v>
          </cell>
          <cell r="D296">
            <v>103.81</v>
          </cell>
        </row>
        <row r="297">
          <cell r="A297" t="str">
            <v>BU4559801</v>
          </cell>
          <cell r="B297" t="str">
            <v>Term Life Express 10 15 20 30</v>
          </cell>
          <cell r="C297" t="str">
            <v>Matthew Daugherty</v>
          </cell>
          <cell r="D297">
            <v>62.57</v>
          </cell>
        </row>
        <row r="298">
          <cell r="A298" t="str">
            <v>BU5440603</v>
          </cell>
          <cell r="B298" t="str">
            <v xml:space="preserve">Living Promise - Level  Benefit         </v>
          </cell>
          <cell r="C298" t="str">
            <v>Jason Roller</v>
          </cell>
          <cell r="D298">
            <v>2516.1</v>
          </cell>
        </row>
        <row r="299">
          <cell r="A299" t="str">
            <v>BU4767267</v>
          </cell>
          <cell r="B299" t="str">
            <v>Term Life Express 10 15 20 30</v>
          </cell>
          <cell r="C299" t="str">
            <v>Gregory Teipel</v>
          </cell>
          <cell r="D299">
            <v>224.06</v>
          </cell>
        </row>
        <row r="300">
          <cell r="A300" t="str">
            <v>BU6227115</v>
          </cell>
          <cell r="B300" t="str">
            <v>Iul Express</v>
          </cell>
          <cell r="C300" t="str">
            <v>Ryan Caltagirone</v>
          </cell>
          <cell r="D300">
            <v>128</v>
          </cell>
        </row>
        <row r="301">
          <cell r="A301" t="str">
            <v>414750-41</v>
          </cell>
          <cell r="B301" t="str">
            <v xml:space="preserve">Preferred Plan (a) Dnt2i                </v>
          </cell>
          <cell r="C301" t="str">
            <v>Christian Taugner</v>
          </cell>
          <cell r="D301">
            <v>79.28</v>
          </cell>
        </row>
        <row r="302">
          <cell r="A302" t="str">
            <v>442704-41</v>
          </cell>
          <cell r="B302" t="str">
            <v xml:space="preserve">Protection  Plan (c) Dnt5b              </v>
          </cell>
          <cell r="C302" t="str">
            <v>Jacob Yale</v>
          </cell>
          <cell r="D302">
            <v>32.82</v>
          </cell>
        </row>
        <row r="303">
          <cell r="A303" t="str">
            <v>564582-97</v>
          </cell>
          <cell r="B303" t="str">
            <v xml:space="preserve">Protection  Plan (c) Dnt5i              </v>
          </cell>
          <cell r="C303" t="str">
            <v>Dale Walenga</v>
          </cell>
          <cell r="D303">
            <v>36.08</v>
          </cell>
        </row>
        <row r="304">
          <cell r="A304" t="str">
            <v>BU4714592</v>
          </cell>
          <cell r="B304" t="str">
            <v>Iul Express</v>
          </cell>
          <cell r="C304" t="str">
            <v>Ryan Caltagirone</v>
          </cell>
          <cell r="D304">
            <v>108.08</v>
          </cell>
        </row>
        <row r="305">
          <cell r="A305" t="str">
            <v>650330-97</v>
          </cell>
          <cell r="B305" t="str">
            <v xml:space="preserve">Protection  Plan (c) Dnt5i              </v>
          </cell>
          <cell r="C305" t="str">
            <v>Dale Walenga</v>
          </cell>
          <cell r="D305">
            <v>34.36</v>
          </cell>
        </row>
        <row r="306">
          <cell r="A306" t="str">
            <v>BU6226945</v>
          </cell>
          <cell r="B306" t="str">
            <v>Tle 20-20yr Guar</v>
          </cell>
          <cell r="C306" t="str">
            <v>Matthew Daugherty</v>
          </cell>
          <cell r="D306">
            <v>141.96</v>
          </cell>
        </row>
        <row r="307">
          <cell r="A307" t="str">
            <v>BU5164016</v>
          </cell>
          <cell r="B307" t="str">
            <v>Iul Express</v>
          </cell>
          <cell r="C307" t="str">
            <v>Ryan Caltagirone</v>
          </cell>
          <cell r="D307">
            <v>197.05</v>
          </cell>
        </row>
        <row r="308">
          <cell r="A308" t="str">
            <v>BU5269972</v>
          </cell>
          <cell r="B308" t="str">
            <v>Iul Express</v>
          </cell>
          <cell r="C308" t="str">
            <v>Colleen Finnigan</v>
          </cell>
          <cell r="D308">
            <v>80</v>
          </cell>
        </row>
        <row r="309">
          <cell r="A309" t="str">
            <v>BU4699181</v>
          </cell>
          <cell r="B309" t="str">
            <v>Term Life Express 10 15 20 30</v>
          </cell>
          <cell r="C309" t="str">
            <v>Ryan Caltagirone</v>
          </cell>
          <cell r="D309">
            <v>102.71</v>
          </cell>
        </row>
        <row r="310">
          <cell r="A310" t="str">
            <v>485725-97</v>
          </cell>
          <cell r="B310" t="str">
            <v xml:space="preserve">Protection  Plan (c) Dnt5i              </v>
          </cell>
          <cell r="C310" t="str">
            <v>Dale Walenga</v>
          </cell>
          <cell r="D310">
            <v>36.08</v>
          </cell>
        </row>
        <row r="311">
          <cell r="A311" t="str">
            <v>BU4150872</v>
          </cell>
          <cell r="B311" t="str">
            <v>Iul Express</v>
          </cell>
          <cell r="C311" t="str">
            <v>Adam Richter</v>
          </cell>
          <cell r="D311">
            <v>210</v>
          </cell>
        </row>
        <row r="312">
          <cell r="A312" t="str">
            <v>BU4417814</v>
          </cell>
          <cell r="B312" t="str">
            <v>Life Pro Advantage</v>
          </cell>
          <cell r="C312" t="str">
            <v>Carol Foley</v>
          </cell>
          <cell r="D312">
            <v>209.17</v>
          </cell>
        </row>
        <row r="313">
          <cell r="A313" t="str">
            <v>BU3895778</v>
          </cell>
          <cell r="B313" t="str">
            <v>Tle 20-20yr Guar</v>
          </cell>
          <cell r="C313" t="str">
            <v>Katelenn Caltagirone</v>
          </cell>
          <cell r="D313">
            <v>71.959999999999994</v>
          </cell>
        </row>
        <row r="314">
          <cell r="A314" t="str">
            <v>BU5516960</v>
          </cell>
          <cell r="B314" t="str">
            <v>Iul Express</v>
          </cell>
          <cell r="C314" t="str">
            <v>Ryan Caltagirone</v>
          </cell>
          <cell r="D314">
            <v>139.94999999999999</v>
          </cell>
        </row>
        <row r="315">
          <cell r="A315" t="str">
            <v>490431-97</v>
          </cell>
          <cell r="B315" t="str">
            <v>Medicare Supplement Plan G</v>
          </cell>
          <cell r="C315" t="str">
            <v>Carol Foley</v>
          </cell>
          <cell r="D315">
            <v>211.11</v>
          </cell>
        </row>
        <row r="316">
          <cell r="A316" t="str">
            <v>421672-97</v>
          </cell>
          <cell r="B316" t="str">
            <v xml:space="preserve">Protection  Plan (c) Dnt5i              </v>
          </cell>
          <cell r="C316" t="str">
            <v>Dale Walenga</v>
          </cell>
          <cell r="D316">
            <v>36.08</v>
          </cell>
        </row>
        <row r="317">
          <cell r="A317" t="str">
            <v>BU6358699</v>
          </cell>
          <cell r="B317" t="str">
            <v xml:space="preserve">Living Promise - Level  Benefit         </v>
          </cell>
          <cell r="C317" t="str">
            <v>Richard Yale</v>
          </cell>
          <cell r="D317">
            <v>75.47</v>
          </cell>
        </row>
        <row r="318">
          <cell r="A318" t="str">
            <v>BU4840895</v>
          </cell>
          <cell r="B318" t="str">
            <v>Term Life Express 10 15 20 30</v>
          </cell>
          <cell r="C318" t="str">
            <v>Gregory Teipel</v>
          </cell>
          <cell r="D318">
            <v>159.47</v>
          </cell>
        </row>
        <row r="319">
          <cell r="A319" t="str">
            <v>BU4838736</v>
          </cell>
          <cell r="B319" t="str">
            <v xml:space="preserve">Living Promise - Level  Benefit         </v>
          </cell>
          <cell r="C319" t="str">
            <v>Carol Foley</v>
          </cell>
          <cell r="D319">
            <v>93.38</v>
          </cell>
        </row>
        <row r="320">
          <cell r="A320" t="str">
            <v>BU4872440</v>
          </cell>
          <cell r="B320" t="str">
            <v>Iul Express</v>
          </cell>
          <cell r="C320" t="str">
            <v>Ryan Caltagirone</v>
          </cell>
          <cell r="D320">
            <v>300.39</v>
          </cell>
        </row>
        <row r="321">
          <cell r="A321" t="str">
            <v>BU4902082</v>
          </cell>
          <cell r="B321" t="str">
            <v>Iul Express</v>
          </cell>
          <cell r="C321" t="str">
            <v>Gregory Teipel</v>
          </cell>
          <cell r="D321">
            <v>298.74</v>
          </cell>
        </row>
        <row r="322">
          <cell r="A322" t="str">
            <v>BU4600130</v>
          </cell>
          <cell r="B322" t="str">
            <v>Term Life Express 10 15 20 30</v>
          </cell>
          <cell r="C322" t="str">
            <v>Matthew Daugherty</v>
          </cell>
          <cell r="D322">
            <v>60.7</v>
          </cell>
        </row>
        <row r="323">
          <cell r="A323" t="str">
            <v>359735-41</v>
          </cell>
          <cell r="B323" t="str">
            <v xml:space="preserve">Preferred Plan (a) Dnt2b                </v>
          </cell>
          <cell r="C323" t="str">
            <v>Jacob Yale</v>
          </cell>
          <cell r="D323">
            <v>55.89</v>
          </cell>
        </row>
        <row r="324">
          <cell r="A324" t="str">
            <v>BU3953473</v>
          </cell>
          <cell r="B324" t="str">
            <v>Tle 20-20yr Guar</v>
          </cell>
          <cell r="C324" t="str">
            <v>Ryan Caltagirone</v>
          </cell>
          <cell r="D324">
            <v>123.21</v>
          </cell>
        </row>
        <row r="325">
          <cell r="A325" t="str">
            <v>BU4407520</v>
          </cell>
          <cell r="B325" t="str">
            <v>Term Life Express 10 15 20 30</v>
          </cell>
          <cell r="C325" t="str">
            <v>Matthew Daugherty</v>
          </cell>
          <cell r="D325">
            <v>151.91999999999999</v>
          </cell>
        </row>
        <row r="326">
          <cell r="A326" t="str">
            <v>BU6182379</v>
          </cell>
          <cell r="B326" t="str">
            <v>Iul Express</v>
          </cell>
          <cell r="C326" t="str">
            <v>Taliah Ferguson</v>
          </cell>
          <cell r="D326">
            <v>152.36000000000001</v>
          </cell>
        </row>
        <row r="327">
          <cell r="A327" t="str">
            <v>412731-97</v>
          </cell>
          <cell r="B327" t="str">
            <v>Medicare Supplement Plan G</v>
          </cell>
          <cell r="C327" t="str">
            <v>Adam Richter</v>
          </cell>
          <cell r="D327">
            <v>130.55000000000001</v>
          </cell>
        </row>
        <row r="328">
          <cell r="A328" t="str">
            <v>BU4688424</v>
          </cell>
          <cell r="B328" t="str">
            <v>Term Life Express 10 15 20 30</v>
          </cell>
          <cell r="C328" t="str">
            <v>Ryan Caltagirone</v>
          </cell>
          <cell r="D328">
            <v>81.17</v>
          </cell>
        </row>
        <row r="329">
          <cell r="A329" t="str">
            <v>522991-97</v>
          </cell>
          <cell r="B329" t="str">
            <v xml:space="preserve">Protection  Plan (c) Dnt5i              </v>
          </cell>
          <cell r="C329" t="str">
            <v>Richard Yale</v>
          </cell>
          <cell r="D329">
            <v>36.72</v>
          </cell>
        </row>
        <row r="330">
          <cell r="A330" t="str">
            <v>374935-41</v>
          </cell>
          <cell r="B330" t="str">
            <v>Medicare Supplement Plan G</v>
          </cell>
          <cell r="C330" t="str">
            <v>Gregory Teipel</v>
          </cell>
          <cell r="D330">
            <v>176.91</v>
          </cell>
        </row>
        <row r="331">
          <cell r="A331" t="str">
            <v>347616-41</v>
          </cell>
          <cell r="B331" t="str">
            <v>Medicare Supplement Plan A</v>
          </cell>
          <cell r="C331" t="str">
            <v>Ronald Max</v>
          </cell>
          <cell r="D331">
            <v>210.33</v>
          </cell>
        </row>
        <row r="332">
          <cell r="A332" t="str">
            <v>646279-96</v>
          </cell>
          <cell r="B332" t="str">
            <v>Medicare Supplement Plan G</v>
          </cell>
          <cell r="C332" t="str">
            <v>Anne Marie Kozacheck</v>
          </cell>
          <cell r="D332">
            <v>2203.0300000000002</v>
          </cell>
        </row>
        <row r="333">
          <cell r="A333" t="str">
            <v>BU4124638</v>
          </cell>
          <cell r="B333" t="str">
            <v>Iul Express</v>
          </cell>
          <cell r="C333" t="str">
            <v>Gregory Teipel</v>
          </cell>
          <cell r="D333">
            <v>250</v>
          </cell>
        </row>
        <row r="334">
          <cell r="A334" t="str">
            <v>BU6441816</v>
          </cell>
          <cell r="B334" t="str">
            <v>Term Life Express 10 15 20 30</v>
          </cell>
          <cell r="C334" t="str">
            <v>Gregory Teipel</v>
          </cell>
          <cell r="D334">
            <v>194.24</v>
          </cell>
        </row>
        <row r="335">
          <cell r="A335" t="str">
            <v>BU4947885</v>
          </cell>
          <cell r="B335" t="str">
            <v>Tle 20-20yr Guar</v>
          </cell>
          <cell r="C335" t="str">
            <v>Gregory Teipel</v>
          </cell>
          <cell r="D335">
            <v>141.84</v>
          </cell>
        </row>
        <row r="336">
          <cell r="A336" t="str">
            <v>BU5059870</v>
          </cell>
          <cell r="B336" t="str">
            <v>Term Life Express 10 15 20 30</v>
          </cell>
          <cell r="C336" t="str">
            <v>Ronald Max</v>
          </cell>
          <cell r="D336">
            <v>190.1</v>
          </cell>
        </row>
        <row r="337">
          <cell r="A337" t="str">
            <v>BU4978608</v>
          </cell>
          <cell r="B337" t="str">
            <v>Term Life Express 10 15 20 30</v>
          </cell>
          <cell r="C337" t="str">
            <v>Gregory Teipel</v>
          </cell>
          <cell r="D337">
            <v>66.349999999999994</v>
          </cell>
        </row>
        <row r="338">
          <cell r="A338" t="str">
            <v>910206-96</v>
          </cell>
          <cell r="B338" t="str">
            <v>Medicare Supplement Plan G</v>
          </cell>
          <cell r="C338" t="str">
            <v>Gregory Teipel</v>
          </cell>
          <cell r="D338">
            <v>268.60000000000002</v>
          </cell>
        </row>
        <row r="339">
          <cell r="A339" t="str">
            <v>BU5375356</v>
          </cell>
          <cell r="B339" t="str">
            <v>Iul Express</v>
          </cell>
          <cell r="C339" t="str">
            <v>Gregory Teipel</v>
          </cell>
          <cell r="D339">
            <v>256.43</v>
          </cell>
        </row>
        <row r="340">
          <cell r="A340" t="str">
            <v>BU4375204</v>
          </cell>
          <cell r="B340" t="str">
            <v>Iul Express</v>
          </cell>
          <cell r="C340" t="str">
            <v>Gregory Teipel</v>
          </cell>
          <cell r="D340">
            <v>120</v>
          </cell>
        </row>
        <row r="341">
          <cell r="A341" t="str">
            <v>637883-97</v>
          </cell>
          <cell r="B341" t="str">
            <v>Medicare Supplement Plan G</v>
          </cell>
          <cell r="C341" t="str">
            <v>Michael Dunavant</v>
          </cell>
          <cell r="D341">
            <v>136.77000000000001</v>
          </cell>
        </row>
        <row r="342">
          <cell r="A342" t="str">
            <v>BU5147755</v>
          </cell>
          <cell r="B342" t="str">
            <v>Term Life Express 10 15 20 30</v>
          </cell>
          <cell r="C342" t="str">
            <v>Matthew Daugherty</v>
          </cell>
          <cell r="D342">
            <v>39.520000000000003</v>
          </cell>
        </row>
        <row r="343">
          <cell r="A343" t="str">
            <v>BU4442784</v>
          </cell>
          <cell r="B343" t="str">
            <v>Iul Express</v>
          </cell>
          <cell r="C343" t="str">
            <v>Ryan Caltagirone</v>
          </cell>
          <cell r="D343">
            <v>2543.64</v>
          </cell>
        </row>
        <row r="344">
          <cell r="A344" t="str">
            <v>BU6269839</v>
          </cell>
          <cell r="B344" t="str">
            <v>Tle 20-20yr Guar</v>
          </cell>
          <cell r="C344" t="str">
            <v>Ryan Caltagirone</v>
          </cell>
          <cell r="D344">
            <v>72.239999999999995</v>
          </cell>
        </row>
        <row r="345">
          <cell r="A345" t="str">
            <v>BU5004020</v>
          </cell>
          <cell r="B345" t="str">
            <v>Term Life Express 10 15 20 30</v>
          </cell>
          <cell r="C345" t="str">
            <v>Matthew Daugherty</v>
          </cell>
          <cell r="D345">
            <v>71.819999999999993</v>
          </cell>
        </row>
        <row r="346">
          <cell r="A346" t="str">
            <v>682141-97</v>
          </cell>
          <cell r="B346" t="str">
            <v>Medicare Supplement Plan G</v>
          </cell>
          <cell r="C346" t="str">
            <v>Michael Dunavant</v>
          </cell>
          <cell r="D346">
            <v>128.66999999999999</v>
          </cell>
        </row>
        <row r="347">
          <cell r="A347" t="str">
            <v>BU4453271</v>
          </cell>
          <cell r="B347" t="str">
            <v>Tle20 W/rop-20yr Guar</v>
          </cell>
          <cell r="C347" t="str">
            <v>Matthew Daugherty</v>
          </cell>
          <cell r="D347">
            <v>116.97</v>
          </cell>
        </row>
        <row r="348">
          <cell r="A348" t="str">
            <v>BU5431854</v>
          </cell>
          <cell r="B348" t="str">
            <v xml:space="preserve">Living Promise - Level  Benefit         </v>
          </cell>
          <cell r="C348" t="str">
            <v>Jason Roller</v>
          </cell>
          <cell r="D348">
            <v>2364.5</v>
          </cell>
        </row>
        <row r="349">
          <cell r="A349" t="str">
            <v>BU5200679</v>
          </cell>
          <cell r="B349" t="str">
            <v>Term Life Express 10 15 20 30</v>
          </cell>
          <cell r="C349" t="str">
            <v>Ronald Max</v>
          </cell>
          <cell r="D349">
            <v>26.7</v>
          </cell>
        </row>
        <row r="350">
          <cell r="A350" t="str">
            <v>BU6153121</v>
          </cell>
          <cell r="B350" t="str">
            <v>Iul Express</v>
          </cell>
          <cell r="C350" t="str">
            <v>Gregory Teipel</v>
          </cell>
          <cell r="D350">
            <v>177.54</v>
          </cell>
        </row>
        <row r="351">
          <cell r="A351" t="str">
            <v>BU4070302</v>
          </cell>
          <cell r="B351" t="str">
            <v>Term Life Express 10 15 20 30</v>
          </cell>
          <cell r="C351" t="str">
            <v>Ryan Caltagirone</v>
          </cell>
          <cell r="D351">
            <v>61.68</v>
          </cell>
        </row>
        <row r="352">
          <cell r="A352" t="str">
            <v>564587-97</v>
          </cell>
          <cell r="B352" t="str">
            <v xml:space="preserve">Protection  Plan (c) Dnt5i              </v>
          </cell>
          <cell r="C352" t="str">
            <v>Dale Walenga</v>
          </cell>
          <cell r="D352">
            <v>36.08</v>
          </cell>
        </row>
        <row r="353">
          <cell r="A353" t="str">
            <v>BU4206122</v>
          </cell>
          <cell r="B353" t="str">
            <v>Iul Express</v>
          </cell>
          <cell r="C353" t="str">
            <v>Gregory Teipel</v>
          </cell>
          <cell r="D353">
            <v>411.76</v>
          </cell>
        </row>
        <row r="354">
          <cell r="A354" t="str">
            <v>BU4438526</v>
          </cell>
          <cell r="B354" t="str">
            <v>Iul Express</v>
          </cell>
          <cell r="C354" t="str">
            <v>Gregory Teipel</v>
          </cell>
          <cell r="D354">
            <v>280.55</v>
          </cell>
        </row>
        <row r="355">
          <cell r="A355" t="str">
            <v>BU5395584</v>
          </cell>
          <cell r="B355" t="str">
            <v>Term Life Express 10 15 20 30</v>
          </cell>
          <cell r="C355" t="str">
            <v>Ryan Caltagirone</v>
          </cell>
          <cell r="D355">
            <v>80.83</v>
          </cell>
        </row>
        <row r="356">
          <cell r="A356" t="str">
            <v>BU4418751</v>
          </cell>
          <cell r="B356" t="str">
            <v>Term Life Express 10 15 20 30</v>
          </cell>
          <cell r="C356" t="str">
            <v>Gregory Teipel</v>
          </cell>
          <cell r="D356">
            <v>56.6</v>
          </cell>
        </row>
        <row r="357">
          <cell r="A357" t="str">
            <v>783856-97</v>
          </cell>
          <cell r="B357" t="str">
            <v>Medicare Supplement Plan G</v>
          </cell>
          <cell r="C357" t="str">
            <v>Michael Dunavant</v>
          </cell>
          <cell r="D357">
            <v>270.69</v>
          </cell>
        </row>
        <row r="358">
          <cell r="A358" t="str">
            <v>700206-97</v>
          </cell>
          <cell r="B358" t="str">
            <v>Medicare Supplement Plan N</v>
          </cell>
          <cell r="C358" t="str">
            <v>Anne Marie Kozacheck</v>
          </cell>
          <cell r="D358">
            <v>299.39999999999998</v>
          </cell>
        </row>
        <row r="359">
          <cell r="A359" t="str">
            <v>BU4389626</v>
          </cell>
          <cell r="B359" t="str">
            <v>Term Life Express 10 15 20 30</v>
          </cell>
          <cell r="C359" t="str">
            <v>Gregory Teipel</v>
          </cell>
          <cell r="D359">
            <v>60.97</v>
          </cell>
        </row>
        <row r="360">
          <cell r="A360" t="str">
            <v>BU4124635</v>
          </cell>
          <cell r="B360" t="str">
            <v>Iul Express</v>
          </cell>
          <cell r="C360" t="str">
            <v>Gregory Teipel</v>
          </cell>
          <cell r="D360">
            <v>250</v>
          </cell>
        </row>
        <row r="361">
          <cell r="A361" t="str">
            <v>BU5402190</v>
          </cell>
          <cell r="B361" t="str">
            <v>Term Life Express 10 15 20 30</v>
          </cell>
          <cell r="C361" t="str">
            <v>Matthew Daugherty</v>
          </cell>
          <cell r="D361">
            <v>88.29</v>
          </cell>
        </row>
        <row r="362">
          <cell r="A362" t="str">
            <v>BU6235205</v>
          </cell>
          <cell r="B362" t="str">
            <v>Iul Express</v>
          </cell>
          <cell r="C362" t="str">
            <v>Matthew Daugherty</v>
          </cell>
          <cell r="D362">
            <v>292.95</v>
          </cell>
        </row>
        <row r="363">
          <cell r="A363" t="str">
            <v>BU5064003</v>
          </cell>
          <cell r="B363" t="str">
            <v xml:space="preserve">Living Promise - Level  Benefit         </v>
          </cell>
          <cell r="C363" t="str">
            <v>Gregory Teipel</v>
          </cell>
          <cell r="D363">
            <v>192.22</v>
          </cell>
        </row>
        <row r="364">
          <cell r="A364" t="str">
            <v>941769-96</v>
          </cell>
          <cell r="B364" t="str">
            <v>Medicare Supplement Plan G</v>
          </cell>
          <cell r="C364" t="str">
            <v>Adam Richter</v>
          </cell>
          <cell r="D364">
            <v>147.96</v>
          </cell>
        </row>
        <row r="365">
          <cell r="A365" t="str">
            <v>BU5478695</v>
          </cell>
          <cell r="B365" t="str">
            <v>Iul Express</v>
          </cell>
          <cell r="C365" t="str">
            <v>Jason Roller</v>
          </cell>
          <cell r="D365">
            <v>3479.05</v>
          </cell>
        </row>
        <row r="366">
          <cell r="A366" t="str">
            <v>BU4741935</v>
          </cell>
          <cell r="B366" t="str">
            <v xml:space="preserve">Living Promise - Level  Benefit         </v>
          </cell>
          <cell r="C366" t="str">
            <v>Gary Portugal</v>
          </cell>
          <cell r="D366">
            <v>676.4</v>
          </cell>
        </row>
        <row r="367">
          <cell r="A367" t="str">
            <v>BU5273525</v>
          </cell>
          <cell r="B367" t="str">
            <v>Iul Express</v>
          </cell>
          <cell r="C367" t="str">
            <v>Ryan Caltagirone</v>
          </cell>
          <cell r="D367">
            <v>330.7</v>
          </cell>
        </row>
        <row r="368">
          <cell r="A368" t="str">
            <v>BU4158072</v>
          </cell>
          <cell r="B368" t="str">
            <v>Term Life Express 10 15 20 30</v>
          </cell>
          <cell r="C368" t="str">
            <v>Adam Richter</v>
          </cell>
          <cell r="D368">
            <v>29.82</v>
          </cell>
        </row>
        <row r="369">
          <cell r="A369" t="str">
            <v>BU5653756</v>
          </cell>
          <cell r="B369" t="str">
            <v>Iul Express</v>
          </cell>
          <cell r="C369" t="str">
            <v>Gregory Teipel</v>
          </cell>
          <cell r="D369">
            <v>234.36</v>
          </cell>
        </row>
        <row r="370">
          <cell r="A370" t="str">
            <v>BU5303715</v>
          </cell>
          <cell r="B370" t="str">
            <v>Term Life Express 10 15 20 30</v>
          </cell>
          <cell r="C370" t="str">
            <v>Ryan Caltagirone</v>
          </cell>
          <cell r="D370">
            <v>79.03</v>
          </cell>
        </row>
        <row r="371">
          <cell r="A371" t="str">
            <v>458537-97</v>
          </cell>
          <cell r="B371" t="str">
            <v>Medicare Supplement Plan F</v>
          </cell>
          <cell r="C371" t="str">
            <v>Carol Foley</v>
          </cell>
          <cell r="D371">
            <v>304.67</v>
          </cell>
        </row>
        <row r="372">
          <cell r="A372" t="str">
            <v>BU5081505</v>
          </cell>
          <cell r="B372" t="str">
            <v>Iul Express</v>
          </cell>
          <cell r="C372" t="str">
            <v>Ryan Caltagirone</v>
          </cell>
          <cell r="D372">
            <v>124.25</v>
          </cell>
        </row>
        <row r="373">
          <cell r="A373" t="str">
            <v>BU6167001</v>
          </cell>
          <cell r="B373" t="str">
            <v>Term Life Express 10 15 20 30</v>
          </cell>
          <cell r="C373" t="str">
            <v>Gregory Teipel</v>
          </cell>
          <cell r="D373">
            <v>210.04</v>
          </cell>
        </row>
        <row r="374">
          <cell r="A374" t="str">
            <v>BU6397071</v>
          </cell>
          <cell r="B374" t="str">
            <v>Term Life Answer 10 15 20 30</v>
          </cell>
          <cell r="C374" t="str">
            <v>Victor Fuentes</v>
          </cell>
          <cell r="D374">
            <v>87.29</v>
          </cell>
        </row>
        <row r="375">
          <cell r="A375" t="str">
            <v>BU4844006</v>
          </cell>
          <cell r="B375" t="str">
            <v>Iul Express</v>
          </cell>
          <cell r="C375" t="str">
            <v>Gregory Teipel</v>
          </cell>
          <cell r="D375">
            <v>151.56</v>
          </cell>
        </row>
        <row r="376">
          <cell r="A376" t="str">
            <v>830900-96</v>
          </cell>
          <cell r="B376" t="str">
            <v>Medicare Supplement Plan G</v>
          </cell>
          <cell r="C376" t="str">
            <v>Anne Marie Kozacheck</v>
          </cell>
          <cell r="D376">
            <v>276.37</v>
          </cell>
        </row>
        <row r="377">
          <cell r="A377" t="str">
            <v>BU4730869</v>
          </cell>
          <cell r="B377" t="str">
            <v>Iul Express</v>
          </cell>
          <cell r="C377" t="str">
            <v>Ryan Caltagirone</v>
          </cell>
          <cell r="D377">
            <v>149.49</v>
          </cell>
        </row>
        <row r="378">
          <cell r="A378" t="str">
            <v>BU4963427</v>
          </cell>
          <cell r="B378" t="str">
            <v>Term Life Express 10 15 20 30</v>
          </cell>
          <cell r="C378" t="str">
            <v>Gregory Teipel</v>
          </cell>
          <cell r="D378">
            <v>46.73</v>
          </cell>
        </row>
        <row r="379">
          <cell r="A379" t="str">
            <v>422587-97</v>
          </cell>
          <cell r="B379" t="str">
            <v>Medicare Supplement Plan N</v>
          </cell>
          <cell r="C379" t="str">
            <v>Adam Richter</v>
          </cell>
          <cell r="D379">
            <v>144.47999999999999</v>
          </cell>
        </row>
        <row r="380">
          <cell r="A380" t="str">
            <v>BU5078865</v>
          </cell>
          <cell r="B380" t="str">
            <v>Iul Express</v>
          </cell>
          <cell r="C380" t="str">
            <v>Gregory Teipel</v>
          </cell>
          <cell r="D380">
            <v>99.93</v>
          </cell>
        </row>
        <row r="381">
          <cell r="A381" t="str">
            <v>403893-41</v>
          </cell>
          <cell r="B381" t="str">
            <v xml:space="preserve">Preferred Plan (a) Dnt2e                </v>
          </cell>
          <cell r="C381" t="str">
            <v>Christian Taugner</v>
          </cell>
          <cell r="D381">
            <v>72.33</v>
          </cell>
        </row>
        <row r="382">
          <cell r="A382" t="str">
            <v>BU4496184</v>
          </cell>
          <cell r="B382" t="str">
            <v>Term Life Express 10 15 20 30</v>
          </cell>
          <cell r="C382" t="str">
            <v>Matthew Daugherty</v>
          </cell>
          <cell r="D382">
            <v>76.959999999999994</v>
          </cell>
        </row>
        <row r="383">
          <cell r="A383" t="str">
            <v>805439-96</v>
          </cell>
          <cell r="B383" t="str">
            <v>Medicare Supplement Plan N</v>
          </cell>
          <cell r="C383" t="str">
            <v>Carol Foley</v>
          </cell>
          <cell r="D383">
            <v>155.22</v>
          </cell>
        </row>
        <row r="384">
          <cell r="A384" t="str">
            <v>BU6360737</v>
          </cell>
          <cell r="B384" t="str">
            <v>Term Life Express 10 15 20 30</v>
          </cell>
          <cell r="C384" t="str">
            <v>Ryan Caltagirone</v>
          </cell>
          <cell r="D384">
            <v>147.03</v>
          </cell>
        </row>
        <row r="385">
          <cell r="A385" t="str">
            <v>BU4404761</v>
          </cell>
          <cell r="B385" t="str">
            <v>Term Life Express 10 15 20 30</v>
          </cell>
          <cell r="C385" t="str">
            <v>Matthew Daugherty</v>
          </cell>
          <cell r="D385">
            <v>147.52000000000001</v>
          </cell>
        </row>
        <row r="386">
          <cell r="A386" t="str">
            <v>BU6330162</v>
          </cell>
          <cell r="B386" t="str">
            <v>Term Life Express 10 15 20 30</v>
          </cell>
          <cell r="C386" t="str">
            <v>Gregory Teipel</v>
          </cell>
          <cell r="D386">
            <v>161.19999999999999</v>
          </cell>
        </row>
        <row r="387">
          <cell r="A387" t="str">
            <v>BU5139678</v>
          </cell>
          <cell r="B387" t="str">
            <v>Income Advantage</v>
          </cell>
          <cell r="C387" t="str">
            <v>Jared Kinyua</v>
          </cell>
          <cell r="D387">
            <v>141.25</v>
          </cell>
        </row>
        <row r="388">
          <cell r="A388" t="str">
            <v>BU6431030</v>
          </cell>
          <cell r="B388" t="str">
            <v>Term Life Express 10 15 20 30</v>
          </cell>
          <cell r="C388" t="str">
            <v>Ryan Caltagirone</v>
          </cell>
          <cell r="D388">
            <v>75.510000000000005</v>
          </cell>
        </row>
        <row r="389">
          <cell r="A389" t="str">
            <v>BU4441916</v>
          </cell>
          <cell r="B389" t="str">
            <v>Term Life Express 10 15 20 30</v>
          </cell>
          <cell r="C389" t="str">
            <v>Ryan Caltagirone</v>
          </cell>
          <cell r="D389">
            <v>130.19</v>
          </cell>
        </row>
        <row r="390">
          <cell r="A390" t="str">
            <v>BU5238222</v>
          </cell>
          <cell r="B390" t="str">
            <v>Iul Express</v>
          </cell>
          <cell r="C390" t="str">
            <v>Gregory Teipel</v>
          </cell>
          <cell r="D390">
            <v>318.74</v>
          </cell>
        </row>
        <row r="391">
          <cell r="A391" t="str">
            <v>BU4478277</v>
          </cell>
          <cell r="B391" t="str">
            <v>Term Life Express 10 15 20 30</v>
          </cell>
          <cell r="C391" t="str">
            <v>Matthew Daugherty</v>
          </cell>
          <cell r="D391">
            <v>132.16999999999999</v>
          </cell>
        </row>
        <row r="392">
          <cell r="A392" t="str">
            <v>BU4725125</v>
          </cell>
          <cell r="B392" t="str">
            <v>Term Life Express 10 15 20 30</v>
          </cell>
          <cell r="C392" t="str">
            <v>Gregory Teipel</v>
          </cell>
          <cell r="D392">
            <v>217.87</v>
          </cell>
        </row>
        <row r="393">
          <cell r="A393" t="str">
            <v>691883-97</v>
          </cell>
          <cell r="B393" t="str">
            <v>Medicare Supplement Plan G</v>
          </cell>
          <cell r="C393" t="str">
            <v>Ricardo Santos</v>
          </cell>
          <cell r="D393">
            <v>162.27000000000001</v>
          </cell>
        </row>
        <row r="394">
          <cell r="A394" t="str">
            <v>511425-97</v>
          </cell>
          <cell r="B394" t="str">
            <v>Medicare Supplement Plan N</v>
          </cell>
          <cell r="C394" t="str">
            <v>Michael Dunavant</v>
          </cell>
          <cell r="D394">
            <v>155.97999999999999</v>
          </cell>
        </row>
        <row r="395">
          <cell r="A395" t="str">
            <v>BU4582915</v>
          </cell>
          <cell r="B395" t="str">
            <v>Iul Express</v>
          </cell>
          <cell r="C395" t="str">
            <v>Michelle Mccorkle</v>
          </cell>
          <cell r="D395">
            <v>123</v>
          </cell>
        </row>
        <row r="396">
          <cell r="A396" t="str">
            <v>BU5168075</v>
          </cell>
          <cell r="B396" t="str">
            <v>Iul Express</v>
          </cell>
          <cell r="C396" t="str">
            <v>Gregory Teipel</v>
          </cell>
          <cell r="D396">
            <v>197.58</v>
          </cell>
        </row>
        <row r="397">
          <cell r="A397" t="str">
            <v>BU4941440</v>
          </cell>
          <cell r="B397" t="str">
            <v>Iul Express</v>
          </cell>
          <cell r="C397" t="str">
            <v>Ronald Max</v>
          </cell>
          <cell r="D397">
            <v>129.91999999999999</v>
          </cell>
        </row>
        <row r="398">
          <cell r="A398" t="str">
            <v>BU4857901</v>
          </cell>
          <cell r="B398" t="str">
            <v>Term Life Express 10 15 20 30</v>
          </cell>
          <cell r="C398" t="str">
            <v>Gregory Teipel</v>
          </cell>
          <cell r="D398">
            <v>124.71</v>
          </cell>
        </row>
        <row r="399">
          <cell r="A399" t="str">
            <v>BU5328360</v>
          </cell>
          <cell r="B399" t="str">
            <v>Iul Express</v>
          </cell>
          <cell r="C399" t="str">
            <v>Gregory Teipel</v>
          </cell>
          <cell r="D399">
            <v>211.55</v>
          </cell>
        </row>
        <row r="400">
          <cell r="A400" t="str">
            <v>BU4573441</v>
          </cell>
          <cell r="B400" t="str">
            <v>Term Life Express 10 15 20 30</v>
          </cell>
          <cell r="C400" t="str">
            <v>Gregory Teipel</v>
          </cell>
          <cell r="D400">
            <v>125.42</v>
          </cell>
        </row>
        <row r="401">
          <cell r="A401" t="str">
            <v>BU4957357</v>
          </cell>
          <cell r="B401" t="str">
            <v>Term Life Express 10 15 20 30</v>
          </cell>
          <cell r="C401" t="str">
            <v>Gregory Teipel</v>
          </cell>
          <cell r="D401">
            <v>195.71</v>
          </cell>
        </row>
        <row r="402">
          <cell r="A402" t="str">
            <v>BU4522870</v>
          </cell>
          <cell r="B402" t="str">
            <v>Iul Express</v>
          </cell>
          <cell r="C402" t="str">
            <v>Gregory Teipel</v>
          </cell>
          <cell r="D402">
            <v>212.23</v>
          </cell>
        </row>
        <row r="403">
          <cell r="A403" t="str">
            <v>360629-97</v>
          </cell>
          <cell r="B403" t="str">
            <v>Medicare Supplement Plan N</v>
          </cell>
          <cell r="C403" t="str">
            <v>Adam Richter</v>
          </cell>
          <cell r="D403">
            <v>120.5</v>
          </cell>
        </row>
        <row r="404">
          <cell r="A404" t="str">
            <v>684329-96</v>
          </cell>
          <cell r="B404" t="str">
            <v>Medicare Supplement Plan G</v>
          </cell>
          <cell r="C404" t="str">
            <v>Gregory Teipel</v>
          </cell>
          <cell r="D404">
            <v>168.24</v>
          </cell>
        </row>
        <row r="405">
          <cell r="A405" t="str">
            <v>488722-97</v>
          </cell>
          <cell r="B405" t="str">
            <v xml:space="preserve">Protection  Plan (c) Dnt5i              </v>
          </cell>
          <cell r="C405" t="str">
            <v>Dale Walenga</v>
          </cell>
          <cell r="D405">
            <v>36.08</v>
          </cell>
        </row>
        <row r="406">
          <cell r="A406" t="str">
            <v>BU6251675</v>
          </cell>
          <cell r="B406" t="str">
            <v xml:space="preserve">Children S - Whole Life                 </v>
          </cell>
          <cell r="C406" t="str">
            <v>Adam Richter</v>
          </cell>
          <cell r="D406">
            <v>26.75</v>
          </cell>
        </row>
        <row r="407">
          <cell r="A407" t="str">
            <v>BU4990567</v>
          </cell>
          <cell r="B407" t="str">
            <v xml:space="preserve">Living Promise - Level  Benefit         </v>
          </cell>
          <cell r="C407" t="str">
            <v>Gary Portugal</v>
          </cell>
          <cell r="D407">
            <v>115.77</v>
          </cell>
        </row>
        <row r="408">
          <cell r="A408" t="str">
            <v>BU5451962</v>
          </cell>
          <cell r="B408" t="str">
            <v>Term Life Express 10 15 20 30</v>
          </cell>
          <cell r="C408" t="str">
            <v>Ryan Caltagirone</v>
          </cell>
          <cell r="D408">
            <v>123.96</v>
          </cell>
        </row>
        <row r="409">
          <cell r="A409" t="str">
            <v>BU4133162</v>
          </cell>
          <cell r="B409" t="str">
            <v>Iul Express</v>
          </cell>
          <cell r="C409" t="str">
            <v>Gregory Teipel</v>
          </cell>
          <cell r="D409">
            <v>200</v>
          </cell>
        </row>
        <row r="410">
          <cell r="A410" t="str">
            <v>BU4446544</v>
          </cell>
          <cell r="B410" t="str">
            <v>Term Life</v>
          </cell>
          <cell r="C410" t="str">
            <v>Matthew Daugherty</v>
          </cell>
          <cell r="D410">
            <v>140.12</v>
          </cell>
        </row>
        <row r="411">
          <cell r="A411" t="str">
            <v>BU6154557</v>
          </cell>
          <cell r="B411" t="str">
            <v>Iul Express</v>
          </cell>
          <cell r="C411" t="str">
            <v>Nasandelger Zana</v>
          </cell>
          <cell r="D411">
            <v>68.239999999999995</v>
          </cell>
        </row>
        <row r="412">
          <cell r="A412" t="str">
            <v>BU5378945</v>
          </cell>
          <cell r="B412" t="str">
            <v>Term Life Answer 10 15 20 30</v>
          </cell>
          <cell r="C412" t="str">
            <v>James Allen</v>
          </cell>
          <cell r="D412">
            <v>71.34</v>
          </cell>
        </row>
        <row r="413">
          <cell r="A413" t="str">
            <v>BU4299728</v>
          </cell>
          <cell r="B413" t="str">
            <v>Term Life Express 10 15 20 30</v>
          </cell>
          <cell r="C413" t="str">
            <v>Adam Richter</v>
          </cell>
          <cell r="D413">
            <v>33.64</v>
          </cell>
        </row>
        <row r="414">
          <cell r="A414" t="str">
            <v>910205-96</v>
          </cell>
          <cell r="B414" t="str">
            <v>Medicare Supplement Plan G</v>
          </cell>
          <cell r="C414" t="str">
            <v>Gregory Teipel</v>
          </cell>
          <cell r="D414">
            <v>183.64</v>
          </cell>
        </row>
        <row r="415">
          <cell r="A415" t="str">
            <v>BU4488568</v>
          </cell>
          <cell r="B415" t="str">
            <v>Tle 20-20yr Guar</v>
          </cell>
          <cell r="C415" t="str">
            <v>Ryan Caltagirone</v>
          </cell>
          <cell r="D415">
            <v>104.74</v>
          </cell>
        </row>
        <row r="416">
          <cell r="A416" t="str">
            <v>BU5220982</v>
          </cell>
          <cell r="B416" t="str">
            <v xml:space="preserve">Living Promise - Level  Benefit         </v>
          </cell>
          <cell r="C416" t="str">
            <v>James Allen</v>
          </cell>
          <cell r="D416">
            <v>152.65</v>
          </cell>
        </row>
        <row r="417">
          <cell r="A417" t="str">
            <v>BU4111998</v>
          </cell>
          <cell r="B417" t="str">
            <v>Iul Express</v>
          </cell>
          <cell r="C417" t="str">
            <v>Gregory Teipel</v>
          </cell>
          <cell r="D417">
            <v>6000</v>
          </cell>
        </row>
        <row r="418">
          <cell r="A418" t="str">
            <v>630114-97</v>
          </cell>
          <cell r="B418" t="str">
            <v>Medicare Supplement Plan G</v>
          </cell>
          <cell r="C418" t="str">
            <v>Michael Dunavant</v>
          </cell>
          <cell r="D418">
            <v>181.15</v>
          </cell>
        </row>
        <row r="419">
          <cell r="A419" t="str">
            <v>BU4331488</v>
          </cell>
          <cell r="B419" t="str">
            <v>Term Life Express 10 15 20 30</v>
          </cell>
          <cell r="C419" t="str">
            <v>Matthew Daugherty</v>
          </cell>
          <cell r="D419">
            <v>91.31</v>
          </cell>
        </row>
        <row r="420">
          <cell r="A420" t="str">
            <v>588926-96</v>
          </cell>
          <cell r="B420" t="str">
            <v>Medicare Supplement Plan N</v>
          </cell>
          <cell r="C420" t="str">
            <v>Adam Richter</v>
          </cell>
          <cell r="D420">
            <v>136.94</v>
          </cell>
        </row>
        <row r="421">
          <cell r="A421" t="str">
            <v>BU6228957</v>
          </cell>
          <cell r="B421" t="str">
            <v>Term Life Express 10 15 20 30</v>
          </cell>
          <cell r="C421" t="str">
            <v>Matthew Daugherty</v>
          </cell>
          <cell r="D421">
            <v>171.66</v>
          </cell>
        </row>
        <row r="422">
          <cell r="A422" t="str">
            <v>BU3892268</v>
          </cell>
          <cell r="B422" t="str">
            <v>Term Life Express 10 15 20 30</v>
          </cell>
          <cell r="C422" t="str">
            <v>Ashley Teipel</v>
          </cell>
          <cell r="D422">
            <v>165.45</v>
          </cell>
        </row>
        <row r="423">
          <cell r="A423" t="str">
            <v>BU5060526</v>
          </cell>
          <cell r="B423" t="str">
            <v xml:space="preserve">Living Promise - Level  Benefit         </v>
          </cell>
          <cell r="C423" t="str">
            <v>Gregory Teipel</v>
          </cell>
          <cell r="D423">
            <v>93.61</v>
          </cell>
        </row>
        <row r="424">
          <cell r="A424" t="str">
            <v>BU4394266</v>
          </cell>
          <cell r="B424" t="str">
            <v>Term Life Express 10 15 20 30</v>
          </cell>
          <cell r="C424" t="str">
            <v>Matthew Daugherty</v>
          </cell>
          <cell r="D424">
            <v>300.51</v>
          </cell>
        </row>
        <row r="425">
          <cell r="A425" t="str">
            <v>BU4507780</v>
          </cell>
          <cell r="B425" t="str">
            <v>Iul Express</v>
          </cell>
          <cell r="C425" t="str">
            <v>Gregory Teipel</v>
          </cell>
          <cell r="D425">
            <v>334.46</v>
          </cell>
        </row>
        <row r="426">
          <cell r="A426" t="str">
            <v>399021-41</v>
          </cell>
          <cell r="B426" t="str">
            <v>Medicare Supplement Plan G</v>
          </cell>
          <cell r="C426" t="str">
            <v>Gregory Teipel</v>
          </cell>
          <cell r="D426">
            <v>176.19</v>
          </cell>
        </row>
        <row r="427">
          <cell r="A427" t="str">
            <v>BU4478059</v>
          </cell>
          <cell r="B427" t="str">
            <v>Term Life Express 10 15 20 30</v>
          </cell>
          <cell r="C427" t="str">
            <v>Matthew Daugherty</v>
          </cell>
          <cell r="D427">
            <v>128.43</v>
          </cell>
        </row>
        <row r="428">
          <cell r="A428" t="str">
            <v>685497-96</v>
          </cell>
          <cell r="B428" t="str">
            <v>Medicare Supplement Plan N</v>
          </cell>
          <cell r="C428" t="str">
            <v>Adam Richter</v>
          </cell>
          <cell r="D428">
            <v>144.47999999999999</v>
          </cell>
        </row>
        <row r="429">
          <cell r="A429" t="str">
            <v>BU4402995</v>
          </cell>
          <cell r="B429" t="str">
            <v>Term Life Express 10 15 20 30</v>
          </cell>
          <cell r="C429" t="str">
            <v>Matthew Daugherty</v>
          </cell>
          <cell r="D429">
            <v>342.43</v>
          </cell>
        </row>
        <row r="430">
          <cell r="A430" t="str">
            <v>371385-41</v>
          </cell>
          <cell r="B430" t="str">
            <v xml:space="preserve">Preferred Plan (a) Dnt2b                </v>
          </cell>
          <cell r="C430" t="str">
            <v>Jacob Yale</v>
          </cell>
          <cell r="D430">
            <v>63.16</v>
          </cell>
        </row>
        <row r="431">
          <cell r="A431" t="str">
            <v>BU5172750</v>
          </cell>
          <cell r="B431" t="str">
            <v>Term Life Express 10 15 20 30</v>
          </cell>
          <cell r="C431" t="str">
            <v>Thomas Pardue</v>
          </cell>
          <cell r="D431">
            <v>65.42</v>
          </cell>
        </row>
        <row r="432">
          <cell r="A432" t="str">
            <v>BU6431496</v>
          </cell>
          <cell r="B432" t="str">
            <v>Iul Express</v>
          </cell>
          <cell r="C432" t="str">
            <v>Gregory Teipel</v>
          </cell>
          <cell r="D432">
            <v>163.99</v>
          </cell>
        </row>
        <row r="433">
          <cell r="A433" t="str">
            <v>BU4259551</v>
          </cell>
          <cell r="B433" t="str">
            <v>Iul Express</v>
          </cell>
          <cell r="C433" t="str">
            <v>Gregory Teipel</v>
          </cell>
          <cell r="D433">
            <v>165.87</v>
          </cell>
        </row>
        <row r="434">
          <cell r="A434" t="str">
            <v>442454-97</v>
          </cell>
          <cell r="B434" t="str">
            <v xml:space="preserve">Protection  Plan (c) Dnt5b              </v>
          </cell>
          <cell r="C434" t="str">
            <v>Richard Yale</v>
          </cell>
          <cell r="D434">
            <v>32.82</v>
          </cell>
        </row>
        <row r="435">
          <cell r="A435" t="str">
            <v>809741-97</v>
          </cell>
          <cell r="B435" t="str">
            <v>Medicare Supplement Plan G</v>
          </cell>
          <cell r="C435" t="str">
            <v>Gregory Teipel</v>
          </cell>
          <cell r="D435">
            <v>154.12</v>
          </cell>
        </row>
        <row r="436">
          <cell r="A436" t="str">
            <v>BU5335372</v>
          </cell>
          <cell r="B436" t="str">
            <v>Term Life Express 10 15 20 30</v>
          </cell>
          <cell r="C436" t="str">
            <v>Ryan Caltagirone</v>
          </cell>
          <cell r="D436">
            <v>125.56</v>
          </cell>
        </row>
        <row r="437">
          <cell r="A437" t="str">
            <v>BU4389748</v>
          </cell>
          <cell r="B437" t="str">
            <v>Term Life</v>
          </cell>
          <cell r="C437" t="str">
            <v>Matthew Daugherty</v>
          </cell>
          <cell r="D437">
            <v>221.15</v>
          </cell>
        </row>
        <row r="438">
          <cell r="A438" t="str">
            <v>BU5090017</v>
          </cell>
          <cell r="B438" t="str">
            <v>Iul Express</v>
          </cell>
          <cell r="C438" t="str">
            <v>Gregory Teipel</v>
          </cell>
          <cell r="D438">
            <v>117.19</v>
          </cell>
        </row>
        <row r="439">
          <cell r="A439" t="str">
            <v>BU6251354</v>
          </cell>
          <cell r="B439" t="str">
            <v>Iul Express</v>
          </cell>
          <cell r="C439" t="str">
            <v>Adam Richter</v>
          </cell>
          <cell r="D439">
            <v>74.08</v>
          </cell>
        </row>
        <row r="440">
          <cell r="A440" t="str">
            <v>BU6264932</v>
          </cell>
          <cell r="B440" t="str">
            <v>Iul Express</v>
          </cell>
          <cell r="C440" t="str">
            <v>Matthew Daugherty</v>
          </cell>
          <cell r="D440">
            <v>144.24</v>
          </cell>
        </row>
        <row r="441">
          <cell r="A441" t="str">
            <v>BU4948009</v>
          </cell>
          <cell r="B441" t="str">
            <v>Term Life Express 10 15 20 30</v>
          </cell>
          <cell r="C441" t="str">
            <v>Matthew Daugherty</v>
          </cell>
          <cell r="D441">
            <v>287.69</v>
          </cell>
        </row>
        <row r="442">
          <cell r="A442" t="str">
            <v>BU5543208</v>
          </cell>
          <cell r="B442" t="str">
            <v>Term Life Express 10 15 20 30</v>
          </cell>
          <cell r="C442" t="str">
            <v>Gregory Teipel</v>
          </cell>
          <cell r="D442">
            <v>217.87</v>
          </cell>
        </row>
        <row r="443">
          <cell r="A443" t="str">
            <v>BU6256814</v>
          </cell>
          <cell r="B443" t="str">
            <v>Iul Express</v>
          </cell>
          <cell r="C443" t="str">
            <v>Ryan Caltagirone</v>
          </cell>
          <cell r="D443">
            <v>193.28</v>
          </cell>
        </row>
        <row r="444">
          <cell r="A444" t="str">
            <v>940059-96</v>
          </cell>
          <cell r="B444" t="str">
            <v>Medicare Supplement Plan G</v>
          </cell>
          <cell r="C444" t="str">
            <v>Carol Foley</v>
          </cell>
          <cell r="D444">
            <v>177.4</v>
          </cell>
        </row>
        <row r="445">
          <cell r="A445" t="str">
            <v>763531-96</v>
          </cell>
          <cell r="B445" t="str">
            <v>Medicare Supplement Plan G</v>
          </cell>
          <cell r="C445" t="str">
            <v>Carol Foley</v>
          </cell>
          <cell r="D445">
            <v>227.37</v>
          </cell>
        </row>
        <row r="446">
          <cell r="A446" t="str">
            <v>732899-96</v>
          </cell>
          <cell r="B446" t="str">
            <v>Medicare Supplement Plan G</v>
          </cell>
          <cell r="C446" t="str">
            <v>Carol Foley</v>
          </cell>
          <cell r="D446">
            <v>234.95</v>
          </cell>
        </row>
        <row r="447">
          <cell r="A447" t="str">
            <v>BU5064227</v>
          </cell>
          <cell r="B447" t="str">
            <v xml:space="preserve">Living Promise - Level  Benefit         </v>
          </cell>
          <cell r="C447" t="str">
            <v>Gregory Teipel</v>
          </cell>
          <cell r="D447">
            <v>141.33000000000001</v>
          </cell>
        </row>
        <row r="448">
          <cell r="A448" t="str">
            <v>418918-97</v>
          </cell>
          <cell r="B448" t="str">
            <v>Medicare Supplement Plan G</v>
          </cell>
          <cell r="C448" t="str">
            <v>Anne Marie Kozacheck</v>
          </cell>
          <cell r="D448">
            <v>620.46</v>
          </cell>
        </row>
        <row r="449">
          <cell r="A449" t="str">
            <v>BU4141928</v>
          </cell>
          <cell r="B449" t="str">
            <v>Iul Express</v>
          </cell>
          <cell r="C449" t="str">
            <v>Ryan Caltagirone</v>
          </cell>
          <cell r="D449">
            <v>204.82</v>
          </cell>
        </row>
        <row r="450">
          <cell r="A450" t="str">
            <v>BU5065882</v>
          </cell>
          <cell r="B450" t="str">
            <v>Iul Express</v>
          </cell>
          <cell r="C450" t="str">
            <v>Gregory Teipel</v>
          </cell>
          <cell r="D450">
            <v>87.59</v>
          </cell>
        </row>
        <row r="451">
          <cell r="A451" t="str">
            <v>BU4669580</v>
          </cell>
          <cell r="B451" t="str">
            <v>Iul Express</v>
          </cell>
          <cell r="C451" t="str">
            <v>Gregory Teipel</v>
          </cell>
          <cell r="D451">
            <v>291.10000000000002</v>
          </cell>
        </row>
        <row r="452">
          <cell r="A452" t="str">
            <v>BU4889412</v>
          </cell>
          <cell r="B452" t="str">
            <v>Iul Express</v>
          </cell>
          <cell r="C452" t="str">
            <v>Gregory Teipel</v>
          </cell>
          <cell r="D452">
            <v>397.1</v>
          </cell>
        </row>
        <row r="453">
          <cell r="A453" t="str">
            <v>BU5383730</v>
          </cell>
          <cell r="B453" t="str">
            <v>Term Life Express 10 15 20 30</v>
          </cell>
          <cell r="C453" t="str">
            <v>Matthew Daugherty</v>
          </cell>
          <cell r="D453">
            <v>165.45</v>
          </cell>
        </row>
        <row r="454">
          <cell r="A454" t="str">
            <v>BU4227378</v>
          </cell>
          <cell r="B454" t="str">
            <v>Iul Express</v>
          </cell>
          <cell r="C454" t="str">
            <v>Ryan Caltagirone</v>
          </cell>
          <cell r="D454">
            <v>276.29000000000002</v>
          </cell>
        </row>
        <row r="455">
          <cell r="A455" t="str">
            <v>BU4350111</v>
          </cell>
          <cell r="B455" t="str">
            <v>Iul Express</v>
          </cell>
          <cell r="C455" t="str">
            <v>Ryan Caltagirone</v>
          </cell>
          <cell r="D455">
            <v>152.05000000000001</v>
          </cell>
        </row>
        <row r="456">
          <cell r="A456" t="str">
            <v>BU4880184</v>
          </cell>
          <cell r="B456" t="str">
            <v xml:space="preserve">Living Promise-graded                   </v>
          </cell>
          <cell r="C456" t="str">
            <v>Gregory Teipel</v>
          </cell>
          <cell r="D456">
            <v>118.83</v>
          </cell>
        </row>
        <row r="457">
          <cell r="A457" t="str">
            <v>544949-97</v>
          </cell>
          <cell r="B457" t="str">
            <v>Medicare Supplement Plan G</v>
          </cell>
          <cell r="C457" t="str">
            <v>Michael Dunavant</v>
          </cell>
          <cell r="D457">
            <v>168.38</v>
          </cell>
        </row>
        <row r="458">
          <cell r="A458" t="str">
            <v>BU4223126</v>
          </cell>
          <cell r="B458" t="str">
            <v>Iul Express</v>
          </cell>
          <cell r="C458" t="str">
            <v>Ryan Caltagirone</v>
          </cell>
          <cell r="D458">
            <v>140.85</v>
          </cell>
        </row>
        <row r="459">
          <cell r="A459" t="str">
            <v>BU5414730</v>
          </cell>
          <cell r="B459" t="str">
            <v>Iul Express</v>
          </cell>
          <cell r="C459" t="str">
            <v>Ryan Caltagirone</v>
          </cell>
          <cell r="D459">
            <v>272.86</v>
          </cell>
        </row>
        <row r="460">
          <cell r="A460" t="str">
            <v>BU4081321</v>
          </cell>
          <cell r="B460" t="str">
            <v>Iul Express</v>
          </cell>
          <cell r="C460" t="str">
            <v>Gregory Teipel</v>
          </cell>
          <cell r="D460">
            <v>110</v>
          </cell>
        </row>
        <row r="461">
          <cell r="A461" t="str">
            <v>BU5494554</v>
          </cell>
          <cell r="B461" t="str">
            <v>Iul Express</v>
          </cell>
          <cell r="C461" t="str">
            <v>Gregory Teipel</v>
          </cell>
          <cell r="D461">
            <v>106.05</v>
          </cell>
        </row>
        <row r="462">
          <cell r="A462" t="str">
            <v>BU3966299</v>
          </cell>
          <cell r="B462" t="str">
            <v>Term Life Express 10 15 20 30</v>
          </cell>
          <cell r="C462" t="str">
            <v>Ryan Caltagirone</v>
          </cell>
          <cell r="D462">
            <v>162.76</v>
          </cell>
        </row>
        <row r="463">
          <cell r="A463" t="str">
            <v>637501-97</v>
          </cell>
          <cell r="B463" t="str">
            <v xml:space="preserve">Protection  Plan (c) Dnt5i              </v>
          </cell>
          <cell r="C463" t="str">
            <v>Dale Walenga</v>
          </cell>
          <cell r="D463">
            <v>34.36</v>
          </cell>
        </row>
        <row r="464">
          <cell r="A464" t="str">
            <v>BU6241482</v>
          </cell>
          <cell r="B464" t="str">
            <v>Term Life Express 10 15 20 30</v>
          </cell>
          <cell r="C464" t="str">
            <v>Matthew Daugherty</v>
          </cell>
          <cell r="D464">
            <v>99.32</v>
          </cell>
        </row>
        <row r="465">
          <cell r="A465" t="str">
            <v>BU4155354</v>
          </cell>
          <cell r="B465" t="str">
            <v>Iul Express</v>
          </cell>
          <cell r="C465" t="str">
            <v>Gregory Teipel</v>
          </cell>
          <cell r="D465">
            <v>510.84</v>
          </cell>
        </row>
        <row r="466">
          <cell r="A466" t="str">
            <v>BU5147677</v>
          </cell>
          <cell r="B466" t="str">
            <v>Term Life Express 10 15 20 30</v>
          </cell>
          <cell r="C466" t="str">
            <v>Matthew Daugherty</v>
          </cell>
          <cell r="D466">
            <v>35.53</v>
          </cell>
        </row>
        <row r="467">
          <cell r="A467" t="str">
            <v>BU4487469</v>
          </cell>
          <cell r="B467" t="str">
            <v>Term Life Express 10 15 20 30</v>
          </cell>
          <cell r="C467" t="str">
            <v>Gregory Teipel</v>
          </cell>
          <cell r="D467">
            <v>64.37</v>
          </cell>
        </row>
        <row r="468">
          <cell r="A468" t="str">
            <v>BU6289711</v>
          </cell>
          <cell r="B468" t="str">
            <v>Iul Express</v>
          </cell>
          <cell r="C468" t="str">
            <v>Matthew Daugherty</v>
          </cell>
          <cell r="D468">
            <v>327.54000000000002</v>
          </cell>
        </row>
        <row r="469">
          <cell r="A469" t="str">
            <v>650070-97</v>
          </cell>
          <cell r="B469" t="str">
            <v>Medicare Supplement Plan G</v>
          </cell>
          <cell r="C469" t="str">
            <v>Michael Dunavant</v>
          </cell>
          <cell r="D469">
            <v>128.66999999999999</v>
          </cell>
        </row>
        <row r="470">
          <cell r="A470" t="str">
            <v>BU4370942</v>
          </cell>
          <cell r="B470" t="str">
            <v>Iul Express</v>
          </cell>
          <cell r="C470" t="str">
            <v>Ryan Caltagirone</v>
          </cell>
          <cell r="D470">
            <v>90</v>
          </cell>
        </row>
        <row r="471">
          <cell r="A471" t="str">
            <v>BU3843863</v>
          </cell>
          <cell r="B471" t="str">
            <v>Term Life Express 10 15 20 30</v>
          </cell>
          <cell r="C471" t="str">
            <v>Adam Richter</v>
          </cell>
          <cell r="D471">
            <v>84.64</v>
          </cell>
        </row>
        <row r="472">
          <cell r="A472" t="str">
            <v>BU6269161</v>
          </cell>
          <cell r="B472" t="str">
            <v>Iul Express</v>
          </cell>
          <cell r="C472" t="str">
            <v>Gregory Teipel</v>
          </cell>
          <cell r="D472">
            <v>259.32</v>
          </cell>
        </row>
        <row r="473">
          <cell r="A473" t="str">
            <v>BU4603586</v>
          </cell>
          <cell r="B473" t="str">
            <v>Term Life Express 10 15 20 30</v>
          </cell>
          <cell r="C473" t="str">
            <v>Ryan Caltagirone</v>
          </cell>
          <cell r="D473">
            <v>127.36</v>
          </cell>
        </row>
        <row r="474">
          <cell r="A474" t="str">
            <v>BU6417810</v>
          </cell>
          <cell r="B474" t="str">
            <v>Iul Express</v>
          </cell>
          <cell r="C474" t="str">
            <v>Gregory Teipel</v>
          </cell>
          <cell r="D474">
            <v>243.56</v>
          </cell>
        </row>
        <row r="475">
          <cell r="A475" t="str">
            <v>427493-41</v>
          </cell>
          <cell r="B475" t="str">
            <v>Medicare Supplement Plan A</v>
          </cell>
          <cell r="C475" t="str">
            <v>Thomas Kucan</v>
          </cell>
          <cell r="D475">
            <v>210.33</v>
          </cell>
        </row>
        <row r="476">
          <cell r="A476" t="str">
            <v>723099-96</v>
          </cell>
          <cell r="B476" t="str">
            <v>Medicare Supplement Plan G</v>
          </cell>
          <cell r="C476" t="str">
            <v>Jason Hoffmann</v>
          </cell>
          <cell r="D476">
            <v>279.66000000000003</v>
          </cell>
        </row>
        <row r="477">
          <cell r="A477" t="str">
            <v>BU6337663</v>
          </cell>
          <cell r="B477" t="str">
            <v>Term Life Express 10 15 20 30</v>
          </cell>
          <cell r="C477" t="str">
            <v>Gregory Teipel</v>
          </cell>
          <cell r="D477">
            <v>189.97</v>
          </cell>
        </row>
        <row r="478">
          <cell r="A478" t="str">
            <v>BU5476019</v>
          </cell>
          <cell r="B478" t="str">
            <v>Term Life Express 10 15 20 30</v>
          </cell>
          <cell r="C478" t="str">
            <v>Ryan Caltagirone</v>
          </cell>
          <cell r="D478">
            <v>58.85</v>
          </cell>
        </row>
        <row r="479">
          <cell r="A479" t="str">
            <v>BU4585250</v>
          </cell>
          <cell r="B479" t="str">
            <v>Term Life Express 10 15 20 30</v>
          </cell>
          <cell r="C479" t="str">
            <v>Gregory Teipel</v>
          </cell>
          <cell r="D479">
            <v>161.19999999999999</v>
          </cell>
        </row>
        <row r="480">
          <cell r="A480" t="str">
            <v>BU5650906</v>
          </cell>
          <cell r="B480" t="str">
            <v>Iul Express</v>
          </cell>
          <cell r="C480" t="str">
            <v>Taliah Ferguson</v>
          </cell>
          <cell r="D480">
            <v>90.66</v>
          </cell>
        </row>
        <row r="481">
          <cell r="A481" t="str">
            <v>BU6252347</v>
          </cell>
          <cell r="B481" t="str">
            <v>Iul Express</v>
          </cell>
          <cell r="C481" t="str">
            <v>Gregory Teipel</v>
          </cell>
          <cell r="D481">
            <v>175.94</v>
          </cell>
        </row>
        <row r="482">
          <cell r="A482" t="str">
            <v>406849-41</v>
          </cell>
          <cell r="B482" t="str">
            <v xml:space="preserve">Preferred Plan (a) Dnt2e                </v>
          </cell>
          <cell r="C482" t="str">
            <v>Victor Fuentes</v>
          </cell>
          <cell r="D482">
            <v>216.99</v>
          </cell>
        </row>
        <row r="483">
          <cell r="A483" t="str">
            <v>BU4994500</v>
          </cell>
          <cell r="B483" t="str">
            <v>Tle 20-20yr Guar</v>
          </cell>
          <cell r="C483" t="str">
            <v>Ryan Caltagirone</v>
          </cell>
          <cell r="D483">
            <v>75.290000000000006</v>
          </cell>
        </row>
        <row r="484">
          <cell r="A484" t="str">
            <v>579998-97</v>
          </cell>
          <cell r="B484" t="str">
            <v>Medicare Supplement Plan G</v>
          </cell>
          <cell r="C484" t="str">
            <v>Gregory Teipel</v>
          </cell>
          <cell r="D484">
            <v>592.83000000000004</v>
          </cell>
        </row>
        <row r="485">
          <cell r="A485" t="str">
            <v>365700-41</v>
          </cell>
          <cell r="B485" t="str">
            <v>Medicare Supplement Plan G</v>
          </cell>
          <cell r="C485" t="str">
            <v>Jason Roller</v>
          </cell>
          <cell r="D485">
            <v>161</v>
          </cell>
        </row>
        <row r="486">
          <cell r="A486" t="str">
            <v>BU5371034</v>
          </cell>
          <cell r="B486" t="str">
            <v xml:space="preserve">Living Promise - Level  Benefit         </v>
          </cell>
          <cell r="C486" t="str">
            <v>Shawn Gastelo</v>
          </cell>
          <cell r="D486">
            <v>78.680000000000007</v>
          </cell>
        </row>
        <row r="487">
          <cell r="A487" t="str">
            <v>BU4998090</v>
          </cell>
          <cell r="B487" t="str">
            <v>Term Life Express 10 15 20 30</v>
          </cell>
          <cell r="C487" t="str">
            <v>Gregory Teipel</v>
          </cell>
          <cell r="D487">
            <v>52.93</v>
          </cell>
        </row>
        <row r="488">
          <cell r="A488" t="str">
            <v>BU4875821</v>
          </cell>
          <cell r="B488" t="str">
            <v>Iul Express</v>
          </cell>
          <cell r="C488" t="str">
            <v>Timothy Powers</v>
          </cell>
          <cell r="D488">
            <v>206.2</v>
          </cell>
        </row>
        <row r="489">
          <cell r="A489" t="str">
            <v>809235-97</v>
          </cell>
          <cell r="B489" t="str">
            <v xml:space="preserve">Preferred Plan (a) Dnt2e                </v>
          </cell>
          <cell r="C489" t="str">
            <v>Jason Roller</v>
          </cell>
          <cell r="D489">
            <v>72.33</v>
          </cell>
        </row>
        <row r="490">
          <cell r="A490" t="str">
            <v>BU4660048</v>
          </cell>
          <cell r="B490" t="str">
            <v>Term Life Express 10 15 20 30</v>
          </cell>
          <cell r="C490" t="str">
            <v>Colleen Finnigan</v>
          </cell>
          <cell r="D490">
            <v>124.71</v>
          </cell>
        </row>
        <row r="491">
          <cell r="A491" t="str">
            <v>BU6209158</v>
          </cell>
          <cell r="B491" t="str">
            <v>Iul Express</v>
          </cell>
          <cell r="C491" t="str">
            <v>Gregory Teipel</v>
          </cell>
          <cell r="D491">
            <v>297.7</v>
          </cell>
        </row>
        <row r="492">
          <cell r="A492" t="str">
            <v>BU4433854</v>
          </cell>
          <cell r="B492" t="str">
            <v>Iul Express</v>
          </cell>
          <cell r="C492" t="str">
            <v>Ryan Caltagirone</v>
          </cell>
          <cell r="D492">
            <v>229</v>
          </cell>
        </row>
        <row r="493">
          <cell r="A493" t="str">
            <v>805076-96</v>
          </cell>
          <cell r="B493" t="str">
            <v>Medicare Supplement Plan G</v>
          </cell>
          <cell r="C493" t="str">
            <v>Adam Richter</v>
          </cell>
          <cell r="D493">
            <v>203.61</v>
          </cell>
        </row>
        <row r="494">
          <cell r="A494" t="str">
            <v>BU4605180</v>
          </cell>
          <cell r="B494" t="str">
            <v>Iul Express</v>
          </cell>
          <cell r="C494" t="str">
            <v>Ryan Caltagirone</v>
          </cell>
          <cell r="D494">
            <v>152.41</v>
          </cell>
        </row>
        <row r="495">
          <cell r="A495" t="str">
            <v>868160-96</v>
          </cell>
          <cell r="B495" t="str">
            <v>Medicare Supplement Plan N</v>
          </cell>
          <cell r="C495" t="str">
            <v>Murray Sterner</v>
          </cell>
          <cell r="D495">
            <v>138.46</v>
          </cell>
        </row>
        <row r="496">
          <cell r="A496" t="str">
            <v>BU4055772</v>
          </cell>
          <cell r="B496" t="str">
            <v>Iul Express</v>
          </cell>
          <cell r="C496" t="str">
            <v>Gregory Teipel</v>
          </cell>
          <cell r="D496">
            <v>200</v>
          </cell>
        </row>
        <row r="497">
          <cell r="A497" t="str">
            <v>BU4758684</v>
          </cell>
          <cell r="B497" t="str">
            <v>Term Life Express 10 15 20 30</v>
          </cell>
          <cell r="C497" t="str">
            <v>Ryan Caltagirone</v>
          </cell>
          <cell r="D497">
            <v>174.22</v>
          </cell>
        </row>
        <row r="498">
          <cell r="A498" t="str">
            <v>BU5338311</v>
          </cell>
          <cell r="B498" t="str">
            <v>Iul Express</v>
          </cell>
          <cell r="C498" t="str">
            <v>Steven Brandt</v>
          </cell>
          <cell r="D498">
            <v>56.05</v>
          </cell>
        </row>
        <row r="499">
          <cell r="A499" t="str">
            <v>BU5601741</v>
          </cell>
          <cell r="B499" t="str">
            <v>Iul Express</v>
          </cell>
          <cell r="C499" t="str">
            <v>Gregory Teipel</v>
          </cell>
          <cell r="D499">
            <v>198.23</v>
          </cell>
        </row>
        <row r="500">
          <cell r="A500" t="str">
            <v>BU4539639</v>
          </cell>
          <cell r="B500" t="str">
            <v>Term Life Express 10 15 20 30</v>
          </cell>
          <cell r="C500" t="str">
            <v>Matthew Daugherty</v>
          </cell>
          <cell r="D500">
            <v>62.57</v>
          </cell>
        </row>
        <row r="501">
          <cell r="A501" t="str">
            <v>BU4875190</v>
          </cell>
          <cell r="B501" t="str">
            <v>Iul Express</v>
          </cell>
          <cell r="C501" t="str">
            <v>Gregory Teipel</v>
          </cell>
          <cell r="D501">
            <v>226.87</v>
          </cell>
        </row>
        <row r="502">
          <cell r="A502" t="str">
            <v>BU4432168</v>
          </cell>
          <cell r="B502" t="str">
            <v>Term Life Express 10 15 20 30</v>
          </cell>
          <cell r="C502" t="str">
            <v>Gregory Teipel</v>
          </cell>
          <cell r="D502">
            <v>196.6</v>
          </cell>
        </row>
        <row r="503">
          <cell r="A503" t="str">
            <v>BU4972941</v>
          </cell>
          <cell r="B503" t="str">
            <v>Iul Express</v>
          </cell>
          <cell r="C503" t="str">
            <v>Jared Kinyua</v>
          </cell>
          <cell r="D503">
            <v>89.23</v>
          </cell>
        </row>
        <row r="504">
          <cell r="A504" t="str">
            <v>BU4345770</v>
          </cell>
          <cell r="B504" t="str">
            <v>Iul Express</v>
          </cell>
          <cell r="C504" t="str">
            <v>Gregory Teipel</v>
          </cell>
          <cell r="D504">
            <v>188.42</v>
          </cell>
        </row>
        <row r="505">
          <cell r="A505" t="str">
            <v>422614-97</v>
          </cell>
          <cell r="B505" t="str">
            <v>Medicare Supplement Plan N</v>
          </cell>
          <cell r="C505" t="str">
            <v>Adam Richter</v>
          </cell>
          <cell r="D505">
            <v>125.66</v>
          </cell>
        </row>
        <row r="506">
          <cell r="A506" t="str">
            <v>579927-97</v>
          </cell>
          <cell r="B506" t="str">
            <v xml:space="preserve">Preferred Plan (a) Dnt2b                </v>
          </cell>
          <cell r="C506" t="str">
            <v>Thomas Pardue</v>
          </cell>
          <cell r="D506">
            <v>59.14</v>
          </cell>
        </row>
        <row r="507">
          <cell r="A507" t="str">
            <v>BU5012511</v>
          </cell>
          <cell r="B507" t="str">
            <v>Term Life Express 10 15 20 30</v>
          </cell>
          <cell r="C507" t="str">
            <v>Gregory Teipel</v>
          </cell>
          <cell r="D507">
            <v>169.14</v>
          </cell>
        </row>
        <row r="508">
          <cell r="A508" t="str">
            <v>BU5477279</v>
          </cell>
          <cell r="B508" t="str">
            <v>Term Life Express 10 15 20 30</v>
          </cell>
          <cell r="C508" t="str">
            <v>Ryan Caltagirone</v>
          </cell>
          <cell r="D508">
            <v>155</v>
          </cell>
        </row>
        <row r="509">
          <cell r="A509" t="str">
            <v>BU6269162</v>
          </cell>
          <cell r="B509" t="str">
            <v>Iul Express</v>
          </cell>
          <cell r="C509" t="str">
            <v>Gregory Teipel</v>
          </cell>
          <cell r="D509">
            <v>141.63</v>
          </cell>
        </row>
        <row r="510">
          <cell r="A510" t="str">
            <v>373286-41</v>
          </cell>
          <cell r="B510" t="str">
            <v xml:space="preserve">Preferred Plan (a) Dnt2i                </v>
          </cell>
          <cell r="C510" t="str">
            <v>Jason Roller</v>
          </cell>
          <cell r="D510">
            <v>67.39</v>
          </cell>
        </row>
        <row r="511">
          <cell r="A511" t="str">
            <v>BU4425168</v>
          </cell>
          <cell r="B511" t="str">
            <v>Term Life Express 10 15 20 30</v>
          </cell>
          <cell r="C511" t="str">
            <v>Gregory Teipel</v>
          </cell>
          <cell r="D511">
            <v>217.87</v>
          </cell>
        </row>
        <row r="512">
          <cell r="A512" t="str">
            <v>BU6273213</v>
          </cell>
          <cell r="B512" t="str">
            <v>Iul Express</v>
          </cell>
          <cell r="C512" t="str">
            <v>Gregory Teipel</v>
          </cell>
          <cell r="D512">
            <v>97.12</v>
          </cell>
        </row>
        <row r="513">
          <cell r="A513" t="str">
            <v>BU4765689</v>
          </cell>
          <cell r="B513" t="str">
            <v>Term Life Express 10 15 20 30</v>
          </cell>
          <cell r="C513" t="str">
            <v>Matthew Daugherty</v>
          </cell>
          <cell r="D513">
            <v>300.64</v>
          </cell>
        </row>
        <row r="514">
          <cell r="A514" t="str">
            <v>BU4756810</v>
          </cell>
          <cell r="B514" t="str">
            <v>Tle 15-15yr Guar</v>
          </cell>
          <cell r="C514" t="str">
            <v>Gregory Teipel</v>
          </cell>
          <cell r="D514">
            <v>122.29</v>
          </cell>
        </row>
        <row r="515">
          <cell r="A515" t="str">
            <v>BU5049475</v>
          </cell>
          <cell r="B515" t="str">
            <v>Term Life Express 10 15 20 30</v>
          </cell>
          <cell r="C515" t="str">
            <v>Gregory Teipel</v>
          </cell>
          <cell r="D515">
            <v>79.569999999999993</v>
          </cell>
        </row>
        <row r="516">
          <cell r="A516" t="str">
            <v>BU4635569</v>
          </cell>
          <cell r="B516" t="str">
            <v>Term Life Express 10 15 20 30</v>
          </cell>
          <cell r="C516" t="str">
            <v>Ryan Caltagirone</v>
          </cell>
          <cell r="D516">
            <v>104.02</v>
          </cell>
        </row>
        <row r="517">
          <cell r="A517" t="str">
            <v>BU4975708</v>
          </cell>
          <cell r="B517" t="str">
            <v>Term Life Answer 10 15 20 30</v>
          </cell>
          <cell r="C517" t="str">
            <v>Andrea Petrungaro</v>
          </cell>
          <cell r="D517">
            <v>87.76</v>
          </cell>
        </row>
        <row r="518">
          <cell r="A518" t="str">
            <v>BU4406081</v>
          </cell>
          <cell r="B518" t="str">
            <v>Term Life Express 10 15 20 30</v>
          </cell>
          <cell r="C518" t="str">
            <v>Matthew Daugherty</v>
          </cell>
          <cell r="D518">
            <v>79.989999999999995</v>
          </cell>
        </row>
        <row r="519">
          <cell r="A519" t="str">
            <v>656656-97</v>
          </cell>
          <cell r="B519" t="str">
            <v>Medicare Supplement Plan G</v>
          </cell>
          <cell r="C519" t="str">
            <v>Michael Dunavant</v>
          </cell>
          <cell r="D519">
            <v>116.03</v>
          </cell>
        </row>
        <row r="520">
          <cell r="A520" t="str">
            <v>BU4705352</v>
          </cell>
          <cell r="B520" t="str">
            <v>Term Life Express 10 15 20 30</v>
          </cell>
          <cell r="C520" t="str">
            <v>Ryan Caltagirone</v>
          </cell>
          <cell r="D520">
            <v>136.29</v>
          </cell>
        </row>
        <row r="521">
          <cell r="A521" t="str">
            <v>BU5269003</v>
          </cell>
          <cell r="B521" t="str">
            <v>Iul Express</v>
          </cell>
          <cell r="C521" t="str">
            <v>Gregory Teipel</v>
          </cell>
          <cell r="D521">
            <v>233.48</v>
          </cell>
        </row>
        <row r="522">
          <cell r="A522" t="str">
            <v>BU4473707</v>
          </cell>
          <cell r="B522" t="str">
            <v>Term Life Express 10 15 20 30</v>
          </cell>
          <cell r="C522" t="str">
            <v>Matthew Daugherty</v>
          </cell>
          <cell r="D522">
            <v>86.86</v>
          </cell>
        </row>
        <row r="523">
          <cell r="A523" t="str">
            <v>BU4257415</v>
          </cell>
          <cell r="B523" t="str">
            <v>Iul Express</v>
          </cell>
          <cell r="C523" t="str">
            <v>Gregory Teipel</v>
          </cell>
          <cell r="D523">
            <v>116.94</v>
          </cell>
        </row>
        <row r="524">
          <cell r="A524" t="str">
            <v>BU3882477</v>
          </cell>
          <cell r="B524" t="str">
            <v>Term Life Express 10 15 20 30</v>
          </cell>
          <cell r="C524" t="str">
            <v>Ashley Teipel</v>
          </cell>
          <cell r="D524">
            <v>121.49</v>
          </cell>
        </row>
        <row r="525">
          <cell r="A525" t="str">
            <v>BU5516597</v>
          </cell>
          <cell r="B525" t="str">
            <v xml:space="preserve">Children S - Whole Life                 </v>
          </cell>
          <cell r="C525" t="str">
            <v>Pamela Deaton</v>
          </cell>
          <cell r="D525">
            <v>19.04</v>
          </cell>
        </row>
        <row r="526">
          <cell r="A526" t="str">
            <v>952374-96</v>
          </cell>
          <cell r="B526" t="str">
            <v>Medicare Supplement Plan G</v>
          </cell>
          <cell r="C526" t="str">
            <v>Adam Richter</v>
          </cell>
          <cell r="D526">
            <v>217.66</v>
          </cell>
        </row>
        <row r="527">
          <cell r="A527" t="str">
            <v>BU4950726</v>
          </cell>
          <cell r="B527" t="str">
            <v>Term Life Express 10 15 20 30</v>
          </cell>
          <cell r="C527" t="str">
            <v>Gregory Teipel</v>
          </cell>
          <cell r="D527">
            <v>157.66</v>
          </cell>
        </row>
        <row r="528">
          <cell r="A528" t="str">
            <v>BU3942920</v>
          </cell>
          <cell r="B528" t="str">
            <v>Tle 20-20yr Guar</v>
          </cell>
          <cell r="C528" t="str">
            <v>Ryan Caltagirone</v>
          </cell>
          <cell r="D528">
            <v>139.83000000000001</v>
          </cell>
        </row>
        <row r="529">
          <cell r="A529" t="str">
            <v>808244-97</v>
          </cell>
          <cell r="B529" t="str">
            <v xml:space="preserve">Protection  Plan (c) Dnt5i              </v>
          </cell>
          <cell r="C529" t="str">
            <v>Dale Walenga</v>
          </cell>
          <cell r="D529">
            <v>108.24</v>
          </cell>
        </row>
        <row r="530">
          <cell r="A530" t="str">
            <v>BU4996322</v>
          </cell>
          <cell r="B530" t="str">
            <v>Term Life Express 10 15 20 30</v>
          </cell>
          <cell r="C530" t="str">
            <v>Gregory Teipel</v>
          </cell>
          <cell r="D530">
            <v>202.12</v>
          </cell>
        </row>
        <row r="531">
          <cell r="A531" t="str">
            <v>BU4436395</v>
          </cell>
          <cell r="B531" t="str">
            <v>Term Life Express 10 15 20 30</v>
          </cell>
          <cell r="C531" t="str">
            <v>Matthew Daugherty</v>
          </cell>
          <cell r="D531">
            <v>157.80000000000001</v>
          </cell>
        </row>
        <row r="532">
          <cell r="A532" t="str">
            <v>BU4124636</v>
          </cell>
          <cell r="B532" t="str">
            <v>Iul Express</v>
          </cell>
          <cell r="C532" t="str">
            <v>Gregory Teipel</v>
          </cell>
          <cell r="D532">
            <v>1350</v>
          </cell>
        </row>
        <row r="533">
          <cell r="A533" t="str">
            <v>BU4697639</v>
          </cell>
          <cell r="B533" t="str">
            <v>Iul Express</v>
          </cell>
          <cell r="C533" t="str">
            <v>Gregory Teipel</v>
          </cell>
          <cell r="D533">
            <v>340.07</v>
          </cell>
        </row>
        <row r="534">
          <cell r="A534" t="str">
            <v>BU4293681</v>
          </cell>
          <cell r="B534" t="str">
            <v>Tle 20-20yr Guar</v>
          </cell>
          <cell r="C534" t="str">
            <v>Matthew Daugherty</v>
          </cell>
          <cell r="D534">
            <v>207.93</v>
          </cell>
        </row>
        <row r="535">
          <cell r="A535" t="str">
            <v>BU4442378</v>
          </cell>
          <cell r="B535" t="str">
            <v>Term Life Express 10 15 20 30</v>
          </cell>
          <cell r="C535" t="str">
            <v>Colleen Finnigan</v>
          </cell>
          <cell r="D535">
            <v>97.66</v>
          </cell>
        </row>
        <row r="536">
          <cell r="A536" t="str">
            <v>BU4789369</v>
          </cell>
          <cell r="B536" t="str">
            <v>Term Life Express 10 15 20 30</v>
          </cell>
          <cell r="C536" t="str">
            <v>Ryan Caltagirone</v>
          </cell>
          <cell r="D536">
            <v>112.81</v>
          </cell>
        </row>
        <row r="537">
          <cell r="A537" t="str">
            <v>808254-97</v>
          </cell>
          <cell r="B537" t="str">
            <v xml:space="preserve">Protection  Plan (c) Dnt5i              </v>
          </cell>
          <cell r="C537" t="str">
            <v>Dale Walenga</v>
          </cell>
          <cell r="D537">
            <v>108.24</v>
          </cell>
        </row>
        <row r="538">
          <cell r="A538" t="str">
            <v>372782-97</v>
          </cell>
          <cell r="B538" t="str">
            <v>Medicare Supplement Plan G</v>
          </cell>
          <cell r="C538" t="str">
            <v>Murray Sterner</v>
          </cell>
          <cell r="D538">
            <v>271.94</v>
          </cell>
        </row>
        <row r="539">
          <cell r="A539" t="str">
            <v>BU4206123</v>
          </cell>
          <cell r="B539" t="str">
            <v>Iul Express</v>
          </cell>
          <cell r="C539" t="str">
            <v>Gregory Teipel</v>
          </cell>
          <cell r="D539">
            <v>411.18</v>
          </cell>
        </row>
        <row r="540">
          <cell r="A540" t="str">
            <v>BU6251679</v>
          </cell>
          <cell r="B540" t="str">
            <v xml:space="preserve">Children S - Whole Life                 </v>
          </cell>
          <cell r="C540" t="str">
            <v>Adam Richter</v>
          </cell>
          <cell r="D540">
            <v>23.17</v>
          </cell>
        </row>
        <row r="541">
          <cell r="A541" t="str">
            <v>526481-97</v>
          </cell>
          <cell r="B541" t="str">
            <v>Medicare Supplement Plan G High Deductible</v>
          </cell>
          <cell r="C541" t="str">
            <v>Anne Marie Kozacheck</v>
          </cell>
          <cell r="D541">
            <v>72.97</v>
          </cell>
        </row>
        <row r="542">
          <cell r="A542" t="str">
            <v>488716-97</v>
          </cell>
          <cell r="B542" t="str">
            <v xml:space="preserve">Protection  Plan (c) Dnt5i              </v>
          </cell>
          <cell r="C542" t="str">
            <v>Dale Walenga</v>
          </cell>
          <cell r="D542">
            <v>36.08</v>
          </cell>
        </row>
        <row r="543">
          <cell r="A543" t="str">
            <v>BU5107219</v>
          </cell>
          <cell r="B543" t="str">
            <v>Term Life Express 10 15 20 30</v>
          </cell>
          <cell r="C543" t="str">
            <v>Gregory Teipel</v>
          </cell>
          <cell r="D543">
            <v>105.13</v>
          </cell>
        </row>
        <row r="544">
          <cell r="A544" t="str">
            <v>BU5219041</v>
          </cell>
          <cell r="B544" t="str">
            <v>Term Life Express 10 15 20 30</v>
          </cell>
          <cell r="C544" t="str">
            <v>Ronald Max</v>
          </cell>
          <cell r="D544">
            <v>25.9</v>
          </cell>
        </row>
        <row r="545">
          <cell r="A545" t="str">
            <v>BU6285678</v>
          </cell>
          <cell r="B545" t="str">
            <v>Iul Express</v>
          </cell>
          <cell r="C545" t="str">
            <v>Matthew Daugherty</v>
          </cell>
          <cell r="D545">
            <v>187.69</v>
          </cell>
        </row>
        <row r="546">
          <cell r="A546" t="str">
            <v>BU5065399</v>
          </cell>
          <cell r="B546" t="str">
            <v>Term Life Express 10 15 20 30</v>
          </cell>
          <cell r="C546" t="str">
            <v>Ronald Max</v>
          </cell>
          <cell r="D546">
            <v>118.68</v>
          </cell>
        </row>
        <row r="547">
          <cell r="A547" t="str">
            <v>BU4576159</v>
          </cell>
          <cell r="B547" t="str">
            <v>Term Life Express 10 15 20 30</v>
          </cell>
          <cell r="C547" t="str">
            <v>Matthew Daugherty</v>
          </cell>
          <cell r="D547">
            <v>151.52000000000001</v>
          </cell>
        </row>
        <row r="548">
          <cell r="A548" t="str">
            <v>BU5308223</v>
          </cell>
          <cell r="B548" t="str">
            <v xml:space="preserve">Living Promise - Level  Benefit         </v>
          </cell>
          <cell r="C548" t="str">
            <v>Thomas Pardue</v>
          </cell>
          <cell r="D548">
            <v>106.21</v>
          </cell>
        </row>
        <row r="549">
          <cell r="A549" t="str">
            <v>BU4505773</v>
          </cell>
          <cell r="B549" t="str">
            <v>Term Life Express 10 15 20 30</v>
          </cell>
          <cell r="C549" t="str">
            <v>Ryan Caltagirone</v>
          </cell>
          <cell r="D549">
            <v>210.84</v>
          </cell>
        </row>
        <row r="550">
          <cell r="A550" t="str">
            <v>BU6283257</v>
          </cell>
          <cell r="B550" t="str">
            <v>Tle 20-20yr Guar</v>
          </cell>
          <cell r="C550" t="str">
            <v>Ryan Caltagirone</v>
          </cell>
          <cell r="D550">
            <v>66.430000000000007</v>
          </cell>
        </row>
        <row r="551">
          <cell r="A551" t="str">
            <v>636252-97</v>
          </cell>
          <cell r="B551" t="str">
            <v>Medicare Supplement Plan G</v>
          </cell>
          <cell r="C551" t="str">
            <v>Andrew Choi</v>
          </cell>
          <cell r="D551">
            <v>223.71</v>
          </cell>
        </row>
        <row r="552">
          <cell r="A552" t="str">
            <v>BU6276279</v>
          </cell>
          <cell r="B552" t="str">
            <v>Term Life Express 10 15 20 30</v>
          </cell>
          <cell r="C552" t="str">
            <v>Ryan Caltagirone</v>
          </cell>
          <cell r="D552">
            <v>211.96</v>
          </cell>
        </row>
        <row r="553">
          <cell r="A553" t="str">
            <v>766096-97</v>
          </cell>
          <cell r="B553" t="str">
            <v>Medicare Supplement Plan G</v>
          </cell>
          <cell r="C553" t="str">
            <v>Michael Dunavant</v>
          </cell>
          <cell r="D553">
            <v>159.41</v>
          </cell>
        </row>
        <row r="554">
          <cell r="A554" t="str">
            <v>BU6269155</v>
          </cell>
          <cell r="B554" t="str">
            <v>Iul Express</v>
          </cell>
          <cell r="C554" t="str">
            <v>Gregory Teipel</v>
          </cell>
          <cell r="D554">
            <v>265.99</v>
          </cell>
        </row>
        <row r="555">
          <cell r="A555" t="str">
            <v>617655-97</v>
          </cell>
          <cell r="B555" t="str">
            <v>Medicare Supplement Plan G</v>
          </cell>
          <cell r="C555" t="str">
            <v>Carol Foley</v>
          </cell>
          <cell r="D555">
            <v>154.27000000000001</v>
          </cell>
        </row>
        <row r="556">
          <cell r="A556" t="str">
            <v>BU5403365</v>
          </cell>
          <cell r="B556" t="str">
            <v>Term Life Express 10 15 20 30</v>
          </cell>
          <cell r="C556" t="str">
            <v>Frank Liskovec</v>
          </cell>
          <cell r="D556">
            <v>51.84</v>
          </cell>
        </row>
        <row r="557">
          <cell r="A557" t="str">
            <v>BU4437806</v>
          </cell>
          <cell r="B557" t="str">
            <v>Term Life Express 10 15 20 30</v>
          </cell>
          <cell r="C557" t="str">
            <v>Matthew Daugherty</v>
          </cell>
          <cell r="D557">
            <v>136.57</v>
          </cell>
        </row>
        <row r="558">
          <cell r="A558" t="str">
            <v>569217-96</v>
          </cell>
          <cell r="B558" t="str">
            <v>Medicare Supplement Plan N</v>
          </cell>
          <cell r="C558" t="str">
            <v>Jason Hoffmann</v>
          </cell>
          <cell r="D558">
            <v>1639.07</v>
          </cell>
        </row>
        <row r="559">
          <cell r="A559" t="str">
            <v>BU5116046</v>
          </cell>
          <cell r="B559" t="str">
            <v>Iul Express</v>
          </cell>
          <cell r="C559" t="str">
            <v>Gregory Teipel</v>
          </cell>
          <cell r="D559">
            <v>260.94</v>
          </cell>
        </row>
        <row r="560">
          <cell r="A560" t="str">
            <v>BU6400042</v>
          </cell>
          <cell r="B560" t="str">
            <v xml:space="preserve">Living Promise-graded                   </v>
          </cell>
          <cell r="C560" t="str">
            <v>Gary Portugal</v>
          </cell>
          <cell r="D560">
            <v>80.739999999999995</v>
          </cell>
        </row>
        <row r="561">
          <cell r="A561" t="str">
            <v>BU6307831</v>
          </cell>
          <cell r="B561" t="str">
            <v>Term Life Express 10 15 20 30</v>
          </cell>
          <cell r="C561" t="str">
            <v>Gregory Teipel</v>
          </cell>
          <cell r="D561">
            <v>300.51</v>
          </cell>
        </row>
        <row r="562">
          <cell r="A562" t="str">
            <v>642060-97</v>
          </cell>
          <cell r="B562" t="str">
            <v>Medicare Supplement Plan G</v>
          </cell>
          <cell r="C562" t="str">
            <v>Michael Dunavant</v>
          </cell>
          <cell r="D562">
            <v>128.66999999999999</v>
          </cell>
        </row>
        <row r="563">
          <cell r="A563" t="str">
            <v>BU4567978</v>
          </cell>
          <cell r="B563" t="str">
            <v>Term Life Express 10 15 20 30</v>
          </cell>
          <cell r="C563" t="str">
            <v>Ryan Caltagirone</v>
          </cell>
          <cell r="D563">
            <v>161.19999999999999</v>
          </cell>
        </row>
        <row r="564">
          <cell r="A564" t="str">
            <v>522909-97</v>
          </cell>
          <cell r="B564" t="str">
            <v xml:space="preserve">Protection  Plan (c) Dnt5i              </v>
          </cell>
          <cell r="C564" t="str">
            <v>Richard Yale</v>
          </cell>
          <cell r="D564">
            <v>29.06</v>
          </cell>
        </row>
        <row r="565">
          <cell r="A565" t="str">
            <v>478395-97</v>
          </cell>
          <cell r="B565" t="str">
            <v>Medicare Supplement Plan G</v>
          </cell>
          <cell r="C565" t="str">
            <v>Carol Foley</v>
          </cell>
          <cell r="D565">
            <v>234.1</v>
          </cell>
        </row>
        <row r="566">
          <cell r="A566" t="str">
            <v>522993-97</v>
          </cell>
          <cell r="B566" t="str">
            <v xml:space="preserve">Protection  Plan (c) Dnt5i              </v>
          </cell>
          <cell r="C566" t="str">
            <v>Richard Yale</v>
          </cell>
          <cell r="D566">
            <v>36.72</v>
          </cell>
        </row>
        <row r="567">
          <cell r="A567" t="str">
            <v>BU4574581</v>
          </cell>
          <cell r="B567" t="str">
            <v>Iul Express</v>
          </cell>
          <cell r="C567" t="str">
            <v>Gregory Teipel</v>
          </cell>
          <cell r="D567">
            <v>50.23</v>
          </cell>
        </row>
        <row r="568">
          <cell r="A568" t="str">
            <v>BU5244661</v>
          </cell>
          <cell r="B568" t="str">
            <v>Term Life Express 10 15 20 30</v>
          </cell>
          <cell r="C568" t="str">
            <v>Gregory Teipel</v>
          </cell>
          <cell r="D568">
            <v>174.78</v>
          </cell>
        </row>
        <row r="569">
          <cell r="A569" t="str">
            <v>BU4944276</v>
          </cell>
          <cell r="B569" t="str">
            <v>Iul Express</v>
          </cell>
          <cell r="C569" t="str">
            <v>Ryan Caltagirone</v>
          </cell>
          <cell r="D569">
            <v>122.68</v>
          </cell>
        </row>
        <row r="570">
          <cell r="A570" t="str">
            <v>BU4672476</v>
          </cell>
          <cell r="B570" t="str">
            <v>Tle 20-20yr Guar</v>
          </cell>
          <cell r="C570" t="str">
            <v>Ryan Caltagirone</v>
          </cell>
          <cell r="D570">
            <v>104.52</v>
          </cell>
        </row>
        <row r="571">
          <cell r="A571" t="str">
            <v>BU4887575</v>
          </cell>
          <cell r="B571" t="str">
            <v>Iul Express</v>
          </cell>
          <cell r="C571" t="str">
            <v>Gregory Teipel</v>
          </cell>
          <cell r="D571">
            <v>151.30000000000001</v>
          </cell>
        </row>
        <row r="572">
          <cell r="A572" t="str">
            <v>BU6260866</v>
          </cell>
          <cell r="B572" t="str">
            <v>Iul Express</v>
          </cell>
          <cell r="C572" t="str">
            <v>Gregory Teipel</v>
          </cell>
          <cell r="D572">
            <v>314.35000000000002</v>
          </cell>
        </row>
        <row r="573">
          <cell r="A573" t="str">
            <v>BU6445595</v>
          </cell>
          <cell r="B573" t="str">
            <v>Iul Express</v>
          </cell>
          <cell r="C573" t="str">
            <v>Gregory Teipel</v>
          </cell>
          <cell r="D573">
            <v>122.74</v>
          </cell>
        </row>
        <row r="574">
          <cell r="A574" t="str">
            <v>BU4491067</v>
          </cell>
          <cell r="B574" t="str">
            <v>Term Life Express 10 15 20 30</v>
          </cell>
          <cell r="C574" t="str">
            <v>Matthew Daugherty</v>
          </cell>
          <cell r="D574">
            <v>8.68</v>
          </cell>
        </row>
        <row r="575">
          <cell r="A575" t="str">
            <v>BU4788746</v>
          </cell>
          <cell r="B575" t="str">
            <v>Term Life Express 10 15 20 30</v>
          </cell>
          <cell r="C575" t="str">
            <v>Ryan Caltagirone</v>
          </cell>
          <cell r="D575">
            <v>191.17</v>
          </cell>
        </row>
        <row r="576">
          <cell r="A576" t="str">
            <v>BU4281734</v>
          </cell>
          <cell r="B576" t="str">
            <v>Iul Express</v>
          </cell>
          <cell r="C576" t="str">
            <v>Gregory Teipel</v>
          </cell>
          <cell r="D576">
            <v>143.44999999999999</v>
          </cell>
        </row>
        <row r="577">
          <cell r="A577" t="str">
            <v>BU4089792</v>
          </cell>
          <cell r="B577" t="str">
            <v>Iul Express</v>
          </cell>
          <cell r="C577" t="str">
            <v>Gregory Teipel</v>
          </cell>
          <cell r="D577">
            <v>300</v>
          </cell>
        </row>
        <row r="578">
          <cell r="A578" t="str">
            <v>369673-41</v>
          </cell>
          <cell r="B578" t="str">
            <v xml:space="preserve">Preferred Plan (a) Dnt2e                </v>
          </cell>
          <cell r="C578" t="str">
            <v>Jacob Yale</v>
          </cell>
          <cell r="D578">
            <v>83.85</v>
          </cell>
        </row>
        <row r="579">
          <cell r="A579" t="str">
            <v>BU6247646</v>
          </cell>
          <cell r="B579" t="str">
            <v>Term Life Express 10 15 20 30</v>
          </cell>
          <cell r="C579" t="str">
            <v>Ryan Caltagirone</v>
          </cell>
          <cell r="D579">
            <v>62.21</v>
          </cell>
        </row>
        <row r="580">
          <cell r="A580" t="str">
            <v>BU6377072</v>
          </cell>
          <cell r="B580" t="str">
            <v>Term Life Express 10 15 20 30</v>
          </cell>
          <cell r="C580" t="str">
            <v>Patsamon Thanadabouth</v>
          </cell>
          <cell r="D580">
            <v>16.579999999999998</v>
          </cell>
        </row>
        <row r="581">
          <cell r="A581" t="str">
            <v>BU4988345</v>
          </cell>
          <cell r="B581" t="str">
            <v>Tle 20-20yr Guar</v>
          </cell>
          <cell r="C581" t="str">
            <v>Ryan Caltagirone</v>
          </cell>
          <cell r="D581">
            <v>76.959999999999994</v>
          </cell>
        </row>
        <row r="582">
          <cell r="A582" t="str">
            <v>BU4036842</v>
          </cell>
          <cell r="B582" t="str">
            <v>Term Life Express 10 15 20 30</v>
          </cell>
          <cell r="C582" t="str">
            <v>Ryan Caltagirone</v>
          </cell>
          <cell r="D582">
            <v>60.16</v>
          </cell>
        </row>
        <row r="583">
          <cell r="A583" t="str">
            <v>BU4894727</v>
          </cell>
          <cell r="B583" t="str">
            <v>Iul Express</v>
          </cell>
          <cell r="C583" t="str">
            <v>Gregory Teipel</v>
          </cell>
          <cell r="D583">
            <v>116.55</v>
          </cell>
        </row>
        <row r="584">
          <cell r="A584" t="str">
            <v>BU4389700</v>
          </cell>
          <cell r="B584" t="str">
            <v>Term Life</v>
          </cell>
          <cell r="C584" t="str">
            <v>Matthew Daugherty</v>
          </cell>
          <cell r="D584">
            <v>265.07</v>
          </cell>
        </row>
        <row r="585">
          <cell r="A585" t="str">
            <v>603047-97</v>
          </cell>
          <cell r="B585" t="str">
            <v>Medicare Supplement Plan G</v>
          </cell>
          <cell r="C585" t="str">
            <v>Michael Dunavant</v>
          </cell>
          <cell r="D585">
            <v>165.47</v>
          </cell>
        </row>
        <row r="586">
          <cell r="A586" t="str">
            <v>BU5185200</v>
          </cell>
          <cell r="B586" t="str">
            <v>Tle 20-20yr Guar</v>
          </cell>
          <cell r="C586" t="str">
            <v>Ryan Caltagirone</v>
          </cell>
          <cell r="D586">
            <v>205.48</v>
          </cell>
        </row>
        <row r="587">
          <cell r="A587" t="str">
            <v>BU4103395</v>
          </cell>
          <cell r="B587" t="str">
            <v>Iul Express</v>
          </cell>
          <cell r="C587" t="str">
            <v>Adam Richter</v>
          </cell>
          <cell r="D587">
            <v>256.7</v>
          </cell>
        </row>
        <row r="588">
          <cell r="A588" t="str">
            <v>404195-41</v>
          </cell>
          <cell r="B588" t="str">
            <v xml:space="preserve">Preferred Plan (a) Dnt2e                </v>
          </cell>
          <cell r="C588" t="str">
            <v>Victor Fuentes</v>
          </cell>
          <cell r="D588">
            <v>216.99</v>
          </cell>
        </row>
        <row r="589">
          <cell r="A589" t="str">
            <v>BU4155351</v>
          </cell>
          <cell r="B589" t="str">
            <v>Iul Express</v>
          </cell>
          <cell r="C589" t="str">
            <v>Gregory Teipel</v>
          </cell>
          <cell r="D589">
            <v>152.9</v>
          </cell>
        </row>
        <row r="590">
          <cell r="A590" t="str">
            <v>620585-96</v>
          </cell>
          <cell r="B590" t="str">
            <v>Medicare Supplement Plan G</v>
          </cell>
          <cell r="C590" t="str">
            <v>Jason Hoffmann</v>
          </cell>
          <cell r="D590">
            <v>177.1</v>
          </cell>
        </row>
        <row r="591">
          <cell r="A591" t="str">
            <v>BU4389590</v>
          </cell>
          <cell r="B591" t="str">
            <v>Term Life Express 10 15 20 30</v>
          </cell>
          <cell r="C591" t="str">
            <v>Gregory Teipel</v>
          </cell>
          <cell r="D591">
            <v>82.77</v>
          </cell>
        </row>
        <row r="592">
          <cell r="A592" t="str">
            <v>BU5332383</v>
          </cell>
          <cell r="B592" t="str">
            <v>Iul Express</v>
          </cell>
          <cell r="C592" t="str">
            <v>Ryan Caltagirone</v>
          </cell>
          <cell r="D592">
            <v>197.05</v>
          </cell>
        </row>
        <row r="593">
          <cell r="A593" t="str">
            <v>373674-97</v>
          </cell>
          <cell r="B593" t="str">
            <v>Medicare Supplement Plan G</v>
          </cell>
          <cell r="C593" t="str">
            <v>Adam Richter</v>
          </cell>
          <cell r="D593">
            <v>204.03</v>
          </cell>
        </row>
        <row r="594">
          <cell r="A594" t="str">
            <v>400120-97</v>
          </cell>
          <cell r="B594" t="str">
            <v xml:space="preserve">Preferred Plan (a) Dnt2i                </v>
          </cell>
          <cell r="C594" t="str">
            <v>Richard Yale</v>
          </cell>
          <cell r="D594">
            <v>79.28</v>
          </cell>
        </row>
        <row r="595">
          <cell r="A595" t="str">
            <v>BU4855146</v>
          </cell>
          <cell r="B595" t="str">
            <v>Term Life Express 10 15 20 30</v>
          </cell>
          <cell r="C595" t="str">
            <v>Gregory Teipel</v>
          </cell>
          <cell r="D595">
            <v>70.84</v>
          </cell>
        </row>
        <row r="596">
          <cell r="A596" t="str">
            <v>BU6284326</v>
          </cell>
          <cell r="B596" t="str">
            <v>Tle 15-15yr Guar</v>
          </cell>
          <cell r="C596" t="str">
            <v>Gregory Teipel</v>
          </cell>
          <cell r="D596">
            <v>194.02</v>
          </cell>
        </row>
        <row r="597">
          <cell r="A597" t="str">
            <v>BU4638912</v>
          </cell>
          <cell r="B597" t="str">
            <v>Term Life Express 10 15 20 30</v>
          </cell>
          <cell r="C597" t="str">
            <v>Gregory Teipel</v>
          </cell>
          <cell r="D597">
            <v>163.98</v>
          </cell>
        </row>
        <row r="598">
          <cell r="A598" t="str">
            <v>BU5016708</v>
          </cell>
          <cell r="B598" t="str">
            <v>Term Life Express 10 15 20 30</v>
          </cell>
          <cell r="C598" t="str">
            <v>Matthew Daugherty</v>
          </cell>
          <cell r="D598">
            <v>84.46</v>
          </cell>
        </row>
        <row r="599">
          <cell r="A599" t="str">
            <v>BU6376765</v>
          </cell>
          <cell r="B599" t="str">
            <v>Term Life Express 10 15 20 30</v>
          </cell>
          <cell r="C599" t="str">
            <v>Adam Richter</v>
          </cell>
          <cell r="D599">
            <v>71.819999999999993</v>
          </cell>
        </row>
        <row r="600">
          <cell r="A600" t="str">
            <v>BU4448038</v>
          </cell>
          <cell r="B600" t="str">
            <v>Term Life Express 10 15 20 30</v>
          </cell>
          <cell r="C600" t="str">
            <v>Gregory Teipel</v>
          </cell>
          <cell r="D600">
            <v>100.53</v>
          </cell>
        </row>
        <row r="601">
          <cell r="A601" t="str">
            <v>BU5336528</v>
          </cell>
          <cell r="B601" t="str">
            <v>Iul Express</v>
          </cell>
          <cell r="C601" t="str">
            <v>Gregory Teipel</v>
          </cell>
          <cell r="D601">
            <v>309.85000000000002</v>
          </cell>
        </row>
        <row r="602">
          <cell r="A602" t="str">
            <v>BU4521450</v>
          </cell>
          <cell r="B602" t="str">
            <v>Iul Express</v>
          </cell>
          <cell r="C602" t="str">
            <v>Ryan Caltagirone</v>
          </cell>
          <cell r="D602">
            <v>192.11</v>
          </cell>
        </row>
        <row r="603">
          <cell r="A603" t="str">
            <v>BU4899792</v>
          </cell>
          <cell r="B603" t="str">
            <v>Iul Express</v>
          </cell>
          <cell r="C603" t="str">
            <v>Gregory Teipel</v>
          </cell>
          <cell r="D603">
            <v>4664.88</v>
          </cell>
        </row>
        <row r="604">
          <cell r="A604" t="str">
            <v>BU4146665</v>
          </cell>
          <cell r="B604" t="str">
            <v>Iul Express</v>
          </cell>
          <cell r="C604" t="str">
            <v>Gregory Teipel</v>
          </cell>
          <cell r="D604">
            <v>273.81</v>
          </cell>
        </row>
        <row r="605">
          <cell r="A605" t="str">
            <v>BU4788711</v>
          </cell>
          <cell r="B605" t="str">
            <v>Term Life Express 10 15 20 30</v>
          </cell>
          <cell r="C605" t="str">
            <v>Ryan Caltagirone</v>
          </cell>
          <cell r="D605">
            <v>180.06</v>
          </cell>
        </row>
        <row r="606">
          <cell r="A606" t="str">
            <v>BU5383828</v>
          </cell>
          <cell r="B606" t="str">
            <v>Iul Express</v>
          </cell>
          <cell r="C606" t="str">
            <v>Ryan Caltagirone</v>
          </cell>
          <cell r="D606">
            <v>151.19999999999999</v>
          </cell>
        </row>
        <row r="607">
          <cell r="A607" t="str">
            <v>BU5330115</v>
          </cell>
          <cell r="B607" t="str">
            <v>Term Life Express 10 15 20 30</v>
          </cell>
          <cell r="C607" t="str">
            <v>Ryan Caltagirone</v>
          </cell>
          <cell r="D607">
            <v>50.29</v>
          </cell>
        </row>
        <row r="608">
          <cell r="A608" t="str">
            <v>603087-97</v>
          </cell>
          <cell r="B608" t="str">
            <v>Medicare Supplement Plan G</v>
          </cell>
          <cell r="C608" t="str">
            <v>Michael Dunavant</v>
          </cell>
          <cell r="D608">
            <v>180.14</v>
          </cell>
        </row>
        <row r="609">
          <cell r="A609" t="str">
            <v>458129-97</v>
          </cell>
          <cell r="B609" t="str">
            <v>Medicare Supplement Plan G</v>
          </cell>
          <cell r="C609" t="str">
            <v>Carol Foley</v>
          </cell>
          <cell r="D609">
            <v>183.59</v>
          </cell>
        </row>
        <row r="610">
          <cell r="A610" t="str">
            <v>570778-97</v>
          </cell>
          <cell r="B610" t="str">
            <v xml:space="preserve">Protection  Plan (c) Dnt5i              </v>
          </cell>
          <cell r="C610" t="str">
            <v>Dale Walenga</v>
          </cell>
          <cell r="D610">
            <v>36.08</v>
          </cell>
        </row>
        <row r="611">
          <cell r="A611" t="str">
            <v>BU4403813</v>
          </cell>
          <cell r="B611" t="str">
            <v>Term Life Express 10 15 20 30</v>
          </cell>
          <cell r="C611" t="str">
            <v>Matthew Daugherty</v>
          </cell>
          <cell r="D611">
            <v>137.77000000000001</v>
          </cell>
        </row>
        <row r="612">
          <cell r="A612" t="str">
            <v>800385-96</v>
          </cell>
          <cell r="B612" t="str">
            <v>Medicare Supplement Plan G</v>
          </cell>
          <cell r="C612" t="str">
            <v>Adam Richter</v>
          </cell>
          <cell r="D612">
            <v>204.03</v>
          </cell>
        </row>
        <row r="613">
          <cell r="A613" t="str">
            <v>821212-96</v>
          </cell>
          <cell r="B613" t="str">
            <v>Medicare Supplement Plan G</v>
          </cell>
          <cell r="C613" t="str">
            <v>Anne Marie Kozacheck</v>
          </cell>
          <cell r="D613">
            <v>183.59</v>
          </cell>
        </row>
        <row r="614">
          <cell r="A614" t="str">
            <v>BU5452090</v>
          </cell>
          <cell r="B614" t="str">
            <v>Term Life Express 10 15 20 30</v>
          </cell>
          <cell r="C614" t="str">
            <v>Ryan Caltagirone</v>
          </cell>
          <cell r="D614">
            <v>109.17</v>
          </cell>
        </row>
        <row r="615">
          <cell r="A615" t="str">
            <v>BU5103187</v>
          </cell>
          <cell r="B615" t="str">
            <v>Iul Express</v>
          </cell>
          <cell r="C615" t="str">
            <v>Ryan Caltagirone</v>
          </cell>
          <cell r="D615">
            <v>63.08</v>
          </cell>
        </row>
        <row r="616">
          <cell r="A616" t="str">
            <v>BU3894123</v>
          </cell>
          <cell r="B616" t="str">
            <v>Term Life Express 10 15 20 30</v>
          </cell>
          <cell r="C616" t="str">
            <v>Ashley Teipel</v>
          </cell>
          <cell r="D616">
            <v>114.48</v>
          </cell>
        </row>
        <row r="617">
          <cell r="A617" t="str">
            <v>371396-41</v>
          </cell>
          <cell r="B617" t="str">
            <v xml:space="preserve">Preferred Plan (a) Dnt2b                </v>
          </cell>
          <cell r="C617" t="str">
            <v>Jacob Yale</v>
          </cell>
          <cell r="D617">
            <v>63.16</v>
          </cell>
        </row>
        <row r="618">
          <cell r="A618" t="str">
            <v>BU5143755</v>
          </cell>
          <cell r="B618" t="str">
            <v xml:space="preserve">Living Promise - Level  Benefit         </v>
          </cell>
          <cell r="C618" t="str">
            <v>Andrew Choi</v>
          </cell>
          <cell r="D618">
            <v>123.66</v>
          </cell>
        </row>
        <row r="619">
          <cell r="A619" t="str">
            <v>390478-41</v>
          </cell>
          <cell r="B619" t="str">
            <v>Medicare Supplement Plan A</v>
          </cell>
          <cell r="C619" t="str">
            <v>Ronald Max</v>
          </cell>
          <cell r="D619">
            <v>241.87</v>
          </cell>
        </row>
        <row r="620">
          <cell r="A620" t="str">
            <v>BU4986521</v>
          </cell>
          <cell r="B620" t="str">
            <v>Tle 15-15yr Guar</v>
          </cell>
          <cell r="C620" t="str">
            <v>Gregory Teipel</v>
          </cell>
          <cell r="D620">
            <v>237.63</v>
          </cell>
        </row>
        <row r="621">
          <cell r="A621" t="str">
            <v>492819-41</v>
          </cell>
          <cell r="B621" t="str">
            <v>Medicare Supplement Plan N</v>
          </cell>
          <cell r="C621" t="str">
            <v>Adam Richter</v>
          </cell>
          <cell r="D621">
            <v>188.72</v>
          </cell>
        </row>
        <row r="622">
          <cell r="A622" t="str">
            <v>BU4107425</v>
          </cell>
          <cell r="B622" t="str">
            <v>Iul Express</v>
          </cell>
          <cell r="C622" t="str">
            <v>Gregory Teipel</v>
          </cell>
          <cell r="D622">
            <v>200</v>
          </cell>
        </row>
        <row r="623">
          <cell r="A623" t="str">
            <v>BU4880554</v>
          </cell>
          <cell r="B623" t="str">
            <v>Term Life Express 10 15 20 30</v>
          </cell>
          <cell r="C623" t="str">
            <v>Gregory Teipel</v>
          </cell>
          <cell r="D623">
            <v>151.52000000000001</v>
          </cell>
        </row>
        <row r="624">
          <cell r="A624" t="str">
            <v>BU5337706</v>
          </cell>
          <cell r="B624" t="str">
            <v>Term Life Express 10 15 20 30</v>
          </cell>
          <cell r="C624" t="str">
            <v>Ronald Max</v>
          </cell>
          <cell r="D624">
            <v>28.84</v>
          </cell>
        </row>
        <row r="625">
          <cell r="A625" t="str">
            <v>BU4669506</v>
          </cell>
          <cell r="B625" t="str">
            <v>Iul Express</v>
          </cell>
          <cell r="C625" t="str">
            <v>Ryan Caltagirone</v>
          </cell>
          <cell r="D625">
            <v>309.52</v>
          </cell>
        </row>
        <row r="626">
          <cell r="A626" t="str">
            <v>BU4728001</v>
          </cell>
          <cell r="B626" t="str">
            <v>Term Life Express 10 15 20 30</v>
          </cell>
          <cell r="C626" t="str">
            <v>Matthew Daugherty</v>
          </cell>
          <cell r="D626">
            <v>88.11</v>
          </cell>
        </row>
        <row r="627">
          <cell r="A627" t="str">
            <v>BU5036562</v>
          </cell>
          <cell r="B627" t="str">
            <v>Term Life Express 10 15 20 30</v>
          </cell>
          <cell r="C627" t="str">
            <v>Matthew Daugherty</v>
          </cell>
          <cell r="D627">
            <v>62.57</v>
          </cell>
        </row>
        <row r="628">
          <cell r="A628" t="str">
            <v>BU6345020</v>
          </cell>
          <cell r="B628" t="str">
            <v>Iul Express</v>
          </cell>
          <cell r="C628" t="str">
            <v>Ryan Caltagirone</v>
          </cell>
          <cell r="D628">
            <v>79.739999999999995</v>
          </cell>
        </row>
        <row r="629">
          <cell r="A629" t="str">
            <v>BU5039533</v>
          </cell>
          <cell r="B629" t="str">
            <v>Term Life Express 10 15 20 30</v>
          </cell>
          <cell r="C629" t="str">
            <v>Gregory Teipel</v>
          </cell>
          <cell r="D629">
            <v>193.84</v>
          </cell>
        </row>
        <row r="630">
          <cell r="A630" t="str">
            <v>BU4103385</v>
          </cell>
          <cell r="B630" t="str">
            <v>Iul Express</v>
          </cell>
          <cell r="C630" t="str">
            <v>Gregory Teipel</v>
          </cell>
          <cell r="D630">
            <v>225</v>
          </cell>
        </row>
        <row r="631">
          <cell r="A631" t="str">
            <v>BU5074498</v>
          </cell>
          <cell r="B631" t="str">
            <v>Term Life Express 10 15 20 30</v>
          </cell>
          <cell r="C631" t="str">
            <v>Matthew Daugherty</v>
          </cell>
          <cell r="D631">
            <v>90.87</v>
          </cell>
        </row>
        <row r="632">
          <cell r="A632" t="str">
            <v>BU5510138</v>
          </cell>
          <cell r="B632" t="str">
            <v>Iul Express</v>
          </cell>
          <cell r="C632" t="str">
            <v>Gregory Teipel</v>
          </cell>
          <cell r="D632">
            <v>105.35</v>
          </cell>
        </row>
        <row r="633">
          <cell r="A633" t="str">
            <v>757536-97</v>
          </cell>
          <cell r="B633" t="str">
            <v>Medicare Supplement Plan A</v>
          </cell>
          <cell r="C633" t="str">
            <v>Ronald Max</v>
          </cell>
          <cell r="D633">
            <v>154.37</v>
          </cell>
        </row>
        <row r="634">
          <cell r="A634" t="str">
            <v>980713-96</v>
          </cell>
          <cell r="B634" t="str">
            <v>Medicare Supplement Plan N</v>
          </cell>
          <cell r="C634" t="str">
            <v>Adam Richter</v>
          </cell>
          <cell r="D634">
            <v>120.5</v>
          </cell>
        </row>
        <row r="635">
          <cell r="A635" t="str">
            <v>BU4377381</v>
          </cell>
          <cell r="B635" t="str">
            <v xml:space="preserve">Living Promise - Level  Benefit         </v>
          </cell>
          <cell r="C635" t="str">
            <v>Thomas Kucan</v>
          </cell>
          <cell r="D635">
            <v>122.6</v>
          </cell>
        </row>
        <row r="636">
          <cell r="A636" t="str">
            <v>BU5455987</v>
          </cell>
          <cell r="B636" t="str">
            <v>Term Life Express 10 15 20 30</v>
          </cell>
          <cell r="C636" t="str">
            <v>Thomas Pardue</v>
          </cell>
          <cell r="D636">
            <v>56.74</v>
          </cell>
        </row>
        <row r="637">
          <cell r="A637" t="str">
            <v>992897-96</v>
          </cell>
          <cell r="B637" t="str">
            <v>Medicare Supplement Plan G</v>
          </cell>
          <cell r="C637" t="str">
            <v>Adam Richter</v>
          </cell>
          <cell r="D637">
            <v>147.96</v>
          </cell>
        </row>
        <row r="638">
          <cell r="A638" t="str">
            <v>BU4408005</v>
          </cell>
          <cell r="B638" t="str">
            <v>Term Life Express 10 15 20 30</v>
          </cell>
          <cell r="C638" t="str">
            <v>Gregory Teipel</v>
          </cell>
          <cell r="D638">
            <v>76.72</v>
          </cell>
        </row>
        <row r="639">
          <cell r="A639" t="str">
            <v>BU6169910</v>
          </cell>
          <cell r="B639" t="str">
            <v>Iul Express</v>
          </cell>
          <cell r="C639" t="str">
            <v>Gregory Teipel</v>
          </cell>
          <cell r="D639">
            <v>234.36</v>
          </cell>
        </row>
        <row r="640">
          <cell r="A640" t="str">
            <v>373281-41</v>
          </cell>
          <cell r="B640" t="str">
            <v>Medicare Supplement Plan G</v>
          </cell>
          <cell r="C640" t="str">
            <v>Jason Roller</v>
          </cell>
          <cell r="D640">
            <v>176.91</v>
          </cell>
        </row>
        <row r="641">
          <cell r="A641" t="str">
            <v>548895-97</v>
          </cell>
          <cell r="B641" t="str">
            <v xml:space="preserve">Protection  Plan (c) Dnt5b              </v>
          </cell>
          <cell r="C641" t="str">
            <v>Jacob Yale</v>
          </cell>
          <cell r="D641">
            <v>32.82</v>
          </cell>
        </row>
        <row r="642">
          <cell r="A642" t="str">
            <v>BU5060531</v>
          </cell>
          <cell r="B642" t="str">
            <v>Term Life Express 10 15 20 30</v>
          </cell>
          <cell r="C642" t="str">
            <v>Nasandelger Zana</v>
          </cell>
          <cell r="D642">
            <v>27.77</v>
          </cell>
        </row>
        <row r="643">
          <cell r="A643" t="str">
            <v>BU5101733</v>
          </cell>
          <cell r="B643" t="str">
            <v>Term Life Express 10 15 20 30</v>
          </cell>
          <cell r="C643" t="str">
            <v>Gregory Teipel</v>
          </cell>
          <cell r="D643">
            <v>139.11000000000001</v>
          </cell>
        </row>
        <row r="644">
          <cell r="A644" t="str">
            <v>BU6409843</v>
          </cell>
          <cell r="B644" t="str">
            <v>Iul Express</v>
          </cell>
          <cell r="C644" t="str">
            <v>Gregory Teipel</v>
          </cell>
          <cell r="D644">
            <v>224.65</v>
          </cell>
        </row>
        <row r="645">
          <cell r="A645" t="str">
            <v>BU4960422</v>
          </cell>
          <cell r="B645" t="str">
            <v xml:space="preserve">Living Promise - Level  Benefit         </v>
          </cell>
          <cell r="C645" t="str">
            <v>Gregory Teipel</v>
          </cell>
          <cell r="D645">
            <v>144.88999999999999</v>
          </cell>
        </row>
        <row r="646">
          <cell r="A646" t="str">
            <v>BU5059680</v>
          </cell>
          <cell r="B646" t="str">
            <v>Iul Express</v>
          </cell>
          <cell r="C646" t="str">
            <v>Ryan Caltagirone</v>
          </cell>
          <cell r="D646">
            <v>170</v>
          </cell>
        </row>
        <row r="647">
          <cell r="A647" t="str">
            <v>BU4172786</v>
          </cell>
          <cell r="B647" t="str">
            <v>Iul Express</v>
          </cell>
          <cell r="C647" t="str">
            <v>Ryan Caltagirone</v>
          </cell>
          <cell r="D647">
            <v>276.23</v>
          </cell>
        </row>
        <row r="648">
          <cell r="A648" t="str">
            <v>BU6205379</v>
          </cell>
          <cell r="B648" t="str">
            <v>Iul Express</v>
          </cell>
          <cell r="C648" t="str">
            <v>Deborah Inskipt</v>
          </cell>
          <cell r="D648">
            <v>144.24</v>
          </cell>
        </row>
        <row r="649">
          <cell r="A649" t="str">
            <v>350609-97</v>
          </cell>
          <cell r="B649" t="str">
            <v>Medicare Supplement Plan G</v>
          </cell>
          <cell r="C649" t="str">
            <v>Carol Foley</v>
          </cell>
          <cell r="D649">
            <v>197.71</v>
          </cell>
        </row>
        <row r="650">
          <cell r="A650" t="str">
            <v>BU5150971</v>
          </cell>
          <cell r="B650" t="str">
            <v>Iul Express</v>
          </cell>
          <cell r="C650" t="str">
            <v>Gregory Teipel</v>
          </cell>
          <cell r="D650">
            <v>102.19</v>
          </cell>
        </row>
        <row r="651">
          <cell r="A651" t="str">
            <v>BU5149560</v>
          </cell>
          <cell r="B651" t="str">
            <v>Tle 20-20yr Guar</v>
          </cell>
          <cell r="C651" t="str">
            <v>Ryan Caltagirone</v>
          </cell>
          <cell r="D651">
            <v>106.98</v>
          </cell>
        </row>
        <row r="652">
          <cell r="A652" t="str">
            <v>BU5207458</v>
          </cell>
          <cell r="B652" t="str">
            <v>Iul Express</v>
          </cell>
          <cell r="C652" t="str">
            <v>Deborah Inskipt</v>
          </cell>
          <cell r="D652">
            <v>35.75</v>
          </cell>
        </row>
        <row r="653">
          <cell r="A653" t="str">
            <v>779094-96</v>
          </cell>
          <cell r="B653" t="str">
            <v>Medicare Supplement Plan G</v>
          </cell>
          <cell r="C653" t="str">
            <v>Carol Foley</v>
          </cell>
          <cell r="D653">
            <v>224.13</v>
          </cell>
        </row>
        <row r="654">
          <cell r="A654" t="str">
            <v>BU5539063</v>
          </cell>
          <cell r="B654" t="str">
            <v>Term Life Express 10 15 20 30</v>
          </cell>
          <cell r="C654" t="str">
            <v>Gregory Teipel</v>
          </cell>
          <cell r="D654">
            <v>251.31</v>
          </cell>
        </row>
        <row r="655">
          <cell r="A655" t="str">
            <v>392276-41</v>
          </cell>
          <cell r="B655" t="str">
            <v>Medicare Supplement Plan G</v>
          </cell>
          <cell r="C655" t="str">
            <v>Gregory Teipel</v>
          </cell>
          <cell r="D655">
            <v>210.14</v>
          </cell>
        </row>
        <row r="656">
          <cell r="A656" t="str">
            <v>BU5019618</v>
          </cell>
          <cell r="B656" t="str">
            <v>Term Life Express 10 15 20 30</v>
          </cell>
          <cell r="C656" t="str">
            <v>Matthew Daugherty</v>
          </cell>
          <cell r="D656">
            <v>65.5</v>
          </cell>
        </row>
        <row r="657">
          <cell r="A657" t="str">
            <v>BU6169909</v>
          </cell>
          <cell r="B657" t="str">
            <v>Iul Express</v>
          </cell>
          <cell r="C657" t="str">
            <v>Gregory Teipel</v>
          </cell>
          <cell r="D657">
            <v>75.55</v>
          </cell>
        </row>
        <row r="658">
          <cell r="A658" t="str">
            <v>BU5188561</v>
          </cell>
          <cell r="B658" t="str">
            <v>Term Life Express 10 15 20 30</v>
          </cell>
          <cell r="C658" t="str">
            <v>Ryan Caltagirone</v>
          </cell>
          <cell r="D658">
            <v>75.19</v>
          </cell>
        </row>
        <row r="659">
          <cell r="A659" t="str">
            <v>480530-97</v>
          </cell>
          <cell r="B659" t="str">
            <v>Medicare Supplement Plan G</v>
          </cell>
          <cell r="C659" t="str">
            <v>Michael Dunavant</v>
          </cell>
          <cell r="D659">
            <v>190.41</v>
          </cell>
        </row>
        <row r="660">
          <cell r="A660" t="str">
            <v>BU5642719</v>
          </cell>
          <cell r="B660" t="str">
            <v>Term Life Express 10 15 20 30</v>
          </cell>
          <cell r="C660" t="str">
            <v>Matthew Daugherty</v>
          </cell>
          <cell r="D660">
            <v>56.6</v>
          </cell>
        </row>
        <row r="661">
          <cell r="A661" t="str">
            <v>BU4305626</v>
          </cell>
          <cell r="B661" t="str">
            <v>Iul Express</v>
          </cell>
          <cell r="C661" t="str">
            <v>Ryan Caltagirone</v>
          </cell>
          <cell r="D661">
            <v>137.63</v>
          </cell>
        </row>
        <row r="662">
          <cell r="A662" t="str">
            <v>BU4821249</v>
          </cell>
          <cell r="B662" t="str">
            <v xml:space="preserve">Living Promise - Level  Benefit         </v>
          </cell>
          <cell r="C662" t="str">
            <v>Gregory Teipel</v>
          </cell>
          <cell r="D662">
            <v>175.78</v>
          </cell>
        </row>
        <row r="663">
          <cell r="A663" t="str">
            <v>BU4421131</v>
          </cell>
          <cell r="B663" t="str">
            <v>Term Life Express 10 15 20 30</v>
          </cell>
          <cell r="C663" t="str">
            <v>Matthew Daugherty</v>
          </cell>
          <cell r="D663">
            <v>180.23</v>
          </cell>
        </row>
        <row r="664">
          <cell r="A664" t="str">
            <v>BU4456041</v>
          </cell>
          <cell r="B664" t="str">
            <v>Iul Express</v>
          </cell>
          <cell r="C664" t="str">
            <v>Gregory Teipel</v>
          </cell>
          <cell r="D664">
            <v>187.09</v>
          </cell>
        </row>
        <row r="665">
          <cell r="A665" t="str">
            <v>BU5070997</v>
          </cell>
          <cell r="B665" t="str">
            <v xml:space="preserve">Living Promise-graded                   </v>
          </cell>
          <cell r="C665" t="str">
            <v>Gregory Teipel</v>
          </cell>
          <cell r="D665">
            <v>155.88999999999999</v>
          </cell>
        </row>
        <row r="666">
          <cell r="A666" t="str">
            <v>BU4959511</v>
          </cell>
          <cell r="B666" t="str">
            <v>Term Life Express 10 15 20 30</v>
          </cell>
          <cell r="C666" t="str">
            <v>Gregory Teipel</v>
          </cell>
          <cell r="D666">
            <v>223.92</v>
          </cell>
        </row>
        <row r="667">
          <cell r="A667" t="str">
            <v>BU5428088</v>
          </cell>
          <cell r="B667" t="str">
            <v xml:space="preserve">Living Promise - Level  Benefit         </v>
          </cell>
          <cell r="C667" t="str">
            <v>Gary Portugal</v>
          </cell>
          <cell r="D667">
            <v>54.98</v>
          </cell>
        </row>
        <row r="668">
          <cell r="A668" t="str">
            <v>BU6251397</v>
          </cell>
          <cell r="B668" t="str">
            <v>Iul Express</v>
          </cell>
          <cell r="C668" t="str">
            <v>Adam Richter</v>
          </cell>
          <cell r="D668">
            <v>90.16</v>
          </cell>
        </row>
        <row r="669">
          <cell r="A669" t="str">
            <v>934966-96</v>
          </cell>
          <cell r="B669" t="str">
            <v>Medicare Supplement Plan G</v>
          </cell>
          <cell r="C669" t="str">
            <v>Gregory Teipel</v>
          </cell>
          <cell r="D669">
            <v>142.80000000000001</v>
          </cell>
        </row>
        <row r="670">
          <cell r="A670" t="str">
            <v>BU4920815</v>
          </cell>
          <cell r="B670" t="str">
            <v>Iul Express</v>
          </cell>
          <cell r="C670" t="str">
            <v>Ronald Max</v>
          </cell>
          <cell r="D670">
            <v>102.89</v>
          </cell>
        </row>
        <row r="671">
          <cell r="A671" t="str">
            <v>BU5293985</v>
          </cell>
          <cell r="B671" t="str">
            <v>Term Life Express 10 15 20 30</v>
          </cell>
          <cell r="C671" t="str">
            <v>Gregory Teipel</v>
          </cell>
          <cell r="D671">
            <v>175.33</v>
          </cell>
        </row>
        <row r="672">
          <cell r="A672" t="str">
            <v>651670-97</v>
          </cell>
          <cell r="B672" t="str">
            <v>Medicare Supplement Plan G</v>
          </cell>
          <cell r="C672" t="str">
            <v>Gregory Teipel</v>
          </cell>
          <cell r="D672">
            <v>121.45</v>
          </cell>
        </row>
        <row r="673">
          <cell r="A673" t="str">
            <v>BU4451814</v>
          </cell>
          <cell r="B673" t="str">
            <v>Term Life Express 10 15 20 30</v>
          </cell>
          <cell r="C673" t="str">
            <v>Matthew Daugherty</v>
          </cell>
          <cell r="D673">
            <v>113.36</v>
          </cell>
        </row>
        <row r="674">
          <cell r="A674" t="str">
            <v>BU5200825</v>
          </cell>
          <cell r="B674" t="str">
            <v>Iul Express</v>
          </cell>
          <cell r="C674" t="str">
            <v>Matthew Powers</v>
          </cell>
          <cell r="D674">
            <v>33.44</v>
          </cell>
        </row>
        <row r="675">
          <cell r="A675" t="str">
            <v>BU5356516</v>
          </cell>
          <cell r="B675" t="str">
            <v>Iul Express</v>
          </cell>
          <cell r="C675" t="str">
            <v>Gregory Teipel</v>
          </cell>
          <cell r="D675">
            <v>171.02</v>
          </cell>
        </row>
        <row r="676">
          <cell r="A676" t="str">
            <v>373280-41</v>
          </cell>
          <cell r="B676" t="str">
            <v xml:space="preserve">Preferred Plan (a) Dnt2i                </v>
          </cell>
          <cell r="C676" t="str">
            <v>Jason Roller</v>
          </cell>
          <cell r="D676">
            <v>67.39</v>
          </cell>
        </row>
        <row r="677">
          <cell r="A677" t="str">
            <v>BU4538331</v>
          </cell>
          <cell r="B677" t="str">
            <v xml:space="preserve">Children S - Whole Life                 </v>
          </cell>
          <cell r="C677" t="str">
            <v>Ryan Caltagirone</v>
          </cell>
          <cell r="D677">
            <v>23.17</v>
          </cell>
        </row>
        <row r="678">
          <cell r="A678" t="str">
            <v>BU5621187</v>
          </cell>
          <cell r="B678" t="str">
            <v>Term Life Express 10 15 20 30</v>
          </cell>
          <cell r="C678" t="str">
            <v>Gregory Teipel</v>
          </cell>
          <cell r="D678">
            <v>138.91</v>
          </cell>
        </row>
        <row r="679">
          <cell r="A679" t="str">
            <v>BU5096215</v>
          </cell>
          <cell r="B679" t="str">
            <v xml:space="preserve">Living Promise-graded                   </v>
          </cell>
          <cell r="C679" t="str">
            <v>Timothy Powers</v>
          </cell>
          <cell r="D679">
            <v>49.99</v>
          </cell>
        </row>
        <row r="680">
          <cell r="A680" t="str">
            <v>BU6490665</v>
          </cell>
          <cell r="B680" t="str">
            <v>Term Life Express 10 15 20 30</v>
          </cell>
          <cell r="C680" t="str">
            <v>Steven Brandt</v>
          </cell>
          <cell r="D680">
            <v>86.48</v>
          </cell>
        </row>
        <row r="681">
          <cell r="A681" t="str">
            <v>BU4857940</v>
          </cell>
          <cell r="B681" t="str">
            <v>Term Life Express 10 15 20 30</v>
          </cell>
          <cell r="C681" t="str">
            <v>Gregory Teipel</v>
          </cell>
          <cell r="D681">
            <v>114.48</v>
          </cell>
        </row>
        <row r="682">
          <cell r="A682" t="str">
            <v>BU5595351</v>
          </cell>
          <cell r="B682" t="str">
            <v>Iul Express</v>
          </cell>
          <cell r="C682" t="str">
            <v>Jason Roller</v>
          </cell>
          <cell r="D682">
            <v>99.07</v>
          </cell>
        </row>
        <row r="683">
          <cell r="A683" t="str">
            <v>BU4559352</v>
          </cell>
          <cell r="B683" t="str">
            <v>Iul Express</v>
          </cell>
          <cell r="C683" t="str">
            <v>Ryan Caltagirone</v>
          </cell>
          <cell r="D683">
            <v>220.93</v>
          </cell>
        </row>
        <row r="684">
          <cell r="A684" t="str">
            <v>BU5199706</v>
          </cell>
          <cell r="B684" t="str">
            <v>Iul Express</v>
          </cell>
          <cell r="C684" t="str">
            <v>Ryan Caltagirone</v>
          </cell>
          <cell r="D684">
            <v>207.73</v>
          </cell>
        </row>
        <row r="685">
          <cell r="A685" t="str">
            <v>BU6227105</v>
          </cell>
          <cell r="B685" t="str">
            <v>Iul Express</v>
          </cell>
          <cell r="C685" t="str">
            <v>Gregory Teipel</v>
          </cell>
          <cell r="D685">
            <v>153.74</v>
          </cell>
        </row>
        <row r="686">
          <cell r="A686" t="str">
            <v>BU5595319</v>
          </cell>
          <cell r="B686" t="str">
            <v>Tle 20-20yr Guar</v>
          </cell>
          <cell r="C686" t="str">
            <v>Ryan Caltagirone</v>
          </cell>
          <cell r="D686">
            <v>97.44</v>
          </cell>
        </row>
        <row r="687">
          <cell r="A687" t="str">
            <v>BU4945634</v>
          </cell>
          <cell r="B687" t="str">
            <v>Term Life Express 10 15 20 30</v>
          </cell>
          <cell r="C687" t="str">
            <v>Gregory Teipel</v>
          </cell>
          <cell r="D687">
            <v>114.63</v>
          </cell>
        </row>
        <row r="688">
          <cell r="A688" t="str">
            <v>BU5150814</v>
          </cell>
          <cell r="B688" t="str">
            <v>Term Life Express 10 15 20 30</v>
          </cell>
          <cell r="C688" t="str">
            <v>Gregory Teipel</v>
          </cell>
          <cell r="D688">
            <v>175.15</v>
          </cell>
        </row>
        <row r="689">
          <cell r="A689" t="str">
            <v>BU5150893</v>
          </cell>
          <cell r="B689" t="str">
            <v xml:space="preserve">Children S - Whole Life                 </v>
          </cell>
          <cell r="C689" t="str">
            <v>Nasandelger Zana</v>
          </cell>
          <cell r="D689">
            <v>19.04</v>
          </cell>
        </row>
        <row r="690">
          <cell r="A690" t="str">
            <v>BU5085343</v>
          </cell>
          <cell r="B690" t="str">
            <v>Term Life Express 10 15 20 30</v>
          </cell>
          <cell r="C690" t="str">
            <v>Gregory Teipel</v>
          </cell>
          <cell r="D690">
            <v>31.51</v>
          </cell>
        </row>
        <row r="691">
          <cell r="A691" t="str">
            <v>BU5547009</v>
          </cell>
          <cell r="B691" t="str">
            <v>Iul Express</v>
          </cell>
          <cell r="C691" t="str">
            <v>Gregory Teipel</v>
          </cell>
          <cell r="D691">
            <v>267.10000000000002</v>
          </cell>
        </row>
        <row r="692">
          <cell r="A692" t="str">
            <v>BU6370498</v>
          </cell>
          <cell r="B692" t="str">
            <v>Iul Express</v>
          </cell>
          <cell r="C692" t="str">
            <v>Gregory Teipel</v>
          </cell>
          <cell r="D692">
            <v>156.77000000000001</v>
          </cell>
        </row>
        <row r="693">
          <cell r="A693" t="str">
            <v>563542-96</v>
          </cell>
          <cell r="B693" t="str">
            <v>Medicare Supplement Plan G</v>
          </cell>
          <cell r="C693" t="str">
            <v>Carol Foley</v>
          </cell>
          <cell r="D693">
            <v>224.13</v>
          </cell>
        </row>
        <row r="694">
          <cell r="A694" t="str">
            <v>BU4617492</v>
          </cell>
          <cell r="B694" t="str">
            <v>Term Life Express 10 15 20 30</v>
          </cell>
          <cell r="C694" t="str">
            <v>Gregory Teipel</v>
          </cell>
          <cell r="D694">
            <v>125.42</v>
          </cell>
        </row>
        <row r="695">
          <cell r="A695" t="str">
            <v>BU5173008</v>
          </cell>
          <cell r="B695" t="str">
            <v>Iul Express</v>
          </cell>
          <cell r="C695" t="str">
            <v>Gregory Teipel</v>
          </cell>
          <cell r="D695">
            <v>363.62</v>
          </cell>
        </row>
        <row r="696">
          <cell r="A696" t="str">
            <v>523947-97</v>
          </cell>
          <cell r="B696" t="str">
            <v>Medicare Supplement Plan G</v>
          </cell>
          <cell r="C696" t="str">
            <v>Adam Richter</v>
          </cell>
          <cell r="D696">
            <v>204.03</v>
          </cell>
        </row>
        <row r="697">
          <cell r="A697" t="str">
            <v>BU4758545</v>
          </cell>
          <cell r="B697" t="str">
            <v>Term Life Express 10 15 20 30</v>
          </cell>
          <cell r="C697" t="str">
            <v>Gregory Teipel</v>
          </cell>
          <cell r="D697">
            <v>65.72</v>
          </cell>
        </row>
        <row r="698">
          <cell r="A698" t="str">
            <v>BU4081322</v>
          </cell>
          <cell r="B698" t="str">
            <v>Iul Express</v>
          </cell>
          <cell r="C698" t="str">
            <v>Gregory Teipel</v>
          </cell>
          <cell r="D698">
            <v>90</v>
          </cell>
        </row>
        <row r="699">
          <cell r="A699" t="str">
            <v>BU6437102</v>
          </cell>
          <cell r="B699" t="str">
            <v xml:space="preserve">Living Promise - Level  Benefit         </v>
          </cell>
          <cell r="C699" t="str">
            <v>Gregory Teipel</v>
          </cell>
          <cell r="D699">
            <v>28.39</v>
          </cell>
        </row>
        <row r="700">
          <cell r="A700" t="str">
            <v>BU6216469</v>
          </cell>
          <cell r="B700" t="str">
            <v>Term Life Express 10 15 20 30</v>
          </cell>
          <cell r="C700" t="str">
            <v>Matthew Daugherty</v>
          </cell>
          <cell r="D700">
            <v>62.57</v>
          </cell>
        </row>
        <row r="701">
          <cell r="A701" t="str">
            <v>BU4791148</v>
          </cell>
          <cell r="B701" t="str">
            <v>Tle 20-20yr Guar</v>
          </cell>
          <cell r="C701" t="str">
            <v>Ryan Caltagirone</v>
          </cell>
          <cell r="D701">
            <v>43.79</v>
          </cell>
        </row>
        <row r="702">
          <cell r="A702" t="str">
            <v>BU5501966</v>
          </cell>
          <cell r="B702" t="str">
            <v>Iul Express</v>
          </cell>
          <cell r="C702" t="str">
            <v>Jason Roller</v>
          </cell>
          <cell r="D702">
            <v>153.93</v>
          </cell>
        </row>
        <row r="703">
          <cell r="A703" t="str">
            <v>BU4168487</v>
          </cell>
          <cell r="B703" t="str">
            <v>Iul Express</v>
          </cell>
          <cell r="C703" t="str">
            <v>Gregory Teipel</v>
          </cell>
          <cell r="D703">
            <v>147.58000000000001</v>
          </cell>
        </row>
        <row r="704">
          <cell r="A704" t="str">
            <v>BU5545094</v>
          </cell>
          <cell r="B704" t="str">
            <v>Term Life Express 10 15 20 30</v>
          </cell>
          <cell r="C704" t="str">
            <v>Matthew Daugherty</v>
          </cell>
          <cell r="D704">
            <v>91.31</v>
          </cell>
        </row>
        <row r="705">
          <cell r="A705" t="str">
            <v>856935-97</v>
          </cell>
          <cell r="B705" t="str">
            <v xml:space="preserve">Preferred Plan (a) Dnt2e                </v>
          </cell>
          <cell r="C705" t="str">
            <v>Robert Shapiro</v>
          </cell>
          <cell r="D705">
            <v>72.33</v>
          </cell>
        </row>
        <row r="706">
          <cell r="A706" t="str">
            <v>BU5108099</v>
          </cell>
          <cell r="B706" t="str">
            <v xml:space="preserve">Living Promise - Level  Benefit         </v>
          </cell>
          <cell r="C706" t="str">
            <v>Gregory Teipel</v>
          </cell>
          <cell r="D706">
            <v>137.1</v>
          </cell>
        </row>
        <row r="707">
          <cell r="A707" t="str">
            <v>BU5261431</v>
          </cell>
          <cell r="B707" t="str">
            <v>Term Life Express 10 15 20 30</v>
          </cell>
          <cell r="C707" t="str">
            <v>Ryan Caltagirone</v>
          </cell>
          <cell r="D707">
            <v>130.19</v>
          </cell>
        </row>
        <row r="708">
          <cell r="A708" t="str">
            <v>BU4462993</v>
          </cell>
          <cell r="B708" t="str">
            <v>Term Life Express 10 15 20 30</v>
          </cell>
          <cell r="C708" t="str">
            <v>Gregory Teipel</v>
          </cell>
          <cell r="D708">
            <v>117.59</v>
          </cell>
        </row>
        <row r="709">
          <cell r="A709" t="str">
            <v>BU5305630</v>
          </cell>
          <cell r="B709" t="str">
            <v>Iul Express</v>
          </cell>
          <cell r="C709" t="str">
            <v>Gregory Teipel</v>
          </cell>
          <cell r="D709">
            <v>225.39</v>
          </cell>
        </row>
        <row r="710">
          <cell r="A710" t="str">
            <v>BU4962144</v>
          </cell>
          <cell r="B710" t="str">
            <v>Term Life Express 10 15 20 30</v>
          </cell>
          <cell r="C710" t="str">
            <v>Ryan Caltagirone</v>
          </cell>
          <cell r="D710">
            <v>125.42</v>
          </cell>
        </row>
        <row r="711">
          <cell r="A711" t="str">
            <v>BU5391914</v>
          </cell>
          <cell r="B711" t="str">
            <v>Tle 20-20yr Guar</v>
          </cell>
          <cell r="C711" t="str">
            <v>Gregory Teipel</v>
          </cell>
          <cell r="D711">
            <v>116.41</v>
          </cell>
        </row>
        <row r="712">
          <cell r="A712" t="str">
            <v>BU6281561</v>
          </cell>
          <cell r="B712" t="str">
            <v>Iul Express</v>
          </cell>
          <cell r="C712" t="str">
            <v>Gregory Teipel</v>
          </cell>
          <cell r="D712">
            <v>297.38</v>
          </cell>
        </row>
        <row r="713">
          <cell r="A713" t="str">
            <v>BU4137443</v>
          </cell>
          <cell r="B713" t="str">
            <v>Iul Express</v>
          </cell>
          <cell r="C713" t="str">
            <v>Gregory Teipel</v>
          </cell>
          <cell r="D713">
            <v>260</v>
          </cell>
        </row>
        <row r="714">
          <cell r="A714" t="str">
            <v>BU4103711</v>
          </cell>
          <cell r="B714" t="str">
            <v>Term Life Express 10 15 20 30</v>
          </cell>
          <cell r="C714" t="str">
            <v>Adam Richter</v>
          </cell>
          <cell r="D714">
            <v>183.03</v>
          </cell>
        </row>
        <row r="715">
          <cell r="A715" t="str">
            <v>BU5145185</v>
          </cell>
          <cell r="B715" t="str">
            <v>Iul Express</v>
          </cell>
          <cell r="C715" t="str">
            <v>Nasandelger Zana</v>
          </cell>
          <cell r="D715">
            <v>99.92</v>
          </cell>
        </row>
        <row r="716">
          <cell r="A716" t="str">
            <v>BU6345021</v>
          </cell>
          <cell r="B716" t="str">
            <v>Iul Express</v>
          </cell>
          <cell r="C716" t="str">
            <v>Ryan Caltagirone</v>
          </cell>
          <cell r="D716">
            <v>86.28</v>
          </cell>
        </row>
        <row r="717">
          <cell r="A717" t="str">
            <v>BU4972458</v>
          </cell>
          <cell r="B717" t="str">
            <v>Term Life Express 10 15 20 30</v>
          </cell>
          <cell r="C717" t="str">
            <v>Matthew Daugherty</v>
          </cell>
          <cell r="D717">
            <v>64.61</v>
          </cell>
        </row>
        <row r="718">
          <cell r="A718" t="str">
            <v>647995-97</v>
          </cell>
          <cell r="B718" t="str">
            <v>Medicare Supplement Plan G</v>
          </cell>
          <cell r="C718" t="str">
            <v>Michael Dunavant</v>
          </cell>
          <cell r="D718">
            <v>129.38999999999999</v>
          </cell>
        </row>
        <row r="719">
          <cell r="A719" t="str">
            <v>402367-41</v>
          </cell>
          <cell r="B719" t="str">
            <v xml:space="preserve">Protection  Plan (c) Dnt5e              </v>
          </cell>
          <cell r="C719" t="str">
            <v>Chad Yale</v>
          </cell>
          <cell r="D719">
            <v>27.15</v>
          </cell>
        </row>
        <row r="720">
          <cell r="A720" t="str">
            <v>BU4534054</v>
          </cell>
          <cell r="B720" t="str">
            <v>Iul Express</v>
          </cell>
          <cell r="C720" t="str">
            <v>Ryan Caltagirone</v>
          </cell>
          <cell r="D720">
            <v>231</v>
          </cell>
        </row>
        <row r="721">
          <cell r="A721" t="str">
            <v>BU4756850</v>
          </cell>
          <cell r="B721" t="str">
            <v>Tle 15-15yr Guar</v>
          </cell>
          <cell r="C721" t="str">
            <v>Gregory Teipel</v>
          </cell>
          <cell r="D721">
            <v>112.41</v>
          </cell>
        </row>
        <row r="722">
          <cell r="A722" t="str">
            <v>BU4146675</v>
          </cell>
          <cell r="B722" t="str">
            <v>Iul Express</v>
          </cell>
          <cell r="C722" t="str">
            <v>Gregory Teipel</v>
          </cell>
          <cell r="D722">
            <v>260.70999999999998</v>
          </cell>
        </row>
        <row r="723">
          <cell r="A723" t="str">
            <v>BU4887724</v>
          </cell>
          <cell r="B723" t="str">
            <v>Iul Express</v>
          </cell>
          <cell r="C723" t="str">
            <v>Gregory Teipel</v>
          </cell>
          <cell r="D723">
            <v>56.03</v>
          </cell>
        </row>
        <row r="724">
          <cell r="A724" t="str">
            <v>BU4473389</v>
          </cell>
          <cell r="B724" t="str">
            <v>Term Life Express 10 15 20 30</v>
          </cell>
          <cell r="C724" t="str">
            <v>Ryan Caltagirone</v>
          </cell>
          <cell r="D724">
            <v>328.14</v>
          </cell>
        </row>
        <row r="725">
          <cell r="A725" t="str">
            <v>BU5053838</v>
          </cell>
          <cell r="B725" t="str">
            <v>Term Life Express 10 15 20 30</v>
          </cell>
          <cell r="C725" t="str">
            <v>Gregory Teipel</v>
          </cell>
          <cell r="D725">
            <v>55.8</v>
          </cell>
        </row>
        <row r="726">
          <cell r="A726" t="str">
            <v>BU6172468</v>
          </cell>
          <cell r="B726" t="str">
            <v>Iul Express</v>
          </cell>
          <cell r="C726" t="str">
            <v>Dominic Lytle</v>
          </cell>
          <cell r="D726">
            <v>53.84</v>
          </cell>
        </row>
        <row r="727">
          <cell r="A727" t="str">
            <v>BU4141927</v>
          </cell>
          <cell r="B727" t="str">
            <v>Iul Express</v>
          </cell>
          <cell r="C727" t="str">
            <v>Ryan Caltagirone</v>
          </cell>
          <cell r="D727">
            <v>220.92</v>
          </cell>
        </row>
        <row r="728">
          <cell r="A728" t="str">
            <v>BU4635264</v>
          </cell>
          <cell r="B728" t="str">
            <v>Term Life Express 10 15 20 30</v>
          </cell>
          <cell r="C728" t="str">
            <v>Gregory Teipel</v>
          </cell>
          <cell r="D728">
            <v>138.4</v>
          </cell>
        </row>
        <row r="729">
          <cell r="A729" t="str">
            <v>BU4701070</v>
          </cell>
          <cell r="B729" t="str">
            <v>Iul Express</v>
          </cell>
          <cell r="C729" t="str">
            <v>Ryan Caltagirone</v>
          </cell>
          <cell r="D729">
            <v>144.75</v>
          </cell>
        </row>
        <row r="730">
          <cell r="A730" t="str">
            <v>BU4434943</v>
          </cell>
          <cell r="B730" t="str">
            <v>Term Life</v>
          </cell>
          <cell r="C730" t="str">
            <v>Matthew Daugherty</v>
          </cell>
          <cell r="D730">
            <v>211.16</v>
          </cell>
        </row>
        <row r="731">
          <cell r="A731" t="str">
            <v>BU4927721</v>
          </cell>
          <cell r="B731" t="str">
            <v>Iul Express</v>
          </cell>
          <cell r="C731" t="str">
            <v>Ryan Caltagirone</v>
          </cell>
          <cell r="D731">
            <v>178.25</v>
          </cell>
        </row>
        <row r="732">
          <cell r="A732" t="str">
            <v>BU4585176</v>
          </cell>
          <cell r="B732" t="str">
            <v>Term Life Express 10 15 20 30</v>
          </cell>
          <cell r="C732" t="str">
            <v>Gregory Teipel</v>
          </cell>
          <cell r="D732">
            <v>191.35</v>
          </cell>
        </row>
        <row r="733">
          <cell r="A733" t="str">
            <v>BU6218860</v>
          </cell>
          <cell r="B733" t="str">
            <v>Tle 20-20yr Guar</v>
          </cell>
          <cell r="C733" t="str">
            <v>Matthew Daugherty</v>
          </cell>
          <cell r="D733">
            <v>94.07</v>
          </cell>
        </row>
        <row r="734">
          <cell r="A734" t="str">
            <v>BU5502285</v>
          </cell>
          <cell r="B734" t="str">
            <v>Term Life Express 10 15 20 30</v>
          </cell>
          <cell r="C734" t="str">
            <v>Victor Fuentes</v>
          </cell>
          <cell r="D734">
            <v>61.94</v>
          </cell>
        </row>
        <row r="735">
          <cell r="A735" t="str">
            <v>BU5090019</v>
          </cell>
          <cell r="B735" t="str">
            <v>Iul Express</v>
          </cell>
          <cell r="C735" t="str">
            <v>Ryan Caltagirone</v>
          </cell>
          <cell r="D735">
            <v>125.71</v>
          </cell>
        </row>
        <row r="736">
          <cell r="A736" t="str">
            <v>BU6206158</v>
          </cell>
          <cell r="B736" t="str">
            <v>Iul Express</v>
          </cell>
          <cell r="C736" t="str">
            <v>Jason Roller</v>
          </cell>
          <cell r="D736">
            <v>2718.25</v>
          </cell>
        </row>
        <row r="737">
          <cell r="A737" t="str">
            <v>BU5058247</v>
          </cell>
          <cell r="B737" t="str">
            <v>Term Life Express 10 15 20 30</v>
          </cell>
          <cell r="C737" t="str">
            <v>Ronald Max</v>
          </cell>
          <cell r="D737">
            <v>77.83</v>
          </cell>
        </row>
        <row r="738">
          <cell r="A738" t="str">
            <v>986500-96</v>
          </cell>
          <cell r="B738" t="str">
            <v>Medicare Supplement Plan N</v>
          </cell>
          <cell r="C738" t="str">
            <v>Adam Richter</v>
          </cell>
          <cell r="D738">
            <v>124.61</v>
          </cell>
        </row>
        <row r="739">
          <cell r="A739" t="str">
            <v>BU5007765</v>
          </cell>
          <cell r="B739" t="str">
            <v>Term Life Express 10 15 20 30</v>
          </cell>
          <cell r="C739" t="str">
            <v>Joel Lee</v>
          </cell>
          <cell r="D739">
            <v>51.84</v>
          </cell>
        </row>
        <row r="740">
          <cell r="A740" t="str">
            <v>BU4501392</v>
          </cell>
          <cell r="B740" t="str">
            <v>Term Life Express 10 15 20 30</v>
          </cell>
          <cell r="C740" t="str">
            <v>Matthew Daugherty</v>
          </cell>
          <cell r="D740">
            <v>93.89</v>
          </cell>
        </row>
        <row r="741">
          <cell r="A741" t="str">
            <v>400134-97</v>
          </cell>
          <cell r="B741" t="str">
            <v xml:space="preserve">Protection  Plan (c) Dnt5i              </v>
          </cell>
          <cell r="C741" t="str">
            <v>Richard Yale</v>
          </cell>
          <cell r="D741">
            <v>36.08</v>
          </cell>
        </row>
        <row r="742">
          <cell r="A742" t="str">
            <v>369700-41</v>
          </cell>
          <cell r="B742" t="str">
            <v xml:space="preserve">Preferred Plan (a) Dnt2e                </v>
          </cell>
          <cell r="C742" t="str">
            <v>Jacob Yale</v>
          </cell>
          <cell r="D742">
            <v>83.85</v>
          </cell>
        </row>
        <row r="743">
          <cell r="A743" t="str">
            <v>340328-41</v>
          </cell>
          <cell r="B743" t="str">
            <v xml:space="preserve">Hospital Indemnity                      </v>
          </cell>
          <cell r="C743" t="str">
            <v>Gary Portugal</v>
          </cell>
          <cell r="D743">
            <v>64.88</v>
          </cell>
        </row>
        <row r="744">
          <cell r="A744" t="str">
            <v>BU4684842</v>
          </cell>
          <cell r="B744" t="str">
            <v>Term Life Express 10 15 20 30</v>
          </cell>
          <cell r="C744" t="str">
            <v>Gregory Teipel</v>
          </cell>
          <cell r="D744">
            <v>164.36</v>
          </cell>
        </row>
        <row r="745">
          <cell r="A745" t="str">
            <v>BU4904076</v>
          </cell>
          <cell r="B745" t="str">
            <v>Iul Express</v>
          </cell>
          <cell r="C745" t="str">
            <v>Gregory Teipel</v>
          </cell>
          <cell r="D745">
            <v>194.98</v>
          </cell>
        </row>
        <row r="746">
          <cell r="A746" t="str">
            <v>BU4177010</v>
          </cell>
          <cell r="B746" t="str">
            <v>Iul Express</v>
          </cell>
          <cell r="C746" t="str">
            <v>Adam Richter</v>
          </cell>
          <cell r="D746">
            <v>2760</v>
          </cell>
        </row>
        <row r="747">
          <cell r="A747" t="str">
            <v>BU5610347</v>
          </cell>
          <cell r="B747" t="str">
            <v>Iul Express</v>
          </cell>
          <cell r="C747" t="str">
            <v>Gregory Teipel</v>
          </cell>
          <cell r="D747">
            <v>178.87</v>
          </cell>
        </row>
        <row r="748">
          <cell r="A748" t="str">
            <v>BU3865548</v>
          </cell>
          <cell r="B748" t="str">
            <v>Term Life Express 10 15 20 30</v>
          </cell>
          <cell r="C748" t="str">
            <v>Katelenn Caltagirone</v>
          </cell>
          <cell r="D748">
            <v>167.38</v>
          </cell>
        </row>
        <row r="749">
          <cell r="A749" t="str">
            <v>BU6213732</v>
          </cell>
          <cell r="B749" t="str">
            <v>Iul Express</v>
          </cell>
          <cell r="C749" t="str">
            <v>Gregory Teipel</v>
          </cell>
          <cell r="D749">
            <v>162.97999999999999</v>
          </cell>
        </row>
        <row r="750">
          <cell r="A750" t="str">
            <v>BU5647058</v>
          </cell>
          <cell r="B750" t="str">
            <v>Term Life Express 10 15 20 30</v>
          </cell>
          <cell r="C750" t="str">
            <v>Ryan Caltagirone</v>
          </cell>
          <cell r="D750">
            <v>101.93</v>
          </cell>
        </row>
        <row r="751">
          <cell r="A751" t="str">
            <v>BU5323945</v>
          </cell>
          <cell r="B751" t="str">
            <v>Iul Express</v>
          </cell>
          <cell r="C751" t="str">
            <v>Gregory Teipel</v>
          </cell>
          <cell r="D751">
            <v>123.4</v>
          </cell>
        </row>
        <row r="752">
          <cell r="A752" t="str">
            <v>BU6436093</v>
          </cell>
          <cell r="B752" t="str">
            <v>Iul Express</v>
          </cell>
          <cell r="C752" t="str">
            <v>Gregory Teipel</v>
          </cell>
          <cell r="D752">
            <v>180.28</v>
          </cell>
        </row>
        <row r="753">
          <cell r="A753" t="str">
            <v>BU6472411</v>
          </cell>
          <cell r="B753" t="str">
            <v>Iul Express</v>
          </cell>
          <cell r="C753" t="str">
            <v>Adam Richter</v>
          </cell>
          <cell r="D753">
            <v>86.28</v>
          </cell>
        </row>
        <row r="754">
          <cell r="A754" t="str">
            <v>BU6378912</v>
          </cell>
          <cell r="B754" t="str">
            <v xml:space="preserve">Living Promise - Level  Benefit         </v>
          </cell>
          <cell r="C754" t="str">
            <v>Nasandelger Zana</v>
          </cell>
          <cell r="D754">
            <v>98.66</v>
          </cell>
        </row>
        <row r="755">
          <cell r="A755" t="str">
            <v>BU4112021</v>
          </cell>
          <cell r="B755" t="str">
            <v>Iul Express</v>
          </cell>
          <cell r="C755" t="str">
            <v>Ryan Caltagirone</v>
          </cell>
          <cell r="D755">
            <v>105</v>
          </cell>
        </row>
        <row r="756">
          <cell r="A756" t="str">
            <v>977179-96</v>
          </cell>
          <cell r="B756" t="str">
            <v xml:space="preserve">Preferred Plan (a) Dnt2i                </v>
          </cell>
          <cell r="C756" t="str">
            <v>Murray Sterner</v>
          </cell>
          <cell r="D756">
            <v>171.27</v>
          </cell>
        </row>
        <row r="757">
          <cell r="A757" t="str">
            <v>BU4383319</v>
          </cell>
          <cell r="B757" t="str">
            <v>Tle 20-20yr Guar</v>
          </cell>
          <cell r="C757" t="str">
            <v>Gregory Teipel</v>
          </cell>
          <cell r="D757">
            <v>119.94</v>
          </cell>
        </row>
        <row r="758">
          <cell r="A758" t="str">
            <v>BU6381304</v>
          </cell>
          <cell r="B758" t="str">
            <v>Term Life Answer 10 15 20 30</v>
          </cell>
          <cell r="C758" t="str">
            <v>Carol Foley</v>
          </cell>
          <cell r="D758">
            <v>44.08</v>
          </cell>
        </row>
        <row r="759">
          <cell r="A759" t="str">
            <v>BU4974280</v>
          </cell>
          <cell r="B759" t="str">
            <v>Term Life Express 10 15 20 30</v>
          </cell>
          <cell r="C759" t="str">
            <v>Gregory Teipel</v>
          </cell>
          <cell r="D759">
            <v>136.30000000000001</v>
          </cell>
        </row>
        <row r="760">
          <cell r="A760" t="str">
            <v>BU4938400</v>
          </cell>
          <cell r="B760" t="str">
            <v xml:space="preserve">Living Promise - Level  Benefit         </v>
          </cell>
          <cell r="C760" t="str">
            <v>Gary Portugal</v>
          </cell>
          <cell r="D760">
            <v>48.57</v>
          </cell>
        </row>
        <row r="761">
          <cell r="A761" t="str">
            <v>759612-96</v>
          </cell>
          <cell r="B761" t="str">
            <v>Medicare Supplement Plan N</v>
          </cell>
          <cell r="C761" t="str">
            <v>Adam Richter</v>
          </cell>
          <cell r="D761">
            <v>125.66</v>
          </cell>
        </row>
        <row r="762">
          <cell r="A762" t="str">
            <v>BU4424604</v>
          </cell>
          <cell r="B762" t="str">
            <v>Term Life Express 10 15 20 30</v>
          </cell>
          <cell r="C762" t="str">
            <v>Matthew Daugherty</v>
          </cell>
          <cell r="D762">
            <v>195.98</v>
          </cell>
        </row>
        <row r="763">
          <cell r="A763" t="str">
            <v>376595-41</v>
          </cell>
          <cell r="B763" t="str">
            <v xml:space="preserve">Preferred Plan (a) Dnt2b                </v>
          </cell>
          <cell r="C763" t="str">
            <v>Jacob Yale</v>
          </cell>
          <cell r="D763">
            <v>71.44</v>
          </cell>
        </row>
        <row r="764">
          <cell r="A764" t="str">
            <v>BU4416691</v>
          </cell>
          <cell r="B764" t="str">
            <v>Term Life Express 10 15 20 30</v>
          </cell>
          <cell r="C764" t="str">
            <v>Gregory Teipel</v>
          </cell>
          <cell r="D764">
            <v>54.47</v>
          </cell>
        </row>
        <row r="765">
          <cell r="A765" t="str">
            <v>353822-41</v>
          </cell>
          <cell r="B765" t="str">
            <v xml:space="preserve">Protection  Plan (c) Dnt5i              </v>
          </cell>
          <cell r="C765" t="str">
            <v>Dale Walenga</v>
          </cell>
          <cell r="D765">
            <v>38.08</v>
          </cell>
        </row>
        <row r="766">
          <cell r="A766" t="str">
            <v>BU5027879</v>
          </cell>
          <cell r="B766" t="str">
            <v>Term Life Express 10 15 20 30</v>
          </cell>
          <cell r="C766" t="str">
            <v>Gregory Teipel</v>
          </cell>
          <cell r="D766">
            <v>49.66</v>
          </cell>
        </row>
        <row r="767">
          <cell r="A767" t="str">
            <v>BU4842509</v>
          </cell>
          <cell r="B767" t="str">
            <v>Iul Express</v>
          </cell>
          <cell r="C767" t="str">
            <v>Gregory Teipel</v>
          </cell>
          <cell r="D767">
            <v>211.35</v>
          </cell>
        </row>
        <row r="768">
          <cell r="A768" t="str">
            <v>BU4328827</v>
          </cell>
          <cell r="B768" t="str">
            <v>Iul Express</v>
          </cell>
          <cell r="C768" t="str">
            <v>Gregory Teipel</v>
          </cell>
          <cell r="D768">
            <v>257.51</v>
          </cell>
        </row>
        <row r="769">
          <cell r="A769" t="str">
            <v>BU5516561</v>
          </cell>
          <cell r="B769" t="str">
            <v xml:space="preserve">Children S - Whole Life                 </v>
          </cell>
          <cell r="C769" t="str">
            <v>Pamela Deaton</v>
          </cell>
          <cell r="D769">
            <v>19.04</v>
          </cell>
        </row>
        <row r="770">
          <cell r="A770" t="str">
            <v>BU5269798</v>
          </cell>
          <cell r="B770" t="str">
            <v>Iul Express</v>
          </cell>
          <cell r="C770" t="str">
            <v>Colleen Finnigan</v>
          </cell>
          <cell r="D770">
            <v>256.39</v>
          </cell>
        </row>
        <row r="771">
          <cell r="A771" t="str">
            <v>340190-41</v>
          </cell>
          <cell r="B771" t="str">
            <v xml:space="preserve">Preferred Plan (a) Dnt2i                </v>
          </cell>
          <cell r="C771" t="str">
            <v>Richard Yale</v>
          </cell>
          <cell r="D771">
            <v>79.28</v>
          </cell>
        </row>
        <row r="772">
          <cell r="A772" t="str">
            <v>BU5204357</v>
          </cell>
          <cell r="B772" t="str">
            <v>Term Life Express 10 15 20 30</v>
          </cell>
          <cell r="C772" t="str">
            <v>Ryan Caltagirone</v>
          </cell>
          <cell r="D772">
            <v>140.62</v>
          </cell>
        </row>
        <row r="773">
          <cell r="A773" t="str">
            <v>BU6463459</v>
          </cell>
          <cell r="B773" t="str">
            <v>Term Life Express 10 15 20 30</v>
          </cell>
          <cell r="C773" t="str">
            <v>Gregory Teipel</v>
          </cell>
          <cell r="D773">
            <v>128.63999999999999</v>
          </cell>
        </row>
        <row r="774">
          <cell r="A774" t="str">
            <v>BU4404760</v>
          </cell>
          <cell r="B774" t="str">
            <v>Term Life Express 10 15 20 30</v>
          </cell>
          <cell r="C774" t="str">
            <v>Matthew Daugherty</v>
          </cell>
          <cell r="D774">
            <v>257.66000000000003</v>
          </cell>
        </row>
        <row r="775">
          <cell r="A775" t="str">
            <v>BU5238231</v>
          </cell>
          <cell r="B775" t="str">
            <v>Iul Express</v>
          </cell>
          <cell r="C775" t="str">
            <v>Gregory Teipel</v>
          </cell>
          <cell r="D775">
            <v>163.63999999999999</v>
          </cell>
        </row>
        <row r="776">
          <cell r="A776" t="str">
            <v>BU3898372</v>
          </cell>
          <cell r="B776" t="str">
            <v>Term Life Express 10 15 20 30</v>
          </cell>
          <cell r="C776" t="str">
            <v>Adam Richter</v>
          </cell>
          <cell r="D776">
            <v>40.5</v>
          </cell>
        </row>
        <row r="777">
          <cell r="A777" t="str">
            <v>500219-97</v>
          </cell>
          <cell r="B777" t="str">
            <v>Medicare Supplement Plan G</v>
          </cell>
          <cell r="C777" t="str">
            <v>Michael Dunavant</v>
          </cell>
          <cell r="D777">
            <v>168.49</v>
          </cell>
        </row>
        <row r="778">
          <cell r="A778" t="str">
            <v>629715-97</v>
          </cell>
          <cell r="B778" t="str">
            <v>Medicare Supplement Plan G</v>
          </cell>
          <cell r="C778" t="str">
            <v>Michael Dunavant</v>
          </cell>
          <cell r="D778">
            <v>198.24</v>
          </cell>
        </row>
        <row r="779">
          <cell r="A779" t="str">
            <v>BU5200391</v>
          </cell>
          <cell r="B779" t="str">
            <v>Term Life Express 10 15 20 30</v>
          </cell>
          <cell r="C779" t="str">
            <v>Ryan Caltagirone</v>
          </cell>
          <cell r="D779">
            <v>76.680000000000007</v>
          </cell>
        </row>
        <row r="780">
          <cell r="A780" t="str">
            <v>BU5023685</v>
          </cell>
          <cell r="B780" t="str">
            <v>Term Life Express 10 15 20 30</v>
          </cell>
          <cell r="C780" t="str">
            <v>Gregory Teipel</v>
          </cell>
          <cell r="D780">
            <v>131.1</v>
          </cell>
        </row>
        <row r="781">
          <cell r="A781" t="str">
            <v>BU5345141</v>
          </cell>
          <cell r="B781" t="str">
            <v>Iul Express</v>
          </cell>
          <cell r="C781" t="str">
            <v>Ryan Caltagirone</v>
          </cell>
          <cell r="D781">
            <v>199.86</v>
          </cell>
        </row>
        <row r="782">
          <cell r="A782" t="str">
            <v>BU4512900</v>
          </cell>
          <cell r="B782" t="str">
            <v>Iul Express</v>
          </cell>
          <cell r="C782" t="str">
            <v>Ryan Caltagirone</v>
          </cell>
          <cell r="D782">
            <v>121</v>
          </cell>
        </row>
        <row r="783">
          <cell r="A783" t="str">
            <v>BU6256816</v>
          </cell>
          <cell r="B783" t="str">
            <v>Iul Express</v>
          </cell>
          <cell r="C783" t="str">
            <v>Gregory Teipel</v>
          </cell>
          <cell r="D783">
            <v>164.95</v>
          </cell>
        </row>
        <row r="784">
          <cell r="A784" t="str">
            <v>552478-97</v>
          </cell>
          <cell r="B784" t="str">
            <v xml:space="preserve">Protection  Plan (c) Dnt5i              </v>
          </cell>
          <cell r="C784" t="str">
            <v>Richard Yale</v>
          </cell>
          <cell r="D784">
            <v>36.08</v>
          </cell>
        </row>
        <row r="785">
          <cell r="A785" t="str">
            <v>BU5073503</v>
          </cell>
          <cell r="B785" t="str">
            <v>Iul Express</v>
          </cell>
          <cell r="C785" t="str">
            <v>Ryan Caltagirone</v>
          </cell>
          <cell r="D785">
            <v>182.48</v>
          </cell>
        </row>
        <row r="786">
          <cell r="A786" t="str">
            <v>635937-96</v>
          </cell>
          <cell r="B786" t="str">
            <v>Medicare Supplement Plan N</v>
          </cell>
          <cell r="C786" t="str">
            <v>Adam Richter</v>
          </cell>
          <cell r="D786">
            <v>150.91</v>
          </cell>
        </row>
        <row r="787">
          <cell r="A787" t="str">
            <v>347811-41</v>
          </cell>
          <cell r="B787" t="str">
            <v>Medicare Supplement Plan G</v>
          </cell>
          <cell r="C787" t="str">
            <v>Gregory Teipel</v>
          </cell>
          <cell r="D787">
            <v>180.14</v>
          </cell>
        </row>
        <row r="788">
          <cell r="A788" t="str">
            <v>BU5062735</v>
          </cell>
          <cell r="B788" t="str">
            <v>Term Life Express 10 15 20 30</v>
          </cell>
          <cell r="C788" t="str">
            <v>Ronald Max</v>
          </cell>
          <cell r="D788">
            <v>161.44999999999999</v>
          </cell>
        </row>
        <row r="789">
          <cell r="A789" t="str">
            <v>BU4424607</v>
          </cell>
          <cell r="B789" t="str">
            <v>Term Life Express 10 15 20 30</v>
          </cell>
          <cell r="C789" t="str">
            <v>Matthew Daugherty</v>
          </cell>
          <cell r="D789">
            <v>77.61</v>
          </cell>
        </row>
        <row r="790">
          <cell r="A790" t="str">
            <v>BU4988572</v>
          </cell>
          <cell r="B790" t="str">
            <v>Term Life Express 10 15 20 30</v>
          </cell>
          <cell r="C790" t="str">
            <v>Andrew Choi</v>
          </cell>
          <cell r="D790">
            <v>94.07</v>
          </cell>
        </row>
        <row r="791">
          <cell r="A791" t="str">
            <v>494514-97</v>
          </cell>
          <cell r="B791" t="str">
            <v xml:space="preserve">Preferred Plan (a) Dnt2i                </v>
          </cell>
          <cell r="C791" t="str">
            <v>Richard Yale</v>
          </cell>
          <cell r="D791">
            <v>79.28</v>
          </cell>
        </row>
        <row r="792">
          <cell r="A792" t="str">
            <v>412741-97</v>
          </cell>
          <cell r="B792" t="str">
            <v>Medicare Supplement Plan G</v>
          </cell>
          <cell r="C792" t="str">
            <v>Adam Richter</v>
          </cell>
          <cell r="D792">
            <v>150.13999999999999</v>
          </cell>
        </row>
        <row r="793">
          <cell r="A793" t="str">
            <v>496866-41</v>
          </cell>
          <cell r="B793" t="str">
            <v xml:space="preserve">Preferred Plan (a) Dnt2e                </v>
          </cell>
          <cell r="C793" t="str">
            <v>Ricardo Santos</v>
          </cell>
          <cell r="D793">
            <v>56.33</v>
          </cell>
        </row>
        <row r="794">
          <cell r="A794" t="str">
            <v>BU4116212</v>
          </cell>
          <cell r="B794" t="str">
            <v>Iul Express</v>
          </cell>
          <cell r="C794" t="str">
            <v>Ryan Caltagirone</v>
          </cell>
          <cell r="D794">
            <v>181.69</v>
          </cell>
        </row>
        <row r="795">
          <cell r="A795" t="str">
            <v>BU6478203</v>
          </cell>
          <cell r="B795" t="str">
            <v>Term Life Express 10 15 20 30</v>
          </cell>
          <cell r="C795" t="str">
            <v>Gregory Teipel</v>
          </cell>
          <cell r="D795">
            <v>161.41999999999999</v>
          </cell>
        </row>
        <row r="796">
          <cell r="A796" t="str">
            <v>BU5029199</v>
          </cell>
          <cell r="B796" t="str">
            <v>Term Life Express 10 15 20 30</v>
          </cell>
          <cell r="C796" t="str">
            <v>Matthew Daugherty</v>
          </cell>
          <cell r="D796">
            <v>94.52</v>
          </cell>
        </row>
        <row r="797">
          <cell r="A797" t="str">
            <v>BU4640203</v>
          </cell>
          <cell r="B797" t="str">
            <v>Term Life Express 10 15 20 30</v>
          </cell>
          <cell r="C797" t="str">
            <v>Gregory Teipel</v>
          </cell>
          <cell r="D797">
            <v>161.41999999999999</v>
          </cell>
        </row>
        <row r="798">
          <cell r="A798" t="str">
            <v>BU6463369</v>
          </cell>
          <cell r="B798" t="str">
            <v>Term Life Express 10 15 20 30</v>
          </cell>
          <cell r="C798" t="str">
            <v>Gregory Teipel</v>
          </cell>
          <cell r="D798">
            <v>90.35</v>
          </cell>
        </row>
        <row r="799">
          <cell r="A799" t="str">
            <v>BU5242405</v>
          </cell>
          <cell r="B799" t="str">
            <v>Iul Express</v>
          </cell>
          <cell r="C799" t="str">
            <v>Gregory Teipel</v>
          </cell>
          <cell r="D799">
            <v>195.79</v>
          </cell>
        </row>
        <row r="800">
          <cell r="A800" t="str">
            <v>BU5085406</v>
          </cell>
          <cell r="B800" t="str">
            <v>Term Life Express 10 15 20 30</v>
          </cell>
          <cell r="C800" t="str">
            <v>Gregory Teipel</v>
          </cell>
          <cell r="D800">
            <v>67.64</v>
          </cell>
        </row>
        <row r="801">
          <cell r="A801" t="str">
            <v>BU3931243</v>
          </cell>
          <cell r="B801" t="str">
            <v>Term Life Express 10 15 20 30</v>
          </cell>
          <cell r="C801" t="str">
            <v>Gregory Teipel</v>
          </cell>
          <cell r="D801">
            <v>99.68</v>
          </cell>
        </row>
        <row r="802">
          <cell r="A802" t="str">
            <v>BU4706358</v>
          </cell>
          <cell r="B802" t="str">
            <v>Term Life Express 10 15 20 30</v>
          </cell>
          <cell r="C802" t="str">
            <v>Matthew Daugherty</v>
          </cell>
          <cell r="D802">
            <v>174.44</v>
          </cell>
        </row>
        <row r="803">
          <cell r="A803" t="str">
            <v>BU4594273</v>
          </cell>
          <cell r="B803" t="str">
            <v>Term Life Express 10 15 20 30</v>
          </cell>
          <cell r="C803" t="str">
            <v>Gregory Teipel</v>
          </cell>
          <cell r="D803">
            <v>329.92</v>
          </cell>
        </row>
        <row r="804">
          <cell r="A804" t="str">
            <v>768154-97</v>
          </cell>
          <cell r="B804" t="str">
            <v xml:space="preserve">Protection  Plan (c) Dnt5i              </v>
          </cell>
          <cell r="C804" t="str">
            <v>Christian Taugner</v>
          </cell>
          <cell r="D804">
            <v>31.93</v>
          </cell>
        </row>
        <row r="805">
          <cell r="A805" t="str">
            <v>BU5370870</v>
          </cell>
          <cell r="B805" t="str">
            <v>Iul Express</v>
          </cell>
          <cell r="C805" t="str">
            <v>Gregory Teipel</v>
          </cell>
          <cell r="D805">
            <v>162.97999999999999</v>
          </cell>
        </row>
        <row r="806">
          <cell r="A806" t="str">
            <v>BU6440444</v>
          </cell>
          <cell r="B806" t="str">
            <v>Iul Express</v>
          </cell>
          <cell r="C806" t="str">
            <v>Gregory Teipel</v>
          </cell>
          <cell r="D806">
            <v>153.74</v>
          </cell>
        </row>
        <row r="807">
          <cell r="A807" t="str">
            <v>317475-41</v>
          </cell>
          <cell r="B807" t="str">
            <v>Medicare Supplement Plan G High Deductible</v>
          </cell>
          <cell r="C807" t="str">
            <v>Matthew Sherman</v>
          </cell>
          <cell r="D807">
            <v>138.54</v>
          </cell>
        </row>
        <row r="808">
          <cell r="A808" t="str">
            <v>BU5026231</v>
          </cell>
          <cell r="B808" t="str">
            <v>Iul Express</v>
          </cell>
          <cell r="C808" t="str">
            <v>Nasandelger Zana</v>
          </cell>
          <cell r="D808">
            <v>55.21</v>
          </cell>
        </row>
        <row r="809">
          <cell r="A809" t="str">
            <v>BU5223396</v>
          </cell>
          <cell r="B809" t="str">
            <v xml:space="preserve">Living Promise - Level  Benefit         </v>
          </cell>
          <cell r="C809" t="str">
            <v>James Allen</v>
          </cell>
          <cell r="D809">
            <v>118.15</v>
          </cell>
        </row>
        <row r="810">
          <cell r="A810" t="str">
            <v>BU4101625</v>
          </cell>
          <cell r="B810" t="str">
            <v>Term Life Express 10 15 20 30</v>
          </cell>
          <cell r="C810" t="str">
            <v>Adam Richter</v>
          </cell>
          <cell r="D810">
            <v>179.07</v>
          </cell>
        </row>
        <row r="811">
          <cell r="A811" t="str">
            <v>889496-96</v>
          </cell>
          <cell r="B811" t="str">
            <v>Medicare Supplement Plan G</v>
          </cell>
          <cell r="C811" t="str">
            <v>Carol Foley</v>
          </cell>
          <cell r="D811">
            <v>211.11</v>
          </cell>
        </row>
        <row r="812">
          <cell r="A812" t="str">
            <v>BU6248316</v>
          </cell>
          <cell r="B812" t="str">
            <v>Iul Express</v>
          </cell>
          <cell r="C812" t="str">
            <v>Matthew Daugherty</v>
          </cell>
          <cell r="D812">
            <v>308.55</v>
          </cell>
        </row>
        <row r="813">
          <cell r="A813" t="str">
            <v>BU5137979</v>
          </cell>
          <cell r="B813" t="str">
            <v>Term Life Answer 10 15 20 30</v>
          </cell>
          <cell r="C813" t="str">
            <v>Andrea Petrungaro</v>
          </cell>
          <cell r="D813">
            <v>167.49</v>
          </cell>
        </row>
        <row r="814">
          <cell r="A814" t="str">
            <v>BU5521334</v>
          </cell>
          <cell r="B814" t="str">
            <v>Income Advantage</v>
          </cell>
          <cell r="C814" t="str">
            <v>Taliah Ferguson</v>
          </cell>
          <cell r="D814">
            <v>150</v>
          </cell>
        </row>
        <row r="815">
          <cell r="A815" t="str">
            <v>BU6420358</v>
          </cell>
          <cell r="B815" t="str">
            <v>Term Life Express 10 15 20 30</v>
          </cell>
          <cell r="C815" t="str">
            <v>Gregory Teipel</v>
          </cell>
          <cell r="D815">
            <v>158.87</v>
          </cell>
        </row>
        <row r="816">
          <cell r="A816" t="str">
            <v>374956-41</v>
          </cell>
          <cell r="B816" t="str">
            <v>Medicare Supplement Plan G</v>
          </cell>
          <cell r="C816" t="str">
            <v>Gregory Teipel</v>
          </cell>
          <cell r="D816">
            <v>207.5</v>
          </cell>
        </row>
        <row r="817">
          <cell r="A817" t="str">
            <v>BU5073265</v>
          </cell>
          <cell r="B817" t="str">
            <v>Iul Express</v>
          </cell>
          <cell r="C817" t="str">
            <v>Gregory Teipel</v>
          </cell>
          <cell r="D817">
            <v>99.83</v>
          </cell>
        </row>
        <row r="818">
          <cell r="A818" t="str">
            <v>BU5238232</v>
          </cell>
          <cell r="B818" t="str">
            <v>Iul Express</v>
          </cell>
          <cell r="C818" t="str">
            <v>Gregory Teipel</v>
          </cell>
          <cell r="D818">
            <v>187.59</v>
          </cell>
        </row>
        <row r="819">
          <cell r="A819" t="str">
            <v>BU4319838</v>
          </cell>
          <cell r="B819" t="str">
            <v>Iul Express</v>
          </cell>
          <cell r="C819" t="str">
            <v>Ryan Caltagirone</v>
          </cell>
          <cell r="D819">
            <v>50.92</v>
          </cell>
        </row>
        <row r="820">
          <cell r="A820" t="str">
            <v>BU5007823</v>
          </cell>
          <cell r="B820" t="str">
            <v>Term Life Express 10 15 20 30</v>
          </cell>
          <cell r="C820" t="str">
            <v>Gregory Teipel</v>
          </cell>
          <cell r="D820">
            <v>285.95999999999998</v>
          </cell>
        </row>
        <row r="821">
          <cell r="A821" t="str">
            <v>402584-41</v>
          </cell>
          <cell r="B821" t="str">
            <v>Medicare Supplement Plan N</v>
          </cell>
          <cell r="C821" t="str">
            <v>Gregory Teipel</v>
          </cell>
          <cell r="D821">
            <v>233.99</v>
          </cell>
        </row>
        <row r="822">
          <cell r="A822" t="str">
            <v>BU5174035</v>
          </cell>
          <cell r="B822" t="str">
            <v>Term Life Express 10 15 20 30</v>
          </cell>
          <cell r="C822" t="str">
            <v>Ryan Caltagirone</v>
          </cell>
          <cell r="D822">
            <v>133.1</v>
          </cell>
        </row>
        <row r="823">
          <cell r="A823" t="str">
            <v>BU5129359</v>
          </cell>
          <cell r="B823" t="str">
            <v>Iul Express</v>
          </cell>
          <cell r="C823" t="str">
            <v>Ryan Caltagirone</v>
          </cell>
          <cell r="D823">
            <v>76.760000000000005</v>
          </cell>
        </row>
        <row r="824">
          <cell r="A824" t="str">
            <v>BU4329761</v>
          </cell>
          <cell r="B824" t="str">
            <v>Term Life Express 10 15 20 30</v>
          </cell>
          <cell r="C824" t="str">
            <v>Matthew Daugherty</v>
          </cell>
          <cell r="D824">
            <v>162.6</v>
          </cell>
        </row>
        <row r="825">
          <cell r="A825" t="str">
            <v>811513-97</v>
          </cell>
          <cell r="B825" t="str">
            <v xml:space="preserve">Protection  Plan (c) Dnt5i              </v>
          </cell>
          <cell r="C825" t="str">
            <v>Chad Yale</v>
          </cell>
          <cell r="D825">
            <v>44.36</v>
          </cell>
        </row>
        <row r="826">
          <cell r="A826" t="str">
            <v>371451-41</v>
          </cell>
          <cell r="B826" t="str">
            <v>Medicare Supplement Plan G</v>
          </cell>
          <cell r="C826" t="str">
            <v>Gregory Teipel</v>
          </cell>
          <cell r="D826">
            <v>223.3</v>
          </cell>
        </row>
        <row r="827">
          <cell r="A827" t="str">
            <v>BU5323941</v>
          </cell>
          <cell r="B827" t="str">
            <v>Iul Express</v>
          </cell>
          <cell r="C827" t="str">
            <v>Gregory Teipel</v>
          </cell>
          <cell r="D827">
            <v>145.54</v>
          </cell>
        </row>
        <row r="828">
          <cell r="A828" t="str">
            <v>BU4777107</v>
          </cell>
          <cell r="B828" t="str">
            <v>Tle 20-20yr Guar</v>
          </cell>
          <cell r="C828" t="str">
            <v>Ryan Caltagirone</v>
          </cell>
          <cell r="D828">
            <v>105.49</v>
          </cell>
        </row>
        <row r="829">
          <cell r="A829" t="str">
            <v>BU4574326</v>
          </cell>
          <cell r="B829" t="str">
            <v>Term Life Express 10 15 20 30</v>
          </cell>
          <cell r="C829" t="str">
            <v>Matthew Daugherty</v>
          </cell>
          <cell r="D829">
            <v>313.58999999999997</v>
          </cell>
        </row>
        <row r="830">
          <cell r="A830" t="str">
            <v>623629-97</v>
          </cell>
          <cell r="B830" t="str">
            <v xml:space="preserve">Protection  Plan (c) Dnt5e              </v>
          </cell>
          <cell r="C830" t="str">
            <v>Dale Walenga</v>
          </cell>
          <cell r="D830">
            <v>33.74</v>
          </cell>
        </row>
        <row r="831">
          <cell r="A831" t="str">
            <v>BU6360083</v>
          </cell>
          <cell r="B831" t="str">
            <v>Term Life Answer 10 15 20 30</v>
          </cell>
          <cell r="C831" t="str">
            <v>Andrew Choi</v>
          </cell>
          <cell r="D831">
            <v>149</v>
          </cell>
        </row>
        <row r="832">
          <cell r="A832" t="str">
            <v>432039-41</v>
          </cell>
          <cell r="B832" t="str">
            <v>Medicare Supplement Plan G</v>
          </cell>
          <cell r="C832" t="str">
            <v>Carol Foley</v>
          </cell>
          <cell r="D832">
            <v>135.4</v>
          </cell>
        </row>
        <row r="833">
          <cell r="A833" t="str">
            <v>860155-97</v>
          </cell>
          <cell r="B833" t="str">
            <v xml:space="preserve">Protection  Plan (c) Dnt5b              </v>
          </cell>
          <cell r="C833" t="str">
            <v>Thomas Pardue</v>
          </cell>
          <cell r="D833">
            <v>37.549999999999997</v>
          </cell>
        </row>
        <row r="834">
          <cell r="A834" t="str">
            <v>BU4660113</v>
          </cell>
          <cell r="B834" t="str">
            <v>Iul Express</v>
          </cell>
          <cell r="C834" t="str">
            <v>Gregory Teipel</v>
          </cell>
          <cell r="D834">
            <v>320.11</v>
          </cell>
        </row>
        <row r="835">
          <cell r="A835" t="str">
            <v>BU6431497</v>
          </cell>
          <cell r="B835" t="str">
            <v>Iul Express</v>
          </cell>
          <cell r="C835" t="str">
            <v>Gregory Teipel</v>
          </cell>
          <cell r="D835">
            <v>165.09</v>
          </cell>
        </row>
        <row r="836">
          <cell r="A836" t="str">
            <v>BU4725322</v>
          </cell>
          <cell r="B836" t="str">
            <v>Term Life Express 10 15 20 30</v>
          </cell>
          <cell r="C836" t="str">
            <v>Gregory Teipel</v>
          </cell>
          <cell r="D836">
            <v>165.45</v>
          </cell>
        </row>
        <row r="837">
          <cell r="A837" t="str">
            <v>BU4440693</v>
          </cell>
          <cell r="B837" t="str">
            <v>Term Life Express 10 15 20 30</v>
          </cell>
          <cell r="C837" t="str">
            <v>Matthew Daugherty</v>
          </cell>
          <cell r="D837">
            <v>150.41</v>
          </cell>
        </row>
        <row r="838">
          <cell r="A838" t="str">
            <v>BU4419036</v>
          </cell>
          <cell r="B838" t="str">
            <v>Term Life Express 10 15 20 30</v>
          </cell>
          <cell r="C838" t="str">
            <v>Matthew Daugherty</v>
          </cell>
          <cell r="D838">
            <v>56.6</v>
          </cell>
        </row>
        <row r="839">
          <cell r="A839" t="str">
            <v>BU5350886</v>
          </cell>
          <cell r="B839" t="str">
            <v>Term Life Express 10 15 20 30</v>
          </cell>
          <cell r="C839" t="str">
            <v>Ronald Max</v>
          </cell>
          <cell r="D839">
            <v>76.180000000000007</v>
          </cell>
        </row>
        <row r="840">
          <cell r="A840" t="str">
            <v>BU4261646</v>
          </cell>
          <cell r="B840" t="str">
            <v>Iul Express</v>
          </cell>
          <cell r="C840" t="str">
            <v>Gregory Teipel</v>
          </cell>
          <cell r="D840">
            <v>152.22</v>
          </cell>
        </row>
        <row r="841">
          <cell r="A841" t="str">
            <v>BU6235097</v>
          </cell>
          <cell r="B841" t="str">
            <v>Term Life Express 10 15 20 30</v>
          </cell>
          <cell r="C841" t="str">
            <v>Matthew Daugherty</v>
          </cell>
          <cell r="D841">
            <v>141.84</v>
          </cell>
        </row>
        <row r="842">
          <cell r="A842" t="str">
            <v>515267-97</v>
          </cell>
          <cell r="B842" t="str">
            <v>Medicare Supplement Plan G High Deductible</v>
          </cell>
          <cell r="C842" t="str">
            <v>Adam Richter</v>
          </cell>
          <cell r="D842">
            <v>78.319999999999993</v>
          </cell>
        </row>
        <row r="843">
          <cell r="A843" t="str">
            <v>BU4204283</v>
          </cell>
          <cell r="B843" t="str">
            <v>Term Life Express 10 15 20 30</v>
          </cell>
          <cell r="C843" t="str">
            <v>Adam Richter</v>
          </cell>
          <cell r="D843">
            <v>140.71</v>
          </cell>
        </row>
        <row r="844">
          <cell r="A844" t="str">
            <v>BU5167150</v>
          </cell>
          <cell r="B844" t="str">
            <v>Term Life Express 10 15 20 30</v>
          </cell>
          <cell r="C844" t="str">
            <v>Gregory Teipel</v>
          </cell>
          <cell r="D844">
            <v>204.92</v>
          </cell>
        </row>
        <row r="845">
          <cell r="A845" t="str">
            <v>BU4394996</v>
          </cell>
          <cell r="B845" t="str">
            <v>Term Life</v>
          </cell>
          <cell r="C845" t="str">
            <v>Matthew Daugherty</v>
          </cell>
          <cell r="D845">
            <v>159.18</v>
          </cell>
        </row>
        <row r="846">
          <cell r="A846" t="str">
            <v>BU5005421</v>
          </cell>
          <cell r="B846" t="str">
            <v>Iul Express</v>
          </cell>
          <cell r="C846" t="str">
            <v>Nasandelger Zana</v>
          </cell>
          <cell r="D846">
            <v>99.3</v>
          </cell>
        </row>
        <row r="847">
          <cell r="A847" t="str">
            <v>BU6217775</v>
          </cell>
          <cell r="B847" t="str">
            <v>Iul Express</v>
          </cell>
          <cell r="C847" t="str">
            <v>Gregory Teipel</v>
          </cell>
          <cell r="D847">
            <v>173.17</v>
          </cell>
        </row>
        <row r="848">
          <cell r="A848" t="str">
            <v>BU4218755</v>
          </cell>
          <cell r="B848" t="str">
            <v>Iul Express</v>
          </cell>
          <cell r="C848" t="str">
            <v>Ryan Caltagirone</v>
          </cell>
          <cell r="D848">
            <v>162</v>
          </cell>
        </row>
        <row r="849">
          <cell r="A849" t="str">
            <v>BU6309327</v>
          </cell>
          <cell r="B849" t="str">
            <v>Iul Express</v>
          </cell>
          <cell r="C849" t="str">
            <v>Colleen Finnigan</v>
          </cell>
          <cell r="D849">
            <v>170</v>
          </cell>
        </row>
        <row r="850">
          <cell r="A850" t="str">
            <v>BU4900152</v>
          </cell>
          <cell r="B850" t="str">
            <v xml:space="preserve">Living Promise-graded                   </v>
          </cell>
          <cell r="C850" t="str">
            <v>Deborah Inskipt</v>
          </cell>
          <cell r="D850">
            <v>65.900000000000006</v>
          </cell>
        </row>
        <row r="851">
          <cell r="A851" t="str">
            <v>BU4107435</v>
          </cell>
          <cell r="B851" t="str">
            <v>Iul Express</v>
          </cell>
          <cell r="C851" t="str">
            <v>Gregory Teipel</v>
          </cell>
          <cell r="D851">
            <v>210</v>
          </cell>
        </row>
        <row r="852">
          <cell r="A852" t="str">
            <v>655850-96</v>
          </cell>
          <cell r="B852" t="str">
            <v>Medicare Supplement Plan G</v>
          </cell>
          <cell r="C852" t="str">
            <v>Anne Marie Kozacheck</v>
          </cell>
          <cell r="D852">
            <v>363.59</v>
          </cell>
        </row>
        <row r="853">
          <cell r="A853" t="str">
            <v>BU5050372</v>
          </cell>
          <cell r="B853" t="str">
            <v>Term Life Express 10 15 20 30</v>
          </cell>
          <cell r="C853" t="str">
            <v>Matthew Daugherty</v>
          </cell>
          <cell r="D853">
            <v>208.79</v>
          </cell>
        </row>
        <row r="854">
          <cell r="A854" t="str">
            <v>BU3904896</v>
          </cell>
          <cell r="B854" t="str">
            <v>Term Life Express 10 15 20 30</v>
          </cell>
          <cell r="C854" t="str">
            <v>Ashley Teipel</v>
          </cell>
          <cell r="D854">
            <v>174.72</v>
          </cell>
        </row>
        <row r="855">
          <cell r="A855" t="str">
            <v>BU5009498</v>
          </cell>
          <cell r="B855" t="str">
            <v>Term Life Express 10 15 20 30</v>
          </cell>
          <cell r="C855" t="str">
            <v>Matthew Daugherty</v>
          </cell>
          <cell r="D855">
            <v>97.54</v>
          </cell>
        </row>
        <row r="856">
          <cell r="A856" t="str">
            <v>399774-41</v>
          </cell>
          <cell r="B856" t="str">
            <v>Medicare Supplement Plan G</v>
          </cell>
          <cell r="C856" t="str">
            <v>Gregory Teipel</v>
          </cell>
          <cell r="D856">
            <v>207.5</v>
          </cell>
        </row>
        <row r="857">
          <cell r="A857" t="str">
            <v>BU4730834</v>
          </cell>
          <cell r="B857" t="str">
            <v>Term Life Express 10 15 20 30</v>
          </cell>
          <cell r="C857" t="str">
            <v>Ryan Caltagirone</v>
          </cell>
          <cell r="D857">
            <v>22.43</v>
          </cell>
        </row>
        <row r="858">
          <cell r="A858" t="str">
            <v>BU6294054</v>
          </cell>
          <cell r="B858" t="str">
            <v>Iul Express</v>
          </cell>
          <cell r="C858" t="str">
            <v>Gregory Teipel</v>
          </cell>
          <cell r="D858">
            <v>258.06</v>
          </cell>
        </row>
        <row r="859">
          <cell r="A859" t="str">
            <v>BU4522378</v>
          </cell>
          <cell r="B859" t="str">
            <v>Term Life Express 10 15 20 30</v>
          </cell>
          <cell r="C859" t="str">
            <v>Adam Richter</v>
          </cell>
          <cell r="D859">
            <v>67.819999999999993</v>
          </cell>
        </row>
        <row r="860">
          <cell r="A860" t="str">
            <v>BU5007793</v>
          </cell>
          <cell r="B860" t="str">
            <v>Term Life Express 10 15 20 30</v>
          </cell>
          <cell r="C860" t="str">
            <v>Joel Lee</v>
          </cell>
          <cell r="D860">
            <v>9.5</v>
          </cell>
        </row>
        <row r="861">
          <cell r="A861" t="str">
            <v>689251-97</v>
          </cell>
          <cell r="B861" t="str">
            <v>Medicare Supplement Plan N</v>
          </cell>
          <cell r="C861" t="str">
            <v>Carol Foley</v>
          </cell>
          <cell r="D861">
            <v>129.91</v>
          </cell>
        </row>
        <row r="862">
          <cell r="A862" t="str">
            <v>BU4116235</v>
          </cell>
          <cell r="B862" t="str">
            <v>Iul Express</v>
          </cell>
          <cell r="C862" t="str">
            <v>Ryan Caltagirone</v>
          </cell>
          <cell r="D862">
            <v>196</v>
          </cell>
        </row>
        <row r="863">
          <cell r="A863" t="str">
            <v>482817-41</v>
          </cell>
          <cell r="B863" t="str">
            <v xml:space="preserve">Preferred Plan (a) Dnt2b                </v>
          </cell>
          <cell r="C863" t="str">
            <v>Jacob Yale</v>
          </cell>
          <cell r="D863">
            <v>50.94</v>
          </cell>
        </row>
        <row r="864">
          <cell r="A864" t="str">
            <v>821308-96</v>
          </cell>
          <cell r="B864" t="str">
            <v>Medicare Supplement Plan G</v>
          </cell>
          <cell r="C864" t="str">
            <v>Anne Marie Kozacheck</v>
          </cell>
          <cell r="D864">
            <v>333.37</v>
          </cell>
        </row>
        <row r="865">
          <cell r="A865" t="str">
            <v>BU4624111</v>
          </cell>
          <cell r="B865" t="str">
            <v>Iul Express</v>
          </cell>
          <cell r="C865" t="str">
            <v>Gregory Teipel</v>
          </cell>
          <cell r="D865">
            <v>119.54</v>
          </cell>
        </row>
        <row r="866">
          <cell r="A866" t="str">
            <v>BU3863905</v>
          </cell>
          <cell r="B866" t="str">
            <v>Term Life Express 10 15 20 30</v>
          </cell>
          <cell r="C866" t="str">
            <v>Adam Richter</v>
          </cell>
          <cell r="D866">
            <v>76.180000000000007</v>
          </cell>
        </row>
        <row r="867">
          <cell r="A867" t="str">
            <v>BU5061204</v>
          </cell>
          <cell r="B867" t="str">
            <v>Term Life Express 10 15 20 30</v>
          </cell>
          <cell r="C867" t="str">
            <v>Matthew Daugherty</v>
          </cell>
          <cell r="D867">
            <v>109.47</v>
          </cell>
        </row>
        <row r="868">
          <cell r="A868" t="str">
            <v>BU4225679</v>
          </cell>
          <cell r="B868" t="str">
            <v>Term Life Answer 10 15 20 30</v>
          </cell>
          <cell r="C868" t="str">
            <v>Colleen Finnigan</v>
          </cell>
          <cell r="D868">
            <v>148.05000000000001</v>
          </cell>
        </row>
        <row r="869">
          <cell r="A869" t="str">
            <v>BU5491134</v>
          </cell>
          <cell r="B869" t="str">
            <v>Term Life Express 10 15 20 30</v>
          </cell>
          <cell r="C869" t="str">
            <v>Gregory Teipel</v>
          </cell>
          <cell r="D869">
            <v>189.97</v>
          </cell>
        </row>
        <row r="870">
          <cell r="A870" t="str">
            <v>809971-96</v>
          </cell>
          <cell r="B870" t="str">
            <v>Medicare Supplement Plan G</v>
          </cell>
          <cell r="C870" t="str">
            <v>Adam Richter</v>
          </cell>
          <cell r="D870">
            <v>224.43</v>
          </cell>
        </row>
        <row r="871">
          <cell r="A871" t="str">
            <v>BU6200535</v>
          </cell>
          <cell r="B871" t="str">
            <v>Term Life Express 10 15 20 30</v>
          </cell>
          <cell r="C871" t="str">
            <v>Matthew Daugherty</v>
          </cell>
          <cell r="D871">
            <v>59.01</v>
          </cell>
        </row>
        <row r="872">
          <cell r="A872" t="str">
            <v>BU6273215</v>
          </cell>
          <cell r="B872" t="str">
            <v>Iul Express</v>
          </cell>
          <cell r="C872" t="str">
            <v>Gregory Teipel</v>
          </cell>
          <cell r="D872">
            <v>234.36</v>
          </cell>
        </row>
        <row r="873">
          <cell r="A873" t="str">
            <v>678198-97</v>
          </cell>
          <cell r="B873" t="str">
            <v>Medicare Supplement Plan N</v>
          </cell>
          <cell r="C873" t="str">
            <v>Michael Dunavant</v>
          </cell>
          <cell r="D873">
            <v>144.74</v>
          </cell>
        </row>
        <row r="874">
          <cell r="A874" t="str">
            <v>428514-41</v>
          </cell>
          <cell r="B874" t="str">
            <v xml:space="preserve">Protection  Plan (c) Dnt5i              </v>
          </cell>
          <cell r="C874" t="str">
            <v>Richard Yale</v>
          </cell>
          <cell r="D874">
            <v>36.08</v>
          </cell>
        </row>
        <row r="875">
          <cell r="A875" t="str">
            <v>BU4601401</v>
          </cell>
          <cell r="B875" t="str">
            <v>Term Life Express 10 15 20 30</v>
          </cell>
          <cell r="C875" t="str">
            <v>Ryan Caltagirone</v>
          </cell>
          <cell r="D875">
            <v>216.88</v>
          </cell>
        </row>
        <row r="876">
          <cell r="A876" t="str">
            <v>BU4696343</v>
          </cell>
          <cell r="B876" t="str">
            <v>Term Life Express 10 15 20 30</v>
          </cell>
          <cell r="C876" t="str">
            <v>Ryan Caltagirone</v>
          </cell>
          <cell r="D876">
            <v>133.25</v>
          </cell>
        </row>
        <row r="877">
          <cell r="A877" t="str">
            <v>BU4899555</v>
          </cell>
          <cell r="B877" t="str">
            <v>Iul Express</v>
          </cell>
          <cell r="C877" t="str">
            <v>Ryan Caltagirone</v>
          </cell>
          <cell r="D877">
            <v>208.27</v>
          </cell>
        </row>
        <row r="878">
          <cell r="A878" t="str">
            <v>BU6323171</v>
          </cell>
          <cell r="B878" t="str">
            <v>Term Life Answer 10 15 20 30</v>
          </cell>
          <cell r="C878" t="str">
            <v>Joel Lee</v>
          </cell>
          <cell r="D878">
            <v>65.36</v>
          </cell>
        </row>
        <row r="879">
          <cell r="A879" t="str">
            <v>BU4950526</v>
          </cell>
          <cell r="B879" t="str">
            <v>Term Life Express 10 15 20 30</v>
          </cell>
          <cell r="C879" t="str">
            <v>Matthew Daugherty</v>
          </cell>
          <cell r="D879">
            <v>237.19</v>
          </cell>
        </row>
        <row r="880">
          <cell r="A880" t="str">
            <v>BU6445594</v>
          </cell>
          <cell r="B880" t="str">
            <v>Iul Express</v>
          </cell>
          <cell r="C880" t="str">
            <v>Gregory Teipel</v>
          </cell>
          <cell r="D880">
            <v>105.77</v>
          </cell>
        </row>
        <row r="881">
          <cell r="A881" t="str">
            <v>BU4120445</v>
          </cell>
          <cell r="B881" t="str">
            <v>Iul Express</v>
          </cell>
          <cell r="C881" t="str">
            <v>Gregory Teipel</v>
          </cell>
          <cell r="D881">
            <v>250</v>
          </cell>
        </row>
        <row r="882">
          <cell r="A882" t="str">
            <v>BU4685964</v>
          </cell>
          <cell r="B882" t="str">
            <v>Iul Express</v>
          </cell>
          <cell r="C882" t="str">
            <v>Gregory Teipel</v>
          </cell>
          <cell r="D882">
            <v>158.82</v>
          </cell>
        </row>
        <row r="883">
          <cell r="A883" t="str">
            <v>BU6376478</v>
          </cell>
          <cell r="B883" t="str">
            <v>Term Life Express 10 15 20 30</v>
          </cell>
          <cell r="C883" t="str">
            <v>Colleen Finnigan</v>
          </cell>
          <cell r="D883">
            <v>67.819999999999993</v>
          </cell>
        </row>
        <row r="884">
          <cell r="A884" t="str">
            <v>BU3951683</v>
          </cell>
          <cell r="B884" t="str">
            <v>Tle 20-20yr Guar</v>
          </cell>
          <cell r="C884" t="str">
            <v>Gregory Teipel</v>
          </cell>
          <cell r="D884">
            <v>462.36</v>
          </cell>
        </row>
        <row r="885">
          <cell r="A885" t="str">
            <v>BU4089790</v>
          </cell>
          <cell r="B885" t="str">
            <v>Iul Express</v>
          </cell>
          <cell r="C885" t="str">
            <v>Gregory Teipel</v>
          </cell>
          <cell r="D885">
            <v>240</v>
          </cell>
        </row>
        <row r="886">
          <cell r="A886" t="str">
            <v>756078-97</v>
          </cell>
          <cell r="B886" t="str">
            <v>Medicare Supplement Plan N</v>
          </cell>
          <cell r="C886" t="str">
            <v>Anne Marie Kozacheck</v>
          </cell>
          <cell r="D886">
            <v>118.77</v>
          </cell>
        </row>
        <row r="887">
          <cell r="A887" t="str">
            <v>BU4401564</v>
          </cell>
          <cell r="B887" t="str">
            <v>Term Life Express 10 15 20 30</v>
          </cell>
          <cell r="C887" t="str">
            <v>Matthew Daugherty</v>
          </cell>
          <cell r="D887">
            <v>175.79</v>
          </cell>
        </row>
        <row r="888">
          <cell r="A888" t="str">
            <v>BU6285671</v>
          </cell>
          <cell r="B888" t="str">
            <v>Iul Express</v>
          </cell>
          <cell r="C888" t="str">
            <v>Gregory Teipel</v>
          </cell>
          <cell r="D888">
            <v>261.91000000000003</v>
          </cell>
        </row>
        <row r="889">
          <cell r="A889" t="str">
            <v>BU5282180</v>
          </cell>
          <cell r="B889" t="str">
            <v>Iul Express</v>
          </cell>
          <cell r="C889" t="str">
            <v>Ryan Caltagirone</v>
          </cell>
          <cell r="D889">
            <v>100</v>
          </cell>
        </row>
        <row r="890">
          <cell r="A890" t="str">
            <v>BU5203803</v>
          </cell>
          <cell r="B890" t="str">
            <v>Iul Express</v>
          </cell>
          <cell r="C890" t="str">
            <v>Ryan Caltagirone</v>
          </cell>
          <cell r="D890">
            <v>103.44</v>
          </cell>
        </row>
        <row r="891">
          <cell r="A891" t="str">
            <v>818227-97</v>
          </cell>
          <cell r="B891" t="str">
            <v xml:space="preserve">Preferred Plan (a) Dnt2e                </v>
          </cell>
          <cell r="C891" t="str">
            <v>Jason Roller</v>
          </cell>
          <cell r="D891">
            <v>74.209999999999994</v>
          </cell>
        </row>
        <row r="892">
          <cell r="A892" t="str">
            <v>BU5404198</v>
          </cell>
          <cell r="B892" t="str">
            <v>Term Life Express 10 15 20 30</v>
          </cell>
          <cell r="C892" t="str">
            <v>Ryan Caltagirone</v>
          </cell>
          <cell r="D892">
            <v>188.26</v>
          </cell>
        </row>
        <row r="893">
          <cell r="A893" t="str">
            <v>BU4228467</v>
          </cell>
          <cell r="B893" t="str">
            <v>Term Life Express 10 15 20 30</v>
          </cell>
          <cell r="C893" t="str">
            <v>Gregory Teipel</v>
          </cell>
          <cell r="D893">
            <v>112.41</v>
          </cell>
        </row>
        <row r="894">
          <cell r="A894" t="str">
            <v>BU5096133</v>
          </cell>
          <cell r="B894" t="str">
            <v xml:space="preserve">Living Promise-graded                   </v>
          </cell>
          <cell r="C894" t="str">
            <v>Timothy Powers</v>
          </cell>
          <cell r="D894">
            <v>79.569999999999993</v>
          </cell>
        </row>
        <row r="895">
          <cell r="A895" t="str">
            <v>513338-96</v>
          </cell>
          <cell r="B895" t="str">
            <v>Medicare Supplement Plan G High Deductible</v>
          </cell>
          <cell r="C895" t="str">
            <v>Gregory Teipel</v>
          </cell>
          <cell r="D895">
            <v>48.4</v>
          </cell>
        </row>
        <row r="896">
          <cell r="A896" t="str">
            <v>BU4680997</v>
          </cell>
          <cell r="B896" t="str">
            <v>Iul Express</v>
          </cell>
          <cell r="C896" t="str">
            <v>Ryan Caltagirone</v>
          </cell>
          <cell r="D896">
            <v>276.29000000000002</v>
          </cell>
        </row>
        <row r="897">
          <cell r="A897" t="str">
            <v>BU4825110</v>
          </cell>
          <cell r="B897" t="str">
            <v>Iul Express</v>
          </cell>
          <cell r="C897" t="str">
            <v>Gregory Teipel</v>
          </cell>
          <cell r="D897">
            <v>172.71</v>
          </cell>
        </row>
        <row r="898">
          <cell r="A898" t="str">
            <v>BU4390873</v>
          </cell>
          <cell r="B898" t="str">
            <v>Term Life Express 10 15 20 30</v>
          </cell>
          <cell r="C898" t="str">
            <v>Matthew Daugherty</v>
          </cell>
          <cell r="D898">
            <v>285.95999999999998</v>
          </cell>
        </row>
        <row r="899">
          <cell r="A899" t="str">
            <v>BU5155525</v>
          </cell>
          <cell r="B899" t="str">
            <v>Iul Express</v>
          </cell>
          <cell r="C899" t="str">
            <v>Gregory Teipel</v>
          </cell>
          <cell r="D899">
            <v>269.45999999999998</v>
          </cell>
        </row>
        <row r="900">
          <cell r="A900" t="str">
            <v>BU3953487</v>
          </cell>
          <cell r="B900" t="str">
            <v>Tle 20-20yr Guar</v>
          </cell>
          <cell r="C900" t="str">
            <v>Ryan Caltagirone</v>
          </cell>
          <cell r="D900">
            <v>152.88</v>
          </cell>
        </row>
        <row r="901">
          <cell r="A901" t="str">
            <v>BU4330797</v>
          </cell>
          <cell r="B901" t="str">
            <v>Term Life Express 10 15 20 30</v>
          </cell>
          <cell r="C901" t="str">
            <v>Matthew Daugherty</v>
          </cell>
          <cell r="D901">
            <v>257.66000000000003</v>
          </cell>
        </row>
        <row r="902">
          <cell r="A902" t="str">
            <v>BU5330883</v>
          </cell>
          <cell r="B902" t="str">
            <v>Term Life Express 10 15 20 30</v>
          </cell>
          <cell r="C902" t="str">
            <v>Matthew Daugherty</v>
          </cell>
          <cell r="D902">
            <v>278.35000000000002</v>
          </cell>
        </row>
        <row r="903">
          <cell r="A903" t="str">
            <v>BU5014796</v>
          </cell>
          <cell r="B903" t="str">
            <v>Term Life Express 10 15 20 30</v>
          </cell>
          <cell r="C903" t="str">
            <v>Matthew Daugherty</v>
          </cell>
          <cell r="D903">
            <v>108.22</v>
          </cell>
        </row>
        <row r="904">
          <cell r="A904" t="str">
            <v>977278-96</v>
          </cell>
          <cell r="B904" t="str">
            <v>Medicare Supplement Plan A</v>
          </cell>
          <cell r="C904" t="str">
            <v>Murray Sterner</v>
          </cell>
          <cell r="D904">
            <v>463.11</v>
          </cell>
        </row>
        <row r="905">
          <cell r="A905" t="str">
            <v>BU4407930</v>
          </cell>
          <cell r="B905" t="str">
            <v>Term Life Express 10 15 20 30</v>
          </cell>
          <cell r="C905" t="str">
            <v>Gregory Teipel</v>
          </cell>
          <cell r="D905">
            <v>156.28</v>
          </cell>
        </row>
        <row r="906">
          <cell r="A906" t="str">
            <v>433978-97</v>
          </cell>
          <cell r="B906" t="str">
            <v>Medicare Supplement Plan G</v>
          </cell>
          <cell r="C906" t="str">
            <v>Adam Richter</v>
          </cell>
          <cell r="D906">
            <v>177.4</v>
          </cell>
        </row>
        <row r="907">
          <cell r="A907">
            <v>71748</v>
          </cell>
          <cell r="B907" t="str">
            <v xml:space="preserve">Individual Disability                   </v>
          </cell>
          <cell r="C907" t="str">
            <v>Colleen Finnigan</v>
          </cell>
          <cell r="D907">
            <v>3382.03</v>
          </cell>
        </row>
        <row r="908">
          <cell r="A908" t="str">
            <v>614242-97</v>
          </cell>
          <cell r="B908" t="str">
            <v>Medicare Supplement Plan G</v>
          </cell>
          <cell r="C908" t="str">
            <v>Michael Dunavant</v>
          </cell>
          <cell r="D908">
            <v>181.15</v>
          </cell>
        </row>
        <row r="909">
          <cell r="A909" t="str">
            <v>BU4124639</v>
          </cell>
          <cell r="B909" t="str">
            <v>Iul Express</v>
          </cell>
          <cell r="C909" t="str">
            <v>Gregory Teipel</v>
          </cell>
          <cell r="D909">
            <v>226.31</v>
          </cell>
        </row>
        <row r="910">
          <cell r="A910" t="str">
            <v>511676-97</v>
          </cell>
          <cell r="B910" t="str">
            <v>Medicare Supplement Plan G</v>
          </cell>
          <cell r="C910" t="str">
            <v>Michael Dunavant</v>
          </cell>
          <cell r="D910">
            <v>180.14</v>
          </cell>
        </row>
        <row r="911">
          <cell r="A911" t="str">
            <v>BU6450105</v>
          </cell>
          <cell r="B911" t="str">
            <v>Iul Express</v>
          </cell>
          <cell r="C911" t="str">
            <v>Gregory Teipel</v>
          </cell>
          <cell r="D911">
            <v>246.08</v>
          </cell>
        </row>
        <row r="912">
          <cell r="A912" t="str">
            <v>596168-97</v>
          </cell>
          <cell r="B912" t="str">
            <v xml:space="preserve">Protection  Plan (c) Dnt5i              </v>
          </cell>
          <cell r="C912" t="str">
            <v>Dale Walenga</v>
          </cell>
          <cell r="D912">
            <v>36.08</v>
          </cell>
        </row>
        <row r="913">
          <cell r="A913" t="str">
            <v>BU4843967</v>
          </cell>
          <cell r="B913" t="str">
            <v>Term Life Express 10 15 20 30</v>
          </cell>
          <cell r="C913" t="str">
            <v>Matthew Daugherty</v>
          </cell>
          <cell r="D913">
            <v>251.2</v>
          </cell>
        </row>
        <row r="914">
          <cell r="A914" t="str">
            <v>BU5238473</v>
          </cell>
          <cell r="B914" t="str">
            <v>Iul Express</v>
          </cell>
          <cell r="C914" t="str">
            <v>Gregory Teipel</v>
          </cell>
          <cell r="D914">
            <v>139.53</v>
          </cell>
        </row>
        <row r="915">
          <cell r="A915" t="str">
            <v>BU6209154</v>
          </cell>
          <cell r="B915" t="str">
            <v>Iul Express</v>
          </cell>
          <cell r="C915" t="str">
            <v>Ryan Caltagirone</v>
          </cell>
          <cell r="D915">
            <v>59.68</v>
          </cell>
        </row>
        <row r="916">
          <cell r="A916" t="str">
            <v>552778-97</v>
          </cell>
          <cell r="B916" t="str">
            <v xml:space="preserve">Preferred Plan (a) Dnt2i                </v>
          </cell>
          <cell r="C916" t="str">
            <v>Dale Walenga</v>
          </cell>
          <cell r="D916">
            <v>68.760000000000005</v>
          </cell>
        </row>
        <row r="917">
          <cell r="A917" t="str">
            <v>BU4137444</v>
          </cell>
          <cell r="B917" t="str">
            <v>Iul Express</v>
          </cell>
          <cell r="C917" t="str">
            <v>Gregory Teipel</v>
          </cell>
          <cell r="D917">
            <v>220</v>
          </cell>
        </row>
        <row r="918">
          <cell r="A918" t="str">
            <v>BU4296856</v>
          </cell>
          <cell r="B918" t="str">
            <v>Iul Express</v>
          </cell>
          <cell r="C918" t="str">
            <v>Gregory Teipel</v>
          </cell>
          <cell r="D918">
            <v>99.92</v>
          </cell>
        </row>
        <row r="919">
          <cell r="A919" t="str">
            <v>BU4292789</v>
          </cell>
          <cell r="B919" t="str">
            <v>Term Life Express 10 15 20 30</v>
          </cell>
          <cell r="C919" t="str">
            <v>Matthew Daugherty</v>
          </cell>
          <cell r="D919">
            <v>313.58999999999997</v>
          </cell>
        </row>
        <row r="920">
          <cell r="A920" t="str">
            <v>BU4960397</v>
          </cell>
          <cell r="B920" t="str">
            <v xml:space="preserve">Living Promise - Level  Benefit         </v>
          </cell>
          <cell r="C920" t="str">
            <v>Gregory Teipel</v>
          </cell>
          <cell r="D920">
            <v>156.85</v>
          </cell>
        </row>
        <row r="921">
          <cell r="A921" t="str">
            <v>796010-96</v>
          </cell>
          <cell r="B921" t="str">
            <v>Medicare Supplement Plan G</v>
          </cell>
          <cell r="C921" t="str">
            <v>Carol Foley</v>
          </cell>
          <cell r="D921">
            <v>365.21</v>
          </cell>
        </row>
        <row r="922">
          <cell r="A922" t="str">
            <v>BU4445995</v>
          </cell>
          <cell r="B922" t="str">
            <v>Term Life</v>
          </cell>
          <cell r="C922" t="str">
            <v>Matthew Daugherty</v>
          </cell>
          <cell r="D922">
            <v>265.75</v>
          </cell>
        </row>
        <row r="923">
          <cell r="A923" t="str">
            <v>BU4257391</v>
          </cell>
          <cell r="B923" t="str">
            <v>Iul Express</v>
          </cell>
          <cell r="C923" t="str">
            <v>Ryan Caltagirone</v>
          </cell>
          <cell r="D923">
            <v>167.36</v>
          </cell>
        </row>
        <row r="924">
          <cell r="A924" t="str">
            <v>BU6155979</v>
          </cell>
          <cell r="B924" t="str">
            <v>Tle 20-20yr Guar</v>
          </cell>
          <cell r="C924" t="str">
            <v>Matthew Daugherty</v>
          </cell>
          <cell r="D924">
            <v>91.31</v>
          </cell>
        </row>
        <row r="925">
          <cell r="A925" t="str">
            <v>BU6376668</v>
          </cell>
          <cell r="B925" t="str">
            <v>Term Life Express 10 15 20 30</v>
          </cell>
          <cell r="C925" t="str">
            <v>Adam Richter</v>
          </cell>
          <cell r="D925">
            <v>81.97</v>
          </cell>
        </row>
        <row r="926">
          <cell r="A926" t="str">
            <v>BU4959716</v>
          </cell>
          <cell r="B926" t="str">
            <v>Term Life Express 10 15 20 30</v>
          </cell>
          <cell r="C926" t="str">
            <v>Gregory Teipel</v>
          </cell>
          <cell r="D926">
            <v>228.29</v>
          </cell>
        </row>
        <row r="927">
          <cell r="A927" t="str">
            <v>BU5260136</v>
          </cell>
          <cell r="B927" t="str">
            <v>Iul Express</v>
          </cell>
          <cell r="C927" t="str">
            <v>Gregory Teipel</v>
          </cell>
          <cell r="D927">
            <v>205.2</v>
          </cell>
        </row>
        <row r="928">
          <cell r="A928" t="str">
            <v>BU4197828</v>
          </cell>
          <cell r="B928" t="str">
            <v>Iul Express</v>
          </cell>
          <cell r="C928" t="str">
            <v>Adam Richter</v>
          </cell>
          <cell r="D928">
            <v>53.49</v>
          </cell>
        </row>
        <row r="929">
          <cell r="A929" t="str">
            <v>BU4444217</v>
          </cell>
          <cell r="B929" t="str">
            <v>Term Life Express 10 15 20 30</v>
          </cell>
          <cell r="C929" t="str">
            <v>Gregory Teipel</v>
          </cell>
          <cell r="D929">
            <v>94.92</v>
          </cell>
        </row>
        <row r="930">
          <cell r="A930" t="str">
            <v>BU4469847</v>
          </cell>
          <cell r="B930" t="str">
            <v>Tle 20-20yr Guar</v>
          </cell>
          <cell r="C930" t="str">
            <v>Matthew Daugherty</v>
          </cell>
          <cell r="D930">
            <v>276.12</v>
          </cell>
        </row>
        <row r="931">
          <cell r="A931" t="str">
            <v>BU4582955</v>
          </cell>
          <cell r="B931" t="str">
            <v>Tle 20-20yr Guar</v>
          </cell>
          <cell r="C931" t="str">
            <v>Ryan Caltagirone</v>
          </cell>
          <cell r="D931">
            <v>245.51</v>
          </cell>
        </row>
        <row r="932">
          <cell r="A932" t="str">
            <v>BU4436475</v>
          </cell>
          <cell r="B932" t="str">
            <v>Term Life Express 10 15 20 30</v>
          </cell>
          <cell r="C932" t="str">
            <v>Matthew Daugherty</v>
          </cell>
          <cell r="D932">
            <v>217.87</v>
          </cell>
        </row>
        <row r="933">
          <cell r="A933" t="str">
            <v>BU5099421</v>
          </cell>
          <cell r="B933" t="str">
            <v xml:space="preserve">Living Promise - Level  Benefit         </v>
          </cell>
          <cell r="C933" t="str">
            <v>Gregory Teipel</v>
          </cell>
          <cell r="D933">
            <v>75.53</v>
          </cell>
        </row>
        <row r="934">
          <cell r="A934" t="str">
            <v>931240-96</v>
          </cell>
          <cell r="B934" t="str">
            <v>Medicare Supplement Plan F</v>
          </cell>
          <cell r="C934" t="str">
            <v>Carol Foley</v>
          </cell>
          <cell r="D934">
            <v>244.11</v>
          </cell>
        </row>
        <row r="935">
          <cell r="A935" t="str">
            <v>986494-96</v>
          </cell>
          <cell r="B935" t="str">
            <v>Medicare Supplement Plan N</v>
          </cell>
          <cell r="C935" t="str">
            <v>Adam Richter</v>
          </cell>
          <cell r="D935">
            <v>104.8</v>
          </cell>
        </row>
        <row r="936">
          <cell r="A936" t="str">
            <v>BU5199683</v>
          </cell>
          <cell r="B936" t="str">
            <v>Iul Express</v>
          </cell>
          <cell r="C936" t="str">
            <v>Ryan Caltagirone</v>
          </cell>
          <cell r="D936">
            <v>76.150000000000006</v>
          </cell>
        </row>
        <row r="937">
          <cell r="A937" t="str">
            <v>885051-96</v>
          </cell>
          <cell r="B937" t="str">
            <v>Medicare Supplement Plan G</v>
          </cell>
          <cell r="C937" t="str">
            <v>Carol Foley</v>
          </cell>
          <cell r="D937">
            <v>154.27000000000001</v>
          </cell>
        </row>
        <row r="938">
          <cell r="A938" t="str">
            <v>522176-97</v>
          </cell>
          <cell r="B938" t="str">
            <v xml:space="preserve">Preferred Plan (a) Dnt2i                </v>
          </cell>
          <cell r="C938" t="str">
            <v>Jacob Yale</v>
          </cell>
          <cell r="D938">
            <v>79.28</v>
          </cell>
        </row>
        <row r="939">
          <cell r="A939" t="str">
            <v>544227-97</v>
          </cell>
          <cell r="B939" t="str">
            <v>Medicare Supplement Plan G</v>
          </cell>
          <cell r="C939" t="str">
            <v>Gregory Teipel</v>
          </cell>
          <cell r="D939">
            <v>140.97</v>
          </cell>
        </row>
        <row r="940">
          <cell r="A940" t="str">
            <v>900385-96</v>
          </cell>
          <cell r="B940" t="str">
            <v>Medicare Supplement Plan G</v>
          </cell>
          <cell r="C940" t="str">
            <v>Gregory Teipel</v>
          </cell>
          <cell r="D940">
            <v>185.06</v>
          </cell>
        </row>
        <row r="941">
          <cell r="A941" t="str">
            <v>BU5066653</v>
          </cell>
          <cell r="B941" t="str">
            <v xml:space="preserve">Living Promise-graded                   </v>
          </cell>
          <cell r="C941" t="str">
            <v>Gregory Teipel</v>
          </cell>
          <cell r="D941">
            <v>152.63999999999999</v>
          </cell>
        </row>
        <row r="942">
          <cell r="A942" t="str">
            <v>BU6387533</v>
          </cell>
          <cell r="B942" t="str">
            <v>Iul Express</v>
          </cell>
          <cell r="C942" t="str">
            <v>Gregory Teipel</v>
          </cell>
          <cell r="D942">
            <v>125.91</v>
          </cell>
        </row>
        <row r="943">
          <cell r="A943" t="str">
            <v>BU5081502</v>
          </cell>
          <cell r="B943" t="str">
            <v>Iul Express</v>
          </cell>
          <cell r="C943" t="str">
            <v>Ryan Caltagirone</v>
          </cell>
          <cell r="D943">
            <v>122.69</v>
          </cell>
        </row>
        <row r="944">
          <cell r="A944" t="str">
            <v>BU4473267</v>
          </cell>
          <cell r="B944" t="str">
            <v>Term Life Express 10 15 20 30</v>
          </cell>
          <cell r="C944" t="str">
            <v>Ryan Caltagirone</v>
          </cell>
          <cell r="D944">
            <v>136.13999999999999</v>
          </cell>
        </row>
        <row r="945">
          <cell r="A945" t="str">
            <v>BU5657901</v>
          </cell>
          <cell r="B945" t="str">
            <v>Iul Express</v>
          </cell>
          <cell r="C945" t="str">
            <v>Gregory Teipel</v>
          </cell>
          <cell r="D945">
            <v>234.36</v>
          </cell>
        </row>
        <row r="946">
          <cell r="A946" t="str">
            <v>807015-97</v>
          </cell>
          <cell r="B946" t="str">
            <v xml:space="preserve">Preferred Plan (a) Dnt2i                </v>
          </cell>
          <cell r="C946" t="str">
            <v>Robert Shapiro</v>
          </cell>
          <cell r="D946">
            <v>79.28</v>
          </cell>
        </row>
        <row r="947">
          <cell r="A947" t="str">
            <v>BU4227850</v>
          </cell>
          <cell r="B947" t="str">
            <v>Term Life Express 10 15 20 30</v>
          </cell>
          <cell r="C947" t="str">
            <v>Gregory Teipel</v>
          </cell>
          <cell r="D947">
            <v>112.56</v>
          </cell>
        </row>
        <row r="948">
          <cell r="A948" t="str">
            <v>753142-96</v>
          </cell>
          <cell r="B948" t="str">
            <v>Medicare Supplement Plan G</v>
          </cell>
          <cell r="C948" t="str">
            <v>Carol Foley</v>
          </cell>
          <cell r="D948">
            <v>211.11</v>
          </cell>
        </row>
        <row r="949">
          <cell r="A949" t="str">
            <v>671885-97</v>
          </cell>
          <cell r="B949" t="str">
            <v xml:space="preserve">Preferred Plan (a) Dnt2i                </v>
          </cell>
          <cell r="C949" t="str">
            <v>Jacob Yale</v>
          </cell>
          <cell r="D949">
            <v>63.32</v>
          </cell>
        </row>
        <row r="950">
          <cell r="A950" t="str">
            <v>835037-97</v>
          </cell>
          <cell r="B950" t="str">
            <v>Medicare Supplement Plan N</v>
          </cell>
          <cell r="C950" t="str">
            <v>Michael Dunavant</v>
          </cell>
          <cell r="D950">
            <v>109.4</v>
          </cell>
        </row>
        <row r="951">
          <cell r="A951" t="str">
            <v>BU4973086</v>
          </cell>
          <cell r="B951" t="str">
            <v>Term Life Express 10 15 20 30</v>
          </cell>
          <cell r="C951" t="str">
            <v>Matthew Daugherty</v>
          </cell>
          <cell r="D951">
            <v>103.06</v>
          </cell>
        </row>
        <row r="952">
          <cell r="A952" t="str">
            <v>BU5107747</v>
          </cell>
          <cell r="B952" t="str">
            <v>Iul Express</v>
          </cell>
          <cell r="C952" t="str">
            <v>Odmaa Enkhtur</v>
          </cell>
          <cell r="D952">
            <v>102.95</v>
          </cell>
        </row>
        <row r="953">
          <cell r="A953" t="str">
            <v>BU5190535</v>
          </cell>
          <cell r="B953" t="str">
            <v>Iul Express</v>
          </cell>
          <cell r="C953" t="str">
            <v>Ryan Caltagirone</v>
          </cell>
          <cell r="D953">
            <v>154.76</v>
          </cell>
        </row>
        <row r="954">
          <cell r="A954" t="str">
            <v>BU3931230</v>
          </cell>
          <cell r="B954" t="str">
            <v>Term Life Express 10 15 20 30</v>
          </cell>
          <cell r="C954" t="str">
            <v>Gregory Teipel</v>
          </cell>
          <cell r="D954">
            <v>116.37</v>
          </cell>
        </row>
        <row r="955">
          <cell r="A955" t="str">
            <v>BU4973087</v>
          </cell>
          <cell r="B955" t="str">
            <v>Term Life Express 10 15 20 30</v>
          </cell>
          <cell r="C955" t="str">
            <v>Matthew Daugherty</v>
          </cell>
          <cell r="D955">
            <v>110.18</v>
          </cell>
        </row>
        <row r="956">
          <cell r="A956" t="str">
            <v>BU4390884</v>
          </cell>
          <cell r="B956" t="str">
            <v>Iul Express</v>
          </cell>
          <cell r="C956" t="str">
            <v>Gregory Teipel</v>
          </cell>
          <cell r="D956">
            <v>402.29</v>
          </cell>
        </row>
        <row r="957">
          <cell r="A957" t="str">
            <v>BU4402110</v>
          </cell>
          <cell r="B957" t="str">
            <v>Tle 20-20yr Guar</v>
          </cell>
          <cell r="C957" t="str">
            <v>Ryan Caltagirone</v>
          </cell>
          <cell r="D957">
            <v>106.48</v>
          </cell>
        </row>
        <row r="958">
          <cell r="A958" t="str">
            <v>BU4320141</v>
          </cell>
          <cell r="B958" t="str">
            <v>Iul Express</v>
          </cell>
          <cell r="C958" t="str">
            <v>Gregory Teipel</v>
          </cell>
          <cell r="D958">
            <v>164.65</v>
          </cell>
        </row>
        <row r="959">
          <cell r="A959" t="str">
            <v>BU5509175</v>
          </cell>
          <cell r="B959" t="str">
            <v xml:space="preserve">Living Promise-graded                   </v>
          </cell>
          <cell r="C959" t="str">
            <v>Gregory Teipel</v>
          </cell>
          <cell r="D959">
            <v>63.9</v>
          </cell>
        </row>
        <row r="960">
          <cell r="A960" t="str">
            <v>BU4878372</v>
          </cell>
          <cell r="B960" t="str">
            <v>Iul Express</v>
          </cell>
          <cell r="C960" t="str">
            <v>Gregory Teipel</v>
          </cell>
          <cell r="D960">
            <v>202.25</v>
          </cell>
        </row>
        <row r="961">
          <cell r="A961" t="str">
            <v>BU5169468</v>
          </cell>
          <cell r="B961" t="str">
            <v>Term Life Express 10 15 20 30</v>
          </cell>
          <cell r="C961" t="str">
            <v>Andrew Choi</v>
          </cell>
          <cell r="D961">
            <v>152.19</v>
          </cell>
        </row>
        <row r="962">
          <cell r="A962" t="str">
            <v>BU4124646</v>
          </cell>
          <cell r="B962" t="str">
            <v>Iul Express</v>
          </cell>
          <cell r="C962" t="str">
            <v>Ryan Caltagirone</v>
          </cell>
          <cell r="D962">
            <v>162</v>
          </cell>
        </row>
        <row r="963">
          <cell r="A963" t="str">
            <v>BU4637396</v>
          </cell>
          <cell r="B963" t="str">
            <v>Term Life Express 10 15 20 30</v>
          </cell>
          <cell r="C963" t="str">
            <v>Gregory Teipel</v>
          </cell>
          <cell r="D963">
            <v>147.03</v>
          </cell>
        </row>
        <row r="964">
          <cell r="A964" t="str">
            <v>BU5111745</v>
          </cell>
          <cell r="B964" t="str">
            <v>Iul Express</v>
          </cell>
          <cell r="C964" t="str">
            <v>Ryan Caltagirone</v>
          </cell>
          <cell r="D964">
            <v>245</v>
          </cell>
        </row>
        <row r="965">
          <cell r="A965" t="str">
            <v>BU5013584</v>
          </cell>
          <cell r="B965" t="str">
            <v>Iul Express</v>
          </cell>
          <cell r="C965" t="str">
            <v>Colleen Finnigan</v>
          </cell>
          <cell r="D965">
            <v>324.08</v>
          </cell>
        </row>
        <row r="966">
          <cell r="A966" t="str">
            <v>BU4472898</v>
          </cell>
          <cell r="B966" t="str">
            <v>Iul Express</v>
          </cell>
          <cell r="C966" t="str">
            <v>Michael Lutz</v>
          </cell>
          <cell r="D966">
            <v>300</v>
          </cell>
        </row>
        <row r="967">
          <cell r="A967" t="str">
            <v>826678-97</v>
          </cell>
          <cell r="B967" t="str">
            <v xml:space="preserve">Preferred Plan (a) Dnt2b                </v>
          </cell>
          <cell r="C967" t="str">
            <v>Robert Shapiro</v>
          </cell>
          <cell r="D967">
            <v>63.16</v>
          </cell>
        </row>
        <row r="968">
          <cell r="A968" t="str">
            <v>941740-96</v>
          </cell>
          <cell r="B968" t="str">
            <v>Medicare Supplement Plan G</v>
          </cell>
          <cell r="C968" t="str">
            <v>Adam Richter</v>
          </cell>
          <cell r="D968">
            <v>176.29</v>
          </cell>
        </row>
        <row r="969">
          <cell r="A969" t="str">
            <v>BU4930321</v>
          </cell>
          <cell r="B969" t="str">
            <v xml:space="preserve">Living Promise - Level  Benefit         </v>
          </cell>
          <cell r="C969" t="str">
            <v>Gary Portugal</v>
          </cell>
          <cell r="D969">
            <v>66.84</v>
          </cell>
        </row>
        <row r="970">
          <cell r="A970" t="str">
            <v>BU4320747</v>
          </cell>
          <cell r="B970" t="str">
            <v>Term Life Express 10 15 20 30</v>
          </cell>
          <cell r="C970" t="str">
            <v>Matthew Daugherty</v>
          </cell>
          <cell r="D970">
            <v>160.47</v>
          </cell>
        </row>
        <row r="971">
          <cell r="A971" t="str">
            <v>667938-96</v>
          </cell>
          <cell r="B971" t="str">
            <v>Medicare Supplement Plan N</v>
          </cell>
          <cell r="C971" t="str">
            <v>Adam Richter</v>
          </cell>
          <cell r="D971">
            <v>164.18</v>
          </cell>
        </row>
        <row r="972">
          <cell r="A972" t="str">
            <v>BU6190433</v>
          </cell>
          <cell r="B972" t="str">
            <v>Term Life Express 10 15 20 30</v>
          </cell>
          <cell r="C972" t="str">
            <v>Gregory Teipel</v>
          </cell>
          <cell r="D972">
            <v>192.42</v>
          </cell>
        </row>
        <row r="973">
          <cell r="A973" t="str">
            <v>BU4202284</v>
          </cell>
          <cell r="B973" t="str">
            <v>Term Life Express 10 15 20 30</v>
          </cell>
          <cell r="C973" t="str">
            <v>Adam Richter</v>
          </cell>
          <cell r="D973">
            <v>37.65</v>
          </cell>
        </row>
        <row r="974">
          <cell r="A974" t="str">
            <v>BU5049663</v>
          </cell>
          <cell r="B974" t="str">
            <v>Term Life Express 10 15 20 30</v>
          </cell>
          <cell r="C974" t="str">
            <v>Ryan Caltagirone</v>
          </cell>
          <cell r="D974">
            <v>154.11000000000001</v>
          </cell>
        </row>
        <row r="975">
          <cell r="A975" t="str">
            <v>BU4885661</v>
          </cell>
          <cell r="B975" t="str">
            <v>Term Life Express 10 15 20 30</v>
          </cell>
          <cell r="C975" t="str">
            <v>Adam Richter</v>
          </cell>
          <cell r="D975">
            <v>51</v>
          </cell>
        </row>
        <row r="976">
          <cell r="A976" t="str">
            <v>482809-41</v>
          </cell>
          <cell r="B976" t="str">
            <v xml:space="preserve">Preferred Plan (a) Dnt2b                </v>
          </cell>
          <cell r="C976" t="str">
            <v>Jacob Yale</v>
          </cell>
          <cell r="D976">
            <v>50.94</v>
          </cell>
        </row>
        <row r="977">
          <cell r="A977" t="str">
            <v>BU4957198</v>
          </cell>
          <cell r="B977" t="str">
            <v>Iul Express</v>
          </cell>
          <cell r="C977" t="str">
            <v>Ryan Caltagirone</v>
          </cell>
          <cell r="D977">
            <v>132.31</v>
          </cell>
        </row>
        <row r="978">
          <cell r="A978" t="str">
            <v>BU6184441</v>
          </cell>
          <cell r="B978" t="str">
            <v>Term Life Express 10 15 20 30</v>
          </cell>
          <cell r="C978" t="str">
            <v>Matthew Daugherty</v>
          </cell>
          <cell r="D978">
            <v>287.69</v>
          </cell>
        </row>
        <row r="979">
          <cell r="A979" t="str">
            <v>BU4047969</v>
          </cell>
          <cell r="B979" t="str">
            <v>Term Life Express 10 15 20 30</v>
          </cell>
          <cell r="C979" t="str">
            <v>Gregory Teipel</v>
          </cell>
          <cell r="D979">
            <v>124.71</v>
          </cell>
        </row>
        <row r="980">
          <cell r="A980" t="str">
            <v>500156-97</v>
          </cell>
          <cell r="B980" t="str">
            <v>Medicare Supplement Plan G</v>
          </cell>
          <cell r="C980" t="str">
            <v>Michael Dunavant</v>
          </cell>
          <cell r="D980">
            <v>197.12</v>
          </cell>
        </row>
        <row r="981">
          <cell r="A981" t="str">
            <v>957939-96</v>
          </cell>
          <cell r="B981" t="str">
            <v>Medicare Supplement Plan G</v>
          </cell>
          <cell r="C981" t="str">
            <v>Gregory Teipel</v>
          </cell>
          <cell r="D981">
            <v>227.17</v>
          </cell>
        </row>
        <row r="982">
          <cell r="A982" t="str">
            <v>752514-97</v>
          </cell>
          <cell r="B982" t="str">
            <v>Medicare Supplement Plan G</v>
          </cell>
          <cell r="C982" t="str">
            <v>Gregory Teipel</v>
          </cell>
          <cell r="D982">
            <v>199.91</v>
          </cell>
        </row>
        <row r="983">
          <cell r="A983" t="str">
            <v>BU5170072</v>
          </cell>
          <cell r="B983" t="str">
            <v>Iul Express</v>
          </cell>
          <cell r="C983" t="str">
            <v>Nasandelger Zana</v>
          </cell>
          <cell r="D983">
            <v>78.7</v>
          </cell>
        </row>
        <row r="984">
          <cell r="A984" t="str">
            <v>693332-97</v>
          </cell>
          <cell r="B984" t="str">
            <v>Medicare Supplement Plan N</v>
          </cell>
          <cell r="C984" t="str">
            <v>Chad Bender</v>
          </cell>
          <cell r="D984">
            <v>104.8</v>
          </cell>
        </row>
        <row r="985">
          <cell r="A985" t="str">
            <v>BU6248315</v>
          </cell>
          <cell r="B985" t="str">
            <v>Iul Express</v>
          </cell>
          <cell r="C985" t="str">
            <v>Gregory Teipel</v>
          </cell>
          <cell r="D985">
            <v>105.35</v>
          </cell>
        </row>
        <row r="986">
          <cell r="A986" t="str">
            <v>BU6221963</v>
          </cell>
          <cell r="B986" t="str">
            <v>Term Life Express 10 15 20 30</v>
          </cell>
          <cell r="C986" t="str">
            <v>Ryan Caltagirone</v>
          </cell>
          <cell r="D986">
            <v>99.85</v>
          </cell>
        </row>
        <row r="987">
          <cell r="A987" t="str">
            <v>BU4133179</v>
          </cell>
          <cell r="B987" t="str">
            <v>Iul Express</v>
          </cell>
          <cell r="C987" t="str">
            <v>Gregory Teipel</v>
          </cell>
          <cell r="D987">
            <v>284.04000000000002</v>
          </cell>
        </row>
        <row r="988">
          <cell r="A988" t="str">
            <v>BU6204845</v>
          </cell>
          <cell r="B988" t="str">
            <v>Term Life Express 10 15 20 30</v>
          </cell>
          <cell r="C988" t="str">
            <v>Colleen Finnigan</v>
          </cell>
          <cell r="D988">
            <v>210.04</v>
          </cell>
        </row>
        <row r="989">
          <cell r="A989" t="str">
            <v>BU4437808</v>
          </cell>
          <cell r="B989" t="str">
            <v>Term Life Express 10 15 20 30</v>
          </cell>
          <cell r="C989" t="str">
            <v>Matthew Daugherty</v>
          </cell>
          <cell r="D989">
            <v>93.72</v>
          </cell>
        </row>
        <row r="990">
          <cell r="A990" t="str">
            <v>655858-97</v>
          </cell>
          <cell r="B990" t="str">
            <v>Medicare Supplement Plan G</v>
          </cell>
          <cell r="C990" t="str">
            <v>Michael Dunavant</v>
          </cell>
          <cell r="D990">
            <v>150.41</v>
          </cell>
        </row>
        <row r="991">
          <cell r="A991" t="str">
            <v>BU6378658</v>
          </cell>
          <cell r="B991" t="str">
            <v>Iul Express</v>
          </cell>
          <cell r="C991" t="str">
            <v>Gregory Teipel</v>
          </cell>
          <cell r="D991">
            <v>322.95999999999998</v>
          </cell>
        </row>
        <row r="992">
          <cell r="A992" t="str">
            <v>BU4818399</v>
          </cell>
          <cell r="B992" t="str">
            <v>Term Life Express 10 15 20 30</v>
          </cell>
          <cell r="C992" t="str">
            <v>Matthew Daugherty</v>
          </cell>
          <cell r="D992">
            <v>79.03</v>
          </cell>
        </row>
        <row r="993">
          <cell r="A993" t="str">
            <v>BU6366959</v>
          </cell>
          <cell r="B993" t="str">
            <v>Iul Express</v>
          </cell>
          <cell r="C993" t="str">
            <v>Michelle Mccorkle</v>
          </cell>
          <cell r="D993">
            <v>75.55</v>
          </cell>
        </row>
        <row r="994">
          <cell r="A994" t="str">
            <v>BU4499473</v>
          </cell>
          <cell r="B994" t="str">
            <v>Tle 20-20yr Guar</v>
          </cell>
          <cell r="C994" t="str">
            <v>Matthew Daugherty</v>
          </cell>
          <cell r="D994">
            <v>124.07</v>
          </cell>
        </row>
        <row r="995">
          <cell r="A995" t="str">
            <v>BU4128918</v>
          </cell>
          <cell r="B995" t="str">
            <v>Iul Express</v>
          </cell>
          <cell r="C995" t="str">
            <v>Ryan Caltagirone</v>
          </cell>
          <cell r="D995">
            <v>169</v>
          </cell>
        </row>
        <row r="996">
          <cell r="A996" t="str">
            <v>BU4688027</v>
          </cell>
          <cell r="B996" t="str">
            <v>Term Life Express 10 15 20 30</v>
          </cell>
          <cell r="C996" t="str">
            <v>Ryan Caltagirone</v>
          </cell>
          <cell r="D996">
            <v>76.38</v>
          </cell>
        </row>
        <row r="997">
          <cell r="A997" t="str">
            <v>600435-97</v>
          </cell>
          <cell r="B997" t="str">
            <v>Medicare Supplement Plan G</v>
          </cell>
          <cell r="C997" t="str">
            <v>Michael Dunavant</v>
          </cell>
          <cell r="D997">
            <v>180.14</v>
          </cell>
        </row>
        <row r="998">
          <cell r="A998" t="str">
            <v>BU4621516</v>
          </cell>
          <cell r="B998" t="str">
            <v>Iul Express</v>
          </cell>
          <cell r="C998" t="str">
            <v>Deborah Inskipt</v>
          </cell>
          <cell r="D998">
            <v>22.16</v>
          </cell>
        </row>
        <row r="999">
          <cell r="A999" t="str">
            <v>BU4479509</v>
          </cell>
          <cell r="B999" t="str">
            <v>Term Life Express 10 15 20 30</v>
          </cell>
          <cell r="C999" t="str">
            <v>Gregory Teipel</v>
          </cell>
          <cell r="D999">
            <v>74.849999999999994</v>
          </cell>
        </row>
        <row r="1000">
          <cell r="A1000" t="str">
            <v>BU6482770</v>
          </cell>
          <cell r="B1000" t="str">
            <v xml:space="preserve">Living Promise - Level  Benefit         </v>
          </cell>
          <cell r="C1000" t="str">
            <v>Ryan Shepard</v>
          </cell>
          <cell r="D1000">
            <v>83.99</v>
          </cell>
        </row>
        <row r="1001">
          <cell r="A1001" t="str">
            <v>BU4458713</v>
          </cell>
          <cell r="B1001" t="str">
            <v>Term Life</v>
          </cell>
          <cell r="C1001" t="str">
            <v>Matthew Daugherty</v>
          </cell>
          <cell r="D1001">
            <v>91.19</v>
          </cell>
        </row>
        <row r="1002">
          <cell r="A1002" t="str">
            <v>BU5204472</v>
          </cell>
          <cell r="B1002" t="str">
            <v>Term Life Express 10 15 20 30</v>
          </cell>
          <cell r="C1002" t="str">
            <v>Ryan Caltagirone</v>
          </cell>
          <cell r="D1002">
            <v>103.81</v>
          </cell>
        </row>
        <row r="1003">
          <cell r="A1003" t="str">
            <v>BU5037208</v>
          </cell>
          <cell r="B1003" t="str">
            <v>Iul Express</v>
          </cell>
          <cell r="C1003" t="str">
            <v>Ronald Max</v>
          </cell>
          <cell r="D1003">
            <v>2094.6</v>
          </cell>
        </row>
        <row r="1004">
          <cell r="A1004" t="str">
            <v>BU3909266</v>
          </cell>
          <cell r="B1004" t="str">
            <v>Term Life Express 10 15 20 30</v>
          </cell>
          <cell r="C1004" t="str">
            <v>Jason Hoffmann</v>
          </cell>
          <cell r="D1004">
            <v>63.41</v>
          </cell>
        </row>
        <row r="1005">
          <cell r="A1005" t="str">
            <v>BU5073845</v>
          </cell>
          <cell r="B1005" t="str">
            <v>Iul Express</v>
          </cell>
          <cell r="C1005" t="str">
            <v>Gregory Teipel</v>
          </cell>
          <cell r="D1005">
            <v>194.73</v>
          </cell>
        </row>
        <row r="1006">
          <cell r="A1006" t="str">
            <v>BU4709104</v>
          </cell>
          <cell r="B1006" t="str">
            <v>Iul Express</v>
          </cell>
          <cell r="C1006" t="str">
            <v>Ryan Caltagirone</v>
          </cell>
          <cell r="D1006">
            <v>91.67</v>
          </cell>
        </row>
        <row r="1007">
          <cell r="A1007" t="str">
            <v>BU6269938</v>
          </cell>
          <cell r="B1007" t="str">
            <v>Tle 20-20yr Guar</v>
          </cell>
          <cell r="C1007" t="str">
            <v>Ryan Caltagirone</v>
          </cell>
          <cell r="D1007">
            <v>75.209999999999994</v>
          </cell>
        </row>
        <row r="1008">
          <cell r="A1008" t="str">
            <v>BU4444538</v>
          </cell>
          <cell r="B1008" t="str">
            <v>Term Life Express 10 15 20 30</v>
          </cell>
          <cell r="C1008" t="str">
            <v>Matthew Daugherty</v>
          </cell>
          <cell r="D1008">
            <v>94.52</v>
          </cell>
        </row>
        <row r="1009">
          <cell r="A1009" t="str">
            <v>BU5539645</v>
          </cell>
          <cell r="B1009" t="str">
            <v>Iul Express</v>
          </cell>
          <cell r="C1009" t="str">
            <v>Jason Roller</v>
          </cell>
          <cell r="D1009">
            <v>128.75</v>
          </cell>
        </row>
        <row r="1010">
          <cell r="A1010" t="str">
            <v>BU4989353</v>
          </cell>
          <cell r="B1010" t="str">
            <v>Term Life Express 10 15 20 30</v>
          </cell>
          <cell r="C1010" t="str">
            <v>Adam Richter</v>
          </cell>
          <cell r="D1010">
            <v>70.010000000000005</v>
          </cell>
        </row>
        <row r="1011">
          <cell r="A1011" t="str">
            <v>827248-96</v>
          </cell>
          <cell r="B1011" t="str">
            <v>Medicare Supplement Plan N</v>
          </cell>
          <cell r="C1011" t="str">
            <v>Carol Foley</v>
          </cell>
          <cell r="D1011">
            <v>425.91</v>
          </cell>
        </row>
        <row r="1012">
          <cell r="A1012" t="str">
            <v>BU4286733</v>
          </cell>
          <cell r="B1012" t="str">
            <v>Iul Express</v>
          </cell>
          <cell r="C1012" t="str">
            <v>Ryan Caltagirone</v>
          </cell>
          <cell r="D1012">
            <v>98</v>
          </cell>
        </row>
        <row r="1013">
          <cell r="A1013" t="str">
            <v>610516-97</v>
          </cell>
          <cell r="B1013" t="str">
            <v>Medicare Supplement Plan N</v>
          </cell>
          <cell r="C1013" t="str">
            <v>Anne Marie Kozacheck</v>
          </cell>
          <cell r="D1013">
            <v>109.53</v>
          </cell>
        </row>
        <row r="1014">
          <cell r="A1014" t="str">
            <v>BU5168071</v>
          </cell>
          <cell r="B1014" t="str">
            <v>Iul Express</v>
          </cell>
          <cell r="C1014" t="str">
            <v>Gregory Teipel</v>
          </cell>
          <cell r="D1014">
            <v>208.27</v>
          </cell>
        </row>
        <row r="1015">
          <cell r="A1015" t="str">
            <v>BU5155533</v>
          </cell>
          <cell r="B1015" t="str">
            <v>Iul Express</v>
          </cell>
          <cell r="C1015" t="str">
            <v>Gregory Teipel</v>
          </cell>
          <cell r="D1015">
            <v>149.22</v>
          </cell>
        </row>
        <row r="1016">
          <cell r="A1016" t="str">
            <v>BU5030508</v>
          </cell>
          <cell r="B1016" t="str">
            <v>Iul Express</v>
          </cell>
          <cell r="C1016" t="str">
            <v>Gregory Teipel</v>
          </cell>
          <cell r="D1016">
            <v>155.22999999999999</v>
          </cell>
        </row>
        <row r="1017">
          <cell r="A1017" t="str">
            <v>BU4445963</v>
          </cell>
          <cell r="B1017" t="str">
            <v>Term Life Express 10 15 20 30</v>
          </cell>
          <cell r="C1017" t="str">
            <v>Adam Richter</v>
          </cell>
          <cell r="D1017">
            <v>53.67</v>
          </cell>
        </row>
        <row r="1018">
          <cell r="A1018" t="str">
            <v>BU4458881</v>
          </cell>
          <cell r="B1018" t="str">
            <v>Term Life Express 10 15 20 30</v>
          </cell>
          <cell r="C1018" t="str">
            <v>Matthew Daugherty</v>
          </cell>
          <cell r="D1018">
            <v>337.98</v>
          </cell>
        </row>
        <row r="1019">
          <cell r="A1019" t="str">
            <v>BU6219134</v>
          </cell>
          <cell r="B1019" t="str">
            <v>Tle 20-20yr Guar</v>
          </cell>
          <cell r="C1019" t="str">
            <v>Gregory Teipel</v>
          </cell>
          <cell r="D1019">
            <v>192.42</v>
          </cell>
        </row>
        <row r="1020">
          <cell r="A1020" t="str">
            <v>546146-97</v>
          </cell>
          <cell r="B1020" t="str">
            <v xml:space="preserve">Preferred Plan (a) Dnt2i                </v>
          </cell>
          <cell r="C1020" t="str">
            <v>Richard Yale</v>
          </cell>
          <cell r="D1020">
            <v>79.28</v>
          </cell>
        </row>
        <row r="1021">
          <cell r="A1021" t="str">
            <v>BU6445585</v>
          </cell>
          <cell r="B1021" t="str">
            <v>Iul Express</v>
          </cell>
          <cell r="C1021" t="str">
            <v>Gregory Teipel</v>
          </cell>
          <cell r="D1021">
            <v>132.49</v>
          </cell>
        </row>
        <row r="1022">
          <cell r="A1022" t="str">
            <v>723891-96</v>
          </cell>
          <cell r="B1022" t="str">
            <v>Medicare Supplement Plan G</v>
          </cell>
          <cell r="C1022" t="str">
            <v>Jason Hoffmann</v>
          </cell>
          <cell r="D1022">
            <v>164.73</v>
          </cell>
        </row>
        <row r="1023">
          <cell r="A1023" t="str">
            <v>BU3884067</v>
          </cell>
          <cell r="B1023" t="str">
            <v>Iul Express</v>
          </cell>
          <cell r="C1023" t="str">
            <v>Adam Richter</v>
          </cell>
          <cell r="D1023">
            <v>101.72</v>
          </cell>
        </row>
        <row r="1024">
          <cell r="A1024" t="str">
            <v>367763-41</v>
          </cell>
          <cell r="B1024" t="str">
            <v xml:space="preserve">Protection  Plan (c) Dnt5e              </v>
          </cell>
          <cell r="C1024" t="str">
            <v>Victor Fuentes</v>
          </cell>
          <cell r="D1024">
            <v>42.02</v>
          </cell>
        </row>
        <row r="1025">
          <cell r="A1025" t="str">
            <v>BU6478099</v>
          </cell>
          <cell r="B1025" t="str">
            <v>Term Life Express 10 15 20 30</v>
          </cell>
          <cell r="C1025" t="str">
            <v>Gregory Teipel</v>
          </cell>
          <cell r="D1025">
            <v>239.19</v>
          </cell>
        </row>
        <row r="1026">
          <cell r="A1026" t="str">
            <v>BU5238230</v>
          </cell>
          <cell r="B1026" t="str">
            <v>Iul Express</v>
          </cell>
          <cell r="C1026" t="str">
            <v>Ryan Caltagirone</v>
          </cell>
          <cell r="D1026">
            <v>183.92</v>
          </cell>
        </row>
        <row r="1027">
          <cell r="A1027" t="str">
            <v>433969-97</v>
          </cell>
          <cell r="B1027" t="str">
            <v>Medicare Supplement Plan G</v>
          </cell>
          <cell r="C1027" t="str">
            <v>Adam Richter</v>
          </cell>
          <cell r="D1027">
            <v>177.4</v>
          </cell>
        </row>
        <row r="1028">
          <cell r="A1028" t="str">
            <v>BU4973961</v>
          </cell>
          <cell r="B1028" t="str">
            <v>Iul Express</v>
          </cell>
          <cell r="C1028" t="str">
            <v>Ronald Max</v>
          </cell>
          <cell r="D1028">
            <v>821.52</v>
          </cell>
        </row>
        <row r="1029">
          <cell r="A1029" t="str">
            <v>BU6269154</v>
          </cell>
          <cell r="B1029" t="str">
            <v>Iul Express</v>
          </cell>
          <cell r="C1029" t="str">
            <v>Gregory Teipel</v>
          </cell>
          <cell r="D1029">
            <v>122.74</v>
          </cell>
        </row>
        <row r="1030">
          <cell r="A1030" t="str">
            <v>BU5149804</v>
          </cell>
          <cell r="B1030" t="str">
            <v>Term Life Express 10 15 20 30</v>
          </cell>
          <cell r="C1030" t="str">
            <v>Gregory Teipel</v>
          </cell>
          <cell r="D1030">
            <v>148.83000000000001</v>
          </cell>
        </row>
        <row r="1031">
          <cell r="A1031" t="str">
            <v>691951-96</v>
          </cell>
          <cell r="B1031" t="str">
            <v>Medicare Supplement Plan N</v>
          </cell>
          <cell r="C1031" t="str">
            <v>Jason Hoffmann</v>
          </cell>
          <cell r="D1031">
            <v>450.75</v>
          </cell>
        </row>
        <row r="1032">
          <cell r="A1032" t="str">
            <v>BU6413811</v>
          </cell>
          <cell r="B1032" t="str">
            <v>Tle 20-20yr Guar</v>
          </cell>
          <cell r="C1032" t="str">
            <v>Ryan Caltagirone</v>
          </cell>
          <cell r="D1032">
            <v>43.52</v>
          </cell>
        </row>
        <row r="1033">
          <cell r="A1033" t="str">
            <v>BU5009494</v>
          </cell>
          <cell r="B1033" t="str">
            <v>Term Life Express 10 15 20 30</v>
          </cell>
          <cell r="C1033" t="str">
            <v>Gregory Teipel</v>
          </cell>
          <cell r="D1033">
            <v>101.24</v>
          </cell>
        </row>
        <row r="1034">
          <cell r="A1034" t="str">
            <v>BU4617432</v>
          </cell>
          <cell r="B1034" t="str">
            <v>Term Life Express 10 15 20 30</v>
          </cell>
          <cell r="C1034" t="str">
            <v>Ryan Caltagirone</v>
          </cell>
          <cell r="D1034">
            <v>118.76</v>
          </cell>
        </row>
        <row r="1035">
          <cell r="A1035" t="str">
            <v>BU6388845</v>
          </cell>
          <cell r="B1035" t="str">
            <v>Tle 20-20yr Guar</v>
          </cell>
          <cell r="C1035" t="str">
            <v>Ryan Caltagirone</v>
          </cell>
          <cell r="D1035">
            <v>118.68</v>
          </cell>
        </row>
        <row r="1036">
          <cell r="A1036" t="str">
            <v>BU5037395</v>
          </cell>
          <cell r="B1036" t="str">
            <v>Iul Express</v>
          </cell>
          <cell r="C1036" t="str">
            <v>Ronald Max</v>
          </cell>
          <cell r="D1036">
            <v>52.98</v>
          </cell>
        </row>
        <row r="1037">
          <cell r="A1037" t="str">
            <v>BU4674698</v>
          </cell>
          <cell r="B1037" t="str">
            <v>Term Life Express 10 15 20 30</v>
          </cell>
          <cell r="C1037" t="str">
            <v>Gregory Teipel</v>
          </cell>
          <cell r="D1037">
            <v>156.46</v>
          </cell>
        </row>
        <row r="1038">
          <cell r="A1038" t="str">
            <v>BU3862022</v>
          </cell>
          <cell r="B1038" t="str">
            <v>Term Life Express 10 15 20 30</v>
          </cell>
          <cell r="C1038" t="str">
            <v>Ashley Teipel</v>
          </cell>
          <cell r="D1038">
            <v>138.57</v>
          </cell>
        </row>
        <row r="1039">
          <cell r="A1039" t="str">
            <v>BU4159784</v>
          </cell>
          <cell r="B1039" t="str">
            <v>Iul Express</v>
          </cell>
          <cell r="C1039" t="str">
            <v>Gregory Teipel</v>
          </cell>
          <cell r="D1039">
            <v>197.32</v>
          </cell>
        </row>
        <row r="1040">
          <cell r="A1040" t="str">
            <v>BU5155505</v>
          </cell>
          <cell r="B1040" t="str">
            <v>Iul Express</v>
          </cell>
          <cell r="C1040" t="str">
            <v>Gregory Teipel</v>
          </cell>
          <cell r="D1040">
            <v>236.36</v>
          </cell>
        </row>
        <row r="1041">
          <cell r="A1041" t="str">
            <v>803161-97</v>
          </cell>
          <cell r="B1041" t="str">
            <v xml:space="preserve">Preferred Plan (a) Dnt2i                </v>
          </cell>
          <cell r="C1041" t="str">
            <v>Robert Shapiro</v>
          </cell>
          <cell r="D1041">
            <v>528.6</v>
          </cell>
        </row>
        <row r="1042">
          <cell r="A1042" t="str">
            <v>871900-96</v>
          </cell>
          <cell r="B1042" t="str">
            <v>Medicare Supplement Plan G</v>
          </cell>
          <cell r="C1042" t="str">
            <v>Adam Richter</v>
          </cell>
          <cell r="D1042">
            <v>204.03</v>
          </cell>
        </row>
        <row r="1043">
          <cell r="A1043" t="str">
            <v>BU4693766</v>
          </cell>
          <cell r="B1043" t="str">
            <v>Term Life Express 10 15 20 30</v>
          </cell>
          <cell r="C1043" t="str">
            <v>Matthew Daugherty</v>
          </cell>
          <cell r="D1043">
            <v>138.91999999999999</v>
          </cell>
        </row>
        <row r="1044">
          <cell r="A1044" t="str">
            <v>BU5405009</v>
          </cell>
          <cell r="B1044" t="str">
            <v>Tle 20-20yr Guar</v>
          </cell>
          <cell r="C1044" t="str">
            <v>Ryan Caltagirone</v>
          </cell>
          <cell r="D1044">
            <v>86.64</v>
          </cell>
        </row>
        <row r="1045">
          <cell r="A1045" t="str">
            <v>BU4995452</v>
          </cell>
          <cell r="B1045" t="str">
            <v>Term Life Express 10 15 20 30</v>
          </cell>
          <cell r="C1045" t="str">
            <v>Thomas Pardue</v>
          </cell>
          <cell r="D1045">
            <v>28.66</v>
          </cell>
        </row>
        <row r="1046">
          <cell r="A1046" t="str">
            <v>BU3912915</v>
          </cell>
          <cell r="B1046" t="str">
            <v>Term Life Express 10 15 20 30</v>
          </cell>
          <cell r="C1046" t="str">
            <v>Ashley Teipel</v>
          </cell>
          <cell r="D1046">
            <v>159.19999999999999</v>
          </cell>
        </row>
        <row r="1047">
          <cell r="A1047" t="str">
            <v>660202-97</v>
          </cell>
          <cell r="B1047" t="str">
            <v xml:space="preserve">Preferred Plan (a) Dnt2i                </v>
          </cell>
          <cell r="C1047" t="str">
            <v>Christian Taugner</v>
          </cell>
          <cell r="D1047">
            <v>73.55</v>
          </cell>
        </row>
        <row r="1048">
          <cell r="A1048" t="str">
            <v>650319-97</v>
          </cell>
          <cell r="B1048" t="str">
            <v xml:space="preserve">Protection  Plan (c) Dnt5i              </v>
          </cell>
          <cell r="C1048" t="str">
            <v>Dale Walenga</v>
          </cell>
          <cell r="D1048">
            <v>34.36</v>
          </cell>
        </row>
        <row r="1049">
          <cell r="A1049" t="str">
            <v>BU5351487</v>
          </cell>
          <cell r="B1049" t="str">
            <v>Term Life Express 10 15 20 30</v>
          </cell>
          <cell r="C1049" t="str">
            <v>Ryan Caltagirone</v>
          </cell>
          <cell r="D1049">
            <v>161.41999999999999</v>
          </cell>
        </row>
        <row r="1050">
          <cell r="A1050" t="str">
            <v>BU5410590</v>
          </cell>
          <cell r="B1050" t="str">
            <v>Iul Express</v>
          </cell>
          <cell r="C1050" t="str">
            <v>Ryan Caltagirone</v>
          </cell>
          <cell r="D1050">
            <v>168.73</v>
          </cell>
        </row>
        <row r="1051">
          <cell r="A1051" t="str">
            <v>694862-97</v>
          </cell>
          <cell r="B1051" t="str">
            <v>Medicare Supplement Plan G</v>
          </cell>
          <cell r="C1051" t="str">
            <v>Michael Dunavant</v>
          </cell>
          <cell r="D1051">
            <v>128.66999999999999</v>
          </cell>
        </row>
        <row r="1052">
          <cell r="A1052" t="str">
            <v>BU5235649</v>
          </cell>
          <cell r="B1052" t="str">
            <v>Term Life Express 10 15 20 30</v>
          </cell>
          <cell r="C1052" t="str">
            <v>Gregory Teipel</v>
          </cell>
          <cell r="D1052">
            <v>169.14</v>
          </cell>
        </row>
        <row r="1053">
          <cell r="A1053" t="str">
            <v>419607-41</v>
          </cell>
          <cell r="B1053" t="str">
            <v xml:space="preserve">Preferred Plan (a) Dnt2b                </v>
          </cell>
          <cell r="C1053" t="str">
            <v>Victor Fuentes</v>
          </cell>
          <cell r="D1053">
            <v>63.16</v>
          </cell>
        </row>
        <row r="1054">
          <cell r="A1054" t="str">
            <v>472388-41</v>
          </cell>
          <cell r="B1054" t="str">
            <v>Medicare Supplement Plan G</v>
          </cell>
          <cell r="C1054" t="str">
            <v>Matthew Sherman</v>
          </cell>
          <cell r="D1054">
            <v>239.28</v>
          </cell>
        </row>
        <row r="1055">
          <cell r="A1055" t="str">
            <v>BU5055579</v>
          </cell>
          <cell r="B1055" t="str">
            <v>Iul Express</v>
          </cell>
          <cell r="C1055" t="str">
            <v>Gregory Teipel</v>
          </cell>
          <cell r="D1055">
            <v>105.74</v>
          </cell>
        </row>
        <row r="1056">
          <cell r="A1056" t="str">
            <v>BU5099992</v>
          </cell>
          <cell r="B1056" t="str">
            <v>Term Life Answer 10 15 20 30</v>
          </cell>
          <cell r="C1056" t="str">
            <v>Andrew Choi</v>
          </cell>
          <cell r="D1056">
            <v>226.4</v>
          </cell>
        </row>
        <row r="1057">
          <cell r="A1057" t="str">
            <v>BU6331143</v>
          </cell>
          <cell r="B1057" t="str">
            <v>Iul Express</v>
          </cell>
          <cell r="C1057" t="str">
            <v>Nasandelger Zana</v>
          </cell>
          <cell r="D1057">
            <v>158.58000000000001</v>
          </cell>
        </row>
        <row r="1058">
          <cell r="A1058" t="str">
            <v>BU6388927</v>
          </cell>
          <cell r="B1058" t="str">
            <v>Tle 20-20yr Guar</v>
          </cell>
          <cell r="C1058" t="str">
            <v>Ryan Caltagirone</v>
          </cell>
          <cell r="D1058">
            <v>63.28</v>
          </cell>
        </row>
        <row r="1059">
          <cell r="A1059" t="str">
            <v>372064-41</v>
          </cell>
          <cell r="B1059" t="str">
            <v>Medicare Supplement Plan G</v>
          </cell>
          <cell r="C1059" t="str">
            <v>Adam Richter</v>
          </cell>
          <cell r="D1059">
            <v>226.06</v>
          </cell>
        </row>
        <row r="1060">
          <cell r="A1060" t="str">
            <v>BU4159702</v>
          </cell>
          <cell r="B1060" t="str">
            <v>Iul Express</v>
          </cell>
          <cell r="C1060" t="str">
            <v>Gregory Teipel</v>
          </cell>
          <cell r="D1060">
            <v>130.27000000000001</v>
          </cell>
        </row>
        <row r="1061">
          <cell r="A1061" t="str">
            <v>BU4894635</v>
          </cell>
          <cell r="B1061" t="str">
            <v xml:space="preserve">Living Promise - Level  Benefit         </v>
          </cell>
          <cell r="C1061" t="str">
            <v>Carol Foley</v>
          </cell>
          <cell r="D1061">
            <v>258.14</v>
          </cell>
        </row>
        <row r="1062">
          <cell r="A1062" t="str">
            <v>BU6433394</v>
          </cell>
          <cell r="B1062" t="str">
            <v>Iul Express</v>
          </cell>
          <cell r="C1062" t="str">
            <v>Jacob Yale</v>
          </cell>
          <cell r="D1062">
            <v>213.38</v>
          </cell>
        </row>
        <row r="1063">
          <cell r="A1063" t="str">
            <v>BU3936534</v>
          </cell>
          <cell r="B1063" t="str">
            <v>Term Life Express 10 15 20 30</v>
          </cell>
          <cell r="C1063" t="str">
            <v>Adam Richter</v>
          </cell>
          <cell r="D1063">
            <v>63.1</v>
          </cell>
        </row>
        <row r="1064">
          <cell r="A1064" t="str">
            <v>BU5090021</v>
          </cell>
          <cell r="B1064" t="str">
            <v>Iul Express</v>
          </cell>
          <cell r="C1064" t="str">
            <v>Ryan Caltagirone</v>
          </cell>
          <cell r="D1064">
            <v>76.59</v>
          </cell>
        </row>
        <row r="1065">
          <cell r="A1065" t="str">
            <v>499589-97</v>
          </cell>
          <cell r="B1065" t="str">
            <v>Medicare Supplement Plan G</v>
          </cell>
          <cell r="C1065" t="str">
            <v>Michael Dunavant</v>
          </cell>
          <cell r="D1065">
            <v>212.48</v>
          </cell>
        </row>
        <row r="1066">
          <cell r="A1066" t="str">
            <v>BU4983518</v>
          </cell>
          <cell r="B1066" t="str">
            <v>Iul Express</v>
          </cell>
          <cell r="C1066" t="str">
            <v>Ronald Max</v>
          </cell>
          <cell r="D1066">
            <v>70.06</v>
          </cell>
        </row>
        <row r="1067">
          <cell r="A1067" t="str">
            <v>BU5260541</v>
          </cell>
          <cell r="B1067" t="str">
            <v xml:space="preserve">Living Promise-graded                   </v>
          </cell>
          <cell r="C1067" t="str">
            <v>Murray Sterner</v>
          </cell>
          <cell r="D1067">
            <v>83.94</v>
          </cell>
        </row>
        <row r="1068">
          <cell r="A1068" t="str">
            <v>BU4354163</v>
          </cell>
          <cell r="B1068" t="str">
            <v>Iul Express</v>
          </cell>
          <cell r="C1068" t="str">
            <v>Gregory Teipel</v>
          </cell>
          <cell r="D1068">
            <v>292.32</v>
          </cell>
        </row>
        <row r="1069">
          <cell r="A1069" t="str">
            <v>BU5064956</v>
          </cell>
          <cell r="B1069" t="str">
            <v>Term Life Express 10 15 20 30</v>
          </cell>
          <cell r="C1069" t="str">
            <v>Ricardo Santos</v>
          </cell>
          <cell r="D1069">
            <v>51.84</v>
          </cell>
        </row>
        <row r="1070">
          <cell r="A1070" t="str">
            <v>BU5366248</v>
          </cell>
          <cell r="B1070" t="str">
            <v>Iul Express</v>
          </cell>
          <cell r="C1070" t="str">
            <v>Gregory Teipel</v>
          </cell>
          <cell r="D1070">
            <v>165.43</v>
          </cell>
        </row>
        <row r="1071">
          <cell r="A1071" t="str">
            <v>BU5142077</v>
          </cell>
          <cell r="B1071" t="str">
            <v>Iul Express</v>
          </cell>
          <cell r="C1071" t="str">
            <v>Gregory Teipel</v>
          </cell>
          <cell r="D1071">
            <v>322.08</v>
          </cell>
        </row>
        <row r="1072">
          <cell r="A1072" t="str">
            <v>BU6443997</v>
          </cell>
          <cell r="B1072" t="str">
            <v>Term Life Express 10 15 20 30</v>
          </cell>
          <cell r="C1072" t="str">
            <v>Gregory Teipel</v>
          </cell>
          <cell r="D1072">
            <v>239.19</v>
          </cell>
        </row>
        <row r="1073">
          <cell r="A1073" t="str">
            <v>BU4875207</v>
          </cell>
          <cell r="B1073" t="str">
            <v xml:space="preserve">Living Promise - Level  Benefit         </v>
          </cell>
          <cell r="C1073" t="str">
            <v>Gary Portugal</v>
          </cell>
          <cell r="D1073">
            <v>260.5</v>
          </cell>
        </row>
        <row r="1074">
          <cell r="A1074" t="str">
            <v>672702-97</v>
          </cell>
          <cell r="B1074" t="str">
            <v>Medicare Supplement Plan G</v>
          </cell>
          <cell r="C1074" t="str">
            <v>Gregory Teipel</v>
          </cell>
          <cell r="D1074">
            <v>143.59</v>
          </cell>
        </row>
        <row r="1075">
          <cell r="A1075" t="str">
            <v>BU5155524</v>
          </cell>
          <cell r="B1075" t="str">
            <v>Iul Express</v>
          </cell>
          <cell r="C1075" t="str">
            <v>Gregory Teipel</v>
          </cell>
          <cell r="D1075">
            <v>180.58</v>
          </cell>
        </row>
        <row r="1076">
          <cell r="A1076" t="str">
            <v>BU5060061</v>
          </cell>
          <cell r="B1076" t="str">
            <v xml:space="preserve">Living Promise - Level  Benefit         </v>
          </cell>
          <cell r="C1076" t="str">
            <v>Gregory Teipel</v>
          </cell>
          <cell r="D1076">
            <v>151.52000000000001</v>
          </cell>
        </row>
        <row r="1077">
          <cell r="A1077" t="str">
            <v>BU6457385</v>
          </cell>
          <cell r="B1077" t="str">
            <v>Term Life Express 10 15 20 30</v>
          </cell>
          <cell r="C1077" t="str">
            <v>Gregory Teipel</v>
          </cell>
          <cell r="D1077">
            <v>208.44</v>
          </cell>
        </row>
        <row r="1078">
          <cell r="A1078" t="str">
            <v>BU6280537</v>
          </cell>
          <cell r="B1078" t="str">
            <v>Term Life Express 10 15 20 30</v>
          </cell>
          <cell r="C1078" t="str">
            <v>Colleen Finnigan</v>
          </cell>
          <cell r="D1078">
            <v>285.95999999999998</v>
          </cell>
        </row>
        <row r="1079">
          <cell r="A1079" t="str">
            <v>BU6203254</v>
          </cell>
          <cell r="B1079" t="str">
            <v>Term Life Express 10 15 20 30</v>
          </cell>
          <cell r="C1079" t="str">
            <v>Matthew Daugherty</v>
          </cell>
          <cell r="D1079">
            <v>127.36</v>
          </cell>
        </row>
        <row r="1080">
          <cell r="A1080" t="str">
            <v>BU4435608</v>
          </cell>
          <cell r="B1080" t="str">
            <v>Term Life Express 10 15 20 30</v>
          </cell>
          <cell r="C1080" t="str">
            <v>Gregory Teipel</v>
          </cell>
          <cell r="D1080">
            <v>92.77</v>
          </cell>
        </row>
        <row r="1081">
          <cell r="A1081" t="str">
            <v>404890-41</v>
          </cell>
          <cell r="B1081" t="str">
            <v>Medicare Supplement Plan G</v>
          </cell>
          <cell r="C1081" t="str">
            <v>Gregory Teipel</v>
          </cell>
          <cell r="D1081">
            <v>193.61</v>
          </cell>
        </row>
        <row r="1082">
          <cell r="A1082" t="str">
            <v>BU6444063</v>
          </cell>
          <cell r="B1082" t="str">
            <v>Term Life Express 10 15 20 30</v>
          </cell>
          <cell r="C1082" t="str">
            <v>Steven Brandt</v>
          </cell>
          <cell r="D1082">
            <v>92.12</v>
          </cell>
        </row>
        <row r="1083">
          <cell r="A1083" t="str">
            <v>325912-41</v>
          </cell>
          <cell r="B1083" t="str">
            <v xml:space="preserve">Protection  Plan (c) Dnt5i              </v>
          </cell>
          <cell r="C1083" t="str">
            <v>Richard Yale</v>
          </cell>
          <cell r="D1083">
            <v>36.08</v>
          </cell>
        </row>
        <row r="1084">
          <cell r="A1084" t="str">
            <v>BU4245028</v>
          </cell>
          <cell r="B1084" t="str">
            <v>Iul Express</v>
          </cell>
          <cell r="C1084" t="str">
            <v>Ryan Caltagirone</v>
          </cell>
          <cell r="D1084">
            <v>180.42</v>
          </cell>
        </row>
        <row r="1085">
          <cell r="A1085" t="str">
            <v>BU5159760</v>
          </cell>
          <cell r="B1085" t="str">
            <v>Iul Express</v>
          </cell>
          <cell r="C1085" t="str">
            <v>Ryan Caltagirone</v>
          </cell>
          <cell r="D1085">
            <v>265.86</v>
          </cell>
        </row>
        <row r="1086">
          <cell r="A1086" t="str">
            <v>BU4358094</v>
          </cell>
          <cell r="B1086" t="str">
            <v>Term Life Express 10 15 20 30</v>
          </cell>
          <cell r="C1086" t="str">
            <v>Matthew Daugherty</v>
          </cell>
          <cell r="D1086">
            <v>144.4</v>
          </cell>
        </row>
        <row r="1087">
          <cell r="A1087" t="str">
            <v>BU4423640</v>
          </cell>
          <cell r="B1087" t="str">
            <v>Iul Express</v>
          </cell>
          <cell r="C1087" t="str">
            <v>Gregory Teipel</v>
          </cell>
          <cell r="D1087">
            <v>244.96</v>
          </cell>
        </row>
        <row r="1088">
          <cell r="A1088" t="str">
            <v>BU4561650</v>
          </cell>
          <cell r="B1088" t="str">
            <v>Term Life Express 10 15 20 30</v>
          </cell>
          <cell r="C1088" t="str">
            <v>Ryan Caltagirone</v>
          </cell>
          <cell r="D1088">
            <v>138.91</v>
          </cell>
        </row>
        <row r="1089">
          <cell r="A1089" t="str">
            <v>BU4133175</v>
          </cell>
          <cell r="B1089" t="str">
            <v>Iul Express</v>
          </cell>
          <cell r="C1089" t="str">
            <v>Gregory Teipel</v>
          </cell>
          <cell r="D1089">
            <v>215</v>
          </cell>
        </row>
        <row r="1090">
          <cell r="A1090" t="str">
            <v>404091-97</v>
          </cell>
          <cell r="B1090" t="str">
            <v xml:space="preserve">Protection  Plan (c) Dnt5i              </v>
          </cell>
          <cell r="C1090" t="str">
            <v>Richard Yale</v>
          </cell>
          <cell r="D1090">
            <v>36.08</v>
          </cell>
        </row>
        <row r="1091">
          <cell r="A1091" t="str">
            <v>BU4419079</v>
          </cell>
          <cell r="B1091" t="str">
            <v>Term Life Express 10 15 20 30</v>
          </cell>
          <cell r="C1091" t="str">
            <v>Matthew Daugherty</v>
          </cell>
          <cell r="D1091">
            <v>53.67</v>
          </cell>
        </row>
        <row r="1092">
          <cell r="A1092" t="str">
            <v>BU4472860</v>
          </cell>
          <cell r="B1092" t="str">
            <v>Iul Express</v>
          </cell>
          <cell r="C1092" t="str">
            <v>Michael Lutz</v>
          </cell>
          <cell r="D1092">
            <v>99.09</v>
          </cell>
        </row>
        <row r="1093">
          <cell r="A1093" t="str">
            <v>BU5260142</v>
          </cell>
          <cell r="B1093" t="str">
            <v>Iul Express</v>
          </cell>
          <cell r="C1093" t="str">
            <v>Gregory Teipel</v>
          </cell>
          <cell r="D1093">
            <v>150.19</v>
          </cell>
        </row>
        <row r="1094">
          <cell r="A1094" t="str">
            <v>BU4476553</v>
          </cell>
          <cell r="B1094" t="str">
            <v>Term Life</v>
          </cell>
          <cell r="C1094" t="str">
            <v>Matthew Daugherty</v>
          </cell>
          <cell r="D1094">
            <v>196.57</v>
          </cell>
        </row>
        <row r="1095">
          <cell r="A1095" t="str">
            <v>BU5033437</v>
          </cell>
          <cell r="B1095" t="str">
            <v>Term Life Express 10 15 20 30</v>
          </cell>
          <cell r="C1095" t="str">
            <v>Nasandelger Zana</v>
          </cell>
          <cell r="D1095">
            <v>46.5</v>
          </cell>
        </row>
        <row r="1096">
          <cell r="A1096" t="str">
            <v>BU5169532</v>
          </cell>
          <cell r="B1096" t="str">
            <v>Term Life Express 10 15 20 30</v>
          </cell>
          <cell r="C1096" t="str">
            <v>Andrew Choi</v>
          </cell>
          <cell r="D1096">
            <v>143.11000000000001</v>
          </cell>
        </row>
        <row r="1097">
          <cell r="A1097" t="str">
            <v>BU4308220</v>
          </cell>
          <cell r="B1097" t="str">
            <v>Tle 20-20yr Guar</v>
          </cell>
          <cell r="C1097" t="str">
            <v>Ryan Caltagirone</v>
          </cell>
          <cell r="D1097">
            <v>145.65</v>
          </cell>
        </row>
        <row r="1098">
          <cell r="A1098" t="str">
            <v>BU6239044</v>
          </cell>
          <cell r="B1098" t="str">
            <v>Term Life Express 10 15 20 30</v>
          </cell>
          <cell r="C1098" t="str">
            <v>Ryan Caltagirone</v>
          </cell>
          <cell r="D1098">
            <v>43.28</v>
          </cell>
        </row>
        <row r="1099">
          <cell r="A1099" t="str">
            <v>463166-41</v>
          </cell>
          <cell r="B1099" t="str">
            <v>Medicare Supplement Plan G</v>
          </cell>
          <cell r="C1099" t="str">
            <v>Gregory Teipel</v>
          </cell>
          <cell r="D1099">
            <v>194.83</v>
          </cell>
        </row>
        <row r="1100">
          <cell r="A1100" t="str">
            <v>758948-97</v>
          </cell>
          <cell r="B1100" t="str">
            <v>Medicare Supplement Plan G</v>
          </cell>
          <cell r="C1100" t="str">
            <v>Gregory Teipel</v>
          </cell>
          <cell r="D1100">
            <v>122.9</v>
          </cell>
        </row>
        <row r="1101">
          <cell r="A1101" t="str">
            <v>BU4900270</v>
          </cell>
          <cell r="B1101" t="str">
            <v>Term Life Express 10 15 20 30</v>
          </cell>
          <cell r="C1101" t="str">
            <v>Gregory Teipel</v>
          </cell>
          <cell r="D1101">
            <v>258.99</v>
          </cell>
        </row>
        <row r="1102">
          <cell r="A1102" t="str">
            <v>801095-97</v>
          </cell>
          <cell r="B1102" t="str">
            <v>Medicare Supplement Plan N</v>
          </cell>
          <cell r="C1102" t="str">
            <v>Chad Bender</v>
          </cell>
          <cell r="D1102">
            <v>120.5</v>
          </cell>
        </row>
        <row r="1103">
          <cell r="A1103" t="str">
            <v>961571-96</v>
          </cell>
          <cell r="B1103" t="str">
            <v>Medicare Supplement Plan G</v>
          </cell>
          <cell r="C1103" t="str">
            <v>Adam Richter</v>
          </cell>
          <cell r="D1103">
            <v>147.96</v>
          </cell>
        </row>
        <row r="1104">
          <cell r="A1104" t="str">
            <v>BU4216513</v>
          </cell>
          <cell r="B1104" t="str">
            <v xml:space="preserve">Living Promise - Level  Benefit         </v>
          </cell>
          <cell r="C1104" t="str">
            <v>Jason Hoffmann</v>
          </cell>
          <cell r="D1104">
            <v>109.75</v>
          </cell>
        </row>
        <row r="1105">
          <cell r="A1105" t="str">
            <v>613903-96</v>
          </cell>
          <cell r="B1105" t="str">
            <v>Medicare Supplement Plan N</v>
          </cell>
          <cell r="C1105" t="str">
            <v>Jason Hoffmann</v>
          </cell>
          <cell r="D1105">
            <v>175.92</v>
          </cell>
        </row>
        <row r="1106">
          <cell r="A1106" t="str">
            <v>BU4387224</v>
          </cell>
          <cell r="B1106" t="str">
            <v>Term Life Express 10 15 20 30</v>
          </cell>
          <cell r="C1106" t="str">
            <v>Matthew Daugherty</v>
          </cell>
          <cell r="D1106">
            <v>211.15</v>
          </cell>
        </row>
        <row r="1107">
          <cell r="A1107" t="str">
            <v>595201-97</v>
          </cell>
          <cell r="B1107" t="str">
            <v xml:space="preserve">Preferred Plan (a) Dnt2i                </v>
          </cell>
          <cell r="C1107" t="str">
            <v>Richard Yale</v>
          </cell>
          <cell r="D1107">
            <v>79.28</v>
          </cell>
        </row>
        <row r="1108">
          <cell r="A1108" t="str">
            <v>BU4572096</v>
          </cell>
          <cell r="B1108" t="str">
            <v>Term Life Express 10 15 20 30</v>
          </cell>
          <cell r="C1108" t="str">
            <v>Matthew Daugherty</v>
          </cell>
          <cell r="D1108">
            <v>329.21</v>
          </cell>
        </row>
        <row r="1109">
          <cell r="A1109" t="str">
            <v>535347-97</v>
          </cell>
          <cell r="B1109" t="str">
            <v>Medicare Supplement Plan F</v>
          </cell>
          <cell r="C1109" t="str">
            <v>Carol Foley</v>
          </cell>
          <cell r="D1109">
            <v>243.98</v>
          </cell>
        </row>
        <row r="1110">
          <cell r="A1110" t="str">
            <v>BU6330150</v>
          </cell>
          <cell r="B1110" t="str">
            <v>Term Life Express 10 15 20 30</v>
          </cell>
          <cell r="C1110" t="str">
            <v>Gregory Teipel</v>
          </cell>
          <cell r="D1110">
            <v>211.13</v>
          </cell>
        </row>
        <row r="1111">
          <cell r="A1111" t="str">
            <v>674149-97</v>
          </cell>
          <cell r="B1111" t="str">
            <v>Limited Accident</v>
          </cell>
          <cell r="C1111" t="str">
            <v>Chad Bender</v>
          </cell>
          <cell r="D1111">
            <v>33.909999999999997</v>
          </cell>
        </row>
        <row r="1112">
          <cell r="A1112" t="str">
            <v>BU4410183</v>
          </cell>
          <cell r="B1112" t="str">
            <v>Term Life Express 10 15 20 30</v>
          </cell>
          <cell r="C1112" t="str">
            <v>Matthew Daugherty</v>
          </cell>
          <cell r="D1112">
            <v>180.23</v>
          </cell>
        </row>
        <row r="1113">
          <cell r="A1113" t="str">
            <v>BU4786657</v>
          </cell>
          <cell r="B1113" t="str">
            <v xml:space="preserve">Living Promise - Level  Benefit         </v>
          </cell>
          <cell r="C1113" t="str">
            <v>Gary Portugal</v>
          </cell>
          <cell r="D1113">
            <v>56.48</v>
          </cell>
        </row>
        <row r="1114">
          <cell r="A1114" t="str">
            <v>BU5162612</v>
          </cell>
          <cell r="B1114" t="str">
            <v>Term Life Express 10 15 20 30</v>
          </cell>
          <cell r="C1114" t="str">
            <v>Adam Richter</v>
          </cell>
          <cell r="D1114">
            <v>54.51</v>
          </cell>
        </row>
        <row r="1115">
          <cell r="A1115" t="str">
            <v>478190-97</v>
          </cell>
          <cell r="B1115" t="str">
            <v>Medicare Supplement Plan G</v>
          </cell>
          <cell r="C1115" t="str">
            <v>Carol Foley</v>
          </cell>
          <cell r="D1115">
            <v>293.10000000000002</v>
          </cell>
        </row>
        <row r="1116">
          <cell r="A1116" t="str">
            <v>BU4684837</v>
          </cell>
          <cell r="B1116" t="str">
            <v>Term Life Express 10 15 20 30</v>
          </cell>
          <cell r="C1116" t="str">
            <v>Gregory Teipel</v>
          </cell>
          <cell r="D1116">
            <v>141.43</v>
          </cell>
        </row>
        <row r="1117">
          <cell r="A1117" t="str">
            <v>760299-97</v>
          </cell>
          <cell r="B1117" t="str">
            <v xml:space="preserve">Preferred Plan (a) Dnt2i                </v>
          </cell>
          <cell r="C1117" t="str">
            <v>Christian Taugner</v>
          </cell>
          <cell r="D1117">
            <v>64.959999999999994</v>
          </cell>
        </row>
        <row r="1118">
          <cell r="A1118" t="str">
            <v>BU6222056</v>
          </cell>
          <cell r="B1118" t="str">
            <v>Iul Express</v>
          </cell>
          <cell r="C1118" t="str">
            <v>Gregory Teipel</v>
          </cell>
          <cell r="D1118">
            <v>121.47</v>
          </cell>
        </row>
        <row r="1119">
          <cell r="A1119" t="str">
            <v>BU5009533</v>
          </cell>
          <cell r="B1119" t="str">
            <v>Iul Express</v>
          </cell>
          <cell r="C1119" t="str">
            <v>Colleen Finnigan</v>
          </cell>
          <cell r="D1119">
            <v>122.58</v>
          </cell>
        </row>
        <row r="1120">
          <cell r="A1120" t="str">
            <v>BU6450110</v>
          </cell>
          <cell r="B1120" t="str">
            <v>Iul Express</v>
          </cell>
          <cell r="C1120" t="str">
            <v>Gregory Teipel</v>
          </cell>
          <cell r="D1120">
            <v>235.16</v>
          </cell>
        </row>
        <row r="1121">
          <cell r="A1121" t="str">
            <v>588575-96</v>
          </cell>
          <cell r="B1121" t="str">
            <v>Medicare Supplement Plan N</v>
          </cell>
          <cell r="C1121" t="str">
            <v>Adam Richter</v>
          </cell>
          <cell r="D1121">
            <v>119.09</v>
          </cell>
        </row>
        <row r="1122">
          <cell r="A1122" t="str">
            <v>BU4634850</v>
          </cell>
          <cell r="B1122" t="str">
            <v>Iul Express</v>
          </cell>
          <cell r="C1122" t="str">
            <v>Ryan Caltagirone</v>
          </cell>
          <cell r="D1122">
            <v>310.89999999999998</v>
          </cell>
        </row>
        <row r="1123">
          <cell r="A1123" t="str">
            <v>BU4221783</v>
          </cell>
          <cell r="B1123" t="str">
            <v>Term Life Express 10 15 20 30</v>
          </cell>
          <cell r="C1123" t="str">
            <v>Gregory Teipel</v>
          </cell>
          <cell r="D1123">
            <v>258.99</v>
          </cell>
        </row>
        <row r="1124">
          <cell r="A1124" t="str">
            <v>710987-97</v>
          </cell>
          <cell r="B1124" t="str">
            <v>Medicare Supplement Plan G</v>
          </cell>
          <cell r="C1124" t="str">
            <v>Adam Richter</v>
          </cell>
          <cell r="D1124">
            <v>121.45</v>
          </cell>
        </row>
        <row r="1125">
          <cell r="A1125" t="str">
            <v>BU5642825</v>
          </cell>
          <cell r="B1125" t="str">
            <v>Term Life Express 10 15 20 30</v>
          </cell>
          <cell r="C1125" t="str">
            <v>Matthew Daugherty</v>
          </cell>
          <cell r="D1125">
            <v>61.68</v>
          </cell>
        </row>
        <row r="1126">
          <cell r="A1126" t="str">
            <v>BU6387534</v>
          </cell>
          <cell r="B1126" t="str">
            <v>Iul Express</v>
          </cell>
          <cell r="C1126" t="str">
            <v>Gregory Teipel</v>
          </cell>
          <cell r="D1126">
            <v>186.59</v>
          </cell>
        </row>
        <row r="1127">
          <cell r="A1127" t="str">
            <v>BU4506407</v>
          </cell>
          <cell r="B1127" t="str">
            <v>Term Life Express 10 15 20 30</v>
          </cell>
          <cell r="C1127" t="str">
            <v>Matthew Daugherty</v>
          </cell>
          <cell r="D1127">
            <v>62.57</v>
          </cell>
        </row>
        <row r="1128">
          <cell r="A1128" t="str">
            <v>506122-41</v>
          </cell>
          <cell r="B1128" t="str">
            <v>Lump Sum (ca/spec Disease Indemnity)</v>
          </cell>
          <cell r="C1128" t="str">
            <v>Steven Brandt</v>
          </cell>
          <cell r="D1128">
            <v>30.5</v>
          </cell>
        </row>
        <row r="1129">
          <cell r="A1129" t="str">
            <v>BU5637417</v>
          </cell>
          <cell r="B1129" t="str">
            <v>Term Life Express 10 15 20 30</v>
          </cell>
          <cell r="C1129" t="str">
            <v>Ryan Caltagirone</v>
          </cell>
          <cell r="D1129">
            <v>141.43</v>
          </cell>
        </row>
        <row r="1130">
          <cell r="A1130" t="str">
            <v>BU5039629</v>
          </cell>
          <cell r="B1130" t="str">
            <v>Term Life Express 10 15 20 30</v>
          </cell>
          <cell r="C1130" t="str">
            <v>Gregory Teipel</v>
          </cell>
          <cell r="D1130">
            <v>46.99</v>
          </cell>
        </row>
        <row r="1131">
          <cell r="A1131" t="str">
            <v>BU4308232</v>
          </cell>
          <cell r="B1131" t="str">
            <v>Tle 20-20yr Guar</v>
          </cell>
          <cell r="C1131" t="str">
            <v>Ryan Caltagirone</v>
          </cell>
          <cell r="D1131">
            <v>139.11000000000001</v>
          </cell>
        </row>
        <row r="1132">
          <cell r="A1132" t="str">
            <v>BU4626908</v>
          </cell>
          <cell r="B1132" t="str">
            <v>Tle 20-20yr Guar</v>
          </cell>
          <cell r="C1132" t="str">
            <v>Gregory Teipel</v>
          </cell>
          <cell r="D1132">
            <v>85.4</v>
          </cell>
        </row>
        <row r="1133">
          <cell r="A1133" t="str">
            <v>BU5091843</v>
          </cell>
          <cell r="B1133" t="str">
            <v>Term Life Express 10 15 20 30</v>
          </cell>
          <cell r="C1133" t="str">
            <v>Ryan Caltagirone</v>
          </cell>
          <cell r="D1133">
            <v>61.68</v>
          </cell>
        </row>
        <row r="1134">
          <cell r="A1134" t="str">
            <v>BU6251670</v>
          </cell>
          <cell r="B1134" t="str">
            <v xml:space="preserve">Children S - Whole Life                 </v>
          </cell>
          <cell r="C1134" t="str">
            <v>Adam Richter</v>
          </cell>
          <cell r="D1134">
            <v>26.75</v>
          </cell>
        </row>
        <row r="1135">
          <cell r="A1135" t="str">
            <v>BU5359993</v>
          </cell>
          <cell r="B1135" t="str">
            <v xml:space="preserve">Living Promise-graded                   </v>
          </cell>
          <cell r="C1135" t="str">
            <v>Ryan Caltagirone</v>
          </cell>
          <cell r="D1135">
            <v>91.63</v>
          </cell>
        </row>
        <row r="1136">
          <cell r="A1136" t="str">
            <v>BU5485340</v>
          </cell>
          <cell r="B1136" t="str">
            <v>Term Life Answer 10 15 20 30</v>
          </cell>
          <cell r="C1136" t="str">
            <v>Brian Strohman</v>
          </cell>
          <cell r="D1136">
            <v>342.93</v>
          </cell>
        </row>
        <row r="1137">
          <cell r="A1137" t="str">
            <v>BU6260853</v>
          </cell>
          <cell r="B1137" t="str">
            <v>Iul Express</v>
          </cell>
          <cell r="C1137" t="str">
            <v>Ryan Caltagirone</v>
          </cell>
          <cell r="D1137">
            <v>205.2</v>
          </cell>
        </row>
        <row r="1138">
          <cell r="A1138" t="str">
            <v>BU4446782</v>
          </cell>
          <cell r="B1138" t="str">
            <v>Term Life</v>
          </cell>
          <cell r="C1138" t="str">
            <v>Matthew Daugherty</v>
          </cell>
          <cell r="D1138">
            <v>177.45</v>
          </cell>
        </row>
        <row r="1139">
          <cell r="A1139" t="str">
            <v>BU6482285</v>
          </cell>
          <cell r="B1139" t="str">
            <v>Term Life Express 10 15 20 30</v>
          </cell>
          <cell r="C1139" t="str">
            <v>Steven Brandt</v>
          </cell>
          <cell r="D1139">
            <v>72.959999999999994</v>
          </cell>
        </row>
        <row r="1140">
          <cell r="A1140" t="str">
            <v>BU5008620</v>
          </cell>
          <cell r="B1140" t="str">
            <v>Iul Express</v>
          </cell>
          <cell r="C1140" t="str">
            <v>Jacob Yale</v>
          </cell>
          <cell r="D1140">
            <v>65.260000000000005</v>
          </cell>
        </row>
        <row r="1141">
          <cell r="A1141" t="str">
            <v>BU4728941</v>
          </cell>
          <cell r="B1141" t="str">
            <v>Term Life Express 10 15 20 30</v>
          </cell>
          <cell r="C1141" t="str">
            <v>Ryan Caltagirone</v>
          </cell>
          <cell r="D1141">
            <v>268.18</v>
          </cell>
        </row>
        <row r="1142">
          <cell r="A1142" t="str">
            <v>BU4971836</v>
          </cell>
          <cell r="B1142" t="str">
            <v>Tle 20-20yr Guar</v>
          </cell>
          <cell r="C1142" t="str">
            <v>Thomas Pardue</v>
          </cell>
          <cell r="D1142">
            <v>25.72</v>
          </cell>
        </row>
        <row r="1143">
          <cell r="A1143" t="str">
            <v>BU5026419</v>
          </cell>
          <cell r="B1143" t="str">
            <v>Iul Express</v>
          </cell>
          <cell r="C1143" t="str">
            <v>Gregory Teipel</v>
          </cell>
          <cell r="D1143">
            <v>411.18</v>
          </cell>
        </row>
        <row r="1144">
          <cell r="A1144" t="str">
            <v>BU5158863</v>
          </cell>
          <cell r="B1144" t="str">
            <v xml:space="preserve">Living Promise - Level  Benefit         </v>
          </cell>
          <cell r="C1144" t="str">
            <v>Jacob Yale</v>
          </cell>
          <cell r="D1144">
            <v>190.82</v>
          </cell>
        </row>
        <row r="1145">
          <cell r="A1145" t="str">
            <v>BU4441110</v>
          </cell>
          <cell r="B1145" t="str">
            <v>Term Life Express 10 15 20 30</v>
          </cell>
          <cell r="C1145" t="str">
            <v>Matthew Daugherty</v>
          </cell>
          <cell r="D1145">
            <v>66.88</v>
          </cell>
        </row>
        <row r="1146">
          <cell r="A1146" t="str">
            <v>BU4450440</v>
          </cell>
          <cell r="B1146" t="str">
            <v>Term Life Express 10 15 20 30</v>
          </cell>
          <cell r="C1146" t="str">
            <v>Matthew Daugherty</v>
          </cell>
          <cell r="D1146">
            <v>352.97</v>
          </cell>
        </row>
        <row r="1147">
          <cell r="A1147" t="str">
            <v>BU5045137</v>
          </cell>
          <cell r="B1147" t="str">
            <v>Term Life Express 10 15 20 30</v>
          </cell>
          <cell r="C1147" t="str">
            <v>Gregory Teipel</v>
          </cell>
          <cell r="D1147">
            <v>141.96</v>
          </cell>
        </row>
        <row r="1148">
          <cell r="A1148" t="str">
            <v>BU3877435</v>
          </cell>
          <cell r="B1148" t="str">
            <v>Term Life Express 10 15 20 30</v>
          </cell>
          <cell r="C1148" t="str">
            <v>Ashley Teipel</v>
          </cell>
          <cell r="D1148">
            <v>285.95999999999998</v>
          </cell>
        </row>
        <row r="1149">
          <cell r="A1149" t="str">
            <v>BU6226393</v>
          </cell>
          <cell r="B1149" t="str">
            <v xml:space="preserve">Living Promise-graded                   </v>
          </cell>
          <cell r="C1149" t="str">
            <v>Gregory Teipel</v>
          </cell>
          <cell r="D1149">
            <v>95.05</v>
          </cell>
        </row>
        <row r="1150">
          <cell r="A1150" t="str">
            <v>BU6370496</v>
          </cell>
          <cell r="B1150" t="str">
            <v>Iul Express</v>
          </cell>
          <cell r="C1150" t="str">
            <v>Colleen Finnigan</v>
          </cell>
          <cell r="D1150">
            <v>282.98</v>
          </cell>
        </row>
        <row r="1151">
          <cell r="A1151" t="str">
            <v>684259-97</v>
          </cell>
          <cell r="B1151" t="str">
            <v>Medicare Supplement Plan G</v>
          </cell>
          <cell r="C1151" t="str">
            <v>Michael Dunavant</v>
          </cell>
          <cell r="D1151">
            <v>128.66999999999999</v>
          </cell>
        </row>
        <row r="1152">
          <cell r="A1152" t="str">
            <v>BU4234403</v>
          </cell>
          <cell r="B1152" t="str">
            <v>Iul Express</v>
          </cell>
          <cell r="C1152" t="str">
            <v>Ryan Caltagirone</v>
          </cell>
          <cell r="D1152">
            <v>157.44999999999999</v>
          </cell>
        </row>
        <row r="1153">
          <cell r="A1153" t="str">
            <v>BU4226355</v>
          </cell>
          <cell r="B1153" t="str">
            <v>Tle 20-20yr Guar</v>
          </cell>
          <cell r="C1153" t="str">
            <v>Ryan Caltagirone</v>
          </cell>
          <cell r="D1153">
            <v>56.6</v>
          </cell>
        </row>
        <row r="1154">
          <cell r="A1154" t="str">
            <v>BU6371178</v>
          </cell>
          <cell r="B1154" t="str">
            <v>Iul Express</v>
          </cell>
          <cell r="C1154" t="str">
            <v>Nasandelger Zana</v>
          </cell>
          <cell r="D1154">
            <v>142.93</v>
          </cell>
        </row>
        <row r="1155">
          <cell r="A1155" t="str">
            <v>BU4163610</v>
          </cell>
          <cell r="B1155" t="str">
            <v>Iul Express</v>
          </cell>
          <cell r="C1155" t="str">
            <v>Gregory Teipel</v>
          </cell>
          <cell r="D1155">
            <v>300</v>
          </cell>
        </row>
        <row r="1156">
          <cell r="A1156" t="str">
            <v>601712-97</v>
          </cell>
          <cell r="B1156" t="str">
            <v>Medicare Supplement Plan G</v>
          </cell>
          <cell r="C1156" t="str">
            <v>Gregory Teipel</v>
          </cell>
          <cell r="D1156">
            <v>220.01</v>
          </cell>
        </row>
        <row r="1157">
          <cell r="A1157" t="str">
            <v>BU4888248</v>
          </cell>
          <cell r="B1157" t="str">
            <v>Iul Express</v>
          </cell>
          <cell r="C1157" t="str">
            <v>Timothy Powers</v>
          </cell>
          <cell r="D1157">
            <v>116.78</v>
          </cell>
        </row>
        <row r="1158">
          <cell r="A1158" t="str">
            <v>BU5186068</v>
          </cell>
          <cell r="B1158" t="str">
            <v>Term Life Express 10 15 20 30</v>
          </cell>
          <cell r="C1158" t="str">
            <v>Ryan Caltagirone</v>
          </cell>
          <cell r="D1158">
            <v>149.44</v>
          </cell>
        </row>
        <row r="1159">
          <cell r="A1159" t="str">
            <v>BU5072017</v>
          </cell>
          <cell r="B1159" t="str">
            <v xml:space="preserve">Living Promise - Level  Benefit         </v>
          </cell>
          <cell r="C1159" t="str">
            <v>Gregory Teipel</v>
          </cell>
          <cell r="D1159">
            <v>129.13999999999999</v>
          </cell>
        </row>
        <row r="1160">
          <cell r="A1160" t="str">
            <v>BU4120483</v>
          </cell>
          <cell r="B1160" t="str">
            <v>Iul Express</v>
          </cell>
          <cell r="C1160" t="str">
            <v>Gregory Teipel</v>
          </cell>
          <cell r="D1160">
            <v>230</v>
          </cell>
        </row>
        <row r="1161">
          <cell r="A1161" t="str">
            <v>BU4564687</v>
          </cell>
          <cell r="B1161" t="str">
            <v>Term Life Express 10 15 20 30</v>
          </cell>
          <cell r="C1161" t="str">
            <v>Ryan Caltagirone</v>
          </cell>
          <cell r="D1161">
            <v>148.02000000000001</v>
          </cell>
        </row>
        <row r="1162">
          <cell r="A1162" t="str">
            <v>BU5478550</v>
          </cell>
          <cell r="B1162" t="str">
            <v>Iul Express</v>
          </cell>
          <cell r="C1162" t="str">
            <v>Jason Roller</v>
          </cell>
          <cell r="D1162">
            <v>5890.41</v>
          </cell>
        </row>
        <row r="1163">
          <cell r="A1163" t="str">
            <v>BU4383297</v>
          </cell>
          <cell r="B1163" t="str">
            <v>Tle 20-20yr Guar</v>
          </cell>
          <cell r="C1163" t="str">
            <v>Gregory Teipel</v>
          </cell>
          <cell r="D1163">
            <v>102.96</v>
          </cell>
        </row>
        <row r="1164">
          <cell r="A1164" t="str">
            <v>BU5045360</v>
          </cell>
          <cell r="B1164" t="str">
            <v xml:space="preserve">Living Promise - Level  Benefit         </v>
          </cell>
          <cell r="C1164" t="str">
            <v>Gregory Teipel</v>
          </cell>
          <cell r="D1164">
            <v>167.5</v>
          </cell>
        </row>
        <row r="1165">
          <cell r="A1165" t="str">
            <v>BU6217774</v>
          </cell>
          <cell r="B1165" t="str">
            <v>Iul Express</v>
          </cell>
          <cell r="C1165" t="str">
            <v>Gregory Teipel</v>
          </cell>
          <cell r="D1165">
            <v>299.45999999999998</v>
          </cell>
        </row>
        <row r="1166">
          <cell r="A1166" t="str">
            <v>BU4446778</v>
          </cell>
          <cell r="B1166" t="str">
            <v>Term Life Express 10 15 20 30</v>
          </cell>
          <cell r="C1166" t="str">
            <v>Matthew Daugherty</v>
          </cell>
          <cell r="D1166">
            <v>109.47</v>
          </cell>
        </row>
        <row r="1167">
          <cell r="A1167" t="str">
            <v>BU4336957</v>
          </cell>
          <cell r="B1167" t="str">
            <v>Iul Express</v>
          </cell>
          <cell r="C1167" t="str">
            <v>Jason Hoffmann</v>
          </cell>
          <cell r="D1167">
            <v>493.95</v>
          </cell>
        </row>
        <row r="1168">
          <cell r="A1168" t="str">
            <v>BU4494782</v>
          </cell>
          <cell r="B1168" t="str">
            <v>Tle 20-20yr Guar</v>
          </cell>
          <cell r="C1168" t="str">
            <v>Ryan Caltagirone</v>
          </cell>
          <cell r="D1168">
            <v>149.44</v>
          </cell>
        </row>
        <row r="1169">
          <cell r="A1169" t="str">
            <v>BU4854427</v>
          </cell>
          <cell r="B1169" t="str">
            <v xml:space="preserve">Living Promise - Level  Benefit         </v>
          </cell>
          <cell r="C1169" t="str">
            <v>Timothy Powers</v>
          </cell>
          <cell r="D1169">
            <v>52.07</v>
          </cell>
        </row>
        <row r="1170">
          <cell r="A1170" t="str">
            <v>442620-41</v>
          </cell>
          <cell r="B1170" t="str">
            <v>Medicare Supplement Plan N</v>
          </cell>
          <cell r="C1170" t="str">
            <v>Gregory Teipel</v>
          </cell>
          <cell r="D1170">
            <v>121.41</v>
          </cell>
        </row>
        <row r="1171">
          <cell r="A1171" t="str">
            <v>BU4240496</v>
          </cell>
          <cell r="B1171" t="str">
            <v>Iul Express</v>
          </cell>
          <cell r="C1171" t="str">
            <v>Gregory Teipel</v>
          </cell>
          <cell r="D1171">
            <v>247.66</v>
          </cell>
        </row>
        <row r="1172">
          <cell r="A1172" t="str">
            <v>BU4718110</v>
          </cell>
          <cell r="B1172" t="str">
            <v>Term Life Express 10 15 20 30</v>
          </cell>
          <cell r="C1172" t="str">
            <v>Gregory Teipel</v>
          </cell>
          <cell r="D1172">
            <v>128.43</v>
          </cell>
        </row>
        <row r="1173">
          <cell r="A1173" t="str">
            <v>BU4950433</v>
          </cell>
          <cell r="B1173" t="str">
            <v>Term Life Express 10 15 20 30</v>
          </cell>
          <cell r="C1173" t="str">
            <v>Matthew Daugherty</v>
          </cell>
          <cell r="D1173">
            <v>196.51</v>
          </cell>
        </row>
        <row r="1174">
          <cell r="A1174" t="str">
            <v>BU5049356</v>
          </cell>
          <cell r="B1174" t="str">
            <v>Term Life Express 10 15 20 30</v>
          </cell>
          <cell r="C1174" t="str">
            <v>Gregory Teipel</v>
          </cell>
          <cell r="D1174">
            <v>50.51</v>
          </cell>
        </row>
        <row r="1175">
          <cell r="A1175" t="str">
            <v>BU5357468</v>
          </cell>
          <cell r="B1175" t="str">
            <v>Iul Express</v>
          </cell>
          <cell r="C1175" t="str">
            <v>Ryan Caltagirone</v>
          </cell>
          <cell r="D1175">
            <v>208</v>
          </cell>
        </row>
        <row r="1176">
          <cell r="A1176" t="str">
            <v>BU4473706</v>
          </cell>
          <cell r="B1176" t="str">
            <v>Term Life Express 10 15 20 30</v>
          </cell>
          <cell r="C1176" t="str">
            <v>Matthew Daugherty</v>
          </cell>
          <cell r="D1176">
            <v>113.56</v>
          </cell>
        </row>
        <row r="1177">
          <cell r="A1177" t="str">
            <v>BU5142078</v>
          </cell>
          <cell r="B1177" t="str">
            <v>Iul Express</v>
          </cell>
          <cell r="C1177" t="str">
            <v>Gregory Teipel</v>
          </cell>
          <cell r="D1177">
            <v>167.28</v>
          </cell>
        </row>
        <row r="1178">
          <cell r="A1178" t="str">
            <v>BU6244642</v>
          </cell>
          <cell r="B1178" t="str">
            <v xml:space="preserve">Living Promise - Level  Benefit         </v>
          </cell>
          <cell r="C1178" t="str">
            <v>Andrew Choi</v>
          </cell>
          <cell r="D1178">
            <v>88.52</v>
          </cell>
        </row>
        <row r="1179">
          <cell r="A1179" t="str">
            <v>BU5090182</v>
          </cell>
          <cell r="B1179" t="str">
            <v xml:space="preserve">Living Promise-graded                   </v>
          </cell>
          <cell r="C1179" t="str">
            <v>Gregory Teipel</v>
          </cell>
          <cell r="D1179">
            <v>140.44</v>
          </cell>
        </row>
        <row r="1180">
          <cell r="A1180" t="str">
            <v>BU5521068</v>
          </cell>
          <cell r="B1180" t="str">
            <v>Iul Express</v>
          </cell>
          <cell r="C1180" t="str">
            <v>Gregory Teipel</v>
          </cell>
          <cell r="D1180">
            <v>180.35</v>
          </cell>
        </row>
        <row r="1181">
          <cell r="A1181" t="str">
            <v>BU4972734</v>
          </cell>
          <cell r="B1181" t="str">
            <v>Term Life Express 10 15 20 30</v>
          </cell>
          <cell r="C1181" t="str">
            <v>Matthew Daugherty</v>
          </cell>
          <cell r="D1181">
            <v>142.31</v>
          </cell>
        </row>
        <row r="1182">
          <cell r="A1182" t="str">
            <v>367215-97</v>
          </cell>
          <cell r="B1182" t="str">
            <v>Medicare Supplement Plan N</v>
          </cell>
          <cell r="C1182" t="str">
            <v>Adam Richter</v>
          </cell>
          <cell r="D1182">
            <v>119.09</v>
          </cell>
        </row>
        <row r="1183">
          <cell r="A1183" t="str">
            <v>787921-97</v>
          </cell>
          <cell r="B1183" t="str">
            <v>Medicare Supplement Plan G</v>
          </cell>
          <cell r="C1183" t="str">
            <v>Gregory Teipel</v>
          </cell>
          <cell r="D1183">
            <v>176.91</v>
          </cell>
        </row>
        <row r="1184">
          <cell r="A1184" t="str">
            <v>BU5015374</v>
          </cell>
          <cell r="B1184" t="str">
            <v>Term Life Express 10 15 20 30</v>
          </cell>
          <cell r="C1184" t="str">
            <v>Ricardo Santos</v>
          </cell>
          <cell r="D1184">
            <v>93.9</v>
          </cell>
        </row>
        <row r="1185">
          <cell r="A1185" t="str">
            <v>BU6374252</v>
          </cell>
          <cell r="B1185" t="str">
            <v>Tle 20-20yr Guar</v>
          </cell>
          <cell r="C1185" t="str">
            <v>Gregory Teipel</v>
          </cell>
          <cell r="D1185">
            <v>132.58000000000001</v>
          </cell>
        </row>
        <row r="1186">
          <cell r="A1186" t="str">
            <v>BU5387135</v>
          </cell>
          <cell r="B1186" t="str">
            <v>Tle 20-20yr Guar</v>
          </cell>
          <cell r="C1186" t="str">
            <v>Thomas Pardue</v>
          </cell>
          <cell r="D1186">
            <v>27.59</v>
          </cell>
        </row>
        <row r="1187">
          <cell r="A1187" t="str">
            <v>BU5395477</v>
          </cell>
          <cell r="B1187" t="str">
            <v>Term Life Express 10 15 20 30</v>
          </cell>
          <cell r="C1187" t="str">
            <v>Ryan Caltagirone</v>
          </cell>
          <cell r="D1187">
            <v>115.26</v>
          </cell>
        </row>
        <row r="1188">
          <cell r="A1188" t="str">
            <v>BU5055580</v>
          </cell>
          <cell r="B1188" t="str">
            <v>Iul Express</v>
          </cell>
          <cell r="C1188" t="str">
            <v>Gregory Teipel</v>
          </cell>
          <cell r="D1188">
            <v>130.22</v>
          </cell>
        </row>
        <row r="1189">
          <cell r="A1189" t="str">
            <v>BU4455828</v>
          </cell>
          <cell r="B1189" t="str">
            <v>Iul Express</v>
          </cell>
          <cell r="C1189" t="str">
            <v>Gregory Teipel</v>
          </cell>
          <cell r="D1189">
            <v>201.42</v>
          </cell>
        </row>
        <row r="1190">
          <cell r="A1190" t="str">
            <v>563880-97</v>
          </cell>
          <cell r="B1190" t="str">
            <v xml:space="preserve">Protection  Plan (c) Dnt5i              </v>
          </cell>
          <cell r="C1190" t="str">
            <v>Richard Yale</v>
          </cell>
          <cell r="D1190">
            <v>36.08</v>
          </cell>
        </row>
        <row r="1191">
          <cell r="A1191" t="str">
            <v>859539-97</v>
          </cell>
          <cell r="B1191" t="str">
            <v>Medicare Supplement Plan G</v>
          </cell>
          <cell r="C1191" t="str">
            <v>Gregory Teipel</v>
          </cell>
          <cell r="D1191">
            <v>151.81</v>
          </cell>
        </row>
        <row r="1192">
          <cell r="A1192" t="str">
            <v>BU6443322</v>
          </cell>
          <cell r="B1192" t="str">
            <v xml:space="preserve">Children S - Whole Life                 </v>
          </cell>
          <cell r="C1192" t="str">
            <v>Jo Lauder</v>
          </cell>
          <cell r="D1192">
            <v>23.17</v>
          </cell>
        </row>
        <row r="1193">
          <cell r="A1193" t="str">
            <v>870699-96</v>
          </cell>
          <cell r="B1193" t="str">
            <v>Medicare Supplement Plan G</v>
          </cell>
          <cell r="C1193" t="str">
            <v>Adam Richter</v>
          </cell>
          <cell r="D1193">
            <v>204.03</v>
          </cell>
        </row>
        <row r="1194">
          <cell r="A1194" t="str">
            <v>BU6227106</v>
          </cell>
          <cell r="B1194" t="str">
            <v>Iul Express</v>
          </cell>
          <cell r="C1194" t="str">
            <v>Gregory Teipel</v>
          </cell>
          <cell r="D1194">
            <v>421.44</v>
          </cell>
        </row>
        <row r="1195">
          <cell r="A1195" t="str">
            <v>BU5592571</v>
          </cell>
          <cell r="B1195" t="str">
            <v>Tle 20-20yr Guar</v>
          </cell>
          <cell r="C1195" t="str">
            <v>Ryan Caltagirone</v>
          </cell>
          <cell r="D1195">
            <v>59.67</v>
          </cell>
        </row>
        <row r="1196">
          <cell r="A1196" t="str">
            <v>BU4305409</v>
          </cell>
          <cell r="B1196" t="str">
            <v>Term Life Express 10 15 20 30</v>
          </cell>
          <cell r="C1196" t="str">
            <v>Adam Richter</v>
          </cell>
          <cell r="D1196">
            <v>34.799999999999997</v>
          </cell>
        </row>
        <row r="1197">
          <cell r="A1197" t="str">
            <v>BU5173014</v>
          </cell>
          <cell r="B1197" t="str">
            <v>Iul Express</v>
          </cell>
          <cell r="C1197" t="str">
            <v>Gregory Teipel</v>
          </cell>
          <cell r="D1197">
            <v>1237.08</v>
          </cell>
        </row>
        <row r="1198">
          <cell r="A1198" t="str">
            <v>BU5173010</v>
          </cell>
          <cell r="B1198" t="str">
            <v>Iul Express</v>
          </cell>
          <cell r="C1198" t="str">
            <v>Gregory Teipel</v>
          </cell>
          <cell r="D1198">
            <v>122.88</v>
          </cell>
        </row>
        <row r="1199">
          <cell r="A1199" t="str">
            <v>BU4841867</v>
          </cell>
          <cell r="B1199" t="str">
            <v>Tle 20-20yr Guar</v>
          </cell>
          <cell r="C1199" t="str">
            <v>Gregory Teipel</v>
          </cell>
          <cell r="D1199">
            <v>128.63999999999999</v>
          </cell>
        </row>
        <row r="1200">
          <cell r="A1200" t="str">
            <v>BU4685737</v>
          </cell>
          <cell r="B1200" t="str">
            <v>Tle 20-20yr Guar</v>
          </cell>
          <cell r="C1200" t="str">
            <v>Ryan Caltagirone</v>
          </cell>
          <cell r="D1200">
            <v>186.61</v>
          </cell>
        </row>
        <row r="1201">
          <cell r="A1201" t="str">
            <v>BU5173015</v>
          </cell>
          <cell r="B1201" t="str">
            <v>Iul Express</v>
          </cell>
          <cell r="C1201" t="str">
            <v>Gregory Teipel</v>
          </cell>
          <cell r="D1201">
            <v>2651.16</v>
          </cell>
        </row>
        <row r="1202">
          <cell r="A1202" t="str">
            <v>BU4911691</v>
          </cell>
          <cell r="B1202" t="str">
            <v>Tle 20-20yr Guar</v>
          </cell>
          <cell r="C1202" t="str">
            <v>Gregory Teipel</v>
          </cell>
          <cell r="D1202">
            <v>75.03</v>
          </cell>
        </row>
        <row r="1203">
          <cell r="A1203" t="str">
            <v>BU6438280</v>
          </cell>
          <cell r="B1203" t="str">
            <v>Term Life Express 10 15 20 30</v>
          </cell>
          <cell r="C1203" t="str">
            <v>Gregory Teipel</v>
          </cell>
          <cell r="D1203">
            <v>223.92</v>
          </cell>
        </row>
        <row r="1204">
          <cell r="A1204" t="str">
            <v>BU4261645</v>
          </cell>
          <cell r="B1204" t="str">
            <v>Iul Express</v>
          </cell>
          <cell r="C1204" t="str">
            <v>Gregory Teipel</v>
          </cell>
          <cell r="D1204">
            <v>222.19</v>
          </cell>
        </row>
        <row r="1205">
          <cell r="A1205" t="str">
            <v>BU6209177</v>
          </cell>
          <cell r="B1205" t="str">
            <v>Iul Express</v>
          </cell>
          <cell r="C1205" t="str">
            <v>Ryan Caltagirone</v>
          </cell>
          <cell r="D1205">
            <v>134.33000000000001</v>
          </cell>
        </row>
        <row r="1206">
          <cell r="A1206" t="str">
            <v>BU5521077</v>
          </cell>
          <cell r="B1206" t="str">
            <v>Iul Express</v>
          </cell>
          <cell r="C1206" t="str">
            <v>Gregory Teipel</v>
          </cell>
          <cell r="D1206">
            <v>151.21</v>
          </cell>
        </row>
        <row r="1207">
          <cell r="A1207" t="str">
            <v>BU4831289</v>
          </cell>
          <cell r="B1207" t="str">
            <v>Iul Express</v>
          </cell>
          <cell r="C1207" t="str">
            <v>Gregory Teipel</v>
          </cell>
          <cell r="D1207">
            <v>139.9</v>
          </cell>
        </row>
        <row r="1208">
          <cell r="A1208" t="str">
            <v>BU5437791</v>
          </cell>
          <cell r="B1208" t="str">
            <v>Iul Express</v>
          </cell>
          <cell r="C1208" t="str">
            <v>Thomas Pardue</v>
          </cell>
          <cell r="D1208">
            <v>216.36</v>
          </cell>
        </row>
        <row r="1209">
          <cell r="A1209" t="str">
            <v>BU4163608</v>
          </cell>
          <cell r="B1209" t="str">
            <v>Iul Express</v>
          </cell>
          <cell r="C1209" t="str">
            <v>Gregory Teipel</v>
          </cell>
          <cell r="D1209">
            <v>165</v>
          </cell>
        </row>
        <row r="1210">
          <cell r="A1210" t="str">
            <v>656528-97</v>
          </cell>
          <cell r="B1210" t="str">
            <v>Medicare Supplement Plan G</v>
          </cell>
          <cell r="C1210" t="str">
            <v>Anne Marie Kozacheck</v>
          </cell>
          <cell r="D1210">
            <v>185.59</v>
          </cell>
        </row>
        <row r="1211">
          <cell r="A1211" t="str">
            <v>522900-97</v>
          </cell>
          <cell r="B1211" t="str">
            <v xml:space="preserve">Protection  Plan (c) Dnt5i              </v>
          </cell>
          <cell r="C1211" t="str">
            <v>Richard Yale</v>
          </cell>
          <cell r="D1211">
            <v>29.06</v>
          </cell>
        </row>
        <row r="1212">
          <cell r="A1212" t="str">
            <v>BU5062401</v>
          </cell>
          <cell r="B1212" t="str">
            <v xml:space="preserve">Living Promise-graded                   </v>
          </cell>
          <cell r="C1212" t="str">
            <v>Jared Kinyua</v>
          </cell>
          <cell r="D1212">
            <v>116.77</v>
          </cell>
        </row>
        <row r="1213">
          <cell r="A1213" t="str">
            <v>BU4112014</v>
          </cell>
          <cell r="B1213" t="str">
            <v>Iul Express</v>
          </cell>
          <cell r="C1213" t="str">
            <v>Ryan Caltagirone</v>
          </cell>
          <cell r="D1213">
            <v>219.56</v>
          </cell>
        </row>
        <row r="1214">
          <cell r="A1214" t="str">
            <v>329096-41</v>
          </cell>
          <cell r="B1214" t="str">
            <v xml:space="preserve">Preferred Plan (a) Dnt2i                </v>
          </cell>
          <cell r="C1214" t="str">
            <v>Jason Roller</v>
          </cell>
          <cell r="D1214">
            <v>58.23</v>
          </cell>
        </row>
        <row r="1215">
          <cell r="A1215" t="str">
            <v>BU5622878</v>
          </cell>
          <cell r="B1215" t="str">
            <v>Iul Express</v>
          </cell>
          <cell r="C1215" t="str">
            <v>Gregory Teipel</v>
          </cell>
          <cell r="D1215">
            <v>81.25</v>
          </cell>
        </row>
        <row r="1216">
          <cell r="A1216" t="str">
            <v>BU6170227</v>
          </cell>
          <cell r="B1216" t="str">
            <v>Tle 20-20yr Guar</v>
          </cell>
          <cell r="C1216" t="str">
            <v>Matthew Daugherty</v>
          </cell>
          <cell r="D1216">
            <v>75.849999999999994</v>
          </cell>
        </row>
        <row r="1217">
          <cell r="A1217" t="str">
            <v>BU6269164</v>
          </cell>
          <cell r="B1217" t="str">
            <v>Iul Express</v>
          </cell>
          <cell r="C1217" t="str">
            <v>Gregory Teipel</v>
          </cell>
          <cell r="D1217">
            <v>181.41</v>
          </cell>
        </row>
        <row r="1218">
          <cell r="A1218" t="str">
            <v>BU6476659</v>
          </cell>
          <cell r="B1218" t="str">
            <v xml:space="preserve">Living Promise-graded                   </v>
          </cell>
          <cell r="C1218" t="str">
            <v>Gregory Teipel</v>
          </cell>
          <cell r="D1218">
            <v>72.349999999999994</v>
          </cell>
        </row>
        <row r="1219">
          <cell r="A1219" t="str">
            <v>599869-97</v>
          </cell>
          <cell r="B1219" t="str">
            <v>Medicare Supplement Plan N</v>
          </cell>
          <cell r="C1219" t="str">
            <v>Murray Sterner</v>
          </cell>
          <cell r="D1219">
            <v>120.4</v>
          </cell>
        </row>
        <row r="1220">
          <cell r="A1220" t="str">
            <v>BU6148828</v>
          </cell>
          <cell r="B1220" t="str">
            <v>Iul Express</v>
          </cell>
          <cell r="C1220" t="str">
            <v>Gregory Teipel</v>
          </cell>
          <cell r="D1220">
            <v>164.92</v>
          </cell>
        </row>
        <row r="1221">
          <cell r="A1221" t="str">
            <v>BU4574677</v>
          </cell>
          <cell r="B1221" t="str">
            <v>Iul Express</v>
          </cell>
          <cell r="C1221" t="str">
            <v>Gregory Teipel</v>
          </cell>
          <cell r="D1221">
            <v>68.349999999999994</v>
          </cell>
        </row>
        <row r="1222">
          <cell r="A1222" t="str">
            <v>BU4253453</v>
          </cell>
          <cell r="B1222" t="str">
            <v>Iul Express</v>
          </cell>
          <cell r="C1222" t="str">
            <v>Thomas Kucan</v>
          </cell>
          <cell r="D1222">
            <v>32.35</v>
          </cell>
        </row>
        <row r="1223">
          <cell r="A1223" t="str">
            <v>BU4885871</v>
          </cell>
          <cell r="B1223" t="str">
            <v>Term Life Express 10 15 20 30</v>
          </cell>
          <cell r="C1223" t="str">
            <v>Matthew Daugherty</v>
          </cell>
          <cell r="D1223">
            <v>111.43</v>
          </cell>
        </row>
        <row r="1224">
          <cell r="A1224" t="str">
            <v>BU6313611</v>
          </cell>
          <cell r="B1224" t="str">
            <v>Tle 20-20yr Guar</v>
          </cell>
          <cell r="C1224" t="str">
            <v>Ryan Caltagirone</v>
          </cell>
          <cell r="D1224">
            <v>63.28</v>
          </cell>
        </row>
        <row r="1225">
          <cell r="A1225" t="str">
            <v>BU4389033</v>
          </cell>
          <cell r="B1225" t="str">
            <v>Term Life Express 10 15 20 30</v>
          </cell>
          <cell r="C1225" t="str">
            <v>Gregory Teipel</v>
          </cell>
          <cell r="D1225">
            <v>82.77</v>
          </cell>
        </row>
        <row r="1226">
          <cell r="A1226" t="str">
            <v>BU5442915</v>
          </cell>
          <cell r="B1226" t="str">
            <v xml:space="preserve">Living Promise - Level  Benefit         </v>
          </cell>
          <cell r="C1226" t="str">
            <v>Jason Roller</v>
          </cell>
          <cell r="D1226">
            <v>865.05</v>
          </cell>
        </row>
        <row r="1227">
          <cell r="A1227" t="str">
            <v>BU5016016</v>
          </cell>
          <cell r="B1227" t="str">
            <v>Tle 20-20yr Guar</v>
          </cell>
          <cell r="C1227" t="str">
            <v>Ryan Caltagirone</v>
          </cell>
          <cell r="D1227">
            <v>54.93</v>
          </cell>
        </row>
        <row r="1228">
          <cell r="A1228" t="str">
            <v>BU4597605</v>
          </cell>
          <cell r="B1228" t="str">
            <v>Term Life Express 10 15 20 30</v>
          </cell>
          <cell r="C1228" t="str">
            <v>Gregory Teipel</v>
          </cell>
          <cell r="D1228">
            <v>210</v>
          </cell>
        </row>
        <row r="1229">
          <cell r="A1229" t="str">
            <v>BU5182318</v>
          </cell>
          <cell r="B1229" t="str">
            <v>Iul Express</v>
          </cell>
          <cell r="C1229" t="str">
            <v>Gregory Teipel</v>
          </cell>
          <cell r="D1229">
            <v>163.99</v>
          </cell>
        </row>
        <row r="1230">
          <cell r="A1230" t="str">
            <v>BU6431498</v>
          </cell>
          <cell r="B1230" t="str">
            <v>Iul Express</v>
          </cell>
          <cell r="C1230" t="str">
            <v>Gregory Teipel</v>
          </cell>
          <cell r="D1230">
            <v>165.02</v>
          </cell>
        </row>
        <row r="1231">
          <cell r="A1231" t="str">
            <v>413598-41</v>
          </cell>
          <cell r="B1231" t="str">
            <v xml:space="preserve">Preferred Plan (a) Dnt2i                </v>
          </cell>
          <cell r="C1231" t="str">
            <v>Victor Fuentes</v>
          </cell>
          <cell r="D1231">
            <v>79.28</v>
          </cell>
        </row>
        <row r="1232">
          <cell r="A1232" t="str">
            <v>BU4386039</v>
          </cell>
          <cell r="B1232" t="str">
            <v>Term Life Express 10 15 20 30</v>
          </cell>
          <cell r="C1232" t="str">
            <v>Gregory Teipel</v>
          </cell>
          <cell r="D1232">
            <v>98.77</v>
          </cell>
        </row>
        <row r="1233">
          <cell r="A1233" t="str">
            <v>BU3870133</v>
          </cell>
          <cell r="B1233" t="str">
            <v>Term Life Express 10 15 20 30</v>
          </cell>
          <cell r="C1233" t="str">
            <v>Adam Richter</v>
          </cell>
          <cell r="D1233">
            <v>142.44</v>
          </cell>
        </row>
        <row r="1234">
          <cell r="A1234" t="str">
            <v>BU5044937</v>
          </cell>
          <cell r="B1234" t="str">
            <v>Term Life Express 10 15 20 30</v>
          </cell>
          <cell r="C1234" t="str">
            <v>Gregory Teipel</v>
          </cell>
          <cell r="D1234">
            <v>65.209999999999994</v>
          </cell>
        </row>
        <row r="1235">
          <cell r="A1235" t="str">
            <v>BU4273916</v>
          </cell>
          <cell r="B1235" t="str">
            <v>Iul Express</v>
          </cell>
          <cell r="C1235" t="str">
            <v>Gregory Teipel</v>
          </cell>
          <cell r="D1235">
            <v>152.22</v>
          </cell>
        </row>
        <row r="1236">
          <cell r="A1236" t="str">
            <v>BU4704332</v>
          </cell>
          <cell r="B1236" t="str">
            <v>Iul Express</v>
          </cell>
          <cell r="C1236" t="str">
            <v>Deborah Inskipt</v>
          </cell>
          <cell r="D1236">
            <v>63.02</v>
          </cell>
        </row>
        <row r="1237">
          <cell r="A1237" t="str">
            <v>BU5017083</v>
          </cell>
          <cell r="B1237" t="str">
            <v>Iul Express</v>
          </cell>
          <cell r="C1237" t="str">
            <v>Nasandelger Zana</v>
          </cell>
          <cell r="D1237">
            <v>313.08</v>
          </cell>
        </row>
        <row r="1238">
          <cell r="A1238" t="str">
            <v>BU5509154</v>
          </cell>
          <cell r="B1238" t="str">
            <v xml:space="preserve">Living Promise-graded                   </v>
          </cell>
          <cell r="C1238" t="str">
            <v>Gregory Teipel</v>
          </cell>
          <cell r="D1238">
            <v>42.51</v>
          </cell>
        </row>
        <row r="1239">
          <cell r="A1239" t="str">
            <v>BU6213731</v>
          </cell>
          <cell r="B1239" t="str">
            <v>Iul Express</v>
          </cell>
          <cell r="C1239" t="str">
            <v>Gregory Teipel</v>
          </cell>
          <cell r="D1239">
            <v>237.38</v>
          </cell>
        </row>
        <row r="1240">
          <cell r="A1240" t="str">
            <v>BU5525738</v>
          </cell>
          <cell r="B1240" t="str">
            <v>Term Life Express 10 15 20 30</v>
          </cell>
          <cell r="C1240" t="str">
            <v>Matthew Daugherty</v>
          </cell>
          <cell r="D1240">
            <v>76.180000000000007</v>
          </cell>
        </row>
        <row r="1241">
          <cell r="A1241" t="str">
            <v>815334-96</v>
          </cell>
          <cell r="B1241" t="str">
            <v>Medicare Supplement Plan N</v>
          </cell>
          <cell r="C1241" t="str">
            <v>Adam Richter</v>
          </cell>
          <cell r="D1241">
            <v>125.66</v>
          </cell>
        </row>
        <row r="1242">
          <cell r="A1242" t="str">
            <v>818239-97</v>
          </cell>
          <cell r="B1242" t="str">
            <v xml:space="preserve">Preferred Plan (a) Dnt2e                </v>
          </cell>
          <cell r="C1242" t="str">
            <v>Jason Roller</v>
          </cell>
          <cell r="D1242">
            <v>74.209999999999994</v>
          </cell>
        </row>
        <row r="1243">
          <cell r="A1243" t="str">
            <v>BU5290420</v>
          </cell>
          <cell r="B1243" t="str">
            <v>Iul Express</v>
          </cell>
          <cell r="C1243" t="str">
            <v>Gregory Teipel</v>
          </cell>
          <cell r="D1243">
            <v>187.92</v>
          </cell>
        </row>
        <row r="1244">
          <cell r="A1244" t="str">
            <v>BU5392884</v>
          </cell>
          <cell r="B1244" t="str">
            <v>Iul Express</v>
          </cell>
          <cell r="C1244" t="str">
            <v>Gregory Teipel</v>
          </cell>
          <cell r="D1244">
            <v>144.31</v>
          </cell>
        </row>
        <row r="1245">
          <cell r="A1245" t="str">
            <v>BU5260130</v>
          </cell>
          <cell r="B1245" t="str">
            <v>Iul Express</v>
          </cell>
          <cell r="C1245" t="str">
            <v>Gregory Teipel</v>
          </cell>
          <cell r="D1245">
            <v>3315.48</v>
          </cell>
        </row>
        <row r="1246">
          <cell r="A1246" t="str">
            <v>417286-41</v>
          </cell>
          <cell r="B1246" t="str">
            <v>Medicare Supplement Plan G</v>
          </cell>
          <cell r="C1246" t="str">
            <v>Gregory Teipel</v>
          </cell>
          <cell r="D1246">
            <v>450.82</v>
          </cell>
        </row>
        <row r="1247">
          <cell r="A1247" t="str">
            <v>477486-97</v>
          </cell>
          <cell r="B1247" t="str">
            <v xml:space="preserve">Preferred Plan (a) Dnt2i                </v>
          </cell>
          <cell r="C1247" t="str">
            <v>Richard Yale</v>
          </cell>
          <cell r="D1247">
            <v>79.28</v>
          </cell>
        </row>
        <row r="1248">
          <cell r="A1248" t="str">
            <v>BU5349227</v>
          </cell>
          <cell r="B1248" t="str">
            <v>Iul Express</v>
          </cell>
          <cell r="C1248" t="str">
            <v>Gregory Teipel</v>
          </cell>
          <cell r="D1248">
            <v>411.76</v>
          </cell>
        </row>
        <row r="1249">
          <cell r="A1249" t="str">
            <v>459062-97</v>
          </cell>
          <cell r="B1249" t="str">
            <v>Medicare Supplement Plan G</v>
          </cell>
          <cell r="C1249" t="str">
            <v>Dale Walenga</v>
          </cell>
          <cell r="D1249">
            <v>176.91</v>
          </cell>
        </row>
        <row r="1250">
          <cell r="A1250" t="str">
            <v>BU4257417</v>
          </cell>
          <cell r="B1250" t="str">
            <v>Iul Express</v>
          </cell>
          <cell r="C1250" t="str">
            <v>Gregory Teipel</v>
          </cell>
          <cell r="D1250">
            <v>126.17</v>
          </cell>
        </row>
        <row r="1251">
          <cell r="A1251" t="str">
            <v>BU4777043</v>
          </cell>
          <cell r="B1251" t="str">
            <v>Tle 20-20yr Guar</v>
          </cell>
          <cell r="C1251" t="str">
            <v>Ryan Caltagirone</v>
          </cell>
          <cell r="D1251">
            <v>67.52</v>
          </cell>
        </row>
        <row r="1252">
          <cell r="A1252" t="str">
            <v>BU5528666</v>
          </cell>
          <cell r="B1252" t="str">
            <v>Tle 20-20yr Guar</v>
          </cell>
          <cell r="C1252" t="str">
            <v>Ryan Caltagirone</v>
          </cell>
          <cell r="D1252">
            <v>97.88</v>
          </cell>
        </row>
        <row r="1253">
          <cell r="A1253" t="str">
            <v>859528-97</v>
          </cell>
          <cell r="B1253" t="str">
            <v>Medicare Supplement Plan G</v>
          </cell>
          <cell r="C1253" t="str">
            <v>Gregory Teipel</v>
          </cell>
          <cell r="D1253">
            <v>174.58</v>
          </cell>
        </row>
        <row r="1254">
          <cell r="A1254" t="str">
            <v>BU5029108</v>
          </cell>
          <cell r="B1254" t="str">
            <v>Iul Express</v>
          </cell>
          <cell r="C1254" t="str">
            <v>Ronald Max</v>
          </cell>
          <cell r="D1254">
            <v>1627.8</v>
          </cell>
        </row>
        <row r="1255">
          <cell r="A1255" t="str">
            <v>BU5317505</v>
          </cell>
          <cell r="B1255" t="str">
            <v xml:space="preserve">Living Promise - Level  Benefit         </v>
          </cell>
          <cell r="C1255" t="str">
            <v>Frank Liskovec</v>
          </cell>
          <cell r="D1255">
            <v>37.72</v>
          </cell>
        </row>
        <row r="1256">
          <cell r="A1256" t="str">
            <v>731905-96</v>
          </cell>
          <cell r="B1256" t="str">
            <v>Medicare Supplement Plan G</v>
          </cell>
          <cell r="C1256" t="str">
            <v>Anne Marie Kozacheck</v>
          </cell>
          <cell r="D1256">
            <v>2533.2600000000002</v>
          </cell>
        </row>
        <row r="1257">
          <cell r="A1257" t="str">
            <v>914561-96</v>
          </cell>
          <cell r="B1257" t="str">
            <v>Medicare Supplement Plan G</v>
          </cell>
          <cell r="C1257" t="str">
            <v>Anne Marie Kozacheck</v>
          </cell>
          <cell r="D1257">
            <v>154.27000000000001</v>
          </cell>
        </row>
        <row r="1258">
          <cell r="A1258" t="str">
            <v>BU5494629</v>
          </cell>
          <cell r="B1258" t="str">
            <v>Iul Express</v>
          </cell>
          <cell r="C1258" t="str">
            <v>Gregory Teipel</v>
          </cell>
          <cell r="D1258">
            <v>99.95</v>
          </cell>
        </row>
        <row r="1259">
          <cell r="A1259" t="str">
            <v>BU5190668</v>
          </cell>
          <cell r="B1259" t="str">
            <v>Term Life Express 10 15 20 30</v>
          </cell>
          <cell r="C1259" t="str">
            <v>Ronald Max</v>
          </cell>
          <cell r="D1259">
            <v>108.45</v>
          </cell>
        </row>
        <row r="1260">
          <cell r="A1260" t="str">
            <v>BU5071004</v>
          </cell>
          <cell r="B1260" t="str">
            <v>Iul Express</v>
          </cell>
          <cell r="C1260" t="str">
            <v>Gregory Teipel</v>
          </cell>
          <cell r="D1260">
            <v>116.78</v>
          </cell>
        </row>
        <row r="1261">
          <cell r="A1261" t="str">
            <v>BU4863539</v>
          </cell>
          <cell r="B1261" t="str">
            <v>Iul Express</v>
          </cell>
          <cell r="C1261" t="str">
            <v>Gregory Teipel</v>
          </cell>
          <cell r="D1261">
            <v>208.55</v>
          </cell>
        </row>
        <row r="1262">
          <cell r="A1262" t="str">
            <v>BU4159560</v>
          </cell>
          <cell r="B1262" t="str">
            <v>Iul Express</v>
          </cell>
          <cell r="C1262" t="str">
            <v>Ryan Caltagirone</v>
          </cell>
          <cell r="D1262">
            <v>245.76</v>
          </cell>
        </row>
        <row r="1263">
          <cell r="A1263" t="str">
            <v>BU5019496</v>
          </cell>
          <cell r="B1263" t="str">
            <v>Term Life Express 10 15 20 30</v>
          </cell>
          <cell r="C1263" t="str">
            <v>Matthew Daugherty</v>
          </cell>
          <cell r="D1263">
            <v>311.86</v>
          </cell>
        </row>
        <row r="1264">
          <cell r="A1264" t="str">
            <v>BU4939237</v>
          </cell>
          <cell r="B1264" t="str">
            <v>Term Life Express 10 15 20 30</v>
          </cell>
          <cell r="C1264" t="str">
            <v>Ryan Caltagirone</v>
          </cell>
          <cell r="D1264">
            <v>58.17</v>
          </cell>
        </row>
        <row r="1265">
          <cell r="A1265" t="str">
            <v>803141-97</v>
          </cell>
          <cell r="B1265" t="str">
            <v>Medicare Supplement Plan G High Deductible</v>
          </cell>
          <cell r="C1265" t="str">
            <v>Chad Bender</v>
          </cell>
          <cell r="D1265">
            <v>84.64</v>
          </cell>
        </row>
        <row r="1266">
          <cell r="A1266" t="str">
            <v>BU4975778</v>
          </cell>
          <cell r="B1266" t="str">
            <v>Term Life Answer 10 15 20 30</v>
          </cell>
          <cell r="C1266" t="str">
            <v>Andrea Petrungaro</v>
          </cell>
          <cell r="D1266">
            <v>153.51</v>
          </cell>
        </row>
        <row r="1267">
          <cell r="A1267" t="str">
            <v>BU5398833</v>
          </cell>
          <cell r="B1267" t="str">
            <v>Tle 20-20yr Guar</v>
          </cell>
          <cell r="C1267" t="str">
            <v>Ryan Caltagirone</v>
          </cell>
          <cell r="D1267">
            <v>164.03</v>
          </cell>
        </row>
        <row r="1268">
          <cell r="A1268" t="str">
            <v>BU6241487</v>
          </cell>
          <cell r="B1268" t="str">
            <v>Term Life Express 10 15 20 30</v>
          </cell>
          <cell r="C1268" t="str">
            <v>Matthew Daugherty</v>
          </cell>
          <cell r="D1268">
            <v>93.18</v>
          </cell>
        </row>
        <row r="1269">
          <cell r="A1269" t="str">
            <v>510182-97</v>
          </cell>
          <cell r="B1269" t="str">
            <v xml:space="preserve">Protection  Plan (c) Dnt5i              </v>
          </cell>
          <cell r="C1269" t="str">
            <v>Richard Yale</v>
          </cell>
          <cell r="D1269">
            <v>36.08</v>
          </cell>
        </row>
        <row r="1270">
          <cell r="A1270" t="str">
            <v>BU4606383</v>
          </cell>
          <cell r="B1270" t="str">
            <v>Term Life Express 10 15 20 30</v>
          </cell>
          <cell r="C1270" t="str">
            <v>Gregory Teipel</v>
          </cell>
          <cell r="D1270">
            <v>93.98</v>
          </cell>
        </row>
        <row r="1271">
          <cell r="A1271" t="str">
            <v>BU4678614</v>
          </cell>
          <cell r="B1271" t="str">
            <v>Term Life Express 10 15 20 30</v>
          </cell>
          <cell r="C1271" t="str">
            <v>Gregory Teipel</v>
          </cell>
          <cell r="D1271">
            <v>38.270000000000003</v>
          </cell>
        </row>
        <row r="1272">
          <cell r="A1272" t="str">
            <v>BU6442032</v>
          </cell>
          <cell r="B1272" t="str">
            <v>Iul Express</v>
          </cell>
          <cell r="C1272" t="str">
            <v>Steven Brandt</v>
          </cell>
          <cell r="D1272">
            <v>110.06</v>
          </cell>
        </row>
        <row r="1273">
          <cell r="A1273" t="str">
            <v>BU4816227</v>
          </cell>
          <cell r="B1273" t="str">
            <v>Term Life Express 10 15 20 30</v>
          </cell>
          <cell r="C1273" t="str">
            <v>Gregory Teipel</v>
          </cell>
          <cell r="D1273">
            <v>211.37</v>
          </cell>
        </row>
        <row r="1274">
          <cell r="A1274" t="str">
            <v>BU4193668</v>
          </cell>
          <cell r="B1274" t="str">
            <v>Iul Express</v>
          </cell>
          <cell r="C1274" t="str">
            <v>Ryan Caltagirone</v>
          </cell>
          <cell r="D1274">
            <v>236.03</v>
          </cell>
        </row>
        <row r="1275">
          <cell r="A1275" t="str">
            <v>BU4435321</v>
          </cell>
          <cell r="B1275" t="str">
            <v>Iul Express</v>
          </cell>
          <cell r="C1275" t="str">
            <v>Gregory Teipel</v>
          </cell>
          <cell r="D1275">
            <v>119.54</v>
          </cell>
        </row>
        <row r="1276">
          <cell r="A1276" t="str">
            <v>BU4393668</v>
          </cell>
          <cell r="B1276" t="str">
            <v>Iul Express</v>
          </cell>
          <cell r="C1276" t="str">
            <v>Jason Hoffmann</v>
          </cell>
          <cell r="D1276">
            <v>91.31</v>
          </cell>
        </row>
        <row r="1277">
          <cell r="A1277" t="str">
            <v>BU5192489</v>
          </cell>
          <cell r="B1277" t="str">
            <v>Term Life Express 10 15 20 30</v>
          </cell>
          <cell r="C1277" t="str">
            <v>Ryan Caltagirone</v>
          </cell>
          <cell r="D1277">
            <v>117.93</v>
          </cell>
        </row>
        <row r="1278">
          <cell r="A1278" t="str">
            <v>BU5627548</v>
          </cell>
          <cell r="B1278" t="str">
            <v>Iul Express</v>
          </cell>
          <cell r="C1278" t="str">
            <v>Gregory Teipel</v>
          </cell>
          <cell r="D1278">
            <v>197.9</v>
          </cell>
        </row>
        <row r="1279">
          <cell r="A1279" t="str">
            <v>399799-41</v>
          </cell>
          <cell r="B1279" t="str">
            <v>Medicare Supplement Plan G</v>
          </cell>
          <cell r="C1279" t="str">
            <v>Gregory Teipel</v>
          </cell>
          <cell r="D1279">
            <v>176.91</v>
          </cell>
        </row>
        <row r="1280">
          <cell r="A1280" t="str">
            <v>BU6273212</v>
          </cell>
          <cell r="B1280" t="str">
            <v>Iul Express</v>
          </cell>
          <cell r="C1280" t="str">
            <v>Gregory Teipel</v>
          </cell>
          <cell r="D1280">
            <v>134.53</v>
          </cell>
        </row>
        <row r="1281">
          <cell r="A1281" t="str">
            <v>BU4988414</v>
          </cell>
          <cell r="B1281" t="str">
            <v>Term Life Express 10 15 20 30</v>
          </cell>
          <cell r="C1281" t="str">
            <v>Adam Richter</v>
          </cell>
          <cell r="D1281">
            <v>82.81</v>
          </cell>
        </row>
        <row r="1282">
          <cell r="A1282" t="str">
            <v>663680-96</v>
          </cell>
          <cell r="B1282" t="str">
            <v>Medicare Supplement Plan N</v>
          </cell>
          <cell r="C1282" t="str">
            <v>Anne Marie Kozacheck</v>
          </cell>
          <cell r="D1282">
            <v>118.77</v>
          </cell>
        </row>
        <row r="1283">
          <cell r="A1283" t="str">
            <v>BU6450118</v>
          </cell>
          <cell r="B1283" t="str">
            <v>Iul Express</v>
          </cell>
          <cell r="C1283" t="str">
            <v>Gregory Teipel</v>
          </cell>
          <cell r="D1283">
            <v>86.8</v>
          </cell>
        </row>
        <row r="1284">
          <cell r="A1284" t="str">
            <v>527324-97</v>
          </cell>
          <cell r="B1284" t="str">
            <v xml:space="preserve">Preferred Plan (a) Dnt2i                </v>
          </cell>
          <cell r="C1284" t="str">
            <v>Richard Yale</v>
          </cell>
          <cell r="D1284">
            <v>79.28</v>
          </cell>
        </row>
        <row r="1285">
          <cell r="A1285" t="str">
            <v>322331-41</v>
          </cell>
          <cell r="B1285" t="str">
            <v xml:space="preserve">Protection  Plan (c) Dnt5i              </v>
          </cell>
          <cell r="C1285" t="str">
            <v>Dale Walenga</v>
          </cell>
          <cell r="D1285">
            <v>36.08</v>
          </cell>
        </row>
        <row r="1286">
          <cell r="A1286" t="str">
            <v>BU4825102</v>
          </cell>
          <cell r="B1286" t="str">
            <v>Iul Express</v>
          </cell>
          <cell r="C1286" t="str">
            <v>Gregory Teipel</v>
          </cell>
          <cell r="D1286">
            <v>164.16</v>
          </cell>
        </row>
        <row r="1287">
          <cell r="A1287" t="str">
            <v>BU4947684</v>
          </cell>
          <cell r="B1287" t="str">
            <v xml:space="preserve">Living Promise - Level  Benefit         </v>
          </cell>
          <cell r="C1287" t="str">
            <v>Gregory Teipel</v>
          </cell>
          <cell r="D1287">
            <v>207.99</v>
          </cell>
        </row>
        <row r="1288">
          <cell r="A1288" t="str">
            <v>BU5350400</v>
          </cell>
          <cell r="B1288" t="str">
            <v>Term Life Express 10 15 20 30</v>
          </cell>
          <cell r="C1288" t="str">
            <v>Matthew Daugherty</v>
          </cell>
          <cell r="D1288">
            <v>80.290000000000006</v>
          </cell>
        </row>
        <row r="1289">
          <cell r="A1289" t="str">
            <v>BU4538330</v>
          </cell>
          <cell r="B1289" t="str">
            <v xml:space="preserve">Children S - Whole Life                 </v>
          </cell>
          <cell r="C1289" t="str">
            <v>Ryan Caltagirone</v>
          </cell>
          <cell r="D1289">
            <v>23.17</v>
          </cell>
        </row>
        <row r="1290">
          <cell r="A1290" t="str">
            <v>BU4578987</v>
          </cell>
          <cell r="B1290" t="str">
            <v>Term Life Express 10 15 20 30</v>
          </cell>
          <cell r="C1290" t="str">
            <v>Gregory Teipel</v>
          </cell>
          <cell r="D1290">
            <v>223.92</v>
          </cell>
        </row>
        <row r="1291">
          <cell r="A1291" t="str">
            <v>BU4439889</v>
          </cell>
          <cell r="B1291" t="str">
            <v>Iul Express</v>
          </cell>
          <cell r="C1291" t="str">
            <v>Gregory Teipel</v>
          </cell>
          <cell r="D1291">
            <v>161.77000000000001</v>
          </cell>
        </row>
        <row r="1292">
          <cell r="A1292" t="str">
            <v>BU4507829</v>
          </cell>
          <cell r="B1292" t="str">
            <v>Iul Express</v>
          </cell>
          <cell r="C1292" t="str">
            <v>Gregory Teipel</v>
          </cell>
          <cell r="D1292">
            <v>44.53</v>
          </cell>
        </row>
        <row r="1293">
          <cell r="A1293" t="str">
            <v>590925-97</v>
          </cell>
          <cell r="B1293" t="str">
            <v>Medicare Supplement Plan G</v>
          </cell>
          <cell r="C1293" t="str">
            <v>Michael Dunavant</v>
          </cell>
          <cell r="D1293">
            <v>159.41</v>
          </cell>
        </row>
        <row r="1294">
          <cell r="A1294" t="str">
            <v>BU4256587</v>
          </cell>
          <cell r="B1294" t="str">
            <v>Iul Express</v>
          </cell>
          <cell r="C1294" t="str">
            <v>Ryan Caltagirone</v>
          </cell>
          <cell r="D1294">
            <v>216.41</v>
          </cell>
        </row>
        <row r="1295">
          <cell r="A1295" t="str">
            <v>485056-97</v>
          </cell>
          <cell r="B1295" t="str">
            <v>Medicare Supplement Plan N</v>
          </cell>
          <cell r="C1295" t="str">
            <v>Paul Berk</v>
          </cell>
          <cell r="D1295">
            <v>95.24</v>
          </cell>
        </row>
        <row r="1296">
          <cell r="A1296" t="str">
            <v>BU3852538</v>
          </cell>
          <cell r="B1296" t="str">
            <v>Term Life Express 10 15 20 30</v>
          </cell>
          <cell r="C1296" t="str">
            <v>Adam Richter</v>
          </cell>
          <cell r="D1296">
            <v>62.48</v>
          </cell>
        </row>
        <row r="1297">
          <cell r="A1297" t="str">
            <v>BU5219524</v>
          </cell>
          <cell r="B1297" t="str">
            <v>Term Life Answer 10 15 20 30</v>
          </cell>
          <cell r="C1297" t="str">
            <v>Andrea Petrungaro</v>
          </cell>
          <cell r="D1297">
            <v>47.52</v>
          </cell>
        </row>
        <row r="1298">
          <cell r="A1298" t="str">
            <v>BU4823853</v>
          </cell>
          <cell r="B1298" t="str">
            <v>Tle 20-20yr Guar</v>
          </cell>
          <cell r="C1298" t="str">
            <v>Ryan Caltagirone</v>
          </cell>
          <cell r="D1298">
            <v>158.13</v>
          </cell>
        </row>
        <row r="1299">
          <cell r="A1299" t="str">
            <v>870697-96</v>
          </cell>
          <cell r="B1299" t="str">
            <v>Medicare Supplement Plan G</v>
          </cell>
          <cell r="C1299" t="str">
            <v>Adam Richter</v>
          </cell>
          <cell r="D1299">
            <v>225.93</v>
          </cell>
        </row>
        <row r="1300">
          <cell r="A1300" t="str">
            <v>416250-97</v>
          </cell>
          <cell r="B1300" t="str">
            <v>Medicare Supplement Plan G</v>
          </cell>
          <cell r="C1300" t="str">
            <v>Carol Foley</v>
          </cell>
          <cell r="D1300">
            <v>169.28</v>
          </cell>
        </row>
        <row r="1301">
          <cell r="A1301" t="str">
            <v>BU5428116</v>
          </cell>
          <cell r="B1301" t="str">
            <v xml:space="preserve">Living Promise - Level  Benefit         </v>
          </cell>
          <cell r="C1301" t="str">
            <v>Gary Portugal</v>
          </cell>
          <cell r="D1301">
            <v>63.65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4"/>
  <sheetViews>
    <sheetView showGridLines="0" workbookViewId="0">
      <selection activeCell="Z1" sqref="Z1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16" t="s">
        <v>0</v>
      </c>
      <c r="B2" s="17"/>
      <c r="C2" s="17"/>
    </row>
    <row r="3" spans="1:3" x14ac:dyDescent="0.2">
      <c r="A3" s="16" t="s">
        <v>1</v>
      </c>
      <c r="B3" s="17"/>
      <c r="C3" s="17"/>
    </row>
    <row r="4" spans="1:3" x14ac:dyDescent="0.2">
      <c r="A4" s="16" t="s">
        <v>2</v>
      </c>
      <c r="B4" s="17"/>
      <c r="C4" s="17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14" t="s">
        <v>5</v>
      </c>
      <c r="C12" s="15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7"/>
      <c r="C14" s="7">
        <v>0</v>
      </c>
    </row>
    <row r="15" spans="1:3" x14ac:dyDescent="0.2">
      <c r="A15" s="2" t="s">
        <v>9</v>
      </c>
      <c r="B15" s="8"/>
      <c r="C15" s="8"/>
    </row>
    <row r="16" spans="1:3" x14ac:dyDescent="0.2">
      <c r="A16" s="2"/>
      <c r="B16" s="8"/>
      <c r="C16" s="8"/>
    </row>
    <row r="17" spans="1:3" x14ac:dyDescent="0.2">
      <c r="A17" s="2" t="s">
        <v>10</v>
      </c>
      <c r="B17" s="8"/>
      <c r="C17" s="8"/>
    </row>
    <row r="18" spans="1:3" x14ac:dyDescent="0.2">
      <c r="A18" s="2" t="s">
        <v>11</v>
      </c>
      <c r="B18" s="8"/>
      <c r="C18" s="8"/>
    </row>
    <row r="19" spans="1:3" x14ac:dyDescent="0.2">
      <c r="A19" s="2" t="s">
        <v>12</v>
      </c>
      <c r="B19" s="8">
        <v>659.72</v>
      </c>
      <c r="C19" s="8"/>
    </row>
    <row r="20" spans="1:3" x14ac:dyDescent="0.2">
      <c r="A20" s="2" t="s">
        <v>13</v>
      </c>
      <c r="B20" s="8">
        <v>1161.9100000000001</v>
      </c>
      <c r="C20" s="8"/>
    </row>
    <row r="21" spans="1:3" x14ac:dyDescent="0.2">
      <c r="A21" s="2"/>
      <c r="B21" s="8"/>
      <c r="C21" s="8"/>
    </row>
    <row r="22" spans="1:3" x14ac:dyDescent="0.2">
      <c r="A22" s="2" t="s">
        <v>14</v>
      </c>
      <c r="B22" s="8"/>
      <c r="C22" s="8"/>
    </row>
    <row r="23" spans="1:3" x14ac:dyDescent="0.2">
      <c r="A23" s="2" t="s">
        <v>11</v>
      </c>
      <c r="B23" s="8"/>
      <c r="C23" s="8"/>
    </row>
    <row r="24" spans="1:3" x14ac:dyDescent="0.2">
      <c r="A24" s="2" t="s">
        <v>12</v>
      </c>
      <c r="B24" s="8">
        <v>7363.51</v>
      </c>
      <c r="C24" s="8"/>
    </row>
    <row r="25" spans="1:3" x14ac:dyDescent="0.2">
      <c r="A25" s="2" t="s">
        <v>13</v>
      </c>
      <c r="B25" s="8">
        <v>240.43</v>
      </c>
      <c r="C25" s="8"/>
    </row>
    <row r="26" spans="1:3" x14ac:dyDescent="0.2">
      <c r="A26" s="2"/>
      <c r="B26" s="8"/>
      <c r="C26" s="8"/>
    </row>
    <row r="27" spans="1:3" x14ac:dyDescent="0.2">
      <c r="A27" s="2" t="s">
        <v>15</v>
      </c>
      <c r="B27" s="8"/>
      <c r="C27" s="8"/>
    </row>
    <row r="28" spans="1:3" x14ac:dyDescent="0.2">
      <c r="A28" s="2" t="s">
        <v>11</v>
      </c>
      <c r="B28" s="8"/>
      <c r="C28" s="8"/>
    </row>
    <row r="29" spans="1:3" x14ac:dyDescent="0.2">
      <c r="A29" s="2" t="s">
        <v>12</v>
      </c>
      <c r="B29" s="8">
        <v>164.87</v>
      </c>
      <c r="C29" s="8"/>
    </row>
    <row r="30" spans="1:3" x14ac:dyDescent="0.2">
      <c r="A30" s="2" t="s">
        <v>13</v>
      </c>
      <c r="B30" s="8">
        <v>139.82</v>
      </c>
      <c r="C30" s="8"/>
    </row>
    <row r="31" spans="1:3" x14ac:dyDescent="0.2">
      <c r="A31" s="2"/>
      <c r="B31" s="8"/>
      <c r="C31" s="8"/>
    </row>
    <row r="32" spans="1:3" x14ac:dyDescent="0.2">
      <c r="A32" s="2" t="s">
        <v>16</v>
      </c>
      <c r="B32" s="8"/>
      <c r="C32" s="8"/>
    </row>
    <row r="33" spans="1:3" x14ac:dyDescent="0.2">
      <c r="A33" s="2" t="s">
        <v>11</v>
      </c>
      <c r="B33" s="8"/>
      <c r="C33" s="8"/>
    </row>
    <row r="34" spans="1:3" x14ac:dyDescent="0.2">
      <c r="A34" s="2" t="s">
        <v>12</v>
      </c>
      <c r="B34" s="8">
        <v>427.52</v>
      </c>
      <c r="C34" s="8"/>
    </row>
    <row r="35" spans="1:3" x14ac:dyDescent="0.2">
      <c r="A35" s="2" t="s">
        <v>13</v>
      </c>
      <c r="B35" s="8">
        <v>219.4</v>
      </c>
      <c r="C35" s="8"/>
    </row>
    <row r="36" spans="1:3" x14ac:dyDescent="0.2">
      <c r="A36" s="2"/>
      <c r="B36" s="8"/>
      <c r="C36" s="8"/>
    </row>
    <row r="37" spans="1:3" x14ac:dyDescent="0.2">
      <c r="A37" s="2" t="s">
        <v>17</v>
      </c>
      <c r="B37" s="8"/>
      <c r="C37" s="8"/>
    </row>
    <row r="38" spans="1:3" x14ac:dyDescent="0.2">
      <c r="A38" s="2" t="s">
        <v>11</v>
      </c>
      <c r="B38" s="8"/>
      <c r="C38" s="8"/>
    </row>
    <row r="39" spans="1:3" x14ac:dyDescent="0.2">
      <c r="A39" s="2" t="s">
        <v>12</v>
      </c>
      <c r="B39" s="8">
        <v>38.1</v>
      </c>
      <c r="C39" s="8"/>
    </row>
    <row r="40" spans="1:3" x14ac:dyDescent="0.2">
      <c r="A40" s="2"/>
      <c r="B40" s="8"/>
      <c r="C40" s="8"/>
    </row>
    <row r="41" spans="1:3" x14ac:dyDescent="0.2">
      <c r="A41" s="2" t="s">
        <v>18</v>
      </c>
      <c r="B41" s="8"/>
      <c r="C41" s="8">
        <v>10415.280000000001</v>
      </c>
    </row>
    <row r="42" spans="1:3" x14ac:dyDescent="0.2">
      <c r="A42" s="2"/>
      <c r="B42" s="8"/>
      <c r="C42" s="8"/>
    </row>
    <row r="43" spans="1:3" x14ac:dyDescent="0.2">
      <c r="A43" s="2" t="s">
        <v>19</v>
      </c>
      <c r="B43" s="8"/>
      <c r="C43" s="8"/>
    </row>
    <row r="44" spans="1:3" x14ac:dyDescent="0.2">
      <c r="A44" s="2"/>
      <c r="B44" s="8"/>
      <c r="C44" s="8"/>
    </row>
    <row r="45" spans="1:3" x14ac:dyDescent="0.2">
      <c r="A45" s="2" t="s">
        <v>10</v>
      </c>
      <c r="B45" s="8">
        <v>-1821.63</v>
      </c>
      <c r="C45" s="8"/>
    </row>
    <row r="46" spans="1:3" x14ac:dyDescent="0.2">
      <c r="A46" s="2" t="s">
        <v>14</v>
      </c>
      <c r="B46" s="8">
        <v>-7603.94</v>
      </c>
      <c r="C46" s="8"/>
    </row>
    <row r="47" spans="1:3" x14ac:dyDescent="0.2">
      <c r="A47" s="2" t="s">
        <v>15</v>
      </c>
      <c r="B47" s="8">
        <v>-304.69</v>
      </c>
      <c r="C47" s="8"/>
    </row>
    <row r="48" spans="1:3" x14ac:dyDescent="0.2">
      <c r="A48" s="2" t="s">
        <v>16</v>
      </c>
      <c r="B48" s="8">
        <v>-646.91999999999996</v>
      </c>
      <c r="C48" s="8"/>
    </row>
    <row r="49" spans="1:3" x14ac:dyDescent="0.2">
      <c r="A49" s="2" t="s">
        <v>17</v>
      </c>
      <c r="B49" s="8">
        <v>-38.1</v>
      </c>
      <c r="C49" s="8"/>
    </row>
    <row r="50" spans="1:3" x14ac:dyDescent="0.2">
      <c r="A50" s="2"/>
      <c r="B50" s="8"/>
      <c r="C50" s="8"/>
    </row>
    <row r="51" spans="1:3" x14ac:dyDescent="0.2">
      <c r="A51" s="2" t="s">
        <v>20</v>
      </c>
      <c r="B51" s="8"/>
      <c r="C51" s="8">
        <v>-10415.280000000001</v>
      </c>
    </row>
    <row r="52" spans="1:3" x14ac:dyDescent="0.2">
      <c r="A52" s="2" t="s">
        <v>21</v>
      </c>
      <c r="B52" s="8"/>
      <c r="C52" s="8">
        <v>0</v>
      </c>
    </row>
    <row r="53" spans="1:3" x14ac:dyDescent="0.2">
      <c r="A53" s="2"/>
      <c r="B53" s="8"/>
      <c r="C53" s="8"/>
    </row>
    <row r="54" spans="1:3" x14ac:dyDescent="0.2">
      <c r="A54" s="4"/>
      <c r="B54" s="9"/>
      <c r="C54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59"/>
  <sheetViews>
    <sheetView topLeftCell="E1" workbookViewId="0">
      <pane ySplit="1" topLeftCell="A76" activePane="bottomLeft" state="frozen"/>
      <selection activeCell="B1" sqref="A1:XFD1048576"/>
      <selection pane="bottomLeft" activeCell="E93" sqref="E93"/>
    </sheetView>
  </sheetViews>
  <sheetFormatPr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40</v>
      </c>
      <c r="T1" s="10" t="s">
        <v>41</v>
      </c>
      <c r="U1" s="10" t="s">
        <v>42</v>
      </c>
      <c r="V1" s="10" t="s">
        <v>43</v>
      </c>
      <c r="W1" s="10" t="s">
        <v>44</v>
      </c>
      <c r="X1" s="10" t="s">
        <v>45</v>
      </c>
    </row>
    <row r="2" spans="1:24" s="29" customFormat="1" x14ac:dyDescent="0.2">
      <c r="A2" s="29" t="s">
        <v>350</v>
      </c>
      <c r="B2" s="29" t="s">
        <v>47</v>
      </c>
      <c r="C2" s="29" t="s">
        <v>48</v>
      </c>
      <c r="D2" s="29" t="s">
        <v>351</v>
      </c>
      <c r="E2" s="29" t="s">
        <v>352</v>
      </c>
      <c r="F2" s="29" t="s">
        <v>353</v>
      </c>
      <c r="G2" s="29" t="s">
        <v>354</v>
      </c>
      <c r="H2" s="29" t="s">
        <v>53</v>
      </c>
      <c r="I2" s="29" t="s">
        <v>355</v>
      </c>
      <c r="J2" s="29" t="s">
        <v>192</v>
      </c>
      <c r="K2" s="29" t="s">
        <v>194</v>
      </c>
      <c r="L2" s="30" t="s">
        <v>57</v>
      </c>
      <c r="M2" s="29" t="s">
        <v>58</v>
      </c>
      <c r="N2" s="29" t="s">
        <v>59</v>
      </c>
      <c r="O2" s="29" t="s">
        <v>60</v>
      </c>
      <c r="P2" s="29">
        <v>0</v>
      </c>
      <c r="Q2" s="31">
        <v>56.33</v>
      </c>
      <c r="R2" s="29" t="s">
        <v>61</v>
      </c>
      <c r="S2" s="29" t="s">
        <v>213</v>
      </c>
      <c r="T2" s="32" t="s">
        <v>63</v>
      </c>
      <c r="U2" s="33">
        <v>0.18</v>
      </c>
      <c r="V2" s="31">
        <v>10.14</v>
      </c>
      <c r="W2" s="31">
        <v>0</v>
      </c>
      <c r="X2" s="29" t="s">
        <v>57</v>
      </c>
    </row>
    <row r="3" spans="1:24" x14ac:dyDescent="0.2">
      <c r="A3" s="1" t="s">
        <v>46</v>
      </c>
      <c r="B3" s="1" t="s">
        <v>47</v>
      </c>
      <c r="C3" s="1" t="s">
        <v>48</v>
      </c>
      <c r="D3" s="1" t="s">
        <v>49</v>
      </c>
      <c r="E3" s="1" t="s">
        <v>50</v>
      </c>
      <c r="F3" s="1" t="s">
        <v>51</v>
      </c>
      <c r="G3" s="1" t="s">
        <v>52</v>
      </c>
      <c r="H3" s="1" t="s">
        <v>53</v>
      </c>
      <c r="I3" s="1" t="s">
        <v>54</v>
      </c>
      <c r="J3" s="1" t="s">
        <v>55</v>
      </c>
      <c r="K3" s="1" t="s">
        <v>56</v>
      </c>
      <c r="L3" s="11" t="s">
        <v>57</v>
      </c>
      <c r="M3" s="1" t="s">
        <v>58</v>
      </c>
      <c r="N3" s="1" t="s">
        <v>59</v>
      </c>
      <c r="O3" s="1" t="s">
        <v>60</v>
      </c>
      <c r="P3" s="1">
        <v>0</v>
      </c>
      <c r="Q3" s="12">
        <v>138.54</v>
      </c>
      <c r="R3" s="1" t="s">
        <v>61</v>
      </c>
      <c r="S3" s="1" t="s">
        <v>62</v>
      </c>
      <c r="T3" s="6" t="s">
        <v>63</v>
      </c>
      <c r="U3" s="13">
        <v>0.13500000000000001</v>
      </c>
      <c r="V3" s="12">
        <v>18.7</v>
      </c>
      <c r="W3" s="12">
        <v>0</v>
      </c>
      <c r="X3" s="1" t="s">
        <v>57</v>
      </c>
    </row>
    <row r="4" spans="1:24" x14ac:dyDescent="0.2">
      <c r="A4" s="1" t="s">
        <v>64</v>
      </c>
      <c r="B4" s="1" t="s">
        <v>47</v>
      </c>
      <c r="C4" s="1" t="s">
        <v>48</v>
      </c>
      <c r="D4" s="1" t="s">
        <v>65</v>
      </c>
      <c r="E4" s="1" t="s">
        <v>66</v>
      </c>
      <c r="F4" s="1" t="s">
        <v>67</v>
      </c>
      <c r="G4" s="1" t="s">
        <v>68</v>
      </c>
      <c r="H4" s="1" t="s">
        <v>53</v>
      </c>
      <c r="I4" s="1" t="s">
        <v>69</v>
      </c>
      <c r="J4" s="1" t="s">
        <v>70</v>
      </c>
      <c r="K4" s="1" t="s">
        <v>56</v>
      </c>
      <c r="L4" s="11" t="s">
        <v>57</v>
      </c>
      <c r="M4" s="1" t="s">
        <v>58</v>
      </c>
      <c r="N4" s="1" t="s">
        <v>59</v>
      </c>
      <c r="O4" s="1" t="s">
        <v>60</v>
      </c>
      <c r="P4" s="1">
        <v>0</v>
      </c>
      <c r="Q4" s="12">
        <v>122.9</v>
      </c>
      <c r="R4" s="1" t="s">
        <v>61</v>
      </c>
      <c r="S4" s="1" t="s">
        <v>62</v>
      </c>
      <c r="T4" s="6" t="s">
        <v>63</v>
      </c>
      <c r="U4" s="13">
        <v>0.31</v>
      </c>
      <c r="V4" s="12">
        <v>38.1</v>
      </c>
      <c r="W4" s="12">
        <v>0</v>
      </c>
      <c r="X4" s="1" t="s">
        <v>57</v>
      </c>
    </row>
    <row r="5" spans="1:24" x14ac:dyDescent="0.2">
      <c r="A5" s="1" t="s">
        <v>46</v>
      </c>
      <c r="B5" s="1" t="s">
        <v>47</v>
      </c>
      <c r="C5" s="1" t="s">
        <v>48</v>
      </c>
      <c r="D5" s="1" t="s">
        <v>65</v>
      </c>
      <c r="E5" s="1" t="s">
        <v>71</v>
      </c>
      <c r="F5" s="1" t="s">
        <v>72</v>
      </c>
      <c r="G5" s="1" t="s">
        <v>52</v>
      </c>
      <c r="H5" s="1" t="s">
        <v>53</v>
      </c>
      <c r="I5" s="1" t="s">
        <v>73</v>
      </c>
      <c r="J5" s="1" t="s">
        <v>70</v>
      </c>
      <c r="K5" s="1" t="s">
        <v>56</v>
      </c>
      <c r="L5" s="11" t="s">
        <v>57</v>
      </c>
      <c r="M5" s="1" t="s">
        <v>58</v>
      </c>
      <c r="N5" s="1" t="s">
        <v>59</v>
      </c>
      <c r="O5" s="1" t="s">
        <v>60</v>
      </c>
      <c r="P5" s="1">
        <v>0</v>
      </c>
      <c r="Q5" s="12">
        <v>176.91</v>
      </c>
      <c r="R5" s="1" t="s">
        <v>61</v>
      </c>
      <c r="S5" s="1" t="s">
        <v>62</v>
      </c>
      <c r="T5" s="6" t="s">
        <v>63</v>
      </c>
      <c r="U5" s="13">
        <v>0.23</v>
      </c>
      <c r="V5" s="12">
        <v>40.69</v>
      </c>
      <c r="W5" s="12">
        <v>0</v>
      </c>
      <c r="X5" s="1" t="s">
        <v>57</v>
      </c>
    </row>
    <row r="6" spans="1:24" x14ac:dyDescent="0.2">
      <c r="A6" s="1" t="s">
        <v>46</v>
      </c>
      <c r="B6" s="1" t="s">
        <v>47</v>
      </c>
      <c r="C6" s="1" t="s">
        <v>48</v>
      </c>
      <c r="D6" s="1" t="s">
        <v>65</v>
      </c>
      <c r="E6" s="1" t="s">
        <v>74</v>
      </c>
      <c r="F6" s="1" t="s">
        <v>75</v>
      </c>
      <c r="G6" s="1" t="s">
        <v>52</v>
      </c>
      <c r="H6" s="1" t="s">
        <v>53</v>
      </c>
      <c r="I6" s="1" t="s">
        <v>73</v>
      </c>
      <c r="J6" s="1" t="s">
        <v>76</v>
      </c>
      <c r="K6" s="1" t="s">
        <v>56</v>
      </c>
      <c r="L6" s="11" t="s">
        <v>57</v>
      </c>
      <c r="M6" s="1" t="s">
        <v>58</v>
      </c>
      <c r="N6" s="1" t="s">
        <v>59</v>
      </c>
      <c r="O6" s="1" t="s">
        <v>60</v>
      </c>
      <c r="P6" s="1">
        <v>0</v>
      </c>
      <c r="Q6" s="12">
        <v>193.61</v>
      </c>
      <c r="R6" s="1" t="s">
        <v>61</v>
      </c>
      <c r="S6" s="1" t="s">
        <v>62</v>
      </c>
      <c r="T6" s="6" t="s">
        <v>63</v>
      </c>
      <c r="U6" s="13">
        <v>0.23</v>
      </c>
      <c r="V6" s="12">
        <v>44.53</v>
      </c>
      <c r="W6" s="12">
        <v>0</v>
      </c>
      <c r="X6" s="1" t="s">
        <v>57</v>
      </c>
    </row>
    <row r="7" spans="1:24" x14ac:dyDescent="0.2">
      <c r="A7" s="1" t="s">
        <v>46</v>
      </c>
      <c r="B7" s="1" t="s">
        <v>47</v>
      </c>
      <c r="C7" s="1" t="s">
        <v>48</v>
      </c>
      <c r="D7" s="1" t="s">
        <v>65</v>
      </c>
      <c r="E7" s="1" t="s">
        <v>77</v>
      </c>
      <c r="F7" s="1" t="s">
        <v>78</v>
      </c>
      <c r="G7" s="1" t="s">
        <v>52</v>
      </c>
      <c r="H7" s="1" t="s">
        <v>53</v>
      </c>
      <c r="I7" s="1" t="s">
        <v>73</v>
      </c>
      <c r="J7" s="1" t="s">
        <v>76</v>
      </c>
      <c r="K7" s="1" t="s">
        <v>56</v>
      </c>
      <c r="L7" s="11" t="s">
        <v>57</v>
      </c>
      <c r="M7" s="1" t="s">
        <v>58</v>
      </c>
      <c r="N7" s="1" t="s">
        <v>59</v>
      </c>
      <c r="O7" s="1" t="s">
        <v>60</v>
      </c>
      <c r="P7" s="1">
        <v>0</v>
      </c>
      <c r="Q7" s="12">
        <v>176.91</v>
      </c>
      <c r="R7" s="1" t="s">
        <v>61</v>
      </c>
      <c r="S7" s="1" t="s">
        <v>62</v>
      </c>
      <c r="T7" s="6" t="s">
        <v>63</v>
      </c>
      <c r="U7" s="13">
        <v>0.23</v>
      </c>
      <c r="V7" s="12">
        <v>40.69</v>
      </c>
      <c r="W7" s="12">
        <v>0</v>
      </c>
      <c r="X7" s="1" t="s">
        <v>57</v>
      </c>
    </row>
    <row r="8" spans="1:24" x14ac:dyDescent="0.2">
      <c r="A8" s="1" t="s">
        <v>46</v>
      </c>
      <c r="B8" s="1" t="s">
        <v>47</v>
      </c>
      <c r="C8" s="1" t="s">
        <v>48</v>
      </c>
      <c r="D8" s="1" t="s">
        <v>65</v>
      </c>
      <c r="E8" s="1" t="s">
        <v>79</v>
      </c>
      <c r="F8" s="1" t="s">
        <v>80</v>
      </c>
      <c r="G8" s="1" t="s">
        <v>52</v>
      </c>
      <c r="H8" s="1" t="s">
        <v>53</v>
      </c>
      <c r="I8" s="1" t="s">
        <v>73</v>
      </c>
      <c r="J8" s="1" t="s">
        <v>76</v>
      </c>
      <c r="K8" s="1" t="s">
        <v>56</v>
      </c>
      <c r="L8" s="11" t="s">
        <v>57</v>
      </c>
      <c r="M8" s="1" t="s">
        <v>58</v>
      </c>
      <c r="N8" s="1" t="s">
        <v>59</v>
      </c>
      <c r="O8" s="1" t="s">
        <v>60</v>
      </c>
      <c r="P8" s="1">
        <v>0</v>
      </c>
      <c r="Q8" s="12">
        <v>207.5</v>
      </c>
      <c r="R8" s="1" t="s">
        <v>61</v>
      </c>
      <c r="S8" s="1" t="s">
        <v>62</v>
      </c>
      <c r="T8" s="6" t="s">
        <v>63</v>
      </c>
      <c r="U8" s="13">
        <v>0.23</v>
      </c>
      <c r="V8" s="12">
        <v>47.73</v>
      </c>
      <c r="W8" s="12">
        <v>0</v>
      </c>
      <c r="X8" s="1" t="s">
        <v>57</v>
      </c>
    </row>
    <row r="9" spans="1:24" x14ac:dyDescent="0.2">
      <c r="A9" s="1" t="s">
        <v>46</v>
      </c>
      <c r="B9" s="1" t="s">
        <v>47</v>
      </c>
      <c r="C9" s="1" t="s">
        <v>48</v>
      </c>
      <c r="D9" s="1" t="s">
        <v>65</v>
      </c>
      <c r="E9" s="1" t="s">
        <v>81</v>
      </c>
      <c r="F9" s="1" t="s">
        <v>82</v>
      </c>
      <c r="G9" s="1" t="s">
        <v>52</v>
      </c>
      <c r="H9" s="1" t="s">
        <v>53</v>
      </c>
      <c r="I9" s="1" t="s">
        <v>73</v>
      </c>
      <c r="J9" s="1" t="s">
        <v>76</v>
      </c>
      <c r="K9" s="1" t="s">
        <v>56</v>
      </c>
      <c r="L9" s="11" t="s">
        <v>57</v>
      </c>
      <c r="M9" s="1" t="s">
        <v>58</v>
      </c>
      <c r="N9" s="1" t="s">
        <v>59</v>
      </c>
      <c r="O9" s="1" t="s">
        <v>60</v>
      </c>
      <c r="P9" s="1">
        <v>0</v>
      </c>
      <c r="Q9" s="12">
        <v>207.5</v>
      </c>
      <c r="R9" s="1" t="s">
        <v>61</v>
      </c>
      <c r="S9" s="1" t="s">
        <v>62</v>
      </c>
      <c r="T9" s="6" t="s">
        <v>63</v>
      </c>
      <c r="U9" s="13">
        <v>0.23</v>
      </c>
      <c r="V9" s="12">
        <v>47.73</v>
      </c>
      <c r="W9" s="12">
        <v>0</v>
      </c>
      <c r="X9" s="1" t="s">
        <v>57</v>
      </c>
    </row>
    <row r="10" spans="1:24" x14ac:dyDescent="0.2">
      <c r="A10" s="1" t="s">
        <v>46</v>
      </c>
      <c r="B10" s="1" t="s">
        <v>47</v>
      </c>
      <c r="C10" s="1" t="s">
        <v>48</v>
      </c>
      <c r="D10" s="1" t="s">
        <v>65</v>
      </c>
      <c r="E10" s="1" t="s">
        <v>83</v>
      </c>
      <c r="F10" s="1" t="s">
        <v>84</v>
      </c>
      <c r="G10" s="1" t="s">
        <v>52</v>
      </c>
      <c r="H10" s="1" t="s">
        <v>53</v>
      </c>
      <c r="I10" s="1" t="s">
        <v>73</v>
      </c>
      <c r="J10" s="1" t="s">
        <v>76</v>
      </c>
      <c r="K10" s="1" t="s">
        <v>56</v>
      </c>
      <c r="L10" s="11" t="s">
        <v>57</v>
      </c>
      <c r="M10" s="1" t="s">
        <v>58</v>
      </c>
      <c r="N10" s="1" t="s">
        <v>59</v>
      </c>
      <c r="O10" s="1" t="s">
        <v>60</v>
      </c>
      <c r="P10" s="1">
        <v>0</v>
      </c>
      <c r="Q10" s="12">
        <v>176.91</v>
      </c>
      <c r="R10" s="1" t="s">
        <v>61</v>
      </c>
      <c r="S10" s="1" t="s">
        <v>62</v>
      </c>
      <c r="T10" s="6" t="s">
        <v>63</v>
      </c>
      <c r="U10" s="13">
        <v>0.23</v>
      </c>
      <c r="V10" s="12">
        <v>40.69</v>
      </c>
      <c r="W10" s="12">
        <v>0</v>
      </c>
      <c r="X10" s="1" t="s">
        <v>57</v>
      </c>
    </row>
    <row r="11" spans="1:24" x14ac:dyDescent="0.2">
      <c r="A11" s="1" t="s">
        <v>46</v>
      </c>
      <c r="B11" s="1" t="s">
        <v>47</v>
      </c>
      <c r="C11" s="1" t="s">
        <v>48</v>
      </c>
      <c r="D11" s="1" t="s">
        <v>65</v>
      </c>
      <c r="E11" s="1" t="s">
        <v>85</v>
      </c>
      <c r="F11" s="1" t="s">
        <v>86</v>
      </c>
      <c r="G11" s="1" t="s">
        <v>52</v>
      </c>
      <c r="H11" s="1" t="s">
        <v>53</v>
      </c>
      <c r="I11" s="1" t="s">
        <v>73</v>
      </c>
      <c r="J11" s="1" t="s">
        <v>87</v>
      </c>
      <c r="K11" s="1" t="s">
        <v>56</v>
      </c>
      <c r="L11" s="11" t="s">
        <v>57</v>
      </c>
      <c r="M11" s="1" t="s">
        <v>58</v>
      </c>
      <c r="N11" s="1" t="s">
        <v>59</v>
      </c>
      <c r="O11" s="1" t="s">
        <v>60</v>
      </c>
      <c r="P11" s="1">
        <v>0</v>
      </c>
      <c r="Q11" s="12">
        <v>180.14</v>
      </c>
      <c r="R11" s="1" t="s">
        <v>61</v>
      </c>
      <c r="S11" s="1" t="s">
        <v>62</v>
      </c>
      <c r="T11" s="6" t="s">
        <v>63</v>
      </c>
      <c r="U11" s="13">
        <v>0.23</v>
      </c>
      <c r="V11" s="12">
        <v>41.43</v>
      </c>
      <c r="W11" s="12">
        <v>0</v>
      </c>
      <c r="X11" s="1" t="s">
        <v>57</v>
      </c>
    </row>
    <row r="12" spans="1:24" x14ac:dyDescent="0.2">
      <c r="A12" s="1" t="s">
        <v>46</v>
      </c>
      <c r="B12" s="1" t="s">
        <v>47</v>
      </c>
      <c r="C12" s="1" t="s">
        <v>88</v>
      </c>
      <c r="D12" s="1" t="s">
        <v>89</v>
      </c>
      <c r="E12" s="1" t="s">
        <v>90</v>
      </c>
      <c r="F12" s="1" t="s">
        <v>91</v>
      </c>
      <c r="G12" s="1" t="s">
        <v>52</v>
      </c>
      <c r="H12" s="1" t="s">
        <v>92</v>
      </c>
      <c r="I12" s="1" t="s">
        <v>73</v>
      </c>
      <c r="J12" s="1" t="s">
        <v>93</v>
      </c>
      <c r="K12" s="1" t="s">
        <v>56</v>
      </c>
      <c r="L12" s="11" t="s">
        <v>57</v>
      </c>
      <c r="M12" s="1" t="s">
        <v>58</v>
      </c>
      <c r="N12" s="1" t="s">
        <v>59</v>
      </c>
      <c r="O12" s="1" t="s">
        <v>60</v>
      </c>
      <c r="P12" s="1">
        <v>0</v>
      </c>
      <c r="Q12" s="12">
        <v>129.38999999999999</v>
      </c>
      <c r="R12" s="1" t="s">
        <v>61</v>
      </c>
      <c r="S12" s="1" t="s">
        <v>62</v>
      </c>
      <c r="T12" s="6" t="s">
        <v>63</v>
      </c>
      <c r="U12" s="13">
        <v>0.23</v>
      </c>
      <c r="V12" s="12">
        <v>29.76</v>
      </c>
      <c r="W12" s="12">
        <v>0</v>
      </c>
      <c r="X12" s="1" t="s">
        <v>57</v>
      </c>
    </row>
    <row r="13" spans="1:24" x14ac:dyDescent="0.2">
      <c r="A13" s="1" t="s">
        <v>46</v>
      </c>
      <c r="B13" s="1" t="s">
        <v>47</v>
      </c>
      <c r="C13" s="1" t="s">
        <v>88</v>
      </c>
      <c r="D13" s="1" t="s">
        <v>89</v>
      </c>
      <c r="E13" s="1" t="s">
        <v>94</v>
      </c>
      <c r="F13" s="1" t="s">
        <v>95</v>
      </c>
      <c r="G13" s="1" t="s">
        <v>52</v>
      </c>
      <c r="H13" s="1" t="s">
        <v>53</v>
      </c>
      <c r="I13" s="1" t="s">
        <v>73</v>
      </c>
      <c r="J13" s="1" t="s">
        <v>96</v>
      </c>
      <c r="K13" s="1" t="s">
        <v>56</v>
      </c>
      <c r="L13" s="11" t="s">
        <v>57</v>
      </c>
      <c r="M13" s="1" t="s">
        <v>58</v>
      </c>
      <c r="N13" s="1" t="s">
        <v>59</v>
      </c>
      <c r="O13" s="1" t="s">
        <v>60</v>
      </c>
      <c r="P13" s="1">
        <v>0</v>
      </c>
      <c r="Q13" s="12">
        <v>128.66999999999999</v>
      </c>
      <c r="R13" s="1" t="s">
        <v>61</v>
      </c>
      <c r="S13" s="1" t="s">
        <v>62</v>
      </c>
      <c r="T13" s="6" t="s">
        <v>63</v>
      </c>
      <c r="U13" s="13">
        <v>0.23</v>
      </c>
      <c r="V13" s="12">
        <v>29.59</v>
      </c>
      <c r="W13" s="12">
        <v>0</v>
      </c>
      <c r="X13" s="1" t="s">
        <v>57</v>
      </c>
    </row>
    <row r="14" spans="1:24" x14ac:dyDescent="0.2">
      <c r="A14" s="1" t="s">
        <v>46</v>
      </c>
      <c r="B14" s="1" t="s">
        <v>47</v>
      </c>
      <c r="C14" s="1" t="s">
        <v>88</v>
      </c>
      <c r="D14" s="1" t="s">
        <v>89</v>
      </c>
      <c r="E14" s="1" t="s">
        <v>97</v>
      </c>
      <c r="F14" s="1" t="s">
        <v>98</v>
      </c>
      <c r="G14" s="1" t="s">
        <v>52</v>
      </c>
      <c r="H14" s="1" t="s">
        <v>99</v>
      </c>
      <c r="I14" s="1" t="s">
        <v>73</v>
      </c>
      <c r="J14" s="1" t="s">
        <v>100</v>
      </c>
      <c r="K14" s="1" t="s">
        <v>56</v>
      </c>
      <c r="L14" s="11" t="s">
        <v>57</v>
      </c>
      <c r="M14" s="1" t="s">
        <v>58</v>
      </c>
      <c r="N14" s="1" t="s">
        <v>59</v>
      </c>
      <c r="O14" s="1" t="s">
        <v>60</v>
      </c>
      <c r="P14" s="1">
        <v>0</v>
      </c>
      <c r="Q14" s="12">
        <v>165.45</v>
      </c>
      <c r="R14" s="1" t="s">
        <v>101</v>
      </c>
      <c r="S14" s="1" t="s">
        <v>102</v>
      </c>
      <c r="T14" s="6" t="s">
        <v>63</v>
      </c>
      <c r="U14" s="13">
        <v>0.23</v>
      </c>
      <c r="V14" s="12">
        <v>38.049999999999997</v>
      </c>
      <c r="W14" s="12">
        <v>0</v>
      </c>
      <c r="X14" s="1" t="s">
        <v>57</v>
      </c>
    </row>
    <row r="15" spans="1:24" x14ac:dyDescent="0.2">
      <c r="A15" s="1" t="s">
        <v>46</v>
      </c>
      <c r="B15" s="1" t="s">
        <v>47</v>
      </c>
      <c r="C15" s="1" t="s">
        <v>88</v>
      </c>
      <c r="D15" s="1" t="s">
        <v>89</v>
      </c>
      <c r="E15" s="1" t="s">
        <v>103</v>
      </c>
      <c r="F15" s="1" t="s">
        <v>104</v>
      </c>
      <c r="G15" s="1" t="s">
        <v>52</v>
      </c>
      <c r="H15" s="1" t="s">
        <v>99</v>
      </c>
      <c r="I15" s="1" t="s">
        <v>73</v>
      </c>
      <c r="J15" s="1" t="s">
        <v>105</v>
      </c>
      <c r="K15" s="1" t="s">
        <v>56</v>
      </c>
      <c r="L15" s="11" t="s">
        <v>57</v>
      </c>
      <c r="M15" s="1" t="s">
        <v>58</v>
      </c>
      <c r="N15" s="1" t="s">
        <v>59</v>
      </c>
      <c r="O15" s="1" t="s">
        <v>60</v>
      </c>
      <c r="P15" s="1">
        <v>0</v>
      </c>
      <c r="Q15" s="12">
        <v>136.01</v>
      </c>
      <c r="R15" s="1" t="s">
        <v>101</v>
      </c>
      <c r="S15" s="1" t="s">
        <v>102</v>
      </c>
      <c r="T15" s="6" t="s">
        <v>63</v>
      </c>
      <c r="U15" s="13">
        <v>0.23</v>
      </c>
      <c r="V15" s="12">
        <v>31.28</v>
      </c>
      <c r="W15" s="12">
        <v>0</v>
      </c>
      <c r="X15" s="1" t="s">
        <v>57</v>
      </c>
    </row>
    <row r="16" spans="1:24" x14ac:dyDescent="0.2">
      <c r="A16" s="1" t="s">
        <v>46</v>
      </c>
      <c r="B16" s="1" t="s">
        <v>47</v>
      </c>
      <c r="C16" s="1" t="s">
        <v>88</v>
      </c>
      <c r="D16" s="1" t="s">
        <v>89</v>
      </c>
      <c r="E16" s="1" t="s">
        <v>106</v>
      </c>
      <c r="F16" s="1" t="s">
        <v>107</v>
      </c>
      <c r="G16" s="1" t="s">
        <v>52</v>
      </c>
      <c r="H16" s="1" t="s">
        <v>99</v>
      </c>
      <c r="I16" s="1" t="s">
        <v>73</v>
      </c>
      <c r="J16" s="1" t="s">
        <v>105</v>
      </c>
      <c r="K16" s="1" t="s">
        <v>56</v>
      </c>
      <c r="L16" s="11" t="s">
        <v>57</v>
      </c>
      <c r="M16" s="1" t="s">
        <v>58</v>
      </c>
      <c r="N16" s="1" t="s">
        <v>59</v>
      </c>
      <c r="O16" s="1" t="s">
        <v>60</v>
      </c>
      <c r="P16" s="1">
        <v>0</v>
      </c>
      <c r="Q16" s="12">
        <v>118.19</v>
      </c>
      <c r="R16" s="1" t="s">
        <v>101</v>
      </c>
      <c r="S16" s="1" t="s">
        <v>102</v>
      </c>
      <c r="T16" s="6" t="s">
        <v>63</v>
      </c>
      <c r="U16" s="13">
        <v>0.23</v>
      </c>
      <c r="V16" s="12">
        <v>27.18</v>
      </c>
      <c r="W16" s="12">
        <v>0</v>
      </c>
      <c r="X16" s="1" t="s">
        <v>57</v>
      </c>
    </row>
    <row r="17" spans="1:24" x14ac:dyDescent="0.2">
      <c r="A17" s="1" t="s">
        <v>46</v>
      </c>
      <c r="B17" s="1" t="s">
        <v>47</v>
      </c>
      <c r="C17" s="1" t="s">
        <v>88</v>
      </c>
      <c r="D17" s="1" t="s">
        <v>89</v>
      </c>
      <c r="E17" s="1" t="s">
        <v>108</v>
      </c>
      <c r="F17" s="1" t="s">
        <v>109</v>
      </c>
      <c r="G17" s="1" t="s">
        <v>52</v>
      </c>
      <c r="H17" s="1" t="s">
        <v>53</v>
      </c>
      <c r="I17" s="1" t="s">
        <v>73</v>
      </c>
      <c r="J17" s="1" t="s">
        <v>105</v>
      </c>
      <c r="K17" s="1" t="s">
        <v>56</v>
      </c>
      <c r="L17" s="11" t="s">
        <v>57</v>
      </c>
      <c r="M17" s="1" t="s">
        <v>58</v>
      </c>
      <c r="N17" s="1" t="s">
        <v>59</v>
      </c>
      <c r="O17" s="1" t="s">
        <v>60</v>
      </c>
      <c r="P17" s="1">
        <v>0</v>
      </c>
      <c r="Q17" s="12">
        <v>128.66999999999999</v>
      </c>
      <c r="R17" s="1" t="s">
        <v>101</v>
      </c>
      <c r="S17" s="1" t="s">
        <v>102</v>
      </c>
      <c r="T17" s="6" t="s">
        <v>63</v>
      </c>
      <c r="U17" s="13">
        <v>0.23</v>
      </c>
      <c r="V17" s="12">
        <v>29.59</v>
      </c>
      <c r="W17" s="12">
        <v>0</v>
      </c>
      <c r="X17" s="1" t="s">
        <v>57</v>
      </c>
    </row>
    <row r="18" spans="1:24" x14ac:dyDescent="0.2">
      <c r="A18" s="1" t="s">
        <v>46</v>
      </c>
      <c r="B18" s="1" t="s">
        <v>47</v>
      </c>
      <c r="C18" s="1" t="s">
        <v>88</v>
      </c>
      <c r="D18" s="1" t="s">
        <v>110</v>
      </c>
      <c r="E18" s="1" t="s">
        <v>111</v>
      </c>
      <c r="F18" s="1" t="s">
        <v>112</v>
      </c>
      <c r="G18" s="1" t="s">
        <v>52</v>
      </c>
      <c r="H18" s="1" t="s">
        <v>53</v>
      </c>
      <c r="I18" s="1" t="s">
        <v>73</v>
      </c>
      <c r="J18" s="1" t="s">
        <v>105</v>
      </c>
      <c r="K18" s="1" t="s">
        <v>56</v>
      </c>
      <c r="L18" s="11" t="s">
        <v>57</v>
      </c>
      <c r="M18" s="1" t="s">
        <v>58</v>
      </c>
      <c r="N18" s="1" t="s">
        <v>59</v>
      </c>
      <c r="O18" s="1" t="s">
        <v>60</v>
      </c>
      <c r="P18" s="1">
        <v>0</v>
      </c>
      <c r="Q18" s="12">
        <v>126.36</v>
      </c>
      <c r="R18" s="1" t="s">
        <v>101</v>
      </c>
      <c r="S18" s="1" t="s">
        <v>102</v>
      </c>
      <c r="T18" s="6" t="s">
        <v>63</v>
      </c>
      <c r="U18" s="13">
        <v>0.23</v>
      </c>
      <c r="V18" s="12">
        <v>29.06</v>
      </c>
      <c r="W18" s="12">
        <v>0</v>
      </c>
      <c r="X18" s="1" t="s">
        <v>57</v>
      </c>
    </row>
    <row r="19" spans="1:24" x14ac:dyDescent="0.2">
      <c r="A19" s="1" t="s">
        <v>46</v>
      </c>
      <c r="B19" s="1" t="s">
        <v>47</v>
      </c>
      <c r="C19" s="1" t="s">
        <v>88</v>
      </c>
      <c r="D19" s="1" t="s">
        <v>65</v>
      </c>
      <c r="E19" s="1" t="s">
        <v>113</v>
      </c>
      <c r="F19" s="1" t="s">
        <v>114</v>
      </c>
      <c r="G19" s="1" t="s">
        <v>225</v>
      </c>
      <c r="H19" s="1" t="s">
        <v>92</v>
      </c>
      <c r="I19" s="1" t="s">
        <v>73</v>
      </c>
      <c r="J19" s="1" t="s">
        <v>115</v>
      </c>
      <c r="K19" s="1" t="s">
        <v>116</v>
      </c>
      <c r="L19" s="11" t="s">
        <v>57</v>
      </c>
      <c r="M19" s="1" t="s">
        <v>58</v>
      </c>
      <c r="N19" s="1" t="s">
        <v>59</v>
      </c>
      <c r="O19" s="1" t="s">
        <v>60</v>
      </c>
      <c r="P19" s="1">
        <v>0</v>
      </c>
      <c r="Q19" s="12">
        <v>199.91</v>
      </c>
      <c r="R19" s="1" t="s">
        <v>61</v>
      </c>
      <c r="S19" s="1" t="s">
        <v>62</v>
      </c>
      <c r="T19" s="6" t="s">
        <v>63</v>
      </c>
      <c r="U19" s="13">
        <v>0.23</v>
      </c>
      <c r="V19" s="12">
        <v>45.98</v>
      </c>
      <c r="W19" s="12">
        <v>0</v>
      </c>
      <c r="X19" s="1" t="s">
        <v>57</v>
      </c>
    </row>
    <row r="20" spans="1:24" x14ac:dyDescent="0.2">
      <c r="A20" s="1" t="s">
        <v>46</v>
      </c>
      <c r="B20" s="1" t="s">
        <v>47</v>
      </c>
      <c r="C20" s="1" t="s">
        <v>88</v>
      </c>
      <c r="D20" s="1" t="s">
        <v>65</v>
      </c>
      <c r="E20" s="1" t="s">
        <v>117</v>
      </c>
      <c r="F20" s="1" t="s">
        <v>118</v>
      </c>
      <c r="G20" s="1" t="s">
        <v>52</v>
      </c>
      <c r="H20" s="1" t="s">
        <v>53</v>
      </c>
      <c r="I20" s="1" t="s">
        <v>73</v>
      </c>
      <c r="J20" s="1" t="s">
        <v>119</v>
      </c>
      <c r="K20" s="1" t="s">
        <v>56</v>
      </c>
      <c r="L20" s="11" t="s">
        <v>57</v>
      </c>
      <c r="M20" s="1" t="s">
        <v>58</v>
      </c>
      <c r="N20" s="1" t="s">
        <v>59</v>
      </c>
      <c r="O20" s="1" t="s">
        <v>60</v>
      </c>
      <c r="P20" s="1">
        <v>0</v>
      </c>
      <c r="Q20" s="12">
        <v>151.78</v>
      </c>
      <c r="R20" s="1" t="s">
        <v>101</v>
      </c>
      <c r="S20" s="1" t="s">
        <v>102</v>
      </c>
      <c r="T20" s="6" t="s">
        <v>63</v>
      </c>
      <c r="U20" s="13">
        <v>0.23</v>
      </c>
      <c r="V20" s="12">
        <v>34.909999999999997</v>
      </c>
      <c r="W20" s="12">
        <v>0</v>
      </c>
      <c r="X20" s="1" t="s">
        <v>57</v>
      </c>
    </row>
    <row r="21" spans="1:24" x14ac:dyDescent="0.2">
      <c r="A21" s="1" t="s">
        <v>46</v>
      </c>
      <c r="B21" s="1" t="s">
        <v>47</v>
      </c>
      <c r="C21" s="1" t="s">
        <v>88</v>
      </c>
      <c r="D21" s="1" t="s">
        <v>65</v>
      </c>
      <c r="E21" s="1" t="s">
        <v>120</v>
      </c>
      <c r="F21" s="1" t="s">
        <v>121</v>
      </c>
      <c r="G21" s="1" t="s">
        <v>52</v>
      </c>
      <c r="H21" s="1" t="s">
        <v>53</v>
      </c>
      <c r="I21" s="1" t="s">
        <v>73</v>
      </c>
      <c r="J21" s="1" t="s">
        <v>122</v>
      </c>
      <c r="K21" s="1" t="s">
        <v>56</v>
      </c>
      <c r="L21" s="11" t="s">
        <v>57</v>
      </c>
      <c r="M21" s="1" t="s">
        <v>58</v>
      </c>
      <c r="N21" s="1" t="s">
        <v>59</v>
      </c>
      <c r="O21" s="1" t="s">
        <v>60</v>
      </c>
      <c r="P21" s="1">
        <v>0</v>
      </c>
      <c r="Q21" s="12">
        <v>127.5</v>
      </c>
      <c r="R21" s="1" t="s">
        <v>101</v>
      </c>
      <c r="S21" s="1" t="s">
        <v>102</v>
      </c>
      <c r="T21" s="6" t="s">
        <v>63</v>
      </c>
      <c r="U21" s="13">
        <v>0.23</v>
      </c>
      <c r="V21" s="12">
        <v>29.33</v>
      </c>
      <c r="W21" s="12">
        <v>0</v>
      </c>
      <c r="X21" s="1" t="s">
        <v>57</v>
      </c>
    </row>
    <row r="22" spans="1:24" x14ac:dyDescent="0.2">
      <c r="A22" s="1" t="s">
        <v>123</v>
      </c>
      <c r="B22" s="1" t="s">
        <v>47</v>
      </c>
      <c r="C22" s="1" t="s">
        <v>88</v>
      </c>
      <c r="D22" s="1" t="s">
        <v>124</v>
      </c>
      <c r="E22" s="1" t="s">
        <v>125</v>
      </c>
      <c r="F22" s="1" t="s">
        <v>126</v>
      </c>
      <c r="G22" s="1" t="s">
        <v>127</v>
      </c>
      <c r="H22" s="1" t="s">
        <v>53</v>
      </c>
      <c r="I22" s="1" t="s">
        <v>128</v>
      </c>
      <c r="J22" s="1" t="s">
        <v>129</v>
      </c>
      <c r="K22" s="1" t="s">
        <v>56</v>
      </c>
      <c r="L22" s="11" t="s">
        <v>57</v>
      </c>
      <c r="M22" s="1" t="s">
        <v>58</v>
      </c>
      <c r="N22" s="1" t="s">
        <v>59</v>
      </c>
      <c r="O22" s="1" t="s">
        <v>60</v>
      </c>
      <c r="P22" s="1">
        <v>0</v>
      </c>
      <c r="Q22" s="12">
        <v>92.04</v>
      </c>
      <c r="R22" s="1" t="s">
        <v>101</v>
      </c>
      <c r="S22" s="1" t="s">
        <v>102</v>
      </c>
      <c r="T22" s="6" t="s">
        <v>63</v>
      </c>
      <c r="U22" s="13">
        <v>0.255</v>
      </c>
      <c r="V22" s="12">
        <v>23.47</v>
      </c>
      <c r="W22" s="12">
        <v>0</v>
      </c>
      <c r="X22" s="1" t="s">
        <v>57</v>
      </c>
    </row>
    <row r="23" spans="1:24" x14ac:dyDescent="0.2">
      <c r="A23" s="1" t="s">
        <v>123</v>
      </c>
      <c r="B23" s="1" t="s">
        <v>47</v>
      </c>
      <c r="C23" s="1" t="s">
        <v>88</v>
      </c>
      <c r="D23" s="1" t="s">
        <v>124</v>
      </c>
      <c r="E23" s="1" t="s">
        <v>130</v>
      </c>
      <c r="F23" s="1" t="s">
        <v>131</v>
      </c>
      <c r="G23" s="1" t="s">
        <v>127</v>
      </c>
      <c r="H23" s="1" t="s">
        <v>92</v>
      </c>
      <c r="I23" s="1" t="s">
        <v>132</v>
      </c>
      <c r="J23" s="1" t="s">
        <v>133</v>
      </c>
      <c r="K23" s="1" t="s">
        <v>56</v>
      </c>
      <c r="L23" s="11" t="s">
        <v>57</v>
      </c>
      <c r="M23" s="1" t="s">
        <v>58</v>
      </c>
      <c r="N23" s="1" t="s">
        <v>59</v>
      </c>
      <c r="O23" s="1" t="s">
        <v>60</v>
      </c>
      <c r="P23" s="1">
        <v>0</v>
      </c>
      <c r="Q23" s="12">
        <v>137.74</v>
      </c>
      <c r="R23" s="1" t="s">
        <v>101</v>
      </c>
      <c r="S23" s="1" t="s">
        <v>102</v>
      </c>
      <c r="T23" s="6" t="s">
        <v>63</v>
      </c>
      <c r="U23" s="13">
        <v>0.215</v>
      </c>
      <c r="V23" s="12">
        <v>29.61</v>
      </c>
      <c r="W23" s="12">
        <v>0</v>
      </c>
      <c r="X23" s="1" t="s">
        <v>57</v>
      </c>
    </row>
    <row r="24" spans="1:24" x14ac:dyDescent="0.2">
      <c r="A24" s="1" t="s">
        <v>123</v>
      </c>
      <c r="B24" s="1" t="s">
        <v>47</v>
      </c>
      <c r="C24" s="1" t="s">
        <v>88</v>
      </c>
      <c r="D24" s="1" t="s">
        <v>124</v>
      </c>
      <c r="E24" s="1" t="s">
        <v>134</v>
      </c>
      <c r="F24" s="1" t="s">
        <v>135</v>
      </c>
      <c r="G24" s="1" t="s">
        <v>127</v>
      </c>
      <c r="H24" s="1" t="s">
        <v>92</v>
      </c>
      <c r="I24" s="1" t="s">
        <v>132</v>
      </c>
      <c r="J24" s="1" t="s">
        <v>133</v>
      </c>
      <c r="K24" s="1" t="s">
        <v>56</v>
      </c>
      <c r="L24" s="11" t="s">
        <v>57</v>
      </c>
      <c r="M24" s="1" t="s">
        <v>58</v>
      </c>
      <c r="N24" s="1" t="s">
        <v>59</v>
      </c>
      <c r="O24" s="1" t="s">
        <v>60</v>
      </c>
      <c r="P24" s="1">
        <v>0</v>
      </c>
      <c r="Q24" s="12">
        <v>229.97</v>
      </c>
      <c r="R24" s="1" t="s">
        <v>101</v>
      </c>
      <c r="S24" s="1" t="s">
        <v>102</v>
      </c>
      <c r="T24" s="6" t="s">
        <v>63</v>
      </c>
      <c r="U24" s="13">
        <v>0.215</v>
      </c>
      <c r="V24" s="12">
        <v>49.44</v>
      </c>
      <c r="W24" s="12">
        <v>0</v>
      </c>
      <c r="X24" s="1" t="s">
        <v>57</v>
      </c>
    </row>
    <row r="25" spans="1:24" x14ac:dyDescent="0.2">
      <c r="A25" s="1" t="s">
        <v>136</v>
      </c>
      <c r="B25" s="1" t="s">
        <v>47</v>
      </c>
      <c r="C25" s="1" t="s">
        <v>88</v>
      </c>
      <c r="D25" s="1" t="s">
        <v>137</v>
      </c>
      <c r="E25" s="1" t="s">
        <v>138</v>
      </c>
      <c r="F25" s="1" t="s">
        <v>139</v>
      </c>
      <c r="G25" s="1" t="s">
        <v>140</v>
      </c>
      <c r="H25" s="1" t="s">
        <v>53</v>
      </c>
      <c r="I25" s="1" t="s">
        <v>141</v>
      </c>
      <c r="J25" s="1" t="s">
        <v>142</v>
      </c>
      <c r="K25" s="1" t="s">
        <v>56</v>
      </c>
      <c r="L25" s="11" t="s">
        <v>57</v>
      </c>
      <c r="M25" s="1" t="s">
        <v>58</v>
      </c>
      <c r="N25" s="1" t="s">
        <v>59</v>
      </c>
      <c r="O25" s="1" t="s">
        <v>60</v>
      </c>
      <c r="P25" s="1">
        <v>0</v>
      </c>
      <c r="Q25" s="12">
        <v>232.72</v>
      </c>
      <c r="R25" s="1" t="s">
        <v>101</v>
      </c>
      <c r="S25" s="1" t="s">
        <v>102</v>
      </c>
      <c r="T25" s="6" t="s">
        <v>63</v>
      </c>
      <c r="U25" s="13">
        <v>0.23</v>
      </c>
      <c r="V25" s="12">
        <v>53.53</v>
      </c>
      <c r="W25" s="12">
        <v>0</v>
      </c>
      <c r="X25" s="1" t="s">
        <v>57</v>
      </c>
    </row>
    <row r="26" spans="1:24" x14ac:dyDescent="0.2">
      <c r="A26" s="1" t="s">
        <v>136</v>
      </c>
      <c r="B26" s="1" t="s">
        <v>47</v>
      </c>
      <c r="C26" s="1" t="s">
        <v>88</v>
      </c>
      <c r="D26" s="1" t="s">
        <v>137</v>
      </c>
      <c r="E26" s="1" t="s">
        <v>143</v>
      </c>
      <c r="F26" s="1" t="s">
        <v>144</v>
      </c>
      <c r="G26" s="1" t="s">
        <v>140</v>
      </c>
      <c r="H26" s="1" t="s">
        <v>53</v>
      </c>
      <c r="I26" s="1" t="s">
        <v>145</v>
      </c>
      <c r="J26" s="1" t="s">
        <v>119</v>
      </c>
      <c r="K26" s="1" t="s">
        <v>56</v>
      </c>
      <c r="L26" s="11" t="s">
        <v>57</v>
      </c>
      <c r="M26" s="1" t="s">
        <v>58</v>
      </c>
      <c r="N26" s="1" t="s">
        <v>59</v>
      </c>
      <c r="O26" s="1" t="s">
        <v>60</v>
      </c>
      <c r="P26" s="1">
        <v>0</v>
      </c>
      <c r="Q26" s="12">
        <v>104.7</v>
      </c>
      <c r="R26" s="1" t="s">
        <v>101</v>
      </c>
      <c r="S26" s="1" t="s">
        <v>102</v>
      </c>
      <c r="T26" s="6" t="s">
        <v>63</v>
      </c>
      <c r="U26" s="13">
        <v>0.27</v>
      </c>
      <c r="V26" s="12">
        <v>28.27</v>
      </c>
      <c r="W26" s="12">
        <v>0</v>
      </c>
      <c r="X26" s="1" t="s">
        <v>57</v>
      </c>
    </row>
    <row r="27" spans="1:24" x14ac:dyDescent="0.2">
      <c r="A27" s="1" t="s">
        <v>136</v>
      </c>
      <c r="B27" s="1" t="s">
        <v>47</v>
      </c>
      <c r="C27" s="1" t="s">
        <v>88</v>
      </c>
      <c r="D27" s="1" t="s">
        <v>137</v>
      </c>
      <c r="E27" s="1" t="s">
        <v>146</v>
      </c>
      <c r="F27" s="1" t="s">
        <v>147</v>
      </c>
      <c r="G27" s="1" t="s">
        <v>140</v>
      </c>
      <c r="H27" s="1" t="s">
        <v>53</v>
      </c>
      <c r="I27" s="1" t="s">
        <v>145</v>
      </c>
      <c r="J27" s="1" t="s">
        <v>148</v>
      </c>
      <c r="K27" s="1" t="s">
        <v>56</v>
      </c>
      <c r="L27" s="11" t="s">
        <v>57</v>
      </c>
      <c r="M27" s="1" t="s">
        <v>58</v>
      </c>
      <c r="N27" s="1" t="s">
        <v>59</v>
      </c>
      <c r="O27" s="1" t="s">
        <v>60</v>
      </c>
      <c r="P27" s="1">
        <v>0</v>
      </c>
      <c r="Q27" s="12">
        <v>112.52</v>
      </c>
      <c r="R27" s="1" t="s">
        <v>101</v>
      </c>
      <c r="S27" s="1" t="s">
        <v>102</v>
      </c>
      <c r="T27" s="6" t="s">
        <v>63</v>
      </c>
      <c r="U27" s="13">
        <v>2.5000000000000001E-2</v>
      </c>
      <c r="V27" s="12">
        <v>2.81</v>
      </c>
      <c r="W27" s="12">
        <v>0</v>
      </c>
      <c r="X27" s="1" t="s">
        <v>57</v>
      </c>
    </row>
    <row r="28" spans="1:24" x14ac:dyDescent="0.2">
      <c r="A28" s="1" t="s">
        <v>123</v>
      </c>
      <c r="B28" s="1" t="s">
        <v>47</v>
      </c>
      <c r="C28" s="1" t="s">
        <v>88</v>
      </c>
      <c r="D28" s="1" t="s">
        <v>149</v>
      </c>
      <c r="E28" s="1" t="s">
        <v>150</v>
      </c>
      <c r="F28" s="1" t="s">
        <v>151</v>
      </c>
      <c r="G28" s="1" t="s">
        <v>127</v>
      </c>
      <c r="H28" s="1" t="s">
        <v>53</v>
      </c>
      <c r="I28" s="1" t="s">
        <v>132</v>
      </c>
      <c r="J28" s="1" t="s">
        <v>152</v>
      </c>
      <c r="K28" s="1" t="s">
        <v>56</v>
      </c>
      <c r="L28" s="11" t="s">
        <v>57</v>
      </c>
      <c r="M28" s="1" t="s">
        <v>58</v>
      </c>
      <c r="N28" s="1" t="s">
        <v>59</v>
      </c>
      <c r="O28" s="1" t="s">
        <v>60</v>
      </c>
      <c r="P28" s="1">
        <v>0</v>
      </c>
      <c r="Q28" s="12">
        <v>128.97999999999999</v>
      </c>
      <c r="R28" s="1" t="s">
        <v>101</v>
      </c>
      <c r="S28" s="1" t="s">
        <v>102</v>
      </c>
      <c r="T28" s="6" t="s">
        <v>63</v>
      </c>
      <c r="U28" s="13">
        <v>0.215</v>
      </c>
      <c r="V28" s="12">
        <v>27.73</v>
      </c>
      <c r="W28" s="12">
        <v>0</v>
      </c>
      <c r="X28" s="1" t="s">
        <v>57</v>
      </c>
    </row>
    <row r="29" spans="1:24" x14ac:dyDescent="0.2">
      <c r="A29" s="1" t="s">
        <v>136</v>
      </c>
      <c r="B29" s="1" t="s">
        <v>47</v>
      </c>
      <c r="C29" s="1" t="s">
        <v>88</v>
      </c>
      <c r="D29" s="1" t="s">
        <v>153</v>
      </c>
      <c r="E29" s="1" t="s">
        <v>154</v>
      </c>
      <c r="F29" s="1" t="s">
        <v>155</v>
      </c>
      <c r="G29" s="1" t="s">
        <v>156</v>
      </c>
      <c r="H29" s="1" t="s">
        <v>99</v>
      </c>
      <c r="I29" s="1" t="s">
        <v>157</v>
      </c>
      <c r="J29" s="1" t="s">
        <v>96</v>
      </c>
      <c r="K29" s="1" t="s">
        <v>56</v>
      </c>
      <c r="L29" s="11" t="s">
        <v>57</v>
      </c>
      <c r="M29" s="1" t="s">
        <v>58</v>
      </c>
      <c r="N29" s="1" t="s">
        <v>158</v>
      </c>
      <c r="O29" s="1" t="s">
        <v>60</v>
      </c>
      <c r="P29" s="1">
        <v>0</v>
      </c>
      <c r="Q29" s="12">
        <v>176.26</v>
      </c>
      <c r="R29" s="1" t="s">
        <v>61</v>
      </c>
      <c r="S29" s="1" t="s">
        <v>62</v>
      </c>
      <c r="T29" s="6" t="s">
        <v>63</v>
      </c>
      <c r="U29" s="13">
        <v>0.22500000000000001</v>
      </c>
      <c r="V29" s="12">
        <v>39.659999999999997</v>
      </c>
      <c r="W29" s="12">
        <v>0</v>
      </c>
      <c r="X29" s="1" t="s">
        <v>57</v>
      </c>
    </row>
    <row r="30" spans="1:24" x14ac:dyDescent="0.2">
      <c r="A30" s="1" t="s">
        <v>136</v>
      </c>
      <c r="B30" s="1" t="s">
        <v>47</v>
      </c>
      <c r="C30" s="1" t="s">
        <v>88</v>
      </c>
      <c r="D30" s="1" t="s">
        <v>153</v>
      </c>
      <c r="E30" s="1" t="s">
        <v>159</v>
      </c>
      <c r="F30" s="1" t="s">
        <v>160</v>
      </c>
      <c r="G30" s="1" t="s">
        <v>140</v>
      </c>
      <c r="H30" s="1" t="s">
        <v>53</v>
      </c>
      <c r="I30" s="1" t="s">
        <v>161</v>
      </c>
      <c r="J30" s="1" t="s">
        <v>105</v>
      </c>
      <c r="K30" s="1" t="s">
        <v>56</v>
      </c>
      <c r="L30" s="11" t="s">
        <v>57</v>
      </c>
      <c r="M30" s="1" t="s">
        <v>58</v>
      </c>
      <c r="N30" s="1" t="s">
        <v>59</v>
      </c>
      <c r="O30" s="1" t="s">
        <v>60</v>
      </c>
      <c r="P30" s="1">
        <v>0</v>
      </c>
      <c r="Q30" s="12">
        <v>240.03</v>
      </c>
      <c r="R30" s="1" t="s">
        <v>101</v>
      </c>
      <c r="S30" s="1" t="s">
        <v>102</v>
      </c>
      <c r="T30" s="6" t="s">
        <v>63</v>
      </c>
      <c r="U30" s="13">
        <v>0.23</v>
      </c>
      <c r="V30" s="12">
        <v>55.21</v>
      </c>
      <c r="W30" s="12">
        <v>0</v>
      </c>
      <c r="X30" s="1" t="s">
        <v>57</v>
      </c>
    </row>
    <row r="31" spans="1:24" x14ac:dyDescent="0.2">
      <c r="A31" s="1" t="s">
        <v>123</v>
      </c>
      <c r="B31" s="1" t="s">
        <v>47</v>
      </c>
      <c r="C31" s="1" t="s">
        <v>88</v>
      </c>
      <c r="D31" s="1" t="s">
        <v>149</v>
      </c>
      <c r="E31" s="1" t="s">
        <v>162</v>
      </c>
      <c r="F31" s="1" t="s">
        <v>163</v>
      </c>
      <c r="G31" s="1" t="s">
        <v>127</v>
      </c>
      <c r="H31" s="1" t="s">
        <v>53</v>
      </c>
      <c r="I31" s="1" t="s">
        <v>132</v>
      </c>
      <c r="J31" s="1" t="s">
        <v>164</v>
      </c>
      <c r="K31" s="1" t="s">
        <v>56</v>
      </c>
      <c r="L31" s="11" t="s">
        <v>57</v>
      </c>
      <c r="M31" s="1" t="s">
        <v>58</v>
      </c>
      <c r="N31" s="1" t="s">
        <v>59</v>
      </c>
      <c r="O31" s="1" t="s">
        <v>60</v>
      </c>
      <c r="P31" s="1">
        <v>0</v>
      </c>
      <c r="Q31" s="12">
        <v>194.14</v>
      </c>
      <c r="R31" s="1" t="s">
        <v>101</v>
      </c>
      <c r="S31" s="1" t="s">
        <v>102</v>
      </c>
      <c r="T31" s="6" t="s">
        <v>63</v>
      </c>
      <c r="U31" s="13">
        <v>0.215</v>
      </c>
      <c r="V31" s="12">
        <v>41.74</v>
      </c>
      <c r="W31" s="12">
        <v>0</v>
      </c>
      <c r="X31" s="1" t="s">
        <v>57</v>
      </c>
    </row>
    <row r="32" spans="1:24" x14ac:dyDescent="0.2">
      <c r="A32" s="1" t="s">
        <v>123</v>
      </c>
      <c r="B32" s="1" t="s">
        <v>47</v>
      </c>
      <c r="C32" s="1" t="s">
        <v>165</v>
      </c>
      <c r="D32" s="1" t="s">
        <v>166</v>
      </c>
      <c r="E32" s="1" t="s">
        <v>167</v>
      </c>
      <c r="F32" s="1" t="s">
        <v>168</v>
      </c>
      <c r="G32" s="1" t="s">
        <v>52</v>
      </c>
      <c r="H32" s="1" t="s">
        <v>169</v>
      </c>
      <c r="I32" s="1" t="s">
        <v>170</v>
      </c>
      <c r="J32" s="1" t="s">
        <v>96</v>
      </c>
      <c r="K32" s="1" t="s">
        <v>56</v>
      </c>
      <c r="L32" s="11">
        <v>41</v>
      </c>
      <c r="M32" s="1" t="s">
        <v>58</v>
      </c>
      <c r="N32" s="1" t="s">
        <v>59</v>
      </c>
      <c r="O32" s="1" t="s">
        <v>60</v>
      </c>
      <c r="P32" s="1">
        <v>1000</v>
      </c>
      <c r="Q32" s="12">
        <v>42.14</v>
      </c>
      <c r="R32" s="1" t="s">
        <v>61</v>
      </c>
      <c r="S32" s="1" t="s">
        <v>62</v>
      </c>
      <c r="T32" s="6" t="s">
        <v>63</v>
      </c>
      <c r="U32" s="13">
        <v>1.1399999999999999</v>
      </c>
      <c r="V32" s="12">
        <v>48.04</v>
      </c>
      <c r="W32" s="12">
        <v>0</v>
      </c>
      <c r="X32" s="1" t="s">
        <v>57</v>
      </c>
    </row>
    <row r="33" spans="1:24" x14ac:dyDescent="0.2">
      <c r="A33" s="1" t="s">
        <v>123</v>
      </c>
      <c r="B33" s="1" t="s">
        <v>47</v>
      </c>
      <c r="C33" s="1" t="s">
        <v>165</v>
      </c>
      <c r="D33" s="1" t="s">
        <v>171</v>
      </c>
      <c r="E33" s="1" t="s">
        <v>172</v>
      </c>
      <c r="F33" s="1" t="s">
        <v>173</v>
      </c>
      <c r="G33" s="1" t="s">
        <v>174</v>
      </c>
      <c r="H33" s="1" t="s">
        <v>169</v>
      </c>
      <c r="I33" s="1" t="s">
        <v>175</v>
      </c>
      <c r="J33" s="1" t="s">
        <v>176</v>
      </c>
      <c r="K33" s="1" t="s">
        <v>177</v>
      </c>
      <c r="L33" s="11">
        <v>54</v>
      </c>
      <c r="M33" s="1" t="s">
        <v>58</v>
      </c>
      <c r="N33" s="1" t="s">
        <v>59</v>
      </c>
      <c r="O33" s="1" t="s">
        <v>60</v>
      </c>
      <c r="P33" s="1">
        <v>50</v>
      </c>
      <c r="Q33" s="12">
        <v>122.6</v>
      </c>
      <c r="R33" s="1" t="s">
        <v>101</v>
      </c>
      <c r="S33" s="1" t="s">
        <v>102</v>
      </c>
      <c r="T33" s="6" t="s">
        <v>63</v>
      </c>
      <c r="U33" s="13">
        <v>7.0000000000000007E-2</v>
      </c>
      <c r="V33" s="12">
        <v>8.58</v>
      </c>
      <c r="W33" s="12">
        <v>0</v>
      </c>
      <c r="X33" s="1" t="s">
        <v>57</v>
      </c>
    </row>
    <row r="34" spans="1:24" x14ac:dyDescent="0.2">
      <c r="A34" s="1" t="s">
        <v>123</v>
      </c>
      <c r="B34" s="1" t="s">
        <v>47</v>
      </c>
      <c r="C34" s="1" t="s">
        <v>165</v>
      </c>
      <c r="D34" s="1" t="s">
        <v>171</v>
      </c>
      <c r="E34" s="1" t="s">
        <v>178</v>
      </c>
      <c r="F34" s="1" t="s">
        <v>179</v>
      </c>
      <c r="G34" s="1" t="s">
        <v>174</v>
      </c>
      <c r="H34" s="1" t="s">
        <v>169</v>
      </c>
      <c r="I34" s="1" t="s">
        <v>175</v>
      </c>
      <c r="J34" s="1" t="s">
        <v>176</v>
      </c>
      <c r="K34" s="1" t="s">
        <v>177</v>
      </c>
      <c r="L34" s="11">
        <v>52</v>
      </c>
      <c r="M34" s="1" t="s">
        <v>58</v>
      </c>
      <c r="N34" s="1" t="s">
        <v>59</v>
      </c>
      <c r="O34" s="1" t="s">
        <v>60</v>
      </c>
      <c r="P34" s="1">
        <v>50</v>
      </c>
      <c r="Q34" s="12">
        <v>191.04</v>
      </c>
      <c r="R34" s="1" t="s">
        <v>101</v>
      </c>
      <c r="S34" s="1" t="s">
        <v>102</v>
      </c>
      <c r="T34" s="6" t="s">
        <v>63</v>
      </c>
      <c r="U34" s="13">
        <v>7.0000000000000007E-2</v>
      </c>
      <c r="V34" s="12">
        <v>13.37</v>
      </c>
      <c r="W34" s="12">
        <v>0</v>
      </c>
      <c r="X34" s="1" t="s">
        <v>57</v>
      </c>
    </row>
    <row r="35" spans="1:24" x14ac:dyDescent="0.2">
      <c r="A35" s="1" t="s">
        <v>123</v>
      </c>
      <c r="B35" s="1" t="s">
        <v>47</v>
      </c>
      <c r="C35" s="1" t="s">
        <v>165</v>
      </c>
      <c r="D35" s="1" t="s">
        <v>180</v>
      </c>
      <c r="E35" s="1" t="s">
        <v>181</v>
      </c>
      <c r="F35" s="1" t="s">
        <v>182</v>
      </c>
      <c r="G35" s="1" t="s">
        <v>52</v>
      </c>
      <c r="H35" s="1" t="s">
        <v>99</v>
      </c>
      <c r="I35" s="1" t="s">
        <v>175</v>
      </c>
      <c r="J35" s="1" t="s">
        <v>100</v>
      </c>
      <c r="K35" s="1" t="s">
        <v>56</v>
      </c>
      <c r="L35" s="11">
        <v>76</v>
      </c>
      <c r="M35" s="1" t="s">
        <v>58</v>
      </c>
      <c r="N35" s="1" t="s">
        <v>59</v>
      </c>
      <c r="O35" s="1" t="s">
        <v>60</v>
      </c>
      <c r="P35" s="1">
        <v>15</v>
      </c>
      <c r="Q35" s="12">
        <v>115.77</v>
      </c>
      <c r="R35" s="1" t="s">
        <v>101</v>
      </c>
      <c r="S35" s="1" t="s">
        <v>102</v>
      </c>
      <c r="T35" s="6" t="s">
        <v>63</v>
      </c>
      <c r="U35" s="13">
        <v>7.0000000000000007E-2</v>
      </c>
      <c r="V35" s="12">
        <v>8.1</v>
      </c>
      <c r="W35" s="12">
        <v>0</v>
      </c>
      <c r="X35" s="1" t="s">
        <v>57</v>
      </c>
    </row>
    <row r="36" spans="1:24" x14ac:dyDescent="0.2">
      <c r="A36" s="1" t="s">
        <v>123</v>
      </c>
      <c r="B36" s="1" t="s">
        <v>47</v>
      </c>
      <c r="C36" s="1" t="s">
        <v>165</v>
      </c>
      <c r="D36" s="1" t="s">
        <v>183</v>
      </c>
      <c r="E36" s="1" t="s">
        <v>184</v>
      </c>
      <c r="F36" s="1" t="s">
        <v>185</v>
      </c>
      <c r="G36" s="1" t="s">
        <v>52</v>
      </c>
      <c r="H36" s="1" t="s">
        <v>169</v>
      </c>
      <c r="I36" s="1" t="s">
        <v>175</v>
      </c>
      <c r="J36" s="1" t="s">
        <v>186</v>
      </c>
      <c r="K36" s="1" t="s">
        <v>177</v>
      </c>
      <c r="L36" s="11">
        <v>63</v>
      </c>
      <c r="M36" s="1" t="s">
        <v>58</v>
      </c>
      <c r="N36" s="1" t="s">
        <v>59</v>
      </c>
      <c r="O36" s="1" t="s">
        <v>60</v>
      </c>
      <c r="P36" s="1">
        <v>50</v>
      </c>
      <c r="Q36" s="12">
        <v>175.78</v>
      </c>
      <c r="R36" s="1" t="s">
        <v>101</v>
      </c>
      <c r="S36" s="1" t="s">
        <v>102</v>
      </c>
      <c r="T36" s="6" t="s">
        <v>63</v>
      </c>
      <c r="U36" s="13">
        <v>7.0000000000000007E-2</v>
      </c>
      <c r="V36" s="12">
        <v>12.3</v>
      </c>
      <c r="W36" s="12">
        <v>0</v>
      </c>
      <c r="X36" s="1" t="s">
        <v>57</v>
      </c>
    </row>
    <row r="37" spans="1:24" x14ac:dyDescent="0.2">
      <c r="A37" s="1" t="s">
        <v>123</v>
      </c>
      <c r="B37" s="1" t="s">
        <v>47</v>
      </c>
      <c r="C37" s="1" t="s">
        <v>165</v>
      </c>
      <c r="D37" s="1" t="s">
        <v>183</v>
      </c>
      <c r="E37" s="1" t="s">
        <v>187</v>
      </c>
      <c r="F37" s="1" t="s">
        <v>188</v>
      </c>
      <c r="G37" s="1" t="s">
        <v>52</v>
      </c>
      <c r="H37" s="1" t="s">
        <v>169</v>
      </c>
      <c r="I37" s="1" t="s">
        <v>175</v>
      </c>
      <c r="J37" s="1" t="s">
        <v>129</v>
      </c>
      <c r="K37" s="1" t="s">
        <v>56</v>
      </c>
      <c r="L37" s="11">
        <v>67</v>
      </c>
      <c r="M37" s="1" t="s">
        <v>58</v>
      </c>
      <c r="N37" s="1" t="s">
        <v>59</v>
      </c>
      <c r="O37" s="1" t="s">
        <v>60</v>
      </c>
      <c r="P37" s="1">
        <v>12</v>
      </c>
      <c r="Q37" s="12">
        <v>55</v>
      </c>
      <c r="R37" s="1" t="s">
        <v>101</v>
      </c>
      <c r="S37" s="1" t="s">
        <v>102</v>
      </c>
      <c r="T37" s="6" t="s">
        <v>63</v>
      </c>
      <c r="U37" s="13">
        <v>7.0000000000000007E-2</v>
      </c>
      <c r="V37" s="12">
        <v>3.85</v>
      </c>
      <c r="W37" s="12">
        <v>0</v>
      </c>
      <c r="X37" s="1" t="s">
        <v>57</v>
      </c>
    </row>
    <row r="38" spans="1:24" x14ac:dyDescent="0.2">
      <c r="A38" s="1" t="s">
        <v>123</v>
      </c>
      <c r="B38" s="1" t="s">
        <v>47</v>
      </c>
      <c r="C38" s="1" t="s">
        <v>165</v>
      </c>
      <c r="D38" s="1" t="s">
        <v>65</v>
      </c>
      <c r="E38" s="1" t="s">
        <v>189</v>
      </c>
      <c r="F38" s="1" t="s">
        <v>190</v>
      </c>
      <c r="G38" s="1" t="s">
        <v>191</v>
      </c>
      <c r="H38" s="1" t="s">
        <v>192</v>
      </c>
      <c r="I38" s="1" t="s">
        <v>175</v>
      </c>
      <c r="J38" s="1" t="s">
        <v>193</v>
      </c>
      <c r="K38" s="1" t="s">
        <v>194</v>
      </c>
      <c r="L38" s="11">
        <v>80</v>
      </c>
      <c r="M38" s="1" t="s">
        <v>58</v>
      </c>
      <c r="N38" s="1" t="s">
        <v>59</v>
      </c>
      <c r="O38" s="1" t="s">
        <v>60</v>
      </c>
      <c r="P38" s="1">
        <v>15</v>
      </c>
      <c r="Q38" s="12">
        <v>207.99</v>
      </c>
      <c r="R38" s="1" t="s">
        <v>101</v>
      </c>
      <c r="S38" s="1" t="s">
        <v>102</v>
      </c>
      <c r="T38" s="6" t="s">
        <v>63</v>
      </c>
      <c r="U38" s="13">
        <v>7.0000000000000007E-2</v>
      </c>
      <c r="V38" s="12">
        <v>14.56</v>
      </c>
      <c r="W38" s="12">
        <v>0</v>
      </c>
      <c r="X38" s="1" t="s">
        <v>57</v>
      </c>
    </row>
    <row r="39" spans="1:24" x14ac:dyDescent="0.2">
      <c r="A39" s="1" t="s">
        <v>123</v>
      </c>
      <c r="B39" s="1" t="s">
        <v>47</v>
      </c>
      <c r="C39" s="1" t="s">
        <v>165</v>
      </c>
      <c r="D39" s="1" t="s">
        <v>195</v>
      </c>
      <c r="E39" s="1" t="s">
        <v>196</v>
      </c>
      <c r="F39" s="1" t="s">
        <v>197</v>
      </c>
      <c r="G39" s="1" t="s">
        <v>198</v>
      </c>
      <c r="H39" s="1" t="s">
        <v>99</v>
      </c>
      <c r="I39" s="1" t="s">
        <v>199</v>
      </c>
      <c r="J39" s="1" t="s">
        <v>200</v>
      </c>
      <c r="K39" s="1" t="s">
        <v>201</v>
      </c>
      <c r="L39" s="11">
        <v>61</v>
      </c>
      <c r="M39" s="1" t="s">
        <v>58</v>
      </c>
      <c r="N39" s="1" t="s">
        <v>59</v>
      </c>
      <c r="O39" s="1" t="s">
        <v>60</v>
      </c>
      <c r="P39" s="1">
        <v>65</v>
      </c>
      <c r="Q39" s="12">
        <v>97.44</v>
      </c>
      <c r="R39" s="1" t="s">
        <v>61</v>
      </c>
      <c r="S39" s="1" t="s">
        <v>62</v>
      </c>
      <c r="T39" s="6" t="s">
        <v>63</v>
      </c>
      <c r="U39" s="13">
        <v>1.5</v>
      </c>
      <c r="V39" s="12">
        <v>146.16</v>
      </c>
      <c r="W39" s="12">
        <v>0</v>
      </c>
      <c r="X39" s="1" t="s">
        <v>57</v>
      </c>
    </row>
    <row r="40" spans="1:24" x14ac:dyDescent="0.2">
      <c r="A40" s="1" t="s">
        <v>136</v>
      </c>
      <c r="B40" s="1" t="s">
        <v>47</v>
      </c>
      <c r="C40" s="1" t="s">
        <v>48</v>
      </c>
      <c r="D40" s="1" t="s">
        <v>65</v>
      </c>
      <c r="E40" s="1" t="s">
        <v>202</v>
      </c>
      <c r="F40" s="1" t="s">
        <v>203</v>
      </c>
      <c r="G40" s="1" t="s">
        <v>204</v>
      </c>
      <c r="H40" s="1" t="s">
        <v>53</v>
      </c>
      <c r="I40" s="1" t="s">
        <v>205</v>
      </c>
      <c r="J40" s="1" t="s">
        <v>76</v>
      </c>
      <c r="K40" s="1" t="s">
        <v>56</v>
      </c>
      <c r="L40" s="11" t="s">
        <v>57</v>
      </c>
      <c r="M40" s="1" t="s">
        <v>58</v>
      </c>
      <c r="N40" s="1" t="s">
        <v>59</v>
      </c>
      <c r="O40" s="1" t="s">
        <v>60</v>
      </c>
      <c r="P40" s="1">
        <v>0</v>
      </c>
      <c r="Q40" s="12">
        <v>450.82</v>
      </c>
      <c r="R40" s="1" t="s">
        <v>61</v>
      </c>
      <c r="S40" s="1" t="s">
        <v>62</v>
      </c>
      <c r="T40" s="6" t="s">
        <v>63</v>
      </c>
      <c r="U40" s="13">
        <v>0.1125</v>
      </c>
      <c r="V40" s="12">
        <v>50.72</v>
      </c>
      <c r="W40" s="12">
        <v>0</v>
      </c>
      <c r="X40" s="1" t="s">
        <v>57</v>
      </c>
    </row>
    <row r="41" spans="1:24" x14ac:dyDescent="0.2">
      <c r="A41" s="1" t="s">
        <v>136</v>
      </c>
      <c r="B41" s="1" t="s">
        <v>47</v>
      </c>
      <c r="C41" s="1" t="s">
        <v>48</v>
      </c>
      <c r="D41" s="1" t="s">
        <v>65</v>
      </c>
      <c r="E41" s="1" t="s">
        <v>206</v>
      </c>
      <c r="F41" s="1" t="s">
        <v>207</v>
      </c>
      <c r="G41" s="1" t="s">
        <v>204</v>
      </c>
      <c r="H41" s="1" t="s">
        <v>53</v>
      </c>
      <c r="I41" s="1" t="s">
        <v>208</v>
      </c>
      <c r="J41" s="1" t="s">
        <v>76</v>
      </c>
      <c r="K41" s="1" t="s">
        <v>56</v>
      </c>
      <c r="L41" s="11" t="s">
        <v>57</v>
      </c>
      <c r="M41" s="1" t="s">
        <v>58</v>
      </c>
      <c r="N41" s="1" t="s">
        <v>59</v>
      </c>
      <c r="O41" s="1" t="s">
        <v>60</v>
      </c>
      <c r="P41" s="1">
        <v>0</v>
      </c>
      <c r="Q41" s="12">
        <v>233.99</v>
      </c>
      <c r="R41" s="1" t="s">
        <v>61</v>
      </c>
      <c r="S41" s="1" t="s">
        <v>62</v>
      </c>
      <c r="T41" s="6" t="s">
        <v>63</v>
      </c>
      <c r="U41" s="13">
        <v>0.1275</v>
      </c>
      <c r="V41" s="12">
        <v>29.83</v>
      </c>
      <c r="W41" s="12">
        <v>0</v>
      </c>
      <c r="X41" s="1" t="s">
        <v>57</v>
      </c>
    </row>
    <row r="42" spans="1:24" x14ac:dyDescent="0.2">
      <c r="A42" s="1" t="s">
        <v>136</v>
      </c>
      <c r="B42" s="1" t="s">
        <v>47</v>
      </c>
      <c r="C42" s="1" t="s">
        <v>48</v>
      </c>
      <c r="D42" s="1" t="s">
        <v>65</v>
      </c>
      <c r="E42" s="1" t="s">
        <v>209</v>
      </c>
      <c r="F42" s="1" t="s">
        <v>210</v>
      </c>
      <c r="G42" s="1" t="s">
        <v>204</v>
      </c>
      <c r="H42" s="1" t="s">
        <v>53</v>
      </c>
      <c r="I42" s="1" t="s">
        <v>205</v>
      </c>
      <c r="J42" s="1" t="s">
        <v>76</v>
      </c>
      <c r="K42" s="1" t="s">
        <v>56</v>
      </c>
      <c r="L42" s="11" t="s">
        <v>57</v>
      </c>
      <c r="M42" s="1" t="s">
        <v>58</v>
      </c>
      <c r="N42" s="1" t="s">
        <v>59</v>
      </c>
      <c r="O42" s="1" t="s">
        <v>60</v>
      </c>
      <c r="P42" s="1">
        <v>0</v>
      </c>
      <c r="Q42" s="12">
        <v>223.3</v>
      </c>
      <c r="R42" s="1" t="s">
        <v>61</v>
      </c>
      <c r="S42" s="1" t="s">
        <v>62</v>
      </c>
      <c r="T42" s="6" t="s">
        <v>63</v>
      </c>
      <c r="U42" s="13">
        <v>0.2</v>
      </c>
      <c r="V42" s="12">
        <v>44.66</v>
      </c>
      <c r="W42" s="12">
        <v>0</v>
      </c>
      <c r="X42" s="1" t="s">
        <v>57</v>
      </c>
    </row>
    <row r="43" spans="1:24" x14ac:dyDescent="0.2">
      <c r="A43" s="1" t="s">
        <v>123</v>
      </c>
      <c r="B43" s="1" t="s">
        <v>47</v>
      </c>
      <c r="C43" s="1" t="s">
        <v>48</v>
      </c>
      <c r="D43" s="1" t="s">
        <v>65</v>
      </c>
      <c r="E43" s="1" t="s">
        <v>211</v>
      </c>
      <c r="F43" s="1" t="s">
        <v>212</v>
      </c>
      <c r="G43" s="1" t="s">
        <v>191</v>
      </c>
      <c r="H43" s="1" t="s">
        <v>53</v>
      </c>
      <c r="I43" s="1" t="s">
        <v>199</v>
      </c>
      <c r="J43" s="1" t="s">
        <v>56</v>
      </c>
      <c r="K43" s="1" t="s">
        <v>56</v>
      </c>
      <c r="L43" s="11">
        <v>61</v>
      </c>
      <c r="M43" s="1" t="s">
        <v>58</v>
      </c>
      <c r="N43" s="1" t="s">
        <v>59</v>
      </c>
      <c r="O43" s="1" t="s">
        <v>60</v>
      </c>
      <c r="P43" s="1">
        <v>60</v>
      </c>
      <c r="Q43" s="12">
        <v>813.15</v>
      </c>
      <c r="R43" s="1" t="s">
        <v>61</v>
      </c>
      <c r="S43" s="1" t="s">
        <v>213</v>
      </c>
      <c r="T43" s="6" t="s">
        <v>63</v>
      </c>
      <c r="U43" s="13">
        <v>1.5</v>
      </c>
      <c r="V43" s="12">
        <v>1219.77</v>
      </c>
      <c r="W43" s="12">
        <v>1219.77</v>
      </c>
      <c r="X43" s="1" t="s">
        <v>57</v>
      </c>
    </row>
    <row r="44" spans="1:24" x14ac:dyDescent="0.2">
      <c r="A44" s="1" t="s">
        <v>123</v>
      </c>
      <c r="B44" s="1" t="s">
        <v>47</v>
      </c>
      <c r="C44" s="1" t="s">
        <v>48</v>
      </c>
      <c r="D44" s="1" t="s">
        <v>65</v>
      </c>
      <c r="E44" s="1" t="s">
        <v>214</v>
      </c>
      <c r="F44" s="1" t="s">
        <v>215</v>
      </c>
      <c r="G44" s="1" t="s">
        <v>191</v>
      </c>
      <c r="H44" s="1" t="s">
        <v>169</v>
      </c>
      <c r="I44" s="1" t="s">
        <v>216</v>
      </c>
      <c r="J44" s="1" t="s">
        <v>217</v>
      </c>
      <c r="K44" s="1" t="s">
        <v>217</v>
      </c>
      <c r="L44" s="11">
        <v>65</v>
      </c>
      <c r="M44" s="1" t="s">
        <v>58</v>
      </c>
      <c r="N44" s="1" t="s">
        <v>59</v>
      </c>
      <c r="O44" s="1" t="s">
        <v>60</v>
      </c>
      <c r="P44" s="1">
        <v>75</v>
      </c>
      <c r="Q44" s="12">
        <v>2116.44</v>
      </c>
      <c r="R44" s="1" t="s">
        <v>61</v>
      </c>
      <c r="S44" s="1" t="s">
        <v>218</v>
      </c>
      <c r="T44" s="6" t="s">
        <v>63</v>
      </c>
      <c r="U44" s="13">
        <v>0.67500000000000004</v>
      </c>
      <c r="V44" s="12">
        <v>1428.6</v>
      </c>
      <c r="W44" s="12">
        <v>1428.6</v>
      </c>
      <c r="X44" s="1" t="s">
        <v>57</v>
      </c>
    </row>
    <row r="45" spans="1:24" x14ac:dyDescent="0.2">
      <c r="A45" s="1" t="s">
        <v>123</v>
      </c>
      <c r="B45" s="1" t="s">
        <v>47</v>
      </c>
      <c r="C45" s="1" t="s">
        <v>48</v>
      </c>
      <c r="D45" s="1" t="s">
        <v>65</v>
      </c>
      <c r="E45" s="1" t="s">
        <v>219</v>
      </c>
      <c r="F45" s="1" t="s">
        <v>220</v>
      </c>
      <c r="G45" s="1" t="s">
        <v>52</v>
      </c>
      <c r="H45" s="1" t="s">
        <v>99</v>
      </c>
      <c r="I45" s="1" t="s">
        <v>216</v>
      </c>
      <c r="J45" s="1" t="s">
        <v>221</v>
      </c>
      <c r="K45" s="1" t="s">
        <v>56</v>
      </c>
      <c r="L45" s="11">
        <v>64</v>
      </c>
      <c r="M45" s="1" t="s">
        <v>58</v>
      </c>
      <c r="N45" s="1" t="s">
        <v>59</v>
      </c>
      <c r="O45" s="1" t="s">
        <v>60</v>
      </c>
      <c r="P45" s="1">
        <v>105</v>
      </c>
      <c r="Q45" s="12">
        <v>2030.16</v>
      </c>
      <c r="R45" s="1" t="s">
        <v>61</v>
      </c>
      <c r="S45" s="1" t="s">
        <v>222</v>
      </c>
      <c r="T45" s="6" t="s">
        <v>63</v>
      </c>
      <c r="U45" s="13">
        <v>0.67500000000000004</v>
      </c>
      <c r="V45" s="12">
        <v>1536.46</v>
      </c>
      <c r="W45" s="12">
        <v>1370.36</v>
      </c>
      <c r="X45" s="1" t="s">
        <v>57</v>
      </c>
    </row>
    <row r="46" spans="1:24" x14ac:dyDescent="0.2">
      <c r="A46" s="1" t="s">
        <v>123</v>
      </c>
      <c r="B46" s="1" t="s">
        <v>47</v>
      </c>
      <c r="C46" s="1" t="s">
        <v>48</v>
      </c>
      <c r="D46" s="1" t="s">
        <v>65</v>
      </c>
      <c r="E46" s="1" t="s">
        <v>219</v>
      </c>
      <c r="F46" s="1" t="s">
        <v>220</v>
      </c>
      <c r="G46" s="1" t="s">
        <v>52</v>
      </c>
      <c r="H46" s="1" t="s">
        <v>192</v>
      </c>
      <c r="I46" s="1" t="s">
        <v>216</v>
      </c>
      <c r="J46" s="1" t="s">
        <v>221</v>
      </c>
      <c r="K46" s="1" t="s">
        <v>56</v>
      </c>
      <c r="L46" s="11">
        <v>64</v>
      </c>
      <c r="M46" s="1" t="s">
        <v>58</v>
      </c>
      <c r="N46" s="1" t="s">
        <v>59</v>
      </c>
      <c r="O46" s="1" t="s">
        <v>60</v>
      </c>
      <c r="P46" s="1">
        <v>105</v>
      </c>
      <c r="Q46" s="12">
        <v>-2460.8000000000002</v>
      </c>
      <c r="R46" s="1" t="s">
        <v>61</v>
      </c>
      <c r="S46" s="1" t="s">
        <v>223</v>
      </c>
      <c r="T46" s="6" t="s">
        <v>63</v>
      </c>
      <c r="U46" s="13">
        <v>0.67500000000000004</v>
      </c>
      <c r="V46" s="12">
        <v>-1494.94</v>
      </c>
      <c r="W46" s="12">
        <v>-1328.84</v>
      </c>
      <c r="X46" s="1" t="s">
        <v>57</v>
      </c>
    </row>
    <row r="47" spans="1:24" x14ac:dyDescent="0.2">
      <c r="A47" s="1" t="s">
        <v>123</v>
      </c>
      <c r="B47" s="1" t="s">
        <v>47</v>
      </c>
      <c r="C47" s="1" t="s">
        <v>48</v>
      </c>
      <c r="D47" s="1" t="s">
        <v>65</v>
      </c>
      <c r="E47" s="1" t="s">
        <v>224</v>
      </c>
      <c r="F47" s="1" t="s">
        <v>225</v>
      </c>
      <c r="G47" s="1" t="s">
        <v>226</v>
      </c>
      <c r="H47" s="1" t="s">
        <v>92</v>
      </c>
      <c r="I47" s="1" t="s">
        <v>216</v>
      </c>
      <c r="J47" s="1" t="s">
        <v>221</v>
      </c>
      <c r="K47" s="1" t="s">
        <v>56</v>
      </c>
      <c r="L47" s="11">
        <v>60</v>
      </c>
      <c r="M47" s="1" t="s">
        <v>58</v>
      </c>
      <c r="N47" s="1" t="s">
        <v>59</v>
      </c>
      <c r="O47" s="1" t="s">
        <v>60</v>
      </c>
      <c r="P47" s="1">
        <v>50</v>
      </c>
      <c r="Q47" s="12">
        <v>1104.6600000000001</v>
      </c>
      <c r="R47" s="1" t="s">
        <v>61</v>
      </c>
      <c r="S47" s="1" t="s">
        <v>227</v>
      </c>
      <c r="T47" s="6" t="s">
        <v>63</v>
      </c>
      <c r="U47" s="13">
        <v>0.67500000000000004</v>
      </c>
      <c r="V47" s="12">
        <v>745.65</v>
      </c>
      <c r="W47" s="12">
        <v>745.65</v>
      </c>
      <c r="X47" s="1" t="s">
        <v>57</v>
      </c>
    </row>
    <row r="48" spans="1:24" x14ac:dyDescent="0.2">
      <c r="A48" s="1" t="s">
        <v>123</v>
      </c>
      <c r="B48" s="1" t="s">
        <v>47</v>
      </c>
      <c r="C48" s="1" t="s">
        <v>48</v>
      </c>
      <c r="D48" s="1" t="s">
        <v>65</v>
      </c>
      <c r="E48" s="1" t="s">
        <v>224</v>
      </c>
      <c r="F48" s="1" t="s">
        <v>225</v>
      </c>
      <c r="G48" s="1" t="s">
        <v>226</v>
      </c>
      <c r="H48" s="1" t="s">
        <v>169</v>
      </c>
      <c r="I48" s="1" t="s">
        <v>216</v>
      </c>
      <c r="J48" s="1" t="s">
        <v>221</v>
      </c>
      <c r="K48" s="1" t="s">
        <v>56</v>
      </c>
      <c r="L48" s="11">
        <v>60</v>
      </c>
      <c r="M48" s="1" t="s">
        <v>58</v>
      </c>
      <c r="N48" s="1" t="s">
        <v>59</v>
      </c>
      <c r="O48" s="1" t="s">
        <v>60</v>
      </c>
      <c r="P48" s="1">
        <v>50</v>
      </c>
      <c r="Q48" s="12">
        <v>-1227.4000000000001</v>
      </c>
      <c r="R48" s="1" t="s">
        <v>61</v>
      </c>
      <c r="S48" s="1" t="s">
        <v>223</v>
      </c>
      <c r="T48" s="6" t="s">
        <v>63</v>
      </c>
      <c r="U48" s="13">
        <v>0.67500000000000004</v>
      </c>
      <c r="V48" s="12">
        <v>-745.65</v>
      </c>
      <c r="W48" s="12">
        <v>-662.8</v>
      </c>
      <c r="X48" s="1" t="s">
        <v>57</v>
      </c>
    </row>
    <row r="49" spans="1:24" x14ac:dyDescent="0.2">
      <c r="A49" s="1" t="s">
        <v>123</v>
      </c>
      <c r="B49" s="1" t="s">
        <v>47</v>
      </c>
      <c r="C49" s="1" t="s">
        <v>48</v>
      </c>
      <c r="D49" s="1" t="s">
        <v>65</v>
      </c>
      <c r="E49" s="1" t="s">
        <v>224</v>
      </c>
      <c r="F49" s="1" t="s">
        <v>225</v>
      </c>
      <c r="G49" s="1" t="s">
        <v>226</v>
      </c>
      <c r="H49" s="1" t="s">
        <v>53</v>
      </c>
      <c r="I49" s="1" t="s">
        <v>216</v>
      </c>
      <c r="J49" s="1" t="s">
        <v>221</v>
      </c>
      <c r="K49" s="1" t="s">
        <v>56</v>
      </c>
      <c r="L49" s="11">
        <v>60</v>
      </c>
      <c r="M49" s="1" t="s">
        <v>58</v>
      </c>
      <c r="N49" s="1" t="s">
        <v>59</v>
      </c>
      <c r="O49" s="1" t="s">
        <v>60</v>
      </c>
      <c r="P49" s="1">
        <v>50</v>
      </c>
      <c r="Q49" s="12">
        <v>122.74</v>
      </c>
      <c r="R49" s="1" t="s">
        <v>61</v>
      </c>
      <c r="S49" s="1" t="s">
        <v>222</v>
      </c>
      <c r="T49" s="6" t="s">
        <v>63</v>
      </c>
      <c r="U49" s="13">
        <v>0.67500000000000004</v>
      </c>
      <c r="V49" s="12">
        <v>0</v>
      </c>
      <c r="W49" s="12">
        <v>-82.85</v>
      </c>
      <c r="X49" s="1" t="s">
        <v>57</v>
      </c>
    </row>
    <row r="50" spans="1:24" x14ac:dyDescent="0.2">
      <c r="A50" s="1" t="s">
        <v>123</v>
      </c>
      <c r="B50" s="1" t="s">
        <v>47</v>
      </c>
      <c r="C50" s="1" t="s">
        <v>48</v>
      </c>
      <c r="D50" s="1" t="s">
        <v>65</v>
      </c>
      <c r="E50" s="1" t="s">
        <v>228</v>
      </c>
      <c r="F50" s="1" t="s">
        <v>229</v>
      </c>
      <c r="G50" s="1" t="s">
        <v>230</v>
      </c>
      <c r="H50" s="1" t="s">
        <v>53</v>
      </c>
      <c r="I50" s="1" t="s">
        <v>216</v>
      </c>
      <c r="J50" s="1" t="s">
        <v>221</v>
      </c>
      <c r="K50" s="1" t="s">
        <v>56</v>
      </c>
      <c r="L50" s="11">
        <v>62</v>
      </c>
      <c r="M50" s="1" t="s">
        <v>58</v>
      </c>
      <c r="N50" s="1" t="s">
        <v>59</v>
      </c>
      <c r="O50" s="1" t="s">
        <v>60</v>
      </c>
      <c r="P50" s="1">
        <v>75</v>
      </c>
      <c r="Q50" s="12">
        <v>153.74</v>
      </c>
      <c r="R50" s="1" t="s">
        <v>61</v>
      </c>
      <c r="S50" s="1" t="s">
        <v>222</v>
      </c>
      <c r="T50" s="6" t="s">
        <v>63</v>
      </c>
      <c r="U50" s="13">
        <v>0.67500000000000004</v>
      </c>
      <c r="V50" s="12">
        <v>0</v>
      </c>
      <c r="W50" s="12">
        <v>-103.77</v>
      </c>
      <c r="X50" s="1" t="s">
        <v>57</v>
      </c>
    </row>
    <row r="51" spans="1:24" x14ac:dyDescent="0.2">
      <c r="A51" s="1" t="s">
        <v>123</v>
      </c>
      <c r="B51" s="1" t="s">
        <v>47</v>
      </c>
      <c r="C51" s="1" t="s">
        <v>48</v>
      </c>
      <c r="D51" s="1" t="s">
        <v>65</v>
      </c>
      <c r="E51" s="1" t="s">
        <v>231</v>
      </c>
      <c r="F51" s="1" t="s">
        <v>232</v>
      </c>
      <c r="G51" s="1" t="s">
        <v>191</v>
      </c>
      <c r="H51" s="1" t="s">
        <v>53</v>
      </c>
      <c r="I51" s="1" t="s">
        <v>216</v>
      </c>
      <c r="J51" s="1" t="s">
        <v>221</v>
      </c>
      <c r="K51" s="1" t="s">
        <v>56</v>
      </c>
      <c r="L51" s="11">
        <v>60</v>
      </c>
      <c r="M51" s="1" t="s">
        <v>58</v>
      </c>
      <c r="N51" s="1" t="s">
        <v>59</v>
      </c>
      <c r="O51" s="1" t="s">
        <v>60</v>
      </c>
      <c r="P51" s="1">
        <v>150</v>
      </c>
      <c r="Q51" s="12">
        <v>243.56</v>
      </c>
      <c r="R51" s="1" t="s">
        <v>61</v>
      </c>
      <c r="S51" s="1" t="s">
        <v>222</v>
      </c>
      <c r="T51" s="6" t="s">
        <v>63</v>
      </c>
      <c r="U51" s="13">
        <v>0.67500000000000004</v>
      </c>
      <c r="V51" s="12">
        <v>0</v>
      </c>
      <c r="W51" s="12">
        <v>-164.4</v>
      </c>
      <c r="X51" s="1" t="s">
        <v>57</v>
      </c>
    </row>
    <row r="52" spans="1:24" x14ac:dyDescent="0.2">
      <c r="A52" s="1" t="s">
        <v>123</v>
      </c>
      <c r="B52" s="1" t="s">
        <v>47</v>
      </c>
      <c r="C52" s="1" t="s">
        <v>48</v>
      </c>
      <c r="D52" s="1" t="s">
        <v>65</v>
      </c>
      <c r="E52" s="1" t="s">
        <v>233</v>
      </c>
      <c r="F52" s="1" t="s">
        <v>234</v>
      </c>
      <c r="G52" s="1" t="s">
        <v>235</v>
      </c>
      <c r="H52" s="1" t="s">
        <v>169</v>
      </c>
      <c r="I52" s="1" t="s">
        <v>216</v>
      </c>
      <c r="J52" s="1" t="s">
        <v>236</v>
      </c>
      <c r="K52" s="1" t="s">
        <v>177</v>
      </c>
      <c r="L52" s="11">
        <v>52</v>
      </c>
      <c r="M52" s="1" t="s">
        <v>58</v>
      </c>
      <c r="N52" s="1" t="s">
        <v>59</v>
      </c>
      <c r="O52" s="1" t="s">
        <v>60</v>
      </c>
      <c r="P52" s="1">
        <v>200</v>
      </c>
      <c r="Q52" s="12">
        <v>297.38</v>
      </c>
      <c r="R52" s="1" t="s">
        <v>61</v>
      </c>
      <c r="S52" s="1" t="s">
        <v>62</v>
      </c>
      <c r="T52" s="6" t="s">
        <v>63</v>
      </c>
      <c r="U52" s="13">
        <v>0.67500000000000004</v>
      </c>
      <c r="V52" s="12">
        <v>0</v>
      </c>
      <c r="W52" s="12">
        <v>-200.73</v>
      </c>
      <c r="X52" s="1" t="s">
        <v>57</v>
      </c>
    </row>
    <row r="53" spans="1:24" x14ac:dyDescent="0.2">
      <c r="A53" s="1" t="s">
        <v>123</v>
      </c>
      <c r="B53" s="1" t="s">
        <v>47</v>
      </c>
      <c r="C53" s="1" t="s">
        <v>48</v>
      </c>
      <c r="D53" s="1" t="s">
        <v>65</v>
      </c>
      <c r="E53" s="1" t="s">
        <v>237</v>
      </c>
      <c r="F53" s="1" t="s">
        <v>238</v>
      </c>
      <c r="G53" s="1" t="s">
        <v>239</v>
      </c>
      <c r="H53" s="1" t="s">
        <v>192</v>
      </c>
      <c r="I53" s="1" t="s">
        <v>216</v>
      </c>
      <c r="J53" s="1" t="s">
        <v>240</v>
      </c>
      <c r="K53" s="1" t="s">
        <v>241</v>
      </c>
      <c r="L53" s="11">
        <v>68</v>
      </c>
      <c r="M53" s="1" t="s">
        <v>58</v>
      </c>
      <c r="N53" s="1" t="s">
        <v>59</v>
      </c>
      <c r="O53" s="1" t="s">
        <v>60</v>
      </c>
      <c r="P53" s="1">
        <v>75</v>
      </c>
      <c r="Q53" s="12">
        <v>265.99</v>
      </c>
      <c r="R53" s="1" t="s">
        <v>61</v>
      </c>
      <c r="S53" s="1" t="s">
        <v>62</v>
      </c>
      <c r="T53" s="6" t="s">
        <v>63</v>
      </c>
      <c r="U53" s="13">
        <v>1.35</v>
      </c>
      <c r="V53" s="12">
        <v>0</v>
      </c>
      <c r="W53" s="12">
        <v>-359.09</v>
      </c>
      <c r="X53" s="1" t="s">
        <v>57</v>
      </c>
    </row>
    <row r="54" spans="1:24" x14ac:dyDescent="0.2">
      <c r="A54" s="1" t="s">
        <v>123</v>
      </c>
      <c r="B54" s="1" t="s">
        <v>47</v>
      </c>
      <c r="C54" s="1" t="s">
        <v>48</v>
      </c>
      <c r="D54" s="1" t="s">
        <v>65</v>
      </c>
      <c r="E54" s="1" t="s">
        <v>242</v>
      </c>
      <c r="F54" s="1" t="s">
        <v>243</v>
      </c>
      <c r="G54" s="1" t="s">
        <v>239</v>
      </c>
      <c r="H54" s="1" t="s">
        <v>192</v>
      </c>
      <c r="I54" s="1" t="s">
        <v>216</v>
      </c>
      <c r="J54" s="1" t="s">
        <v>240</v>
      </c>
      <c r="K54" s="1" t="s">
        <v>241</v>
      </c>
      <c r="L54" s="11">
        <v>68</v>
      </c>
      <c r="M54" s="1" t="s">
        <v>58</v>
      </c>
      <c r="N54" s="1" t="s">
        <v>59</v>
      </c>
      <c r="O54" s="1" t="s">
        <v>60</v>
      </c>
      <c r="P54" s="1">
        <v>75</v>
      </c>
      <c r="Q54" s="12">
        <v>265.99</v>
      </c>
      <c r="R54" s="1" t="s">
        <v>61</v>
      </c>
      <c r="S54" s="1" t="s">
        <v>62</v>
      </c>
      <c r="T54" s="6" t="s">
        <v>63</v>
      </c>
      <c r="U54" s="13">
        <v>1.35</v>
      </c>
      <c r="V54" s="12">
        <v>0</v>
      </c>
      <c r="W54" s="12">
        <v>-359.09</v>
      </c>
      <c r="X54" s="1" t="s">
        <v>57</v>
      </c>
    </row>
    <row r="55" spans="1:24" x14ac:dyDescent="0.2">
      <c r="A55" s="1" t="s">
        <v>123</v>
      </c>
      <c r="B55" s="1" t="s">
        <v>47</v>
      </c>
      <c r="C55" s="1" t="s">
        <v>48</v>
      </c>
      <c r="D55" s="1" t="s">
        <v>65</v>
      </c>
      <c r="E55" s="1" t="s">
        <v>244</v>
      </c>
      <c r="F55" s="1" t="s">
        <v>245</v>
      </c>
      <c r="G55" s="1" t="s">
        <v>226</v>
      </c>
      <c r="H55" s="1" t="s">
        <v>169</v>
      </c>
      <c r="I55" s="1" t="s">
        <v>216</v>
      </c>
      <c r="J55" s="1" t="s">
        <v>246</v>
      </c>
      <c r="K55" s="1" t="s">
        <v>177</v>
      </c>
      <c r="L55" s="11">
        <v>67</v>
      </c>
      <c r="M55" s="1" t="s">
        <v>58</v>
      </c>
      <c r="N55" s="1" t="s">
        <v>59</v>
      </c>
      <c r="O55" s="1" t="s">
        <v>60</v>
      </c>
      <c r="P55" s="1">
        <v>25</v>
      </c>
      <c r="Q55" s="12">
        <v>75.55</v>
      </c>
      <c r="R55" s="1" t="s">
        <v>61</v>
      </c>
      <c r="S55" s="1" t="s">
        <v>62</v>
      </c>
      <c r="T55" s="6" t="s">
        <v>63</v>
      </c>
      <c r="U55" s="13">
        <v>0.67500000000000004</v>
      </c>
      <c r="V55" s="12">
        <v>0</v>
      </c>
      <c r="W55" s="12">
        <v>-51</v>
      </c>
      <c r="X55" s="1" t="s">
        <v>57</v>
      </c>
    </row>
    <row r="56" spans="1:24" x14ac:dyDescent="0.2">
      <c r="A56" s="1" t="s">
        <v>123</v>
      </c>
      <c r="B56" s="1" t="s">
        <v>47</v>
      </c>
      <c r="C56" s="1" t="s">
        <v>48</v>
      </c>
      <c r="D56" s="1" t="s">
        <v>65</v>
      </c>
      <c r="E56" s="1" t="s">
        <v>247</v>
      </c>
      <c r="F56" s="1" t="s">
        <v>248</v>
      </c>
      <c r="G56" s="1" t="s">
        <v>52</v>
      </c>
      <c r="H56" s="1" t="s">
        <v>169</v>
      </c>
      <c r="I56" s="1" t="s">
        <v>199</v>
      </c>
      <c r="J56" s="1" t="s">
        <v>249</v>
      </c>
      <c r="K56" s="1" t="s">
        <v>177</v>
      </c>
      <c r="L56" s="11">
        <v>57</v>
      </c>
      <c r="M56" s="1" t="s">
        <v>58</v>
      </c>
      <c r="N56" s="1" t="s">
        <v>59</v>
      </c>
      <c r="O56" s="1" t="s">
        <v>60</v>
      </c>
      <c r="P56" s="1">
        <v>250</v>
      </c>
      <c r="Q56" s="12">
        <v>278.35000000000002</v>
      </c>
      <c r="R56" s="1" t="s">
        <v>61</v>
      </c>
      <c r="S56" s="1" t="s">
        <v>62</v>
      </c>
      <c r="T56" s="6" t="s">
        <v>63</v>
      </c>
      <c r="U56" s="13">
        <v>1.5</v>
      </c>
      <c r="V56" s="12">
        <v>417.53</v>
      </c>
      <c r="W56" s="12">
        <v>0</v>
      </c>
      <c r="X56" s="1" t="s">
        <v>57</v>
      </c>
    </row>
    <row r="57" spans="1:24" x14ac:dyDescent="0.2">
      <c r="A57" s="1" t="s">
        <v>123</v>
      </c>
      <c r="B57" s="1" t="s">
        <v>47</v>
      </c>
      <c r="C57" s="1" t="s">
        <v>48</v>
      </c>
      <c r="D57" s="1" t="s">
        <v>65</v>
      </c>
      <c r="E57" s="1" t="s">
        <v>250</v>
      </c>
      <c r="F57" s="1" t="s">
        <v>251</v>
      </c>
      <c r="G57" s="1" t="s">
        <v>226</v>
      </c>
      <c r="H57" s="1" t="s">
        <v>169</v>
      </c>
      <c r="I57" s="1" t="s">
        <v>199</v>
      </c>
      <c r="J57" s="1" t="s">
        <v>252</v>
      </c>
      <c r="K57" s="1" t="s">
        <v>177</v>
      </c>
      <c r="L57" s="11">
        <v>64</v>
      </c>
      <c r="M57" s="1" t="s">
        <v>58</v>
      </c>
      <c r="N57" s="1" t="s">
        <v>59</v>
      </c>
      <c r="O57" s="1" t="s">
        <v>60</v>
      </c>
      <c r="P57" s="1">
        <v>125</v>
      </c>
      <c r="Q57" s="12">
        <v>251.31</v>
      </c>
      <c r="R57" s="1" t="s">
        <v>61</v>
      </c>
      <c r="S57" s="1" t="s">
        <v>62</v>
      </c>
      <c r="T57" s="6" t="s">
        <v>63</v>
      </c>
      <c r="U57" s="13">
        <v>1.5</v>
      </c>
      <c r="V57" s="12">
        <v>376.97</v>
      </c>
      <c r="W57" s="12">
        <v>0</v>
      </c>
      <c r="X57" s="1" t="s">
        <v>57</v>
      </c>
    </row>
    <row r="58" spans="1:24" x14ac:dyDescent="0.2">
      <c r="A58" s="1" t="s">
        <v>123</v>
      </c>
      <c r="B58" s="1" t="s">
        <v>47</v>
      </c>
      <c r="C58" s="1" t="s">
        <v>48</v>
      </c>
      <c r="D58" s="1" t="s">
        <v>65</v>
      </c>
      <c r="E58" s="1" t="s">
        <v>253</v>
      </c>
      <c r="F58" s="1" t="s">
        <v>254</v>
      </c>
      <c r="G58" s="1" t="s">
        <v>226</v>
      </c>
      <c r="H58" s="1" t="s">
        <v>192</v>
      </c>
      <c r="I58" s="1" t="s">
        <v>57</v>
      </c>
      <c r="J58" s="1" t="s">
        <v>255</v>
      </c>
      <c r="K58" s="1" t="s">
        <v>256</v>
      </c>
      <c r="L58" s="11">
        <v>0</v>
      </c>
      <c r="M58" s="1" t="s">
        <v>58</v>
      </c>
      <c r="N58" s="1" t="s">
        <v>59</v>
      </c>
      <c r="O58" s="1" t="s">
        <v>60</v>
      </c>
      <c r="P58" s="1">
        <v>0</v>
      </c>
      <c r="Q58" s="12">
        <v>0</v>
      </c>
      <c r="R58" s="1" t="s">
        <v>61</v>
      </c>
      <c r="S58" s="1" t="s">
        <v>257</v>
      </c>
      <c r="T58" s="6" t="s">
        <v>63</v>
      </c>
      <c r="U58" s="13">
        <v>0</v>
      </c>
      <c r="V58" s="12">
        <v>-681.04</v>
      </c>
      <c r="W58" s="12">
        <v>-681.04</v>
      </c>
      <c r="X58" s="1" t="s">
        <v>57</v>
      </c>
    </row>
    <row r="59" spans="1:24" x14ac:dyDescent="0.2">
      <c r="A59" s="1" t="s">
        <v>123</v>
      </c>
      <c r="B59" s="1" t="s">
        <v>47</v>
      </c>
      <c r="C59" s="1" t="s">
        <v>48</v>
      </c>
      <c r="D59" s="1" t="s">
        <v>65</v>
      </c>
      <c r="E59" s="1" t="s">
        <v>253</v>
      </c>
      <c r="F59" s="1" t="s">
        <v>254</v>
      </c>
      <c r="G59" s="1" t="s">
        <v>226</v>
      </c>
      <c r="H59" s="1" t="s">
        <v>192</v>
      </c>
      <c r="I59" s="1" t="s">
        <v>216</v>
      </c>
      <c r="J59" s="1" t="s">
        <v>255</v>
      </c>
      <c r="K59" s="1" t="s">
        <v>256</v>
      </c>
      <c r="L59" s="11">
        <v>65</v>
      </c>
      <c r="M59" s="1" t="s">
        <v>58</v>
      </c>
      <c r="N59" s="1" t="s">
        <v>59</v>
      </c>
      <c r="O59" s="1" t="s">
        <v>60</v>
      </c>
      <c r="P59" s="1">
        <v>25</v>
      </c>
      <c r="Q59" s="12">
        <v>0</v>
      </c>
      <c r="R59" s="1" t="s">
        <v>61</v>
      </c>
      <c r="S59" s="1" t="s">
        <v>258</v>
      </c>
      <c r="T59" s="6" t="s">
        <v>63</v>
      </c>
      <c r="U59" s="13">
        <v>0</v>
      </c>
      <c r="V59" s="12">
        <v>-340.53</v>
      </c>
      <c r="W59" s="12">
        <v>0</v>
      </c>
      <c r="X59" s="1" t="s">
        <v>57</v>
      </c>
    </row>
    <row r="60" spans="1:24" x14ac:dyDescent="0.2">
      <c r="A60" s="1" t="s">
        <v>123</v>
      </c>
      <c r="B60" s="1" t="s">
        <v>47</v>
      </c>
      <c r="C60" s="1" t="s">
        <v>48</v>
      </c>
      <c r="D60" s="1" t="s">
        <v>65</v>
      </c>
      <c r="E60" s="1" t="s">
        <v>259</v>
      </c>
      <c r="F60" s="1" t="s">
        <v>260</v>
      </c>
      <c r="G60" s="1" t="s">
        <v>127</v>
      </c>
      <c r="H60" s="1" t="s">
        <v>169</v>
      </c>
      <c r="I60" s="1" t="s">
        <v>216</v>
      </c>
      <c r="J60" s="1" t="s">
        <v>252</v>
      </c>
      <c r="K60" s="1" t="s">
        <v>177</v>
      </c>
      <c r="L60" s="11">
        <v>63</v>
      </c>
      <c r="M60" s="1" t="s">
        <v>58</v>
      </c>
      <c r="N60" s="1" t="s">
        <v>59</v>
      </c>
      <c r="O60" s="1" t="s">
        <v>60</v>
      </c>
      <c r="P60" s="1">
        <v>82</v>
      </c>
      <c r="Q60" s="12">
        <v>180.35</v>
      </c>
      <c r="R60" s="1" t="s">
        <v>61</v>
      </c>
      <c r="S60" s="1" t="s">
        <v>62</v>
      </c>
      <c r="T60" s="6" t="s">
        <v>63</v>
      </c>
      <c r="U60" s="13">
        <v>0.67500000000000004</v>
      </c>
      <c r="V60" s="12">
        <v>0</v>
      </c>
      <c r="W60" s="12">
        <v>-121.74</v>
      </c>
      <c r="X60" s="1" t="s">
        <v>57</v>
      </c>
    </row>
    <row r="61" spans="1:24" x14ac:dyDescent="0.2">
      <c r="A61" s="1" t="s">
        <v>123</v>
      </c>
      <c r="B61" s="1" t="s">
        <v>47</v>
      </c>
      <c r="C61" s="1" t="s">
        <v>48</v>
      </c>
      <c r="D61" s="1" t="s">
        <v>261</v>
      </c>
      <c r="E61" s="1" t="s">
        <v>262</v>
      </c>
      <c r="F61" s="1" t="s">
        <v>263</v>
      </c>
      <c r="G61" s="1" t="s">
        <v>239</v>
      </c>
      <c r="H61" s="1" t="s">
        <v>192</v>
      </c>
      <c r="I61" s="1" t="s">
        <v>57</v>
      </c>
      <c r="J61" s="1" t="s">
        <v>264</v>
      </c>
      <c r="K61" s="1" t="s">
        <v>256</v>
      </c>
      <c r="L61" s="11">
        <v>0</v>
      </c>
      <c r="M61" s="1" t="s">
        <v>58</v>
      </c>
      <c r="N61" s="1" t="s">
        <v>59</v>
      </c>
      <c r="O61" s="1" t="s">
        <v>60</v>
      </c>
      <c r="P61" s="1">
        <v>0</v>
      </c>
      <c r="Q61" s="12">
        <v>0</v>
      </c>
      <c r="R61" s="1" t="s">
        <v>61</v>
      </c>
      <c r="S61" s="1" t="s">
        <v>257</v>
      </c>
      <c r="T61" s="6" t="s">
        <v>63</v>
      </c>
      <c r="U61" s="13">
        <v>0</v>
      </c>
      <c r="V61" s="12">
        <v>-1459.19</v>
      </c>
      <c r="W61" s="12">
        <v>-1459.19</v>
      </c>
      <c r="X61" s="1" t="s">
        <v>57</v>
      </c>
    </row>
    <row r="62" spans="1:24" x14ac:dyDescent="0.2">
      <c r="A62" s="1" t="s">
        <v>123</v>
      </c>
      <c r="B62" s="1" t="s">
        <v>47</v>
      </c>
      <c r="C62" s="1" t="s">
        <v>48</v>
      </c>
      <c r="D62" s="1" t="s">
        <v>261</v>
      </c>
      <c r="E62" s="1" t="s">
        <v>262</v>
      </c>
      <c r="F62" s="1" t="s">
        <v>263</v>
      </c>
      <c r="G62" s="1" t="s">
        <v>239</v>
      </c>
      <c r="H62" s="1" t="s">
        <v>192</v>
      </c>
      <c r="I62" s="1" t="s">
        <v>216</v>
      </c>
      <c r="J62" s="1" t="s">
        <v>264</v>
      </c>
      <c r="K62" s="1" t="s">
        <v>256</v>
      </c>
      <c r="L62" s="11">
        <v>39</v>
      </c>
      <c r="M62" s="1" t="s">
        <v>58</v>
      </c>
      <c r="N62" s="1" t="s">
        <v>59</v>
      </c>
      <c r="O62" s="1" t="s">
        <v>60</v>
      </c>
      <c r="P62" s="1">
        <v>250</v>
      </c>
      <c r="Q62" s="12">
        <v>0</v>
      </c>
      <c r="R62" s="1" t="s">
        <v>61</v>
      </c>
      <c r="S62" s="1" t="s">
        <v>258</v>
      </c>
      <c r="T62" s="6" t="s">
        <v>63</v>
      </c>
      <c r="U62" s="13">
        <v>0</v>
      </c>
      <c r="V62" s="12">
        <v>-182.4</v>
      </c>
      <c r="W62" s="12">
        <v>0</v>
      </c>
      <c r="X62" s="1" t="s">
        <v>57</v>
      </c>
    </row>
    <row r="63" spans="1:24" x14ac:dyDescent="0.2">
      <c r="A63" s="1" t="s">
        <v>123</v>
      </c>
      <c r="B63" s="1" t="s">
        <v>47</v>
      </c>
      <c r="C63" s="1" t="s">
        <v>48</v>
      </c>
      <c r="D63" s="1" t="s">
        <v>180</v>
      </c>
      <c r="E63" s="1" t="s">
        <v>265</v>
      </c>
      <c r="F63" s="1" t="s">
        <v>266</v>
      </c>
      <c r="G63" s="1" t="s">
        <v>52</v>
      </c>
      <c r="H63" s="1" t="s">
        <v>53</v>
      </c>
      <c r="I63" s="1" t="s">
        <v>267</v>
      </c>
      <c r="J63" s="1" t="s">
        <v>268</v>
      </c>
      <c r="K63" s="1" t="s">
        <v>194</v>
      </c>
      <c r="L63" s="11">
        <v>68</v>
      </c>
      <c r="M63" s="1" t="s">
        <v>58</v>
      </c>
      <c r="N63" s="1" t="s">
        <v>59</v>
      </c>
      <c r="O63" s="1" t="s">
        <v>60</v>
      </c>
      <c r="P63" s="1">
        <v>15</v>
      </c>
      <c r="Q63" s="12">
        <v>114.04</v>
      </c>
      <c r="R63" s="1" t="s">
        <v>61</v>
      </c>
      <c r="S63" s="1" t="s">
        <v>62</v>
      </c>
      <c r="T63" s="6" t="s">
        <v>63</v>
      </c>
      <c r="U63" s="13">
        <v>0.875</v>
      </c>
      <c r="V63" s="12">
        <v>0</v>
      </c>
      <c r="W63" s="12">
        <v>-99.79</v>
      </c>
      <c r="X63" s="1" t="s">
        <v>57</v>
      </c>
    </row>
    <row r="64" spans="1:24" x14ac:dyDescent="0.2">
      <c r="A64" s="1" t="s">
        <v>123</v>
      </c>
      <c r="B64" s="1" t="s">
        <v>47</v>
      </c>
      <c r="C64" s="1" t="s">
        <v>48</v>
      </c>
      <c r="D64" s="1" t="s">
        <v>269</v>
      </c>
      <c r="E64" s="1" t="s">
        <v>270</v>
      </c>
      <c r="F64" s="1" t="s">
        <v>271</v>
      </c>
      <c r="G64" s="1" t="s">
        <v>174</v>
      </c>
      <c r="H64" s="1" t="s">
        <v>92</v>
      </c>
      <c r="I64" s="1" t="s">
        <v>216</v>
      </c>
      <c r="J64" s="1" t="s">
        <v>272</v>
      </c>
      <c r="K64" s="1" t="s">
        <v>272</v>
      </c>
      <c r="L64" s="11">
        <v>63</v>
      </c>
      <c r="M64" s="1" t="s">
        <v>58</v>
      </c>
      <c r="N64" s="1" t="s">
        <v>59</v>
      </c>
      <c r="O64" s="1" t="s">
        <v>60</v>
      </c>
      <c r="P64" s="1">
        <v>75</v>
      </c>
      <c r="Q64" s="12">
        <v>1484.55</v>
      </c>
      <c r="R64" s="1" t="s">
        <v>61</v>
      </c>
      <c r="S64" s="1" t="s">
        <v>218</v>
      </c>
      <c r="T64" s="6" t="s">
        <v>63</v>
      </c>
      <c r="U64" s="13">
        <v>0.67500000000000004</v>
      </c>
      <c r="V64" s="12">
        <v>1002.07</v>
      </c>
      <c r="W64" s="12">
        <v>1002.07</v>
      </c>
      <c r="X64" s="1" t="s">
        <v>57</v>
      </c>
    </row>
    <row r="65" spans="1:24" x14ac:dyDescent="0.2">
      <c r="A65" s="1" t="s">
        <v>123</v>
      </c>
      <c r="B65" s="1" t="s">
        <v>47</v>
      </c>
      <c r="C65" s="1" t="s">
        <v>48</v>
      </c>
      <c r="D65" s="1" t="s">
        <v>269</v>
      </c>
      <c r="E65" s="1" t="s">
        <v>273</v>
      </c>
      <c r="F65" s="1" t="s">
        <v>274</v>
      </c>
      <c r="G65" s="1" t="s">
        <v>174</v>
      </c>
      <c r="H65" s="1" t="s">
        <v>92</v>
      </c>
      <c r="I65" s="1" t="s">
        <v>216</v>
      </c>
      <c r="J65" s="1" t="s">
        <v>194</v>
      </c>
      <c r="K65" s="1" t="s">
        <v>194</v>
      </c>
      <c r="L65" s="11">
        <v>62</v>
      </c>
      <c r="M65" s="1" t="s">
        <v>58</v>
      </c>
      <c r="N65" s="1" t="s">
        <v>59</v>
      </c>
      <c r="O65" s="1" t="s">
        <v>60</v>
      </c>
      <c r="P65" s="1">
        <v>30</v>
      </c>
      <c r="Q65" s="12">
        <v>776.52</v>
      </c>
      <c r="R65" s="1" t="s">
        <v>61</v>
      </c>
      <c r="S65" s="1" t="s">
        <v>218</v>
      </c>
      <c r="T65" s="6" t="s">
        <v>63</v>
      </c>
      <c r="U65" s="13">
        <v>0.67500000000000004</v>
      </c>
      <c r="V65" s="12">
        <v>524.15</v>
      </c>
      <c r="W65" s="12">
        <v>524.15</v>
      </c>
      <c r="X65" s="1" t="s">
        <v>57</v>
      </c>
    </row>
    <row r="66" spans="1:24" x14ac:dyDescent="0.2">
      <c r="A66" s="1" t="s">
        <v>123</v>
      </c>
      <c r="B66" s="1" t="s">
        <v>47</v>
      </c>
      <c r="C66" s="1" t="s">
        <v>48</v>
      </c>
      <c r="D66" s="1" t="s">
        <v>269</v>
      </c>
      <c r="E66" s="1" t="s">
        <v>275</v>
      </c>
      <c r="F66" s="1" t="s">
        <v>276</v>
      </c>
      <c r="G66" s="1" t="s">
        <v>174</v>
      </c>
      <c r="H66" s="1" t="s">
        <v>169</v>
      </c>
      <c r="I66" s="1" t="s">
        <v>277</v>
      </c>
      <c r="J66" s="1" t="s">
        <v>87</v>
      </c>
      <c r="K66" s="1" t="s">
        <v>56</v>
      </c>
      <c r="L66" s="11">
        <v>6</v>
      </c>
      <c r="M66" s="1" t="s">
        <v>58</v>
      </c>
      <c r="N66" s="1" t="s">
        <v>59</v>
      </c>
      <c r="O66" s="1" t="s">
        <v>60</v>
      </c>
      <c r="P66" s="1">
        <v>50</v>
      </c>
      <c r="Q66" s="12">
        <v>23.17</v>
      </c>
      <c r="R66" s="1" t="s">
        <v>61</v>
      </c>
      <c r="S66" s="1" t="s">
        <v>62</v>
      </c>
      <c r="T66" s="6" t="s">
        <v>63</v>
      </c>
      <c r="U66" s="13">
        <v>1.1499999999999999</v>
      </c>
      <c r="V66" s="12">
        <v>0</v>
      </c>
      <c r="W66" s="12">
        <v>-26.65</v>
      </c>
      <c r="X66" s="1" t="s">
        <v>57</v>
      </c>
    </row>
    <row r="67" spans="1:24" x14ac:dyDescent="0.2">
      <c r="A67" s="1" t="s">
        <v>123</v>
      </c>
      <c r="B67" s="1" t="s">
        <v>47</v>
      </c>
      <c r="C67" s="1" t="s">
        <v>48</v>
      </c>
      <c r="D67" s="1" t="s">
        <v>269</v>
      </c>
      <c r="E67" s="1" t="s">
        <v>278</v>
      </c>
      <c r="F67" s="1" t="s">
        <v>279</v>
      </c>
      <c r="G67" s="1" t="s">
        <v>174</v>
      </c>
      <c r="H67" s="1" t="s">
        <v>169</v>
      </c>
      <c r="I67" s="1" t="s">
        <v>277</v>
      </c>
      <c r="J67" s="1" t="s">
        <v>87</v>
      </c>
      <c r="K67" s="1" t="s">
        <v>56</v>
      </c>
      <c r="L67" s="11">
        <v>10</v>
      </c>
      <c r="M67" s="1" t="s">
        <v>58</v>
      </c>
      <c r="N67" s="1" t="s">
        <v>59</v>
      </c>
      <c r="O67" s="1" t="s">
        <v>60</v>
      </c>
      <c r="P67" s="1">
        <v>50</v>
      </c>
      <c r="Q67" s="12">
        <v>26.75</v>
      </c>
      <c r="R67" s="1" t="s">
        <v>61</v>
      </c>
      <c r="S67" s="1" t="s">
        <v>62</v>
      </c>
      <c r="T67" s="6" t="s">
        <v>63</v>
      </c>
      <c r="U67" s="13">
        <v>1.1499999999999999</v>
      </c>
      <c r="V67" s="12">
        <v>0</v>
      </c>
      <c r="W67" s="12">
        <v>-30.76</v>
      </c>
      <c r="X67" s="1" t="s">
        <v>57</v>
      </c>
    </row>
    <row r="68" spans="1:24" x14ac:dyDescent="0.2">
      <c r="A68" s="1" t="s">
        <v>123</v>
      </c>
      <c r="B68" s="1" t="s">
        <v>47</v>
      </c>
      <c r="C68" s="1" t="s">
        <v>48</v>
      </c>
      <c r="D68" s="1" t="s">
        <v>269</v>
      </c>
      <c r="E68" s="1" t="s">
        <v>280</v>
      </c>
      <c r="F68" s="1" t="s">
        <v>281</v>
      </c>
      <c r="G68" s="1" t="s">
        <v>174</v>
      </c>
      <c r="H68" s="1" t="s">
        <v>169</v>
      </c>
      <c r="I68" s="1" t="s">
        <v>277</v>
      </c>
      <c r="J68" s="1" t="s">
        <v>87</v>
      </c>
      <c r="K68" s="1" t="s">
        <v>56</v>
      </c>
      <c r="L68" s="11">
        <v>11</v>
      </c>
      <c r="M68" s="1" t="s">
        <v>58</v>
      </c>
      <c r="N68" s="1" t="s">
        <v>59</v>
      </c>
      <c r="O68" s="1" t="s">
        <v>60</v>
      </c>
      <c r="P68" s="1">
        <v>50</v>
      </c>
      <c r="Q68" s="12">
        <v>26.75</v>
      </c>
      <c r="R68" s="1" t="s">
        <v>61</v>
      </c>
      <c r="S68" s="1" t="s">
        <v>62</v>
      </c>
      <c r="T68" s="6" t="s">
        <v>63</v>
      </c>
      <c r="U68" s="13">
        <v>1.1499999999999999</v>
      </c>
      <c r="V68" s="12">
        <v>0</v>
      </c>
      <c r="W68" s="12">
        <v>-30.76</v>
      </c>
      <c r="X68" s="1" t="s">
        <v>57</v>
      </c>
    </row>
    <row r="69" spans="1:24" x14ac:dyDescent="0.2">
      <c r="A69" s="1" t="s">
        <v>123</v>
      </c>
      <c r="B69" s="1" t="s">
        <v>47</v>
      </c>
      <c r="C69" s="1" t="s">
        <v>48</v>
      </c>
      <c r="D69" s="1" t="s">
        <v>269</v>
      </c>
      <c r="E69" s="1" t="s">
        <v>282</v>
      </c>
      <c r="F69" s="1" t="s">
        <v>283</v>
      </c>
      <c r="G69" s="1" t="s">
        <v>174</v>
      </c>
      <c r="H69" s="1" t="s">
        <v>169</v>
      </c>
      <c r="I69" s="1" t="s">
        <v>216</v>
      </c>
      <c r="J69" s="1" t="s">
        <v>87</v>
      </c>
      <c r="K69" s="1" t="s">
        <v>56</v>
      </c>
      <c r="L69" s="11">
        <v>45</v>
      </c>
      <c r="M69" s="1" t="s">
        <v>58</v>
      </c>
      <c r="N69" s="1" t="s">
        <v>59</v>
      </c>
      <c r="O69" s="1" t="s">
        <v>60</v>
      </c>
      <c r="P69" s="1">
        <v>100</v>
      </c>
      <c r="Q69" s="12">
        <v>90.16</v>
      </c>
      <c r="R69" s="1" t="s">
        <v>61</v>
      </c>
      <c r="S69" s="1" t="s">
        <v>62</v>
      </c>
      <c r="T69" s="6" t="s">
        <v>63</v>
      </c>
      <c r="U69" s="13">
        <v>1.35</v>
      </c>
      <c r="V69" s="12">
        <v>0</v>
      </c>
      <c r="W69" s="12">
        <v>-121.72</v>
      </c>
      <c r="X69" s="1" t="s">
        <v>57</v>
      </c>
    </row>
    <row r="70" spans="1:24" x14ac:dyDescent="0.2">
      <c r="A70" s="1" t="s">
        <v>123</v>
      </c>
      <c r="B70" s="1" t="s">
        <v>47</v>
      </c>
      <c r="C70" s="1" t="s">
        <v>48</v>
      </c>
      <c r="D70" s="1" t="s">
        <v>180</v>
      </c>
      <c r="E70" s="1" t="s">
        <v>284</v>
      </c>
      <c r="F70" s="1" t="s">
        <v>285</v>
      </c>
      <c r="G70" s="1" t="s">
        <v>52</v>
      </c>
      <c r="H70" s="1" t="s">
        <v>92</v>
      </c>
      <c r="I70" s="1" t="s">
        <v>286</v>
      </c>
      <c r="J70" s="1" t="s">
        <v>53</v>
      </c>
      <c r="K70" s="1" t="s">
        <v>177</v>
      </c>
      <c r="L70" s="11">
        <v>43</v>
      </c>
      <c r="M70" s="1" t="s">
        <v>58</v>
      </c>
      <c r="N70" s="1" t="s">
        <v>59</v>
      </c>
      <c r="O70" s="1" t="s">
        <v>60</v>
      </c>
      <c r="P70" s="1">
        <v>100</v>
      </c>
      <c r="Q70" s="12">
        <v>58.74</v>
      </c>
      <c r="R70" s="1" t="s">
        <v>61</v>
      </c>
      <c r="S70" s="1" t="s">
        <v>222</v>
      </c>
      <c r="T70" s="6" t="s">
        <v>63</v>
      </c>
      <c r="U70" s="13">
        <v>1.5</v>
      </c>
      <c r="V70" s="12">
        <v>0</v>
      </c>
      <c r="W70" s="12">
        <v>-88.11</v>
      </c>
      <c r="X70" s="1" t="s">
        <v>57</v>
      </c>
    </row>
    <row r="71" spans="1:24" x14ac:dyDescent="0.2">
      <c r="A71" s="1" t="s">
        <v>123</v>
      </c>
      <c r="B71" s="1" t="s">
        <v>47</v>
      </c>
      <c r="C71" s="1" t="s">
        <v>48</v>
      </c>
      <c r="D71" s="1" t="s">
        <v>180</v>
      </c>
      <c r="E71" s="1" t="s">
        <v>284</v>
      </c>
      <c r="F71" s="1" t="s">
        <v>285</v>
      </c>
      <c r="G71" s="1" t="s">
        <v>52</v>
      </c>
      <c r="H71" s="1" t="s">
        <v>53</v>
      </c>
      <c r="I71" s="1" t="s">
        <v>286</v>
      </c>
      <c r="J71" s="1" t="s">
        <v>53</v>
      </c>
      <c r="K71" s="1" t="s">
        <v>177</v>
      </c>
      <c r="L71" s="11">
        <v>43</v>
      </c>
      <c r="M71" s="1" t="s">
        <v>58</v>
      </c>
      <c r="N71" s="1" t="s">
        <v>59</v>
      </c>
      <c r="O71" s="1" t="s">
        <v>60</v>
      </c>
      <c r="P71" s="1">
        <v>100</v>
      </c>
      <c r="Q71" s="12">
        <v>528.66</v>
      </c>
      <c r="R71" s="1" t="s">
        <v>61</v>
      </c>
      <c r="S71" s="1" t="s">
        <v>213</v>
      </c>
      <c r="T71" s="6" t="s">
        <v>63</v>
      </c>
      <c r="U71" s="13">
        <v>1.5</v>
      </c>
      <c r="V71" s="12">
        <v>792.99</v>
      </c>
      <c r="W71" s="12">
        <v>792.99</v>
      </c>
      <c r="X71" s="1" t="s">
        <v>57</v>
      </c>
    </row>
    <row r="72" spans="1:24" x14ac:dyDescent="0.2">
      <c r="A72" s="1" t="s">
        <v>123</v>
      </c>
      <c r="B72" s="1" t="s">
        <v>47</v>
      </c>
      <c r="C72" s="1" t="s">
        <v>48</v>
      </c>
      <c r="D72" s="1" t="s">
        <v>180</v>
      </c>
      <c r="E72" s="1" t="s">
        <v>287</v>
      </c>
      <c r="F72" s="1" t="s">
        <v>288</v>
      </c>
      <c r="G72" s="1" t="s">
        <v>52</v>
      </c>
      <c r="H72" s="1" t="s">
        <v>53</v>
      </c>
      <c r="I72" s="1" t="s">
        <v>267</v>
      </c>
      <c r="J72" s="1" t="s">
        <v>289</v>
      </c>
      <c r="K72" s="1" t="s">
        <v>116</v>
      </c>
      <c r="L72" s="11">
        <v>71</v>
      </c>
      <c r="M72" s="1" t="s">
        <v>58</v>
      </c>
      <c r="N72" s="1" t="s">
        <v>59</v>
      </c>
      <c r="O72" s="1" t="s">
        <v>60</v>
      </c>
      <c r="P72" s="1">
        <v>12</v>
      </c>
      <c r="Q72" s="12">
        <v>80.739999999999995</v>
      </c>
      <c r="R72" s="1" t="s">
        <v>61</v>
      </c>
      <c r="S72" s="1" t="s">
        <v>62</v>
      </c>
      <c r="T72" s="6" t="s">
        <v>63</v>
      </c>
      <c r="U72" s="13">
        <v>0.875</v>
      </c>
      <c r="V72" s="12">
        <v>0</v>
      </c>
      <c r="W72" s="12">
        <v>-70.650000000000006</v>
      </c>
      <c r="X72" s="1" t="s">
        <v>57</v>
      </c>
    </row>
    <row r="73" spans="1:24" x14ac:dyDescent="0.2">
      <c r="A73" s="1" t="s">
        <v>123</v>
      </c>
      <c r="B73" s="1" t="s">
        <v>47</v>
      </c>
      <c r="C73" s="1" t="s">
        <v>48</v>
      </c>
      <c r="D73" s="1" t="s">
        <v>149</v>
      </c>
      <c r="E73" s="1" t="s">
        <v>290</v>
      </c>
      <c r="F73" s="1" t="s">
        <v>291</v>
      </c>
      <c r="G73" s="1" t="s">
        <v>127</v>
      </c>
      <c r="H73" s="1" t="s">
        <v>169</v>
      </c>
      <c r="I73" s="1" t="s">
        <v>175</v>
      </c>
      <c r="J73" s="1" t="s">
        <v>292</v>
      </c>
      <c r="K73" s="1" t="s">
        <v>293</v>
      </c>
      <c r="L73" s="11">
        <v>65</v>
      </c>
      <c r="M73" s="1" t="s">
        <v>58</v>
      </c>
      <c r="N73" s="1" t="s">
        <v>59</v>
      </c>
      <c r="O73" s="1" t="s">
        <v>60</v>
      </c>
      <c r="P73" s="1">
        <v>20</v>
      </c>
      <c r="Q73" s="12">
        <v>109.75</v>
      </c>
      <c r="R73" s="1" t="s">
        <v>101</v>
      </c>
      <c r="S73" s="1" t="s">
        <v>102</v>
      </c>
      <c r="T73" s="6" t="s">
        <v>63</v>
      </c>
      <c r="U73" s="13">
        <v>7.0000000000000007E-2</v>
      </c>
      <c r="V73" s="12">
        <v>7.68</v>
      </c>
      <c r="W73" s="12">
        <v>0</v>
      </c>
      <c r="X73" s="1" t="s">
        <v>57</v>
      </c>
    </row>
    <row r="74" spans="1:24" x14ac:dyDescent="0.2">
      <c r="A74" s="1" t="s">
        <v>123</v>
      </c>
      <c r="B74" s="1" t="s">
        <v>47</v>
      </c>
      <c r="C74" s="1" t="s">
        <v>48</v>
      </c>
      <c r="D74" s="1" t="s">
        <v>153</v>
      </c>
      <c r="E74" s="1" t="s">
        <v>294</v>
      </c>
      <c r="F74" s="1" t="s">
        <v>295</v>
      </c>
      <c r="G74" s="1" t="s">
        <v>127</v>
      </c>
      <c r="H74" s="1" t="s">
        <v>92</v>
      </c>
      <c r="I74" s="1" t="s">
        <v>296</v>
      </c>
      <c r="J74" s="1" t="s">
        <v>92</v>
      </c>
      <c r="K74" s="1" t="s">
        <v>92</v>
      </c>
      <c r="L74" s="11">
        <v>36</v>
      </c>
      <c r="M74" s="1" t="s">
        <v>58</v>
      </c>
      <c r="N74" s="1" t="s">
        <v>59</v>
      </c>
      <c r="O74" s="1" t="s">
        <v>60</v>
      </c>
      <c r="P74" s="1">
        <v>500</v>
      </c>
      <c r="Q74" s="12">
        <v>348.3</v>
      </c>
      <c r="R74" s="1" t="s">
        <v>61</v>
      </c>
      <c r="S74" s="1" t="s">
        <v>213</v>
      </c>
      <c r="T74" s="6" t="s">
        <v>63</v>
      </c>
      <c r="U74" s="13">
        <v>1.26</v>
      </c>
      <c r="V74" s="12">
        <v>438.84</v>
      </c>
      <c r="W74" s="12">
        <v>438.84</v>
      </c>
      <c r="X74" s="1" t="s">
        <v>57</v>
      </c>
    </row>
    <row r="75" spans="1:24" x14ac:dyDescent="0.2">
      <c r="A75" s="1" t="s">
        <v>123</v>
      </c>
      <c r="B75" s="1" t="s">
        <v>47</v>
      </c>
      <c r="C75" s="1" t="s">
        <v>48</v>
      </c>
      <c r="D75" s="1" t="s">
        <v>297</v>
      </c>
      <c r="E75" s="1" t="s">
        <v>298</v>
      </c>
      <c r="F75" s="1" t="s">
        <v>299</v>
      </c>
      <c r="G75" s="1" t="s">
        <v>52</v>
      </c>
      <c r="H75" s="1" t="s">
        <v>92</v>
      </c>
      <c r="I75" s="1" t="s">
        <v>216</v>
      </c>
      <c r="J75" s="1" t="s">
        <v>300</v>
      </c>
      <c r="K75" s="1" t="s">
        <v>301</v>
      </c>
      <c r="L75" s="11">
        <v>68</v>
      </c>
      <c r="M75" s="1" t="s">
        <v>58</v>
      </c>
      <c r="N75" s="1" t="s">
        <v>59</v>
      </c>
      <c r="O75" s="1" t="s">
        <v>60</v>
      </c>
      <c r="P75" s="1">
        <v>50</v>
      </c>
      <c r="Q75" s="12">
        <v>153.93</v>
      </c>
      <c r="R75" s="1" t="s">
        <v>61</v>
      </c>
      <c r="S75" s="1" t="s">
        <v>62</v>
      </c>
      <c r="T75" s="6" t="s">
        <v>63</v>
      </c>
      <c r="U75" s="13">
        <v>1.35</v>
      </c>
      <c r="V75" s="12">
        <v>0</v>
      </c>
      <c r="W75" s="12">
        <v>-207.81</v>
      </c>
      <c r="X75" s="1" t="s">
        <v>57</v>
      </c>
    </row>
    <row r="76" spans="1:24" x14ac:dyDescent="0.2">
      <c r="A76" s="1" t="s">
        <v>123</v>
      </c>
      <c r="B76" s="1" t="s">
        <v>47</v>
      </c>
      <c r="C76" s="1" t="s">
        <v>48</v>
      </c>
      <c r="D76" s="1" t="s">
        <v>302</v>
      </c>
      <c r="E76" s="1" t="s">
        <v>303</v>
      </c>
      <c r="F76" s="1" t="s">
        <v>304</v>
      </c>
      <c r="G76" s="1" t="s">
        <v>52</v>
      </c>
      <c r="H76" s="1" t="s">
        <v>169</v>
      </c>
      <c r="I76" s="1" t="s">
        <v>286</v>
      </c>
      <c r="J76" s="1" t="s">
        <v>305</v>
      </c>
      <c r="K76" s="1" t="s">
        <v>177</v>
      </c>
      <c r="L76" s="11">
        <v>30</v>
      </c>
      <c r="M76" s="1" t="s">
        <v>58</v>
      </c>
      <c r="N76" s="1" t="s">
        <v>59</v>
      </c>
      <c r="O76" s="1" t="s">
        <v>60</v>
      </c>
      <c r="P76" s="1">
        <v>300</v>
      </c>
      <c r="Q76" s="12">
        <v>67.819999999999993</v>
      </c>
      <c r="R76" s="1" t="s">
        <v>61</v>
      </c>
      <c r="S76" s="1" t="s">
        <v>62</v>
      </c>
      <c r="T76" s="6" t="s">
        <v>63</v>
      </c>
      <c r="U76" s="13">
        <v>1.5</v>
      </c>
      <c r="V76" s="12">
        <v>0</v>
      </c>
      <c r="W76" s="12">
        <v>-101.73</v>
      </c>
      <c r="X76" s="1" t="s">
        <v>57</v>
      </c>
    </row>
    <row r="77" spans="1:24" x14ac:dyDescent="0.2">
      <c r="A77" s="1" t="s">
        <v>123</v>
      </c>
      <c r="B77" s="1" t="s">
        <v>47</v>
      </c>
      <c r="C77" s="1" t="s">
        <v>48</v>
      </c>
      <c r="D77" s="1" t="s">
        <v>302</v>
      </c>
      <c r="E77" s="1" t="s">
        <v>306</v>
      </c>
      <c r="F77" s="1" t="s">
        <v>307</v>
      </c>
      <c r="G77" s="1" t="s">
        <v>308</v>
      </c>
      <c r="H77" s="1" t="s">
        <v>192</v>
      </c>
      <c r="I77" s="1" t="s">
        <v>199</v>
      </c>
      <c r="J77" s="1" t="s">
        <v>76</v>
      </c>
      <c r="K77" s="1" t="s">
        <v>309</v>
      </c>
      <c r="L77" s="11">
        <v>57</v>
      </c>
      <c r="M77" s="1" t="s">
        <v>58</v>
      </c>
      <c r="N77" s="1" t="s">
        <v>59</v>
      </c>
      <c r="O77" s="1" t="s">
        <v>60</v>
      </c>
      <c r="P77" s="1">
        <v>200</v>
      </c>
      <c r="Q77" s="12">
        <v>210.04</v>
      </c>
      <c r="R77" s="1" t="s">
        <v>61</v>
      </c>
      <c r="S77" s="1" t="s">
        <v>62</v>
      </c>
      <c r="T77" s="6" t="s">
        <v>63</v>
      </c>
      <c r="U77" s="13">
        <v>1.5</v>
      </c>
      <c r="V77" s="12">
        <v>0</v>
      </c>
      <c r="W77" s="12">
        <v>-315.06</v>
      </c>
      <c r="X77" s="1" t="s">
        <v>57</v>
      </c>
    </row>
    <row r="78" spans="1:24" x14ac:dyDescent="0.2">
      <c r="A78" s="1" t="s">
        <v>123</v>
      </c>
      <c r="B78" s="1" t="s">
        <v>47</v>
      </c>
      <c r="C78" s="1" t="s">
        <v>48</v>
      </c>
      <c r="D78" s="1" t="s">
        <v>310</v>
      </c>
      <c r="E78" s="1" t="s">
        <v>311</v>
      </c>
      <c r="F78" s="1" t="s">
        <v>312</v>
      </c>
      <c r="G78" s="1" t="s">
        <v>313</v>
      </c>
      <c r="H78" s="1" t="s">
        <v>169</v>
      </c>
      <c r="I78" s="1" t="s">
        <v>216</v>
      </c>
      <c r="J78" s="1" t="s">
        <v>221</v>
      </c>
      <c r="K78" s="1" t="s">
        <v>56</v>
      </c>
      <c r="L78" s="11">
        <v>67</v>
      </c>
      <c r="M78" s="1" t="s">
        <v>58</v>
      </c>
      <c r="N78" s="1" t="s">
        <v>59</v>
      </c>
      <c r="O78" s="1" t="s">
        <v>60</v>
      </c>
      <c r="P78" s="1">
        <v>30</v>
      </c>
      <c r="Q78" s="12">
        <v>990.54</v>
      </c>
      <c r="R78" s="1" t="s">
        <v>61</v>
      </c>
      <c r="S78" s="1" t="s">
        <v>314</v>
      </c>
      <c r="T78" s="6" t="s">
        <v>63</v>
      </c>
      <c r="U78" s="13">
        <v>1.35</v>
      </c>
      <c r="V78" s="12">
        <v>1337.23</v>
      </c>
      <c r="W78" s="12">
        <v>1337.23</v>
      </c>
      <c r="X78" s="1" t="s">
        <v>57</v>
      </c>
    </row>
    <row r="79" spans="1:24" x14ac:dyDescent="0.2">
      <c r="A79" s="1" t="s">
        <v>123</v>
      </c>
      <c r="B79" s="1" t="s">
        <v>47</v>
      </c>
      <c r="C79" s="1" t="s">
        <v>48</v>
      </c>
      <c r="D79" s="1" t="s">
        <v>310</v>
      </c>
      <c r="E79" s="1" t="s">
        <v>311</v>
      </c>
      <c r="F79" s="1" t="s">
        <v>312</v>
      </c>
      <c r="G79" s="1" t="s">
        <v>313</v>
      </c>
      <c r="H79" s="1" t="s">
        <v>192</v>
      </c>
      <c r="I79" s="1" t="s">
        <v>216</v>
      </c>
      <c r="J79" s="1" t="s">
        <v>221</v>
      </c>
      <c r="K79" s="1" t="s">
        <v>56</v>
      </c>
      <c r="L79" s="11">
        <v>67</v>
      </c>
      <c r="M79" s="1" t="s">
        <v>58</v>
      </c>
      <c r="N79" s="1" t="s">
        <v>59</v>
      </c>
      <c r="O79" s="1" t="s">
        <v>60</v>
      </c>
      <c r="P79" s="1">
        <v>30</v>
      </c>
      <c r="Q79" s="12">
        <v>-1100.5999999999999</v>
      </c>
      <c r="R79" s="1" t="s">
        <v>61</v>
      </c>
      <c r="S79" s="1" t="s">
        <v>223</v>
      </c>
      <c r="T79" s="6" t="s">
        <v>63</v>
      </c>
      <c r="U79" s="13">
        <v>1.35</v>
      </c>
      <c r="V79" s="12">
        <v>-1337.23</v>
      </c>
      <c r="W79" s="12">
        <v>-1188.6500000000001</v>
      </c>
      <c r="X79" s="1" t="s">
        <v>57</v>
      </c>
    </row>
    <row r="80" spans="1:24" x14ac:dyDescent="0.2">
      <c r="A80" s="1" t="s">
        <v>123</v>
      </c>
      <c r="B80" s="1" t="s">
        <v>47</v>
      </c>
      <c r="C80" s="1" t="s">
        <v>48</v>
      </c>
      <c r="D80" s="1" t="s">
        <v>315</v>
      </c>
      <c r="E80" s="1" t="s">
        <v>316</v>
      </c>
      <c r="F80" s="1" t="s">
        <v>317</v>
      </c>
      <c r="G80" s="1" t="s">
        <v>318</v>
      </c>
      <c r="H80" s="1" t="s">
        <v>169</v>
      </c>
      <c r="I80" s="1" t="s">
        <v>216</v>
      </c>
      <c r="J80" s="1" t="s">
        <v>55</v>
      </c>
      <c r="K80" s="1" t="s">
        <v>56</v>
      </c>
      <c r="L80" s="11">
        <v>32</v>
      </c>
      <c r="M80" s="1" t="s">
        <v>58</v>
      </c>
      <c r="N80" s="1" t="s">
        <v>59</v>
      </c>
      <c r="O80" s="1" t="s">
        <v>60</v>
      </c>
      <c r="P80" s="1">
        <v>150</v>
      </c>
      <c r="Q80" s="12">
        <v>53.84</v>
      </c>
      <c r="R80" s="1" t="s">
        <v>61</v>
      </c>
      <c r="S80" s="1" t="s">
        <v>62</v>
      </c>
      <c r="T80" s="6" t="s">
        <v>63</v>
      </c>
      <c r="U80" s="13">
        <v>1.35</v>
      </c>
      <c r="V80" s="12">
        <v>0</v>
      </c>
      <c r="W80" s="12">
        <v>-72.680000000000007</v>
      </c>
      <c r="X80" s="1" t="s">
        <v>57</v>
      </c>
    </row>
    <row r="81" spans="1:24" x14ac:dyDescent="0.2">
      <c r="A81" s="1" t="s">
        <v>123</v>
      </c>
      <c r="B81" s="1" t="s">
        <v>47</v>
      </c>
      <c r="C81" s="1" t="s">
        <v>48</v>
      </c>
      <c r="D81" s="1" t="s">
        <v>319</v>
      </c>
      <c r="E81" s="1" t="s">
        <v>320</v>
      </c>
      <c r="F81" s="1" t="s">
        <v>321</v>
      </c>
      <c r="G81" s="1" t="s">
        <v>322</v>
      </c>
      <c r="H81" s="1" t="s">
        <v>53</v>
      </c>
      <c r="I81" s="1" t="s">
        <v>323</v>
      </c>
      <c r="J81" s="1" t="s">
        <v>324</v>
      </c>
      <c r="K81" s="1" t="s">
        <v>241</v>
      </c>
      <c r="L81" s="11">
        <v>54</v>
      </c>
      <c r="M81" s="1" t="s">
        <v>58</v>
      </c>
      <c r="N81" s="1" t="s">
        <v>59</v>
      </c>
      <c r="O81" s="1" t="s">
        <v>60</v>
      </c>
      <c r="P81" s="1">
        <v>175</v>
      </c>
      <c r="Q81" s="12">
        <v>89.29</v>
      </c>
      <c r="R81" s="1" t="s">
        <v>61</v>
      </c>
      <c r="S81" s="1" t="s">
        <v>222</v>
      </c>
      <c r="T81" s="6" t="s">
        <v>63</v>
      </c>
      <c r="U81" s="13">
        <v>1.3</v>
      </c>
      <c r="V81" s="12">
        <v>0</v>
      </c>
      <c r="W81" s="12">
        <v>-116.08</v>
      </c>
      <c r="X81" s="1" t="s">
        <v>57</v>
      </c>
    </row>
    <row r="82" spans="1:24" x14ac:dyDescent="0.2">
      <c r="A82" s="1" t="s">
        <v>123</v>
      </c>
      <c r="B82" s="1" t="s">
        <v>47</v>
      </c>
      <c r="C82" s="1" t="s">
        <v>48</v>
      </c>
      <c r="D82" s="1" t="s">
        <v>325</v>
      </c>
      <c r="E82" s="1" t="s">
        <v>326</v>
      </c>
      <c r="F82" s="1" t="s">
        <v>327</v>
      </c>
      <c r="G82" s="1" t="s">
        <v>52</v>
      </c>
      <c r="H82" s="1" t="s">
        <v>169</v>
      </c>
      <c r="I82" s="1" t="s">
        <v>328</v>
      </c>
      <c r="J82" s="1" t="s">
        <v>329</v>
      </c>
      <c r="K82" s="1" t="s">
        <v>330</v>
      </c>
      <c r="L82" s="11">
        <v>34</v>
      </c>
      <c r="M82" s="1" t="s">
        <v>58</v>
      </c>
      <c r="N82" s="1" t="s">
        <v>59</v>
      </c>
      <c r="O82" s="1" t="s">
        <v>60</v>
      </c>
      <c r="P82" s="1">
        <v>300</v>
      </c>
      <c r="Q82" s="12">
        <v>61.94</v>
      </c>
      <c r="R82" s="1" t="s">
        <v>61</v>
      </c>
      <c r="S82" s="1" t="s">
        <v>62</v>
      </c>
      <c r="T82" s="6" t="s">
        <v>63</v>
      </c>
      <c r="U82" s="13">
        <v>1.5</v>
      </c>
      <c r="V82" s="12">
        <v>92.91</v>
      </c>
      <c r="W82" s="12">
        <v>0</v>
      </c>
      <c r="X82" s="1" t="s">
        <v>57</v>
      </c>
    </row>
    <row r="83" spans="1:24" x14ac:dyDescent="0.2">
      <c r="A83" s="1" t="s">
        <v>123</v>
      </c>
      <c r="B83" s="1" t="s">
        <v>47</v>
      </c>
      <c r="C83" s="1" t="s">
        <v>48</v>
      </c>
      <c r="D83" s="1" t="s">
        <v>310</v>
      </c>
      <c r="E83" s="1" t="s">
        <v>331</v>
      </c>
      <c r="F83" s="1" t="s">
        <v>332</v>
      </c>
      <c r="G83" s="1" t="s">
        <v>313</v>
      </c>
      <c r="H83" s="1" t="s">
        <v>169</v>
      </c>
      <c r="I83" s="1" t="s">
        <v>199</v>
      </c>
      <c r="J83" s="1" t="s">
        <v>169</v>
      </c>
      <c r="K83" s="1" t="s">
        <v>201</v>
      </c>
      <c r="L83" s="11">
        <v>52</v>
      </c>
      <c r="M83" s="1" t="s">
        <v>58</v>
      </c>
      <c r="N83" s="1" t="s">
        <v>59</v>
      </c>
      <c r="O83" s="1" t="s">
        <v>60</v>
      </c>
      <c r="P83" s="1">
        <v>200</v>
      </c>
      <c r="Q83" s="12">
        <v>1406.52</v>
      </c>
      <c r="R83" s="1" t="s">
        <v>61</v>
      </c>
      <c r="S83" s="1" t="s">
        <v>213</v>
      </c>
      <c r="T83" s="6" t="s">
        <v>63</v>
      </c>
      <c r="U83" s="13">
        <v>1.5</v>
      </c>
      <c r="V83" s="12">
        <v>2000</v>
      </c>
      <c r="W83" s="12">
        <v>2000</v>
      </c>
      <c r="X83" s="1" t="s">
        <v>57</v>
      </c>
    </row>
    <row r="84" spans="1:24" x14ac:dyDescent="0.2">
      <c r="A84" s="1" t="s">
        <v>123</v>
      </c>
      <c r="B84" s="1" t="s">
        <v>47</v>
      </c>
      <c r="C84" s="1" t="s">
        <v>48</v>
      </c>
      <c r="D84" s="1" t="s">
        <v>195</v>
      </c>
      <c r="E84" s="1" t="s">
        <v>333</v>
      </c>
      <c r="F84" s="1" t="s">
        <v>334</v>
      </c>
      <c r="G84" s="1" t="s">
        <v>226</v>
      </c>
      <c r="H84" s="1" t="s">
        <v>53</v>
      </c>
      <c r="I84" s="1" t="s">
        <v>286</v>
      </c>
      <c r="J84" s="1" t="s">
        <v>335</v>
      </c>
      <c r="K84" s="1" t="s">
        <v>194</v>
      </c>
      <c r="L84" s="11">
        <v>25</v>
      </c>
      <c r="M84" s="1" t="s">
        <v>58</v>
      </c>
      <c r="N84" s="1" t="s">
        <v>59</v>
      </c>
      <c r="O84" s="1" t="s">
        <v>60</v>
      </c>
      <c r="P84" s="1">
        <v>300</v>
      </c>
      <c r="Q84" s="12">
        <v>56.6</v>
      </c>
      <c r="R84" s="1" t="s">
        <v>61</v>
      </c>
      <c r="S84" s="1" t="s">
        <v>62</v>
      </c>
      <c r="T84" s="6" t="s">
        <v>63</v>
      </c>
      <c r="U84" s="13">
        <v>1.5</v>
      </c>
      <c r="V84" s="12">
        <v>0</v>
      </c>
      <c r="W84" s="12">
        <v>-84.9</v>
      </c>
      <c r="X84" s="1" t="s">
        <v>57</v>
      </c>
    </row>
    <row r="85" spans="1:24" x14ac:dyDescent="0.2">
      <c r="A85" s="1" t="s">
        <v>123</v>
      </c>
      <c r="B85" s="1" t="s">
        <v>47</v>
      </c>
      <c r="C85" s="1" t="s">
        <v>48</v>
      </c>
      <c r="D85" s="1" t="s">
        <v>195</v>
      </c>
      <c r="E85" s="1" t="s">
        <v>336</v>
      </c>
      <c r="F85" s="1" t="s">
        <v>337</v>
      </c>
      <c r="G85" s="1" t="s">
        <v>230</v>
      </c>
      <c r="H85" s="1" t="s">
        <v>53</v>
      </c>
      <c r="I85" s="1" t="s">
        <v>199</v>
      </c>
      <c r="J85" s="1" t="s">
        <v>338</v>
      </c>
      <c r="K85" s="1" t="s">
        <v>194</v>
      </c>
      <c r="L85" s="11">
        <v>61</v>
      </c>
      <c r="M85" s="1" t="s">
        <v>58</v>
      </c>
      <c r="N85" s="1" t="s">
        <v>59</v>
      </c>
      <c r="O85" s="1" t="s">
        <v>60</v>
      </c>
      <c r="P85" s="1">
        <v>50</v>
      </c>
      <c r="Q85" s="12">
        <v>76.180000000000007</v>
      </c>
      <c r="R85" s="1" t="s">
        <v>61</v>
      </c>
      <c r="S85" s="1" t="s">
        <v>62</v>
      </c>
      <c r="T85" s="6" t="s">
        <v>63</v>
      </c>
      <c r="U85" s="13">
        <v>1.5</v>
      </c>
      <c r="V85" s="12">
        <v>0</v>
      </c>
      <c r="W85" s="12">
        <v>-114.27</v>
      </c>
      <c r="X85" s="1" t="s">
        <v>57</v>
      </c>
    </row>
    <row r="86" spans="1:24" x14ac:dyDescent="0.2">
      <c r="A86" s="1" t="s">
        <v>123</v>
      </c>
      <c r="B86" s="1" t="s">
        <v>47</v>
      </c>
      <c r="C86" s="1" t="s">
        <v>48</v>
      </c>
      <c r="D86" s="1" t="s">
        <v>310</v>
      </c>
      <c r="E86" s="1" t="s">
        <v>339</v>
      </c>
      <c r="F86" s="1" t="s">
        <v>340</v>
      </c>
      <c r="G86" s="1" t="s">
        <v>313</v>
      </c>
      <c r="H86" s="1" t="s">
        <v>92</v>
      </c>
      <c r="I86" s="1" t="s">
        <v>216</v>
      </c>
      <c r="J86" s="1" t="s">
        <v>53</v>
      </c>
      <c r="K86" s="1" t="s">
        <v>177</v>
      </c>
      <c r="L86" s="11">
        <v>64</v>
      </c>
      <c r="M86" s="1" t="s">
        <v>58</v>
      </c>
      <c r="N86" s="1" t="s">
        <v>59</v>
      </c>
      <c r="O86" s="1" t="s">
        <v>60</v>
      </c>
      <c r="P86" s="1">
        <v>35</v>
      </c>
      <c r="Q86" s="12">
        <v>91.03</v>
      </c>
      <c r="R86" s="1" t="s">
        <v>61</v>
      </c>
      <c r="S86" s="1" t="s">
        <v>222</v>
      </c>
      <c r="T86" s="6" t="s">
        <v>63</v>
      </c>
      <c r="U86" s="13">
        <v>1.35</v>
      </c>
      <c r="V86" s="12">
        <v>0</v>
      </c>
      <c r="W86" s="12">
        <v>-122.89</v>
      </c>
      <c r="X86" s="1" t="s">
        <v>57</v>
      </c>
    </row>
    <row r="87" spans="1:24" x14ac:dyDescent="0.2">
      <c r="A87" s="1" t="s">
        <v>123</v>
      </c>
      <c r="B87" s="1" t="s">
        <v>47</v>
      </c>
      <c r="C87" s="1" t="s">
        <v>48</v>
      </c>
      <c r="D87" s="1" t="s">
        <v>310</v>
      </c>
      <c r="E87" s="1" t="s">
        <v>339</v>
      </c>
      <c r="F87" s="1" t="s">
        <v>340</v>
      </c>
      <c r="G87" s="1" t="s">
        <v>313</v>
      </c>
      <c r="H87" s="1" t="s">
        <v>169</v>
      </c>
      <c r="I87" s="1" t="s">
        <v>216</v>
      </c>
      <c r="J87" s="1" t="s">
        <v>53</v>
      </c>
      <c r="K87" s="1" t="s">
        <v>177</v>
      </c>
      <c r="L87" s="11">
        <v>64</v>
      </c>
      <c r="M87" s="1" t="s">
        <v>58</v>
      </c>
      <c r="N87" s="1" t="s">
        <v>59</v>
      </c>
      <c r="O87" s="1" t="s">
        <v>60</v>
      </c>
      <c r="P87" s="1">
        <v>35</v>
      </c>
      <c r="Q87" s="12">
        <v>819.27</v>
      </c>
      <c r="R87" s="1" t="s">
        <v>61</v>
      </c>
      <c r="S87" s="1" t="s">
        <v>213</v>
      </c>
      <c r="T87" s="6" t="s">
        <v>63</v>
      </c>
      <c r="U87" s="13">
        <v>1.35</v>
      </c>
      <c r="V87" s="12">
        <v>1106.01</v>
      </c>
      <c r="W87" s="12">
        <v>1106.01</v>
      </c>
      <c r="X87" s="1" t="s">
        <v>57</v>
      </c>
    </row>
    <row r="88" spans="1:24" x14ac:dyDescent="0.2">
      <c r="A88" s="1" t="s">
        <v>123</v>
      </c>
      <c r="B88" s="1" t="s">
        <v>47</v>
      </c>
      <c r="C88" s="1" t="s">
        <v>48</v>
      </c>
      <c r="D88" s="1" t="s">
        <v>341</v>
      </c>
      <c r="E88" s="1" t="s">
        <v>342</v>
      </c>
      <c r="F88" s="1" t="s">
        <v>343</v>
      </c>
      <c r="G88" s="1" t="s">
        <v>174</v>
      </c>
      <c r="H88" s="1" t="s">
        <v>92</v>
      </c>
      <c r="I88" s="1" t="s">
        <v>199</v>
      </c>
      <c r="J88" s="1" t="s">
        <v>344</v>
      </c>
      <c r="K88" s="1" t="s">
        <v>301</v>
      </c>
      <c r="L88" s="11">
        <v>61</v>
      </c>
      <c r="M88" s="1" t="s">
        <v>58</v>
      </c>
      <c r="N88" s="1" t="s">
        <v>59</v>
      </c>
      <c r="O88" s="1" t="s">
        <v>60</v>
      </c>
      <c r="P88" s="1">
        <v>50</v>
      </c>
      <c r="Q88" s="12">
        <v>76.180000000000007</v>
      </c>
      <c r="R88" s="1" t="s">
        <v>61</v>
      </c>
      <c r="S88" s="1" t="s">
        <v>62</v>
      </c>
      <c r="T88" s="6" t="s">
        <v>63</v>
      </c>
      <c r="U88" s="13">
        <v>1.5</v>
      </c>
      <c r="V88" s="12">
        <v>114.27</v>
      </c>
      <c r="W88" s="12">
        <v>0</v>
      </c>
      <c r="X88" s="1" t="s">
        <v>57</v>
      </c>
    </row>
    <row r="89" spans="1:24" x14ac:dyDescent="0.2">
      <c r="A89" s="1" t="s">
        <v>123</v>
      </c>
      <c r="B89" s="1" t="s">
        <v>47</v>
      </c>
      <c r="C89" s="1" t="s">
        <v>48</v>
      </c>
      <c r="D89" s="1" t="s">
        <v>180</v>
      </c>
      <c r="E89" s="1" t="s">
        <v>345</v>
      </c>
      <c r="F89" s="1" t="s">
        <v>346</v>
      </c>
      <c r="G89" s="1" t="s">
        <v>52</v>
      </c>
      <c r="H89" s="1" t="s">
        <v>99</v>
      </c>
      <c r="I89" s="1" t="s">
        <v>277</v>
      </c>
      <c r="J89" s="1" t="s">
        <v>347</v>
      </c>
      <c r="K89" s="1" t="s">
        <v>347</v>
      </c>
      <c r="L89" s="11">
        <v>11</v>
      </c>
      <c r="M89" s="1" t="s">
        <v>58</v>
      </c>
      <c r="N89" s="1" t="s">
        <v>59</v>
      </c>
      <c r="O89" s="1" t="s">
        <v>60</v>
      </c>
      <c r="P89" s="1">
        <v>50</v>
      </c>
      <c r="Q89" s="12">
        <v>240.75</v>
      </c>
      <c r="R89" s="1" t="s">
        <v>61</v>
      </c>
      <c r="S89" s="1" t="s">
        <v>314</v>
      </c>
      <c r="T89" s="6" t="s">
        <v>63</v>
      </c>
      <c r="U89" s="13">
        <v>1.1499999999999999</v>
      </c>
      <c r="V89" s="12">
        <v>276.83999999999997</v>
      </c>
      <c r="W89" s="12">
        <v>276.83999999999997</v>
      </c>
      <c r="X89" s="1" t="s">
        <v>57</v>
      </c>
    </row>
    <row r="90" spans="1:24" x14ac:dyDescent="0.2">
      <c r="A90" s="1" t="s">
        <v>123</v>
      </c>
      <c r="B90" s="1" t="s">
        <v>47</v>
      </c>
      <c r="C90" s="1" t="s">
        <v>48</v>
      </c>
      <c r="D90" s="1" t="s">
        <v>269</v>
      </c>
      <c r="E90" s="1" t="s">
        <v>348</v>
      </c>
      <c r="F90" s="1" t="s">
        <v>349</v>
      </c>
      <c r="G90" s="1" t="s">
        <v>174</v>
      </c>
      <c r="H90" s="1" t="s">
        <v>169</v>
      </c>
      <c r="I90" s="1" t="s">
        <v>216</v>
      </c>
      <c r="J90" s="1" t="s">
        <v>76</v>
      </c>
      <c r="K90" s="1" t="s">
        <v>56</v>
      </c>
      <c r="L90" s="11">
        <v>42</v>
      </c>
      <c r="M90" s="1" t="s">
        <v>58</v>
      </c>
      <c r="N90" s="1" t="s">
        <v>59</v>
      </c>
      <c r="O90" s="1" t="s">
        <v>60</v>
      </c>
      <c r="P90" s="1">
        <v>100</v>
      </c>
      <c r="Q90" s="12">
        <v>74.08</v>
      </c>
      <c r="R90" s="1" t="s">
        <v>61</v>
      </c>
      <c r="S90" s="1" t="s">
        <v>62</v>
      </c>
      <c r="T90" s="6" t="s">
        <v>63</v>
      </c>
      <c r="U90" s="13">
        <v>1.35</v>
      </c>
      <c r="V90" s="12">
        <v>0</v>
      </c>
      <c r="W90" s="12">
        <v>-100.01</v>
      </c>
      <c r="X90" s="1" t="s">
        <v>57</v>
      </c>
    </row>
    <row r="91" spans="1:24" x14ac:dyDescent="0.2">
      <c r="A91" s="1" t="s">
        <v>350</v>
      </c>
      <c r="B91" s="1" t="s">
        <v>47</v>
      </c>
      <c r="C91" s="1" t="s">
        <v>48</v>
      </c>
      <c r="D91" s="1" t="s">
        <v>356</v>
      </c>
      <c r="E91" s="1" t="s">
        <v>357</v>
      </c>
      <c r="F91" s="1" t="s">
        <v>358</v>
      </c>
      <c r="G91" s="1" t="s">
        <v>52</v>
      </c>
      <c r="H91" s="1" t="s">
        <v>53</v>
      </c>
      <c r="I91" s="1" t="s">
        <v>359</v>
      </c>
      <c r="J91" s="1" t="s">
        <v>76</v>
      </c>
      <c r="K91" s="1" t="s">
        <v>56</v>
      </c>
      <c r="L91" s="11" t="s">
        <v>57</v>
      </c>
      <c r="M91" s="1" t="s">
        <v>58</v>
      </c>
      <c r="N91" s="1" t="s">
        <v>59</v>
      </c>
      <c r="O91" s="1" t="s">
        <v>60</v>
      </c>
      <c r="P91" s="1">
        <v>0</v>
      </c>
      <c r="Q91" s="12">
        <v>79.28</v>
      </c>
      <c r="R91" s="1" t="s">
        <v>61</v>
      </c>
      <c r="S91" s="1" t="s">
        <v>62</v>
      </c>
      <c r="T91" s="6" t="s">
        <v>63</v>
      </c>
      <c r="U91" s="13">
        <v>0.52</v>
      </c>
      <c r="V91" s="12">
        <v>41.23</v>
      </c>
      <c r="W91" s="12">
        <v>0</v>
      </c>
      <c r="X91" s="1" t="s">
        <v>57</v>
      </c>
    </row>
    <row r="92" spans="1:24" x14ac:dyDescent="0.2">
      <c r="A92" s="1" t="s">
        <v>350</v>
      </c>
      <c r="B92" s="1" t="s">
        <v>47</v>
      </c>
      <c r="C92" s="1" t="s">
        <v>48</v>
      </c>
      <c r="D92" s="1" t="s">
        <v>325</v>
      </c>
      <c r="E92" s="1" t="s">
        <v>360</v>
      </c>
      <c r="F92" s="1" t="s">
        <v>361</v>
      </c>
      <c r="G92" s="1" t="s">
        <v>52</v>
      </c>
      <c r="H92" s="1" t="s">
        <v>53</v>
      </c>
      <c r="I92" s="1" t="s">
        <v>362</v>
      </c>
      <c r="J92" s="1" t="s">
        <v>76</v>
      </c>
      <c r="K92" s="1" t="s">
        <v>56</v>
      </c>
      <c r="L92" s="11" t="s">
        <v>57</v>
      </c>
      <c r="M92" s="1" t="s">
        <v>58</v>
      </c>
      <c r="N92" s="1" t="s">
        <v>59</v>
      </c>
      <c r="O92" s="1" t="s">
        <v>60</v>
      </c>
      <c r="P92" s="1">
        <v>0</v>
      </c>
      <c r="Q92" s="12">
        <v>42.02</v>
      </c>
      <c r="R92" s="1" t="s">
        <v>61</v>
      </c>
      <c r="S92" s="1" t="s">
        <v>62</v>
      </c>
      <c r="T92" s="6" t="s">
        <v>63</v>
      </c>
      <c r="U92" s="13">
        <v>0.52</v>
      </c>
      <c r="V92" s="12">
        <v>21.85</v>
      </c>
      <c r="W92" s="12">
        <v>0</v>
      </c>
      <c r="X92" s="1" t="s">
        <v>57</v>
      </c>
    </row>
    <row r="93" spans="1:24" x14ac:dyDescent="0.2">
      <c r="A93" s="1" t="s">
        <v>350</v>
      </c>
      <c r="B93" s="1" t="s">
        <v>47</v>
      </c>
      <c r="C93" s="1" t="s">
        <v>48</v>
      </c>
      <c r="D93" s="1" t="s">
        <v>363</v>
      </c>
      <c r="E93" s="1" t="s">
        <v>364</v>
      </c>
      <c r="F93" s="1" t="s">
        <v>365</v>
      </c>
      <c r="G93" s="1" t="s">
        <v>322</v>
      </c>
      <c r="H93" s="1" t="s">
        <v>169</v>
      </c>
      <c r="I93" s="1" t="s">
        <v>362</v>
      </c>
      <c r="J93" s="1" t="s">
        <v>221</v>
      </c>
      <c r="K93" s="1" t="s">
        <v>56</v>
      </c>
      <c r="L93" s="11" t="s">
        <v>57</v>
      </c>
      <c r="M93" s="1" t="s">
        <v>58</v>
      </c>
      <c r="N93" s="1" t="s">
        <v>59</v>
      </c>
      <c r="O93" s="1" t="s">
        <v>60</v>
      </c>
      <c r="P93" s="1">
        <v>0</v>
      </c>
      <c r="Q93" s="12">
        <v>34.39</v>
      </c>
      <c r="R93" s="1" t="s">
        <v>61</v>
      </c>
      <c r="S93" s="1" t="s">
        <v>213</v>
      </c>
      <c r="T93" s="6" t="s">
        <v>63</v>
      </c>
      <c r="U93" s="13">
        <v>0.52</v>
      </c>
      <c r="V93" s="12">
        <v>17.88</v>
      </c>
      <c r="W93" s="12">
        <v>0</v>
      </c>
      <c r="X93" s="1" t="s">
        <v>57</v>
      </c>
    </row>
    <row r="94" spans="1:24" x14ac:dyDescent="0.2">
      <c r="A94" s="1" t="s">
        <v>350</v>
      </c>
      <c r="B94" s="1" t="s">
        <v>47</v>
      </c>
      <c r="C94" s="1" t="s">
        <v>48</v>
      </c>
      <c r="D94" s="1" t="s">
        <v>297</v>
      </c>
      <c r="E94" s="1" t="s">
        <v>366</v>
      </c>
      <c r="F94" s="1" t="s">
        <v>367</v>
      </c>
      <c r="G94" s="1" t="s">
        <v>52</v>
      </c>
      <c r="H94" s="1" t="s">
        <v>53</v>
      </c>
      <c r="I94" s="1" t="s">
        <v>355</v>
      </c>
      <c r="J94" s="1" t="s">
        <v>368</v>
      </c>
      <c r="K94" s="1" t="s">
        <v>194</v>
      </c>
      <c r="L94" s="11" t="s">
        <v>57</v>
      </c>
      <c r="M94" s="1" t="s">
        <v>58</v>
      </c>
      <c r="N94" s="1" t="s">
        <v>59</v>
      </c>
      <c r="O94" s="1" t="s">
        <v>60</v>
      </c>
      <c r="P94" s="1">
        <v>0</v>
      </c>
      <c r="Q94" s="12">
        <v>72.33</v>
      </c>
      <c r="R94" s="1" t="s">
        <v>61</v>
      </c>
      <c r="S94" s="1" t="s">
        <v>62</v>
      </c>
      <c r="T94" s="6" t="s">
        <v>63</v>
      </c>
      <c r="U94" s="13">
        <v>0.52</v>
      </c>
      <c r="V94" s="12">
        <v>37.61</v>
      </c>
      <c r="W94" s="12">
        <v>0</v>
      </c>
      <c r="X94" s="1" t="s">
        <v>57</v>
      </c>
    </row>
    <row r="95" spans="1:24" x14ac:dyDescent="0.2">
      <c r="A95" s="1" t="s">
        <v>350</v>
      </c>
      <c r="B95" s="1" t="s">
        <v>47</v>
      </c>
      <c r="C95" s="1" t="s">
        <v>48</v>
      </c>
      <c r="D95" s="1" t="s">
        <v>369</v>
      </c>
      <c r="E95" s="1" t="s">
        <v>370</v>
      </c>
      <c r="F95" s="1" t="s">
        <v>371</v>
      </c>
      <c r="G95" s="1" t="s">
        <v>52</v>
      </c>
      <c r="H95" s="1" t="s">
        <v>53</v>
      </c>
      <c r="I95" s="1" t="s">
        <v>372</v>
      </c>
      <c r="J95" s="1" t="s">
        <v>76</v>
      </c>
      <c r="K95" s="1" t="s">
        <v>56</v>
      </c>
      <c r="L95" s="11" t="s">
        <v>57</v>
      </c>
      <c r="M95" s="1" t="s">
        <v>58</v>
      </c>
      <c r="N95" s="1" t="s">
        <v>59</v>
      </c>
      <c r="O95" s="1" t="s">
        <v>60</v>
      </c>
      <c r="P95" s="1">
        <v>0</v>
      </c>
      <c r="Q95" s="12">
        <v>36.08</v>
      </c>
      <c r="R95" s="1" t="s">
        <v>61</v>
      </c>
      <c r="S95" s="1" t="s">
        <v>62</v>
      </c>
      <c r="T95" s="6" t="s">
        <v>63</v>
      </c>
      <c r="U95" s="13">
        <v>0.52</v>
      </c>
      <c r="V95" s="12">
        <v>18.760000000000002</v>
      </c>
      <c r="W95" s="12">
        <v>0</v>
      </c>
      <c r="X95" s="1" t="s">
        <v>57</v>
      </c>
    </row>
    <row r="96" spans="1:24" x14ac:dyDescent="0.2">
      <c r="A96" s="1" t="s">
        <v>350</v>
      </c>
      <c r="B96" s="1" t="s">
        <v>47</v>
      </c>
      <c r="C96" s="1" t="s">
        <v>48</v>
      </c>
      <c r="D96" s="1" t="s">
        <v>369</v>
      </c>
      <c r="E96" s="1" t="s">
        <v>373</v>
      </c>
      <c r="F96" s="1" t="s">
        <v>374</v>
      </c>
      <c r="G96" s="1" t="s">
        <v>52</v>
      </c>
      <c r="H96" s="1" t="s">
        <v>53</v>
      </c>
      <c r="I96" s="1" t="s">
        <v>359</v>
      </c>
      <c r="J96" s="1" t="s">
        <v>375</v>
      </c>
      <c r="K96" s="1" t="s">
        <v>177</v>
      </c>
      <c r="L96" s="11" t="s">
        <v>57</v>
      </c>
      <c r="M96" s="1" t="s">
        <v>58</v>
      </c>
      <c r="N96" s="1" t="s">
        <v>59</v>
      </c>
      <c r="O96" s="1" t="s">
        <v>60</v>
      </c>
      <c r="P96" s="1">
        <v>0</v>
      </c>
      <c r="Q96" s="12">
        <v>79.28</v>
      </c>
      <c r="R96" s="1" t="s">
        <v>61</v>
      </c>
      <c r="S96" s="1" t="s">
        <v>62</v>
      </c>
      <c r="T96" s="6" t="s">
        <v>63</v>
      </c>
      <c r="U96" s="13">
        <v>0.52</v>
      </c>
      <c r="V96" s="12">
        <v>41.23</v>
      </c>
      <c r="W96" s="12">
        <v>0</v>
      </c>
      <c r="X96" s="1" t="s">
        <v>57</v>
      </c>
    </row>
    <row r="97" spans="1:24" x14ac:dyDescent="0.2">
      <c r="A97" s="1" t="s">
        <v>350</v>
      </c>
      <c r="B97" s="1" t="s">
        <v>47</v>
      </c>
      <c r="C97" s="1" t="s">
        <v>48</v>
      </c>
      <c r="D97" s="1" t="s">
        <v>369</v>
      </c>
      <c r="E97" s="1" t="s">
        <v>376</v>
      </c>
      <c r="F97" s="1" t="s">
        <v>377</v>
      </c>
      <c r="G97" s="1" t="s">
        <v>52</v>
      </c>
      <c r="H97" s="1" t="s">
        <v>53</v>
      </c>
      <c r="I97" s="1" t="s">
        <v>359</v>
      </c>
      <c r="J97" s="1" t="s">
        <v>55</v>
      </c>
      <c r="K97" s="1" t="s">
        <v>56</v>
      </c>
      <c r="L97" s="11" t="s">
        <v>57</v>
      </c>
      <c r="M97" s="1" t="s">
        <v>58</v>
      </c>
      <c r="N97" s="1" t="s">
        <v>59</v>
      </c>
      <c r="O97" s="1" t="s">
        <v>60</v>
      </c>
      <c r="P97" s="1">
        <v>0</v>
      </c>
      <c r="Q97" s="12">
        <v>79.28</v>
      </c>
      <c r="R97" s="1" t="s">
        <v>61</v>
      </c>
      <c r="S97" s="1" t="s">
        <v>62</v>
      </c>
      <c r="T97" s="6" t="s">
        <v>63</v>
      </c>
      <c r="U97" s="13">
        <v>0.52</v>
      </c>
      <c r="V97" s="12">
        <v>41.23</v>
      </c>
      <c r="W97" s="12">
        <v>0</v>
      </c>
      <c r="X97" s="1" t="s">
        <v>57</v>
      </c>
    </row>
    <row r="98" spans="1:24" x14ac:dyDescent="0.2">
      <c r="A98" s="1" t="s">
        <v>350</v>
      </c>
      <c r="B98" s="1" t="s">
        <v>47</v>
      </c>
      <c r="C98" s="1" t="s">
        <v>48</v>
      </c>
      <c r="D98" s="1" t="s">
        <v>369</v>
      </c>
      <c r="E98" s="1" t="s">
        <v>378</v>
      </c>
      <c r="F98" s="1" t="s">
        <v>379</v>
      </c>
      <c r="G98" s="1" t="s">
        <v>52</v>
      </c>
      <c r="H98" s="1" t="s">
        <v>53</v>
      </c>
      <c r="I98" s="1" t="s">
        <v>359</v>
      </c>
      <c r="J98" s="1" t="s">
        <v>55</v>
      </c>
      <c r="K98" s="1" t="s">
        <v>56</v>
      </c>
      <c r="L98" s="11" t="s">
        <v>57</v>
      </c>
      <c r="M98" s="1" t="s">
        <v>58</v>
      </c>
      <c r="N98" s="1" t="s">
        <v>59</v>
      </c>
      <c r="O98" s="1" t="s">
        <v>60</v>
      </c>
      <c r="P98" s="1">
        <v>0</v>
      </c>
      <c r="Q98" s="12">
        <v>79.28</v>
      </c>
      <c r="R98" s="1" t="s">
        <v>61</v>
      </c>
      <c r="S98" s="1" t="s">
        <v>62</v>
      </c>
      <c r="T98" s="6" t="s">
        <v>63</v>
      </c>
      <c r="U98" s="13">
        <v>0.52</v>
      </c>
      <c r="V98" s="12">
        <v>41.23</v>
      </c>
      <c r="W98" s="12">
        <v>0</v>
      </c>
      <c r="X98" s="1" t="s">
        <v>57</v>
      </c>
    </row>
    <row r="99" spans="1:24" x14ac:dyDescent="0.2">
      <c r="A99" s="1" t="s">
        <v>350</v>
      </c>
      <c r="B99" s="1" t="s">
        <v>47</v>
      </c>
      <c r="C99" s="1" t="s">
        <v>48</v>
      </c>
      <c r="D99" s="1" t="s">
        <v>369</v>
      </c>
      <c r="E99" s="1" t="s">
        <v>380</v>
      </c>
      <c r="F99" s="1" t="s">
        <v>381</v>
      </c>
      <c r="G99" s="1" t="s">
        <v>52</v>
      </c>
      <c r="H99" s="1" t="s">
        <v>53</v>
      </c>
      <c r="I99" s="1" t="s">
        <v>372</v>
      </c>
      <c r="J99" s="1" t="s">
        <v>55</v>
      </c>
      <c r="K99" s="1" t="s">
        <v>56</v>
      </c>
      <c r="L99" s="11" t="s">
        <v>57</v>
      </c>
      <c r="M99" s="1" t="s">
        <v>58</v>
      </c>
      <c r="N99" s="1" t="s">
        <v>59</v>
      </c>
      <c r="O99" s="1" t="s">
        <v>60</v>
      </c>
      <c r="P99" s="1">
        <v>0</v>
      </c>
      <c r="Q99" s="12">
        <v>36.08</v>
      </c>
      <c r="R99" s="1" t="s">
        <v>61</v>
      </c>
      <c r="S99" s="1" t="s">
        <v>62</v>
      </c>
      <c r="T99" s="6" t="s">
        <v>63</v>
      </c>
      <c r="U99" s="13">
        <v>0.52</v>
      </c>
      <c r="V99" s="12">
        <v>18.760000000000002</v>
      </c>
      <c r="W99" s="12">
        <v>0</v>
      </c>
      <c r="X99" s="1" t="s">
        <v>57</v>
      </c>
    </row>
    <row r="100" spans="1:24" x14ac:dyDescent="0.2">
      <c r="A100" s="1" t="s">
        <v>350</v>
      </c>
      <c r="B100" s="1" t="s">
        <v>47</v>
      </c>
      <c r="C100" s="1" t="s">
        <v>48</v>
      </c>
      <c r="D100" s="1" t="s">
        <v>369</v>
      </c>
      <c r="E100" s="1" t="s">
        <v>382</v>
      </c>
      <c r="F100" s="1" t="s">
        <v>383</v>
      </c>
      <c r="G100" s="1" t="s">
        <v>52</v>
      </c>
      <c r="H100" s="1" t="s">
        <v>53</v>
      </c>
      <c r="I100" s="1" t="s">
        <v>359</v>
      </c>
      <c r="J100" s="1" t="s">
        <v>55</v>
      </c>
      <c r="K100" s="1" t="s">
        <v>56</v>
      </c>
      <c r="L100" s="11" t="s">
        <v>57</v>
      </c>
      <c r="M100" s="1" t="s">
        <v>58</v>
      </c>
      <c r="N100" s="1" t="s">
        <v>59</v>
      </c>
      <c r="O100" s="1" t="s">
        <v>60</v>
      </c>
      <c r="P100" s="1">
        <v>0</v>
      </c>
      <c r="Q100" s="12">
        <v>79.28</v>
      </c>
      <c r="R100" s="1" t="s">
        <v>61</v>
      </c>
      <c r="S100" s="1" t="s">
        <v>62</v>
      </c>
      <c r="T100" s="6" t="s">
        <v>63</v>
      </c>
      <c r="U100" s="13">
        <v>0.52</v>
      </c>
      <c r="V100" s="12">
        <v>41.23</v>
      </c>
      <c r="W100" s="12">
        <v>0</v>
      </c>
      <c r="X100" s="1" t="s">
        <v>57</v>
      </c>
    </row>
    <row r="101" spans="1:24" x14ac:dyDescent="0.2">
      <c r="A101" s="1" t="s">
        <v>350</v>
      </c>
      <c r="B101" s="1" t="s">
        <v>47</v>
      </c>
      <c r="C101" s="1" t="s">
        <v>48</v>
      </c>
      <c r="D101" s="1" t="s">
        <v>171</v>
      </c>
      <c r="E101" s="1" t="s">
        <v>384</v>
      </c>
      <c r="F101" s="1" t="s">
        <v>385</v>
      </c>
      <c r="G101" s="1" t="s">
        <v>174</v>
      </c>
      <c r="H101" s="1" t="s">
        <v>99</v>
      </c>
      <c r="I101" s="1" t="s">
        <v>386</v>
      </c>
      <c r="J101" s="1" t="s">
        <v>76</v>
      </c>
      <c r="K101" s="1" t="s">
        <v>56</v>
      </c>
      <c r="L101" s="11" t="s">
        <v>57</v>
      </c>
      <c r="M101" s="1" t="s">
        <v>58</v>
      </c>
      <c r="N101" s="1" t="s">
        <v>59</v>
      </c>
      <c r="O101" s="1" t="s">
        <v>60</v>
      </c>
      <c r="P101" s="1">
        <v>0</v>
      </c>
      <c r="Q101" s="12">
        <v>210.33</v>
      </c>
      <c r="R101" s="1" t="s">
        <v>61</v>
      </c>
      <c r="S101" s="1" t="s">
        <v>62</v>
      </c>
      <c r="T101" s="6" t="s">
        <v>63</v>
      </c>
      <c r="U101" s="13">
        <v>2.5000000000000001E-2</v>
      </c>
      <c r="V101" s="12">
        <v>5.26</v>
      </c>
      <c r="W101" s="12">
        <v>0</v>
      </c>
      <c r="X101" s="1" t="s">
        <v>57</v>
      </c>
    </row>
    <row r="102" spans="1:24" x14ac:dyDescent="0.2">
      <c r="A102" s="1" t="s">
        <v>350</v>
      </c>
      <c r="B102" s="1" t="s">
        <v>47</v>
      </c>
      <c r="C102" s="1" t="s">
        <v>48</v>
      </c>
      <c r="D102" s="1" t="s">
        <v>269</v>
      </c>
      <c r="E102" s="1" t="s">
        <v>387</v>
      </c>
      <c r="F102" s="1" t="s">
        <v>388</v>
      </c>
      <c r="G102" s="1" t="s">
        <v>174</v>
      </c>
      <c r="H102" s="1" t="s">
        <v>53</v>
      </c>
      <c r="I102" s="1" t="s">
        <v>389</v>
      </c>
      <c r="J102" s="1" t="s">
        <v>87</v>
      </c>
      <c r="K102" s="1" t="s">
        <v>56</v>
      </c>
      <c r="L102" s="11" t="s">
        <v>57</v>
      </c>
      <c r="M102" s="1" t="s">
        <v>58</v>
      </c>
      <c r="N102" s="1" t="s">
        <v>59</v>
      </c>
      <c r="O102" s="1" t="s">
        <v>60</v>
      </c>
      <c r="P102" s="1">
        <v>0</v>
      </c>
      <c r="Q102" s="12">
        <v>226.06</v>
      </c>
      <c r="R102" s="1" t="s">
        <v>61</v>
      </c>
      <c r="S102" s="1" t="s">
        <v>62</v>
      </c>
      <c r="T102" s="6" t="s">
        <v>63</v>
      </c>
      <c r="U102" s="13">
        <v>0.19</v>
      </c>
      <c r="V102" s="12">
        <v>42.95</v>
      </c>
      <c r="W102" s="12">
        <v>0</v>
      </c>
      <c r="X102" s="1" t="s">
        <v>57</v>
      </c>
    </row>
    <row r="103" spans="1:24" x14ac:dyDescent="0.2">
      <c r="A103" s="1" t="s">
        <v>350</v>
      </c>
      <c r="B103" s="1" t="s">
        <v>47</v>
      </c>
      <c r="C103" s="1" t="s">
        <v>48</v>
      </c>
      <c r="D103" s="1" t="s">
        <v>341</v>
      </c>
      <c r="E103" s="1" t="s">
        <v>390</v>
      </c>
      <c r="F103" s="1" t="s">
        <v>391</v>
      </c>
      <c r="G103" s="1" t="s">
        <v>174</v>
      </c>
      <c r="H103" s="1" t="s">
        <v>53</v>
      </c>
      <c r="I103" s="1" t="s">
        <v>386</v>
      </c>
      <c r="J103" s="1" t="s">
        <v>392</v>
      </c>
      <c r="K103" s="1" t="s">
        <v>56</v>
      </c>
      <c r="L103" s="11" t="s">
        <v>57</v>
      </c>
      <c r="M103" s="1" t="s">
        <v>58</v>
      </c>
      <c r="N103" s="1" t="s">
        <v>59</v>
      </c>
      <c r="O103" s="1" t="s">
        <v>60</v>
      </c>
      <c r="P103" s="1">
        <v>0</v>
      </c>
      <c r="Q103" s="12">
        <v>154.37</v>
      </c>
      <c r="R103" s="1" t="s">
        <v>61</v>
      </c>
      <c r="S103" s="1" t="s">
        <v>62</v>
      </c>
      <c r="T103" s="6" t="s">
        <v>63</v>
      </c>
      <c r="U103" s="13">
        <v>2.5000000000000001E-2</v>
      </c>
      <c r="V103" s="12">
        <v>3.86</v>
      </c>
      <c r="W103" s="12">
        <v>0</v>
      </c>
      <c r="X103" s="1" t="s">
        <v>57</v>
      </c>
    </row>
    <row r="104" spans="1:24" x14ac:dyDescent="0.2">
      <c r="A104" s="1" t="s">
        <v>350</v>
      </c>
      <c r="B104" s="1" t="s">
        <v>47</v>
      </c>
      <c r="C104" s="1" t="s">
        <v>48</v>
      </c>
      <c r="D104" s="1" t="s">
        <v>65</v>
      </c>
      <c r="E104" s="1" t="s">
        <v>393</v>
      </c>
      <c r="F104" s="1" t="s">
        <v>394</v>
      </c>
      <c r="G104" s="1" t="s">
        <v>226</v>
      </c>
      <c r="H104" s="1" t="s">
        <v>53</v>
      </c>
      <c r="I104" s="1" t="s">
        <v>389</v>
      </c>
      <c r="J104" s="1" t="s">
        <v>55</v>
      </c>
      <c r="K104" s="1" t="s">
        <v>56</v>
      </c>
      <c r="L104" s="11" t="s">
        <v>57</v>
      </c>
      <c r="M104" s="1" t="s">
        <v>58</v>
      </c>
      <c r="N104" s="1" t="s">
        <v>59</v>
      </c>
      <c r="O104" s="1" t="s">
        <v>60</v>
      </c>
      <c r="P104" s="1">
        <v>0</v>
      </c>
      <c r="Q104" s="12">
        <v>174.58</v>
      </c>
      <c r="R104" s="1" t="s">
        <v>61</v>
      </c>
      <c r="S104" s="1" t="s">
        <v>62</v>
      </c>
      <c r="T104" s="6" t="s">
        <v>63</v>
      </c>
      <c r="U104" s="13">
        <v>0.24</v>
      </c>
      <c r="V104" s="12">
        <v>41.9</v>
      </c>
      <c r="W104" s="12">
        <v>0</v>
      </c>
      <c r="X104" s="1" t="s">
        <v>57</v>
      </c>
    </row>
    <row r="105" spans="1:24" x14ac:dyDescent="0.2">
      <c r="A105" s="1" t="s">
        <v>350</v>
      </c>
      <c r="B105" s="1" t="s">
        <v>47</v>
      </c>
      <c r="C105" s="1" t="s">
        <v>48</v>
      </c>
      <c r="D105" s="1" t="s">
        <v>65</v>
      </c>
      <c r="E105" s="1" t="s">
        <v>395</v>
      </c>
      <c r="F105" s="1" t="s">
        <v>396</v>
      </c>
      <c r="G105" s="1" t="s">
        <v>397</v>
      </c>
      <c r="H105" s="1" t="s">
        <v>53</v>
      </c>
      <c r="I105" s="1" t="s">
        <v>389</v>
      </c>
      <c r="J105" s="1" t="s">
        <v>76</v>
      </c>
      <c r="K105" s="1" t="s">
        <v>56</v>
      </c>
      <c r="L105" s="11" t="s">
        <v>57</v>
      </c>
      <c r="M105" s="1" t="s">
        <v>58</v>
      </c>
      <c r="N105" s="1" t="s">
        <v>59</v>
      </c>
      <c r="O105" s="1" t="s">
        <v>60</v>
      </c>
      <c r="P105" s="1">
        <v>0</v>
      </c>
      <c r="Q105" s="12">
        <v>153.22</v>
      </c>
      <c r="R105" s="1" t="s">
        <v>61</v>
      </c>
      <c r="S105" s="1" t="s">
        <v>62</v>
      </c>
      <c r="T105" s="6" t="s">
        <v>63</v>
      </c>
      <c r="U105" s="13">
        <v>0.24</v>
      </c>
      <c r="V105" s="12">
        <v>36.770000000000003</v>
      </c>
      <c r="W105" s="12">
        <v>0</v>
      </c>
      <c r="X105" s="1" t="s">
        <v>57</v>
      </c>
    </row>
    <row r="106" spans="1:24" x14ac:dyDescent="0.2">
      <c r="A106" s="1" t="s">
        <v>350</v>
      </c>
      <c r="B106" s="1" t="s">
        <v>47</v>
      </c>
      <c r="C106" s="1" t="s">
        <v>48</v>
      </c>
      <c r="D106" s="1" t="s">
        <v>65</v>
      </c>
      <c r="E106" s="1" t="s">
        <v>398</v>
      </c>
      <c r="F106" s="1" t="s">
        <v>399</v>
      </c>
      <c r="G106" s="1" t="s">
        <v>397</v>
      </c>
      <c r="H106" s="1" t="s">
        <v>53</v>
      </c>
      <c r="I106" s="1" t="s">
        <v>389</v>
      </c>
      <c r="J106" s="1" t="s">
        <v>76</v>
      </c>
      <c r="K106" s="1" t="s">
        <v>56</v>
      </c>
      <c r="L106" s="11" t="s">
        <v>57</v>
      </c>
      <c r="M106" s="1" t="s">
        <v>58</v>
      </c>
      <c r="N106" s="1" t="s">
        <v>59</v>
      </c>
      <c r="O106" s="1" t="s">
        <v>60</v>
      </c>
      <c r="P106" s="1">
        <v>0</v>
      </c>
      <c r="Q106" s="12">
        <v>176.19</v>
      </c>
      <c r="R106" s="1" t="s">
        <v>61</v>
      </c>
      <c r="S106" s="1" t="s">
        <v>62</v>
      </c>
      <c r="T106" s="6" t="s">
        <v>63</v>
      </c>
      <c r="U106" s="13">
        <v>0.24</v>
      </c>
      <c r="V106" s="12">
        <v>42.29</v>
      </c>
      <c r="W106" s="12">
        <v>0</v>
      </c>
      <c r="X106" s="1" t="s">
        <v>57</v>
      </c>
    </row>
    <row r="107" spans="1:24" x14ac:dyDescent="0.2">
      <c r="A107" s="1" t="s">
        <v>350</v>
      </c>
      <c r="B107" s="1" t="s">
        <v>47</v>
      </c>
      <c r="C107" s="1" t="s">
        <v>48</v>
      </c>
      <c r="D107" s="1" t="s">
        <v>65</v>
      </c>
      <c r="E107" s="1" t="s">
        <v>400</v>
      </c>
      <c r="F107" s="1" t="s">
        <v>401</v>
      </c>
      <c r="G107" s="1" t="s">
        <v>402</v>
      </c>
      <c r="H107" s="1" t="s">
        <v>53</v>
      </c>
      <c r="I107" s="1" t="s">
        <v>403</v>
      </c>
      <c r="J107" s="1" t="s">
        <v>76</v>
      </c>
      <c r="K107" s="1" t="s">
        <v>56</v>
      </c>
      <c r="L107" s="11" t="s">
        <v>57</v>
      </c>
      <c r="M107" s="1" t="s">
        <v>58</v>
      </c>
      <c r="N107" s="1" t="s">
        <v>59</v>
      </c>
      <c r="O107" s="1" t="s">
        <v>60</v>
      </c>
      <c r="P107" s="1">
        <v>0</v>
      </c>
      <c r="Q107" s="12">
        <v>210.14</v>
      </c>
      <c r="R107" s="1" t="s">
        <v>61</v>
      </c>
      <c r="S107" s="1" t="s">
        <v>62</v>
      </c>
      <c r="T107" s="6" t="s">
        <v>63</v>
      </c>
      <c r="U107" s="13">
        <v>0.24</v>
      </c>
      <c r="V107" s="12">
        <v>50.43</v>
      </c>
      <c r="W107" s="12">
        <v>0</v>
      </c>
      <c r="X107" s="1" t="s">
        <v>57</v>
      </c>
    </row>
    <row r="108" spans="1:24" x14ac:dyDescent="0.2">
      <c r="A108" s="1" t="s">
        <v>350</v>
      </c>
      <c r="B108" s="1" t="s">
        <v>47</v>
      </c>
      <c r="C108" s="1" t="s">
        <v>48</v>
      </c>
      <c r="D108" s="1" t="s">
        <v>65</v>
      </c>
      <c r="E108" s="1" t="s">
        <v>404</v>
      </c>
      <c r="F108" s="1" t="s">
        <v>405</v>
      </c>
      <c r="G108" s="1" t="s">
        <v>226</v>
      </c>
      <c r="H108" s="1" t="s">
        <v>53</v>
      </c>
      <c r="I108" s="1" t="s">
        <v>389</v>
      </c>
      <c r="J108" s="1" t="s">
        <v>76</v>
      </c>
      <c r="K108" s="1" t="s">
        <v>56</v>
      </c>
      <c r="L108" s="11" t="s">
        <v>57</v>
      </c>
      <c r="M108" s="1" t="s">
        <v>58</v>
      </c>
      <c r="N108" s="1" t="s">
        <v>59</v>
      </c>
      <c r="O108" s="1" t="s">
        <v>60</v>
      </c>
      <c r="P108" s="1">
        <v>0</v>
      </c>
      <c r="Q108" s="12">
        <v>162.11000000000001</v>
      </c>
      <c r="R108" s="1" t="s">
        <v>61</v>
      </c>
      <c r="S108" s="1" t="s">
        <v>62</v>
      </c>
      <c r="T108" s="6" t="s">
        <v>63</v>
      </c>
      <c r="U108" s="13">
        <v>0.24</v>
      </c>
      <c r="V108" s="12">
        <v>38.909999999999997</v>
      </c>
      <c r="W108" s="12">
        <v>0</v>
      </c>
      <c r="X108" s="1" t="s">
        <v>57</v>
      </c>
    </row>
    <row r="109" spans="1:24" x14ac:dyDescent="0.2">
      <c r="A109" s="1" t="s">
        <v>350</v>
      </c>
      <c r="B109" s="1" t="s">
        <v>47</v>
      </c>
      <c r="C109" s="1" t="s">
        <v>88</v>
      </c>
      <c r="D109" s="1" t="s">
        <v>269</v>
      </c>
      <c r="E109" s="1" t="s">
        <v>406</v>
      </c>
      <c r="F109" s="1" t="s">
        <v>407</v>
      </c>
      <c r="G109" s="1" t="s">
        <v>226</v>
      </c>
      <c r="H109" s="1" t="s">
        <v>53</v>
      </c>
      <c r="I109" s="1" t="s">
        <v>389</v>
      </c>
      <c r="J109" s="1" t="s">
        <v>392</v>
      </c>
      <c r="K109" s="1" t="s">
        <v>56</v>
      </c>
      <c r="L109" s="11" t="s">
        <v>57</v>
      </c>
      <c r="M109" s="1" t="s">
        <v>58</v>
      </c>
      <c r="N109" s="1" t="s">
        <v>59</v>
      </c>
      <c r="O109" s="1" t="s">
        <v>60</v>
      </c>
      <c r="P109" s="1">
        <v>0</v>
      </c>
      <c r="Q109" s="12">
        <v>121.45</v>
      </c>
      <c r="R109" s="1" t="s">
        <v>61</v>
      </c>
      <c r="S109" s="1" t="s">
        <v>62</v>
      </c>
      <c r="T109" s="6" t="s">
        <v>63</v>
      </c>
      <c r="U109" s="13">
        <v>0.23</v>
      </c>
      <c r="V109" s="12">
        <v>0</v>
      </c>
      <c r="W109" s="12">
        <v>-27.93</v>
      </c>
      <c r="X109" s="1" t="s">
        <v>57</v>
      </c>
    </row>
    <row r="110" spans="1:24" x14ac:dyDescent="0.2">
      <c r="A110" s="1" t="s">
        <v>350</v>
      </c>
      <c r="B110" s="1" t="s">
        <v>47</v>
      </c>
      <c r="C110" s="1" t="s">
        <v>88</v>
      </c>
      <c r="D110" s="1" t="s">
        <v>269</v>
      </c>
      <c r="E110" s="1" t="s">
        <v>408</v>
      </c>
      <c r="F110" s="1" t="s">
        <v>409</v>
      </c>
      <c r="G110" s="1" t="s">
        <v>174</v>
      </c>
      <c r="H110" s="1" t="s">
        <v>53</v>
      </c>
      <c r="I110" s="1" t="s">
        <v>410</v>
      </c>
      <c r="J110" s="1" t="s">
        <v>142</v>
      </c>
      <c r="K110" s="1" t="s">
        <v>56</v>
      </c>
      <c r="L110" s="11" t="s">
        <v>57</v>
      </c>
      <c r="M110" s="1" t="s">
        <v>58</v>
      </c>
      <c r="N110" s="1" t="s">
        <v>59</v>
      </c>
      <c r="O110" s="1" t="s">
        <v>60</v>
      </c>
      <c r="P110" s="1">
        <v>0</v>
      </c>
      <c r="Q110" s="12">
        <v>119.09</v>
      </c>
      <c r="R110" s="1" t="s">
        <v>101</v>
      </c>
      <c r="S110" s="1" t="s">
        <v>102</v>
      </c>
      <c r="T110" s="6" t="s">
        <v>63</v>
      </c>
      <c r="U110" s="13">
        <v>0.27</v>
      </c>
      <c r="V110" s="12">
        <v>32.15</v>
      </c>
      <c r="W110" s="12">
        <v>0</v>
      </c>
      <c r="X110" s="1" t="s">
        <v>57</v>
      </c>
    </row>
    <row r="111" spans="1:24" x14ac:dyDescent="0.2">
      <c r="A111" s="1" t="s">
        <v>350</v>
      </c>
      <c r="B111" s="1" t="s">
        <v>47</v>
      </c>
      <c r="C111" s="1" t="s">
        <v>88</v>
      </c>
      <c r="D111" s="1" t="s">
        <v>269</v>
      </c>
      <c r="E111" s="1" t="s">
        <v>411</v>
      </c>
      <c r="F111" s="1" t="s">
        <v>412</v>
      </c>
      <c r="G111" s="1" t="s">
        <v>174</v>
      </c>
      <c r="H111" s="1" t="s">
        <v>53</v>
      </c>
      <c r="I111" s="1" t="s">
        <v>389</v>
      </c>
      <c r="J111" s="1" t="s">
        <v>142</v>
      </c>
      <c r="K111" s="1" t="s">
        <v>56</v>
      </c>
      <c r="L111" s="11" t="s">
        <v>57</v>
      </c>
      <c r="M111" s="1" t="s">
        <v>58</v>
      </c>
      <c r="N111" s="1" t="s">
        <v>59</v>
      </c>
      <c r="O111" s="1" t="s">
        <v>60</v>
      </c>
      <c r="P111" s="1">
        <v>0</v>
      </c>
      <c r="Q111" s="12">
        <v>168.14</v>
      </c>
      <c r="R111" s="1" t="s">
        <v>101</v>
      </c>
      <c r="S111" s="1" t="s">
        <v>102</v>
      </c>
      <c r="T111" s="6" t="s">
        <v>63</v>
      </c>
      <c r="U111" s="13">
        <v>0.23</v>
      </c>
      <c r="V111" s="12">
        <v>38.67</v>
      </c>
      <c r="W111" s="12">
        <v>0</v>
      </c>
      <c r="X111" s="1" t="s">
        <v>57</v>
      </c>
    </row>
    <row r="112" spans="1:24" x14ac:dyDescent="0.2">
      <c r="A112" s="1" t="s">
        <v>350</v>
      </c>
      <c r="B112" s="1" t="s">
        <v>47</v>
      </c>
      <c r="C112" s="1" t="s">
        <v>88</v>
      </c>
      <c r="D112" s="1" t="s">
        <v>269</v>
      </c>
      <c r="E112" s="1" t="s">
        <v>413</v>
      </c>
      <c r="F112" s="1" t="s">
        <v>414</v>
      </c>
      <c r="G112" s="1" t="s">
        <v>174</v>
      </c>
      <c r="H112" s="1" t="s">
        <v>53</v>
      </c>
      <c r="I112" s="1" t="s">
        <v>389</v>
      </c>
      <c r="J112" s="1" t="s">
        <v>415</v>
      </c>
      <c r="K112" s="1" t="s">
        <v>56</v>
      </c>
      <c r="L112" s="11" t="s">
        <v>57</v>
      </c>
      <c r="M112" s="1" t="s">
        <v>58</v>
      </c>
      <c r="N112" s="1" t="s">
        <v>59</v>
      </c>
      <c r="O112" s="1" t="s">
        <v>60</v>
      </c>
      <c r="P112" s="1">
        <v>0</v>
      </c>
      <c r="Q112" s="12">
        <v>170.16</v>
      </c>
      <c r="R112" s="1" t="s">
        <v>101</v>
      </c>
      <c r="S112" s="1" t="s">
        <v>102</v>
      </c>
      <c r="T112" s="6" t="s">
        <v>63</v>
      </c>
      <c r="U112" s="13">
        <v>0.23</v>
      </c>
      <c r="V112" s="12">
        <v>39.14</v>
      </c>
      <c r="W112" s="12">
        <v>0</v>
      </c>
      <c r="X112" s="1" t="s">
        <v>57</v>
      </c>
    </row>
    <row r="113" spans="1:24" x14ac:dyDescent="0.2">
      <c r="A113" s="1" t="s">
        <v>350</v>
      </c>
      <c r="B113" s="1" t="s">
        <v>47</v>
      </c>
      <c r="C113" s="1" t="s">
        <v>88</v>
      </c>
      <c r="D113" s="1" t="s">
        <v>269</v>
      </c>
      <c r="E113" s="1" t="s">
        <v>416</v>
      </c>
      <c r="F113" s="1" t="s">
        <v>417</v>
      </c>
      <c r="G113" s="1" t="s">
        <v>174</v>
      </c>
      <c r="H113" s="1" t="s">
        <v>53</v>
      </c>
      <c r="I113" s="1" t="s">
        <v>410</v>
      </c>
      <c r="J113" s="1" t="s">
        <v>418</v>
      </c>
      <c r="K113" s="1" t="s">
        <v>56</v>
      </c>
      <c r="L113" s="11" t="s">
        <v>57</v>
      </c>
      <c r="M113" s="1" t="s">
        <v>58</v>
      </c>
      <c r="N113" s="1" t="s">
        <v>59</v>
      </c>
      <c r="O113" s="1" t="s">
        <v>60</v>
      </c>
      <c r="P113" s="1">
        <v>0</v>
      </c>
      <c r="Q113" s="12">
        <v>120.5</v>
      </c>
      <c r="R113" s="1" t="s">
        <v>101</v>
      </c>
      <c r="S113" s="1" t="s">
        <v>102</v>
      </c>
      <c r="T113" s="6" t="s">
        <v>63</v>
      </c>
      <c r="U113" s="13">
        <v>0.27</v>
      </c>
      <c r="V113" s="12">
        <v>32.54</v>
      </c>
      <c r="W113" s="12">
        <v>0</v>
      </c>
      <c r="X113" s="1" t="s">
        <v>57</v>
      </c>
    </row>
    <row r="114" spans="1:24" x14ac:dyDescent="0.2">
      <c r="A114" s="1" t="s">
        <v>350</v>
      </c>
      <c r="B114" s="1" t="s">
        <v>47</v>
      </c>
      <c r="C114" s="1" t="s">
        <v>88</v>
      </c>
      <c r="D114" s="1" t="s">
        <v>269</v>
      </c>
      <c r="E114" s="1" t="s">
        <v>419</v>
      </c>
      <c r="F114" s="1" t="s">
        <v>420</v>
      </c>
      <c r="G114" s="1" t="s">
        <v>174</v>
      </c>
      <c r="H114" s="1" t="s">
        <v>53</v>
      </c>
      <c r="I114" s="1" t="s">
        <v>410</v>
      </c>
      <c r="J114" s="1" t="s">
        <v>418</v>
      </c>
      <c r="K114" s="1" t="s">
        <v>56</v>
      </c>
      <c r="L114" s="11" t="s">
        <v>57</v>
      </c>
      <c r="M114" s="1" t="s">
        <v>58</v>
      </c>
      <c r="N114" s="1" t="s">
        <v>59</v>
      </c>
      <c r="O114" s="1" t="s">
        <v>60</v>
      </c>
      <c r="P114" s="1">
        <v>0</v>
      </c>
      <c r="Q114" s="12">
        <v>104.8</v>
      </c>
      <c r="R114" s="1" t="s">
        <v>101</v>
      </c>
      <c r="S114" s="1" t="s">
        <v>102</v>
      </c>
      <c r="T114" s="6" t="s">
        <v>63</v>
      </c>
      <c r="U114" s="13">
        <v>0.27</v>
      </c>
      <c r="V114" s="12">
        <v>28.3</v>
      </c>
      <c r="W114" s="12">
        <v>0</v>
      </c>
      <c r="X114" s="1" t="s">
        <v>57</v>
      </c>
    </row>
    <row r="115" spans="1:24" x14ac:dyDescent="0.2">
      <c r="A115" s="1" t="s">
        <v>350</v>
      </c>
      <c r="B115" s="1" t="s">
        <v>47</v>
      </c>
      <c r="C115" s="1" t="s">
        <v>88</v>
      </c>
      <c r="D115" s="1" t="s">
        <v>269</v>
      </c>
      <c r="E115" s="1" t="s">
        <v>421</v>
      </c>
      <c r="F115" s="1" t="s">
        <v>422</v>
      </c>
      <c r="G115" s="1" t="s">
        <v>174</v>
      </c>
      <c r="H115" s="1" t="s">
        <v>53</v>
      </c>
      <c r="I115" s="1" t="s">
        <v>389</v>
      </c>
      <c r="J115" s="1" t="s">
        <v>418</v>
      </c>
      <c r="K115" s="1" t="s">
        <v>56</v>
      </c>
      <c r="L115" s="11" t="s">
        <v>57</v>
      </c>
      <c r="M115" s="1" t="s">
        <v>58</v>
      </c>
      <c r="N115" s="1" t="s">
        <v>59</v>
      </c>
      <c r="O115" s="1" t="s">
        <v>60</v>
      </c>
      <c r="P115" s="1">
        <v>0</v>
      </c>
      <c r="Q115" s="12">
        <v>147.96</v>
      </c>
      <c r="R115" s="1" t="s">
        <v>101</v>
      </c>
      <c r="S115" s="1" t="s">
        <v>102</v>
      </c>
      <c r="T115" s="6" t="s">
        <v>63</v>
      </c>
      <c r="U115" s="13">
        <v>0.23</v>
      </c>
      <c r="V115" s="12">
        <v>34.03</v>
      </c>
      <c r="W115" s="12">
        <v>0</v>
      </c>
      <c r="X115" s="1" t="s">
        <v>57</v>
      </c>
    </row>
    <row r="116" spans="1:24" x14ac:dyDescent="0.2">
      <c r="A116" s="1" t="s">
        <v>350</v>
      </c>
      <c r="B116" s="1" t="s">
        <v>47</v>
      </c>
      <c r="C116" s="1" t="s">
        <v>88</v>
      </c>
      <c r="D116" s="1" t="s">
        <v>269</v>
      </c>
      <c r="E116" s="1" t="s">
        <v>423</v>
      </c>
      <c r="F116" s="1" t="s">
        <v>424</v>
      </c>
      <c r="G116" s="1" t="s">
        <v>174</v>
      </c>
      <c r="H116" s="1" t="s">
        <v>53</v>
      </c>
      <c r="I116" s="1" t="s">
        <v>389</v>
      </c>
      <c r="J116" s="1" t="s">
        <v>418</v>
      </c>
      <c r="K116" s="1" t="s">
        <v>56</v>
      </c>
      <c r="L116" s="11" t="s">
        <v>57</v>
      </c>
      <c r="M116" s="1" t="s">
        <v>58</v>
      </c>
      <c r="N116" s="1" t="s">
        <v>59</v>
      </c>
      <c r="O116" s="1" t="s">
        <v>60</v>
      </c>
      <c r="P116" s="1">
        <v>0</v>
      </c>
      <c r="Q116" s="12">
        <v>147.96</v>
      </c>
      <c r="R116" s="1" t="s">
        <v>101</v>
      </c>
      <c r="S116" s="1" t="s">
        <v>102</v>
      </c>
      <c r="T116" s="6" t="s">
        <v>63</v>
      </c>
      <c r="U116" s="13">
        <v>0.23</v>
      </c>
      <c r="V116" s="12">
        <v>34.03</v>
      </c>
      <c r="W116" s="12">
        <v>0</v>
      </c>
      <c r="X116" s="1" t="s">
        <v>57</v>
      </c>
    </row>
    <row r="117" spans="1:24" x14ac:dyDescent="0.2">
      <c r="A117" s="1" t="s">
        <v>350</v>
      </c>
      <c r="B117" s="1" t="s">
        <v>47</v>
      </c>
      <c r="C117" s="1" t="s">
        <v>88</v>
      </c>
      <c r="D117" s="1" t="s">
        <v>269</v>
      </c>
      <c r="E117" s="1" t="s">
        <v>425</v>
      </c>
      <c r="F117" s="1" t="s">
        <v>426</v>
      </c>
      <c r="G117" s="1" t="s">
        <v>174</v>
      </c>
      <c r="H117" s="1" t="s">
        <v>53</v>
      </c>
      <c r="I117" s="1" t="s">
        <v>427</v>
      </c>
      <c r="J117" s="1" t="s">
        <v>105</v>
      </c>
      <c r="K117" s="1" t="s">
        <v>56</v>
      </c>
      <c r="L117" s="11" t="s">
        <v>57</v>
      </c>
      <c r="M117" s="1" t="s">
        <v>58</v>
      </c>
      <c r="N117" s="1" t="s">
        <v>59</v>
      </c>
      <c r="O117" s="1" t="s">
        <v>60</v>
      </c>
      <c r="P117" s="1">
        <v>0</v>
      </c>
      <c r="Q117" s="12">
        <v>62.69</v>
      </c>
      <c r="R117" s="1" t="s">
        <v>101</v>
      </c>
      <c r="S117" s="1" t="s">
        <v>102</v>
      </c>
      <c r="T117" s="6" t="s">
        <v>63</v>
      </c>
      <c r="U117" s="13">
        <v>0.27</v>
      </c>
      <c r="V117" s="12">
        <v>16.93</v>
      </c>
      <c r="W117" s="12">
        <v>0</v>
      </c>
      <c r="X117" s="1" t="s">
        <v>57</v>
      </c>
    </row>
    <row r="118" spans="1:24" x14ac:dyDescent="0.2">
      <c r="A118" s="1" t="s">
        <v>350</v>
      </c>
      <c r="B118" s="1" t="s">
        <v>47</v>
      </c>
      <c r="C118" s="1" t="s">
        <v>88</v>
      </c>
      <c r="D118" s="1" t="s">
        <v>269</v>
      </c>
      <c r="E118" s="1" t="s">
        <v>428</v>
      </c>
      <c r="F118" s="1" t="s">
        <v>429</v>
      </c>
      <c r="G118" s="1" t="s">
        <v>174</v>
      </c>
      <c r="H118" s="1" t="s">
        <v>53</v>
      </c>
      <c r="I118" s="1" t="s">
        <v>389</v>
      </c>
      <c r="J118" s="1" t="s">
        <v>100</v>
      </c>
      <c r="K118" s="1" t="s">
        <v>56</v>
      </c>
      <c r="L118" s="11" t="s">
        <v>57</v>
      </c>
      <c r="M118" s="1" t="s">
        <v>58</v>
      </c>
      <c r="N118" s="1" t="s">
        <v>59</v>
      </c>
      <c r="O118" s="1" t="s">
        <v>60</v>
      </c>
      <c r="P118" s="1">
        <v>0</v>
      </c>
      <c r="Q118" s="12">
        <v>170.16</v>
      </c>
      <c r="R118" s="1" t="s">
        <v>101</v>
      </c>
      <c r="S118" s="1" t="s">
        <v>102</v>
      </c>
      <c r="T118" s="6" t="s">
        <v>63</v>
      </c>
      <c r="U118" s="13">
        <v>0.23</v>
      </c>
      <c r="V118" s="12">
        <v>39.14</v>
      </c>
      <c r="W118" s="12">
        <v>0</v>
      </c>
      <c r="X118" s="1" t="s">
        <v>57</v>
      </c>
    </row>
    <row r="119" spans="1:24" x14ac:dyDescent="0.2">
      <c r="A119" s="1" t="s">
        <v>350</v>
      </c>
      <c r="B119" s="1" t="s">
        <v>47</v>
      </c>
      <c r="C119" s="1" t="s">
        <v>88</v>
      </c>
      <c r="D119" s="1" t="s">
        <v>269</v>
      </c>
      <c r="E119" s="1" t="s">
        <v>430</v>
      </c>
      <c r="F119" s="1" t="s">
        <v>431</v>
      </c>
      <c r="G119" s="1" t="s">
        <v>174</v>
      </c>
      <c r="H119" s="1" t="s">
        <v>53</v>
      </c>
      <c r="I119" s="1" t="s">
        <v>410</v>
      </c>
      <c r="J119" s="1" t="s">
        <v>432</v>
      </c>
      <c r="K119" s="1" t="s">
        <v>56</v>
      </c>
      <c r="L119" s="11" t="s">
        <v>57</v>
      </c>
      <c r="M119" s="1" t="s">
        <v>58</v>
      </c>
      <c r="N119" s="1" t="s">
        <v>59</v>
      </c>
      <c r="O119" s="1" t="s">
        <v>60</v>
      </c>
      <c r="P119" s="1">
        <v>0</v>
      </c>
      <c r="Q119" s="12">
        <v>100.3</v>
      </c>
      <c r="R119" s="1" t="s">
        <v>101</v>
      </c>
      <c r="S119" s="1" t="s">
        <v>102</v>
      </c>
      <c r="T119" s="6" t="s">
        <v>63</v>
      </c>
      <c r="U119" s="13">
        <v>0.27</v>
      </c>
      <c r="V119" s="12">
        <v>27.08</v>
      </c>
      <c r="W119" s="12">
        <v>0</v>
      </c>
      <c r="X119" s="1" t="s">
        <v>57</v>
      </c>
    </row>
    <row r="120" spans="1:24" x14ac:dyDescent="0.2">
      <c r="A120" s="1" t="s">
        <v>350</v>
      </c>
      <c r="B120" s="1" t="s">
        <v>47</v>
      </c>
      <c r="C120" s="1" t="s">
        <v>88</v>
      </c>
      <c r="D120" s="1" t="s">
        <v>269</v>
      </c>
      <c r="E120" s="1" t="s">
        <v>433</v>
      </c>
      <c r="F120" s="1" t="s">
        <v>434</v>
      </c>
      <c r="G120" s="1" t="s">
        <v>174</v>
      </c>
      <c r="H120" s="1" t="s">
        <v>53</v>
      </c>
      <c r="I120" s="1" t="s">
        <v>410</v>
      </c>
      <c r="J120" s="1" t="s">
        <v>432</v>
      </c>
      <c r="K120" s="1" t="s">
        <v>56</v>
      </c>
      <c r="L120" s="11" t="s">
        <v>57</v>
      </c>
      <c r="M120" s="1" t="s">
        <v>58</v>
      </c>
      <c r="N120" s="1" t="s">
        <v>59</v>
      </c>
      <c r="O120" s="1" t="s">
        <v>60</v>
      </c>
      <c r="P120" s="1">
        <v>0</v>
      </c>
      <c r="Q120" s="12">
        <v>115.35</v>
      </c>
      <c r="R120" s="1" t="s">
        <v>101</v>
      </c>
      <c r="S120" s="1" t="s">
        <v>102</v>
      </c>
      <c r="T120" s="6" t="s">
        <v>63</v>
      </c>
      <c r="U120" s="13">
        <v>0.27</v>
      </c>
      <c r="V120" s="12">
        <v>31.14</v>
      </c>
      <c r="W120" s="12">
        <v>0</v>
      </c>
      <c r="X120" s="1" t="s">
        <v>57</v>
      </c>
    </row>
    <row r="121" spans="1:24" x14ac:dyDescent="0.2">
      <c r="A121" s="1" t="s">
        <v>350</v>
      </c>
      <c r="B121" s="1" t="s">
        <v>47</v>
      </c>
      <c r="C121" s="1" t="s">
        <v>88</v>
      </c>
      <c r="D121" s="1" t="s">
        <v>269</v>
      </c>
      <c r="E121" s="1" t="s">
        <v>435</v>
      </c>
      <c r="F121" s="1" t="s">
        <v>436</v>
      </c>
      <c r="G121" s="1" t="s">
        <v>174</v>
      </c>
      <c r="H121" s="1" t="s">
        <v>169</v>
      </c>
      <c r="I121" s="1" t="s">
        <v>410</v>
      </c>
      <c r="J121" s="1" t="s">
        <v>152</v>
      </c>
      <c r="K121" s="1" t="s">
        <v>56</v>
      </c>
      <c r="L121" s="11" t="s">
        <v>57</v>
      </c>
      <c r="M121" s="1" t="s">
        <v>58</v>
      </c>
      <c r="N121" s="1" t="s">
        <v>59</v>
      </c>
      <c r="O121" s="1" t="s">
        <v>437</v>
      </c>
      <c r="P121" s="1">
        <v>0</v>
      </c>
      <c r="Q121" s="12">
        <v>477.08</v>
      </c>
      <c r="R121" s="1" t="s">
        <v>101</v>
      </c>
      <c r="S121" s="1" t="s">
        <v>102</v>
      </c>
      <c r="T121" s="6" t="s">
        <v>63</v>
      </c>
      <c r="U121" s="13">
        <v>0.27</v>
      </c>
      <c r="V121" s="12">
        <v>128.80000000000001</v>
      </c>
      <c r="W121" s="12">
        <v>0</v>
      </c>
      <c r="X121" s="1" t="s">
        <v>57</v>
      </c>
    </row>
    <row r="122" spans="1:24" x14ac:dyDescent="0.2">
      <c r="A122" s="1" t="s">
        <v>350</v>
      </c>
      <c r="B122" s="1" t="s">
        <v>47</v>
      </c>
      <c r="C122" s="1" t="s">
        <v>88</v>
      </c>
      <c r="D122" s="1" t="s">
        <v>269</v>
      </c>
      <c r="E122" s="1" t="s">
        <v>438</v>
      </c>
      <c r="F122" s="1" t="s">
        <v>439</v>
      </c>
      <c r="G122" s="1" t="s">
        <v>174</v>
      </c>
      <c r="H122" s="1" t="s">
        <v>53</v>
      </c>
      <c r="I122" s="1" t="s">
        <v>389</v>
      </c>
      <c r="J122" s="1" t="s">
        <v>152</v>
      </c>
      <c r="K122" s="1" t="s">
        <v>56</v>
      </c>
      <c r="L122" s="11" t="s">
        <v>57</v>
      </c>
      <c r="M122" s="1" t="s">
        <v>58</v>
      </c>
      <c r="N122" s="1" t="s">
        <v>59</v>
      </c>
      <c r="O122" s="1" t="s">
        <v>60</v>
      </c>
      <c r="P122" s="1">
        <v>0</v>
      </c>
      <c r="Q122" s="12">
        <v>141.63</v>
      </c>
      <c r="R122" s="1" t="s">
        <v>101</v>
      </c>
      <c r="S122" s="1" t="s">
        <v>102</v>
      </c>
      <c r="T122" s="6" t="s">
        <v>63</v>
      </c>
      <c r="U122" s="13">
        <v>0.23</v>
      </c>
      <c r="V122" s="12">
        <v>32.57</v>
      </c>
      <c r="W122" s="12">
        <v>0</v>
      </c>
      <c r="X122" s="1" t="s">
        <v>57</v>
      </c>
    </row>
    <row r="123" spans="1:24" x14ac:dyDescent="0.2">
      <c r="A123" s="1" t="s">
        <v>350</v>
      </c>
      <c r="B123" s="1" t="s">
        <v>47</v>
      </c>
      <c r="C123" s="1" t="s">
        <v>88</v>
      </c>
      <c r="D123" s="1" t="s">
        <v>269</v>
      </c>
      <c r="E123" s="1" t="s">
        <v>440</v>
      </c>
      <c r="F123" s="1" t="s">
        <v>441</v>
      </c>
      <c r="G123" s="1" t="s">
        <v>174</v>
      </c>
      <c r="H123" s="1" t="s">
        <v>53</v>
      </c>
      <c r="I123" s="1" t="s">
        <v>410</v>
      </c>
      <c r="J123" s="1" t="s">
        <v>442</v>
      </c>
      <c r="K123" s="1" t="s">
        <v>56</v>
      </c>
      <c r="L123" s="11" t="s">
        <v>57</v>
      </c>
      <c r="M123" s="1" t="s">
        <v>58</v>
      </c>
      <c r="N123" s="1" t="s">
        <v>59</v>
      </c>
      <c r="O123" s="1" t="s">
        <v>60</v>
      </c>
      <c r="P123" s="1">
        <v>0</v>
      </c>
      <c r="Q123" s="12">
        <v>122.27</v>
      </c>
      <c r="R123" s="1" t="s">
        <v>101</v>
      </c>
      <c r="S123" s="1" t="s">
        <v>102</v>
      </c>
      <c r="T123" s="6" t="s">
        <v>63</v>
      </c>
      <c r="U123" s="13">
        <v>0.27</v>
      </c>
      <c r="V123" s="12">
        <v>33.01</v>
      </c>
      <c r="W123" s="12">
        <v>0</v>
      </c>
      <c r="X123" s="1" t="s">
        <v>57</v>
      </c>
    </row>
    <row r="124" spans="1:24" x14ac:dyDescent="0.2">
      <c r="A124" s="1" t="s">
        <v>350</v>
      </c>
      <c r="B124" s="1" t="s">
        <v>47</v>
      </c>
      <c r="C124" s="1" t="s">
        <v>88</v>
      </c>
      <c r="D124" s="1" t="s">
        <v>269</v>
      </c>
      <c r="E124" s="1" t="s">
        <v>443</v>
      </c>
      <c r="F124" s="1" t="s">
        <v>444</v>
      </c>
      <c r="G124" s="1" t="s">
        <v>174</v>
      </c>
      <c r="H124" s="1" t="s">
        <v>53</v>
      </c>
      <c r="I124" s="1" t="s">
        <v>410</v>
      </c>
      <c r="J124" s="1" t="s">
        <v>445</v>
      </c>
      <c r="K124" s="1" t="s">
        <v>56</v>
      </c>
      <c r="L124" s="11" t="s">
        <v>57</v>
      </c>
      <c r="M124" s="1" t="s">
        <v>58</v>
      </c>
      <c r="N124" s="1" t="s">
        <v>59</v>
      </c>
      <c r="O124" s="1" t="s">
        <v>60</v>
      </c>
      <c r="P124" s="1">
        <v>0</v>
      </c>
      <c r="Q124" s="12">
        <v>122.27</v>
      </c>
      <c r="R124" s="1" t="s">
        <v>101</v>
      </c>
      <c r="S124" s="1" t="s">
        <v>102</v>
      </c>
      <c r="T124" s="6" t="s">
        <v>63</v>
      </c>
      <c r="U124" s="13">
        <v>0.27</v>
      </c>
      <c r="V124" s="12">
        <v>33.01</v>
      </c>
      <c r="W124" s="12">
        <v>0</v>
      </c>
      <c r="X124" s="1" t="s">
        <v>57</v>
      </c>
    </row>
    <row r="125" spans="1:24" x14ac:dyDescent="0.2">
      <c r="A125" s="1" t="s">
        <v>350</v>
      </c>
      <c r="B125" s="1" t="s">
        <v>47</v>
      </c>
      <c r="C125" s="1" t="s">
        <v>88</v>
      </c>
      <c r="D125" s="1" t="s">
        <v>269</v>
      </c>
      <c r="E125" s="1" t="s">
        <v>446</v>
      </c>
      <c r="F125" s="1" t="s">
        <v>447</v>
      </c>
      <c r="G125" s="1" t="s">
        <v>174</v>
      </c>
      <c r="H125" s="1" t="s">
        <v>53</v>
      </c>
      <c r="I125" s="1" t="s">
        <v>410</v>
      </c>
      <c r="J125" s="1" t="s">
        <v>442</v>
      </c>
      <c r="K125" s="1" t="s">
        <v>56</v>
      </c>
      <c r="L125" s="11" t="s">
        <v>57</v>
      </c>
      <c r="M125" s="1" t="s">
        <v>58</v>
      </c>
      <c r="N125" s="1" t="s">
        <v>59</v>
      </c>
      <c r="O125" s="1" t="s">
        <v>60</v>
      </c>
      <c r="P125" s="1">
        <v>0</v>
      </c>
      <c r="Q125" s="12">
        <v>107.59</v>
      </c>
      <c r="R125" s="1" t="s">
        <v>101</v>
      </c>
      <c r="S125" s="1" t="s">
        <v>102</v>
      </c>
      <c r="T125" s="6" t="s">
        <v>63</v>
      </c>
      <c r="U125" s="13">
        <v>0.27</v>
      </c>
      <c r="V125" s="12">
        <v>29.05</v>
      </c>
      <c r="W125" s="12">
        <v>0</v>
      </c>
      <c r="X125" s="1" t="s">
        <v>57</v>
      </c>
    </row>
    <row r="126" spans="1:24" x14ac:dyDescent="0.2">
      <c r="A126" s="1" t="s">
        <v>350</v>
      </c>
      <c r="B126" s="1" t="s">
        <v>47</v>
      </c>
      <c r="C126" s="1" t="s">
        <v>88</v>
      </c>
      <c r="D126" s="1" t="s">
        <v>269</v>
      </c>
      <c r="E126" s="1" t="s">
        <v>448</v>
      </c>
      <c r="F126" s="1" t="s">
        <v>449</v>
      </c>
      <c r="G126" s="1" t="s">
        <v>174</v>
      </c>
      <c r="H126" s="1" t="s">
        <v>53</v>
      </c>
      <c r="I126" s="1" t="s">
        <v>389</v>
      </c>
      <c r="J126" s="1" t="s">
        <v>450</v>
      </c>
      <c r="K126" s="1" t="s">
        <v>56</v>
      </c>
      <c r="L126" s="11" t="s">
        <v>57</v>
      </c>
      <c r="M126" s="1" t="s">
        <v>58</v>
      </c>
      <c r="N126" s="1" t="s">
        <v>59</v>
      </c>
      <c r="O126" s="1" t="s">
        <v>60</v>
      </c>
      <c r="P126" s="1">
        <v>0</v>
      </c>
      <c r="Q126" s="12">
        <v>173.81</v>
      </c>
      <c r="R126" s="1" t="s">
        <v>101</v>
      </c>
      <c r="S126" s="1" t="s">
        <v>102</v>
      </c>
      <c r="T126" s="6" t="s">
        <v>63</v>
      </c>
      <c r="U126" s="13">
        <v>0.23</v>
      </c>
      <c r="V126" s="12">
        <v>39.979999999999997</v>
      </c>
      <c r="W126" s="12">
        <v>0</v>
      </c>
      <c r="X126" s="1" t="s">
        <v>57</v>
      </c>
    </row>
    <row r="127" spans="1:24" x14ac:dyDescent="0.2">
      <c r="A127" s="1" t="s">
        <v>350</v>
      </c>
      <c r="B127" s="1" t="s">
        <v>47</v>
      </c>
      <c r="C127" s="1" t="s">
        <v>88</v>
      </c>
      <c r="D127" s="1" t="s">
        <v>269</v>
      </c>
      <c r="E127" s="1" t="s">
        <v>451</v>
      </c>
      <c r="F127" s="1" t="s">
        <v>452</v>
      </c>
      <c r="G127" s="1" t="s">
        <v>174</v>
      </c>
      <c r="H127" s="1" t="s">
        <v>53</v>
      </c>
      <c r="I127" s="1" t="s">
        <v>389</v>
      </c>
      <c r="J127" s="1" t="s">
        <v>450</v>
      </c>
      <c r="K127" s="1" t="s">
        <v>56</v>
      </c>
      <c r="L127" s="11" t="s">
        <v>57</v>
      </c>
      <c r="M127" s="1" t="s">
        <v>58</v>
      </c>
      <c r="N127" s="1" t="s">
        <v>59</v>
      </c>
      <c r="O127" s="1" t="s">
        <v>60</v>
      </c>
      <c r="P127" s="1">
        <v>0</v>
      </c>
      <c r="Q127" s="12">
        <v>151.93</v>
      </c>
      <c r="R127" s="1" t="s">
        <v>101</v>
      </c>
      <c r="S127" s="1" t="s">
        <v>102</v>
      </c>
      <c r="T127" s="6" t="s">
        <v>63</v>
      </c>
      <c r="U127" s="13">
        <v>0.23</v>
      </c>
      <c r="V127" s="12">
        <v>34.94</v>
      </c>
      <c r="W127" s="12">
        <v>0</v>
      </c>
      <c r="X127" s="1" t="s">
        <v>57</v>
      </c>
    </row>
    <row r="128" spans="1:24" x14ac:dyDescent="0.2">
      <c r="A128" s="1" t="s">
        <v>350</v>
      </c>
      <c r="B128" s="1" t="s">
        <v>47</v>
      </c>
      <c r="C128" s="1" t="s">
        <v>88</v>
      </c>
      <c r="D128" s="1" t="s">
        <v>269</v>
      </c>
      <c r="E128" s="1" t="s">
        <v>453</v>
      </c>
      <c r="F128" s="1" t="s">
        <v>454</v>
      </c>
      <c r="G128" s="1" t="s">
        <v>226</v>
      </c>
      <c r="H128" s="1" t="s">
        <v>53</v>
      </c>
      <c r="I128" s="1" t="s">
        <v>389</v>
      </c>
      <c r="J128" s="1" t="s">
        <v>133</v>
      </c>
      <c r="K128" s="1" t="s">
        <v>56</v>
      </c>
      <c r="L128" s="11" t="s">
        <v>57</v>
      </c>
      <c r="M128" s="1" t="s">
        <v>58</v>
      </c>
      <c r="N128" s="1" t="s">
        <v>59</v>
      </c>
      <c r="O128" s="1" t="s">
        <v>60</v>
      </c>
      <c r="P128" s="1">
        <v>0</v>
      </c>
      <c r="Q128" s="12">
        <v>135.43</v>
      </c>
      <c r="R128" s="1" t="s">
        <v>101</v>
      </c>
      <c r="S128" s="1" t="s">
        <v>102</v>
      </c>
      <c r="T128" s="6" t="s">
        <v>63</v>
      </c>
      <c r="U128" s="13">
        <v>0.23</v>
      </c>
      <c r="V128" s="12">
        <v>31.15</v>
      </c>
      <c r="W128" s="12">
        <v>0</v>
      </c>
      <c r="X128" s="1" t="s">
        <v>57</v>
      </c>
    </row>
    <row r="129" spans="1:24" x14ac:dyDescent="0.2">
      <c r="A129" s="1" t="s">
        <v>350</v>
      </c>
      <c r="B129" s="1" t="s">
        <v>47</v>
      </c>
      <c r="C129" s="1" t="s">
        <v>88</v>
      </c>
      <c r="D129" s="1" t="s">
        <v>269</v>
      </c>
      <c r="E129" s="1" t="s">
        <v>455</v>
      </c>
      <c r="F129" s="1" t="s">
        <v>456</v>
      </c>
      <c r="G129" s="1" t="s">
        <v>174</v>
      </c>
      <c r="H129" s="1" t="s">
        <v>53</v>
      </c>
      <c r="I129" s="1" t="s">
        <v>389</v>
      </c>
      <c r="J129" s="1" t="s">
        <v>133</v>
      </c>
      <c r="K129" s="1" t="s">
        <v>56</v>
      </c>
      <c r="L129" s="11" t="s">
        <v>57</v>
      </c>
      <c r="M129" s="1" t="s">
        <v>58</v>
      </c>
      <c r="N129" s="1" t="s">
        <v>59</v>
      </c>
      <c r="O129" s="1" t="s">
        <v>60</v>
      </c>
      <c r="P129" s="1">
        <v>0</v>
      </c>
      <c r="Q129" s="12">
        <v>167.12</v>
      </c>
      <c r="R129" s="1" t="s">
        <v>101</v>
      </c>
      <c r="S129" s="1" t="s">
        <v>102</v>
      </c>
      <c r="T129" s="6" t="s">
        <v>63</v>
      </c>
      <c r="U129" s="13">
        <v>0.23</v>
      </c>
      <c r="V129" s="12">
        <v>38.44</v>
      </c>
      <c r="W129" s="12">
        <v>0</v>
      </c>
      <c r="X129" s="1" t="s">
        <v>57</v>
      </c>
    </row>
    <row r="130" spans="1:24" x14ac:dyDescent="0.2">
      <c r="A130" s="1" t="s">
        <v>350</v>
      </c>
      <c r="B130" s="1" t="s">
        <v>47</v>
      </c>
      <c r="C130" s="1" t="s">
        <v>88</v>
      </c>
      <c r="D130" s="1" t="s">
        <v>269</v>
      </c>
      <c r="E130" s="1" t="s">
        <v>457</v>
      </c>
      <c r="F130" s="1" t="s">
        <v>458</v>
      </c>
      <c r="G130" s="1" t="s">
        <v>174</v>
      </c>
      <c r="H130" s="1" t="s">
        <v>53</v>
      </c>
      <c r="I130" s="1" t="s">
        <v>410</v>
      </c>
      <c r="J130" s="1" t="s">
        <v>459</v>
      </c>
      <c r="K130" s="1" t="s">
        <v>56</v>
      </c>
      <c r="L130" s="11" t="s">
        <v>57</v>
      </c>
      <c r="M130" s="1" t="s">
        <v>58</v>
      </c>
      <c r="N130" s="1" t="s">
        <v>59</v>
      </c>
      <c r="O130" s="1" t="s">
        <v>60</v>
      </c>
      <c r="P130" s="1">
        <v>0</v>
      </c>
      <c r="Q130" s="12">
        <v>93.57</v>
      </c>
      <c r="R130" s="1" t="s">
        <v>101</v>
      </c>
      <c r="S130" s="1" t="s">
        <v>102</v>
      </c>
      <c r="T130" s="6" t="s">
        <v>63</v>
      </c>
      <c r="U130" s="13">
        <v>0.27</v>
      </c>
      <c r="V130" s="12">
        <v>25.26</v>
      </c>
      <c r="W130" s="12">
        <v>0</v>
      </c>
      <c r="X130" s="1" t="s">
        <v>57</v>
      </c>
    </row>
    <row r="131" spans="1:24" x14ac:dyDescent="0.2">
      <c r="A131" s="1" t="s">
        <v>350</v>
      </c>
      <c r="B131" s="1" t="s">
        <v>47</v>
      </c>
      <c r="C131" s="1" t="s">
        <v>88</v>
      </c>
      <c r="D131" s="1" t="s">
        <v>269</v>
      </c>
      <c r="E131" s="1" t="s">
        <v>460</v>
      </c>
      <c r="F131" s="1" t="s">
        <v>461</v>
      </c>
      <c r="G131" s="1" t="s">
        <v>174</v>
      </c>
      <c r="H131" s="1" t="s">
        <v>53</v>
      </c>
      <c r="I131" s="1" t="s">
        <v>462</v>
      </c>
      <c r="J131" s="1" t="s">
        <v>459</v>
      </c>
      <c r="K131" s="1" t="s">
        <v>56</v>
      </c>
      <c r="L131" s="11" t="s">
        <v>57</v>
      </c>
      <c r="M131" s="1" t="s">
        <v>58</v>
      </c>
      <c r="N131" s="1" t="s">
        <v>59</v>
      </c>
      <c r="O131" s="1" t="s">
        <v>60</v>
      </c>
      <c r="P131" s="1">
        <v>0</v>
      </c>
      <c r="Q131" s="12">
        <v>151.85</v>
      </c>
      <c r="R131" s="1" t="s">
        <v>101</v>
      </c>
      <c r="S131" s="1" t="s">
        <v>102</v>
      </c>
      <c r="T131" s="6" t="s">
        <v>63</v>
      </c>
      <c r="U131" s="13">
        <v>0.23</v>
      </c>
      <c r="V131" s="12">
        <v>34.93</v>
      </c>
      <c r="W131" s="12">
        <v>0</v>
      </c>
      <c r="X131" s="1" t="s">
        <v>57</v>
      </c>
    </row>
    <row r="132" spans="1:24" x14ac:dyDescent="0.2">
      <c r="A132" s="1" t="s">
        <v>350</v>
      </c>
      <c r="B132" s="1" t="s">
        <v>47</v>
      </c>
      <c r="C132" s="1" t="s">
        <v>88</v>
      </c>
      <c r="D132" s="1" t="s">
        <v>269</v>
      </c>
      <c r="E132" s="1" t="s">
        <v>463</v>
      </c>
      <c r="F132" s="1" t="s">
        <v>464</v>
      </c>
      <c r="G132" s="1" t="s">
        <v>174</v>
      </c>
      <c r="H132" s="1" t="s">
        <v>53</v>
      </c>
      <c r="I132" s="1" t="s">
        <v>389</v>
      </c>
      <c r="J132" s="1" t="s">
        <v>459</v>
      </c>
      <c r="K132" s="1" t="s">
        <v>56</v>
      </c>
      <c r="L132" s="11" t="s">
        <v>57</v>
      </c>
      <c r="M132" s="1" t="s">
        <v>58</v>
      </c>
      <c r="N132" s="1" t="s">
        <v>59</v>
      </c>
      <c r="O132" s="1" t="s">
        <v>60</v>
      </c>
      <c r="P132" s="1">
        <v>0</v>
      </c>
      <c r="Q132" s="12">
        <v>151.93</v>
      </c>
      <c r="R132" s="1" t="s">
        <v>101</v>
      </c>
      <c r="S132" s="1" t="s">
        <v>102</v>
      </c>
      <c r="T132" s="6" t="s">
        <v>63</v>
      </c>
      <c r="U132" s="13">
        <v>0.23</v>
      </c>
      <c r="V132" s="12">
        <v>34.94</v>
      </c>
      <c r="W132" s="12">
        <v>0</v>
      </c>
      <c r="X132" s="1" t="s">
        <v>57</v>
      </c>
    </row>
    <row r="133" spans="1:24" x14ac:dyDescent="0.2">
      <c r="A133" s="1" t="s">
        <v>350</v>
      </c>
      <c r="B133" s="1" t="s">
        <v>47</v>
      </c>
      <c r="C133" s="1" t="s">
        <v>88</v>
      </c>
      <c r="D133" s="1" t="s">
        <v>269</v>
      </c>
      <c r="E133" s="1" t="s">
        <v>465</v>
      </c>
      <c r="F133" s="1" t="s">
        <v>466</v>
      </c>
      <c r="G133" s="1" t="s">
        <v>174</v>
      </c>
      <c r="H133" s="1" t="s">
        <v>53</v>
      </c>
      <c r="I133" s="1" t="s">
        <v>389</v>
      </c>
      <c r="J133" s="1" t="s">
        <v>467</v>
      </c>
      <c r="K133" s="1" t="s">
        <v>56</v>
      </c>
      <c r="L133" s="11" t="s">
        <v>57</v>
      </c>
      <c r="M133" s="1" t="s">
        <v>58</v>
      </c>
      <c r="N133" s="1" t="s">
        <v>59</v>
      </c>
      <c r="O133" s="1" t="s">
        <v>60</v>
      </c>
      <c r="P133" s="1">
        <v>0</v>
      </c>
      <c r="Q133" s="12">
        <v>151.93</v>
      </c>
      <c r="R133" s="1" t="s">
        <v>101</v>
      </c>
      <c r="S133" s="1" t="s">
        <v>102</v>
      </c>
      <c r="T133" s="6" t="s">
        <v>63</v>
      </c>
      <c r="U133" s="13">
        <v>0.23</v>
      </c>
      <c r="V133" s="12">
        <v>34.94</v>
      </c>
      <c r="W133" s="12">
        <v>0</v>
      </c>
      <c r="X133" s="1" t="s">
        <v>57</v>
      </c>
    </row>
    <row r="134" spans="1:24" x14ac:dyDescent="0.2">
      <c r="A134" s="1" t="s">
        <v>350</v>
      </c>
      <c r="B134" s="1" t="s">
        <v>47</v>
      </c>
      <c r="C134" s="1" t="s">
        <v>88</v>
      </c>
      <c r="D134" s="1" t="s">
        <v>269</v>
      </c>
      <c r="E134" s="1" t="s">
        <v>468</v>
      </c>
      <c r="F134" s="1" t="s">
        <v>469</v>
      </c>
      <c r="G134" s="1" t="s">
        <v>174</v>
      </c>
      <c r="H134" s="1" t="s">
        <v>53</v>
      </c>
      <c r="I134" s="1" t="s">
        <v>389</v>
      </c>
      <c r="J134" s="1" t="s">
        <v>467</v>
      </c>
      <c r="K134" s="1" t="s">
        <v>56</v>
      </c>
      <c r="L134" s="11" t="s">
        <v>57</v>
      </c>
      <c r="M134" s="1" t="s">
        <v>58</v>
      </c>
      <c r="N134" s="1" t="s">
        <v>59</v>
      </c>
      <c r="O134" s="1" t="s">
        <v>60</v>
      </c>
      <c r="P134" s="1">
        <v>0</v>
      </c>
      <c r="Q134" s="12">
        <v>132.11000000000001</v>
      </c>
      <c r="R134" s="1" t="s">
        <v>101</v>
      </c>
      <c r="S134" s="1" t="s">
        <v>102</v>
      </c>
      <c r="T134" s="6" t="s">
        <v>63</v>
      </c>
      <c r="U134" s="13">
        <v>0.23</v>
      </c>
      <c r="V134" s="12">
        <v>30.39</v>
      </c>
      <c r="W134" s="12">
        <v>0</v>
      </c>
      <c r="X134" s="1" t="s">
        <v>57</v>
      </c>
    </row>
    <row r="135" spans="1:24" x14ac:dyDescent="0.2">
      <c r="A135" s="1" t="s">
        <v>350</v>
      </c>
      <c r="B135" s="1" t="s">
        <v>47</v>
      </c>
      <c r="C135" s="1" t="s">
        <v>88</v>
      </c>
      <c r="D135" s="1" t="s">
        <v>269</v>
      </c>
      <c r="E135" s="1" t="s">
        <v>470</v>
      </c>
      <c r="F135" s="1" t="s">
        <v>471</v>
      </c>
      <c r="G135" s="1" t="s">
        <v>174</v>
      </c>
      <c r="H135" s="1" t="s">
        <v>53</v>
      </c>
      <c r="I135" s="1" t="s">
        <v>389</v>
      </c>
      <c r="J135" s="1" t="s">
        <v>467</v>
      </c>
      <c r="K135" s="1" t="s">
        <v>56</v>
      </c>
      <c r="L135" s="11" t="s">
        <v>57</v>
      </c>
      <c r="M135" s="1" t="s">
        <v>58</v>
      </c>
      <c r="N135" s="1" t="s">
        <v>59</v>
      </c>
      <c r="O135" s="1" t="s">
        <v>60</v>
      </c>
      <c r="P135" s="1">
        <v>0</v>
      </c>
      <c r="Q135" s="12">
        <v>186.81</v>
      </c>
      <c r="R135" s="1" t="s">
        <v>101</v>
      </c>
      <c r="S135" s="1" t="s">
        <v>102</v>
      </c>
      <c r="T135" s="6" t="s">
        <v>63</v>
      </c>
      <c r="U135" s="13">
        <v>0.23</v>
      </c>
      <c r="V135" s="12">
        <v>42.97</v>
      </c>
      <c r="W135" s="12">
        <v>0</v>
      </c>
      <c r="X135" s="1" t="s">
        <v>57</v>
      </c>
    </row>
    <row r="136" spans="1:24" x14ac:dyDescent="0.2">
      <c r="A136" s="1" t="s">
        <v>350</v>
      </c>
      <c r="B136" s="1" t="s">
        <v>47</v>
      </c>
      <c r="C136" s="1" t="s">
        <v>88</v>
      </c>
      <c r="D136" s="1" t="s">
        <v>269</v>
      </c>
      <c r="E136" s="1" t="s">
        <v>472</v>
      </c>
      <c r="F136" s="1" t="s">
        <v>473</v>
      </c>
      <c r="G136" s="1" t="s">
        <v>174</v>
      </c>
      <c r="H136" s="1" t="s">
        <v>53</v>
      </c>
      <c r="I136" s="1" t="s">
        <v>410</v>
      </c>
      <c r="J136" s="1" t="s">
        <v>474</v>
      </c>
      <c r="K136" s="1" t="s">
        <v>56</v>
      </c>
      <c r="L136" s="11" t="s">
        <v>57</v>
      </c>
      <c r="M136" s="1" t="s">
        <v>58</v>
      </c>
      <c r="N136" s="1" t="s">
        <v>59</v>
      </c>
      <c r="O136" s="1" t="s">
        <v>60</v>
      </c>
      <c r="P136" s="1">
        <v>0</v>
      </c>
      <c r="Q136" s="12">
        <v>120.5</v>
      </c>
      <c r="R136" s="1" t="s">
        <v>101</v>
      </c>
      <c r="S136" s="1" t="s">
        <v>102</v>
      </c>
      <c r="T136" s="6" t="s">
        <v>63</v>
      </c>
      <c r="U136" s="13">
        <v>0.27</v>
      </c>
      <c r="V136" s="12">
        <v>32.54</v>
      </c>
      <c r="W136" s="12">
        <v>0</v>
      </c>
      <c r="X136" s="1" t="s">
        <v>57</v>
      </c>
    </row>
    <row r="137" spans="1:24" x14ac:dyDescent="0.2">
      <c r="A137" s="1" t="s">
        <v>350</v>
      </c>
      <c r="B137" s="1" t="s">
        <v>47</v>
      </c>
      <c r="C137" s="1" t="s">
        <v>88</v>
      </c>
      <c r="D137" s="1" t="s">
        <v>269</v>
      </c>
      <c r="E137" s="1" t="s">
        <v>475</v>
      </c>
      <c r="F137" s="1" t="s">
        <v>476</v>
      </c>
      <c r="G137" s="1" t="s">
        <v>174</v>
      </c>
      <c r="H137" s="1" t="s">
        <v>53</v>
      </c>
      <c r="I137" s="1" t="s">
        <v>410</v>
      </c>
      <c r="J137" s="1" t="s">
        <v>474</v>
      </c>
      <c r="K137" s="1" t="s">
        <v>56</v>
      </c>
      <c r="L137" s="11" t="s">
        <v>57</v>
      </c>
      <c r="M137" s="1" t="s">
        <v>58</v>
      </c>
      <c r="N137" s="1" t="s">
        <v>59</v>
      </c>
      <c r="O137" s="1" t="s">
        <v>60</v>
      </c>
      <c r="P137" s="1">
        <v>0</v>
      </c>
      <c r="Q137" s="12">
        <v>104.8</v>
      </c>
      <c r="R137" s="1" t="s">
        <v>101</v>
      </c>
      <c r="S137" s="1" t="s">
        <v>102</v>
      </c>
      <c r="T137" s="6" t="s">
        <v>63</v>
      </c>
      <c r="U137" s="13">
        <v>0.27</v>
      </c>
      <c r="V137" s="12">
        <v>28.3</v>
      </c>
      <c r="W137" s="12">
        <v>0</v>
      </c>
      <c r="X137" s="1" t="s">
        <v>57</v>
      </c>
    </row>
    <row r="138" spans="1:24" x14ac:dyDescent="0.2">
      <c r="A138" s="1" t="s">
        <v>350</v>
      </c>
      <c r="B138" s="1" t="s">
        <v>47</v>
      </c>
      <c r="C138" s="1" t="s">
        <v>88</v>
      </c>
      <c r="D138" s="1" t="s">
        <v>269</v>
      </c>
      <c r="E138" s="1" t="s">
        <v>477</v>
      </c>
      <c r="F138" s="1" t="s">
        <v>478</v>
      </c>
      <c r="G138" s="1" t="s">
        <v>174</v>
      </c>
      <c r="H138" s="1" t="s">
        <v>53</v>
      </c>
      <c r="I138" s="1" t="s">
        <v>410</v>
      </c>
      <c r="J138" s="1" t="s">
        <v>474</v>
      </c>
      <c r="K138" s="1" t="s">
        <v>56</v>
      </c>
      <c r="L138" s="11" t="s">
        <v>57</v>
      </c>
      <c r="M138" s="1" t="s">
        <v>58</v>
      </c>
      <c r="N138" s="1" t="s">
        <v>59</v>
      </c>
      <c r="O138" s="1" t="s">
        <v>60</v>
      </c>
      <c r="P138" s="1">
        <v>0</v>
      </c>
      <c r="Q138" s="12">
        <v>120.5</v>
      </c>
      <c r="R138" s="1" t="s">
        <v>101</v>
      </c>
      <c r="S138" s="1" t="s">
        <v>102</v>
      </c>
      <c r="T138" s="6" t="s">
        <v>63</v>
      </c>
      <c r="U138" s="13">
        <v>0.27</v>
      </c>
      <c r="V138" s="12">
        <v>32.54</v>
      </c>
      <c r="W138" s="12">
        <v>0</v>
      </c>
      <c r="X138" s="1" t="s">
        <v>57</v>
      </c>
    </row>
    <row r="139" spans="1:24" x14ac:dyDescent="0.2">
      <c r="A139" s="1" t="s">
        <v>350</v>
      </c>
      <c r="B139" s="1" t="s">
        <v>47</v>
      </c>
      <c r="C139" s="1" t="s">
        <v>88</v>
      </c>
      <c r="D139" s="1" t="s">
        <v>269</v>
      </c>
      <c r="E139" s="1" t="s">
        <v>479</v>
      </c>
      <c r="F139" s="1" t="s">
        <v>480</v>
      </c>
      <c r="G139" s="1" t="s">
        <v>174</v>
      </c>
      <c r="H139" s="1" t="s">
        <v>53</v>
      </c>
      <c r="I139" s="1" t="s">
        <v>389</v>
      </c>
      <c r="J139" s="1" t="s">
        <v>474</v>
      </c>
      <c r="K139" s="1" t="s">
        <v>56</v>
      </c>
      <c r="L139" s="11" t="s">
        <v>57</v>
      </c>
      <c r="M139" s="1" t="s">
        <v>58</v>
      </c>
      <c r="N139" s="1" t="s">
        <v>59</v>
      </c>
      <c r="O139" s="1" t="s">
        <v>60</v>
      </c>
      <c r="P139" s="1">
        <v>0</v>
      </c>
      <c r="Q139" s="12">
        <v>147.96</v>
      </c>
      <c r="R139" s="1" t="s">
        <v>101</v>
      </c>
      <c r="S139" s="1" t="s">
        <v>102</v>
      </c>
      <c r="T139" s="6" t="s">
        <v>63</v>
      </c>
      <c r="U139" s="13">
        <v>0.23</v>
      </c>
      <c r="V139" s="12">
        <v>34.03</v>
      </c>
      <c r="W139" s="12">
        <v>0</v>
      </c>
      <c r="X139" s="1" t="s">
        <v>57</v>
      </c>
    </row>
    <row r="140" spans="1:24" x14ac:dyDescent="0.2">
      <c r="A140" s="1" t="s">
        <v>350</v>
      </c>
      <c r="B140" s="1" t="s">
        <v>47</v>
      </c>
      <c r="C140" s="1" t="s">
        <v>88</v>
      </c>
      <c r="D140" s="1" t="s">
        <v>481</v>
      </c>
      <c r="E140" s="1" t="s">
        <v>482</v>
      </c>
      <c r="F140" s="1" t="s">
        <v>483</v>
      </c>
      <c r="G140" s="1" t="s">
        <v>174</v>
      </c>
      <c r="H140" s="1" t="s">
        <v>169</v>
      </c>
      <c r="I140" s="1" t="s">
        <v>410</v>
      </c>
      <c r="J140" s="1" t="s">
        <v>96</v>
      </c>
      <c r="K140" s="1" t="s">
        <v>56</v>
      </c>
      <c r="L140" s="11" t="s">
        <v>57</v>
      </c>
      <c r="M140" s="1" t="s">
        <v>58</v>
      </c>
      <c r="N140" s="1" t="s">
        <v>59</v>
      </c>
      <c r="O140" s="1" t="s">
        <v>60</v>
      </c>
      <c r="P140" s="1">
        <v>0</v>
      </c>
      <c r="Q140" s="12">
        <v>104.8</v>
      </c>
      <c r="R140" s="1" t="s">
        <v>61</v>
      </c>
      <c r="S140" s="1" t="s">
        <v>62</v>
      </c>
      <c r="T140" s="6" t="s">
        <v>63</v>
      </c>
      <c r="U140" s="13">
        <v>2.5000000000000001E-2</v>
      </c>
      <c r="V140" s="12">
        <v>2.62</v>
      </c>
      <c r="W140" s="12">
        <v>0</v>
      </c>
      <c r="X140" s="1" t="s">
        <v>57</v>
      </c>
    </row>
    <row r="141" spans="1:24" x14ac:dyDescent="0.2">
      <c r="A141" s="1" t="s">
        <v>350</v>
      </c>
      <c r="B141" s="1" t="s">
        <v>47</v>
      </c>
      <c r="C141" s="1" t="s">
        <v>88</v>
      </c>
      <c r="D141" s="1" t="s">
        <v>369</v>
      </c>
      <c r="E141" s="1" t="s">
        <v>484</v>
      </c>
      <c r="F141" s="1" t="s">
        <v>485</v>
      </c>
      <c r="G141" s="1" t="s">
        <v>52</v>
      </c>
      <c r="H141" s="1" t="s">
        <v>53</v>
      </c>
      <c r="I141" s="1" t="s">
        <v>372</v>
      </c>
      <c r="J141" s="1" t="s">
        <v>486</v>
      </c>
      <c r="K141" s="1" t="s">
        <v>487</v>
      </c>
      <c r="L141" s="11" t="s">
        <v>57</v>
      </c>
      <c r="M141" s="1" t="s">
        <v>58</v>
      </c>
      <c r="N141" s="1" t="s">
        <v>59</v>
      </c>
      <c r="O141" s="1" t="s">
        <v>60</v>
      </c>
      <c r="P141" s="1">
        <v>0</v>
      </c>
      <c r="Q141" s="12">
        <v>36.08</v>
      </c>
      <c r="R141" s="1" t="s">
        <v>101</v>
      </c>
      <c r="S141" s="1" t="s">
        <v>102</v>
      </c>
      <c r="T141" s="6" t="s">
        <v>63</v>
      </c>
      <c r="U141" s="13">
        <v>0.03</v>
      </c>
      <c r="V141" s="12">
        <v>1.08</v>
      </c>
      <c r="W141" s="12">
        <v>0</v>
      </c>
      <c r="X141" s="1" t="s">
        <v>57</v>
      </c>
    </row>
    <row r="142" spans="1:24" x14ac:dyDescent="0.2">
      <c r="A142" s="1" t="s">
        <v>350</v>
      </c>
      <c r="B142" s="1" t="s">
        <v>47</v>
      </c>
      <c r="C142" s="1" t="s">
        <v>88</v>
      </c>
      <c r="D142" s="1" t="s">
        <v>369</v>
      </c>
      <c r="E142" s="1" t="s">
        <v>488</v>
      </c>
      <c r="F142" s="1" t="s">
        <v>489</v>
      </c>
      <c r="G142" s="1" t="s">
        <v>52</v>
      </c>
      <c r="H142" s="1" t="s">
        <v>53</v>
      </c>
      <c r="I142" s="1" t="s">
        <v>359</v>
      </c>
      <c r="J142" s="1" t="s">
        <v>490</v>
      </c>
      <c r="K142" s="1" t="s">
        <v>491</v>
      </c>
      <c r="L142" s="11" t="s">
        <v>57</v>
      </c>
      <c r="M142" s="1" t="s">
        <v>58</v>
      </c>
      <c r="N142" s="1" t="s">
        <v>59</v>
      </c>
      <c r="O142" s="1" t="s">
        <v>60</v>
      </c>
      <c r="P142" s="1">
        <v>0</v>
      </c>
      <c r="Q142" s="12">
        <v>79.28</v>
      </c>
      <c r="R142" s="1" t="s">
        <v>101</v>
      </c>
      <c r="S142" s="1" t="s">
        <v>102</v>
      </c>
      <c r="T142" s="6" t="s">
        <v>63</v>
      </c>
      <c r="U142" s="13">
        <v>0.03</v>
      </c>
      <c r="V142" s="12">
        <v>2.38</v>
      </c>
      <c r="W142" s="12">
        <v>0</v>
      </c>
      <c r="X142" s="1" t="s">
        <v>57</v>
      </c>
    </row>
    <row r="143" spans="1:24" x14ac:dyDescent="0.2">
      <c r="A143" s="1" t="s">
        <v>350</v>
      </c>
      <c r="B143" s="1" t="s">
        <v>47</v>
      </c>
      <c r="C143" s="1" t="s">
        <v>88</v>
      </c>
      <c r="D143" s="1" t="s">
        <v>369</v>
      </c>
      <c r="E143" s="1" t="s">
        <v>492</v>
      </c>
      <c r="F143" s="1" t="s">
        <v>493</v>
      </c>
      <c r="G143" s="1" t="s">
        <v>52</v>
      </c>
      <c r="H143" s="1" t="s">
        <v>53</v>
      </c>
      <c r="I143" s="1" t="s">
        <v>372</v>
      </c>
      <c r="J143" s="1" t="s">
        <v>105</v>
      </c>
      <c r="K143" s="1" t="s">
        <v>56</v>
      </c>
      <c r="L143" s="11" t="s">
        <v>57</v>
      </c>
      <c r="M143" s="1" t="s">
        <v>58</v>
      </c>
      <c r="N143" s="1" t="s">
        <v>59</v>
      </c>
      <c r="O143" s="1" t="s">
        <v>60</v>
      </c>
      <c r="P143" s="1">
        <v>0</v>
      </c>
      <c r="Q143" s="12">
        <v>36.08</v>
      </c>
      <c r="R143" s="1" t="s">
        <v>101</v>
      </c>
      <c r="S143" s="1" t="s">
        <v>102</v>
      </c>
      <c r="T143" s="6" t="s">
        <v>63</v>
      </c>
      <c r="U143" s="13">
        <v>0.03</v>
      </c>
      <c r="V143" s="12">
        <v>1.08</v>
      </c>
      <c r="W143" s="12">
        <v>0</v>
      </c>
      <c r="X143" s="1" t="s">
        <v>57</v>
      </c>
    </row>
    <row r="144" spans="1:24" x14ac:dyDescent="0.2">
      <c r="A144" s="1" t="s">
        <v>350</v>
      </c>
      <c r="B144" s="1" t="s">
        <v>47</v>
      </c>
      <c r="C144" s="1" t="s">
        <v>88</v>
      </c>
      <c r="D144" s="1" t="s">
        <v>369</v>
      </c>
      <c r="E144" s="1" t="s">
        <v>494</v>
      </c>
      <c r="F144" s="1" t="s">
        <v>495</v>
      </c>
      <c r="G144" s="1" t="s">
        <v>496</v>
      </c>
      <c r="H144" s="1" t="s">
        <v>53</v>
      </c>
      <c r="I144" s="1" t="s">
        <v>372</v>
      </c>
      <c r="J144" s="1" t="s">
        <v>105</v>
      </c>
      <c r="K144" s="1" t="s">
        <v>56</v>
      </c>
      <c r="L144" s="11" t="s">
        <v>57</v>
      </c>
      <c r="M144" s="1" t="s">
        <v>58</v>
      </c>
      <c r="N144" s="1" t="s">
        <v>59</v>
      </c>
      <c r="O144" s="1" t="s">
        <v>60</v>
      </c>
      <c r="P144" s="1">
        <v>0</v>
      </c>
      <c r="Q144" s="12">
        <v>36.72</v>
      </c>
      <c r="R144" s="1" t="s">
        <v>101</v>
      </c>
      <c r="S144" s="1" t="s">
        <v>102</v>
      </c>
      <c r="T144" s="6" t="s">
        <v>63</v>
      </c>
      <c r="U144" s="13">
        <v>0.03</v>
      </c>
      <c r="V144" s="12">
        <v>1.1000000000000001</v>
      </c>
      <c r="W144" s="12">
        <v>0</v>
      </c>
      <c r="X144" s="1" t="s">
        <v>57</v>
      </c>
    </row>
    <row r="145" spans="1:24" x14ac:dyDescent="0.2">
      <c r="A145" s="1" t="s">
        <v>350</v>
      </c>
      <c r="B145" s="1" t="s">
        <v>47</v>
      </c>
      <c r="C145" s="1" t="s">
        <v>88</v>
      </c>
      <c r="D145" s="1" t="s">
        <v>369</v>
      </c>
      <c r="E145" s="1" t="s">
        <v>497</v>
      </c>
      <c r="F145" s="1" t="s">
        <v>498</v>
      </c>
      <c r="G145" s="1" t="s">
        <v>496</v>
      </c>
      <c r="H145" s="1" t="s">
        <v>53</v>
      </c>
      <c r="I145" s="1" t="s">
        <v>372</v>
      </c>
      <c r="J145" s="1" t="s">
        <v>105</v>
      </c>
      <c r="K145" s="1" t="s">
        <v>56</v>
      </c>
      <c r="L145" s="11" t="s">
        <v>57</v>
      </c>
      <c r="M145" s="1" t="s">
        <v>58</v>
      </c>
      <c r="N145" s="1" t="s">
        <v>59</v>
      </c>
      <c r="O145" s="1" t="s">
        <v>60</v>
      </c>
      <c r="P145" s="1">
        <v>0</v>
      </c>
      <c r="Q145" s="12">
        <v>36.72</v>
      </c>
      <c r="R145" s="1" t="s">
        <v>101</v>
      </c>
      <c r="S145" s="1" t="s">
        <v>102</v>
      </c>
      <c r="T145" s="6" t="s">
        <v>63</v>
      </c>
      <c r="U145" s="13">
        <v>0.03</v>
      </c>
      <c r="V145" s="12">
        <v>1.1000000000000001</v>
      </c>
      <c r="W145" s="12">
        <v>0</v>
      </c>
      <c r="X145" s="1" t="s">
        <v>57</v>
      </c>
    </row>
    <row r="146" spans="1:24" x14ac:dyDescent="0.2">
      <c r="A146" s="1" t="s">
        <v>350</v>
      </c>
      <c r="B146" s="1" t="s">
        <v>47</v>
      </c>
      <c r="C146" s="1" t="s">
        <v>88</v>
      </c>
      <c r="D146" s="1" t="s">
        <v>369</v>
      </c>
      <c r="E146" s="1" t="s">
        <v>499</v>
      </c>
      <c r="F146" s="1" t="s">
        <v>500</v>
      </c>
      <c r="G146" s="1" t="s">
        <v>52</v>
      </c>
      <c r="H146" s="1" t="s">
        <v>53</v>
      </c>
      <c r="I146" s="1" t="s">
        <v>359</v>
      </c>
      <c r="J146" s="1" t="s">
        <v>105</v>
      </c>
      <c r="K146" s="1" t="s">
        <v>56</v>
      </c>
      <c r="L146" s="11" t="s">
        <v>57</v>
      </c>
      <c r="M146" s="1" t="s">
        <v>58</v>
      </c>
      <c r="N146" s="1" t="s">
        <v>59</v>
      </c>
      <c r="O146" s="1" t="s">
        <v>60</v>
      </c>
      <c r="P146" s="1">
        <v>0</v>
      </c>
      <c r="Q146" s="12">
        <v>79.28</v>
      </c>
      <c r="R146" s="1" t="s">
        <v>101</v>
      </c>
      <c r="S146" s="1" t="s">
        <v>102</v>
      </c>
      <c r="T146" s="6" t="s">
        <v>63</v>
      </c>
      <c r="U146" s="13">
        <v>0.03</v>
      </c>
      <c r="V146" s="12">
        <v>2.38</v>
      </c>
      <c r="W146" s="12">
        <v>0</v>
      </c>
      <c r="X146" s="1" t="s">
        <v>57</v>
      </c>
    </row>
    <row r="147" spans="1:24" x14ac:dyDescent="0.2">
      <c r="A147" s="1" t="s">
        <v>350</v>
      </c>
      <c r="B147" s="1" t="s">
        <v>47</v>
      </c>
      <c r="C147" s="1" t="s">
        <v>88</v>
      </c>
      <c r="D147" s="1" t="s">
        <v>369</v>
      </c>
      <c r="E147" s="1" t="s">
        <v>501</v>
      </c>
      <c r="F147" s="1" t="s">
        <v>502</v>
      </c>
      <c r="G147" s="1" t="s">
        <v>52</v>
      </c>
      <c r="H147" s="1" t="s">
        <v>53</v>
      </c>
      <c r="I147" s="1" t="s">
        <v>359</v>
      </c>
      <c r="J147" s="1" t="s">
        <v>105</v>
      </c>
      <c r="K147" s="1" t="s">
        <v>56</v>
      </c>
      <c r="L147" s="11" t="s">
        <v>57</v>
      </c>
      <c r="M147" s="1" t="s">
        <v>58</v>
      </c>
      <c r="N147" s="1" t="s">
        <v>59</v>
      </c>
      <c r="O147" s="1" t="s">
        <v>60</v>
      </c>
      <c r="P147" s="1">
        <v>0</v>
      </c>
      <c r="Q147" s="12">
        <v>79.28</v>
      </c>
      <c r="R147" s="1" t="s">
        <v>101</v>
      </c>
      <c r="S147" s="1" t="s">
        <v>102</v>
      </c>
      <c r="T147" s="6" t="s">
        <v>63</v>
      </c>
      <c r="U147" s="13">
        <v>0.03</v>
      </c>
      <c r="V147" s="12">
        <v>2.38</v>
      </c>
      <c r="W147" s="12">
        <v>0</v>
      </c>
      <c r="X147" s="1" t="s">
        <v>57</v>
      </c>
    </row>
    <row r="148" spans="1:24" x14ac:dyDescent="0.2">
      <c r="A148" s="1" t="s">
        <v>350</v>
      </c>
      <c r="B148" s="1" t="s">
        <v>47</v>
      </c>
      <c r="C148" s="1" t="s">
        <v>88</v>
      </c>
      <c r="D148" s="1" t="s">
        <v>369</v>
      </c>
      <c r="E148" s="1" t="s">
        <v>503</v>
      </c>
      <c r="F148" s="1" t="s">
        <v>504</v>
      </c>
      <c r="G148" s="1" t="s">
        <v>52</v>
      </c>
      <c r="H148" s="1" t="s">
        <v>53</v>
      </c>
      <c r="I148" s="1" t="s">
        <v>372</v>
      </c>
      <c r="J148" s="1" t="s">
        <v>105</v>
      </c>
      <c r="K148" s="1" t="s">
        <v>56</v>
      </c>
      <c r="L148" s="11" t="s">
        <v>57</v>
      </c>
      <c r="M148" s="1" t="s">
        <v>58</v>
      </c>
      <c r="N148" s="1" t="s">
        <v>59</v>
      </c>
      <c r="O148" s="1" t="s">
        <v>60</v>
      </c>
      <c r="P148" s="1">
        <v>0</v>
      </c>
      <c r="Q148" s="12">
        <v>36.08</v>
      </c>
      <c r="R148" s="1" t="s">
        <v>101</v>
      </c>
      <c r="S148" s="1" t="s">
        <v>102</v>
      </c>
      <c r="T148" s="6" t="s">
        <v>63</v>
      </c>
      <c r="U148" s="13">
        <v>0.03</v>
      </c>
      <c r="V148" s="12">
        <v>1.08</v>
      </c>
      <c r="W148" s="12">
        <v>0</v>
      </c>
      <c r="X148" s="1" t="s">
        <v>57</v>
      </c>
    </row>
    <row r="149" spans="1:24" x14ac:dyDescent="0.2">
      <c r="A149" s="1" t="s">
        <v>350</v>
      </c>
      <c r="B149" s="1" t="s">
        <v>47</v>
      </c>
      <c r="C149" s="1" t="s">
        <v>88</v>
      </c>
      <c r="D149" s="1" t="s">
        <v>369</v>
      </c>
      <c r="E149" s="1" t="s">
        <v>505</v>
      </c>
      <c r="F149" s="1" t="s">
        <v>506</v>
      </c>
      <c r="G149" s="1" t="s">
        <v>52</v>
      </c>
      <c r="H149" s="1" t="s">
        <v>53</v>
      </c>
      <c r="I149" s="1" t="s">
        <v>372</v>
      </c>
      <c r="J149" s="1" t="s">
        <v>105</v>
      </c>
      <c r="K149" s="1" t="s">
        <v>56</v>
      </c>
      <c r="L149" s="11" t="s">
        <v>57</v>
      </c>
      <c r="M149" s="1" t="s">
        <v>58</v>
      </c>
      <c r="N149" s="1" t="s">
        <v>59</v>
      </c>
      <c r="O149" s="1" t="s">
        <v>60</v>
      </c>
      <c r="P149" s="1">
        <v>0</v>
      </c>
      <c r="Q149" s="12">
        <v>36.08</v>
      </c>
      <c r="R149" s="1" t="s">
        <v>101</v>
      </c>
      <c r="S149" s="1" t="s">
        <v>102</v>
      </c>
      <c r="T149" s="6" t="s">
        <v>63</v>
      </c>
      <c r="U149" s="13">
        <v>0.03</v>
      </c>
      <c r="V149" s="12">
        <v>1.08</v>
      </c>
      <c r="W149" s="12">
        <v>0</v>
      </c>
      <c r="X149" s="1" t="s">
        <v>57</v>
      </c>
    </row>
    <row r="150" spans="1:24" x14ac:dyDescent="0.2">
      <c r="A150" s="1" t="s">
        <v>350</v>
      </c>
      <c r="B150" s="1" t="s">
        <v>47</v>
      </c>
      <c r="C150" s="1" t="s">
        <v>88</v>
      </c>
      <c r="D150" s="1" t="s">
        <v>369</v>
      </c>
      <c r="E150" s="1" t="s">
        <v>507</v>
      </c>
      <c r="F150" s="1" t="s">
        <v>508</v>
      </c>
      <c r="G150" s="1" t="s">
        <v>52</v>
      </c>
      <c r="H150" s="1" t="s">
        <v>53</v>
      </c>
      <c r="I150" s="1" t="s">
        <v>359</v>
      </c>
      <c r="J150" s="1" t="s">
        <v>509</v>
      </c>
      <c r="K150" s="1" t="s">
        <v>510</v>
      </c>
      <c r="L150" s="11" t="s">
        <v>57</v>
      </c>
      <c r="M150" s="1" t="s">
        <v>58</v>
      </c>
      <c r="N150" s="1" t="s">
        <v>59</v>
      </c>
      <c r="O150" s="1" t="s">
        <v>60</v>
      </c>
      <c r="P150" s="1">
        <v>0</v>
      </c>
      <c r="Q150" s="12">
        <v>79.28</v>
      </c>
      <c r="R150" s="1" t="s">
        <v>101</v>
      </c>
      <c r="S150" s="1" t="s">
        <v>102</v>
      </c>
      <c r="T150" s="6" t="s">
        <v>63</v>
      </c>
      <c r="U150" s="13">
        <v>0.03</v>
      </c>
      <c r="V150" s="12">
        <v>2.38</v>
      </c>
      <c r="W150" s="12">
        <v>0</v>
      </c>
      <c r="X150" s="1" t="s">
        <v>57</v>
      </c>
    </row>
    <row r="151" spans="1:24" x14ac:dyDescent="0.2">
      <c r="A151" s="1" t="s">
        <v>350</v>
      </c>
      <c r="B151" s="1" t="s">
        <v>47</v>
      </c>
      <c r="C151" s="1" t="s">
        <v>88</v>
      </c>
      <c r="D151" s="1" t="s">
        <v>65</v>
      </c>
      <c r="E151" s="1" t="s">
        <v>511</v>
      </c>
      <c r="F151" s="1" t="s">
        <v>512</v>
      </c>
      <c r="G151" s="1" t="s">
        <v>226</v>
      </c>
      <c r="H151" s="1" t="s">
        <v>53</v>
      </c>
      <c r="I151" s="1" t="s">
        <v>389</v>
      </c>
      <c r="J151" s="1" t="s">
        <v>513</v>
      </c>
      <c r="K151" s="1" t="s">
        <v>56</v>
      </c>
      <c r="L151" s="11" t="s">
        <v>57</v>
      </c>
      <c r="M151" s="1" t="s">
        <v>58</v>
      </c>
      <c r="N151" s="1" t="s">
        <v>59</v>
      </c>
      <c r="O151" s="1" t="s">
        <v>60</v>
      </c>
      <c r="P151" s="1">
        <v>0</v>
      </c>
      <c r="Q151" s="12">
        <v>121.45</v>
      </c>
      <c r="R151" s="1" t="s">
        <v>61</v>
      </c>
      <c r="S151" s="1" t="s">
        <v>62</v>
      </c>
      <c r="T151" s="6" t="s">
        <v>63</v>
      </c>
      <c r="U151" s="13">
        <v>0.23</v>
      </c>
      <c r="V151" s="12">
        <v>27.93</v>
      </c>
      <c r="W151" s="12">
        <v>0</v>
      </c>
      <c r="X151" s="1" t="s">
        <v>57</v>
      </c>
    </row>
    <row r="152" spans="1:24" x14ac:dyDescent="0.2">
      <c r="A152" s="1" t="s">
        <v>350</v>
      </c>
      <c r="B152" s="1" t="s">
        <v>47</v>
      </c>
      <c r="C152" s="1" t="s">
        <v>88</v>
      </c>
      <c r="D152" s="1" t="s">
        <v>65</v>
      </c>
      <c r="E152" s="1" t="s">
        <v>514</v>
      </c>
      <c r="F152" s="1" t="s">
        <v>515</v>
      </c>
      <c r="G152" s="1" t="s">
        <v>226</v>
      </c>
      <c r="H152" s="1" t="s">
        <v>53</v>
      </c>
      <c r="I152" s="1" t="s">
        <v>389</v>
      </c>
      <c r="J152" s="1" t="s">
        <v>105</v>
      </c>
      <c r="K152" s="1" t="s">
        <v>56</v>
      </c>
      <c r="L152" s="11" t="s">
        <v>57</v>
      </c>
      <c r="M152" s="1" t="s">
        <v>58</v>
      </c>
      <c r="N152" s="1" t="s">
        <v>59</v>
      </c>
      <c r="O152" s="1" t="s">
        <v>60</v>
      </c>
      <c r="P152" s="1">
        <v>0</v>
      </c>
      <c r="Q152" s="12">
        <v>112.77</v>
      </c>
      <c r="R152" s="1" t="s">
        <v>101</v>
      </c>
      <c r="S152" s="1" t="s">
        <v>102</v>
      </c>
      <c r="T152" s="6" t="s">
        <v>63</v>
      </c>
      <c r="U152" s="13">
        <v>1.2500000000000001E-2</v>
      </c>
      <c r="V152" s="12">
        <v>1.41</v>
      </c>
      <c r="W152" s="12">
        <v>0</v>
      </c>
      <c r="X152" s="1" t="s">
        <v>57</v>
      </c>
    </row>
    <row r="153" spans="1:24" x14ac:dyDescent="0.2">
      <c r="A153" s="1" t="s">
        <v>350</v>
      </c>
      <c r="B153" s="1" t="s">
        <v>47</v>
      </c>
      <c r="C153" s="1" t="s">
        <v>88</v>
      </c>
      <c r="D153" s="1" t="s">
        <v>65</v>
      </c>
      <c r="E153" s="1" t="s">
        <v>516</v>
      </c>
      <c r="F153" s="1" t="s">
        <v>517</v>
      </c>
      <c r="G153" s="1" t="s">
        <v>518</v>
      </c>
      <c r="H153" s="1" t="s">
        <v>53</v>
      </c>
      <c r="I153" s="1" t="s">
        <v>389</v>
      </c>
      <c r="J153" s="1" t="s">
        <v>450</v>
      </c>
      <c r="K153" s="1" t="s">
        <v>56</v>
      </c>
      <c r="L153" s="11" t="s">
        <v>57</v>
      </c>
      <c r="M153" s="1" t="s">
        <v>58</v>
      </c>
      <c r="N153" s="1" t="s">
        <v>59</v>
      </c>
      <c r="O153" s="1" t="s">
        <v>60</v>
      </c>
      <c r="P153" s="1">
        <v>0</v>
      </c>
      <c r="Q153" s="12">
        <v>120.86</v>
      </c>
      <c r="R153" s="1" t="s">
        <v>101</v>
      </c>
      <c r="S153" s="1" t="s">
        <v>102</v>
      </c>
      <c r="T153" s="6" t="s">
        <v>63</v>
      </c>
      <c r="U153" s="13">
        <v>0.23</v>
      </c>
      <c r="V153" s="12">
        <v>27.8</v>
      </c>
      <c r="W153" s="12">
        <v>0</v>
      </c>
      <c r="X153" s="1" t="s">
        <v>57</v>
      </c>
    </row>
    <row r="154" spans="1:24" x14ac:dyDescent="0.2">
      <c r="A154" s="1" t="s">
        <v>350</v>
      </c>
      <c r="B154" s="1" t="s">
        <v>47</v>
      </c>
      <c r="C154" s="1" t="s">
        <v>88</v>
      </c>
      <c r="D154" s="1" t="s">
        <v>65</v>
      </c>
      <c r="E154" s="1" t="s">
        <v>519</v>
      </c>
      <c r="F154" s="1" t="s">
        <v>520</v>
      </c>
      <c r="G154" s="1" t="s">
        <v>318</v>
      </c>
      <c r="H154" s="1" t="s">
        <v>53</v>
      </c>
      <c r="I154" s="1" t="s">
        <v>462</v>
      </c>
      <c r="J154" s="1" t="s">
        <v>521</v>
      </c>
      <c r="K154" s="1" t="s">
        <v>522</v>
      </c>
      <c r="L154" s="11" t="s">
        <v>57</v>
      </c>
      <c r="M154" s="1" t="s">
        <v>58</v>
      </c>
      <c r="N154" s="1" t="s">
        <v>59</v>
      </c>
      <c r="O154" s="1" t="s">
        <v>60</v>
      </c>
      <c r="P154" s="1">
        <v>0</v>
      </c>
      <c r="Q154" s="12">
        <v>128.09</v>
      </c>
      <c r="R154" s="1" t="s">
        <v>101</v>
      </c>
      <c r="S154" s="1" t="s">
        <v>102</v>
      </c>
      <c r="T154" s="6" t="s">
        <v>63</v>
      </c>
      <c r="U154" s="13">
        <v>0.215</v>
      </c>
      <c r="V154" s="12">
        <v>27.54</v>
      </c>
      <c r="W154" s="12">
        <v>0</v>
      </c>
      <c r="X154" s="1" t="s">
        <v>57</v>
      </c>
    </row>
    <row r="155" spans="1:24" x14ac:dyDescent="0.2">
      <c r="A155" s="1" t="s">
        <v>350</v>
      </c>
      <c r="B155" s="1" t="s">
        <v>47</v>
      </c>
      <c r="C155" s="1" t="s">
        <v>88</v>
      </c>
      <c r="D155" s="1" t="s">
        <v>110</v>
      </c>
      <c r="E155" s="1" t="s">
        <v>523</v>
      </c>
      <c r="F155" s="1" t="s">
        <v>524</v>
      </c>
      <c r="G155" s="1" t="s">
        <v>52</v>
      </c>
      <c r="H155" s="1" t="s">
        <v>53</v>
      </c>
      <c r="I155" s="1" t="s">
        <v>355</v>
      </c>
      <c r="J155" s="1" t="s">
        <v>96</v>
      </c>
      <c r="K155" s="1" t="s">
        <v>56</v>
      </c>
      <c r="L155" s="11" t="s">
        <v>57</v>
      </c>
      <c r="M155" s="1" t="s">
        <v>58</v>
      </c>
      <c r="N155" s="1" t="s">
        <v>59</v>
      </c>
      <c r="O155" s="1" t="s">
        <v>60</v>
      </c>
      <c r="P155" s="1">
        <v>0</v>
      </c>
      <c r="Q155" s="12">
        <v>68.56</v>
      </c>
      <c r="R155" s="1" t="s">
        <v>61</v>
      </c>
      <c r="S155" s="1" t="s">
        <v>62</v>
      </c>
      <c r="T155" s="6" t="s">
        <v>63</v>
      </c>
      <c r="U155" s="13">
        <v>0.52</v>
      </c>
      <c r="V155" s="12">
        <v>35.65</v>
      </c>
      <c r="W155" s="12">
        <v>0</v>
      </c>
      <c r="X155" s="1" t="s">
        <v>57</v>
      </c>
    </row>
    <row r="156" spans="1:24" x14ac:dyDescent="0.2">
      <c r="A156" s="1" t="s">
        <v>350</v>
      </c>
      <c r="B156" s="1" t="s">
        <v>47</v>
      </c>
      <c r="C156" s="1" t="s">
        <v>88</v>
      </c>
      <c r="D156" s="1" t="s">
        <v>110</v>
      </c>
      <c r="E156" s="1" t="s">
        <v>525</v>
      </c>
      <c r="F156" s="1" t="s">
        <v>526</v>
      </c>
      <c r="G156" s="1" t="s">
        <v>52</v>
      </c>
      <c r="H156" s="1" t="s">
        <v>99</v>
      </c>
      <c r="I156" s="1" t="s">
        <v>372</v>
      </c>
      <c r="J156" s="1" t="s">
        <v>527</v>
      </c>
      <c r="K156" s="1" t="s">
        <v>522</v>
      </c>
      <c r="L156" s="11" t="s">
        <v>57</v>
      </c>
      <c r="M156" s="1" t="s">
        <v>58</v>
      </c>
      <c r="N156" s="1" t="s">
        <v>59</v>
      </c>
      <c r="O156" s="1" t="s">
        <v>60</v>
      </c>
      <c r="P156" s="1">
        <v>0</v>
      </c>
      <c r="Q156" s="12">
        <v>36.08</v>
      </c>
      <c r="R156" s="1" t="s">
        <v>101</v>
      </c>
      <c r="S156" s="1" t="s">
        <v>102</v>
      </c>
      <c r="T156" s="6" t="s">
        <v>63</v>
      </c>
      <c r="U156" s="13">
        <v>0.03</v>
      </c>
      <c r="V156" s="12">
        <v>1.08</v>
      </c>
      <c r="W156" s="12">
        <v>0</v>
      </c>
      <c r="X156" s="1" t="s">
        <v>57</v>
      </c>
    </row>
    <row r="157" spans="1:24" x14ac:dyDescent="0.2">
      <c r="A157" s="1" t="s">
        <v>350</v>
      </c>
      <c r="B157" s="1" t="s">
        <v>47</v>
      </c>
      <c r="C157" s="1" t="s">
        <v>88</v>
      </c>
      <c r="D157" s="1" t="s">
        <v>110</v>
      </c>
      <c r="E157" s="1" t="s">
        <v>528</v>
      </c>
      <c r="F157" s="1" t="s">
        <v>529</v>
      </c>
      <c r="G157" s="1" t="s">
        <v>52</v>
      </c>
      <c r="H157" s="1" t="s">
        <v>53</v>
      </c>
      <c r="I157" s="1" t="s">
        <v>372</v>
      </c>
      <c r="J157" s="1" t="s">
        <v>530</v>
      </c>
      <c r="K157" s="1" t="s">
        <v>194</v>
      </c>
      <c r="L157" s="11" t="s">
        <v>57</v>
      </c>
      <c r="M157" s="1" t="s">
        <v>58</v>
      </c>
      <c r="N157" s="1" t="s">
        <v>59</v>
      </c>
      <c r="O157" s="1" t="s">
        <v>60</v>
      </c>
      <c r="P157" s="1">
        <v>0</v>
      </c>
      <c r="Q157" s="12">
        <v>36.08</v>
      </c>
      <c r="R157" s="1" t="s">
        <v>101</v>
      </c>
      <c r="S157" s="1" t="s">
        <v>102</v>
      </c>
      <c r="T157" s="6" t="s">
        <v>63</v>
      </c>
      <c r="U157" s="13">
        <v>0.03</v>
      </c>
      <c r="V157" s="12">
        <v>1.08</v>
      </c>
      <c r="W157" s="12">
        <v>0</v>
      </c>
      <c r="X157" s="1" t="s">
        <v>57</v>
      </c>
    </row>
    <row r="158" spans="1:24" x14ac:dyDescent="0.2">
      <c r="A158" s="1" t="s">
        <v>350</v>
      </c>
      <c r="B158" s="1" t="s">
        <v>47</v>
      </c>
      <c r="C158" s="1" t="s">
        <v>88</v>
      </c>
      <c r="D158" s="1" t="s">
        <v>110</v>
      </c>
      <c r="E158" s="1" t="s">
        <v>531</v>
      </c>
      <c r="F158" s="1" t="s">
        <v>532</v>
      </c>
      <c r="G158" s="1" t="s">
        <v>52</v>
      </c>
      <c r="H158" s="1" t="s">
        <v>53</v>
      </c>
      <c r="I158" s="1" t="s">
        <v>362</v>
      </c>
      <c r="J158" s="1" t="s">
        <v>129</v>
      </c>
      <c r="K158" s="1" t="s">
        <v>56</v>
      </c>
      <c r="L158" s="11" t="s">
        <v>57</v>
      </c>
      <c r="M158" s="1" t="s">
        <v>58</v>
      </c>
      <c r="N158" s="1" t="s">
        <v>59</v>
      </c>
      <c r="O158" s="1" t="s">
        <v>60</v>
      </c>
      <c r="P158" s="1">
        <v>0</v>
      </c>
      <c r="Q158" s="12">
        <v>33.74</v>
      </c>
      <c r="R158" s="1" t="s">
        <v>101</v>
      </c>
      <c r="S158" s="1" t="s">
        <v>102</v>
      </c>
      <c r="T158" s="6" t="s">
        <v>63</v>
      </c>
      <c r="U158" s="13">
        <v>0.03</v>
      </c>
      <c r="V158" s="12">
        <v>1.01</v>
      </c>
      <c r="W158" s="12">
        <v>0</v>
      </c>
      <c r="X158" s="1" t="s">
        <v>57</v>
      </c>
    </row>
    <row r="159" spans="1:24" x14ac:dyDescent="0.2">
      <c r="A159" s="1" t="s">
        <v>350</v>
      </c>
      <c r="B159" s="1" t="s">
        <v>47</v>
      </c>
      <c r="C159" s="1" t="s">
        <v>88</v>
      </c>
      <c r="D159" s="1" t="s">
        <v>110</v>
      </c>
      <c r="E159" s="1" t="s">
        <v>533</v>
      </c>
      <c r="F159" s="1" t="s">
        <v>534</v>
      </c>
      <c r="G159" s="1" t="s">
        <v>52</v>
      </c>
      <c r="H159" s="1" t="s">
        <v>53</v>
      </c>
      <c r="I159" s="1" t="s">
        <v>362</v>
      </c>
      <c r="J159" s="1" t="s">
        <v>129</v>
      </c>
      <c r="K159" s="1" t="s">
        <v>56</v>
      </c>
      <c r="L159" s="11" t="s">
        <v>57</v>
      </c>
      <c r="M159" s="1" t="s">
        <v>58</v>
      </c>
      <c r="N159" s="1" t="s">
        <v>59</v>
      </c>
      <c r="O159" s="1" t="s">
        <v>60</v>
      </c>
      <c r="P159" s="1">
        <v>0</v>
      </c>
      <c r="Q159" s="12">
        <v>33.74</v>
      </c>
      <c r="R159" s="1" t="s">
        <v>101</v>
      </c>
      <c r="S159" s="1" t="s">
        <v>102</v>
      </c>
      <c r="T159" s="6" t="s">
        <v>63</v>
      </c>
      <c r="U159" s="13">
        <v>0.03</v>
      </c>
      <c r="V159" s="12">
        <v>1.01</v>
      </c>
      <c r="W159" s="12">
        <v>0</v>
      </c>
      <c r="X159" s="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94FE-A3BE-4D2E-9B81-0794F054476E}">
  <dimension ref="A1:Y152"/>
  <sheetViews>
    <sheetView tabSelected="1" topLeftCell="C4" workbookViewId="0">
      <selection activeCell="F26" sqref="F26"/>
    </sheetView>
  </sheetViews>
  <sheetFormatPr defaultRowHeight="14.25" x14ac:dyDescent="0.2"/>
  <cols>
    <col min="1" max="4" width="18" style="11" customWidth="1"/>
    <col min="5" max="5" width="12" style="11" customWidth="1"/>
    <col min="6" max="6" width="14" style="11" customWidth="1"/>
    <col min="7" max="7" width="30" style="11" customWidth="1"/>
    <col min="8" max="8" width="15" style="11" customWidth="1"/>
    <col min="9" max="9" width="13" style="11" customWidth="1"/>
    <col min="10" max="10" width="24" style="11" bestFit="1" customWidth="1"/>
    <col min="11" max="11" width="13" style="11" customWidth="1"/>
    <col min="12" max="12" width="15" style="11" customWidth="1"/>
    <col min="13" max="13" width="44.28515625" style="11" bestFit="1" customWidth="1"/>
    <col min="14" max="15" width="15" style="11" customWidth="1"/>
    <col min="16" max="16" width="98.85546875" style="11" bestFit="1" customWidth="1"/>
    <col min="17" max="18" width="15" style="11" customWidth="1"/>
    <col min="19" max="19" width="8" style="11" customWidth="1"/>
    <col min="20" max="20" width="20" style="11" customWidth="1"/>
    <col min="21" max="21" width="18" style="11" customWidth="1"/>
    <col min="22" max="22" width="12" style="11" customWidth="1"/>
    <col min="23" max="23" width="20" style="11" customWidth="1"/>
    <col min="24" max="24" width="13" style="11" customWidth="1"/>
    <col min="25" max="25" width="40" style="11" customWidth="1"/>
    <col min="26" max="16384" width="9.140625" style="11"/>
  </cols>
  <sheetData>
    <row r="1" spans="1:25" ht="30" customHeight="1" x14ac:dyDescent="0.2">
      <c r="A1" s="18" t="s">
        <v>23</v>
      </c>
      <c r="B1" s="23" t="s">
        <v>570</v>
      </c>
      <c r="C1" s="23" t="s">
        <v>535</v>
      </c>
      <c r="D1" s="23" t="s">
        <v>615</v>
      </c>
      <c r="E1" s="18" t="s">
        <v>25</v>
      </c>
      <c r="F1" s="18" t="s">
        <v>26</v>
      </c>
      <c r="G1" s="18" t="s">
        <v>27</v>
      </c>
      <c r="H1" s="18" t="s">
        <v>42</v>
      </c>
      <c r="I1" s="18" t="s">
        <v>28</v>
      </c>
      <c r="J1" s="23" t="s">
        <v>597</v>
      </c>
      <c r="K1" s="23" t="s">
        <v>598</v>
      </c>
      <c r="L1" s="18" t="s">
        <v>29</v>
      </c>
      <c r="M1" s="18" t="s">
        <v>536</v>
      </c>
      <c r="N1" s="18" t="s">
        <v>43</v>
      </c>
      <c r="O1" s="18" t="s">
        <v>44</v>
      </c>
      <c r="P1" s="23" t="s">
        <v>537</v>
      </c>
      <c r="Q1" s="18" t="s">
        <v>31</v>
      </c>
      <c r="R1" s="18" t="s">
        <v>32</v>
      </c>
      <c r="S1" s="18" t="s">
        <v>33</v>
      </c>
      <c r="T1" s="18" t="s">
        <v>37</v>
      </c>
      <c r="U1" s="18" t="s">
        <v>38</v>
      </c>
      <c r="V1" s="18" t="s">
        <v>39</v>
      </c>
      <c r="W1" s="18" t="s">
        <v>40</v>
      </c>
      <c r="X1" s="18" t="s">
        <v>41</v>
      </c>
      <c r="Y1" s="18" t="s">
        <v>45</v>
      </c>
    </row>
    <row r="2" spans="1:25" x14ac:dyDescent="0.2">
      <c r="A2" s="19">
        <v>1055790</v>
      </c>
      <c r="B2" s="19" t="s">
        <v>578</v>
      </c>
      <c r="C2" s="19">
        <v>9079571</v>
      </c>
      <c r="D2" s="19" t="s">
        <v>616</v>
      </c>
      <c r="E2" s="19">
        <v>816910</v>
      </c>
      <c r="F2" s="11" t="s">
        <v>270</v>
      </c>
      <c r="G2" s="11" t="s">
        <v>271</v>
      </c>
      <c r="H2" s="22">
        <v>0.67500000000000004</v>
      </c>
      <c r="I2" s="11" t="s">
        <v>174</v>
      </c>
      <c r="J2" s="11">
        <v>164.95</v>
      </c>
      <c r="K2" s="11">
        <v>111.34125000000002</v>
      </c>
      <c r="L2" s="11" t="s">
        <v>92</v>
      </c>
      <c r="M2" s="11" t="s">
        <v>603</v>
      </c>
      <c r="N2" s="20">
        <v>1002.07</v>
      </c>
      <c r="O2" s="20">
        <v>1002.07</v>
      </c>
      <c r="P2" s="11" t="s">
        <v>548</v>
      </c>
      <c r="Q2" s="11" t="s">
        <v>272</v>
      </c>
      <c r="R2" s="11" t="s">
        <v>272</v>
      </c>
      <c r="S2" s="11">
        <v>63</v>
      </c>
      <c r="T2" s="11">
        <v>75</v>
      </c>
      <c r="U2" s="20">
        <v>1484.55</v>
      </c>
      <c r="V2" s="11" t="s">
        <v>61</v>
      </c>
      <c r="W2" s="11" t="s">
        <v>218</v>
      </c>
      <c r="X2" s="21">
        <v>1</v>
      </c>
      <c r="Y2" s="11" t="s">
        <v>57</v>
      </c>
    </row>
    <row r="3" spans="1:25" x14ac:dyDescent="0.2">
      <c r="A3" s="19">
        <v>1055790</v>
      </c>
      <c r="B3" s="19" t="s">
        <v>578</v>
      </c>
      <c r="C3" s="19">
        <v>9079571</v>
      </c>
      <c r="D3" s="19" t="s">
        <v>616</v>
      </c>
      <c r="E3" s="19">
        <v>816910</v>
      </c>
      <c r="F3" s="11" t="s">
        <v>273</v>
      </c>
      <c r="G3" s="11" t="s">
        <v>274</v>
      </c>
      <c r="H3" s="22">
        <v>0.67500000000000004</v>
      </c>
      <c r="I3" s="11" t="s">
        <v>174</v>
      </c>
      <c r="J3" s="11">
        <v>86.28</v>
      </c>
      <c r="K3" s="11">
        <v>58.239000000000004</v>
      </c>
      <c r="L3" s="11" t="s">
        <v>92</v>
      </c>
      <c r="M3" s="11" t="s">
        <v>603</v>
      </c>
      <c r="N3" s="20">
        <v>524.15</v>
      </c>
      <c r="O3" s="20">
        <v>524.15</v>
      </c>
      <c r="P3" s="11" t="s">
        <v>548</v>
      </c>
      <c r="Q3" s="11" t="s">
        <v>194</v>
      </c>
      <c r="R3" s="11" t="s">
        <v>194</v>
      </c>
      <c r="S3" s="11">
        <v>62</v>
      </c>
      <c r="T3" s="11">
        <v>30</v>
      </c>
      <c r="U3" s="20">
        <v>776.52</v>
      </c>
      <c r="V3" s="11" t="s">
        <v>61</v>
      </c>
      <c r="W3" s="11" t="s">
        <v>218</v>
      </c>
      <c r="X3" s="21">
        <v>1</v>
      </c>
      <c r="Y3" s="11" t="s">
        <v>57</v>
      </c>
    </row>
    <row r="4" spans="1:25" s="25" customFormat="1" x14ac:dyDescent="0.2">
      <c r="A4" s="24">
        <v>1055790</v>
      </c>
      <c r="B4" s="24" t="s">
        <v>572</v>
      </c>
      <c r="C4" s="24">
        <v>8307933</v>
      </c>
      <c r="D4" s="19" t="s">
        <v>616</v>
      </c>
      <c r="E4" s="24">
        <v>893387</v>
      </c>
      <c r="F4" s="25" t="s">
        <v>214</v>
      </c>
      <c r="G4" s="25" t="s">
        <v>215</v>
      </c>
      <c r="H4" s="28">
        <v>0.67500000000000004</v>
      </c>
      <c r="I4" s="25" t="s">
        <v>191</v>
      </c>
      <c r="J4" s="25">
        <v>235.16</v>
      </c>
      <c r="K4" s="11">
        <v>158.733</v>
      </c>
      <c r="L4" s="25" t="s">
        <v>169</v>
      </c>
      <c r="M4" s="25" t="s">
        <v>603</v>
      </c>
      <c r="N4" s="26">
        <v>1428.6</v>
      </c>
      <c r="O4" s="26">
        <v>1428.6</v>
      </c>
      <c r="P4" s="11" t="s">
        <v>548</v>
      </c>
      <c r="Q4" s="25" t="s">
        <v>217</v>
      </c>
      <c r="R4" s="25" t="s">
        <v>217</v>
      </c>
      <c r="S4" s="25">
        <v>65</v>
      </c>
      <c r="T4" s="25">
        <v>75</v>
      </c>
      <c r="U4" s="26">
        <v>2116.44</v>
      </c>
      <c r="V4" s="25" t="s">
        <v>61</v>
      </c>
      <c r="W4" s="25" t="s">
        <v>218</v>
      </c>
      <c r="X4" s="27">
        <v>1</v>
      </c>
      <c r="Y4" s="25" t="s">
        <v>57</v>
      </c>
    </row>
    <row r="5" spans="1:25" s="25" customFormat="1" x14ac:dyDescent="0.2">
      <c r="A5" s="24">
        <v>1055790</v>
      </c>
      <c r="B5" s="24" t="s">
        <v>589</v>
      </c>
      <c r="C5" s="24">
        <v>19491313</v>
      </c>
      <c r="D5" s="19" t="s">
        <v>616</v>
      </c>
      <c r="E5" s="24">
        <v>910791</v>
      </c>
      <c r="F5" s="25" t="s">
        <v>339</v>
      </c>
      <c r="G5" s="25" t="s">
        <v>340</v>
      </c>
      <c r="H5" s="28">
        <v>1.35</v>
      </c>
      <c r="I5" s="25" t="s">
        <v>313</v>
      </c>
      <c r="J5" s="25">
        <v>91.03</v>
      </c>
      <c r="K5" s="11">
        <v>122.89050000000002</v>
      </c>
      <c r="L5" s="25" t="s">
        <v>92</v>
      </c>
      <c r="M5" s="25" t="s">
        <v>603</v>
      </c>
      <c r="N5" s="26">
        <v>0</v>
      </c>
      <c r="O5" s="26">
        <v>-122.89</v>
      </c>
      <c r="P5" s="25" t="s">
        <v>550</v>
      </c>
      <c r="Q5" s="25" t="s">
        <v>53</v>
      </c>
      <c r="R5" s="25" t="s">
        <v>177</v>
      </c>
      <c r="S5" s="25">
        <v>64</v>
      </c>
      <c r="T5" s="25">
        <v>35</v>
      </c>
      <c r="U5" s="26">
        <v>91.03</v>
      </c>
      <c r="V5" s="25" t="s">
        <v>61</v>
      </c>
      <c r="W5" s="25" t="s">
        <v>222</v>
      </c>
      <c r="X5" s="27">
        <v>1</v>
      </c>
      <c r="Y5" s="25" t="s">
        <v>57</v>
      </c>
    </row>
    <row r="6" spans="1:25" s="25" customFormat="1" x14ac:dyDescent="0.2">
      <c r="A6" s="24">
        <v>1055790</v>
      </c>
      <c r="B6" s="24" t="s">
        <v>591</v>
      </c>
      <c r="C6" s="24" t="s">
        <v>613</v>
      </c>
      <c r="D6" s="19" t="s">
        <v>617</v>
      </c>
      <c r="E6" s="24">
        <v>1149088</v>
      </c>
      <c r="F6" s="25" t="s">
        <v>364</v>
      </c>
      <c r="G6" s="25" t="s">
        <v>365</v>
      </c>
      <c r="H6" s="28">
        <v>0.52</v>
      </c>
      <c r="I6" s="25" t="s">
        <v>322</v>
      </c>
      <c r="J6" s="25">
        <v>34.39</v>
      </c>
      <c r="K6" s="11">
        <v>17.8828</v>
      </c>
      <c r="L6" s="25" t="s">
        <v>169</v>
      </c>
      <c r="M6" s="25" t="s">
        <v>555</v>
      </c>
      <c r="N6" s="26">
        <v>17.88</v>
      </c>
      <c r="O6" s="26">
        <v>0</v>
      </c>
      <c r="P6" s="25" t="s">
        <v>555</v>
      </c>
      <c r="Q6" s="25" t="s">
        <v>221</v>
      </c>
      <c r="R6" s="25" t="s">
        <v>56</v>
      </c>
      <c r="S6" s="25" t="s">
        <v>57</v>
      </c>
      <c r="T6" s="25">
        <v>0</v>
      </c>
      <c r="U6" s="26">
        <v>34.39</v>
      </c>
      <c r="V6" s="25" t="s">
        <v>61</v>
      </c>
      <c r="W6" s="25" t="s">
        <v>213</v>
      </c>
      <c r="X6" s="27">
        <v>1</v>
      </c>
      <c r="Y6" s="25" t="s">
        <v>57</v>
      </c>
    </row>
    <row r="7" spans="1:25" s="25" customFormat="1" x14ac:dyDescent="0.2">
      <c r="A7" s="24">
        <v>1055790</v>
      </c>
      <c r="B7" s="24" t="s">
        <v>574</v>
      </c>
      <c r="C7" s="24">
        <v>17425766</v>
      </c>
      <c r="D7" s="19" t="s">
        <v>616</v>
      </c>
      <c r="E7" s="24">
        <v>815390</v>
      </c>
      <c r="F7" s="25" t="s">
        <v>294</v>
      </c>
      <c r="G7" s="25" t="s">
        <v>295</v>
      </c>
      <c r="H7" s="28">
        <v>1.26</v>
      </c>
      <c r="I7" s="25" t="s">
        <v>127</v>
      </c>
      <c r="J7" s="25">
        <v>44.08</v>
      </c>
      <c r="K7" s="11">
        <v>55.540800000000004</v>
      </c>
      <c r="L7" s="25" t="s">
        <v>92</v>
      </c>
      <c r="M7" s="25" t="s">
        <v>601</v>
      </c>
      <c r="N7" s="26">
        <v>438.84</v>
      </c>
      <c r="O7" s="26">
        <v>438.84</v>
      </c>
      <c r="P7" s="25" t="s">
        <v>618</v>
      </c>
      <c r="Q7" s="25" t="s">
        <v>92</v>
      </c>
      <c r="R7" s="25" t="s">
        <v>92</v>
      </c>
      <c r="S7" s="25">
        <v>36</v>
      </c>
      <c r="T7" s="25">
        <v>500</v>
      </c>
      <c r="U7" s="26">
        <v>348.3</v>
      </c>
      <c r="V7" s="25" t="s">
        <v>61</v>
      </c>
      <c r="W7" s="25" t="s">
        <v>213</v>
      </c>
      <c r="X7" s="27">
        <v>1</v>
      </c>
      <c r="Y7" s="25" t="s">
        <v>57</v>
      </c>
    </row>
    <row r="8" spans="1:25" s="25" customFormat="1" x14ac:dyDescent="0.2">
      <c r="A8" s="24">
        <v>1055790</v>
      </c>
      <c r="B8" s="24" t="s">
        <v>577</v>
      </c>
      <c r="C8" s="24">
        <v>9213293</v>
      </c>
      <c r="D8" s="19" t="s">
        <v>616</v>
      </c>
      <c r="E8" s="24">
        <v>819525</v>
      </c>
      <c r="F8" s="25" t="s">
        <v>284</v>
      </c>
      <c r="G8" s="25" t="s">
        <v>285</v>
      </c>
      <c r="H8" s="28">
        <v>1.5</v>
      </c>
      <c r="I8" s="25" t="s">
        <v>52</v>
      </c>
      <c r="J8" s="25">
        <v>58.74</v>
      </c>
      <c r="K8" s="11">
        <v>88.11</v>
      </c>
      <c r="L8" s="25" t="s">
        <v>92</v>
      </c>
      <c r="M8" s="25" t="s">
        <v>602</v>
      </c>
      <c r="N8" s="26">
        <v>0</v>
      </c>
      <c r="O8" s="26">
        <v>-88.11</v>
      </c>
      <c r="P8" s="25" t="s">
        <v>544</v>
      </c>
      <c r="Q8" s="25" t="s">
        <v>53</v>
      </c>
      <c r="R8" s="25" t="s">
        <v>177</v>
      </c>
      <c r="S8" s="25">
        <v>43</v>
      </c>
      <c r="T8" s="25">
        <v>100</v>
      </c>
      <c r="U8" s="26">
        <v>58.74</v>
      </c>
      <c r="V8" s="25" t="s">
        <v>61</v>
      </c>
      <c r="W8" s="25" t="s">
        <v>222</v>
      </c>
      <c r="X8" s="27">
        <v>1</v>
      </c>
      <c r="Y8" s="25" t="s">
        <v>57</v>
      </c>
    </row>
    <row r="9" spans="1:25" s="25" customFormat="1" x14ac:dyDescent="0.2">
      <c r="A9" s="24">
        <v>1055790</v>
      </c>
      <c r="B9" s="24" t="s">
        <v>572</v>
      </c>
      <c r="C9" s="24">
        <v>8307933</v>
      </c>
      <c r="D9" s="19" t="s">
        <v>616</v>
      </c>
      <c r="E9" s="24">
        <v>893387</v>
      </c>
      <c r="F9" s="25" t="s">
        <v>211</v>
      </c>
      <c r="G9" s="25" t="s">
        <v>212</v>
      </c>
      <c r="H9" s="28">
        <v>1.5</v>
      </c>
      <c r="I9" s="25" t="s">
        <v>191</v>
      </c>
      <c r="J9" s="25">
        <v>90.35</v>
      </c>
      <c r="K9" s="11">
        <v>135.52499999999998</v>
      </c>
      <c r="L9" s="25" t="s">
        <v>53</v>
      </c>
      <c r="M9" s="25" t="s">
        <v>602</v>
      </c>
      <c r="N9" s="26">
        <v>1219.77</v>
      </c>
      <c r="O9" s="26">
        <v>1219.77</v>
      </c>
      <c r="P9" s="25" t="s">
        <v>544</v>
      </c>
      <c r="Q9" s="25" t="s">
        <v>56</v>
      </c>
      <c r="R9" s="25" t="s">
        <v>56</v>
      </c>
      <c r="S9" s="25">
        <v>61</v>
      </c>
      <c r="T9" s="25">
        <v>60</v>
      </c>
      <c r="U9" s="26">
        <v>813.15</v>
      </c>
      <c r="V9" s="25" t="s">
        <v>61</v>
      </c>
      <c r="W9" s="25" t="s">
        <v>213</v>
      </c>
      <c r="X9" s="27">
        <v>1</v>
      </c>
      <c r="Y9" s="25" t="s">
        <v>57</v>
      </c>
    </row>
    <row r="10" spans="1:25" s="25" customFormat="1" x14ac:dyDescent="0.2">
      <c r="A10" s="24">
        <v>1055790</v>
      </c>
      <c r="B10" s="24" t="s">
        <v>589</v>
      </c>
      <c r="C10" s="24">
        <v>19491313</v>
      </c>
      <c r="D10" s="19" t="s">
        <v>616</v>
      </c>
      <c r="E10" s="24">
        <v>910791</v>
      </c>
      <c r="F10" s="25" t="s">
        <v>331</v>
      </c>
      <c r="G10" s="25" t="s">
        <v>332</v>
      </c>
      <c r="H10" s="28">
        <v>1.5</v>
      </c>
      <c r="I10" s="25" t="s">
        <v>313</v>
      </c>
      <c r="J10" s="25">
        <v>156.28</v>
      </c>
      <c r="K10" s="11">
        <v>234.42</v>
      </c>
      <c r="L10" s="25" t="s">
        <v>169</v>
      </c>
      <c r="M10" s="25" t="s">
        <v>602</v>
      </c>
      <c r="N10" s="26">
        <v>2000</v>
      </c>
      <c r="O10" s="26">
        <v>2000</v>
      </c>
      <c r="P10" s="25" t="s">
        <v>544</v>
      </c>
      <c r="Q10" s="25" t="s">
        <v>169</v>
      </c>
      <c r="R10" s="25" t="s">
        <v>201</v>
      </c>
      <c r="S10" s="25">
        <v>52</v>
      </c>
      <c r="T10" s="25">
        <v>200</v>
      </c>
      <c r="U10" s="26">
        <v>1406.52</v>
      </c>
      <c r="V10" s="25" t="s">
        <v>61</v>
      </c>
      <c r="W10" s="25" t="s">
        <v>213</v>
      </c>
      <c r="X10" s="27">
        <v>1</v>
      </c>
      <c r="Y10" s="25" t="s">
        <v>57</v>
      </c>
    </row>
    <row r="11" spans="1:25" x14ac:dyDescent="0.2">
      <c r="A11" s="19">
        <v>1055790</v>
      </c>
      <c r="B11" s="19" t="s">
        <v>572</v>
      </c>
      <c r="C11" s="19">
        <v>8307933</v>
      </c>
      <c r="D11" s="19" t="s">
        <v>616</v>
      </c>
      <c r="E11" s="19">
        <v>893387</v>
      </c>
      <c r="F11" s="11" t="s">
        <v>233</v>
      </c>
      <c r="G11" s="11" t="s">
        <v>234</v>
      </c>
      <c r="H11" s="22">
        <v>0.67500000000000004</v>
      </c>
      <c r="I11" s="11" t="s">
        <v>235</v>
      </c>
      <c r="J11" s="11">
        <v>297.38</v>
      </c>
      <c r="K11" s="11">
        <v>200.73150000000001</v>
      </c>
      <c r="L11" s="11" t="s">
        <v>169</v>
      </c>
      <c r="M11" s="11" t="s">
        <v>603</v>
      </c>
      <c r="N11" s="20">
        <v>0</v>
      </c>
      <c r="O11" s="20">
        <v>-200.73</v>
      </c>
      <c r="P11" s="11" t="s">
        <v>548</v>
      </c>
      <c r="Q11" s="11" t="s">
        <v>236</v>
      </c>
      <c r="R11" s="11" t="s">
        <v>177</v>
      </c>
      <c r="S11" s="11">
        <v>52</v>
      </c>
      <c r="T11" s="11">
        <v>200</v>
      </c>
      <c r="U11" s="20">
        <v>297.38</v>
      </c>
      <c r="V11" s="11" t="s">
        <v>61</v>
      </c>
      <c r="W11" s="11" t="s">
        <v>62</v>
      </c>
      <c r="X11" s="21">
        <v>1</v>
      </c>
      <c r="Y11" s="11" t="s">
        <v>57</v>
      </c>
    </row>
    <row r="12" spans="1:25" x14ac:dyDescent="0.2">
      <c r="A12" s="19">
        <v>1055790</v>
      </c>
      <c r="B12" s="19" t="s">
        <v>572</v>
      </c>
      <c r="C12" s="19">
        <v>8307933</v>
      </c>
      <c r="D12" s="19" t="s">
        <v>616</v>
      </c>
      <c r="E12" s="19">
        <v>893387</v>
      </c>
      <c r="F12" s="11" t="s">
        <v>244</v>
      </c>
      <c r="G12" s="11" t="s">
        <v>245</v>
      </c>
      <c r="H12" s="22">
        <v>0.67500000000000004</v>
      </c>
      <c r="I12" s="11" t="s">
        <v>226</v>
      </c>
      <c r="J12" s="11">
        <v>75.55</v>
      </c>
      <c r="K12" s="11">
        <v>50.996249999999996</v>
      </c>
      <c r="L12" s="11" t="s">
        <v>169</v>
      </c>
      <c r="M12" s="11" t="s">
        <v>603</v>
      </c>
      <c r="N12" s="20">
        <v>0</v>
      </c>
      <c r="O12" s="20">
        <v>-51</v>
      </c>
      <c r="P12" s="11" t="s">
        <v>548</v>
      </c>
      <c r="Q12" s="11" t="s">
        <v>246</v>
      </c>
      <c r="R12" s="11" t="s">
        <v>177</v>
      </c>
      <c r="S12" s="11">
        <v>67</v>
      </c>
      <c r="T12" s="11">
        <v>25</v>
      </c>
      <c r="U12" s="20">
        <v>75.55</v>
      </c>
      <c r="V12" s="11" t="s">
        <v>61</v>
      </c>
      <c r="W12" s="11" t="s">
        <v>62</v>
      </c>
      <c r="X12" s="21">
        <v>1</v>
      </c>
      <c r="Y12" s="11" t="s">
        <v>57</v>
      </c>
    </row>
    <row r="13" spans="1:25" x14ac:dyDescent="0.2">
      <c r="A13" s="19">
        <v>1055790</v>
      </c>
      <c r="B13" s="19" t="s">
        <v>572</v>
      </c>
      <c r="C13" s="19">
        <v>8307933</v>
      </c>
      <c r="D13" s="19" t="s">
        <v>616</v>
      </c>
      <c r="E13" s="19">
        <v>893387</v>
      </c>
      <c r="F13" s="11" t="s">
        <v>259</v>
      </c>
      <c r="G13" s="11" t="s">
        <v>260</v>
      </c>
      <c r="H13" s="22">
        <v>0.67500000000000004</v>
      </c>
      <c r="I13" s="11" t="s">
        <v>127</v>
      </c>
      <c r="J13" s="11">
        <v>180.35</v>
      </c>
      <c r="K13" s="11">
        <v>121.73625000000001</v>
      </c>
      <c r="L13" s="11" t="s">
        <v>169</v>
      </c>
      <c r="M13" s="11" t="s">
        <v>603</v>
      </c>
      <c r="N13" s="20">
        <v>0</v>
      </c>
      <c r="O13" s="20">
        <v>-121.74</v>
      </c>
      <c r="P13" s="11" t="s">
        <v>548</v>
      </c>
      <c r="Q13" s="11" t="s">
        <v>252</v>
      </c>
      <c r="R13" s="11" t="s">
        <v>177</v>
      </c>
      <c r="S13" s="11">
        <v>63</v>
      </c>
      <c r="T13" s="11">
        <v>82</v>
      </c>
      <c r="U13" s="20">
        <v>180.35</v>
      </c>
      <c r="V13" s="11" t="s">
        <v>61</v>
      </c>
      <c r="W13" s="11" t="s">
        <v>62</v>
      </c>
      <c r="X13" s="21">
        <v>1</v>
      </c>
      <c r="Y13" s="11" t="s">
        <v>57</v>
      </c>
    </row>
    <row r="14" spans="1:25" x14ac:dyDescent="0.2">
      <c r="A14" s="19">
        <v>1055790</v>
      </c>
      <c r="B14" s="19" t="s">
        <v>572</v>
      </c>
      <c r="C14" s="19">
        <v>8307933</v>
      </c>
      <c r="D14" s="19" t="s">
        <v>616</v>
      </c>
      <c r="E14" s="19">
        <v>893387</v>
      </c>
      <c r="F14" s="11" t="s">
        <v>219</v>
      </c>
      <c r="G14" s="11" t="s">
        <v>220</v>
      </c>
      <c r="H14" s="22">
        <v>0.67500000000000004</v>
      </c>
      <c r="I14" s="11" t="s">
        <v>52</v>
      </c>
      <c r="J14" s="11">
        <v>246.08</v>
      </c>
      <c r="K14" s="11">
        <v>166.10400000000004</v>
      </c>
      <c r="L14" s="11" t="s">
        <v>99</v>
      </c>
      <c r="M14" s="11" t="s">
        <v>603</v>
      </c>
      <c r="N14" s="20">
        <v>1536.46</v>
      </c>
      <c r="O14" s="20">
        <v>1370.36</v>
      </c>
      <c r="P14" s="11" t="s">
        <v>548</v>
      </c>
      <c r="Q14" s="11" t="s">
        <v>221</v>
      </c>
      <c r="R14" s="11" t="s">
        <v>56</v>
      </c>
      <c r="S14" s="11">
        <v>64</v>
      </c>
      <c r="T14" s="11">
        <v>105</v>
      </c>
      <c r="U14" s="20">
        <v>2030.16</v>
      </c>
      <c r="V14" s="11" t="s">
        <v>61</v>
      </c>
      <c r="W14" s="11" t="s">
        <v>222</v>
      </c>
      <c r="X14" s="21">
        <v>1</v>
      </c>
      <c r="Y14" s="11" t="s">
        <v>57</v>
      </c>
    </row>
    <row r="15" spans="1:25" x14ac:dyDescent="0.2">
      <c r="A15" s="19">
        <v>1055790</v>
      </c>
      <c r="B15" s="19" t="s">
        <v>572</v>
      </c>
      <c r="C15" s="19">
        <v>8307933</v>
      </c>
      <c r="D15" s="19" t="s">
        <v>616</v>
      </c>
      <c r="E15" s="19">
        <v>893387</v>
      </c>
      <c r="F15" s="11" t="s">
        <v>224</v>
      </c>
      <c r="G15" s="11" t="s">
        <v>225</v>
      </c>
      <c r="H15" s="22">
        <v>0.67500000000000004</v>
      </c>
      <c r="I15" s="11" t="s">
        <v>226</v>
      </c>
      <c r="J15" s="11">
        <v>122.74</v>
      </c>
      <c r="K15" s="11">
        <v>82.849500000000006</v>
      </c>
      <c r="L15" s="11" t="s">
        <v>53</v>
      </c>
      <c r="M15" s="11" t="s">
        <v>603</v>
      </c>
      <c r="N15" s="20">
        <v>0</v>
      </c>
      <c r="O15" s="20">
        <v>-82.85</v>
      </c>
      <c r="P15" s="11" t="s">
        <v>548</v>
      </c>
      <c r="Q15" s="11" t="s">
        <v>221</v>
      </c>
      <c r="R15" s="11" t="s">
        <v>56</v>
      </c>
      <c r="S15" s="11">
        <v>60</v>
      </c>
      <c r="T15" s="11">
        <v>50</v>
      </c>
      <c r="U15" s="20">
        <v>122.74</v>
      </c>
      <c r="V15" s="11" t="s">
        <v>61</v>
      </c>
      <c r="W15" s="11" t="s">
        <v>222</v>
      </c>
      <c r="X15" s="21">
        <v>1</v>
      </c>
      <c r="Y15" s="11" t="s">
        <v>57</v>
      </c>
    </row>
    <row r="16" spans="1:25" x14ac:dyDescent="0.2">
      <c r="A16" s="19">
        <v>1055790</v>
      </c>
      <c r="B16" s="19" t="s">
        <v>572</v>
      </c>
      <c r="C16" s="19">
        <v>8307933</v>
      </c>
      <c r="D16" s="19" t="s">
        <v>616</v>
      </c>
      <c r="E16" s="19">
        <v>893387</v>
      </c>
      <c r="F16" s="11" t="s">
        <v>228</v>
      </c>
      <c r="G16" s="11" t="s">
        <v>229</v>
      </c>
      <c r="H16" s="22">
        <v>0.67500000000000004</v>
      </c>
      <c r="I16" s="11" t="s">
        <v>230</v>
      </c>
      <c r="J16" s="11">
        <v>153.74</v>
      </c>
      <c r="K16" s="11">
        <v>103.77450000000002</v>
      </c>
      <c r="L16" s="11" t="s">
        <v>53</v>
      </c>
      <c r="M16" s="11" t="s">
        <v>603</v>
      </c>
      <c r="N16" s="20">
        <v>0</v>
      </c>
      <c r="O16" s="20">
        <v>-103.77</v>
      </c>
      <c r="P16" s="11" t="s">
        <v>548</v>
      </c>
      <c r="Q16" s="11" t="s">
        <v>221</v>
      </c>
      <c r="R16" s="11" t="s">
        <v>56</v>
      </c>
      <c r="S16" s="11">
        <v>62</v>
      </c>
      <c r="T16" s="11">
        <v>75</v>
      </c>
      <c r="U16" s="20">
        <v>153.74</v>
      </c>
      <c r="V16" s="11" t="s">
        <v>61</v>
      </c>
      <c r="W16" s="11" t="s">
        <v>222</v>
      </c>
      <c r="X16" s="21">
        <v>1</v>
      </c>
      <c r="Y16" s="11" t="s">
        <v>57</v>
      </c>
    </row>
    <row r="17" spans="1:25" x14ac:dyDescent="0.2">
      <c r="A17" s="19">
        <v>1055790</v>
      </c>
      <c r="B17" s="19" t="s">
        <v>572</v>
      </c>
      <c r="C17" s="19">
        <v>8307933</v>
      </c>
      <c r="D17" s="19" t="s">
        <v>616</v>
      </c>
      <c r="E17" s="19">
        <v>893387</v>
      </c>
      <c r="F17" s="11" t="s">
        <v>231</v>
      </c>
      <c r="G17" s="11" t="s">
        <v>232</v>
      </c>
      <c r="H17" s="22">
        <v>0.67500000000000004</v>
      </c>
      <c r="I17" s="11" t="s">
        <v>191</v>
      </c>
      <c r="J17" s="11">
        <v>243.56</v>
      </c>
      <c r="K17" s="11">
        <v>164.40300000000002</v>
      </c>
      <c r="L17" s="11" t="s">
        <v>53</v>
      </c>
      <c r="M17" s="11" t="s">
        <v>603</v>
      </c>
      <c r="N17" s="20">
        <v>0</v>
      </c>
      <c r="O17" s="20">
        <v>-164.4</v>
      </c>
      <c r="P17" s="11" t="s">
        <v>548</v>
      </c>
      <c r="Q17" s="11" t="s">
        <v>221</v>
      </c>
      <c r="R17" s="11" t="s">
        <v>56</v>
      </c>
      <c r="S17" s="11">
        <v>60</v>
      </c>
      <c r="T17" s="11">
        <v>150</v>
      </c>
      <c r="U17" s="20">
        <v>243.56</v>
      </c>
      <c r="V17" s="11" t="s">
        <v>61</v>
      </c>
      <c r="W17" s="11" t="s">
        <v>222</v>
      </c>
      <c r="X17" s="21">
        <v>1</v>
      </c>
      <c r="Y17" s="11" t="s">
        <v>57</v>
      </c>
    </row>
    <row r="18" spans="1:25" x14ac:dyDescent="0.2">
      <c r="A18" s="19">
        <v>1055790</v>
      </c>
      <c r="B18" s="19" t="s">
        <v>572</v>
      </c>
      <c r="C18" s="19">
        <v>8307933</v>
      </c>
      <c r="D18" s="19" t="s">
        <v>616</v>
      </c>
      <c r="E18" s="19">
        <v>893387</v>
      </c>
      <c r="F18" s="11" t="s">
        <v>219</v>
      </c>
      <c r="G18" s="11" t="s">
        <v>220</v>
      </c>
      <c r="H18" s="22">
        <v>0.67500000000000004</v>
      </c>
      <c r="I18" s="11" t="s">
        <v>52</v>
      </c>
      <c r="J18" s="11">
        <v>246.08</v>
      </c>
      <c r="K18" s="11">
        <v>166.10400000000004</v>
      </c>
      <c r="L18" s="11" t="s">
        <v>192</v>
      </c>
      <c r="M18" s="11" t="s">
        <v>603</v>
      </c>
      <c r="N18" s="20">
        <v>-1494.94</v>
      </c>
      <c r="O18" s="20">
        <v>-1328.84</v>
      </c>
      <c r="P18" s="11" t="s">
        <v>548</v>
      </c>
      <c r="Q18" s="11" t="s">
        <v>221</v>
      </c>
      <c r="R18" s="11" t="s">
        <v>56</v>
      </c>
      <c r="S18" s="11">
        <v>64</v>
      </c>
      <c r="T18" s="11">
        <v>105</v>
      </c>
      <c r="U18" s="20">
        <v>-2460.8000000000002</v>
      </c>
      <c r="V18" s="11" t="s">
        <v>61</v>
      </c>
      <c r="W18" s="11" t="s">
        <v>223</v>
      </c>
      <c r="X18" s="21">
        <v>1</v>
      </c>
      <c r="Y18" s="11" t="s">
        <v>57</v>
      </c>
    </row>
    <row r="19" spans="1:25" x14ac:dyDescent="0.2">
      <c r="A19" s="19">
        <v>1055790</v>
      </c>
      <c r="B19" s="19" t="s">
        <v>572</v>
      </c>
      <c r="C19" s="19">
        <v>8307933</v>
      </c>
      <c r="D19" s="19" t="s">
        <v>616</v>
      </c>
      <c r="E19" s="19">
        <v>893387</v>
      </c>
      <c r="F19" s="11" t="s">
        <v>224</v>
      </c>
      <c r="G19" s="11" t="s">
        <v>225</v>
      </c>
      <c r="H19" s="22">
        <v>0.67500000000000004</v>
      </c>
      <c r="I19" s="11" t="s">
        <v>226</v>
      </c>
      <c r="J19" s="11">
        <v>122.74</v>
      </c>
      <c r="K19" s="11">
        <v>82.849500000000006</v>
      </c>
      <c r="L19" s="11" t="s">
        <v>169</v>
      </c>
      <c r="M19" s="11" t="s">
        <v>603</v>
      </c>
      <c r="N19" s="20">
        <v>-745.65</v>
      </c>
      <c r="O19" s="20">
        <v>-662.8</v>
      </c>
      <c r="P19" s="11" t="s">
        <v>548</v>
      </c>
      <c r="Q19" s="11" t="s">
        <v>221</v>
      </c>
      <c r="R19" s="11" t="s">
        <v>56</v>
      </c>
      <c r="S19" s="11">
        <v>60</v>
      </c>
      <c r="T19" s="11">
        <v>50</v>
      </c>
      <c r="U19" s="20">
        <v>-1227.4000000000001</v>
      </c>
      <c r="V19" s="11" t="s">
        <v>61</v>
      </c>
      <c r="W19" s="11" t="s">
        <v>223</v>
      </c>
      <c r="X19" s="21">
        <v>1</v>
      </c>
      <c r="Y19" s="11" t="s">
        <v>57</v>
      </c>
    </row>
    <row r="20" spans="1:25" x14ac:dyDescent="0.2">
      <c r="A20" s="19">
        <v>1055790</v>
      </c>
      <c r="B20" s="19" t="s">
        <v>572</v>
      </c>
      <c r="C20" s="19">
        <v>8307933</v>
      </c>
      <c r="D20" s="19" t="s">
        <v>616</v>
      </c>
      <c r="E20" s="19">
        <v>893387</v>
      </c>
      <c r="F20" s="11" t="s">
        <v>224</v>
      </c>
      <c r="G20" s="11" t="s">
        <v>225</v>
      </c>
      <c r="H20" s="22">
        <v>0.67500000000000004</v>
      </c>
      <c r="I20" s="11" t="s">
        <v>226</v>
      </c>
      <c r="J20" s="11">
        <v>122.74</v>
      </c>
      <c r="K20" s="11">
        <v>82.849500000000006</v>
      </c>
      <c r="L20" s="11" t="s">
        <v>92</v>
      </c>
      <c r="M20" s="11" t="s">
        <v>603</v>
      </c>
      <c r="N20" s="20">
        <v>745.65</v>
      </c>
      <c r="O20" s="20">
        <v>745.65</v>
      </c>
      <c r="P20" s="11" t="s">
        <v>548</v>
      </c>
      <c r="Q20" s="11" t="s">
        <v>221</v>
      </c>
      <c r="R20" s="11" t="s">
        <v>56</v>
      </c>
      <c r="S20" s="11">
        <v>60</v>
      </c>
      <c r="T20" s="11">
        <v>50</v>
      </c>
      <c r="U20" s="20">
        <v>1104.6600000000001</v>
      </c>
      <c r="V20" s="11" t="s">
        <v>61</v>
      </c>
      <c r="W20" s="11" t="s">
        <v>227</v>
      </c>
      <c r="X20" s="21">
        <v>1</v>
      </c>
      <c r="Y20" s="11" t="s">
        <v>57</v>
      </c>
    </row>
    <row r="21" spans="1:25" x14ac:dyDescent="0.2">
      <c r="A21" s="19">
        <v>1055790</v>
      </c>
      <c r="B21" s="19" t="s">
        <v>586</v>
      </c>
      <c r="C21" s="19">
        <v>16202925</v>
      </c>
      <c r="D21" s="19" t="s">
        <v>616</v>
      </c>
      <c r="E21" s="19">
        <v>814837</v>
      </c>
      <c r="F21" s="11" t="s">
        <v>384</v>
      </c>
      <c r="G21" s="11" t="s">
        <v>385</v>
      </c>
      <c r="H21" s="22">
        <v>2.5000000000000001E-2</v>
      </c>
      <c r="I21" s="11" t="s">
        <v>174</v>
      </c>
      <c r="J21" s="11">
        <v>210.33</v>
      </c>
      <c r="K21" s="11">
        <v>5.2582500000000003</v>
      </c>
      <c r="L21" s="11" t="s">
        <v>99</v>
      </c>
      <c r="M21" s="11" t="s">
        <v>610</v>
      </c>
      <c r="N21" s="20">
        <v>5.26</v>
      </c>
      <c r="O21" s="20">
        <v>0</v>
      </c>
      <c r="P21" s="11" t="s">
        <v>548</v>
      </c>
      <c r="Q21" s="11" t="s">
        <v>76</v>
      </c>
      <c r="R21" s="11" t="s">
        <v>56</v>
      </c>
      <c r="S21" s="11" t="s">
        <v>57</v>
      </c>
      <c r="T21" s="11">
        <v>0</v>
      </c>
      <c r="U21" s="20">
        <v>210.33</v>
      </c>
      <c r="V21" s="11" t="s">
        <v>61</v>
      </c>
      <c r="W21" s="11" t="s">
        <v>62</v>
      </c>
      <c r="X21" s="21">
        <v>1</v>
      </c>
      <c r="Y21" s="11" t="s">
        <v>57</v>
      </c>
    </row>
    <row r="22" spans="1:25" x14ac:dyDescent="0.2">
      <c r="A22" s="19">
        <v>1055790</v>
      </c>
      <c r="B22" s="19" t="s">
        <v>592</v>
      </c>
      <c r="C22" s="19">
        <v>18201929</v>
      </c>
      <c r="D22" s="19" t="s">
        <v>616</v>
      </c>
      <c r="E22" s="19">
        <v>1202932</v>
      </c>
      <c r="F22" s="11" t="s">
        <v>320</v>
      </c>
      <c r="G22" s="11" t="s">
        <v>321</v>
      </c>
      <c r="H22" s="22">
        <v>1.3</v>
      </c>
      <c r="I22" s="11" t="s">
        <v>322</v>
      </c>
      <c r="J22" s="11">
        <v>89.29</v>
      </c>
      <c r="K22" s="11">
        <v>116.07700000000001</v>
      </c>
      <c r="L22" s="11" t="s">
        <v>53</v>
      </c>
      <c r="M22" s="11" t="s">
        <v>602</v>
      </c>
      <c r="N22" s="20">
        <v>0</v>
      </c>
      <c r="O22" s="20">
        <v>-116.08</v>
      </c>
      <c r="P22" s="11" t="s">
        <v>562</v>
      </c>
      <c r="Q22" s="11" t="s">
        <v>324</v>
      </c>
      <c r="R22" s="11" t="s">
        <v>241</v>
      </c>
      <c r="S22" s="11">
        <v>54</v>
      </c>
      <c r="T22" s="11">
        <v>175</v>
      </c>
      <c r="U22" s="20">
        <v>89.29</v>
      </c>
      <c r="V22" s="11" t="s">
        <v>61</v>
      </c>
      <c r="W22" s="11" t="s">
        <v>222</v>
      </c>
      <c r="X22" s="21">
        <v>1</v>
      </c>
      <c r="Y22" s="11" t="s">
        <v>57</v>
      </c>
    </row>
    <row r="23" spans="1:25" x14ac:dyDescent="0.2">
      <c r="A23" s="19">
        <v>1055790</v>
      </c>
      <c r="B23" s="19" t="s">
        <v>576</v>
      </c>
      <c r="C23" s="19">
        <v>1706194</v>
      </c>
      <c r="D23" s="19" t="s">
        <v>616</v>
      </c>
      <c r="E23" s="19">
        <v>1099222</v>
      </c>
      <c r="F23" s="11" t="s">
        <v>196</v>
      </c>
      <c r="G23" s="11" t="s">
        <v>197</v>
      </c>
      <c r="H23" s="22">
        <v>1.5</v>
      </c>
      <c r="I23" s="11" t="s">
        <v>198</v>
      </c>
      <c r="J23" s="11">
        <v>97.44</v>
      </c>
      <c r="K23" s="11">
        <v>146.16</v>
      </c>
      <c r="L23" s="11" t="s">
        <v>99</v>
      </c>
      <c r="M23" s="11" t="s">
        <v>602</v>
      </c>
      <c r="N23" s="20">
        <v>146.16</v>
      </c>
      <c r="O23" s="20">
        <v>0</v>
      </c>
      <c r="P23" s="11" t="s">
        <v>544</v>
      </c>
      <c r="Q23" s="11" t="s">
        <v>200</v>
      </c>
      <c r="R23" s="11" t="s">
        <v>201</v>
      </c>
      <c r="S23" s="11">
        <v>61</v>
      </c>
      <c r="T23" s="11">
        <v>65</v>
      </c>
      <c r="U23" s="20">
        <v>97.44</v>
      </c>
      <c r="V23" s="11" t="s">
        <v>61</v>
      </c>
      <c r="W23" s="11" t="s">
        <v>62</v>
      </c>
      <c r="X23" s="21">
        <v>1</v>
      </c>
      <c r="Y23" s="11" t="s">
        <v>57</v>
      </c>
    </row>
    <row r="24" spans="1:25" x14ac:dyDescent="0.2">
      <c r="A24" s="19">
        <v>1055790</v>
      </c>
      <c r="B24" s="19" t="s">
        <v>572</v>
      </c>
      <c r="C24" s="19">
        <v>8307933</v>
      </c>
      <c r="D24" s="19" t="s">
        <v>616</v>
      </c>
      <c r="E24" s="19">
        <v>893387</v>
      </c>
      <c r="F24" s="11" t="s">
        <v>247</v>
      </c>
      <c r="G24" s="11" t="s">
        <v>248</v>
      </c>
      <c r="H24" s="22">
        <v>1.5</v>
      </c>
      <c r="I24" s="11" t="s">
        <v>52</v>
      </c>
      <c r="J24" s="11">
        <v>278.35000000000002</v>
      </c>
      <c r="K24" s="11">
        <v>417.52500000000003</v>
      </c>
      <c r="L24" s="11" t="s">
        <v>169</v>
      </c>
      <c r="M24" s="11" t="s">
        <v>602</v>
      </c>
      <c r="N24" s="20">
        <v>417.53</v>
      </c>
      <c r="O24" s="20">
        <v>0</v>
      </c>
      <c r="P24" s="11" t="s">
        <v>544</v>
      </c>
      <c r="Q24" s="11" t="s">
        <v>249</v>
      </c>
      <c r="R24" s="11" t="s">
        <v>177</v>
      </c>
      <c r="S24" s="11">
        <v>57</v>
      </c>
      <c r="T24" s="11">
        <v>250</v>
      </c>
      <c r="U24" s="20">
        <v>278.35000000000002</v>
      </c>
      <c r="V24" s="11" t="s">
        <v>61</v>
      </c>
      <c r="W24" s="11" t="s">
        <v>62</v>
      </c>
      <c r="X24" s="21">
        <v>1</v>
      </c>
      <c r="Y24" s="11" t="s">
        <v>57</v>
      </c>
    </row>
    <row r="25" spans="1:25" x14ac:dyDescent="0.2">
      <c r="A25" s="19">
        <v>1055790</v>
      </c>
      <c r="B25" s="19" t="s">
        <v>572</v>
      </c>
      <c r="C25" s="19">
        <v>8307933</v>
      </c>
      <c r="D25" s="19" t="s">
        <v>616</v>
      </c>
      <c r="E25" s="19">
        <v>893387</v>
      </c>
      <c r="F25" s="11" t="s">
        <v>250</v>
      </c>
      <c r="G25" s="11" t="s">
        <v>251</v>
      </c>
      <c r="H25" s="22">
        <v>1.5</v>
      </c>
      <c r="I25" s="11" t="s">
        <v>226</v>
      </c>
      <c r="J25" s="11">
        <v>251.31</v>
      </c>
      <c r="K25" s="11">
        <v>376.96499999999997</v>
      </c>
      <c r="L25" s="11" t="s">
        <v>169</v>
      </c>
      <c r="M25" s="11" t="s">
        <v>602</v>
      </c>
      <c r="N25" s="20">
        <v>376.97</v>
      </c>
      <c r="O25" s="20">
        <v>0</v>
      </c>
      <c r="P25" s="11" t="s">
        <v>544</v>
      </c>
      <c r="Q25" s="11" t="s">
        <v>252</v>
      </c>
      <c r="R25" s="11" t="s">
        <v>177</v>
      </c>
      <c r="S25" s="11">
        <v>64</v>
      </c>
      <c r="T25" s="11">
        <v>125</v>
      </c>
      <c r="U25" s="20">
        <v>251.31</v>
      </c>
      <c r="V25" s="11" t="s">
        <v>61</v>
      </c>
      <c r="W25" s="11" t="s">
        <v>62</v>
      </c>
      <c r="X25" s="21">
        <v>1</v>
      </c>
      <c r="Y25" s="11" t="s">
        <v>57</v>
      </c>
    </row>
    <row r="26" spans="1:25" x14ac:dyDescent="0.2">
      <c r="A26" s="19">
        <v>1055790</v>
      </c>
      <c r="B26" s="19" t="s">
        <v>580</v>
      </c>
      <c r="C26" s="19">
        <v>17437820</v>
      </c>
      <c r="D26" s="19" t="s">
        <v>616</v>
      </c>
      <c r="E26" s="19">
        <v>892719</v>
      </c>
      <c r="F26" s="11" t="s">
        <v>303</v>
      </c>
      <c r="G26" s="11" t="s">
        <v>304</v>
      </c>
      <c r="H26" s="22">
        <v>1.5</v>
      </c>
      <c r="I26" s="11" t="s">
        <v>52</v>
      </c>
      <c r="J26" s="11">
        <v>67.819999999999993</v>
      </c>
      <c r="K26" s="11">
        <v>101.72999999999999</v>
      </c>
      <c r="L26" s="11" t="s">
        <v>169</v>
      </c>
      <c r="M26" s="11" t="s">
        <v>602</v>
      </c>
      <c r="N26" s="20">
        <v>0</v>
      </c>
      <c r="O26" s="20">
        <v>-101.73</v>
      </c>
      <c r="P26" s="11" t="s">
        <v>544</v>
      </c>
      <c r="Q26" s="11" t="s">
        <v>305</v>
      </c>
      <c r="R26" s="11" t="s">
        <v>177</v>
      </c>
      <c r="S26" s="11">
        <v>30</v>
      </c>
      <c r="T26" s="11">
        <v>300</v>
      </c>
      <c r="U26" s="20">
        <v>67.819999999999993</v>
      </c>
      <c r="V26" s="11" t="s">
        <v>61</v>
      </c>
      <c r="W26" s="11" t="s">
        <v>62</v>
      </c>
      <c r="X26" s="21">
        <v>1</v>
      </c>
      <c r="Y26" s="11" t="s">
        <v>57</v>
      </c>
    </row>
    <row r="27" spans="1:25" x14ac:dyDescent="0.2">
      <c r="A27" s="19">
        <v>1055790</v>
      </c>
      <c r="B27" s="19" t="s">
        <v>580</v>
      </c>
      <c r="C27" s="19">
        <v>17437820</v>
      </c>
      <c r="D27" s="19" t="s">
        <v>616</v>
      </c>
      <c r="E27" s="19">
        <v>892719</v>
      </c>
      <c r="F27" s="11" t="s">
        <v>306</v>
      </c>
      <c r="G27" s="11" t="s">
        <v>307</v>
      </c>
      <c r="H27" s="22">
        <v>1.5</v>
      </c>
      <c r="I27" s="11" t="s">
        <v>308</v>
      </c>
      <c r="J27" s="11">
        <v>210.04</v>
      </c>
      <c r="K27" s="11">
        <v>315.06</v>
      </c>
      <c r="L27" s="11" t="s">
        <v>192</v>
      </c>
      <c r="M27" s="11" t="s">
        <v>602</v>
      </c>
      <c r="N27" s="20">
        <v>0</v>
      </c>
      <c r="O27" s="20">
        <v>-315.06</v>
      </c>
      <c r="P27" s="11" t="s">
        <v>544</v>
      </c>
      <c r="Q27" s="11" t="s">
        <v>76</v>
      </c>
      <c r="R27" s="11" t="s">
        <v>309</v>
      </c>
      <c r="S27" s="11">
        <v>57</v>
      </c>
      <c r="T27" s="11">
        <v>200</v>
      </c>
      <c r="U27" s="20">
        <v>210.04</v>
      </c>
      <c r="V27" s="11" t="s">
        <v>61</v>
      </c>
      <c r="W27" s="11" t="s">
        <v>62</v>
      </c>
      <c r="X27" s="21">
        <v>1</v>
      </c>
      <c r="Y27" s="11" t="s">
        <v>57</v>
      </c>
    </row>
    <row r="28" spans="1:25" x14ac:dyDescent="0.2">
      <c r="A28" s="19">
        <v>1055790</v>
      </c>
      <c r="B28" s="19" t="s">
        <v>582</v>
      </c>
      <c r="C28" s="19" t="s">
        <v>568</v>
      </c>
      <c r="D28" s="19" t="s">
        <v>616</v>
      </c>
      <c r="E28" s="19">
        <v>1169782</v>
      </c>
      <c r="F28" s="11" t="s">
        <v>326</v>
      </c>
      <c r="G28" s="11" t="s">
        <v>327</v>
      </c>
      <c r="H28" s="22">
        <v>1.5</v>
      </c>
      <c r="I28" s="11" t="s">
        <v>52</v>
      </c>
      <c r="J28" s="11">
        <v>61.94</v>
      </c>
      <c r="K28" s="11">
        <v>92.91</v>
      </c>
      <c r="L28" s="11" t="s">
        <v>169</v>
      </c>
      <c r="M28" s="11" t="s">
        <v>602</v>
      </c>
      <c r="N28" s="20">
        <v>92.91</v>
      </c>
      <c r="O28" s="20">
        <v>0</v>
      </c>
      <c r="P28" s="11" t="s">
        <v>544</v>
      </c>
      <c r="Q28" s="11" t="s">
        <v>329</v>
      </c>
      <c r="R28" s="11" t="s">
        <v>330</v>
      </c>
      <c r="S28" s="11">
        <v>34</v>
      </c>
      <c r="T28" s="11">
        <v>300</v>
      </c>
      <c r="U28" s="20">
        <v>61.94</v>
      </c>
      <c r="V28" s="11" t="s">
        <v>61</v>
      </c>
      <c r="W28" s="11" t="s">
        <v>62</v>
      </c>
      <c r="X28" s="21">
        <v>1</v>
      </c>
      <c r="Y28" s="11" t="s">
        <v>57</v>
      </c>
    </row>
    <row r="29" spans="1:25" x14ac:dyDescent="0.2">
      <c r="A29" s="19">
        <v>1055790</v>
      </c>
      <c r="B29" s="19" t="s">
        <v>576</v>
      </c>
      <c r="C29" s="19">
        <v>1706194</v>
      </c>
      <c r="D29" s="19" t="s">
        <v>616</v>
      </c>
      <c r="E29" s="19">
        <v>1099222</v>
      </c>
      <c r="F29" s="11" t="s">
        <v>333</v>
      </c>
      <c r="G29" s="11" t="s">
        <v>334</v>
      </c>
      <c r="H29" s="22">
        <v>1.5</v>
      </c>
      <c r="I29" s="11" t="s">
        <v>226</v>
      </c>
      <c r="J29" s="11">
        <v>56.6</v>
      </c>
      <c r="K29" s="11">
        <v>84.899999999999991</v>
      </c>
      <c r="L29" s="11" t="s">
        <v>53</v>
      </c>
      <c r="M29" s="11" t="s">
        <v>602</v>
      </c>
      <c r="N29" s="20">
        <v>0</v>
      </c>
      <c r="O29" s="20">
        <v>-84.9</v>
      </c>
      <c r="P29" s="11" t="s">
        <v>544</v>
      </c>
      <c r="Q29" s="11" t="s">
        <v>335</v>
      </c>
      <c r="R29" s="11" t="s">
        <v>194</v>
      </c>
      <c r="S29" s="11">
        <v>25</v>
      </c>
      <c r="T29" s="11">
        <v>300</v>
      </c>
      <c r="U29" s="20">
        <v>56.6</v>
      </c>
      <c r="V29" s="11" t="s">
        <v>61</v>
      </c>
      <c r="W29" s="11" t="s">
        <v>62</v>
      </c>
      <c r="X29" s="21">
        <v>1</v>
      </c>
      <c r="Y29" s="11" t="s">
        <v>57</v>
      </c>
    </row>
    <row r="30" spans="1:25" x14ac:dyDescent="0.2">
      <c r="A30" s="19">
        <v>1055790</v>
      </c>
      <c r="B30" s="19" t="s">
        <v>576</v>
      </c>
      <c r="C30" s="19">
        <v>1706194</v>
      </c>
      <c r="D30" s="19" t="s">
        <v>616</v>
      </c>
      <c r="E30" s="19">
        <v>1099222</v>
      </c>
      <c r="F30" s="11" t="s">
        <v>336</v>
      </c>
      <c r="G30" s="11" t="s">
        <v>337</v>
      </c>
      <c r="H30" s="22">
        <v>1.5</v>
      </c>
      <c r="I30" s="11" t="s">
        <v>230</v>
      </c>
      <c r="J30" s="11">
        <v>76.180000000000007</v>
      </c>
      <c r="K30" s="11">
        <v>114.27000000000001</v>
      </c>
      <c r="L30" s="11" t="s">
        <v>53</v>
      </c>
      <c r="M30" s="11" t="s">
        <v>602</v>
      </c>
      <c r="N30" s="20">
        <v>0</v>
      </c>
      <c r="O30" s="20">
        <v>-114.27</v>
      </c>
      <c r="P30" s="11" t="s">
        <v>544</v>
      </c>
      <c r="Q30" s="11" t="s">
        <v>338</v>
      </c>
      <c r="R30" s="11" t="s">
        <v>194</v>
      </c>
      <c r="S30" s="11">
        <v>61</v>
      </c>
      <c r="T30" s="11">
        <v>50</v>
      </c>
      <c r="U30" s="20">
        <v>76.180000000000007</v>
      </c>
      <c r="V30" s="11" t="s">
        <v>61</v>
      </c>
      <c r="W30" s="11" t="s">
        <v>62</v>
      </c>
      <c r="X30" s="21">
        <v>1</v>
      </c>
      <c r="Y30" s="11" t="s">
        <v>57</v>
      </c>
    </row>
    <row r="31" spans="1:25" x14ac:dyDescent="0.2">
      <c r="A31" s="19">
        <v>1055790</v>
      </c>
      <c r="B31" s="19" t="s">
        <v>583</v>
      </c>
      <c r="C31" s="19">
        <v>5442438</v>
      </c>
      <c r="D31" s="19" t="s">
        <v>616</v>
      </c>
      <c r="E31" s="19">
        <v>899216</v>
      </c>
      <c r="F31" s="11" t="s">
        <v>342</v>
      </c>
      <c r="G31" s="11" t="s">
        <v>343</v>
      </c>
      <c r="H31" s="22">
        <v>1.5</v>
      </c>
      <c r="I31" s="11" t="s">
        <v>174</v>
      </c>
      <c r="J31" s="11">
        <v>76.180000000000007</v>
      </c>
      <c r="K31" s="11">
        <v>114.27000000000001</v>
      </c>
      <c r="L31" s="11" t="s">
        <v>92</v>
      </c>
      <c r="M31" s="11" t="s">
        <v>602</v>
      </c>
      <c r="N31" s="20">
        <v>114.27</v>
      </c>
      <c r="O31" s="20">
        <v>0</v>
      </c>
      <c r="P31" s="11" t="s">
        <v>544</v>
      </c>
      <c r="Q31" s="11" t="s">
        <v>344</v>
      </c>
      <c r="R31" s="11" t="s">
        <v>301</v>
      </c>
      <c r="S31" s="11">
        <v>61</v>
      </c>
      <c r="T31" s="11">
        <v>50</v>
      </c>
      <c r="U31" s="20">
        <v>76.180000000000007</v>
      </c>
      <c r="V31" s="11" t="s">
        <v>61</v>
      </c>
      <c r="W31" s="11" t="s">
        <v>62</v>
      </c>
      <c r="X31" s="21">
        <v>1</v>
      </c>
      <c r="Y31" s="11" t="s">
        <v>57</v>
      </c>
    </row>
    <row r="32" spans="1:25" x14ac:dyDescent="0.2">
      <c r="A32" s="19">
        <v>1055790</v>
      </c>
      <c r="B32" s="19" t="s">
        <v>575</v>
      </c>
      <c r="C32" s="19">
        <v>16912722</v>
      </c>
      <c r="D32" s="19" t="s">
        <v>616</v>
      </c>
      <c r="E32" s="19">
        <v>613147</v>
      </c>
      <c r="F32" s="11" t="s">
        <v>167</v>
      </c>
      <c r="G32" s="11" t="s">
        <v>168</v>
      </c>
      <c r="H32" s="22">
        <v>1.1399999999999999</v>
      </c>
      <c r="I32" s="11" t="s">
        <v>52</v>
      </c>
      <c r="J32" s="11">
        <v>47.52</v>
      </c>
      <c r="K32" s="11">
        <v>54.172799999999995</v>
      </c>
      <c r="L32" s="11" t="s">
        <v>169</v>
      </c>
      <c r="M32" s="11" t="s">
        <v>601</v>
      </c>
      <c r="N32" s="20">
        <v>48.04</v>
      </c>
      <c r="O32" s="20">
        <v>0</v>
      </c>
      <c r="P32" s="11" t="s">
        <v>543</v>
      </c>
      <c r="Q32" s="11" t="s">
        <v>96</v>
      </c>
      <c r="R32" s="11" t="s">
        <v>56</v>
      </c>
      <c r="S32" s="11">
        <v>41</v>
      </c>
      <c r="T32" s="11">
        <v>1000</v>
      </c>
      <c r="U32" s="20">
        <v>42.14</v>
      </c>
      <c r="V32" s="11" t="s">
        <v>61</v>
      </c>
      <c r="W32" s="11" t="s">
        <v>62</v>
      </c>
      <c r="X32" s="21">
        <v>1</v>
      </c>
      <c r="Y32" s="11" t="s">
        <v>57</v>
      </c>
    </row>
    <row r="33" spans="1:25" x14ac:dyDescent="0.2">
      <c r="A33" s="19">
        <v>1055790</v>
      </c>
      <c r="B33" s="19" t="s">
        <v>571</v>
      </c>
      <c r="C33" s="19">
        <v>8812322</v>
      </c>
      <c r="D33" s="19" t="s">
        <v>616</v>
      </c>
      <c r="E33" s="19">
        <v>684147</v>
      </c>
      <c r="F33" s="11" t="s">
        <v>50</v>
      </c>
      <c r="G33" s="11" t="s">
        <v>51</v>
      </c>
      <c r="H33" s="22">
        <v>0.13500000000000001</v>
      </c>
      <c r="I33" s="11" t="s">
        <v>52</v>
      </c>
      <c r="J33" s="11">
        <v>138.54</v>
      </c>
      <c r="K33" s="11">
        <v>18.7029</v>
      </c>
      <c r="L33" s="11" t="s">
        <v>53</v>
      </c>
      <c r="M33" s="11" t="s">
        <v>599</v>
      </c>
      <c r="N33" s="20">
        <v>18.7</v>
      </c>
      <c r="O33" s="20">
        <v>0</v>
      </c>
      <c r="P33" s="11" t="s">
        <v>538</v>
      </c>
      <c r="Q33" s="11" t="s">
        <v>55</v>
      </c>
      <c r="R33" s="11" t="s">
        <v>56</v>
      </c>
      <c r="S33" s="11" t="s">
        <v>57</v>
      </c>
      <c r="T33" s="11">
        <v>0</v>
      </c>
      <c r="U33" s="20">
        <v>138.54</v>
      </c>
      <c r="V33" s="11" t="s">
        <v>61</v>
      </c>
      <c r="W33" s="11" t="s">
        <v>62</v>
      </c>
      <c r="X33" s="21">
        <v>1</v>
      </c>
      <c r="Y33" s="11" t="s">
        <v>57</v>
      </c>
    </row>
    <row r="34" spans="1:25" x14ac:dyDescent="0.2">
      <c r="A34" s="19">
        <v>1055790</v>
      </c>
      <c r="B34" s="19" t="s">
        <v>593</v>
      </c>
      <c r="C34" s="19" t="s">
        <v>569</v>
      </c>
      <c r="D34" s="19" t="s">
        <v>616</v>
      </c>
      <c r="E34" s="19">
        <v>957310</v>
      </c>
      <c r="F34" s="11" t="s">
        <v>130</v>
      </c>
      <c r="G34" s="11" t="s">
        <v>131</v>
      </c>
      <c r="H34" s="22">
        <v>0.215</v>
      </c>
      <c r="I34" s="11" t="s">
        <v>127</v>
      </c>
      <c r="J34" s="11">
        <v>183.59</v>
      </c>
      <c r="K34" s="11">
        <v>39.471850000000003</v>
      </c>
      <c r="L34" s="11" t="s">
        <v>92</v>
      </c>
      <c r="M34" s="11" t="s">
        <v>558</v>
      </c>
      <c r="N34" s="20">
        <v>29.61</v>
      </c>
      <c r="O34" s="20">
        <v>0</v>
      </c>
      <c r="P34" s="11" t="s">
        <v>564</v>
      </c>
      <c r="Q34" s="11" t="s">
        <v>133</v>
      </c>
      <c r="R34" s="11" t="s">
        <v>56</v>
      </c>
      <c r="S34" s="11" t="s">
        <v>57</v>
      </c>
      <c r="T34" s="11">
        <v>0</v>
      </c>
      <c r="U34" s="20">
        <v>137.74</v>
      </c>
      <c r="V34" s="11" t="s">
        <v>101</v>
      </c>
      <c r="W34" s="11" t="s">
        <v>102</v>
      </c>
      <c r="X34" s="21">
        <v>1</v>
      </c>
      <c r="Y34" s="11" t="s">
        <v>57</v>
      </c>
    </row>
    <row r="35" spans="1:25" x14ac:dyDescent="0.2">
      <c r="A35" s="19">
        <v>1055790</v>
      </c>
      <c r="B35" s="19" t="s">
        <v>593</v>
      </c>
      <c r="C35" s="19" t="s">
        <v>569</v>
      </c>
      <c r="D35" s="19" t="s">
        <v>616</v>
      </c>
      <c r="E35" s="19">
        <v>957310</v>
      </c>
      <c r="F35" s="11" t="s">
        <v>134</v>
      </c>
      <c r="G35" s="11" t="s">
        <v>135</v>
      </c>
      <c r="H35" s="22">
        <v>0.215</v>
      </c>
      <c r="I35" s="11" t="s">
        <v>127</v>
      </c>
      <c r="J35" s="11">
        <v>333.37</v>
      </c>
      <c r="K35" s="11">
        <v>71.674550000000011</v>
      </c>
      <c r="L35" s="11" t="s">
        <v>92</v>
      </c>
      <c r="M35" s="11" t="s">
        <v>558</v>
      </c>
      <c r="N35" s="20">
        <v>49.44</v>
      </c>
      <c r="O35" s="20">
        <v>0</v>
      </c>
      <c r="P35" s="11" t="s">
        <v>564</v>
      </c>
      <c r="Q35" s="11" t="s">
        <v>133</v>
      </c>
      <c r="R35" s="11" t="s">
        <v>56</v>
      </c>
      <c r="S35" s="11" t="s">
        <v>57</v>
      </c>
      <c r="T35" s="11">
        <v>0</v>
      </c>
      <c r="U35" s="20">
        <v>229.97</v>
      </c>
      <c r="V35" s="11" t="s">
        <v>101</v>
      </c>
      <c r="W35" s="11" t="s">
        <v>102</v>
      </c>
      <c r="X35" s="21">
        <v>1</v>
      </c>
      <c r="Y35" s="11" t="s">
        <v>57</v>
      </c>
    </row>
    <row r="36" spans="1:25" x14ac:dyDescent="0.2">
      <c r="A36" s="19">
        <v>1055790</v>
      </c>
      <c r="B36" s="19" t="s">
        <v>579</v>
      </c>
      <c r="C36" s="19">
        <v>16228684</v>
      </c>
      <c r="D36" s="19" t="s">
        <v>616</v>
      </c>
      <c r="E36" s="19">
        <v>893214</v>
      </c>
      <c r="F36" s="11" t="s">
        <v>366</v>
      </c>
      <c r="G36" s="11" t="s">
        <v>367</v>
      </c>
      <c r="H36" s="22">
        <v>0.52</v>
      </c>
      <c r="I36" s="11" t="s">
        <v>52</v>
      </c>
      <c r="J36" s="11">
        <v>72.33</v>
      </c>
      <c r="K36" s="11">
        <v>37.611599999999996</v>
      </c>
      <c r="L36" s="11" t="s">
        <v>53</v>
      </c>
      <c r="M36" s="11" t="s">
        <v>608</v>
      </c>
      <c r="N36" s="20">
        <v>37.61</v>
      </c>
      <c r="O36" s="20">
        <v>0</v>
      </c>
      <c r="P36" s="11" t="s">
        <v>555</v>
      </c>
      <c r="Q36" s="11" t="s">
        <v>368</v>
      </c>
      <c r="R36" s="11" t="s">
        <v>194</v>
      </c>
      <c r="S36" s="11" t="s">
        <v>57</v>
      </c>
      <c r="T36" s="11">
        <v>0</v>
      </c>
      <c r="U36" s="20">
        <v>72.33</v>
      </c>
      <c r="V36" s="11" t="s">
        <v>61</v>
      </c>
      <c r="W36" s="11" t="s">
        <v>62</v>
      </c>
      <c r="X36" s="21">
        <v>1</v>
      </c>
      <c r="Y36" s="11" t="s">
        <v>57</v>
      </c>
    </row>
    <row r="37" spans="1:25" x14ac:dyDescent="0.2">
      <c r="A37" s="19">
        <v>1055790</v>
      </c>
      <c r="B37" s="19" t="s">
        <v>588</v>
      </c>
      <c r="C37" s="19">
        <v>8325282</v>
      </c>
      <c r="D37" s="19" t="s">
        <v>616</v>
      </c>
      <c r="E37" s="19">
        <v>513364</v>
      </c>
      <c r="F37" s="11" t="s">
        <v>523</v>
      </c>
      <c r="G37" s="11" t="s">
        <v>524</v>
      </c>
      <c r="H37" s="22">
        <v>0.52</v>
      </c>
      <c r="I37" s="11" t="s">
        <v>52</v>
      </c>
      <c r="J37" s="11">
        <v>68.56</v>
      </c>
      <c r="K37" s="11">
        <v>35.651200000000003</v>
      </c>
      <c r="L37" s="11" t="s">
        <v>53</v>
      </c>
      <c r="M37" s="11" t="s">
        <v>608</v>
      </c>
      <c r="N37" s="20">
        <v>35.65</v>
      </c>
      <c r="O37" s="20">
        <v>0</v>
      </c>
      <c r="P37" s="11" t="s">
        <v>555</v>
      </c>
      <c r="Q37" s="11" t="s">
        <v>96</v>
      </c>
      <c r="R37" s="11" t="s">
        <v>56</v>
      </c>
      <c r="S37" s="11" t="s">
        <v>57</v>
      </c>
      <c r="T37" s="11">
        <v>0</v>
      </c>
      <c r="U37" s="20">
        <v>68.56</v>
      </c>
      <c r="V37" s="11" t="s">
        <v>61</v>
      </c>
      <c r="W37" s="11" t="s">
        <v>62</v>
      </c>
      <c r="X37" s="21">
        <v>1</v>
      </c>
      <c r="Y37" s="11" t="s">
        <v>57</v>
      </c>
    </row>
    <row r="38" spans="1:25" x14ac:dyDescent="0.2">
      <c r="A38" s="19">
        <v>1055790</v>
      </c>
      <c r="B38" s="19" t="s">
        <v>584</v>
      </c>
      <c r="C38" s="19">
        <v>19681796</v>
      </c>
      <c r="D38" s="19" t="s">
        <v>616</v>
      </c>
      <c r="E38" s="19">
        <v>938286</v>
      </c>
      <c r="F38" s="11" t="s">
        <v>357</v>
      </c>
      <c r="G38" s="11" t="s">
        <v>358</v>
      </c>
      <c r="H38" s="22">
        <v>0.52</v>
      </c>
      <c r="I38" s="11" t="s">
        <v>52</v>
      </c>
      <c r="J38" s="11">
        <v>79.28</v>
      </c>
      <c r="K38" s="11">
        <v>41.2256</v>
      </c>
      <c r="L38" s="11" t="s">
        <v>53</v>
      </c>
      <c r="M38" s="11" t="s">
        <v>606</v>
      </c>
      <c r="N38" s="20">
        <v>41.23</v>
      </c>
      <c r="O38" s="20">
        <v>0</v>
      </c>
      <c r="P38" s="11" t="s">
        <v>555</v>
      </c>
      <c r="Q38" s="11" t="s">
        <v>76</v>
      </c>
      <c r="R38" s="11" t="s">
        <v>56</v>
      </c>
      <c r="S38" s="11" t="s">
        <v>57</v>
      </c>
      <c r="T38" s="11">
        <v>0</v>
      </c>
      <c r="U38" s="20">
        <v>79.28</v>
      </c>
      <c r="V38" s="11" t="s">
        <v>61</v>
      </c>
      <c r="W38" s="11" t="s">
        <v>62</v>
      </c>
      <c r="X38" s="21">
        <v>1</v>
      </c>
      <c r="Y38" s="11" t="s">
        <v>57</v>
      </c>
    </row>
    <row r="39" spans="1:25" x14ac:dyDescent="0.2">
      <c r="A39" s="19">
        <v>1055790</v>
      </c>
      <c r="B39" s="19" t="s">
        <v>585</v>
      </c>
      <c r="C39" s="19">
        <v>16633294</v>
      </c>
      <c r="D39" s="19" t="s">
        <v>616</v>
      </c>
      <c r="E39" s="19">
        <v>892048</v>
      </c>
      <c r="F39" s="11" t="s">
        <v>373</v>
      </c>
      <c r="G39" s="11" t="s">
        <v>374</v>
      </c>
      <c r="H39" s="22">
        <v>0.52</v>
      </c>
      <c r="I39" s="11" t="s">
        <v>52</v>
      </c>
      <c r="J39" s="11">
        <v>79.28</v>
      </c>
      <c r="K39" s="11">
        <v>41.2256</v>
      </c>
      <c r="L39" s="11" t="s">
        <v>53</v>
      </c>
      <c r="M39" s="11" t="s">
        <v>606</v>
      </c>
      <c r="N39" s="20">
        <v>41.23</v>
      </c>
      <c r="O39" s="20">
        <v>0</v>
      </c>
      <c r="P39" s="11" t="s">
        <v>555</v>
      </c>
      <c r="Q39" s="11" t="s">
        <v>375</v>
      </c>
      <c r="R39" s="11" t="s">
        <v>177</v>
      </c>
      <c r="S39" s="11" t="s">
        <v>57</v>
      </c>
      <c r="T39" s="11">
        <v>0</v>
      </c>
      <c r="U39" s="20">
        <v>79.28</v>
      </c>
      <c r="V39" s="11" t="s">
        <v>61</v>
      </c>
      <c r="W39" s="11" t="s">
        <v>62</v>
      </c>
      <c r="X39" s="21">
        <v>1</v>
      </c>
      <c r="Y39" s="11" t="s">
        <v>57</v>
      </c>
    </row>
    <row r="40" spans="1:25" x14ac:dyDescent="0.2">
      <c r="A40" s="19">
        <v>1055790</v>
      </c>
      <c r="B40" s="19" t="s">
        <v>585</v>
      </c>
      <c r="C40" s="19">
        <v>16633294</v>
      </c>
      <c r="D40" s="19" t="s">
        <v>616</v>
      </c>
      <c r="E40" s="19">
        <v>892048</v>
      </c>
      <c r="F40" s="11" t="s">
        <v>376</v>
      </c>
      <c r="G40" s="11" t="s">
        <v>377</v>
      </c>
      <c r="H40" s="22">
        <v>0.52</v>
      </c>
      <c r="I40" s="11" t="s">
        <v>52</v>
      </c>
      <c r="J40" s="11">
        <v>79.28</v>
      </c>
      <c r="K40" s="11">
        <v>41.2256</v>
      </c>
      <c r="L40" s="11" t="s">
        <v>53</v>
      </c>
      <c r="M40" s="11" t="s">
        <v>606</v>
      </c>
      <c r="N40" s="20">
        <v>41.23</v>
      </c>
      <c r="O40" s="20">
        <v>0</v>
      </c>
      <c r="P40" s="11" t="s">
        <v>555</v>
      </c>
      <c r="Q40" s="11" t="s">
        <v>55</v>
      </c>
      <c r="R40" s="11" t="s">
        <v>56</v>
      </c>
      <c r="S40" s="11" t="s">
        <v>57</v>
      </c>
      <c r="T40" s="11">
        <v>0</v>
      </c>
      <c r="U40" s="20">
        <v>79.28</v>
      </c>
      <c r="V40" s="11" t="s">
        <v>61</v>
      </c>
      <c r="W40" s="11" t="s">
        <v>62</v>
      </c>
      <c r="X40" s="21">
        <v>1</v>
      </c>
      <c r="Y40" s="11" t="s">
        <v>57</v>
      </c>
    </row>
    <row r="41" spans="1:25" x14ac:dyDescent="0.2">
      <c r="A41" s="19">
        <v>1055790</v>
      </c>
      <c r="B41" s="19" t="s">
        <v>585</v>
      </c>
      <c r="C41" s="19">
        <v>16633294</v>
      </c>
      <c r="D41" s="19" t="s">
        <v>616</v>
      </c>
      <c r="E41" s="19">
        <v>892048</v>
      </c>
      <c r="F41" s="11" t="s">
        <v>378</v>
      </c>
      <c r="G41" s="11" t="s">
        <v>379</v>
      </c>
      <c r="H41" s="22">
        <v>0.52</v>
      </c>
      <c r="I41" s="11" t="s">
        <v>52</v>
      </c>
      <c r="J41" s="11">
        <v>79.28</v>
      </c>
      <c r="K41" s="11">
        <v>41.2256</v>
      </c>
      <c r="L41" s="11" t="s">
        <v>53</v>
      </c>
      <c r="M41" s="11" t="s">
        <v>606</v>
      </c>
      <c r="N41" s="20">
        <v>41.23</v>
      </c>
      <c r="O41" s="20">
        <v>0</v>
      </c>
      <c r="P41" s="11" t="s">
        <v>555</v>
      </c>
      <c r="Q41" s="11" t="s">
        <v>55</v>
      </c>
      <c r="R41" s="11" t="s">
        <v>56</v>
      </c>
      <c r="S41" s="11" t="s">
        <v>57</v>
      </c>
      <c r="T41" s="11">
        <v>0</v>
      </c>
      <c r="U41" s="20">
        <v>79.28</v>
      </c>
      <c r="V41" s="11" t="s">
        <v>61</v>
      </c>
      <c r="W41" s="11" t="s">
        <v>62</v>
      </c>
      <c r="X41" s="21">
        <v>1</v>
      </c>
      <c r="Y41" s="11" t="s">
        <v>57</v>
      </c>
    </row>
    <row r="42" spans="1:25" x14ac:dyDescent="0.2">
      <c r="A42" s="19">
        <v>1055790</v>
      </c>
      <c r="B42" s="19" t="s">
        <v>585</v>
      </c>
      <c r="C42" s="19">
        <v>16633294</v>
      </c>
      <c r="D42" s="19" t="s">
        <v>616</v>
      </c>
      <c r="E42" s="19">
        <v>892048</v>
      </c>
      <c r="F42" s="11" t="s">
        <v>382</v>
      </c>
      <c r="G42" s="11" t="s">
        <v>383</v>
      </c>
      <c r="H42" s="22">
        <v>0.52</v>
      </c>
      <c r="I42" s="11" t="s">
        <v>52</v>
      </c>
      <c r="J42" s="11">
        <v>79.28</v>
      </c>
      <c r="K42" s="11">
        <v>41.2256</v>
      </c>
      <c r="L42" s="11" t="s">
        <v>53</v>
      </c>
      <c r="M42" s="11" t="s">
        <v>606</v>
      </c>
      <c r="N42" s="20">
        <v>41.23</v>
      </c>
      <c r="O42" s="20">
        <v>0</v>
      </c>
      <c r="P42" s="11" t="s">
        <v>555</v>
      </c>
      <c r="Q42" s="11" t="s">
        <v>55</v>
      </c>
      <c r="R42" s="11" t="s">
        <v>56</v>
      </c>
      <c r="S42" s="11" t="s">
        <v>57</v>
      </c>
      <c r="T42" s="11">
        <v>0</v>
      </c>
      <c r="U42" s="20">
        <v>79.28</v>
      </c>
      <c r="V42" s="11" t="s">
        <v>61</v>
      </c>
      <c r="W42" s="11" t="s">
        <v>62</v>
      </c>
      <c r="X42" s="21">
        <v>1</v>
      </c>
      <c r="Y42" s="11" t="s">
        <v>57</v>
      </c>
    </row>
    <row r="43" spans="1:25" x14ac:dyDescent="0.2">
      <c r="A43" s="19">
        <v>1055790</v>
      </c>
      <c r="B43" s="19" t="s">
        <v>585</v>
      </c>
      <c r="C43" s="19">
        <v>16633294</v>
      </c>
      <c r="D43" s="19" t="s">
        <v>616</v>
      </c>
      <c r="E43" s="19">
        <v>892048</v>
      </c>
      <c r="F43" s="11" t="s">
        <v>488</v>
      </c>
      <c r="G43" s="11" t="s">
        <v>489</v>
      </c>
      <c r="H43" s="22">
        <v>0.03</v>
      </c>
      <c r="I43" s="11" t="s">
        <v>52</v>
      </c>
      <c r="J43" s="11">
        <v>79.28</v>
      </c>
      <c r="K43" s="11">
        <v>2.3784000000000001</v>
      </c>
      <c r="L43" s="11" t="s">
        <v>53</v>
      </c>
      <c r="M43" s="11" t="s">
        <v>606</v>
      </c>
      <c r="N43" s="20">
        <v>2.38</v>
      </c>
      <c r="O43" s="20">
        <v>0</v>
      </c>
      <c r="P43" s="11" t="s">
        <v>555</v>
      </c>
      <c r="Q43" s="11" t="s">
        <v>490</v>
      </c>
      <c r="R43" s="11" t="s">
        <v>491</v>
      </c>
      <c r="S43" s="11" t="s">
        <v>57</v>
      </c>
      <c r="T43" s="11">
        <v>0</v>
      </c>
      <c r="U43" s="20">
        <v>79.28</v>
      </c>
      <c r="V43" s="11" t="s">
        <v>101</v>
      </c>
      <c r="W43" s="11" t="s">
        <v>102</v>
      </c>
      <c r="X43" s="21">
        <v>1</v>
      </c>
      <c r="Y43" s="11" t="s">
        <v>57</v>
      </c>
    </row>
    <row r="44" spans="1:25" x14ac:dyDescent="0.2">
      <c r="A44" s="19">
        <v>1055790</v>
      </c>
      <c r="B44" s="19" t="s">
        <v>585</v>
      </c>
      <c r="C44" s="19">
        <v>16633294</v>
      </c>
      <c r="D44" s="19" t="s">
        <v>616</v>
      </c>
      <c r="E44" s="19">
        <v>892048</v>
      </c>
      <c r="F44" s="11" t="s">
        <v>499</v>
      </c>
      <c r="G44" s="11" t="s">
        <v>500</v>
      </c>
      <c r="H44" s="22">
        <v>0.03</v>
      </c>
      <c r="I44" s="11" t="s">
        <v>52</v>
      </c>
      <c r="J44" s="11">
        <v>79.28</v>
      </c>
      <c r="K44" s="11">
        <v>2.3784000000000001</v>
      </c>
      <c r="L44" s="11" t="s">
        <v>53</v>
      </c>
      <c r="M44" s="11" t="s">
        <v>606</v>
      </c>
      <c r="N44" s="20">
        <v>2.38</v>
      </c>
      <c r="O44" s="20">
        <v>0</v>
      </c>
      <c r="P44" s="11" t="s">
        <v>555</v>
      </c>
      <c r="Q44" s="11" t="s">
        <v>105</v>
      </c>
      <c r="R44" s="11" t="s">
        <v>56</v>
      </c>
      <c r="S44" s="11" t="s">
        <v>57</v>
      </c>
      <c r="T44" s="11">
        <v>0</v>
      </c>
      <c r="U44" s="20">
        <v>79.28</v>
      </c>
      <c r="V44" s="11" t="s">
        <v>101</v>
      </c>
      <c r="W44" s="11" t="s">
        <v>102</v>
      </c>
      <c r="X44" s="21">
        <v>1</v>
      </c>
      <c r="Y44" s="11" t="s">
        <v>57</v>
      </c>
    </row>
    <row r="45" spans="1:25" x14ac:dyDescent="0.2">
      <c r="A45" s="19">
        <v>1055790</v>
      </c>
      <c r="B45" s="19" t="s">
        <v>585</v>
      </c>
      <c r="C45" s="19">
        <v>16633294</v>
      </c>
      <c r="D45" s="19" t="s">
        <v>616</v>
      </c>
      <c r="E45" s="19">
        <v>892048</v>
      </c>
      <c r="F45" s="11" t="s">
        <v>501</v>
      </c>
      <c r="G45" s="11" t="s">
        <v>502</v>
      </c>
      <c r="H45" s="22">
        <v>0.03</v>
      </c>
      <c r="I45" s="11" t="s">
        <v>52</v>
      </c>
      <c r="J45" s="11">
        <v>79.28</v>
      </c>
      <c r="K45" s="11">
        <v>2.3784000000000001</v>
      </c>
      <c r="L45" s="11" t="s">
        <v>53</v>
      </c>
      <c r="M45" s="11" t="s">
        <v>606</v>
      </c>
      <c r="N45" s="20">
        <v>2.38</v>
      </c>
      <c r="O45" s="20">
        <v>0</v>
      </c>
      <c r="P45" s="11" t="s">
        <v>555</v>
      </c>
      <c r="Q45" s="11" t="s">
        <v>105</v>
      </c>
      <c r="R45" s="11" t="s">
        <v>56</v>
      </c>
      <c r="S45" s="11" t="s">
        <v>57</v>
      </c>
      <c r="T45" s="11">
        <v>0</v>
      </c>
      <c r="U45" s="20">
        <v>79.28</v>
      </c>
      <c r="V45" s="11" t="s">
        <v>101</v>
      </c>
      <c r="W45" s="11" t="s">
        <v>102</v>
      </c>
      <c r="X45" s="21">
        <v>1</v>
      </c>
      <c r="Y45" s="11" t="s">
        <v>57</v>
      </c>
    </row>
    <row r="46" spans="1:25" x14ac:dyDescent="0.2">
      <c r="A46" s="19">
        <v>1055790</v>
      </c>
      <c r="B46" s="19" t="s">
        <v>585</v>
      </c>
      <c r="C46" s="19">
        <v>16633294</v>
      </c>
      <c r="D46" s="19" t="s">
        <v>616</v>
      </c>
      <c r="E46" s="19">
        <v>892048</v>
      </c>
      <c r="F46" s="11" t="s">
        <v>507</v>
      </c>
      <c r="G46" s="11" t="s">
        <v>508</v>
      </c>
      <c r="H46" s="22">
        <v>0.03</v>
      </c>
      <c r="I46" s="11" t="s">
        <v>52</v>
      </c>
      <c r="J46" s="11">
        <v>79.28</v>
      </c>
      <c r="K46" s="11">
        <v>2.3784000000000001</v>
      </c>
      <c r="L46" s="11" t="s">
        <v>53</v>
      </c>
      <c r="M46" s="11" t="s">
        <v>606</v>
      </c>
      <c r="N46" s="20">
        <v>2.38</v>
      </c>
      <c r="O46" s="20">
        <v>0</v>
      </c>
      <c r="P46" s="11" t="s">
        <v>555</v>
      </c>
      <c r="Q46" s="11" t="s">
        <v>509</v>
      </c>
      <c r="R46" s="11" t="s">
        <v>510</v>
      </c>
      <c r="S46" s="11" t="s">
        <v>57</v>
      </c>
      <c r="T46" s="11">
        <v>0</v>
      </c>
      <c r="U46" s="20">
        <v>79.28</v>
      </c>
      <c r="V46" s="11" t="s">
        <v>101</v>
      </c>
      <c r="W46" s="11" t="s">
        <v>102</v>
      </c>
      <c r="X46" s="21">
        <v>1</v>
      </c>
      <c r="Y46" s="11" t="s">
        <v>57</v>
      </c>
    </row>
    <row r="47" spans="1:25" x14ac:dyDescent="0.2">
      <c r="A47" s="19">
        <v>1055790</v>
      </c>
      <c r="B47" s="19" t="s">
        <v>582</v>
      </c>
      <c r="C47" s="19">
        <v>21283956</v>
      </c>
      <c r="D47" s="19" t="s">
        <v>616</v>
      </c>
      <c r="E47" s="19">
        <v>1169782</v>
      </c>
      <c r="F47" s="11" t="s">
        <v>360</v>
      </c>
      <c r="G47" s="11" t="s">
        <v>361</v>
      </c>
      <c r="H47" s="22">
        <v>0.52</v>
      </c>
      <c r="I47" s="11" t="s">
        <v>52</v>
      </c>
      <c r="J47" s="11">
        <v>42.02</v>
      </c>
      <c r="K47" s="11">
        <v>21.8504</v>
      </c>
      <c r="L47" s="11" t="s">
        <v>53</v>
      </c>
      <c r="M47" s="11" t="s">
        <v>607</v>
      </c>
      <c r="N47" s="20">
        <v>21.85</v>
      </c>
      <c r="O47" s="20">
        <v>0</v>
      </c>
      <c r="P47" s="11" t="s">
        <v>555</v>
      </c>
      <c r="Q47" s="11" t="s">
        <v>76</v>
      </c>
      <c r="R47" s="11" t="s">
        <v>56</v>
      </c>
      <c r="S47" s="11" t="s">
        <v>57</v>
      </c>
      <c r="T47" s="11">
        <v>0</v>
      </c>
      <c r="U47" s="20">
        <v>42.02</v>
      </c>
      <c r="V47" s="11" t="s">
        <v>61</v>
      </c>
      <c r="W47" s="11" t="s">
        <v>62</v>
      </c>
      <c r="X47" s="21">
        <v>1</v>
      </c>
      <c r="Y47" s="11" t="s">
        <v>57</v>
      </c>
    </row>
    <row r="48" spans="1:25" x14ac:dyDescent="0.2">
      <c r="A48" s="19">
        <v>1055790</v>
      </c>
      <c r="B48" s="19" t="s">
        <v>588</v>
      </c>
      <c r="C48" s="19">
        <v>8325282</v>
      </c>
      <c r="D48" s="19" t="s">
        <v>616</v>
      </c>
      <c r="E48" s="19">
        <v>513364</v>
      </c>
      <c r="F48" s="11" t="s">
        <v>531</v>
      </c>
      <c r="G48" s="11" t="s">
        <v>532</v>
      </c>
      <c r="H48" s="22">
        <v>0.03</v>
      </c>
      <c r="I48" s="11" t="s">
        <v>52</v>
      </c>
      <c r="J48" s="11">
        <v>33.74</v>
      </c>
      <c r="K48" s="11">
        <v>1.0122</v>
      </c>
      <c r="L48" s="11" t="s">
        <v>53</v>
      </c>
      <c r="M48" s="11" t="s">
        <v>607</v>
      </c>
      <c r="N48" s="20">
        <v>1.01</v>
      </c>
      <c r="O48" s="20">
        <v>0</v>
      </c>
      <c r="P48" s="11" t="s">
        <v>555</v>
      </c>
      <c r="Q48" s="11" t="s">
        <v>129</v>
      </c>
      <c r="R48" s="11" t="s">
        <v>56</v>
      </c>
      <c r="S48" s="11" t="s">
        <v>57</v>
      </c>
      <c r="T48" s="11">
        <v>0</v>
      </c>
      <c r="U48" s="20">
        <v>33.74</v>
      </c>
      <c r="V48" s="11" t="s">
        <v>101</v>
      </c>
      <c r="W48" s="11" t="s">
        <v>102</v>
      </c>
      <c r="X48" s="21">
        <v>1</v>
      </c>
      <c r="Y48" s="11" t="s">
        <v>57</v>
      </c>
    </row>
    <row r="49" spans="1:25" x14ac:dyDescent="0.2">
      <c r="A49" s="19">
        <v>1055790</v>
      </c>
      <c r="B49" s="19" t="s">
        <v>588</v>
      </c>
      <c r="C49" s="19">
        <v>8325282</v>
      </c>
      <c r="D49" s="19" t="s">
        <v>616</v>
      </c>
      <c r="E49" s="19">
        <v>513364</v>
      </c>
      <c r="F49" s="11" t="s">
        <v>533</v>
      </c>
      <c r="G49" s="11" t="s">
        <v>534</v>
      </c>
      <c r="H49" s="22">
        <v>0.03</v>
      </c>
      <c r="I49" s="11" t="s">
        <v>52</v>
      </c>
      <c r="J49" s="11">
        <v>33.74</v>
      </c>
      <c r="K49" s="11">
        <v>1.0122</v>
      </c>
      <c r="L49" s="11" t="s">
        <v>53</v>
      </c>
      <c r="M49" s="11" t="s">
        <v>607</v>
      </c>
      <c r="N49" s="20">
        <v>1.01</v>
      </c>
      <c r="O49" s="20">
        <v>0</v>
      </c>
      <c r="P49" s="11" t="s">
        <v>555</v>
      </c>
      <c r="Q49" s="11" t="s">
        <v>129</v>
      </c>
      <c r="R49" s="11" t="s">
        <v>56</v>
      </c>
      <c r="S49" s="11" t="s">
        <v>57</v>
      </c>
      <c r="T49" s="11">
        <v>0</v>
      </c>
      <c r="U49" s="20">
        <v>33.74</v>
      </c>
      <c r="V49" s="11" t="s">
        <v>101</v>
      </c>
      <c r="W49" s="11" t="s">
        <v>102</v>
      </c>
      <c r="X49" s="21">
        <v>1</v>
      </c>
      <c r="Y49" s="11" t="s">
        <v>57</v>
      </c>
    </row>
    <row r="50" spans="1:25" x14ac:dyDescent="0.2">
      <c r="A50" s="19">
        <v>1055790</v>
      </c>
      <c r="B50" s="19" t="s">
        <v>585</v>
      </c>
      <c r="C50" s="19">
        <v>16633294</v>
      </c>
      <c r="D50" s="19" t="s">
        <v>616</v>
      </c>
      <c r="E50" s="19">
        <v>892048</v>
      </c>
      <c r="F50" s="11" t="s">
        <v>370</v>
      </c>
      <c r="G50" s="11" t="s">
        <v>371</v>
      </c>
      <c r="H50" s="22">
        <v>0.52</v>
      </c>
      <c r="I50" s="11" t="s">
        <v>52</v>
      </c>
      <c r="J50" s="11">
        <v>36.08</v>
      </c>
      <c r="K50" s="11">
        <v>18.761599999999998</v>
      </c>
      <c r="L50" s="11" t="s">
        <v>53</v>
      </c>
      <c r="M50" s="11" t="s">
        <v>609</v>
      </c>
      <c r="N50" s="20">
        <v>18.760000000000002</v>
      </c>
      <c r="O50" s="20">
        <v>0</v>
      </c>
      <c r="P50" s="11" t="s">
        <v>555</v>
      </c>
      <c r="Q50" s="11" t="s">
        <v>76</v>
      </c>
      <c r="R50" s="11" t="s">
        <v>56</v>
      </c>
      <c r="S50" s="11" t="s">
        <v>57</v>
      </c>
      <c r="T50" s="11">
        <v>0</v>
      </c>
      <c r="U50" s="20">
        <v>36.08</v>
      </c>
      <c r="V50" s="11" t="s">
        <v>61</v>
      </c>
      <c r="W50" s="11" t="s">
        <v>62</v>
      </c>
      <c r="X50" s="21">
        <v>1</v>
      </c>
      <c r="Y50" s="11" t="s">
        <v>57</v>
      </c>
    </row>
    <row r="51" spans="1:25" x14ac:dyDescent="0.2">
      <c r="A51" s="19">
        <v>1055790</v>
      </c>
      <c r="B51" s="19" t="s">
        <v>585</v>
      </c>
      <c r="C51" s="19">
        <v>16633294</v>
      </c>
      <c r="D51" s="19" t="s">
        <v>616</v>
      </c>
      <c r="E51" s="19">
        <v>892048</v>
      </c>
      <c r="F51" s="11" t="s">
        <v>380</v>
      </c>
      <c r="G51" s="11" t="s">
        <v>381</v>
      </c>
      <c r="H51" s="22">
        <v>0.52</v>
      </c>
      <c r="I51" s="11" t="s">
        <v>52</v>
      </c>
      <c r="J51" s="11">
        <v>36.08</v>
      </c>
      <c r="K51" s="11">
        <v>18.761599999999998</v>
      </c>
      <c r="L51" s="11" t="s">
        <v>53</v>
      </c>
      <c r="M51" s="11" t="s">
        <v>609</v>
      </c>
      <c r="N51" s="20">
        <v>18.760000000000002</v>
      </c>
      <c r="O51" s="20">
        <v>0</v>
      </c>
      <c r="P51" s="11" t="s">
        <v>555</v>
      </c>
      <c r="Q51" s="11" t="s">
        <v>55</v>
      </c>
      <c r="R51" s="11" t="s">
        <v>56</v>
      </c>
      <c r="S51" s="11" t="s">
        <v>57</v>
      </c>
      <c r="T51" s="11">
        <v>0</v>
      </c>
      <c r="U51" s="20">
        <v>36.08</v>
      </c>
      <c r="V51" s="11" t="s">
        <v>61</v>
      </c>
      <c r="W51" s="11" t="s">
        <v>62</v>
      </c>
      <c r="X51" s="21">
        <v>1</v>
      </c>
      <c r="Y51" s="11" t="s">
        <v>57</v>
      </c>
    </row>
    <row r="52" spans="1:25" x14ac:dyDescent="0.2">
      <c r="A52" s="19">
        <v>1055790</v>
      </c>
      <c r="B52" s="19" t="s">
        <v>585</v>
      </c>
      <c r="C52" s="19">
        <v>16633294</v>
      </c>
      <c r="D52" s="19" t="s">
        <v>616</v>
      </c>
      <c r="E52" s="19">
        <v>892048</v>
      </c>
      <c r="F52" s="11" t="s">
        <v>484</v>
      </c>
      <c r="G52" s="11" t="s">
        <v>485</v>
      </c>
      <c r="H52" s="22">
        <v>0.03</v>
      </c>
      <c r="I52" s="11" t="s">
        <v>52</v>
      </c>
      <c r="J52" s="11">
        <v>36.08</v>
      </c>
      <c r="K52" s="11">
        <v>1.0823999999999998</v>
      </c>
      <c r="L52" s="11" t="s">
        <v>53</v>
      </c>
      <c r="M52" s="11" t="s">
        <v>609</v>
      </c>
      <c r="N52" s="20">
        <v>1.08</v>
      </c>
      <c r="O52" s="20">
        <v>0</v>
      </c>
      <c r="P52" s="11" t="s">
        <v>555</v>
      </c>
      <c r="Q52" s="11" t="s">
        <v>486</v>
      </c>
      <c r="R52" s="11" t="s">
        <v>487</v>
      </c>
      <c r="S52" s="11" t="s">
        <v>57</v>
      </c>
      <c r="T52" s="11">
        <v>0</v>
      </c>
      <c r="U52" s="20">
        <v>36.08</v>
      </c>
      <c r="V52" s="11" t="s">
        <v>101</v>
      </c>
      <c r="W52" s="11" t="s">
        <v>102</v>
      </c>
      <c r="X52" s="21">
        <v>1</v>
      </c>
      <c r="Y52" s="11" t="s">
        <v>57</v>
      </c>
    </row>
    <row r="53" spans="1:25" x14ac:dyDescent="0.2">
      <c r="A53" s="19">
        <v>1055790</v>
      </c>
      <c r="B53" s="19" t="s">
        <v>585</v>
      </c>
      <c r="C53" s="19">
        <v>16633294</v>
      </c>
      <c r="D53" s="19" t="s">
        <v>616</v>
      </c>
      <c r="E53" s="19">
        <v>892048</v>
      </c>
      <c r="F53" s="11" t="s">
        <v>492</v>
      </c>
      <c r="G53" s="11" t="s">
        <v>493</v>
      </c>
      <c r="H53" s="22">
        <v>0.03</v>
      </c>
      <c r="I53" s="11" t="s">
        <v>52</v>
      </c>
      <c r="J53" s="11">
        <v>36.08</v>
      </c>
      <c r="K53" s="11">
        <v>1.0823999999999998</v>
      </c>
      <c r="L53" s="11" t="s">
        <v>53</v>
      </c>
      <c r="M53" s="11" t="s">
        <v>609</v>
      </c>
      <c r="N53" s="20">
        <v>1.08</v>
      </c>
      <c r="O53" s="20">
        <v>0</v>
      </c>
      <c r="P53" s="11" t="s">
        <v>555</v>
      </c>
      <c r="Q53" s="11" t="s">
        <v>105</v>
      </c>
      <c r="R53" s="11" t="s">
        <v>56</v>
      </c>
      <c r="S53" s="11" t="s">
        <v>57</v>
      </c>
      <c r="T53" s="11">
        <v>0</v>
      </c>
      <c r="U53" s="20">
        <v>36.08</v>
      </c>
      <c r="V53" s="11" t="s">
        <v>101</v>
      </c>
      <c r="W53" s="11" t="s">
        <v>102</v>
      </c>
      <c r="X53" s="21">
        <v>1</v>
      </c>
      <c r="Y53" s="11" t="s">
        <v>57</v>
      </c>
    </row>
    <row r="54" spans="1:25" x14ac:dyDescent="0.2">
      <c r="A54" s="19">
        <v>1055790</v>
      </c>
      <c r="B54" s="19" t="s">
        <v>585</v>
      </c>
      <c r="C54" s="19">
        <v>16633294</v>
      </c>
      <c r="D54" s="19" t="s">
        <v>616</v>
      </c>
      <c r="E54" s="19">
        <v>892048</v>
      </c>
      <c r="F54" s="11" t="s">
        <v>494</v>
      </c>
      <c r="G54" s="11" t="s">
        <v>495</v>
      </c>
      <c r="H54" s="22">
        <v>0.03</v>
      </c>
      <c r="I54" s="11" t="s">
        <v>496</v>
      </c>
      <c r="J54" s="11">
        <v>36.72</v>
      </c>
      <c r="K54" s="11">
        <v>1.1015999999999999</v>
      </c>
      <c r="L54" s="11" t="s">
        <v>53</v>
      </c>
      <c r="M54" s="11" t="s">
        <v>609</v>
      </c>
      <c r="N54" s="20">
        <v>1.1000000000000001</v>
      </c>
      <c r="O54" s="20">
        <v>0</v>
      </c>
      <c r="P54" s="11" t="s">
        <v>555</v>
      </c>
      <c r="Q54" s="11" t="s">
        <v>105</v>
      </c>
      <c r="R54" s="11" t="s">
        <v>56</v>
      </c>
      <c r="S54" s="11" t="s">
        <v>57</v>
      </c>
      <c r="T54" s="11">
        <v>0</v>
      </c>
      <c r="U54" s="20">
        <v>36.72</v>
      </c>
      <c r="V54" s="11" t="s">
        <v>101</v>
      </c>
      <c r="W54" s="11" t="s">
        <v>102</v>
      </c>
      <c r="X54" s="21">
        <v>1</v>
      </c>
      <c r="Y54" s="11" t="s">
        <v>57</v>
      </c>
    </row>
    <row r="55" spans="1:25" x14ac:dyDescent="0.2">
      <c r="A55" s="19">
        <v>1055790</v>
      </c>
      <c r="B55" s="19" t="s">
        <v>585</v>
      </c>
      <c r="C55" s="19">
        <v>16633294</v>
      </c>
      <c r="D55" s="19" t="s">
        <v>616</v>
      </c>
      <c r="E55" s="19">
        <v>892048</v>
      </c>
      <c r="F55" s="11" t="s">
        <v>497</v>
      </c>
      <c r="G55" s="11" t="s">
        <v>498</v>
      </c>
      <c r="H55" s="22">
        <v>0.03</v>
      </c>
      <c r="I55" s="11" t="s">
        <v>496</v>
      </c>
      <c r="J55" s="11">
        <v>36.72</v>
      </c>
      <c r="K55" s="11">
        <v>1.1015999999999999</v>
      </c>
      <c r="L55" s="11" t="s">
        <v>53</v>
      </c>
      <c r="M55" s="11" t="s">
        <v>609</v>
      </c>
      <c r="N55" s="20">
        <v>1.1000000000000001</v>
      </c>
      <c r="O55" s="20">
        <v>0</v>
      </c>
      <c r="P55" s="11" t="s">
        <v>555</v>
      </c>
      <c r="Q55" s="11" t="s">
        <v>105</v>
      </c>
      <c r="R55" s="11" t="s">
        <v>56</v>
      </c>
      <c r="S55" s="11" t="s">
        <v>57</v>
      </c>
      <c r="T55" s="11">
        <v>0</v>
      </c>
      <c r="U55" s="20">
        <v>36.72</v>
      </c>
      <c r="V55" s="11" t="s">
        <v>101</v>
      </c>
      <c r="W55" s="11" t="s">
        <v>102</v>
      </c>
      <c r="X55" s="21">
        <v>1</v>
      </c>
      <c r="Y55" s="11" t="s">
        <v>57</v>
      </c>
    </row>
    <row r="56" spans="1:25" x14ac:dyDescent="0.2">
      <c r="A56" s="19">
        <v>1055790</v>
      </c>
      <c r="B56" s="19" t="s">
        <v>585</v>
      </c>
      <c r="C56" s="19">
        <v>16633294</v>
      </c>
      <c r="D56" s="19" t="s">
        <v>616</v>
      </c>
      <c r="E56" s="19">
        <v>892048</v>
      </c>
      <c r="F56" s="11" t="s">
        <v>503</v>
      </c>
      <c r="G56" s="11" t="s">
        <v>504</v>
      </c>
      <c r="H56" s="22">
        <v>0.03</v>
      </c>
      <c r="I56" s="11" t="s">
        <v>52</v>
      </c>
      <c r="J56" s="11">
        <v>36.08</v>
      </c>
      <c r="K56" s="11">
        <v>1.0823999999999998</v>
      </c>
      <c r="L56" s="11" t="s">
        <v>53</v>
      </c>
      <c r="M56" s="11" t="s">
        <v>609</v>
      </c>
      <c r="N56" s="20">
        <v>1.08</v>
      </c>
      <c r="O56" s="20">
        <v>0</v>
      </c>
      <c r="P56" s="11" t="s">
        <v>555</v>
      </c>
      <c r="Q56" s="11" t="s">
        <v>105</v>
      </c>
      <c r="R56" s="11" t="s">
        <v>56</v>
      </c>
      <c r="S56" s="11" t="s">
        <v>57</v>
      </c>
      <c r="T56" s="11">
        <v>0</v>
      </c>
      <c r="U56" s="20">
        <v>36.08</v>
      </c>
      <c r="V56" s="11" t="s">
        <v>101</v>
      </c>
      <c r="W56" s="11" t="s">
        <v>102</v>
      </c>
      <c r="X56" s="21">
        <v>1</v>
      </c>
      <c r="Y56" s="11" t="s">
        <v>57</v>
      </c>
    </row>
    <row r="57" spans="1:25" x14ac:dyDescent="0.2">
      <c r="A57" s="19">
        <v>1055790</v>
      </c>
      <c r="B57" s="19" t="s">
        <v>585</v>
      </c>
      <c r="C57" s="19">
        <v>16633294</v>
      </c>
      <c r="D57" s="19" t="s">
        <v>616</v>
      </c>
      <c r="E57" s="19">
        <v>892048</v>
      </c>
      <c r="F57" s="11" t="s">
        <v>505</v>
      </c>
      <c r="G57" s="11" t="s">
        <v>506</v>
      </c>
      <c r="H57" s="22">
        <v>0.03</v>
      </c>
      <c r="I57" s="11" t="s">
        <v>52</v>
      </c>
      <c r="J57" s="11">
        <v>36.08</v>
      </c>
      <c r="K57" s="11">
        <v>1.0823999999999998</v>
      </c>
      <c r="L57" s="11" t="s">
        <v>53</v>
      </c>
      <c r="M57" s="11" t="s">
        <v>609</v>
      </c>
      <c r="N57" s="20">
        <v>1.08</v>
      </c>
      <c r="O57" s="20">
        <v>0</v>
      </c>
      <c r="P57" s="11" t="s">
        <v>555</v>
      </c>
      <c r="Q57" s="11" t="s">
        <v>105</v>
      </c>
      <c r="R57" s="11" t="s">
        <v>56</v>
      </c>
      <c r="S57" s="11" t="s">
        <v>57</v>
      </c>
      <c r="T57" s="11">
        <v>0</v>
      </c>
      <c r="U57" s="20">
        <v>36.08</v>
      </c>
      <c r="V57" s="11" t="s">
        <v>101</v>
      </c>
      <c r="W57" s="11" t="s">
        <v>102</v>
      </c>
      <c r="X57" s="21">
        <v>1</v>
      </c>
      <c r="Y57" s="11" t="s">
        <v>57</v>
      </c>
    </row>
    <row r="58" spans="1:25" x14ac:dyDescent="0.2">
      <c r="A58" s="19">
        <v>1055790</v>
      </c>
      <c r="B58" s="19" t="s">
        <v>588</v>
      </c>
      <c r="C58" s="19">
        <v>8325282</v>
      </c>
      <c r="D58" s="19" t="s">
        <v>616</v>
      </c>
      <c r="E58" s="19">
        <v>513364</v>
      </c>
      <c r="F58" s="11" t="s">
        <v>525</v>
      </c>
      <c r="G58" s="11" t="s">
        <v>526</v>
      </c>
      <c r="H58" s="22">
        <v>0.03</v>
      </c>
      <c r="I58" s="11" t="s">
        <v>52</v>
      </c>
      <c r="J58" s="11">
        <v>36.08</v>
      </c>
      <c r="K58" s="11">
        <v>1.0823999999999998</v>
      </c>
      <c r="L58" s="11" t="s">
        <v>99</v>
      </c>
      <c r="M58" s="11" t="s">
        <v>609</v>
      </c>
      <c r="N58" s="20">
        <v>1.08</v>
      </c>
      <c r="O58" s="20">
        <v>0</v>
      </c>
      <c r="P58" s="11" t="s">
        <v>555</v>
      </c>
      <c r="Q58" s="11" t="s">
        <v>527</v>
      </c>
      <c r="R58" s="11" t="s">
        <v>522</v>
      </c>
      <c r="S58" s="11" t="s">
        <v>57</v>
      </c>
      <c r="T58" s="11">
        <v>0</v>
      </c>
      <c r="U58" s="20">
        <v>36.08</v>
      </c>
      <c r="V58" s="11" t="s">
        <v>101</v>
      </c>
      <c r="W58" s="11" t="s">
        <v>102</v>
      </c>
      <c r="X58" s="21">
        <v>1</v>
      </c>
      <c r="Y58" s="11" t="s">
        <v>57</v>
      </c>
    </row>
    <row r="59" spans="1:25" x14ac:dyDescent="0.2">
      <c r="A59" s="19">
        <v>1055790</v>
      </c>
      <c r="B59" s="19" t="s">
        <v>588</v>
      </c>
      <c r="C59" s="19">
        <v>8325282</v>
      </c>
      <c r="D59" s="19" t="s">
        <v>616</v>
      </c>
      <c r="E59" s="19">
        <v>513364</v>
      </c>
      <c r="F59" s="11" t="s">
        <v>528</v>
      </c>
      <c r="G59" s="11" t="s">
        <v>529</v>
      </c>
      <c r="H59" s="22">
        <v>0.03</v>
      </c>
      <c r="I59" s="11" t="s">
        <v>52</v>
      </c>
      <c r="J59" s="11">
        <v>36.08</v>
      </c>
      <c r="K59" s="11">
        <v>1.0823999999999998</v>
      </c>
      <c r="L59" s="11" t="s">
        <v>53</v>
      </c>
      <c r="M59" s="11" t="s">
        <v>609</v>
      </c>
      <c r="N59" s="20">
        <v>1.08</v>
      </c>
      <c r="O59" s="20">
        <v>0</v>
      </c>
      <c r="P59" s="11" t="s">
        <v>555</v>
      </c>
      <c r="Q59" s="11" t="s">
        <v>530</v>
      </c>
      <c r="R59" s="11" t="s">
        <v>194</v>
      </c>
      <c r="S59" s="11" t="s">
        <v>57</v>
      </c>
      <c r="T59" s="11">
        <v>0</v>
      </c>
      <c r="U59" s="20">
        <v>36.08</v>
      </c>
      <c r="V59" s="11" t="s">
        <v>101</v>
      </c>
      <c r="W59" s="11" t="s">
        <v>102</v>
      </c>
      <c r="X59" s="21">
        <v>1</v>
      </c>
      <c r="Y59" s="11" t="s">
        <v>57</v>
      </c>
    </row>
    <row r="60" spans="1:25" x14ac:dyDescent="0.2">
      <c r="A60" s="19">
        <v>1055790</v>
      </c>
      <c r="B60" s="19" t="s">
        <v>587</v>
      </c>
      <c r="C60" s="19">
        <v>20411454</v>
      </c>
      <c r="D60" s="19" t="s">
        <v>616</v>
      </c>
      <c r="E60" s="19">
        <v>806149</v>
      </c>
      <c r="F60" s="11" t="s">
        <v>482</v>
      </c>
      <c r="G60" s="11" t="s">
        <v>483</v>
      </c>
      <c r="H60" s="22">
        <v>2.5000000000000001E-2</v>
      </c>
      <c r="I60" s="11" t="s">
        <v>174</v>
      </c>
      <c r="J60" s="11">
        <v>104.8</v>
      </c>
      <c r="K60" s="11">
        <v>2.62</v>
      </c>
      <c r="L60" s="11" t="s">
        <v>169</v>
      </c>
      <c r="M60" s="11" t="s">
        <v>600</v>
      </c>
      <c r="N60" s="20">
        <v>2.62</v>
      </c>
      <c r="O60" s="20">
        <v>0</v>
      </c>
      <c r="P60" s="11" t="s">
        <v>560</v>
      </c>
      <c r="Q60" s="11" t="s">
        <v>96</v>
      </c>
      <c r="R60" s="11" t="s">
        <v>56</v>
      </c>
      <c r="S60" s="11" t="s">
        <v>57</v>
      </c>
      <c r="T60" s="11">
        <v>0</v>
      </c>
      <c r="U60" s="20">
        <v>104.8</v>
      </c>
      <c r="V60" s="11" t="s">
        <v>61</v>
      </c>
      <c r="W60" s="11" t="s">
        <v>62</v>
      </c>
      <c r="X60" s="21">
        <v>1</v>
      </c>
      <c r="Y60" s="11" t="s">
        <v>57</v>
      </c>
    </row>
    <row r="61" spans="1:25" x14ac:dyDescent="0.2">
      <c r="A61" s="19">
        <v>1055790</v>
      </c>
      <c r="B61" s="19" t="s">
        <v>572</v>
      </c>
      <c r="C61" s="19">
        <v>8307933</v>
      </c>
      <c r="D61" s="19" t="s">
        <v>616</v>
      </c>
      <c r="E61" s="19">
        <v>893387</v>
      </c>
      <c r="F61" s="11" t="s">
        <v>66</v>
      </c>
      <c r="G61" s="11" t="s">
        <v>67</v>
      </c>
      <c r="H61" s="22">
        <v>0.31</v>
      </c>
      <c r="I61" s="11" t="s">
        <v>68</v>
      </c>
      <c r="J61" s="11">
        <v>122.9</v>
      </c>
      <c r="K61" s="11">
        <v>38.098999999999997</v>
      </c>
      <c r="L61" s="11" t="s">
        <v>53</v>
      </c>
      <c r="M61" s="11" t="s">
        <v>558</v>
      </c>
      <c r="N61" s="20">
        <v>38.1</v>
      </c>
      <c r="O61" s="20">
        <v>0</v>
      </c>
      <c r="P61" s="11" t="s">
        <v>539</v>
      </c>
      <c r="Q61" s="11" t="s">
        <v>70</v>
      </c>
      <c r="R61" s="11" t="s">
        <v>56</v>
      </c>
      <c r="S61" s="11" t="s">
        <v>57</v>
      </c>
      <c r="T61" s="11">
        <v>0</v>
      </c>
      <c r="U61" s="20">
        <v>122.9</v>
      </c>
      <c r="V61" s="11" t="s">
        <v>61</v>
      </c>
      <c r="W61" s="11" t="s">
        <v>62</v>
      </c>
      <c r="X61" s="21">
        <v>1</v>
      </c>
      <c r="Y61" s="11" t="s">
        <v>57</v>
      </c>
    </row>
    <row r="62" spans="1:25" x14ac:dyDescent="0.2">
      <c r="A62" s="19">
        <v>1055790</v>
      </c>
      <c r="B62" s="19" t="s">
        <v>572</v>
      </c>
      <c r="C62" s="19">
        <v>8307933</v>
      </c>
      <c r="D62" s="19" t="s">
        <v>616</v>
      </c>
      <c r="E62" s="19">
        <v>893387</v>
      </c>
      <c r="F62" s="11" t="s">
        <v>393</v>
      </c>
      <c r="G62" s="11" t="s">
        <v>394</v>
      </c>
      <c r="H62" s="22">
        <v>0.24</v>
      </c>
      <c r="I62" s="11" t="s">
        <v>226</v>
      </c>
      <c r="J62" s="11">
        <v>174.58</v>
      </c>
      <c r="K62" s="11">
        <v>41.8992</v>
      </c>
      <c r="L62" s="11" t="s">
        <v>53</v>
      </c>
      <c r="M62" s="11" t="s">
        <v>558</v>
      </c>
      <c r="N62" s="20">
        <v>41.9</v>
      </c>
      <c r="O62" s="20">
        <v>0</v>
      </c>
      <c r="P62" s="11" t="s">
        <v>558</v>
      </c>
      <c r="Q62" s="11" t="s">
        <v>55</v>
      </c>
      <c r="R62" s="11" t="s">
        <v>56</v>
      </c>
      <c r="S62" s="11" t="s">
        <v>57</v>
      </c>
      <c r="T62" s="11">
        <v>0</v>
      </c>
      <c r="U62" s="20">
        <v>174.58</v>
      </c>
      <c r="V62" s="11" t="s">
        <v>61</v>
      </c>
      <c r="W62" s="11" t="s">
        <v>62</v>
      </c>
      <c r="X62" s="21">
        <v>1</v>
      </c>
      <c r="Y62" s="11" t="s">
        <v>57</v>
      </c>
    </row>
    <row r="63" spans="1:25" x14ac:dyDescent="0.2">
      <c r="A63" s="19">
        <v>1055790</v>
      </c>
      <c r="B63" s="19" t="s">
        <v>593</v>
      </c>
      <c r="C63" s="19" t="s">
        <v>569</v>
      </c>
      <c r="D63" s="19" t="s">
        <v>616</v>
      </c>
      <c r="E63" s="19">
        <v>957310</v>
      </c>
      <c r="F63" s="11" t="s">
        <v>125</v>
      </c>
      <c r="G63" s="11" t="s">
        <v>126</v>
      </c>
      <c r="H63" s="22">
        <v>0.255</v>
      </c>
      <c r="I63" s="11" t="s">
        <v>127</v>
      </c>
      <c r="J63" s="11">
        <v>109.53</v>
      </c>
      <c r="K63" s="11">
        <v>27.930150000000005</v>
      </c>
      <c r="L63" s="11" t="s">
        <v>53</v>
      </c>
      <c r="M63" s="11" t="s">
        <v>600</v>
      </c>
      <c r="N63" s="20">
        <v>23.47</v>
      </c>
      <c r="O63" s="20">
        <v>0</v>
      </c>
      <c r="P63" s="11" t="s">
        <v>563</v>
      </c>
      <c r="Q63" s="11" t="s">
        <v>129</v>
      </c>
      <c r="R63" s="11" t="s">
        <v>56</v>
      </c>
      <c r="S63" s="11" t="s">
        <v>57</v>
      </c>
      <c r="T63" s="11">
        <v>0</v>
      </c>
      <c r="U63" s="20">
        <v>92.04</v>
      </c>
      <c r="V63" s="11" t="s">
        <v>101</v>
      </c>
      <c r="W63" s="11" t="s">
        <v>102</v>
      </c>
      <c r="X63" s="21">
        <v>1</v>
      </c>
      <c r="Y63" s="11" t="s">
        <v>57</v>
      </c>
    </row>
    <row r="64" spans="1:25" x14ac:dyDescent="0.2">
      <c r="A64" s="19">
        <v>1055790</v>
      </c>
      <c r="B64" s="19" t="s">
        <v>595</v>
      </c>
      <c r="C64" s="19">
        <v>15278437</v>
      </c>
      <c r="D64" s="19" t="s">
        <v>616</v>
      </c>
      <c r="E64" s="19">
        <v>648177</v>
      </c>
      <c r="F64" s="11" t="s">
        <v>150</v>
      </c>
      <c r="G64" s="11" t="s">
        <v>151</v>
      </c>
      <c r="H64" s="22">
        <v>0.215</v>
      </c>
      <c r="I64" s="11" t="s">
        <v>127</v>
      </c>
      <c r="J64" s="11">
        <v>177.1</v>
      </c>
      <c r="K64" s="11">
        <v>38.076499999999996</v>
      </c>
      <c r="L64" s="11" t="s">
        <v>53</v>
      </c>
      <c r="M64" s="11" t="s">
        <v>558</v>
      </c>
      <c r="N64" s="20">
        <v>27.73</v>
      </c>
      <c r="O64" s="20">
        <v>0</v>
      </c>
      <c r="P64" s="11" t="s">
        <v>566</v>
      </c>
      <c r="Q64" s="11" t="s">
        <v>152</v>
      </c>
      <c r="R64" s="11" t="s">
        <v>56</v>
      </c>
      <c r="S64" s="11" t="s">
        <v>57</v>
      </c>
      <c r="T64" s="11">
        <v>0</v>
      </c>
      <c r="U64" s="20">
        <v>128.97999999999999</v>
      </c>
      <c r="V64" s="11" t="s">
        <v>101</v>
      </c>
      <c r="W64" s="11" t="s">
        <v>102</v>
      </c>
      <c r="X64" s="21">
        <v>1</v>
      </c>
      <c r="Y64" s="11" t="s">
        <v>57</v>
      </c>
    </row>
    <row r="65" spans="1:25" x14ac:dyDescent="0.2">
      <c r="A65" s="19">
        <v>1055790</v>
      </c>
      <c r="B65" s="19" t="s">
        <v>595</v>
      </c>
      <c r="C65" s="19">
        <v>15278437</v>
      </c>
      <c r="D65" s="19" t="s">
        <v>616</v>
      </c>
      <c r="E65" s="19">
        <v>648177</v>
      </c>
      <c r="F65" s="11" t="s">
        <v>162</v>
      </c>
      <c r="G65" s="11" t="s">
        <v>163</v>
      </c>
      <c r="H65" s="22">
        <v>0.215</v>
      </c>
      <c r="I65" s="11" t="s">
        <v>127</v>
      </c>
      <c r="J65" s="11">
        <v>279.66000000000003</v>
      </c>
      <c r="K65" s="11">
        <v>60.126900000000006</v>
      </c>
      <c r="L65" s="11" t="s">
        <v>53</v>
      </c>
      <c r="M65" s="11" t="s">
        <v>558</v>
      </c>
      <c r="N65" s="20">
        <v>41.74</v>
      </c>
      <c r="O65" s="20">
        <v>0</v>
      </c>
      <c r="P65" s="11" t="s">
        <v>566</v>
      </c>
      <c r="Q65" s="11" t="s">
        <v>164</v>
      </c>
      <c r="R65" s="11" t="s">
        <v>56</v>
      </c>
      <c r="S65" s="11" t="s">
        <v>57</v>
      </c>
      <c r="T65" s="11">
        <v>0</v>
      </c>
      <c r="U65" s="20">
        <v>194.14</v>
      </c>
      <c r="V65" s="11" t="s">
        <v>101</v>
      </c>
      <c r="W65" s="11" t="s">
        <v>102</v>
      </c>
      <c r="X65" s="21">
        <v>1</v>
      </c>
      <c r="Y65" s="11" t="s">
        <v>57</v>
      </c>
    </row>
    <row r="66" spans="1:25" x14ac:dyDescent="0.2">
      <c r="A66" s="19">
        <v>1055790</v>
      </c>
      <c r="B66" s="19" t="s">
        <v>572</v>
      </c>
      <c r="C66" s="19">
        <v>8307933</v>
      </c>
      <c r="D66" s="19" t="s">
        <v>616</v>
      </c>
      <c r="E66" s="19">
        <v>893387</v>
      </c>
      <c r="F66" s="11" t="s">
        <v>519</v>
      </c>
      <c r="G66" s="11" t="s">
        <v>520</v>
      </c>
      <c r="H66" s="22">
        <v>0.215</v>
      </c>
      <c r="I66" s="11" t="s">
        <v>318</v>
      </c>
      <c r="J66" s="11">
        <v>185.06</v>
      </c>
      <c r="K66" s="11">
        <v>39.7879</v>
      </c>
      <c r="L66" s="11" t="s">
        <v>53</v>
      </c>
      <c r="M66" s="11" t="s">
        <v>558</v>
      </c>
      <c r="N66" s="20">
        <v>27.54</v>
      </c>
      <c r="O66" s="20">
        <v>0</v>
      </c>
      <c r="P66" s="11" t="s">
        <v>566</v>
      </c>
      <c r="Q66" s="11" t="s">
        <v>521</v>
      </c>
      <c r="R66" s="11" t="s">
        <v>522</v>
      </c>
      <c r="S66" s="11" t="s">
        <v>57</v>
      </c>
      <c r="T66" s="11">
        <v>0</v>
      </c>
      <c r="U66" s="20">
        <v>128.09</v>
      </c>
      <c r="V66" s="11" t="s">
        <v>101</v>
      </c>
      <c r="W66" s="11" t="s">
        <v>102</v>
      </c>
      <c r="X66" s="21">
        <v>1</v>
      </c>
      <c r="Y66" s="11" t="s">
        <v>57</v>
      </c>
    </row>
    <row r="67" spans="1:25" x14ac:dyDescent="0.2">
      <c r="A67" s="19">
        <v>1055790</v>
      </c>
      <c r="B67" s="19" t="s">
        <v>572</v>
      </c>
      <c r="C67" s="19">
        <v>8307933</v>
      </c>
      <c r="D67" s="19" t="s">
        <v>616</v>
      </c>
      <c r="E67" s="19">
        <v>893387</v>
      </c>
      <c r="F67" s="11" t="s">
        <v>206</v>
      </c>
      <c r="G67" s="11" t="s">
        <v>207</v>
      </c>
      <c r="H67" s="22">
        <v>0.1275</v>
      </c>
      <c r="I67" s="11" t="s">
        <v>204</v>
      </c>
      <c r="J67" s="11">
        <v>233.99</v>
      </c>
      <c r="K67" s="11">
        <v>29.833725000000005</v>
      </c>
      <c r="L67" s="11" t="s">
        <v>53</v>
      </c>
      <c r="M67" s="11" t="s">
        <v>600</v>
      </c>
      <c r="N67" s="20">
        <v>29.83</v>
      </c>
      <c r="O67" s="20">
        <v>0</v>
      </c>
      <c r="P67" s="11" t="s">
        <v>546</v>
      </c>
      <c r="Q67" s="11" t="s">
        <v>76</v>
      </c>
      <c r="R67" s="11" t="s">
        <v>56</v>
      </c>
      <c r="S67" s="11" t="s">
        <v>57</v>
      </c>
      <c r="T67" s="11">
        <v>0</v>
      </c>
      <c r="U67" s="20">
        <v>233.99</v>
      </c>
      <c r="V67" s="11" t="s">
        <v>61</v>
      </c>
      <c r="W67" s="11" t="s">
        <v>62</v>
      </c>
      <c r="X67" s="21">
        <v>1</v>
      </c>
      <c r="Y67" s="11" t="s">
        <v>57</v>
      </c>
    </row>
    <row r="68" spans="1:25" x14ac:dyDescent="0.2">
      <c r="A68" s="19">
        <v>1055790</v>
      </c>
      <c r="B68" s="19" t="s">
        <v>574</v>
      </c>
      <c r="C68" s="19">
        <v>17425766</v>
      </c>
      <c r="D68" s="19" t="s">
        <v>616</v>
      </c>
      <c r="E68" s="19">
        <v>815390</v>
      </c>
      <c r="F68" s="11" t="s">
        <v>154</v>
      </c>
      <c r="G68" s="11" t="s">
        <v>155</v>
      </c>
      <c r="H68" s="22">
        <v>0.22500000000000001</v>
      </c>
      <c r="I68" s="11" t="s">
        <v>156</v>
      </c>
      <c r="J68" s="11">
        <v>178.26</v>
      </c>
      <c r="K68" s="11">
        <v>40.108499999999999</v>
      </c>
      <c r="L68" s="11" t="s">
        <v>99</v>
      </c>
      <c r="M68" s="11" t="s">
        <v>600</v>
      </c>
      <c r="N68" s="20">
        <v>39.659999999999997</v>
      </c>
      <c r="O68" s="20">
        <v>0</v>
      </c>
      <c r="P68" s="11" t="s">
        <v>542</v>
      </c>
      <c r="Q68" s="11" t="s">
        <v>96</v>
      </c>
      <c r="R68" s="11" t="s">
        <v>56</v>
      </c>
      <c r="S68" s="11" t="s">
        <v>57</v>
      </c>
      <c r="T68" s="11">
        <v>0</v>
      </c>
      <c r="U68" s="20">
        <v>176.26</v>
      </c>
      <c r="V68" s="11" t="s">
        <v>61</v>
      </c>
      <c r="W68" s="11" t="s">
        <v>62</v>
      </c>
      <c r="X68" s="21">
        <v>1</v>
      </c>
      <c r="Y68" s="11" t="s">
        <v>57</v>
      </c>
    </row>
    <row r="69" spans="1:25" x14ac:dyDescent="0.2">
      <c r="A69" s="19">
        <v>1055790</v>
      </c>
      <c r="B69" s="19" t="s">
        <v>572</v>
      </c>
      <c r="C69" s="19">
        <v>8307933</v>
      </c>
      <c r="D69" s="19" t="s">
        <v>616</v>
      </c>
      <c r="E69" s="19">
        <v>893387</v>
      </c>
      <c r="F69" s="11" t="s">
        <v>395</v>
      </c>
      <c r="G69" s="11" t="s">
        <v>396</v>
      </c>
      <c r="H69" s="22">
        <v>0.24</v>
      </c>
      <c r="I69" s="11" t="s">
        <v>397</v>
      </c>
      <c r="J69" s="11">
        <v>153.22</v>
      </c>
      <c r="K69" s="11">
        <v>36.772799999999997</v>
      </c>
      <c r="L69" s="11" t="s">
        <v>53</v>
      </c>
      <c r="M69" s="11" t="s">
        <v>558</v>
      </c>
      <c r="N69" s="20">
        <v>36.770000000000003</v>
      </c>
      <c r="O69" s="20">
        <v>0</v>
      </c>
      <c r="P69" s="11" t="s">
        <v>559</v>
      </c>
      <c r="Q69" s="11" t="s">
        <v>76</v>
      </c>
      <c r="R69" s="11" t="s">
        <v>56</v>
      </c>
      <c r="S69" s="11" t="s">
        <v>57</v>
      </c>
      <c r="T69" s="11">
        <v>0</v>
      </c>
      <c r="U69" s="20">
        <v>153.22</v>
      </c>
      <c r="V69" s="11" t="s">
        <v>61</v>
      </c>
      <c r="W69" s="11" t="s">
        <v>62</v>
      </c>
      <c r="X69" s="21">
        <v>1</v>
      </c>
      <c r="Y69" s="11" t="s">
        <v>57</v>
      </c>
    </row>
    <row r="70" spans="1:25" x14ac:dyDescent="0.2">
      <c r="A70" s="19">
        <v>1055790</v>
      </c>
      <c r="B70" s="19" t="s">
        <v>572</v>
      </c>
      <c r="C70" s="19">
        <v>8307933</v>
      </c>
      <c r="D70" s="19" t="s">
        <v>616</v>
      </c>
      <c r="E70" s="19">
        <v>893387</v>
      </c>
      <c r="F70" s="11" t="s">
        <v>398</v>
      </c>
      <c r="G70" s="11" t="s">
        <v>399</v>
      </c>
      <c r="H70" s="22">
        <v>0.24</v>
      </c>
      <c r="I70" s="11" t="s">
        <v>397</v>
      </c>
      <c r="J70" s="11">
        <v>176.19</v>
      </c>
      <c r="K70" s="11">
        <v>42.285599999999995</v>
      </c>
      <c r="L70" s="11" t="s">
        <v>53</v>
      </c>
      <c r="M70" s="11" t="s">
        <v>558</v>
      </c>
      <c r="N70" s="20">
        <v>42.29</v>
      </c>
      <c r="O70" s="20">
        <v>0</v>
      </c>
      <c r="P70" s="11" t="s">
        <v>559</v>
      </c>
      <c r="Q70" s="11" t="s">
        <v>76</v>
      </c>
      <c r="R70" s="11" t="s">
        <v>56</v>
      </c>
      <c r="S70" s="11" t="s">
        <v>57</v>
      </c>
      <c r="T70" s="11">
        <v>0</v>
      </c>
      <c r="U70" s="20">
        <v>176.19</v>
      </c>
      <c r="V70" s="11" t="s">
        <v>61</v>
      </c>
      <c r="W70" s="11" t="s">
        <v>62</v>
      </c>
      <c r="X70" s="21">
        <v>1</v>
      </c>
      <c r="Y70" s="11" t="s">
        <v>57</v>
      </c>
    </row>
    <row r="71" spans="1:25" x14ac:dyDescent="0.2">
      <c r="A71" s="19">
        <v>1055790</v>
      </c>
      <c r="B71" s="19" t="s">
        <v>572</v>
      </c>
      <c r="C71" s="19">
        <v>8307933</v>
      </c>
      <c r="D71" s="19" t="s">
        <v>616</v>
      </c>
      <c r="E71" s="19">
        <v>893387</v>
      </c>
      <c r="F71" s="11" t="s">
        <v>400</v>
      </c>
      <c r="G71" s="11" t="s">
        <v>401</v>
      </c>
      <c r="H71" s="22">
        <v>0.24</v>
      </c>
      <c r="I71" s="11" t="s">
        <v>402</v>
      </c>
      <c r="J71" s="11">
        <v>210.14</v>
      </c>
      <c r="K71" s="11">
        <v>50.433599999999991</v>
      </c>
      <c r="L71" s="11" t="s">
        <v>53</v>
      </c>
      <c r="M71" s="11" t="s">
        <v>558</v>
      </c>
      <c r="N71" s="20">
        <v>50.43</v>
      </c>
      <c r="O71" s="20">
        <v>0</v>
      </c>
      <c r="P71" s="11" t="s">
        <v>559</v>
      </c>
      <c r="Q71" s="11" t="s">
        <v>76</v>
      </c>
      <c r="R71" s="11" t="s">
        <v>56</v>
      </c>
      <c r="S71" s="11" t="s">
        <v>57</v>
      </c>
      <c r="T71" s="11">
        <v>0</v>
      </c>
      <c r="U71" s="20">
        <v>210.14</v>
      </c>
      <c r="V71" s="11" t="s">
        <v>61</v>
      </c>
      <c r="W71" s="11" t="s">
        <v>62</v>
      </c>
      <c r="X71" s="21">
        <v>1</v>
      </c>
      <c r="Y71" s="11" t="s">
        <v>57</v>
      </c>
    </row>
    <row r="72" spans="1:25" x14ac:dyDescent="0.2">
      <c r="A72" s="19">
        <v>1055790</v>
      </c>
      <c r="B72" s="19" t="s">
        <v>572</v>
      </c>
      <c r="C72" s="19">
        <v>8307933</v>
      </c>
      <c r="D72" s="19" t="s">
        <v>616</v>
      </c>
      <c r="E72" s="19">
        <v>893387</v>
      </c>
      <c r="F72" s="11" t="s">
        <v>404</v>
      </c>
      <c r="G72" s="11" t="s">
        <v>405</v>
      </c>
      <c r="H72" s="22">
        <v>0.24</v>
      </c>
      <c r="I72" s="11" t="s">
        <v>226</v>
      </c>
      <c r="J72" s="11">
        <v>162.11000000000001</v>
      </c>
      <c r="K72" s="11">
        <v>38.906400000000005</v>
      </c>
      <c r="L72" s="11" t="s">
        <v>53</v>
      </c>
      <c r="M72" s="11" t="s">
        <v>558</v>
      </c>
      <c r="N72" s="20">
        <v>38.909999999999997</v>
      </c>
      <c r="O72" s="20">
        <v>0</v>
      </c>
      <c r="P72" s="11" t="s">
        <v>559</v>
      </c>
      <c r="Q72" s="11" t="s">
        <v>76</v>
      </c>
      <c r="R72" s="11" t="s">
        <v>56</v>
      </c>
      <c r="S72" s="11" t="s">
        <v>57</v>
      </c>
      <c r="T72" s="11">
        <v>0</v>
      </c>
      <c r="U72" s="20">
        <v>162.11000000000001</v>
      </c>
      <c r="V72" s="11" t="s">
        <v>61</v>
      </c>
      <c r="W72" s="11" t="s">
        <v>62</v>
      </c>
      <c r="X72" s="21">
        <v>1</v>
      </c>
      <c r="Y72" s="11" t="s">
        <v>57</v>
      </c>
    </row>
    <row r="73" spans="1:25" x14ac:dyDescent="0.2">
      <c r="A73" s="19">
        <v>1055790</v>
      </c>
      <c r="B73" s="19" t="s">
        <v>572</v>
      </c>
      <c r="C73" s="19">
        <v>8307933</v>
      </c>
      <c r="D73" s="19" t="s">
        <v>616</v>
      </c>
      <c r="E73" s="19">
        <v>893387</v>
      </c>
      <c r="F73" s="11" t="s">
        <v>74</v>
      </c>
      <c r="G73" s="11" t="s">
        <v>75</v>
      </c>
      <c r="H73" s="22">
        <v>0.23</v>
      </c>
      <c r="I73" s="11" t="s">
        <v>52</v>
      </c>
      <c r="J73" s="11">
        <v>193.61</v>
      </c>
      <c r="K73" s="11">
        <v>44.530299999999997</v>
      </c>
      <c r="L73" s="11" t="s">
        <v>53</v>
      </c>
      <c r="M73" s="11" t="s">
        <v>558</v>
      </c>
      <c r="N73" s="20">
        <v>44.53</v>
      </c>
      <c r="O73" s="20">
        <v>0</v>
      </c>
      <c r="P73" s="11" t="s">
        <v>541</v>
      </c>
      <c r="Q73" s="11" t="s">
        <v>76</v>
      </c>
      <c r="R73" s="11" t="s">
        <v>56</v>
      </c>
      <c r="S73" s="11" t="s">
        <v>57</v>
      </c>
      <c r="T73" s="11">
        <v>0</v>
      </c>
      <c r="U73" s="20">
        <v>193.61</v>
      </c>
      <c r="V73" s="11" t="s">
        <v>61</v>
      </c>
      <c r="W73" s="11" t="s">
        <v>62</v>
      </c>
      <c r="X73" s="21">
        <v>1</v>
      </c>
      <c r="Y73" s="11" t="s">
        <v>57</v>
      </c>
    </row>
    <row r="74" spans="1:25" x14ac:dyDescent="0.2">
      <c r="A74" s="19">
        <v>1055790</v>
      </c>
      <c r="B74" s="19" t="s">
        <v>572</v>
      </c>
      <c r="C74" s="19">
        <v>8307933</v>
      </c>
      <c r="D74" s="19" t="s">
        <v>616</v>
      </c>
      <c r="E74" s="19">
        <v>893387</v>
      </c>
      <c r="F74" s="11" t="s">
        <v>77</v>
      </c>
      <c r="G74" s="11" t="s">
        <v>78</v>
      </c>
      <c r="H74" s="22">
        <v>0.23</v>
      </c>
      <c r="I74" s="11" t="s">
        <v>52</v>
      </c>
      <c r="J74" s="11">
        <v>176.91</v>
      </c>
      <c r="K74" s="11">
        <v>40.689300000000003</v>
      </c>
      <c r="L74" s="11" t="s">
        <v>53</v>
      </c>
      <c r="M74" s="11" t="s">
        <v>558</v>
      </c>
      <c r="N74" s="20">
        <v>40.69</v>
      </c>
      <c r="O74" s="20">
        <v>0</v>
      </c>
      <c r="P74" s="11" t="s">
        <v>541</v>
      </c>
      <c r="Q74" s="11" t="s">
        <v>76</v>
      </c>
      <c r="R74" s="11" t="s">
        <v>56</v>
      </c>
      <c r="S74" s="11" t="s">
        <v>57</v>
      </c>
      <c r="T74" s="11">
        <v>0</v>
      </c>
      <c r="U74" s="20">
        <v>176.91</v>
      </c>
      <c r="V74" s="11" t="s">
        <v>61</v>
      </c>
      <c r="W74" s="11" t="s">
        <v>62</v>
      </c>
      <c r="X74" s="21">
        <v>1</v>
      </c>
      <c r="Y74" s="11" t="s">
        <v>57</v>
      </c>
    </row>
    <row r="75" spans="1:25" x14ac:dyDescent="0.2">
      <c r="A75" s="19">
        <v>1055790</v>
      </c>
      <c r="B75" s="19" t="s">
        <v>572</v>
      </c>
      <c r="C75" s="19">
        <v>8307933</v>
      </c>
      <c r="D75" s="19" t="s">
        <v>616</v>
      </c>
      <c r="E75" s="19">
        <v>893387</v>
      </c>
      <c r="F75" s="11" t="s">
        <v>79</v>
      </c>
      <c r="G75" s="11" t="s">
        <v>80</v>
      </c>
      <c r="H75" s="22">
        <v>0.23</v>
      </c>
      <c r="I75" s="11" t="s">
        <v>52</v>
      </c>
      <c r="J75" s="11">
        <v>207.5</v>
      </c>
      <c r="K75" s="11">
        <v>47.725000000000001</v>
      </c>
      <c r="L75" s="11" t="s">
        <v>53</v>
      </c>
      <c r="M75" s="11" t="s">
        <v>558</v>
      </c>
      <c r="N75" s="20">
        <v>47.73</v>
      </c>
      <c r="O75" s="20">
        <v>0</v>
      </c>
      <c r="P75" s="11" t="s">
        <v>541</v>
      </c>
      <c r="Q75" s="11" t="s">
        <v>76</v>
      </c>
      <c r="R75" s="11" t="s">
        <v>56</v>
      </c>
      <c r="S75" s="11" t="s">
        <v>57</v>
      </c>
      <c r="T75" s="11">
        <v>0</v>
      </c>
      <c r="U75" s="20">
        <v>207.5</v>
      </c>
      <c r="V75" s="11" t="s">
        <v>61</v>
      </c>
      <c r="W75" s="11" t="s">
        <v>62</v>
      </c>
      <c r="X75" s="21">
        <v>1</v>
      </c>
      <c r="Y75" s="11" t="s">
        <v>57</v>
      </c>
    </row>
    <row r="76" spans="1:25" x14ac:dyDescent="0.2">
      <c r="A76" s="19">
        <v>1055790</v>
      </c>
      <c r="B76" s="19" t="s">
        <v>572</v>
      </c>
      <c r="C76" s="19">
        <v>8307933</v>
      </c>
      <c r="D76" s="19" t="s">
        <v>616</v>
      </c>
      <c r="E76" s="19">
        <v>893387</v>
      </c>
      <c r="F76" s="11" t="s">
        <v>113</v>
      </c>
      <c r="G76" s="11" t="s">
        <v>114</v>
      </c>
      <c r="H76" s="22">
        <v>0.23</v>
      </c>
      <c r="I76" s="11" t="s">
        <v>52</v>
      </c>
      <c r="J76" s="11">
        <v>199.91</v>
      </c>
      <c r="K76" s="11">
        <v>45.979300000000002</v>
      </c>
      <c r="L76" s="11" t="s">
        <v>92</v>
      </c>
      <c r="M76" s="11" t="s">
        <v>558</v>
      </c>
      <c r="N76" s="20">
        <v>45.98</v>
      </c>
      <c r="O76" s="20">
        <v>0</v>
      </c>
      <c r="P76" s="11" t="s">
        <v>541</v>
      </c>
      <c r="Q76" s="11" t="s">
        <v>115</v>
      </c>
      <c r="R76" s="11" t="s">
        <v>116</v>
      </c>
      <c r="S76" s="11" t="s">
        <v>57</v>
      </c>
      <c r="T76" s="11">
        <v>0</v>
      </c>
      <c r="U76" s="20">
        <v>199.91</v>
      </c>
      <c r="V76" s="11" t="s">
        <v>61</v>
      </c>
      <c r="W76" s="11" t="s">
        <v>62</v>
      </c>
      <c r="X76" s="21">
        <v>1</v>
      </c>
      <c r="Y76" s="11" t="s">
        <v>57</v>
      </c>
    </row>
    <row r="77" spans="1:25" x14ac:dyDescent="0.2">
      <c r="A77" s="19">
        <v>1055790</v>
      </c>
      <c r="B77" s="19" t="s">
        <v>578</v>
      </c>
      <c r="C77" s="19">
        <v>9079571</v>
      </c>
      <c r="D77" s="19" t="s">
        <v>616</v>
      </c>
      <c r="E77" s="19">
        <v>816910</v>
      </c>
      <c r="F77" s="11" t="s">
        <v>406</v>
      </c>
      <c r="G77" s="11" t="s">
        <v>407</v>
      </c>
      <c r="H77" s="22">
        <v>0.23</v>
      </c>
      <c r="I77" s="11" t="s">
        <v>226</v>
      </c>
      <c r="J77" s="11">
        <v>121.45</v>
      </c>
      <c r="K77" s="11">
        <v>27.933499999999999</v>
      </c>
      <c r="L77" s="11" t="s">
        <v>53</v>
      </c>
      <c r="M77" s="11" t="s">
        <v>558</v>
      </c>
      <c r="N77" s="20">
        <v>0</v>
      </c>
      <c r="O77" s="20">
        <v>-27.93</v>
      </c>
      <c r="P77" s="11" t="s">
        <v>541</v>
      </c>
      <c r="Q77" s="11" t="s">
        <v>392</v>
      </c>
      <c r="R77" s="11" t="s">
        <v>56</v>
      </c>
      <c r="S77" s="11" t="s">
        <v>57</v>
      </c>
      <c r="T77" s="11">
        <v>0</v>
      </c>
      <c r="U77" s="20">
        <v>121.45</v>
      </c>
      <c r="V77" s="11" t="s">
        <v>61</v>
      </c>
      <c r="W77" s="11" t="s">
        <v>62</v>
      </c>
      <c r="X77" s="21">
        <v>1</v>
      </c>
      <c r="Y77" s="11" t="s">
        <v>57</v>
      </c>
    </row>
    <row r="78" spans="1:25" x14ac:dyDescent="0.2">
      <c r="A78" s="19">
        <v>1055790</v>
      </c>
      <c r="B78" s="19" t="s">
        <v>572</v>
      </c>
      <c r="C78" s="19">
        <v>8307933</v>
      </c>
      <c r="D78" s="19" t="s">
        <v>616</v>
      </c>
      <c r="E78" s="19">
        <v>893387</v>
      </c>
      <c r="F78" s="11" t="s">
        <v>511</v>
      </c>
      <c r="G78" s="11" t="s">
        <v>512</v>
      </c>
      <c r="H78" s="22">
        <v>0.23</v>
      </c>
      <c r="I78" s="11" t="s">
        <v>226</v>
      </c>
      <c r="J78" s="11">
        <v>121.45</v>
      </c>
      <c r="K78" s="11">
        <v>27.933499999999999</v>
      </c>
      <c r="L78" s="11" t="s">
        <v>53</v>
      </c>
      <c r="M78" s="11" t="s">
        <v>558</v>
      </c>
      <c r="N78" s="20">
        <v>27.93</v>
      </c>
      <c r="O78" s="20">
        <v>0</v>
      </c>
      <c r="P78" s="11" t="s">
        <v>541</v>
      </c>
      <c r="Q78" s="11" t="s">
        <v>513</v>
      </c>
      <c r="R78" s="11" t="s">
        <v>56</v>
      </c>
      <c r="S78" s="11" t="s">
        <v>57</v>
      </c>
      <c r="T78" s="11">
        <v>0</v>
      </c>
      <c r="U78" s="20">
        <v>121.45</v>
      </c>
      <c r="V78" s="11" t="s">
        <v>61</v>
      </c>
      <c r="W78" s="11" t="s">
        <v>62</v>
      </c>
      <c r="X78" s="21">
        <v>1</v>
      </c>
      <c r="Y78" s="11" t="s">
        <v>57</v>
      </c>
    </row>
    <row r="79" spans="1:25" x14ac:dyDescent="0.2">
      <c r="A79" s="19">
        <v>1055790</v>
      </c>
      <c r="B79" s="19" t="s">
        <v>594</v>
      </c>
      <c r="C79" s="19">
        <v>16212649</v>
      </c>
      <c r="D79" s="19" t="s">
        <v>616</v>
      </c>
      <c r="E79" s="19">
        <v>821331</v>
      </c>
      <c r="F79" s="11" t="s">
        <v>138</v>
      </c>
      <c r="G79" s="11" t="s">
        <v>139</v>
      </c>
      <c r="H79" s="22">
        <v>0.23</v>
      </c>
      <c r="I79" s="11" t="s">
        <v>140</v>
      </c>
      <c r="J79" s="11">
        <v>271.94</v>
      </c>
      <c r="K79" s="11">
        <v>62.546199999999999</v>
      </c>
      <c r="L79" s="11" t="s">
        <v>53</v>
      </c>
      <c r="M79" s="11" t="s">
        <v>558</v>
      </c>
      <c r="N79" s="20">
        <v>53.53</v>
      </c>
      <c r="O79" s="20">
        <v>0</v>
      </c>
      <c r="P79" s="11" t="s">
        <v>541</v>
      </c>
      <c r="Q79" s="11" t="s">
        <v>142</v>
      </c>
      <c r="R79" s="11" t="s">
        <v>56</v>
      </c>
      <c r="S79" s="11" t="s">
        <v>57</v>
      </c>
      <c r="T79" s="11">
        <v>0</v>
      </c>
      <c r="U79" s="20">
        <v>232.72</v>
      </c>
      <c r="V79" s="11" t="s">
        <v>101</v>
      </c>
      <c r="W79" s="11" t="s">
        <v>102</v>
      </c>
      <c r="X79" s="21">
        <v>1</v>
      </c>
      <c r="Y79" s="11" t="s">
        <v>57</v>
      </c>
    </row>
    <row r="80" spans="1:25" x14ac:dyDescent="0.2">
      <c r="A80" s="19">
        <v>1055790</v>
      </c>
      <c r="B80" s="19" t="s">
        <v>578</v>
      </c>
      <c r="C80" s="19">
        <v>9079571</v>
      </c>
      <c r="D80" s="19" t="s">
        <v>616</v>
      </c>
      <c r="E80" s="19">
        <v>816910</v>
      </c>
      <c r="F80" s="11" t="s">
        <v>411</v>
      </c>
      <c r="G80" s="11" t="s">
        <v>412</v>
      </c>
      <c r="H80" s="22">
        <v>0.23</v>
      </c>
      <c r="I80" s="11" t="s">
        <v>174</v>
      </c>
      <c r="J80" s="11">
        <v>168.14</v>
      </c>
      <c r="K80" s="11">
        <v>38.672199999999997</v>
      </c>
      <c r="L80" s="11" t="s">
        <v>53</v>
      </c>
      <c r="M80" s="11" t="s">
        <v>558</v>
      </c>
      <c r="N80" s="20">
        <v>38.67</v>
      </c>
      <c r="O80" s="20">
        <v>0</v>
      </c>
      <c r="P80" s="11" t="s">
        <v>541</v>
      </c>
      <c r="Q80" s="11" t="s">
        <v>142</v>
      </c>
      <c r="R80" s="11" t="s">
        <v>56</v>
      </c>
      <c r="S80" s="11" t="s">
        <v>57</v>
      </c>
      <c r="T80" s="11">
        <v>0</v>
      </c>
      <c r="U80" s="20">
        <v>168.14</v>
      </c>
      <c r="V80" s="11" t="s">
        <v>101</v>
      </c>
      <c r="W80" s="11" t="s">
        <v>102</v>
      </c>
      <c r="X80" s="21">
        <v>1</v>
      </c>
      <c r="Y80" s="11" t="s">
        <v>57</v>
      </c>
    </row>
    <row r="81" spans="1:25" x14ac:dyDescent="0.2">
      <c r="A81" s="19">
        <v>1055790</v>
      </c>
      <c r="B81" s="19" t="s">
        <v>578</v>
      </c>
      <c r="C81" s="19">
        <v>9079571</v>
      </c>
      <c r="D81" s="19" t="s">
        <v>616</v>
      </c>
      <c r="E81" s="19">
        <v>816910</v>
      </c>
      <c r="F81" s="11" t="s">
        <v>413</v>
      </c>
      <c r="G81" s="11" t="s">
        <v>414</v>
      </c>
      <c r="H81" s="22">
        <v>0.23</v>
      </c>
      <c r="I81" s="11" t="s">
        <v>174</v>
      </c>
      <c r="J81" s="11">
        <v>204.03</v>
      </c>
      <c r="K81" s="11">
        <v>46.926899999999996</v>
      </c>
      <c r="L81" s="11" t="s">
        <v>53</v>
      </c>
      <c r="M81" s="11" t="s">
        <v>558</v>
      </c>
      <c r="N81" s="20">
        <v>39.14</v>
      </c>
      <c r="O81" s="20">
        <v>0</v>
      </c>
      <c r="P81" s="11" t="s">
        <v>541</v>
      </c>
      <c r="Q81" s="11" t="s">
        <v>415</v>
      </c>
      <c r="R81" s="11" t="s">
        <v>56</v>
      </c>
      <c r="S81" s="11" t="s">
        <v>57</v>
      </c>
      <c r="T81" s="11">
        <v>0</v>
      </c>
      <c r="U81" s="20">
        <v>170.16</v>
      </c>
      <c r="V81" s="11" t="s">
        <v>101</v>
      </c>
      <c r="W81" s="11" t="s">
        <v>102</v>
      </c>
      <c r="X81" s="21">
        <v>1</v>
      </c>
      <c r="Y81" s="11" t="s">
        <v>57</v>
      </c>
    </row>
    <row r="82" spans="1:25" x14ac:dyDescent="0.2">
      <c r="A82" s="19">
        <v>1055790</v>
      </c>
      <c r="B82" s="19" t="s">
        <v>578</v>
      </c>
      <c r="C82" s="19">
        <v>9079571</v>
      </c>
      <c r="D82" s="19" t="s">
        <v>616</v>
      </c>
      <c r="E82" s="19">
        <v>816910</v>
      </c>
      <c r="F82" s="11" t="s">
        <v>421</v>
      </c>
      <c r="G82" s="11" t="s">
        <v>422</v>
      </c>
      <c r="H82" s="22">
        <v>0.23</v>
      </c>
      <c r="I82" s="11" t="s">
        <v>174</v>
      </c>
      <c r="J82" s="11">
        <v>177.4</v>
      </c>
      <c r="K82" s="11">
        <v>40.802</v>
      </c>
      <c r="L82" s="11" t="s">
        <v>53</v>
      </c>
      <c r="M82" s="11" t="s">
        <v>558</v>
      </c>
      <c r="N82" s="20">
        <v>34.03</v>
      </c>
      <c r="O82" s="20">
        <v>0</v>
      </c>
      <c r="P82" s="11" t="s">
        <v>541</v>
      </c>
      <c r="Q82" s="11" t="s">
        <v>418</v>
      </c>
      <c r="R82" s="11" t="s">
        <v>56</v>
      </c>
      <c r="S82" s="11" t="s">
        <v>57</v>
      </c>
      <c r="T82" s="11">
        <v>0</v>
      </c>
      <c r="U82" s="20">
        <v>147.96</v>
      </c>
      <c r="V82" s="11" t="s">
        <v>101</v>
      </c>
      <c r="W82" s="11" t="s">
        <v>102</v>
      </c>
      <c r="X82" s="21">
        <v>1</v>
      </c>
      <c r="Y82" s="11" t="s">
        <v>57</v>
      </c>
    </row>
    <row r="83" spans="1:25" x14ac:dyDescent="0.2">
      <c r="A83" s="19">
        <v>1055790</v>
      </c>
      <c r="B83" s="19" t="s">
        <v>578</v>
      </c>
      <c r="C83" s="19">
        <v>9079571</v>
      </c>
      <c r="D83" s="19" t="s">
        <v>616</v>
      </c>
      <c r="E83" s="19">
        <v>816910</v>
      </c>
      <c r="F83" s="11" t="s">
        <v>423</v>
      </c>
      <c r="G83" s="11" t="s">
        <v>424</v>
      </c>
      <c r="H83" s="22">
        <v>0.23</v>
      </c>
      <c r="I83" s="11" t="s">
        <v>174</v>
      </c>
      <c r="J83" s="11">
        <v>177.4</v>
      </c>
      <c r="K83" s="11">
        <v>40.802</v>
      </c>
      <c r="L83" s="11" t="s">
        <v>53</v>
      </c>
      <c r="M83" s="11" t="s">
        <v>558</v>
      </c>
      <c r="N83" s="20">
        <v>34.03</v>
      </c>
      <c r="O83" s="20">
        <v>0</v>
      </c>
      <c r="P83" s="11" t="s">
        <v>541</v>
      </c>
      <c r="Q83" s="11" t="s">
        <v>418</v>
      </c>
      <c r="R83" s="11" t="s">
        <v>56</v>
      </c>
      <c r="S83" s="11" t="s">
        <v>57</v>
      </c>
      <c r="T83" s="11">
        <v>0</v>
      </c>
      <c r="U83" s="20">
        <v>147.96</v>
      </c>
      <c r="V83" s="11" t="s">
        <v>101</v>
      </c>
      <c r="W83" s="11" t="s">
        <v>102</v>
      </c>
      <c r="X83" s="21">
        <v>1</v>
      </c>
      <c r="Y83" s="11" t="s">
        <v>57</v>
      </c>
    </row>
    <row r="84" spans="1:25" x14ac:dyDescent="0.2">
      <c r="A84" s="19">
        <v>1055790</v>
      </c>
      <c r="B84" s="19" t="s">
        <v>578</v>
      </c>
      <c r="C84" s="19">
        <v>9079571</v>
      </c>
      <c r="D84" s="19" t="s">
        <v>616</v>
      </c>
      <c r="E84" s="19">
        <v>816910</v>
      </c>
      <c r="F84" s="11" t="s">
        <v>428</v>
      </c>
      <c r="G84" s="11" t="s">
        <v>429</v>
      </c>
      <c r="H84" s="22">
        <v>0.23</v>
      </c>
      <c r="I84" s="11" t="s">
        <v>174</v>
      </c>
      <c r="J84" s="11">
        <v>204.03</v>
      </c>
      <c r="K84" s="11">
        <v>46.926899999999996</v>
      </c>
      <c r="L84" s="11" t="s">
        <v>53</v>
      </c>
      <c r="M84" s="11" t="s">
        <v>558</v>
      </c>
      <c r="N84" s="20">
        <v>39.14</v>
      </c>
      <c r="O84" s="20">
        <v>0</v>
      </c>
      <c r="P84" s="11" t="s">
        <v>541</v>
      </c>
      <c r="Q84" s="11" t="s">
        <v>100</v>
      </c>
      <c r="R84" s="11" t="s">
        <v>56</v>
      </c>
      <c r="S84" s="11" t="s">
        <v>57</v>
      </c>
      <c r="T84" s="11">
        <v>0</v>
      </c>
      <c r="U84" s="20">
        <v>170.16</v>
      </c>
      <c r="V84" s="11" t="s">
        <v>101</v>
      </c>
      <c r="W84" s="11" t="s">
        <v>102</v>
      </c>
      <c r="X84" s="21">
        <v>1</v>
      </c>
      <c r="Y84" s="11" t="s">
        <v>57</v>
      </c>
    </row>
    <row r="85" spans="1:25" x14ac:dyDescent="0.2">
      <c r="A85" s="19">
        <v>1055790</v>
      </c>
      <c r="B85" s="19" t="s">
        <v>578</v>
      </c>
      <c r="C85" s="19">
        <v>9079571</v>
      </c>
      <c r="D85" s="19" t="s">
        <v>616</v>
      </c>
      <c r="E85" s="19">
        <v>816910</v>
      </c>
      <c r="F85" s="11" t="s">
        <v>438</v>
      </c>
      <c r="G85" s="11" t="s">
        <v>439</v>
      </c>
      <c r="H85" s="22">
        <v>0.23</v>
      </c>
      <c r="I85" s="11" t="s">
        <v>174</v>
      </c>
      <c r="J85" s="11">
        <v>168.14</v>
      </c>
      <c r="K85" s="11">
        <v>38.672199999999997</v>
      </c>
      <c r="L85" s="11" t="s">
        <v>53</v>
      </c>
      <c r="M85" s="11" t="s">
        <v>558</v>
      </c>
      <c r="N85" s="20">
        <v>32.57</v>
      </c>
      <c r="O85" s="20">
        <v>0</v>
      </c>
      <c r="P85" s="11" t="s">
        <v>541</v>
      </c>
      <c r="Q85" s="11" t="s">
        <v>152</v>
      </c>
      <c r="R85" s="11" t="s">
        <v>56</v>
      </c>
      <c r="S85" s="11" t="s">
        <v>57</v>
      </c>
      <c r="T85" s="11">
        <v>0</v>
      </c>
      <c r="U85" s="20">
        <v>141.63</v>
      </c>
      <c r="V85" s="11" t="s">
        <v>101</v>
      </c>
      <c r="W85" s="11" t="s">
        <v>102</v>
      </c>
      <c r="X85" s="21">
        <v>1</v>
      </c>
      <c r="Y85" s="11" t="s">
        <v>57</v>
      </c>
    </row>
    <row r="86" spans="1:25" x14ac:dyDescent="0.2">
      <c r="A86" s="19">
        <v>1055790</v>
      </c>
      <c r="B86" s="19" t="s">
        <v>578</v>
      </c>
      <c r="C86" s="19">
        <v>9079571</v>
      </c>
      <c r="D86" s="19" t="s">
        <v>616</v>
      </c>
      <c r="E86" s="19">
        <v>816910</v>
      </c>
      <c r="F86" s="11" t="s">
        <v>448</v>
      </c>
      <c r="G86" s="11" t="s">
        <v>449</v>
      </c>
      <c r="H86" s="22">
        <v>0.23</v>
      </c>
      <c r="I86" s="11" t="s">
        <v>174</v>
      </c>
      <c r="J86" s="11">
        <v>250.85</v>
      </c>
      <c r="K86" s="11">
        <v>57.695500000000003</v>
      </c>
      <c r="L86" s="11" t="s">
        <v>53</v>
      </c>
      <c r="M86" s="11" t="s">
        <v>558</v>
      </c>
      <c r="N86" s="20">
        <v>39.979999999999997</v>
      </c>
      <c r="O86" s="20">
        <v>0</v>
      </c>
      <c r="P86" s="11" t="s">
        <v>541</v>
      </c>
      <c r="Q86" s="11" t="s">
        <v>450</v>
      </c>
      <c r="R86" s="11" t="s">
        <v>56</v>
      </c>
      <c r="S86" s="11" t="s">
        <v>57</v>
      </c>
      <c r="T86" s="11">
        <v>0</v>
      </c>
      <c r="U86" s="20">
        <v>173.81</v>
      </c>
      <c r="V86" s="11" t="s">
        <v>101</v>
      </c>
      <c r="W86" s="11" t="s">
        <v>102</v>
      </c>
      <c r="X86" s="21">
        <v>1</v>
      </c>
      <c r="Y86" s="11" t="s">
        <v>57</v>
      </c>
    </row>
    <row r="87" spans="1:25" x14ac:dyDescent="0.2">
      <c r="A87" s="19">
        <v>1055790</v>
      </c>
      <c r="B87" s="19" t="s">
        <v>578</v>
      </c>
      <c r="C87" s="19">
        <v>9079571</v>
      </c>
      <c r="D87" s="19" t="s">
        <v>616</v>
      </c>
      <c r="E87" s="19">
        <v>816910</v>
      </c>
      <c r="F87" s="11" t="s">
        <v>451</v>
      </c>
      <c r="G87" s="11" t="s">
        <v>452</v>
      </c>
      <c r="H87" s="22">
        <v>0.23</v>
      </c>
      <c r="I87" s="11" t="s">
        <v>174</v>
      </c>
      <c r="J87" s="11">
        <v>204.03</v>
      </c>
      <c r="K87" s="11">
        <v>46.926899999999996</v>
      </c>
      <c r="L87" s="11" t="s">
        <v>53</v>
      </c>
      <c r="M87" s="11" t="s">
        <v>558</v>
      </c>
      <c r="N87" s="20">
        <v>34.94</v>
      </c>
      <c r="O87" s="20">
        <v>0</v>
      </c>
      <c r="P87" s="11" t="s">
        <v>541</v>
      </c>
      <c r="Q87" s="11" t="s">
        <v>450</v>
      </c>
      <c r="R87" s="11" t="s">
        <v>56</v>
      </c>
      <c r="S87" s="11" t="s">
        <v>57</v>
      </c>
      <c r="T87" s="11">
        <v>0</v>
      </c>
      <c r="U87" s="20">
        <v>151.93</v>
      </c>
      <c r="V87" s="11" t="s">
        <v>101</v>
      </c>
      <c r="W87" s="11" t="s">
        <v>102</v>
      </c>
      <c r="X87" s="21">
        <v>1</v>
      </c>
      <c r="Y87" s="11" t="s">
        <v>57</v>
      </c>
    </row>
    <row r="88" spans="1:25" x14ac:dyDescent="0.2">
      <c r="A88" s="19">
        <v>1055790</v>
      </c>
      <c r="B88" s="19" t="s">
        <v>578</v>
      </c>
      <c r="C88" s="19">
        <v>9079571</v>
      </c>
      <c r="D88" s="19" t="s">
        <v>616</v>
      </c>
      <c r="E88" s="19">
        <v>816910</v>
      </c>
      <c r="F88" s="11" t="s">
        <v>453</v>
      </c>
      <c r="G88" s="11" t="s">
        <v>454</v>
      </c>
      <c r="H88" s="22">
        <v>0.23</v>
      </c>
      <c r="I88" s="11" t="s">
        <v>226</v>
      </c>
      <c r="J88" s="11">
        <v>203.61</v>
      </c>
      <c r="K88" s="11">
        <v>46.830300000000001</v>
      </c>
      <c r="L88" s="11" t="s">
        <v>53</v>
      </c>
      <c r="M88" s="11" t="s">
        <v>558</v>
      </c>
      <c r="N88" s="20">
        <v>31.15</v>
      </c>
      <c r="O88" s="20">
        <v>0</v>
      </c>
      <c r="P88" s="11" t="s">
        <v>541</v>
      </c>
      <c r="Q88" s="11" t="s">
        <v>133</v>
      </c>
      <c r="R88" s="11" t="s">
        <v>56</v>
      </c>
      <c r="S88" s="11" t="s">
        <v>57</v>
      </c>
      <c r="T88" s="11">
        <v>0</v>
      </c>
      <c r="U88" s="20">
        <v>135.43</v>
      </c>
      <c r="V88" s="11" t="s">
        <v>101</v>
      </c>
      <c r="W88" s="11" t="s">
        <v>102</v>
      </c>
      <c r="X88" s="21">
        <v>1</v>
      </c>
      <c r="Y88" s="11" t="s">
        <v>57</v>
      </c>
    </row>
    <row r="89" spans="1:25" x14ac:dyDescent="0.2">
      <c r="A89" s="19">
        <v>1055790</v>
      </c>
      <c r="B89" s="19" t="s">
        <v>578</v>
      </c>
      <c r="C89" s="19">
        <v>9079571</v>
      </c>
      <c r="D89" s="19" t="s">
        <v>616</v>
      </c>
      <c r="E89" s="19">
        <v>816910</v>
      </c>
      <c r="F89" s="11" t="s">
        <v>455</v>
      </c>
      <c r="G89" s="11" t="s">
        <v>456</v>
      </c>
      <c r="H89" s="22">
        <v>0.23</v>
      </c>
      <c r="I89" s="11" t="s">
        <v>174</v>
      </c>
      <c r="J89" s="11">
        <v>224.43</v>
      </c>
      <c r="K89" s="11">
        <v>51.618900000000004</v>
      </c>
      <c r="L89" s="11" t="s">
        <v>53</v>
      </c>
      <c r="M89" s="11" t="s">
        <v>558</v>
      </c>
      <c r="N89" s="20">
        <v>38.44</v>
      </c>
      <c r="O89" s="20">
        <v>0</v>
      </c>
      <c r="P89" s="11" t="s">
        <v>541</v>
      </c>
      <c r="Q89" s="11" t="s">
        <v>133</v>
      </c>
      <c r="R89" s="11" t="s">
        <v>56</v>
      </c>
      <c r="S89" s="11" t="s">
        <v>57</v>
      </c>
      <c r="T89" s="11">
        <v>0</v>
      </c>
      <c r="U89" s="20">
        <v>167.12</v>
      </c>
      <c r="V89" s="11" t="s">
        <v>101</v>
      </c>
      <c r="W89" s="11" t="s">
        <v>102</v>
      </c>
      <c r="X89" s="21">
        <v>1</v>
      </c>
      <c r="Y89" s="11" t="s">
        <v>57</v>
      </c>
    </row>
    <row r="90" spans="1:25" x14ac:dyDescent="0.2">
      <c r="A90" s="19">
        <v>1055790</v>
      </c>
      <c r="B90" s="19" t="s">
        <v>578</v>
      </c>
      <c r="C90" s="19">
        <v>9079571</v>
      </c>
      <c r="D90" s="19" t="s">
        <v>616</v>
      </c>
      <c r="E90" s="19">
        <v>816910</v>
      </c>
      <c r="F90" s="11" t="s">
        <v>460</v>
      </c>
      <c r="G90" s="11" t="s">
        <v>461</v>
      </c>
      <c r="H90" s="22">
        <v>0.23</v>
      </c>
      <c r="I90" s="11" t="s">
        <v>174</v>
      </c>
      <c r="J90" s="11">
        <v>225.93</v>
      </c>
      <c r="K90" s="11">
        <v>51.963899999999995</v>
      </c>
      <c r="L90" s="11" t="s">
        <v>53</v>
      </c>
      <c r="M90" s="11" t="s">
        <v>558</v>
      </c>
      <c r="N90" s="20">
        <v>34.93</v>
      </c>
      <c r="O90" s="20">
        <v>0</v>
      </c>
      <c r="P90" s="11" t="s">
        <v>541</v>
      </c>
      <c r="Q90" s="11" t="s">
        <v>459</v>
      </c>
      <c r="R90" s="11" t="s">
        <v>56</v>
      </c>
      <c r="S90" s="11" t="s">
        <v>57</v>
      </c>
      <c r="T90" s="11">
        <v>0</v>
      </c>
      <c r="U90" s="20">
        <v>151.85</v>
      </c>
      <c r="V90" s="11" t="s">
        <v>101</v>
      </c>
      <c r="W90" s="11" t="s">
        <v>102</v>
      </c>
      <c r="X90" s="21">
        <v>1</v>
      </c>
      <c r="Y90" s="11" t="s">
        <v>57</v>
      </c>
    </row>
    <row r="91" spans="1:25" x14ac:dyDescent="0.2">
      <c r="A91" s="19">
        <v>1055790</v>
      </c>
      <c r="B91" s="19" t="s">
        <v>578</v>
      </c>
      <c r="C91" s="19">
        <v>9079571</v>
      </c>
      <c r="D91" s="19" t="s">
        <v>616</v>
      </c>
      <c r="E91" s="19">
        <v>816910</v>
      </c>
      <c r="F91" s="11" t="s">
        <v>463</v>
      </c>
      <c r="G91" s="11" t="s">
        <v>464</v>
      </c>
      <c r="H91" s="22">
        <v>0.23</v>
      </c>
      <c r="I91" s="11" t="s">
        <v>174</v>
      </c>
      <c r="J91" s="11">
        <v>204.03</v>
      </c>
      <c r="K91" s="11">
        <v>46.926899999999996</v>
      </c>
      <c r="L91" s="11" t="s">
        <v>53</v>
      </c>
      <c r="M91" s="11" t="s">
        <v>558</v>
      </c>
      <c r="N91" s="20">
        <v>34.94</v>
      </c>
      <c r="O91" s="20">
        <v>0</v>
      </c>
      <c r="P91" s="11" t="s">
        <v>541</v>
      </c>
      <c r="Q91" s="11" t="s">
        <v>459</v>
      </c>
      <c r="R91" s="11" t="s">
        <v>56</v>
      </c>
      <c r="S91" s="11" t="s">
        <v>57</v>
      </c>
      <c r="T91" s="11">
        <v>0</v>
      </c>
      <c r="U91" s="20">
        <v>151.93</v>
      </c>
      <c r="V91" s="11" t="s">
        <v>101</v>
      </c>
      <c r="W91" s="11" t="s">
        <v>102</v>
      </c>
      <c r="X91" s="21">
        <v>1</v>
      </c>
      <c r="Y91" s="11" t="s">
        <v>57</v>
      </c>
    </row>
    <row r="92" spans="1:25" x14ac:dyDescent="0.2">
      <c r="A92" s="19">
        <v>1055790</v>
      </c>
      <c r="B92" s="19" t="s">
        <v>578</v>
      </c>
      <c r="C92" s="19">
        <v>9079571</v>
      </c>
      <c r="D92" s="19" t="s">
        <v>616</v>
      </c>
      <c r="E92" s="19">
        <v>816910</v>
      </c>
      <c r="F92" s="11" t="s">
        <v>465</v>
      </c>
      <c r="G92" s="11" t="s">
        <v>466</v>
      </c>
      <c r="H92" s="22">
        <v>0.23</v>
      </c>
      <c r="I92" s="11" t="s">
        <v>174</v>
      </c>
      <c r="J92" s="11">
        <v>176.29</v>
      </c>
      <c r="K92" s="11">
        <v>40.546699999999994</v>
      </c>
      <c r="L92" s="11" t="s">
        <v>53</v>
      </c>
      <c r="M92" s="11" t="s">
        <v>558</v>
      </c>
      <c r="N92" s="20">
        <v>34.94</v>
      </c>
      <c r="O92" s="20">
        <v>0</v>
      </c>
      <c r="P92" s="11" t="s">
        <v>541</v>
      </c>
      <c r="Q92" s="11" t="s">
        <v>467</v>
      </c>
      <c r="R92" s="11" t="s">
        <v>56</v>
      </c>
      <c r="S92" s="11" t="s">
        <v>57</v>
      </c>
      <c r="T92" s="11">
        <v>0</v>
      </c>
      <c r="U92" s="20">
        <v>151.93</v>
      </c>
      <c r="V92" s="11" t="s">
        <v>101</v>
      </c>
      <c r="W92" s="11" t="s">
        <v>102</v>
      </c>
      <c r="X92" s="21">
        <v>1</v>
      </c>
      <c r="Y92" s="11" t="s">
        <v>57</v>
      </c>
    </row>
    <row r="93" spans="1:25" x14ac:dyDescent="0.2">
      <c r="A93" s="19">
        <v>1055790</v>
      </c>
      <c r="B93" s="19" t="s">
        <v>578</v>
      </c>
      <c r="C93" s="19">
        <v>9079571</v>
      </c>
      <c r="D93" s="19" t="s">
        <v>616</v>
      </c>
      <c r="E93" s="19">
        <v>816910</v>
      </c>
      <c r="F93" s="11" t="s">
        <v>468</v>
      </c>
      <c r="G93" s="11" t="s">
        <v>469</v>
      </c>
      <c r="H93" s="22">
        <v>0.23</v>
      </c>
      <c r="I93" s="11" t="s">
        <v>174</v>
      </c>
      <c r="J93" s="11">
        <v>147.96</v>
      </c>
      <c r="K93" s="11">
        <v>34.030799999999999</v>
      </c>
      <c r="L93" s="11" t="s">
        <v>53</v>
      </c>
      <c r="M93" s="11" t="s">
        <v>558</v>
      </c>
      <c r="N93" s="20">
        <v>30.39</v>
      </c>
      <c r="O93" s="20">
        <v>0</v>
      </c>
      <c r="P93" s="11" t="s">
        <v>541</v>
      </c>
      <c r="Q93" s="11" t="s">
        <v>467</v>
      </c>
      <c r="R93" s="11" t="s">
        <v>56</v>
      </c>
      <c r="S93" s="11" t="s">
        <v>57</v>
      </c>
      <c r="T93" s="11">
        <v>0</v>
      </c>
      <c r="U93" s="20">
        <v>132.11000000000001</v>
      </c>
      <c r="V93" s="11" t="s">
        <v>101</v>
      </c>
      <c r="W93" s="11" t="s">
        <v>102</v>
      </c>
      <c r="X93" s="21">
        <v>1</v>
      </c>
      <c r="Y93" s="11" t="s">
        <v>57</v>
      </c>
    </row>
    <row r="94" spans="1:25" x14ac:dyDescent="0.2">
      <c r="A94" s="19">
        <v>1055790</v>
      </c>
      <c r="B94" s="19" t="s">
        <v>578</v>
      </c>
      <c r="C94" s="19">
        <v>9079571</v>
      </c>
      <c r="D94" s="19" t="s">
        <v>616</v>
      </c>
      <c r="E94" s="19">
        <v>816910</v>
      </c>
      <c r="F94" s="11" t="s">
        <v>470</v>
      </c>
      <c r="G94" s="11" t="s">
        <v>471</v>
      </c>
      <c r="H94" s="22">
        <v>0.23</v>
      </c>
      <c r="I94" s="11" t="s">
        <v>174</v>
      </c>
      <c r="J94" s="11">
        <v>217.66</v>
      </c>
      <c r="K94" s="11">
        <v>50.061799999999998</v>
      </c>
      <c r="L94" s="11" t="s">
        <v>53</v>
      </c>
      <c r="M94" s="11" t="s">
        <v>558</v>
      </c>
      <c r="N94" s="20">
        <v>42.97</v>
      </c>
      <c r="O94" s="20">
        <v>0</v>
      </c>
      <c r="P94" s="11" t="s">
        <v>541</v>
      </c>
      <c r="Q94" s="11" t="s">
        <v>467</v>
      </c>
      <c r="R94" s="11" t="s">
        <v>56</v>
      </c>
      <c r="S94" s="11" t="s">
        <v>57</v>
      </c>
      <c r="T94" s="11">
        <v>0</v>
      </c>
      <c r="U94" s="20">
        <v>186.81</v>
      </c>
      <c r="V94" s="11" t="s">
        <v>101</v>
      </c>
      <c r="W94" s="11" t="s">
        <v>102</v>
      </c>
      <c r="X94" s="21">
        <v>1</v>
      </c>
      <c r="Y94" s="11" t="s">
        <v>57</v>
      </c>
    </row>
    <row r="95" spans="1:25" x14ac:dyDescent="0.2">
      <c r="A95" s="19">
        <v>1055790</v>
      </c>
      <c r="B95" s="19" t="s">
        <v>578</v>
      </c>
      <c r="C95" s="19">
        <v>9079571</v>
      </c>
      <c r="D95" s="19" t="s">
        <v>616</v>
      </c>
      <c r="E95" s="19">
        <v>816910</v>
      </c>
      <c r="F95" s="11" t="s">
        <v>479</v>
      </c>
      <c r="G95" s="11" t="s">
        <v>480</v>
      </c>
      <c r="H95" s="22">
        <v>0.23</v>
      </c>
      <c r="I95" s="11" t="s">
        <v>174</v>
      </c>
      <c r="J95" s="11">
        <v>147.96</v>
      </c>
      <c r="K95" s="11">
        <v>34.030799999999999</v>
      </c>
      <c r="L95" s="11" t="s">
        <v>53</v>
      </c>
      <c r="M95" s="11" t="s">
        <v>558</v>
      </c>
      <c r="N95" s="20">
        <v>34.03</v>
      </c>
      <c r="O95" s="20">
        <v>0</v>
      </c>
      <c r="P95" s="11" t="s">
        <v>541</v>
      </c>
      <c r="Q95" s="11" t="s">
        <v>474</v>
      </c>
      <c r="R95" s="11" t="s">
        <v>56</v>
      </c>
      <c r="S95" s="11" t="s">
        <v>57</v>
      </c>
      <c r="T95" s="11">
        <v>0</v>
      </c>
      <c r="U95" s="20">
        <v>147.96</v>
      </c>
      <c r="V95" s="11" t="s">
        <v>101</v>
      </c>
      <c r="W95" s="11" t="s">
        <v>102</v>
      </c>
      <c r="X95" s="21">
        <v>1</v>
      </c>
      <c r="Y95" s="11" t="s">
        <v>57</v>
      </c>
    </row>
    <row r="96" spans="1:25" x14ac:dyDescent="0.2">
      <c r="A96" s="19">
        <v>1055790</v>
      </c>
      <c r="B96" s="19" t="s">
        <v>572</v>
      </c>
      <c r="C96" s="19">
        <v>8307933</v>
      </c>
      <c r="D96" s="19" t="s">
        <v>616</v>
      </c>
      <c r="E96" s="19">
        <v>893387</v>
      </c>
      <c r="F96" s="11" t="s">
        <v>516</v>
      </c>
      <c r="G96" s="11" t="s">
        <v>517</v>
      </c>
      <c r="H96" s="22">
        <v>0.23</v>
      </c>
      <c r="I96" s="11" t="s">
        <v>518</v>
      </c>
      <c r="J96" s="11">
        <v>168.24</v>
      </c>
      <c r="K96" s="11">
        <v>38.6952</v>
      </c>
      <c r="L96" s="11" t="s">
        <v>53</v>
      </c>
      <c r="M96" s="11" t="s">
        <v>558</v>
      </c>
      <c r="N96" s="20">
        <v>27.8</v>
      </c>
      <c r="O96" s="20">
        <v>0</v>
      </c>
      <c r="P96" s="11" t="s">
        <v>541</v>
      </c>
      <c r="Q96" s="11" t="s">
        <v>450</v>
      </c>
      <c r="R96" s="11" t="s">
        <v>56</v>
      </c>
      <c r="S96" s="11" t="s">
        <v>57</v>
      </c>
      <c r="T96" s="11">
        <v>0</v>
      </c>
      <c r="U96" s="20">
        <v>120.86</v>
      </c>
      <c r="V96" s="11" t="s">
        <v>101</v>
      </c>
      <c r="W96" s="11" t="s">
        <v>102</v>
      </c>
      <c r="X96" s="21">
        <v>1</v>
      </c>
      <c r="Y96" s="11" t="s">
        <v>57</v>
      </c>
    </row>
    <row r="97" spans="1:25" x14ac:dyDescent="0.2">
      <c r="A97" s="19">
        <v>1055790</v>
      </c>
      <c r="B97" s="19" t="s">
        <v>574</v>
      </c>
      <c r="C97" s="19">
        <v>17425766</v>
      </c>
      <c r="D97" s="19" t="s">
        <v>616</v>
      </c>
      <c r="E97" s="19">
        <v>815390</v>
      </c>
      <c r="F97" s="11" t="s">
        <v>159</v>
      </c>
      <c r="G97" s="11" t="s">
        <v>160</v>
      </c>
      <c r="H97" s="22">
        <v>0.23</v>
      </c>
      <c r="I97" s="11" t="s">
        <v>140</v>
      </c>
      <c r="J97" s="11">
        <v>304.67</v>
      </c>
      <c r="K97" s="11">
        <v>70.074100000000001</v>
      </c>
      <c r="L97" s="11" t="s">
        <v>53</v>
      </c>
      <c r="M97" s="11" t="s">
        <v>611</v>
      </c>
      <c r="N97" s="20">
        <v>55.21</v>
      </c>
      <c r="O97" s="20">
        <v>0</v>
      </c>
      <c r="P97" s="11" t="s">
        <v>540</v>
      </c>
      <c r="Q97" s="11" t="s">
        <v>105</v>
      </c>
      <c r="R97" s="11" t="s">
        <v>56</v>
      </c>
      <c r="S97" s="11" t="s">
        <v>57</v>
      </c>
      <c r="T97" s="11">
        <v>0</v>
      </c>
      <c r="U97" s="20">
        <v>240.03</v>
      </c>
      <c r="V97" s="11" t="s">
        <v>101</v>
      </c>
      <c r="W97" s="11" t="s">
        <v>102</v>
      </c>
      <c r="X97" s="21">
        <v>1</v>
      </c>
      <c r="Y97" s="11" t="s">
        <v>57</v>
      </c>
    </row>
    <row r="98" spans="1:25" x14ac:dyDescent="0.2">
      <c r="A98" s="19">
        <v>1055790</v>
      </c>
      <c r="B98" s="19" t="s">
        <v>572</v>
      </c>
      <c r="C98" s="19">
        <v>8307933</v>
      </c>
      <c r="D98" s="19" t="s">
        <v>616</v>
      </c>
      <c r="E98" s="19">
        <v>893387</v>
      </c>
      <c r="F98" s="11" t="s">
        <v>71</v>
      </c>
      <c r="G98" s="11" t="s">
        <v>72</v>
      </c>
      <c r="H98" s="22">
        <v>0.23</v>
      </c>
      <c r="I98" s="11" t="s">
        <v>52</v>
      </c>
      <c r="J98" s="11">
        <v>176.91</v>
      </c>
      <c r="K98" s="11">
        <v>40.689300000000003</v>
      </c>
      <c r="L98" s="11" t="s">
        <v>53</v>
      </c>
      <c r="M98" s="11" t="s">
        <v>558</v>
      </c>
      <c r="N98" s="20">
        <v>40.69</v>
      </c>
      <c r="O98" s="20">
        <v>0</v>
      </c>
      <c r="P98" s="11" t="s">
        <v>540</v>
      </c>
      <c r="Q98" s="11" t="s">
        <v>70</v>
      </c>
      <c r="R98" s="11" t="s">
        <v>56</v>
      </c>
      <c r="S98" s="11" t="s">
        <v>57</v>
      </c>
      <c r="T98" s="11">
        <v>0</v>
      </c>
      <c r="U98" s="20">
        <v>176.91</v>
      </c>
      <c r="V98" s="11" t="s">
        <v>61</v>
      </c>
      <c r="W98" s="11" t="s">
        <v>62</v>
      </c>
      <c r="X98" s="21">
        <v>1</v>
      </c>
      <c r="Y98" s="11" t="s">
        <v>57</v>
      </c>
    </row>
    <row r="99" spans="1:25" x14ac:dyDescent="0.2">
      <c r="A99" s="19">
        <v>1055790</v>
      </c>
      <c r="B99" s="19" t="s">
        <v>572</v>
      </c>
      <c r="C99" s="19">
        <v>8307933</v>
      </c>
      <c r="D99" s="19" t="s">
        <v>616</v>
      </c>
      <c r="E99" s="19">
        <v>893387</v>
      </c>
      <c r="F99" s="11" t="s">
        <v>81</v>
      </c>
      <c r="G99" s="11" t="s">
        <v>82</v>
      </c>
      <c r="H99" s="22">
        <v>0.23</v>
      </c>
      <c r="I99" s="11" t="s">
        <v>52</v>
      </c>
      <c r="J99" s="11">
        <v>207.5</v>
      </c>
      <c r="K99" s="11">
        <v>47.725000000000001</v>
      </c>
      <c r="L99" s="11" t="s">
        <v>53</v>
      </c>
      <c r="M99" s="11" t="s">
        <v>558</v>
      </c>
      <c r="N99" s="20">
        <v>47.73</v>
      </c>
      <c r="O99" s="20">
        <v>0</v>
      </c>
      <c r="P99" s="11" t="s">
        <v>540</v>
      </c>
      <c r="Q99" s="11" t="s">
        <v>76</v>
      </c>
      <c r="R99" s="11" t="s">
        <v>56</v>
      </c>
      <c r="S99" s="11" t="s">
        <v>57</v>
      </c>
      <c r="T99" s="11">
        <v>0</v>
      </c>
      <c r="U99" s="20">
        <v>207.5</v>
      </c>
      <c r="V99" s="11" t="s">
        <v>61</v>
      </c>
      <c r="W99" s="11" t="s">
        <v>62</v>
      </c>
      <c r="X99" s="21">
        <v>1</v>
      </c>
      <c r="Y99" s="11" t="s">
        <v>57</v>
      </c>
    </row>
    <row r="100" spans="1:25" x14ac:dyDescent="0.2">
      <c r="A100" s="19">
        <v>1055790</v>
      </c>
      <c r="B100" s="19" t="s">
        <v>572</v>
      </c>
      <c r="C100" s="19">
        <v>8307933</v>
      </c>
      <c r="D100" s="19" t="s">
        <v>616</v>
      </c>
      <c r="E100" s="19">
        <v>893387</v>
      </c>
      <c r="F100" s="11" t="s">
        <v>83</v>
      </c>
      <c r="G100" s="11" t="s">
        <v>84</v>
      </c>
      <c r="H100" s="22">
        <v>0.23</v>
      </c>
      <c r="I100" s="11" t="s">
        <v>52</v>
      </c>
      <c r="J100" s="11">
        <v>176.91</v>
      </c>
      <c r="K100" s="11">
        <v>40.689300000000003</v>
      </c>
      <c r="L100" s="11" t="s">
        <v>53</v>
      </c>
      <c r="M100" s="11" t="s">
        <v>558</v>
      </c>
      <c r="N100" s="20">
        <v>40.69</v>
      </c>
      <c r="O100" s="20">
        <v>0</v>
      </c>
      <c r="P100" s="11" t="s">
        <v>540</v>
      </c>
      <c r="Q100" s="11" t="s">
        <v>76</v>
      </c>
      <c r="R100" s="11" t="s">
        <v>56</v>
      </c>
      <c r="S100" s="11" t="s">
        <v>57</v>
      </c>
      <c r="T100" s="11">
        <v>0</v>
      </c>
      <c r="U100" s="20">
        <v>176.91</v>
      </c>
      <c r="V100" s="11" t="s">
        <v>61</v>
      </c>
      <c r="W100" s="11" t="s">
        <v>62</v>
      </c>
      <c r="X100" s="21">
        <v>1</v>
      </c>
      <c r="Y100" s="11" t="s">
        <v>57</v>
      </c>
    </row>
    <row r="101" spans="1:25" x14ac:dyDescent="0.2">
      <c r="A101" s="19">
        <v>1055790</v>
      </c>
      <c r="B101" s="19" t="s">
        <v>572</v>
      </c>
      <c r="C101" s="19">
        <v>8307933</v>
      </c>
      <c r="D101" s="19" t="s">
        <v>616</v>
      </c>
      <c r="E101" s="19">
        <v>893387</v>
      </c>
      <c r="F101" s="11" t="s">
        <v>85</v>
      </c>
      <c r="G101" s="11" t="s">
        <v>86</v>
      </c>
      <c r="H101" s="22">
        <v>0.23</v>
      </c>
      <c r="I101" s="11" t="s">
        <v>52</v>
      </c>
      <c r="J101" s="11">
        <v>180.14</v>
      </c>
      <c r="K101" s="11">
        <v>41.432199999999995</v>
      </c>
      <c r="L101" s="11" t="s">
        <v>53</v>
      </c>
      <c r="M101" s="11" t="s">
        <v>558</v>
      </c>
      <c r="N101" s="20">
        <v>41.43</v>
      </c>
      <c r="O101" s="20">
        <v>0</v>
      </c>
      <c r="P101" s="11" t="s">
        <v>540</v>
      </c>
      <c r="Q101" s="11" t="s">
        <v>87</v>
      </c>
      <c r="R101" s="11" t="s">
        <v>56</v>
      </c>
      <c r="S101" s="11" t="s">
        <v>57</v>
      </c>
      <c r="T101" s="11">
        <v>0</v>
      </c>
      <c r="U101" s="20">
        <v>180.14</v>
      </c>
      <c r="V101" s="11" t="s">
        <v>61</v>
      </c>
      <c r="W101" s="11" t="s">
        <v>62</v>
      </c>
      <c r="X101" s="21">
        <v>1</v>
      </c>
      <c r="Y101" s="11" t="s">
        <v>57</v>
      </c>
    </row>
    <row r="102" spans="1:25" x14ac:dyDescent="0.2">
      <c r="A102" s="19">
        <v>1055790</v>
      </c>
      <c r="B102" s="19" t="s">
        <v>573</v>
      </c>
      <c r="C102" s="19">
        <v>18828278</v>
      </c>
      <c r="D102" s="19" t="s">
        <v>616</v>
      </c>
      <c r="E102" s="19">
        <v>1174646</v>
      </c>
      <c r="F102" s="11" t="s">
        <v>90</v>
      </c>
      <c r="G102" s="11" t="s">
        <v>91</v>
      </c>
      <c r="H102" s="22">
        <v>0.23</v>
      </c>
      <c r="I102" s="11" t="s">
        <v>52</v>
      </c>
      <c r="J102" s="11">
        <v>129.38999999999999</v>
      </c>
      <c r="K102" s="11">
        <v>29.759699999999995</v>
      </c>
      <c r="L102" s="11" t="s">
        <v>92</v>
      </c>
      <c r="M102" s="11" t="s">
        <v>558</v>
      </c>
      <c r="N102" s="20">
        <v>29.76</v>
      </c>
      <c r="O102" s="20">
        <v>0</v>
      </c>
      <c r="P102" s="11" t="s">
        <v>540</v>
      </c>
      <c r="Q102" s="11" t="s">
        <v>93</v>
      </c>
      <c r="R102" s="11" t="s">
        <v>56</v>
      </c>
      <c r="S102" s="11" t="s">
        <v>57</v>
      </c>
      <c r="T102" s="11">
        <v>0</v>
      </c>
      <c r="U102" s="20">
        <v>129.38999999999999</v>
      </c>
      <c r="V102" s="11" t="s">
        <v>61</v>
      </c>
      <c r="W102" s="11" t="s">
        <v>62</v>
      </c>
      <c r="X102" s="21">
        <v>1</v>
      </c>
      <c r="Y102" s="11" t="s">
        <v>57</v>
      </c>
    </row>
    <row r="103" spans="1:25" x14ac:dyDescent="0.2">
      <c r="A103" s="19">
        <v>1055790</v>
      </c>
      <c r="B103" s="19" t="s">
        <v>573</v>
      </c>
      <c r="C103" s="19">
        <v>18828278</v>
      </c>
      <c r="D103" s="19" t="s">
        <v>616</v>
      </c>
      <c r="E103" s="19">
        <v>1174646</v>
      </c>
      <c r="F103" s="11" t="s">
        <v>94</v>
      </c>
      <c r="G103" s="11" t="s">
        <v>95</v>
      </c>
      <c r="H103" s="22">
        <v>0.23</v>
      </c>
      <c r="I103" s="11" t="s">
        <v>52</v>
      </c>
      <c r="J103" s="11">
        <v>128.66999999999999</v>
      </c>
      <c r="K103" s="11">
        <v>29.594099999999994</v>
      </c>
      <c r="L103" s="11" t="s">
        <v>53</v>
      </c>
      <c r="M103" s="11" t="s">
        <v>558</v>
      </c>
      <c r="N103" s="20">
        <v>29.59</v>
      </c>
      <c r="O103" s="20">
        <v>0</v>
      </c>
      <c r="P103" s="11" t="s">
        <v>540</v>
      </c>
      <c r="Q103" s="11" t="s">
        <v>96</v>
      </c>
      <c r="R103" s="11" t="s">
        <v>56</v>
      </c>
      <c r="S103" s="11" t="s">
        <v>57</v>
      </c>
      <c r="T103" s="11">
        <v>0</v>
      </c>
      <c r="U103" s="20">
        <v>128.66999999999999</v>
      </c>
      <c r="V103" s="11" t="s">
        <v>61</v>
      </c>
      <c r="W103" s="11" t="s">
        <v>62</v>
      </c>
      <c r="X103" s="21">
        <v>1</v>
      </c>
      <c r="Y103" s="11" t="s">
        <v>57</v>
      </c>
    </row>
    <row r="104" spans="1:25" x14ac:dyDescent="0.2">
      <c r="A104" s="19">
        <v>1055790</v>
      </c>
      <c r="B104" s="19" t="s">
        <v>573</v>
      </c>
      <c r="C104" s="19">
        <v>18828278</v>
      </c>
      <c r="D104" s="19" t="s">
        <v>616</v>
      </c>
      <c r="E104" s="19">
        <v>1174646</v>
      </c>
      <c r="F104" s="11" t="s">
        <v>97</v>
      </c>
      <c r="G104" s="11" t="s">
        <v>98</v>
      </c>
      <c r="H104" s="22">
        <v>0.23</v>
      </c>
      <c r="I104" s="11" t="s">
        <v>52</v>
      </c>
      <c r="J104" s="11">
        <v>239.28</v>
      </c>
      <c r="K104" s="11">
        <v>55.034399999999991</v>
      </c>
      <c r="L104" s="11" t="s">
        <v>99</v>
      </c>
      <c r="M104" s="11" t="s">
        <v>558</v>
      </c>
      <c r="N104" s="20">
        <v>38.049999999999997</v>
      </c>
      <c r="O104" s="20">
        <v>0</v>
      </c>
      <c r="P104" s="11" t="s">
        <v>540</v>
      </c>
      <c r="Q104" s="11" t="s">
        <v>100</v>
      </c>
      <c r="R104" s="11" t="s">
        <v>56</v>
      </c>
      <c r="S104" s="11" t="s">
        <v>57</v>
      </c>
      <c r="T104" s="11">
        <v>0</v>
      </c>
      <c r="U104" s="20">
        <v>165.45</v>
      </c>
      <c r="V104" s="11" t="s">
        <v>101</v>
      </c>
      <c r="W104" s="11" t="s">
        <v>102</v>
      </c>
      <c r="X104" s="21">
        <v>1</v>
      </c>
      <c r="Y104" s="11" t="s">
        <v>57</v>
      </c>
    </row>
    <row r="105" spans="1:25" x14ac:dyDescent="0.2">
      <c r="A105" s="19">
        <v>1055790</v>
      </c>
      <c r="B105" s="19" t="s">
        <v>573</v>
      </c>
      <c r="C105" s="19">
        <v>18828278</v>
      </c>
      <c r="D105" s="19" t="s">
        <v>616</v>
      </c>
      <c r="E105" s="19">
        <v>1174646</v>
      </c>
      <c r="F105" s="11" t="s">
        <v>103</v>
      </c>
      <c r="G105" s="11" t="s">
        <v>104</v>
      </c>
      <c r="H105" s="22">
        <v>0.23</v>
      </c>
      <c r="I105" s="11" t="s">
        <v>52</v>
      </c>
      <c r="J105" s="11">
        <v>197.12</v>
      </c>
      <c r="K105" s="11">
        <v>45.337600000000002</v>
      </c>
      <c r="L105" s="11" t="s">
        <v>99</v>
      </c>
      <c r="M105" s="11" t="s">
        <v>558</v>
      </c>
      <c r="N105" s="20">
        <v>31.28</v>
      </c>
      <c r="O105" s="20">
        <v>0</v>
      </c>
      <c r="P105" s="11" t="s">
        <v>540</v>
      </c>
      <c r="Q105" s="11" t="s">
        <v>105</v>
      </c>
      <c r="R105" s="11" t="s">
        <v>56</v>
      </c>
      <c r="S105" s="11" t="s">
        <v>57</v>
      </c>
      <c r="T105" s="11">
        <v>0</v>
      </c>
      <c r="U105" s="20">
        <v>136.01</v>
      </c>
      <c r="V105" s="11" t="s">
        <v>101</v>
      </c>
      <c r="W105" s="11" t="s">
        <v>102</v>
      </c>
      <c r="X105" s="21">
        <v>1</v>
      </c>
      <c r="Y105" s="11" t="s">
        <v>57</v>
      </c>
    </row>
    <row r="106" spans="1:25" x14ac:dyDescent="0.2">
      <c r="A106" s="19">
        <v>1055790</v>
      </c>
      <c r="B106" s="19" t="s">
        <v>573</v>
      </c>
      <c r="C106" s="19">
        <v>18828278</v>
      </c>
      <c r="D106" s="19" t="s">
        <v>616</v>
      </c>
      <c r="E106" s="19">
        <v>1174646</v>
      </c>
      <c r="F106" s="11" t="s">
        <v>106</v>
      </c>
      <c r="G106" s="11" t="s">
        <v>107</v>
      </c>
      <c r="H106" s="22">
        <v>0.23</v>
      </c>
      <c r="I106" s="11" t="s">
        <v>52</v>
      </c>
      <c r="J106" s="11">
        <v>168.49</v>
      </c>
      <c r="K106" s="11">
        <v>38.752700000000004</v>
      </c>
      <c r="L106" s="11" t="s">
        <v>99</v>
      </c>
      <c r="M106" s="11" t="s">
        <v>558</v>
      </c>
      <c r="N106" s="20">
        <v>27.18</v>
      </c>
      <c r="O106" s="20">
        <v>0</v>
      </c>
      <c r="P106" s="11" t="s">
        <v>540</v>
      </c>
      <c r="Q106" s="11" t="s">
        <v>105</v>
      </c>
      <c r="R106" s="11" t="s">
        <v>56</v>
      </c>
      <c r="S106" s="11" t="s">
        <v>57</v>
      </c>
      <c r="T106" s="11">
        <v>0</v>
      </c>
      <c r="U106" s="20">
        <v>118.19</v>
      </c>
      <c r="V106" s="11" t="s">
        <v>101</v>
      </c>
      <c r="W106" s="11" t="s">
        <v>102</v>
      </c>
      <c r="X106" s="21">
        <v>1</v>
      </c>
      <c r="Y106" s="11" t="s">
        <v>57</v>
      </c>
    </row>
    <row r="107" spans="1:25" x14ac:dyDescent="0.2">
      <c r="A107" s="19">
        <v>1055790</v>
      </c>
      <c r="B107" s="19" t="s">
        <v>573</v>
      </c>
      <c r="C107" s="19">
        <v>18828278</v>
      </c>
      <c r="D107" s="19" t="s">
        <v>616</v>
      </c>
      <c r="E107" s="19">
        <v>1174646</v>
      </c>
      <c r="F107" s="11" t="s">
        <v>108</v>
      </c>
      <c r="G107" s="11" t="s">
        <v>109</v>
      </c>
      <c r="H107" s="22">
        <v>0.23</v>
      </c>
      <c r="I107" s="11" t="s">
        <v>52</v>
      </c>
      <c r="J107" s="11">
        <v>180.14</v>
      </c>
      <c r="K107" s="11">
        <v>41.432199999999995</v>
      </c>
      <c r="L107" s="11" t="s">
        <v>53</v>
      </c>
      <c r="M107" s="11" t="s">
        <v>558</v>
      </c>
      <c r="N107" s="20">
        <v>29.59</v>
      </c>
      <c r="O107" s="20">
        <v>0</v>
      </c>
      <c r="P107" s="11" t="s">
        <v>540</v>
      </c>
      <c r="Q107" s="11" t="s">
        <v>105</v>
      </c>
      <c r="R107" s="11" t="s">
        <v>56</v>
      </c>
      <c r="S107" s="11" t="s">
        <v>57</v>
      </c>
      <c r="T107" s="11">
        <v>0</v>
      </c>
      <c r="U107" s="20">
        <v>128.66999999999999</v>
      </c>
      <c r="V107" s="11" t="s">
        <v>101</v>
      </c>
      <c r="W107" s="11" t="s">
        <v>102</v>
      </c>
      <c r="X107" s="21">
        <v>1</v>
      </c>
      <c r="Y107" s="11" t="s">
        <v>57</v>
      </c>
    </row>
    <row r="108" spans="1:25" x14ac:dyDescent="0.2">
      <c r="A108" s="19">
        <v>1055790</v>
      </c>
      <c r="B108" s="19" t="s">
        <v>588</v>
      </c>
      <c r="C108" s="19">
        <v>8325282</v>
      </c>
      <c r="D108" s="19" t="s">
        <v>616</v>
      </c>
      <c r="E108" s="19">
        <v>513364</v>
      </c>
      <c r="F108" s="11" t="s">
        <v>111</v>
      </c>
      <c r="G108" s="11" t="s">
        <v>112</v>
      </c>
      <c r="H108" s="22">
        <v>0.23</v>
      </c>
      <c r="I108" s="11" t="s">
        <v>52</v>
      </c>
      <c r="J108" s="11">
        <v>176.91</v>
      </c>
      <c r="K108" s="11">
        <v>40.689300000000003</v>
      </c>
      <c r="L108" s="11" t="s">
        <v>53</v>
      </c>
      <c r="M108" s="11" t="s">
        <v>558</v>
      </c>
      <c r="N108" s="20">
        <v>29.06</v>
      </c>
      <c r="O108" s="20">
        <v>0</v>
      </c>
      <c r="P108" s="11" t="s">
        <v>540</v>
      </c>
      <c r="Q108" s="11" t="s">
        <v>105</v>
      </c>
      <c r="R108" s="11" t="s">
        <v>56</v>
      </c>
      <c r="S108" s="11" t="s">
        <v>57</v>
      </c>
      <c r="T108" s="11">
        <v>0</v>
      </c>
      <c r="U108" s="20">
        <v>126.36</v>
      </c>
      <c r="V108" s="11" t="s">
        <v>101</v>
      </c>
      <c r="W108" s="11" t="s">
        <v>102</v>
      </c>
      <c r="X108" s="21">
        <v>1</v>
      </c>
      <c r="Y108" s="11" t="s">
        <v>57</v>
      </c>
    </row>
    <row r="109" spans="1:25" x14ac:dyDescent="0.2">
      <c r="A109" s="19">
        <v>1055790</v>
      </c>
      <c r="B109" s="19" t="s">
        <v>572</v>
      </c>
      <c r="C109" s="19">
        <v>8307933</v>
      </c>
      <c r="D109" s="19" t="s">
        <v>616</v>
      </c>
      <c r="E109" s="19">
        <v>893387</v>
      </c>
      <c r="F109" s="11" t="s">
        <v>117</v>
      </c>
      <c r="G109" s="11" t="s">
        <v>118</v>
      </c>
      <c r="H109" s="22">
        <v>0.23</v>
      </c>
      <c r="I109" s="11" t="s">
        <v>52</v>
      </c>
      <c r="J109" s="11">
        <v>220.01</v>
      </c>
      <c r="K109" s="11">
        <v>50.6023</v>
      </c>
      <c r="L109" s="11" t="s">
        <v>53</v>
      </c>
      <c r="M109" s="11" t="s">
        <v>558</v>
      </c>
      <c r="N109" s="20">
        <v>34.909999999999997</v>
      </c>
      <c r="O109" s="20">
        <v>0</v>
      </c>
      <c r="P109" s="11" t="s">
        <v>540</v>
      </c>
      <c r="Q109" s="11" t="s">
        <v>119</v>
      </c>
      <c r="R109" s="11" t="s">
        <v>56</v>
      </c>
      <c r="S109" s="11" t="s">
        <v>57</v>
      </c>
      <c r="T109" s="11">
        <v>0</v>
      </c>
      <c r="U109" s="20">
        <v>151.78</v>
      </c>
      <c r="V109" s="11" t="s">
        <v>101</v>
      </c>
      <c r="W109" s="11" t="s">
        <v>102</v>
      </c>
      <c r="X109" s="21">
        <v>1</v>
      </c>
      <c r="Y109" s="11" t="s">
        <v>57</v>
      </c>
    </row>
    <row r="110" spans="1:25" x14ac:dyDescent="0.2">
      <c r="A110" s="19">
        <v>1055790</v>
      </c>
      <c r="B110" s="19" t="s">
        <v>572</v>
      </c>
      <c r="C110" s="19">
        <v>8307933</v>
      </c>
      <c r="D110" s="19" t="s">
        <v>616</v>
      </c>
      <c r="E110" s="19">
        <v>893387</v>
      </c>
      <c r="F110" s="11" t="s">
        <v>120</v>
      </c>
      <c r="G110" s="11" t="s">
        <v>121</v>
      </c>
      <c r="H110" s="22">
        <v>0.23</v>
      </c>
      <c r="I110" s="11" t="s">
        <v>52</v>
      </c>
      <c r="J110" s="11">
        <v>142.80000000000001</v>
      </c>
      <c r="K110" s="11">
        <v>32.844000000000001</v>
      </c>
      <c r="L110" s="11" t="s">
        <v>53</v>
      </c>
      <c r="M110" s="11" t="s">
        <v>558</v>
      </c>
      <c r="N110" s="20">
        <v>29.33</v>
      </c>
      <c r="O110" s="20">
        <v>0</v>
      </c>
      <c r="P110" s="11" t="s">
        <v>540</v>
      </c>
      <c r="Q110" s="11" t="s">
        <v>122</v>
      </c>
      <c r="R110" s="11" t="s">
        <v>56</v>
      </c>
      <c r="S110" s="11" t="s">
        <v>57</v>
      </c>
      <c r="T110" s="11">
        <v>0</v>
      </c>
      <c r="U110" s="20">
        <v>127.5</v>
      </c>
      <c r="V110" s="11" t="s">
        <v>101</v>
      </c>
      <c r="W110" s="11" t="s">
        <v>102</v>
      </c>
      <c r="X110" s="21">
        <v>1</v>
      </c>
      <c r="Y110" s="11" t="s">
        <v>57</v>
      </c>
    </row>
    <row r="111" spans="1:25" x14ac:dyDescent="0.2">
      <c r="A111" s="19">
        <v>1055790</v>
      </c>
      <c r="B111" s="19" t="s">
        <v>583</v>
      </c>
      <c r="C111" s="19">
        <v>5442438</v>
      </c>
      <c r="D111" s="19" t="s">
        <v>616</v>
      </c>
      <c r="E111" s="19">
        <v>899216</v>
      </c>
      <c r="F111" s="11" t="s">
        <v>390</v>
      </c>
      <c r="G111" s="11" t="s">
        <v>391</v>
      </c>
      <c r="H111" s="22">
        <v>2.5000000000000001E-2</v>
      </c>
      <c r="I111" s="11" t="s">
        <v>174</v>
      </c>
      <c r="J111" s="11">
        <v>154.37</v>
      </c>
      <c r="K111" s="11">
        <v>3.8592500000000003</v>
      </c>
      <c r="L111" s="11" t="s">
        <v>53</v>
      </c>
      <c r="M111" s="11" t="s">
        <v>610</v>
      </c>
      <c r="N111" s="20">
        <v>3.86</v>
      </c>
      <c r="O111" s="20">
        <v>0</v>
      </c>
      <c r="P111" s="11" t="s">
        <v>557</v>
      </c>
      <c r="Q111" s="11" t="s">
        <v>392</v>
      </c>
      <c r="R111" s="11" t="s">
        <v>56</v>
      </c>
      <c r="S111" s="11" t="s">
        <v>57</v>
      </c>
      <c r="T111" s="11">
        <v>0</v>
      </c>
      <c r="U111" s="20">
        <v>154.37</v>
      </c>
      <c r="V111" s="11" t="s">
        <v>61</v>
      </c>
      <c r="W111" s="11" t="s">
        <v>62</v>
      </c>
      <c r="X111" s="21">
        <v>1</v>
      </c>
      <c r="Y111" s="11" t="s">
        <v>57</v>
      </c>
    </row>
    <row r="112" spans="1:25" x14ac:dyDescent="0.2">
      <c r="A112" s="19">
        <v>1055790</v>
      </c>
      <c r="B112" s="19" t="s">
        <v>594</v>
      </c>
      <c r="C112" s="19">
        <v>16212649</v>
      </c>
      <c r="D112" s="19" t="s">
        <v>616</v>
      </c>
      <c r="E112" s="19">
        <v>821331</v>
      </c>
      <c r="F112" s="11" t="s">
        <v>146</v>
      </c>
      <c r="G112" s="11" t="s">
        <v>147</v>
      </c>
      <c r="H112" s="22">
        <v>2.5000000000000001E-2</v>
      </c>
      <c r="I112" s="11" t="s">
        <v>140</v>
      </c>
      <c r="J112" s="11">
        <v>138.46</v>
      </c>
      <c r="K112" s="11">
        <v>3.4615</v>
      </c>
      <c r="L112" s="11" t="s">
        <v>53</v>
      </c>
      <c r="M112" s="11" t="s">
        <v>600</v>
      </c>
      <c r="N112" s="20">
        <v>2.81</v>
      </c>
      <c r="O112" s="20">
        <v>0</v>
      </c>
      <c r="P112" s="11" t="s">
        <v>557</v>
      </c>
      <c r="Q112" s="11" t="s">
        <v>148</v>
      </c>
      <c r="R112" s="11" t="s">
        <v>56</v>
      </c>
      <c r="S112" s="11" t="s">
        <v>57</v>
      </c>
      <c r="T112" s="11">
        <v>0</v>
      </c>
      <c r="U112" s="20">
        <v>112.52</v>
      </c>
      <c r="V112" s="11" t="s">
        <v>101</v>
      </c>
      <c r="W112" s="11" t="s">
        <v>102</v>
      </c>
      <c r="X112" s="21">
        <v>1</v>
      </c>
      <c r="Y112" s="11" t="s">
        <v>57</v>
      </c>
    </row>
    <row r="113" spans="1:25" x14ac:dyDescent="0.2">
      <c r="A113" s="19">
        <v>1055790</v>
      </c>
      <c r="B113" s="19" t="s">
        <v>578</v>
      </c>
      <c r="C113" s="19">
        <v>9079571</v>
      </c>
      <c r="D113" s="19" t="s">
        <v>616</v>
      </c>
      <c r="E113" s="19">
        <v>816910</v>
      </c>
      <c r="F113" s="11" t="s">
        <v>425</v>
      </c>
      <c r="G113" s="11" t="s">
        <v>426</v>
      </c>
      <c r="H113" s="22">
        <v>0.27</v>
      </c>
      <c r="I113" s="11" t="s">
        <v>174</v>
      </c>
      <c r="J113" s="11">
        <v>78.319999999999993</v>
      </c>
      <c r="K113" s="11">
        <v>21.1464</v>
      </c>
      <c r="L113" s="11" t="s">
        <v>53</v>
      </c>
      <c r="M113" s="11" t="s">
        <v>599</v>
      </c>
      <c r="N113" s="20">
        <v>16.93</v>
      </c>
      <c r="O113" s="20">
        <v>0</v>
      </c>
      <c r="P113" s="11" t="s">
        <v>565</v>
      </c>
      <c r="Q113" s="11" t="s">
        <v>105</v>
      </c>
      <c r="R113" s="11" t="s">
        <v>56</v>
      </c>
      <c r="S113" s="11" t="s">
        <v>57</v>
      </c>
      <c r="T113" s="11">
        <v>0</v>
      </c>
      <c r="U113" s="20">
        <v>62.69</v>
      </c>
      <c r="V113" s="11" t="s">
        <v>101</v>
      </c>
      <c r="W113" s="11" t="s">
        <v>102</v>
      </c>
      <c r="X113" s="21">
        <v>1</v>
      </c>
      <c r="Y113" s="11" t="s">
        <v>57</v>
      </c>
    </row>
    <row r="114" spans="1:25" x14ac:dyDescent="0.2">
      <c r="A114" s="19">
        <v>1055790</v>
      </c>
      <c r="B114" s="19" t="s">
        <v>594</v>
      </c>
      <c r="C114" s="19">
        <v>16212649</v>
      </c>
      <c r="D114" s="19" t="s">
        <v>616</v>
      </c>
      <c r="E114" s="19">
        <v>821331</v>
      </c>
      <c r="F114" s="11" t="s">
        <v>143</v>
      </c>
      <c r="G114" s="11" t="s">
        <v>144</v>
      </c>
      <c r="H114" s="22">
        <v>0.27</v>
      </c>
      <c r="I114" s="11" t="s">
        <v>140</v>
      </c>
      <c r="J114" s="11">
        <v>120.4</v>
      </c>
      <c r="K114" s="11">
        <v>32.508000000000003</v>
      </c>
      <c r="L114" s="11" t="s">
        <v>53</v>
      </c>
      <c r="M114" s="11" t="s">
        <v>600</v>
      </c>
      <c r="N114" s="20">
        <v>28.27</v>
      </c>
      <c r="O114" s="20">
        <v>0</v>
      </c>
      <c r="P114" s="11" t="s">
        <v>565</v>
      </c>
      <c r="Q114" s="11" t="s">
        <v>119</v>
      </c>
      <c r="R114" s="11" t="s">
        <v>56</v>
      </c>
      <c r="S114" s="11" t="s">
        <v>57</v>
      </c>
      <c r="T114" s="11">
        <v>0</v>
      </c>
      <c r="U114" s="20">
        <v>104.7</v>
      </c>
      <c r="V114" s="11" t="s">
        <v>101</v>
      </c>
      <c r="W114" s="11" t="s">
        <v>102</v>
      </c>
      <c r="X114" s="21">
        <v>1</v>
      </c>
      <c r="Y114" s="11" t="s">
        <v>57</v>
      </c>
    </row>
    <row r="115" spans="1:25" x14ac:dyDescent="0.2">
      <c r="A115" s="19">
        <v>1055790</v>
      </c>
      <c r="B115" s="19" t="s">
        <v>578</v>
      </c>
      <c r="C115" s="19">
        <v>9079571</v>
      </c>
      <c r="D115" s="19" t="s">
        <v>616</v>
      </c>
      <c r="E115" s="19">
        <v>816910</v>
      </c>
      <c r="F115" s="11" t="s">
        <v>408</v>
      </c>
      <c r="G115" s="11" t="s">
        <v>409</v>
      </c>
      <c r="H115" s="22">
        <v>0.27</v>
      </c>
      <c r="I115" s="11" t="s">
        <v>174</v>
      </c>
      <c r="J115" s="11">
        <v>119.09</v>
      </c>
      <c r="K115" s="11">
        <v>32.154299999999999</v>
      </c>
      <c r="L115" s="11" t="s">
        <v>53</v>
      </c>
      <c r="M115" s="11" t="s">
        <v>600</v>
      </c>
      <c r="N115" s="20">
        <v>32.15</v>
      </c>
      <c r="O115" s="20">
        <v>0</v>
      </c>
      <c r="P115" s="11" t="s">
        <v>565</v>
      </c>
      <c r="Q115" s="11" t="s">
        <v>142</v>
      </c>
      <c r="R115" s="11" t="s">
        <v>56</v>
      </c>
      <c r="S115" s="11" t="s">
        <v>57</v>
      </c>
      <c r="T115" s="11">
        <v>0</v>
      </c>
      <c r="U115" s="20">
        <v>119.09</v>
      </c>
      <c r="V115" s="11" t="s">
        <v>101</v>
      </c>
      <c r="W115" s="11" t="s">
        <v>102</v>
      </c>
      <c r="X115" s="21">
        <v>1</v>
      </c>
      <c r="Y115" s="11" t="s">
        <v>57</v>
      </c>
    </row>
    <row r="116" spans="1:25" x14ac:dyDescent="0.2">
      <c r="A116" s="19">
        <v>1055790</v>
      </c>
      <c r="B116" s="19" t="s">
        <v>578</v>
      </c>
      <c r="C116" s="19">
        <v>9079571</v>
      </c>
      <c r="D116" s="19" t="s">
        <v>616</v>
      </c>
      <c r="E116" s="19">
        <v>816910</v>
      </c>
      <c r="F116" s="11" t="s">
        <v>416</v>
      </c>
      <c r="G116" s="11" t="s">
        <v>417</v>
      </c>
      <c r="H116" s="22">
        <v>0.27</v>
      </c>
      <c r="I116" s="11" t="s">
        <v>174</v>
      </c>
      <c r="J116" s="11">
        <v>144.47999999999999</v>
      </c>
      <c r="K116" s="11">
        <v>39.009599999999999</v>
      </c>
      <c r="L116" s="11" t="s">
        <v>53</v>
      </c>
      <c r="M116" s="11" t="s">
        <v>600</v>
      </c>
      <c r="N116" s="20">
        <v>32.54</v>
      </c>
      <c r="O116" s="20">
        <v>0</v>
      </c>
      <c r="P116" s="11" t="s">
        <v>565</v>
      </c>
      <c r="Q116" s="11" t="s">
        <v>418</v>
      </c>
      <c r="R116" s="11" t="s">
        <v>56</v>
      </c>
      <c r="S116" s="11" t="s">
        <v>57</v>
      </c>
      <c r="T116" s="11">
        <v>0</v>
      </c>
      <c r="U116" s="20">
        <v>120.5</v>
      </c>
      <c r="V116" s="11" t="s">
        <v>101</v>
      </c>
      <c r="W116" s="11" t="s">
        <v>102</v>
      </c>
      <c r="X116" s="21">
        <v>1</v>
      </c>
      <c r="Y116" s="11" t="s">
        <v>57</v>
      </c>
    </row>
    <row r="117" spans="1:25" x14ac:dyDescent="0.2">
      <c r="A117" s="19">
        <v>1055790</v>
      </c>
      <c r="B117" s="19" t="s">
        <v>578</v>
      </c>
      <c r="C117" s="19">
        <v>9079571</v>
      </c>
      <c r="D117" s="19" t="s">
        <v>616</v>
      </c>
      <c r="E117" s="19">
        <v>816910</v>
      </c>
      <c r="F117" s="11" t="s">
        <v>419</v>
      </c>
      <c r="G117" s="11" t="s">
        <v>420</v>
      </c>
      <c r="H117" s="22">
        <v>0.27</v>
      </c>
      <c r="I117" s="11" t="s">
        <v>174</v>
      </c>
      <c r="J117" s="11">
        <v>125.66</v>
      </c>
      <c r="K117" s="11">
        <v>33.928200000000004</v>
      </c>
      <c r="L117" s="11" t="s">
        <v>53</v>
      </c>
      <c r="M117" s="11" t="s">
        <v>600</v>
      </c>
      <c r="N117" s="20">
        <v>28.3</v>
      </c>
      <c r="O117" s="20">
        <v>0</v>
      </c>
      <c r="P117" s="11" t="s">
        <v>565</v>
      </c>
      <c r="Q117" s="11" t="s">
        <v>418</v>
      </c>
      <c r="R117" s="11" t="s">
        <v>56</v>
      </c>
      <c r="S117" s="11" t="s">
        <v>57</v>
      </c>
      <c r="T117" s="11">
        <v>0</v>
      </c>
      <c r="U117" s="20">
        <v>104.8</v>
      </c>
      <c r="V117" s="11" t="s">
        <v>101</v>
      </c>
      <c r="W117" s="11" t="s">
        <v>102</v>
      </c>
      <c r="X117" s="21">
        <v>1</v>
      </c>
      <c r="Y117" s="11" t="s">
        <v>57</v>
      </c>
    </row>
    <row r="118" spans="1:25" x14ac:dyDescent="0.2">
      <c r="A118" s="19">
        <v>1055790</v>
      </c>
      <c r="B118" s="19" t="s">
        <v>578</v>
      </c>
      <c r="C118" s="19">
        <v>9079571</v>
      </c>
      <c r="D118" s="19" t="s">
        <v>616</v>
      </c>
      <c r="E118" s="19">
        <v>816910</v>
      </c>
      <c r="F118" s="11" t="s">
        <v>430</v>
      </c>
      <c r="G118" s="11" t="s">
        <v>431</v>
      </c>
      <c r="H118" s="22">
        <v>0.27</v>
      </c>
      <c r="I118" s="11" t="s">
        <v>174</v>
      </c>
      <c r="J118" s="11">
        <v>119.09</v>
      </c>
      <c r="K118" s="11">
        <v>32.154299999999999</v>
      </c>
      <c r="L118" s="11" t="s">
        <v>53</v>
      </c>
      <c r="M118" s="11" t="s">
        <v>600</v>
      </c>
      <c r="N118" s="20">
        <v>27.08</v>
      </c>
      <c r="O118" s="20">
        <v>0</v>
      </c>
      <c r="P118" s="11" t="s">
        <v>565</v>
      </c>
      <c r="Q118" s="11" t="s">
        <v>432</v>
      </c>
      <c r="R118" s="11" t="s">
        <v>56</v>
      </c>
      <c r="S118" s="11" t="s">
        <v>57</v>
      </c>
      <c r="T118" s="11">
        <v>0</v>
      </c>
      <c r="U118" s="20">
        <v>100.3</v>
      </c>
      <c r="V118" s="11" t="s">
        <v>101</v>
      </c>
      <c r="W118" s="11" t="s">
        <v>102</v>
      </c>
      <c r="X118" s="21">
        <v>1</v>
      </c>
      <c r="Y118" s="11" t="s">
        <v>57</v>
      </c>
    </row>
    <row r="119" spans="1:25" x14ac:dyDescent="0.2">
      <c r="A119" s="19">
        <v>1055790</v>
      </c>
      <c r="B119" s="19" t="s">
        <v>578</v>
      </c>
      <c r="C119" s="19">
        <v>9079571</v>
      </c>
      <c r="D119" s="19" t="s">
        <v>616</v>
      </c>
      <c r="E119" s="19">
        <v>816910</v>
      </c>
      <c r="F119" s="11" t="s">
        <v>433</v>
      </c>
      <c r="G119" s="11" t="s">
        <v>434</v>
      </c>
      <c r="H119" s="22">
        <v>0.27</v>
      </c>
      <c r="I119" s="11" t="s">
        <v>174</v>
      </c>
      <c r="J119" s="11">
        <v>136.94</v>
      </c>
      <c r="K119" s="11">
        <v>36.973800000000004</v>
      </c>
      <c r="L119" s="11" t="s">
        <v>53</v>
      </c>
      <c r="M119" s="11" t="s">
        <v>600</v>
      </c>
      <c r="N119" s="20">
        <v>31.14</v>
      </c>
      <c r="O119" s="20">
        <v>0</v>
      </c>
      <c r="P119" s="11" t="s">
        <v>565</v>
      </c>
      <c r="Q119" s="11" t="s">
        <v>432</v>
      </c>
      <c r="R119" s="11" t="s">
        <v>56</v>
      </c>
      <c r="S119" s="11" t="s">
        <v>57</v>
      </c>
      <c r="T119" s="11">
        <v>0</v>
      </c>
      <c r="U119" s="20">
        <v>115.35</v>
      </c>
      <c r="V119" s="11" t="s">
        <v>101</v>
      </c>
      <c r="W119" s="11" t="s">
        <v>102</v>
      </c>
      <c r="X119" s="21">
        <v>1</v>
      </c>
      <c r="Y119" s="11" t="s">
        <v>57</v>
      </c>
    </row>
    <row r="120" spans="1:25" x14ac:dyDescent="0.2">
      <c r="A120" s="19">
        <v>1055790</v>
      </c>
      <c r="B120" s="19" t="s">
        <v>578</v>
      </c>
      <c r="C120" s="19">
        <v>9079571</v>
      </c>
      <c r="D120" s="19" t="s">
        <v>616</v>
      </c>
      <c r="E120" s="19">
        <v>816910</v>
      </c>
      <c r="F120" s="11" t="s">
        <v>435</v>
      </c>
      <c r="G120" s="11" t="s">
        <v>436</v>
      </c>
      <c r="H120" s="22">
        <v>0.27</v>
      </c>
      <c r="I120" s="11" t="s">
        <v>174</v>
      </c>
      <c r="J120" s="11">
        <v>150.91</v>
      </c>
      <c r="K120" s="11">
        <v>40.745699999999999</v>
      </c>
      <c r="L120" s="11" t="s">
        <v>169</v>
      </c>
      <c r="M120" s="11" t="s">
        <v>600</v>
      </c>
      <c r="N120" s="20">
        <v>128.80000000000001</v>
      </c>
      <c r="O120" s="20">
        <v>0</v>
      </c>
      <c r="P120" s="11" t="s">
        <v>565</v>
      </c>
      <c r="Q120" s="11" t="s">
        <v>152</v>
      </c>
      <c r="R120" s="11" t="s">
        <v>56</v>
      </c>
      <c r="S120" s="11" t="s">
        <v>57</v>
      </c>
      <c r="T120" s="11">
        <v>0</v>
      </c>
      <c r="U120" s="20">
        <v>477.08</v>
      </c>
      <c r="V120" s="11" t="s">
        <v>101</v>
      </c>
      <c r="W120" s="11" t="s">
        <v>102</v>
      </c>
      <c r="X120" s="21">
        <v>1</v>
      </c>
      <c r="Y120" s="11" t="s">
        <v>57</v>
      </c>
    </row>
    <row r="121" spans="1:25" x14ac:dyDescent="0.2">
      <c r="A121" s="19">
        <v>1055790</v>
      </c>
      <c r="B121" s="19" t="s">
        <v>578</v>
      </c>
      <c r="C121" s="19">
        <v>9079571</v>
      </c>
      <c r="D121" s="19" t="s">
        <v>616</v>
      </c>
      <c r="E121" s="19">
        <v>816910</v>
      </c>
      <c r="F121" s="11" t="s">
        <v>440</v>
      </c>
      <c r="G121" s="11" t="s">
        <v>441</v>
      </c>
      <c r="H121" s="22">
        <v>0.27</v>
      </c>
      <c r="I121" s="11" t="s">
        <v>174</v>
      </c>
      <c r="J121" s="11">
        <v>164.18</v>
      </c>
      <c r="K121" s="11">
        <v>44.328600000000009</v>
      </c>
      <c r="L121" s="11" t="s">
        <v>53</v>
      </c>
      <c r="M121" s="11" t="s">
        <v>600</v>
      </c>
      <c r="N121" s="20">
        <v>33.01</v>
      </c>
      <c r="O121" s="20">
        <v>0</v>
      </c>
      <c r="P121" s="11" t="s">
        <v>565</v>
      </c>
      <c r="Q121" s="11" t="s">
        <v>442</v>
      </c>
      <c r="R121" s="11" t="s">
        <v>56</v>
      </c>
      <c r="S121" s="11" t="s">
        <v>57</v>
      </c>
      <c r="T121" s="11">
        <v>0</v>
      </c>
      <c r="U121" s="20">
        <v>122.27</v>
      </c>
      <c r="V121" s="11" t="s">
        <v>101</v>
      </c>
      <c r="W121" s="11" t="s">
        <v>102</v>
      </c>
      <c r="X121" s="21">
        <v>1</v>
      </c>
      <c r="Y121" s="11" t="s">
        <v>57</v>
      </c>
    </row>
    <row r="122" spans="1:25" x14ac:dyDescent="0.2">
      <c r="A122" s="19">
        <v>1055790</v>
      </c>
      <c r="B122" s="19" t="s">
        <v>578</v>
      </c>
      <c r="C122" s="19">
        <v>9079571</v>
      </c>
      <c r="D122" s="19" t="s">
        <v>616</v>
      </c>
      <c r="E122" s="19">
        <v>816910</v>
      </c>
      <c r="F122" s="11" t="s">
        <v>443</v>
      </c>
      <c r="G122" s="11" t="s">
        <v>444</v>
      </c>
      <c r="H122" s="22">
        <v>0.27</v>
      </c>
      <c r="I122" s="11" t="s">
        <v>174</v>
      </c>
      <c r="J122" s="11">
        <v>164.18</v>
      </c>
      <c r="K122" s="11">
        <v>44.328600000000009</v>
      </c>
      <c r="L122" s="11" t="s">
        <v>53</v>
      </c>
      <c r="M122" s="11" t="s">
        <v>600</v>
      </c>
      <c r="N122" s="20">
        <v>33.01</v>
      </c>
      <c r="O122" s="20">
        <v>0</v>
      </c>
      <c r="P122" s="11" t="s">
        <v>565</v>
      </c>
      <c r="Q122" s="11" t="s">
        <v>445</v>
      </c>
      <c r="R122" s="11" t="s">
        <v>56</v>
      </c>
      <c r="S122" s="11" t="s">
        <v>57</v>
      </c>
      <c r="T122" s="11">
        <v>0</v>
      </c>
      <c r="U122" s="20">
        <v>122.27</v>
      </c>
      <c r="V122" s="11" t="s">
        <v>101</v>
      </c>
      <c r="W122" s="11" t="s">
        <v>102</v>
      </c>
      <c r="X122" s="21">
        <v>1</v>
      </c>
      <c r="Y122" s="11" t="s">
        <v>57</v>
      </c>
    </row>
    <row r="123" spans="1:25" x14ac:dyDescent="0.2">
      <c r="A123" s="19">
        <v>1055790</v>
      </c>
      <c r="B123" s="19" t="s">
        <v>578</v>
      </c>
      <c r="C123" s="19">
        <v>9079571</v>
      </c>
      <c r="D123" s="19" t="s">
        <v>616</v>
      </c>
      <c r="E123" s="19">
        <v>816910</v>
      </c>
      <c r="F123" s="11" t="s">
        <v>446</v>
      </c>
      <c r="G123" s="11" t="s">
        <v>447</v>
      </c>
      <c r="H123" s="22">
        <v>0.27</v>
      </c>
      <c r="I123" s="11" t="s">
        <v>174</v>
      </c>
      <c r="J123" s="11">
        <v>144.47999999999999</v>
      </c>
      <c r="K123" s="11">
        <v>39.009599999999999</v>
      </c>
      <c r="L123" s="11" t="s">
        <v>53</v>
      </c>
      <c r="M123" s="11" t="s">
        <v>600</v>
      </c>
      <c r="N123" s="20">
        <v>29.05</v>
      </c>
      <c r="O123" s="20">
        <v>0</v>
      </c>
      <c r="P123" s="11" t="s">
        <v>565</v>
      </c>
      <c r="Q123" s="11" t="s">
        <v>442</v>
      </c>
      <c r="R123" s="11" t="s">
        <v>56</v>
      </c>
      <c r="S123" s="11" t="s">
        <v>57</v>
      </c>
      <c r="T123" s="11">
        <v>0</v>
      </c>
      <c r="U123" s="20">
        <v>107.59</v>
      </c>
      <c r="V123" s="11" t="s">
        <v>101</v>
      </c>
      <c r="W123" s="11" t="s">
        <v>102</v>
      </c>
      <c r="X123" s="21">
        <v>1</v>
      </c>
      <c r="Y123" s="11" t="s">
        <v>57</v>
      </c>
    </row>
    <row r="124" spans="1:25" x14ac:dyDescent="0.2">
      <c r="A124" s="19">
        <v>1055790</v>
      </c>
      <c r="B124" s="19" t="s">
        <v>578</v>
      </c>
      <c r="C124" s="19">
        <v>9079571</v>
      </c>
      <c r="D124" s="19" t="s">
        <v>616</v>
      </c>
      <c r="E124" s="19">
        <v>816910</v>
      </c>
      <c r="F124" s="11" t="s">
        <v>457</v>
      </c>
      <c r="G124" s="11" t="s">
        <v>458</v>
      </c>
      <c r="H124" s="22">
        <v>0.27</v>
      </c>
      <c r="I124" s="11" t="s">
        <v>174</v>
      </c>
      <c r="J124" s="11">
        <v>125.66</v>
      </c>
      <c r="K124" s="11">
        <v>33.928200000000004</v>
      </c>
      <c r="L124" s="11" t="s">
        <v>53</v>
      </c>
      <c r="M124" s="11" t="s">
        <v>600</v>
      </c>
      <c r="N124" s="20">
        <v>25.26</v>
      </c>
      <c r="O124" s="20">
        <v>0</v>
      </c>
      <c r="P124" s="11" t="s">
        <v>565</v>
      </c>
      <c r="Q124" s="11" t="s">
        <v>459</v>
      </c>
      <c r="R124" s="11" t="s">
        <v>56</v>
      </c>
      <c r="S124" s="11" t="s">
        <v>57</v>
      </c>
      <c r="T124" s="11">
        <v>0</v>
      </c>
      <c r="U124" s="20">
        <v>93.57</v>
      </c>
      <c r="V124" s="11" t="s">
        <v>101</v>
      </c>
      <c r="W124" s="11" t="s">
        <v>102</v>
      </c>
      <c r="X124" s="21">
        <v>1</v>
      </c>
      <c r="Y124" s="11" t="s">
        <v>57</v>
      </c>
    </row>
    <row r="125" spans="1:25" x14ac:dyDescent="0.2">
      <c r="A125" s="19">
        <v>1055790</v>
      </c>
      <c r="B125" s="19" t="s">
        <v>578</v>
      </c>
      <c r="C125" s="19">
        <v>9079571</v>
      </c>
      <c r="D125" s="19" t="s">
        <v>616</v>
      </c>
      <c r="E125" s="19">
        <v>816910</v>
      </c>
      <c r="F125" s="11" t="s">
        <v>472</v>
      </c>
      <c r="G125" s="11" t="s">
        <v>473</v>
      </c>
      <c r="H125" s="22">
        <v>0.27</v>
      </c>
      <c r="I125" s="11" t="s">
        <v>174</v>
      </c>
      <c r="J125" s="11">
        <v>120.5</v>
      </c>
      <c r="K125" s="11">
        <v>32.535000000000004</v>
      </c>
      <c r="L125" s="11" t="s">
        <v>53</v>
      </c>
      <c r="M125" s="11" t="s">
        <v>600</v>
      </c>
      <c r="N125" s="20">
        <v>32.54</v>
      </c>
      <c r="O125" s="20">
        <v>0</v>
      </c>
      <c r="P125" s="11" t="s">
        <v>565</v>
      </c>
      <c r="Q125" s="11" t="s">
        <v>474</v>
      </c>
      <c r="R125" s="11" t="s">
        <v>56</v>
      </c>
      <c r="S125" s="11" t="s">
        <v>57</v>
      </c>
      <c r="T125" s="11">
        <v>0</v>
      </c>
      <c r="U125" s="20">
        <v>120.5</v>
      </c>
      <c r="V125" s="11" t="s">
        <v>101</v>
      </c>
      <c r="W125" s="11" t="s">
        <v>102</v>
      </c>
      <c r="X125" s="21">
        <v>1</v>
      </c>
      <c r="Y125" s="11" t="s">
        <v>57</v>
      </c>
    </row>
    <row r="126" spans="1:25" x14ac:dyDescent="0.2">
      <c r="A126" s="19">
        <v>1055790</v>
      </c>
      <c r="B126" s="19" t="s">
        <v>578</v>
      </c>
      <c r="C126" s="19">
        <v>9079571</v>
      </c>
      <c r="D126" s="19" t="s">
        <v>616</v>
      </c>
      <c r="E126" s="19">
        <v>816910</v>
      </c>
      <c r="F126" s="11" t="s">
        <v>475</v>
      </c>
      <c r="G126" s="11" t="s">
        <v>476</v>
      </c>
      <c r="H126" s="22">
        <v>0.27</v>
      </c>
      <c r="I126" s="11" t="s">
        <v>174</v>
      </c>
      <c r="J126" s="11">
        <v>104.8</v>
      </c>
      <c r="K126" s="11">
        <v>28.295999999999999</v>
      </c>
      <c r="L126" s="11" t="s">
        <v>53</v>
      </c>
      <c r="M126" s="11" t="s">
        <v>600</v>
      </c>
      <c r="N126" s="20">
        <v>28.3</v>
      </c>
      <c r="O126" s="20">
        <v>0</v>
      </c>
      <c r="P126" s="11" t="s">
        <v>565</v>
      </c>
      <c r="Q126" s="11" t="s">
        <v>474</v>
      </c>
      <c r="R126" s="11" t="s">
        <v>56</v>
      </c>
      <c r="S126" s="11" t="s">
        <v>57</v>
      </c>
      <c r="T126" s="11">
        <v>0</v>
      </c>
      <c r="U126" s="20">
        <v>104.8</v>
      </c>
      <c r="V126" s="11" t="s">
        <v>101</v>
      </c>
      <c r="W126" s="11" t="s">
        <v>102</v>
      </c>
      <c r="X126" s="21">
        <v>1</v>
      </c>
      <c r="Y126" s="11" t="s">
        <v>57</v>
      </c>
    </row>
    <row r="127" spans="1:25" x14ac:dyDescent="0.2">
      <c r="A127" s="19">
        <v>1055790</v>
      </c>
      <c r="B127" s="19" t="s">
        <v>578</v>
      </c>
      <c r="C127" s="19">
        <v>9079571</v>
      </c>
      <c r="D127" s="19" t="s">
        <v>616</v>
      </c>
      <c r="E127" s="19">
        <v>816910</v>
      </c>
      <c r="F127" s="11" t="s">
        <v>477</v>
      </c>
      <c r="G127" s="11" t="s">
        <v>478</v>
      </c>
      <c r="H127" s="22">
        <v>0.27</v>
      </c>
      <c r="I127" s="11" t="s">
        <v>174</v>
      </c>
      <c r="J127" s="11">
        <v>124.61</v>
      </c>
      <c r="K127" s="11">
        <v>33.6447</v>
      </c>
      <c r="L127" s="11" t="s">
        <v>53</v>
      </c>
      <c r="M127" s="11" t="s">
        <v>600</v>
      </c>
      <c r="N127" s="20">
        <v>32.54</v>
      </c>
      <c r="O127" s="20">
        <v>0</v>
      </c>
      <c r="P127" s="11" t="s">
        <v>565</v>
      </c>
      <c r="Q127" s="11" t="s">
        <v>474</v>
      </c>
      <c r="R127" s="11" t="s">
        <v>56</v>
      </c>
      <c r="S127" s="11" t="s">
        <v>57</v>
      </c>
      <c r="T127" s="11">
        <v>0</v>
      </c>
      <c r="U127" s="20">
        <v>120.5</v>
      </c>
      <c r="V127" s="11" t="s">
        <v>101</v>
      </c>
      <c r="W127" s="11" t="s">
        <v>102</v>
      </c>
      <c r="X127" s="21">
        <v>1</v>
      </c>
      <c r="Y127" s="11" t="s">
        <v>57</v>
      </c>
    </row>
    <row r="128" spans="1:25" x14ac:dyDescent="0.2">
      <c r="A128" s="19">
        <v>1055790</v>
      </c>
      <c r="B128" s="19" t="s">
        <v>577</v>
      </c>
      <c r="C128" s="19">
        <v>9213293</v>
      </c>
      <c r="D128" s="19" t="s">
        <v>616</v>
      </c>
      <c r="E128" s="19">
        <v>819525</v>
      </c>
      <c r="F128" s="11" t="s">
        <v>265</v>
      </c>
      <c r="G128" s="11" t="s">
        <v>266</v>
      </c>
      <c r="H128" s="22">
        <v>0.875</v>
      </c>
      <c r="I128" s="11" t="s">
        <v>52</v>
      </c>
      <c r="J128" s="11">
        <v>114.04</v>
      </c>
      <c r="K128" s="11">
        <v>99.785000000000011</v>
      </c>
      <c r="L128" s="11" t="s">
        <v>53</v>
      </c>
      <c r="M128" s="11" t="s">
        <v>604</v>
      </c>
      <c r="N128" s="20">
        <v>0</v>
      </c>
      <c r="O128" s="20">
        <v>-99.79</v>
      </c>
      <c r="P128" s="11" t="s">
        <v>551</v>
      </c>
      <c r="Q128" s="11" t="s">
        <v>268</v>
      </c>
      <c r="R128" s="11" t="s">
        <v>194</v>
      </c>
      <c r="S128" s="11">
        <v>68</v>
      </c>
      <c r="T128" s="11">
        <v>15</v>
      </c>
      <c r="U128" s="20">
        <v>114.04</v>
      </c>
      <c r="V128" s="11" t="s">
        <v>61</v>
      </c>
      <c r="W128" s="11" t="s">
        <v>62</v>
      </c>
      <c r="X128" s="21">
        <v>1</v>
      </c>
      <c r="Y128" s="11" t="s">
        <v>57</v>
      </c>
    </row>
    <row r="129" spans="1:25" x14ac:dyDescent="0.2">
      <c r="A129" s="19">
        <v>1055790</v>
      </c>
      <c r="B129" s="19" t="s">
        <v>577</v>
      </c>
      <c r="C129" s="19">
        <v>9213293</v>
      </c>
      <c r="D129" s="19" t="s">
        <v>616</v>
      </c>
      <c r="E129" s="19">
        <v>819525</v>
      </c>
      <c r="F129" s="11" t="s">
        <v>287</v>
      </c>
      <c r="G129" s="11" t="s">
        <v>288</v>
      </c>
      <c r="H129" s="22">
        <v>0.875</v>
      </c>
      <c r="I129" s="11" t="s">
        <v>52</v>
      </c>
      <c r="J129" s="11">
        <v>80.739999999999995</v>
      </c>
      <c r="K129" s="11">
        <v>70.647500000000008</v>
      </c>
      <c r="L129" s="11" t="s">
        <v>53</v>
      </c>
      <c r="M129" s="11" t="s">
        <v>604</v>
      </c>
      <c r="N129" s="20">
        <v>0</v>
      </c>
      <c r="O129" s="20">
        <v>-70.650000000000006</v>
      </c>
      <c r="P129" s="11" t="s">
        <v>551</v>
      </c>
      <c r="Q129" s="11" t="s">
        <v>289</v>
      </c>
      <c r="R129" s="11" t="s">
        <v>116</v>
      </c>
      <c r="S129" s="11">
        <v>71</v>
      </c>
      <c r="T129" s="11">
        <v>12</v>
      </c>
      <c r="U129" s="20">
        <v>80.739999999999995</v>
      </c>
      <c r="V129" s="11" t="s">
        <v>61</v>
      </c>
      <c r="W129" s="11" t="s">
        <v>62</v>
      </c>
      <c r="X129" s="21">
        <v>1</v>
      </c>
      <c r="Y129" s="11" t="s">
        <v>57</v>
      </c>
    </row>
    <row r="130" spans="1:25" x14ac:dyDescent="0.2">
      <c r="A130" s="19">
        <v>1055790</v>
      </c>
      <c r="B130" s="19" t="s">
        <v>572</v>
      </c>
      <c r="C130" s="19">
        <v>8307933</v>
      </c>
      <c r="D130" s="19" t="s">
        <v>616</v>
      </c>
      <c r="E130" s="19">
        <v>893387</v>
      </c>
      <c r="F130" s="11" t="s">
        <v>237</v>
      </c>
      <c r="G130" s="11" t="s">
        <v>238</v>
      </c>
      <c r="H130" s="22">
        <v>1.35</v>
      </c>
      <c r="I130" s="11" t="s">
        <v>239</v>
      </c>
      <c r="J130" s="11">
        <v>265.99</v>
      </c>
      <c r="K130" s="11">
        <v>359.08650000000006</v>
      </c>
      <c r="L130" s="11" t="s">
        <v>192</v>
      </c>
      <c r="M130" s="11" t="s">
        <v>603</v>
      </c>
      <c r="N130" s="20">
        <v>0</v>
      </c>
      <c r="O130" s="20">
        <v>-359.09</v>
      </c>
      <c r="P130" s="11" t="s">
        <v>549</v>
      </c>
      <c r="Q130" s="11" t="s">
        <v>240</v>
      </c>
      <c r="R130" s="11" t="s">
        <v>241</v>
      </c>
      <c r="S130" s="11">
        <v>68</v>
      </c>
      <c r="T130" s="11">
        <v>75</v>
      </c>
      <c r="U130" s="20">
        <v>265.99</v>
      </c>
      <c r="V130" s="11" t="s">
        <v>61</v>
      </c>
      <c r="W130" s="11" t="s">
        <v>62</v>
      </c>
      <c r="X130" s="21">
        <v>1</v>
      </c>
      <c r="Y130" s="11" t="s">
        <v>57</v>
      </c>
    </row>
    <row r="131" spans="1:25" x14ac:dyDescent="0.2">
      <c r="A131" s="19">
        <v>1055790</v>
      </c>
      <c r="B131" s="19" t="s">
        <v>578</v>
      </c>
      <c r="C131" s="19">
        <v>9079571</v>
      </c>
      <c r="D131" s="19" t="s">
        <v>616</v>
      </c>
      <c r="E131" s="19">
        <v>816910</v>
      </c>
      <c r="F131" s="11" t="s">
        <v>348</v>
      </c>
      <c r="G131" s="11" t="s">
        <v>349</v>
      </c>
      <c r="H131" s="22">
        <v>1.35</v>
      </c>
      <c r="I131" s="11" t="s">
        <v>174</v>
      </c>
      <c r="J131" s="11">
        <v>74.08</v>
      </c>
      <c r="K131" s="11">
        <v>100.00800000000001</v>
      </c>
      <c r="L131" s="11" t="s">
        <v>169</v>
      </c>
      <c r="M131" s="11" t="s">
        <v>603</v>
      </c>
      <c r="N131" s="20">
        <v>0</v>
      </c>
      <c r="O131" s="20">
        <v>-100.01</v>
      </c>
      <c r="P131" s="11" t="s">
        <v>549</v>
      </c>
      <c r="Q131" s="11" t="s">
        <v>76</v>
      </c>
      <c r="R131" s="11" t="s">
        <v>56</v>
      </c>
      <c r="S131" s="11">
        <v>42</v>
      </c>
      <c r="T131" s="11">
        <v>100</v>
      </c>
      <c r="U131" s="20">
        <v>74.08</v>
      </c>
      <c r="V131" s="11" t="s">
        <v>61</v>
      </c>
      <c r="W131" s="11" t="s">
        <v>62</v>
      </c>
      <c r="X131" s="21">
        <v>1</v>
      </c>
      <c r="Y131" s="11" t="s">
        <v>57</v>
      </c>
    </row>
    <row r="132" spans="1:25" x14ac:dyDescent="0.2">
      <c r="A132" s="19">
        <v>1055790</v>
      </c>
      <c r="B132" s="19" t="s">
        <v>578</v>
      </c>
      <c r="C132" s="19">
        <v>9079571</v>
      </c>
      <c r="D132" s="19" t="s">
        <v>616</v>
      </c>
      <c r="E132" s="19">
        <v>816910</v>
      </c>
      <c r="F132" s="11" t="s">
        <v>282</v>
      </c>
      <c r="G132" s="11" t="s">
        <v>283</v>
      </c>
      <c r="H132" s="22">
        <v>1.35</v>
      </c>
      <c r="I132" s="11" t="s">
        <v>174</v>
      </c>
      <c r="J132" s="11">
        <v>90.16</v>
      </c>
      <c r="K132" s="11">
        <v>121.71600000000001</v>
      </c>
      <c r="L132" s="11" t="s">
        <v>169</v>
      </c>
      <c r="M132" s="11" t="s">
        <v>603</v>
      </c>
      <c r="N132" s="20">
        <v>0</v>
      </c>
      <c r="O132" s="20">
        <v>-121.72</v>
      </c>
      <c r="P132" s="11" t="s">
        <v>553</v>
      </c>
      <c r="Q132" s="11" t="s">
        <v>87</v>
      </c>
      <c r="R132" s="11" t="s">
        <v>56</v>
      </c>
      <c r="S132" s="11">
        <v>45</v>
      </c>
      <c r="T132" s="11">
        <v>100</v>
      </c>
      <c r="U132" s="20">
        <v>90.16</v>
      </c>
      <c r="V132" s="11" t="s">
        <v>61</v>
      </c>
      <c r="W132" s="11" t="s">
        <v>62</v>
      </c>
      <c r="X132" s="21">
        <v>1</v>
      </c>
      <c r="Y132" s="11" t="s">
        <v>57</v>
      </c>
    </row>
    <row r="133" spans="1:25" x14ac:dyDescent="0.2">
      <c r="A133" s="19">
        <v>1055790</v>
      </c>
      <c r="B133" s="19" t="s">
        <v>589</v>
      </c>
      <c r="C133" s="19">
        <v>19491313</v>
      </c>
      <c r="D133" s="19" t="s">
        <v>616</v>
      </c>
      <c r="E133" s="19">
        <v>910791</v>
      </c>
      <c r="F133" s="11" t="s">
        <v>311</v>
      </c>
      <c r="G133" s="11" t="s">
        <v>312</v>
      </c>
      <c r="H133" s="22">
        <v>1.35</v>
      </c>
      <c r="I133" s="11" t="s">
        <v>313</v>
      </c>
      <c r="J133" s="11">
        <v>110.06</v>
      </c>
      <c r="K133" s="11">
        <v>148.58100000000002</v>
      </c>
      <c r="L133" s="11" t="s">
        <v>192</v>
      </c>
      <c r="M133" s="11" t="s">
        <v>603</v>
      </c>
      <c r="N133" s="20">
        <v>-1337.23</v>
      </c>
      <c r="O133" s="20">
        <v>-1188.6500000000001</v>
      </c>
      <c r="P133" s="11" t="s">
        <v>553</v>
      </c>
      <c r="Q133" s="11" t="s">
        <v>221</v>
      </c>
      <c r="R133" s="11" t="s">
        <v>56</v>
      </c>
      <c r="S133" s="11">
        <v>67</v>
      </c>
      <c r="T133" s="11">
        <v>30</v>
      </c>
      <c r="U133" s="20">
        <v>-1100.5999999999999</v>
      </c>
      <c r="V133" s="11" t="s">
        <v>61</v>
      </c>
      <c r="W133" s="11" t="s">
        <v>223</v>
      </c>
      <c r="X133" s="21">
        <v>1</v>
      </c>
      <c r="Y133" s="11" t="s">
        <v>57</v>
      </c>
    </row>
    <row r="134" spans="1:25" x14ac:dyDescent="0.2">
      <c r="A134" s="19">
        <v>1055790</v>
      </c>
      <c r="B134" s="19" t="s">
        <v>589</v>
      </c>
      <c r="C134" s="19">
        <v>19491313</v>
      </c>
      <c r="D134" s="19" t="s">
        <v>616</v>
      </c>
      <c r="E134" s="19">
        <v>910791</v>
      </c>
      <c r="F134" s="11" t="s">
        <v>311</v>
      </c>
      <c r="G134" s="11" t="s">
        <v>312</v>
      </c>
      <c r="H134" s="22">
        <v>1.35</v>
      </c>
      <c r="I134" s="11" t="s">
        <v>313</v>
      </c>
      <c r="J134" s="11">
        <v>110.06</v>
      </c>
      <c r="K134" s="11">
        <v>148.58100000000002</v>
      </c>
      <c r="L134" s="11" t="s">
        <v>169</v>
      </c>
      <c r="M134" s="11" t="s">
        <v>603</v>
      </c>
      <c r="N134" s="20">
        <v>1337.23</v>
      </c>
      <c r="O134" s="20">
        <v>1337.23</v>
      </c>
      <c r="P134" s="11" t="s">
        <v>553</v>
      </c>
      <c r="Q134" s="11" t="s">
        <v>221</v>
      </c>
      <c r="R134" s="11" t="s">
        <v>56</v>
      </c>
      <c r="S134" s="11">
        <v>67</v>
      </c>
      <c r="T134" s="11">
        <v>30</v>
      </c>
      <c r="U134" s="20">
        <v>990.54</v>
      </c>
      <c r="V134" s="11" t="s">
        <v>61</v>
      </c>
      <c r="W134" s="11" t="s">
        <v>314</v>
      </c>
      <c r="X134" s="21">
        <v>1</v>
      </c>
      <c r="Y134" s="11" t="s">
        <v>57</v>
      </c>
    </row>
    <row r="135" spans="1:25" x14ac:dyDescent="0.2">
      <c r="A135" s="19">
        <v>1055790</v>
      </c>
      <c r="B135" s="19" t="s">
        <v>572</v>
      </c>
      <c r="C135" s="19">
        <v>8307933</v>
      </c>
      <c r="D135" s="19" t="s">
        <v>616</v>
      </c>
      <c r="E135" s="19">
        <v>893387</v>
      </c>
      <c r="F135" s="11" t="s">
        <v>514</v>
      </c>
      <c r="G135" s="11" t="s">
        <v>515</v>
      </c>
      <c r="H135" s="22">
        <v>1.2500000000000001E-2</v>
      </c>
      <c r="I135" s="11" t="s">
        <v>226</v>
      </c>
      <c r="J135" s="11">
        <v>140.97</v>
      </c>
      <c r="K135" s="11">
        <v>1.7621250000000002</v>
      </c>
      <c r="L135" s="11" t="s">
        <v>53</v>
      </c>
      <c r="M135" s="11" t="s">
        <v>558</v>
      </c>
      <c r="N135" s="20">
        <v>1.41</v>
      </c>
      <c r="O135" s="20">
        <v>0</v>
      </c>
      <c r="P135" s="11" t="s">
        <v>567</v>
      </c>
      <c r="Q135" s="11" t="s">
        <v>105</v>
      </c>
      <c r="R135" s="11" t="s">
        <v>56</v>
      </c>
      <c r="S135" s="11" t="s">
        <v>57</v>
      </c>
      <c r="T135" s="11">
        <v>0</v>
      </c>
      <c r="U135" s="20">
        <v>112.77</v>
      </c>
      <c r="V135" s="11" t="s">
        <v>101</v>
      </c>
      <c r="W135" s="11" t="s">
        <v>102</v>
      </c>
      <c r="X135" s="21">
        <v>1</v>
      </c>
      <c r="Y135" s="11" t="s">
        <v>57</v>
      </c>
    </row>
    <row r="136" spans="1:25" x14ac:dyDescent="0.2">
      <c r="A136" s="19">
        <v>1055790</v>
      </c>
      <c r="B136" s="19" t="s">
        <v>572</v>
      </c>
      <c r="C136" s="19">
        <v>8307933</v>
      </c>
      <c r="D136" s="19" t="s">
        <v>616</v>
      </c>
      <c r="E136" s="19">
        <v>893387</v>
      </c>
      <c r="F136" s="11" t="s">
        <v>202</v>
      </c>
      <c r="G136" s="11" t="s">
        <v>203</v>
      </c>
      <c r="H136" s="22">
        <v>0.1125</v>
      </c>
      <c r="I136" s="11" t="s">
        <v>204</v>
      </c>
      <c r="J136" s="11">
        <v>450.82</v>
      </c>
      <c r="K136" s="11">
        <v>50.71725</v>
      </c>
      <c r="L136" s="11" t="s">
        <v>53</v>
      </c>
      <c r="M136" s="11" t="s">
        <v>558</v>
      </c>
      <c r="N136" s="20">
        <v>50.72</v>
      </c>
      <c r="O136" s="20">
        <v>0</v>
      </c>
      <c r="P136" s="11" t="s">
        <v>545</v>
      </c>
      <c r="Q136" s="11" t="s">
        <v>76</v>
      </c>
      <c r="R136" s="11" t="s">
        <v>56</v>
      </c>
      <c r="S136" s="11" t="s">
        <v>57</v>
      </c>
      <c r="T136" s="11">
        <v>0</v>
      </c>
      <c r="U136" s="20">
        <v>450.82</v>
      </c>
      <c r="V136" s="11" t="s">
        <v>61</v>
      </c>
      <c r="W136" s="11" t="s">
        <v>62</v>
      </c>
      <c r="X136" s="21">
        <v>1</v>
      </c>
      <c r="Y136" s="11" t="s">
        <v>57</v>
      </c>
    </row>
    <row r="137" spans="1:25" x14ac:dyDescent="0.2">
      <c r="A137" s="19">
        <v>1055790</v>
      </c>
      <c r="B137" s="19" t="s">
        <v>578</v>
      </c>
      <c r="C137" s="19">
        <v>9079571</v>
      </c>
      <c r="D137" s="19" t="s">
        <v>616</v>
      </c>
      <c r="E137" s="19">
        <v>816910</v>
      </c>
      <c r="F137" s="11" t="s">
        <v>387</v>
      </c>
      <c r="G137" s="11" t="s">
        <v>388</v>
      </c>
      <c r="H137" s="22">
        <v>0.19</v>
      </c>
      <c r="I137" s="11" t="s">
        <v>174</v>
      </c>
      <c r="J137" s="11">
        <v>226.06</v>
      </c>
      <c r="K137" s="11">
        <v>42.9514</v>
      </c>
      <c r="L137" s="11" t="s">
        <v>53</v>
      </c>
      <c r="M137" s="11" t="s">
        <v>558</v>
      </c>
      <c r="N137" s="20">
        <v>42.95</v>
      </c>
      <c r="O137" s="20">
        <v>0</v>
      </c>
      <c r="P137" s="11" t="s">
        <v>556</v>
      </c>
      <c r="Q137" s="11" t="s">
        <v>87</v>
      </c>
      <c r="R137" s="11" t="s">
        <v>56</v>
      </c>
      <c r="S137" s="11" t="s">
        <v>57</v>
      </c>
      <c r="T137" s="11">
        <v>0</v>
      </c>
      <c r="U137" s="20">
        <v>226.06</v>
      </c>
      <c r="V137" s="11" t="s">
        <v>61</v>
      </c>
      <c r="W137" s="11" t="s">
        <v>62</v>
      </c>
      <c r="X137" s="21">
        <v>1</v>
      </c>
      <c r="Y137" s="11" t="s">
        <v>57</v>
      </c>
    </row>
    <row r="138" spans="1:25" x14ac:dyDescent="0.2">
      <c r="A138" s="19">
        <v>1055790</v>
      </c>
      <c r="B138" s="19" t="s">
        <v>577</v>
      </c>
      <c r="C138" s="19">
        <v>9213293</v>
      </c>
      <c r="D138" s="19" t="s">
        <v>616</v>
      </c>
      <c r="E138" s="19">
        <v>819525</v>
      </c>
      <c r="F138" s="11" t="s">
        <v>181</v>
      </c>
      <c r="G138" s="11" t="s">
        <v>182</v>
      </c>
      <c r="H138" s="22">
        <v>7.0000000000000007E-2</v>
      </c>
      <c r="I138" s="11" t="s">
        <v>52</v>
      </c>
      <c r="J138" s="11">
        <v>115.77</v>
      </c>
      <c r="K138" s="11">
        <v>8.1039000000000012</v>
      </c>
      <c r="L138" s="11" t="s">
        <v>99</v>
      </c>
      <c r="M138" s="11" t="s">
        <v>612</v>
      </c>
      <c r="N138" s="20">
        <v>8.1</v>
      </c>
      <c r="O138" s="20">
        <v>0</v>
      </c>
      <c r="P138" s="11" t="s">
        <v>561</v>
      </c>
      <c r="Q138" s="11" t="s">
        <v>100</v>
      </c>
      <c r="R138" s="11" t="s">
        <v>56</v>
      </c>
      <c r="S138" s="11">
        <v>76</v>
      </c>
      <c r="T138" s="11">
        <v>15</v>
      </c>
      <c r="U138" s="20">
        <v>115.77</v>
      </c>
      <c r="V138" s="11" t="s">
        <v>101</v>
      </c>
      <c r="W138" s="11" t="s">
        <v>102</v>
      </c>
      <c r="X138" s="21">
        <v>1</v>
      </c>
      <c r="Y138" s="11" t="s">
        <v>57</v>
      </c>
    </row>
    <row r="139" spans="1:25" x14ac:dyDescent="0.2">
      <c r="A139" s="19">
        <v>1055790</v>
      </c>
      <c r="B139" s="19" t="s">
        <v>596</v>
      </c>
      <c r="C139" s="19">
        <v>8814784</v>
      </c>
      <c r="D139" s="19" t="s">
        <v>616</v>
      </c>
      <c r="E139" s="19">
        <v>892054</v>
      </c>
      <c r="F139" s="11" t="s">
        <v>184</v>
      </c>
      <c r="G139" s="11" t="s">
        <v>185</v>
      </c>
      <c r="H139" s="22">
        <v>7.0000000000000007E-2</v>
      </c>
      <c r="I139" s="11" t="s">
        <v>52</v>
      </c>
      <c r="J139" s="11">
        <v>175.78</v>
      </c>
      <c r="K139" s="11">
        <v>12.304600000000002</v>
      </c>
      <c r="L139" s="11" t="s">
        <v>169</v>
      </c>
      <c r="M139" s="11" t="s">
        <v>612</v>
      </c>
      <c r="N139" s="20">
        <v>12.3</v>
      </c>
      <c r="O139" s="20">
        <v>0</v>
      </c>
      <c r="P139" s="11" t="s">
        <v>561</v>
      </c>
      <c r="Q139" s="11" t="s">
        <v>186</v>
      </c>
      <c r="R139" s="11" t="s">
        <v>177</v>
      </c>
      <c r="S139" s="11">
        <v>63</v>
      </c>
      <c r="T139" s="11">
        <v>50</v>
      </c>
      <c r="U139" s="20">
        <v>175.78</v>
      </c>
      <c r="V139" s="11" t="s">
        <v>101</v>
      </c>
      <c r="W139" s="11" t="s">
        <v>102</v>
      </c>
      <c r="X139" s="21">
        <v>1</v>
      </c>
      <c r="Y139" s="11" t="s">
        <v>57</v>
      </c>
    </row>
    <row r="140" spans="1:25" x14ac:dyDescent="0.2">
      <c r="A140" s="19">
        <v>1055790</v>
      </c>
      <c r="B140" s="19" t="s">
        <v>596</v>
      </c>
      <c r="C140" s="19">
        <v>8814784</v>
      </c>
      <c r="D140" s="19" t="s">
        <v>616</v>
      </c>
      <c r="E140" s="19">
        <v>892054</v>
      </c>
      <c r="F140" s="11" t="s">
        <v>187</v>
      </c>
      <c r="G140" s="11" t="s">
        <v>188</v>
      </c>
      <c r="H140" s="22">
        <v>7.0000000000000007E-2</v>
      </c>
      <c r="I140" s="11" t="s">
        <v>52</v>
      </c>
      <c r="J140" s="11">
        <v>55</v>
      </c>
      <c r="K140" s="11">
        <v>3.8500000000000005</v>
      </c>
      <c r="L140" s="11" t="s">
        <v>169</v>
      </c>
      <c r="M140" s="11" t="s">
        <v>612</v>
      </c>
      <c r="N140" s="20">
        <v>3.85</v>
      </c>
      <c r="O140" s="20">
        <v>0</v>
      </c>
      <c r="P140" s="11" t="s">
        <v>561</v>
      </c>
      <c r="Q140" s="11" t="s">
        <v>129</v>
      </c>
      <c r="R140" s="11" t="s">
        <v>56</v>
      </c>
      <c r="S140" s="11">
        <v>67</v>
      </c>
      <c r="T140" s="11">
        <v>12</v>
      </c>
      <c r="U140" s="20">
        <v>55</v>
      </c>
      <c r="V140" s="11" t="s">
        <v>101</v>
      </c>
      <c r="W140" s="11" t="s">
        <v>102</v>
      </c>
      <c r="X140" s="21">
        <v>1</v>
      </c>
      <c r="Y140" s="11" t="s">
        <v>57</v>
      </c>
    </row>
    <row r="141" spans="1:25" x14ac:dyDescent="0.2">
      <c r="A141" s="19">
        <v>1055790</v>
      </c>
      <c r="B141" s="19" t="s">
        <v>572</v>
      </c>
      <c r="C141" s="19">
        <v>8307933</v>
      </c>
      <c r="D141" s="19" t="s">
        <v>616</v>
      </c>
      <c r="E141" s="19">
        <v>893387</v>
      </c>
      <c r="F141" s="11" t="s">
        <v>189</v>
      </c>
      <c r="G141" s="11" t="s">
        <v>190</v>
      </c>
      <c r="H141" s="22">
        <v>7.0000000000000007E-2</v>
      </c>
      <c r="I141" s="11" t="s">
        <v>191</v>
      </c>
      <c r="J141" s="11">
        <v>207.99</v>
      </c>
      <c r="K141" s="11">
        <v>14.559300000000002</v>
      </c>
      <c r="L141" s="11" t="s">
        <v>192</v>
      </c>
      <c r="M141" s="11" t="s">
        <v>612</v>
      </c>
      <c r="N141" s="20">
        <v>14.56</v>
      </c>
      <c r="O141" s="20">
        <v>0</v>
      </c>
      <c r="P141" s="11" t="s">
        <v>561</v>
      </c>
      <c r="Q141" s="11" t="s">
        <v>193</v>
      </c>
      <c r="R141" s="11" t="s">
        <v>194</v>
      </c>
      <c r="S141" s="11">
        <v>80</v>
      </c>
      <c r="T141" s="11">
        <v>15</v>
      </c>
      <c r="U141" s="20">
        <v>207.99</v>
      </c>
      <c r="V141" s="11" t="s">
        <v>101</v>
      </c>
      <c r="W141" s="11" t="s">
        <v>102</v>
      </c>
      <c r="X141" s="21">
        <v>1</v>
      </c>
      <c r="Y141" s="11" t="s">
        <v>57</v>
      </c>
    </row>
    <row r="142" spans="1:25" x14ac:dyDescent="0.2">
      <c r="A142" s="19">
        <v>1055790</v>
      </c>
      <c r="B142" s="19" t="s">
        <v>578</v>
      </c>
      <c r="C142" s="19">
        <v>9079571</v>
      </c>
      <c r="D142" s="19" t="s">
        <v>616</v>
      </c>
      <c r="E142" s="19">
        <v>816910</v>
      </c>
      <c r="F142" s="11" t="s">
        <v>275</v>
      </c>
      <c r="G142" s="11" t="s">
        <v>276</v>
      </c>
      <c r="H142" s="22">
        <v>1.1499999999999999</v>
      </c>
      <c r="I142" s="11" t="s">
        <v>174</v>
      </c>
      <c r="J142" s="11">
        <v>23.17</v>
      </c>
      <c r="K142" s="11">
        <v>26.645499999999998</v>
      </c>
      <c r="L142" s="11" t="s">
        <v>169</v>
      </c>
      <c r="M142" s="11" t="s">
        <v>605</v>
      </c>
      <c r="N142" s="20">
        <v>0</v>
      </c>
      <c r="O142" s="20">
        <v>-26.65</v>
      </c>
      <c r="P142" s="11" t="s">
        <v>552</v>
      </c>
      <c r="Q142" s="11" t="s">
        <v>87</v>
      </c>
      <c r="R142" s="11" t="s">
        <v>56</v>
      </c>
      <c r="S142" s="11">
        <v>6</v>
      </c>
      <c r="T142" s="11">
        <v>50</v>
      </c>
      <c r="U142" s="20">
        <v>23.17</v>
      </c>
      <c r="V142" s="11" t="s">
        <v>61</v>
      </c>
      <c r="W142" s="11" t="s">
        <v>62</v>
      </c>
      <c r="X142" s="21">
        <v>1</v>
      </c>
      <c r="Y142" s="11" t="s">
        <v>57</v>
      </c>
    </row>
    <row r="143" spans="1:25" x14ac:dyDescent="0.2">
      <c r="A143" s="19">
        <v>1055790</v>
      </c>
      <c r="B143" s="19" t="s">
        <v>578</v>
      </c>
      <c r="C143" s="19">
        <v>9079571</v>
      </c>
      <c r="D143" s="19" t="s">
        <v>616</v>
      </c>
      <c r="E143" s="19">
        <v>816910</v>
      </c>
      <c r="F143" s="11" t="s">
        <v>278</v>
      </c>
      <c r="G143" s="11" t="s">
        <v>279</v>
      </c>
      <c r="H143" s="22">
        <v>1.1499999999999999</v>
      </c>
      <c r="I143" s="11" t="s">
        <v>174</v>
      </c>
      <c r="J143" s="11">
        <v>26.75</v>
      </c>
      <c r="K143" s="11">
        <v>30.762499999999999</v>
      </c>
      <c r="L143" s="11" t="s">
        <v>169</v>
      </c>
      <c r="M143" s="11" t="s">
        <v>605</v>
      </c>
      <c r="N143" s="20">
        <v>0</v>
      </c>
      <c r="O143" s="20">
        <v>-30.76</v>
      </c>
      <c r="P143" s="11" t="s">
        <v>552</v>
      </c>
      <c r="Q143" s="11" t="s">
        <v>87</v>
      </c>
      <c r="R143" s="11" t="s">
        <v>56</v>
      </c>
      <c r="S143" s="11">
        <v>10</v>
      </c>
      <c r="T143" s="11">
        <v>50</v>
      </c>
      <c r="U143" s="20">
        <v>26.75</v>
      </c>
      <c r="V143" s="11" t="s">
        <v>61</v>
      </c>
      <c r="W143" s="11" t="s">
        <v>62</v>
      </c>
      <c r="X143" s="21">
        <v>1</v>
      </c>
      <c r="Y143" s="11" t="s">
        <v>57</v>
      </c>
    </row>
    <row r="144" spans="1:25" x14ac:dyDescent="0.2">
      <c r="A144" s="19">
        <v>1055790</v>
      </c>
      <c r="B144" s="19" t="s">
        <v>578</v>
      </c>
      <c r="C144" s="19">
        <v>9079571</v>
      </c>
      <c r="D144" s="19" t="s">
        <v>616</v>
      </c>
      <c r="E144" s="19">
        <v>816910</v>
      </c>
      <c r="F144" s="11" t="s">
        <v>280</v>
      </c>
      <c r="G144" s="11" t="s">
        <v>281</v>
      </c>
      <c r="H144" s="22">
        <v>1.1499999999999999</v>
      </c>
      <c r="I144" s="11" t="s">
        <v>174</v>
      </c>
      <c r="J144" s="11">
        <v>26.75</v>
      </c>
      <c r="K144" s="11">
        <v>30.762499999999999</v>
      </c>
      <c r="L144" s="11" t="s">
        <v>169</v>
      </c>
      <c r="M144" s="11" t="s">
        <v>605</v>
      </c>
      <c r="N144" s="20">
        <v>0</v>
      </c>
      <c r="O144" s="20">
        <v>-30.76</v>
      </c>
      <c r="P144" s="11" t="s">
        <v>552</v>
      </c>
      <c r="Q144" s="11" t="s">
        <v>87</v>
      </c>
      <c r="R144" s="11" t="s">
        <v>56</v>
      </c>
      <c r="S144" s="11">
        <v>11</v>
      </c>
      <c r="T144" s="11">
        <v>50</v>
      </c>
      <c r="U144" s="20">
        <v>26.75</v>
      </c>
      <c r="V144" s="11" t="s">
        <v>61</v>
      </c>
      <c r="W144" s="11" t="s">
        <v>62</v>
      </c>
      <c r="X144" s="21">
        <v>1</v>
      </c>
      <c r="Y144" s="11" t="s">
        <v>57</v>
      </c>
    </row>
    <row r="145" spans="1:25" x14ac:dyDescent="0.2">
      <c r="A145" s="19">
        <v>1055790</v>
      </c>
      <c r="B145" s="19" t="s">
        <v>577</v>
      </c>
      <c r="C145" s="19">
        <v>9213293</v>
      </c>
      <c r="D145" s="19" t="s">
        <v>616</v>
      </c>
      <c r="E145" s="19">
        <v>819525</v>
      </c>
      <c r="F145" s="11" t="s">
        <v>345</v>
      </c>
      <c r="G145" s="11" t="s">
        <v>346</v>
      </c>
      <c r="H145" s="22">
        <v>1.1499999999999999</v>
      </c>
      <c r="I145" s="11" t="s">
        <v>52</v>
      </c>
      <c r="J145" s="11">
        <v>26.75</v>
      </c>
      <c r="K145" s="11">
        <v>30.762499999999999</v>
      </c>
      <c r="L145" s="11" t="s">
        <v>99</v>
      </c>
      <c r="M145" s="11" t="s">
        <v>605</v>
      </c>
      <c r="N145" s="20">
        <v>276.83999999999997</v>
      </c>
      <c r="O145" s="20">
        <v>276.83999999999997</v>
      </c>
      <c r="P145" s="11" t="s">
        <v>552</v>
      </c>
      <c r="Q145" s="11" t="s">
        <v>347</v>
      </c>
      <c r="R145" s="11" t="s">
        <v>347</v>
      </c>
      <c r="S145" s="11">
        <v>11</v>
      </c>
      <c r="T145" s="11">
        <v>50</v>
      </c>
      <c r="U145" s="20">
        <v>240.75</v>
      </c>
      <c r="V145" s="11" t="s">
        <v>61</v>
      </c>
      <c r="W145" s="11" t="s">
        <v>314</v>
      </c>
      <c r="X145" s="21">
        <v>1</v>
      </c>
      <c r="Y145" s="11" t="s">
        <v>57</v>
      </c>
    </row>
    <row r="146" spans="1:25" x14ac:dyDescent="0.2">
      <c r="A146" s="19">
        <v>1055790</v>
      </c>
      <c r="B146" s="19" t="s">
        <v>572</v>
      </c>
      <c r="C146" s="19">
        <v>8307933</v>
      </c>
      <c r="D146" s="19" t="s">
        <v>616</v>
      </c>
      <c r="E146" s="19">
        <v>893387</v>
      </c>
      <c r="F146" s="11" t="s">
        <v>209</v>
      </c>
      <c r="G146" s="11" t="s">
        <v>210</v>
      </c>
      <c r="H146" s="22">
        <v>0.2</v>
      </c>
      <c r="I146" s="11" t="s">
        <v>204</v>
      </c>
      <c r="J146" s="11">
        <v>223.3</v>
      </c>
      <c r="K146" s="11">
        <v>44.660000000000004</v>
      </c>
      <c r="L146" s="11" t="s">
        <v>53</v>
      </c>
      <c r="M146" s="11" t="s">
        <v>558</v>
      </c>
      <c r="N146" s="20">
        <v>44.66</v>
      </c>
      <c r="O146" s="20">
        <v>0</v>
      </c>
      <c r="P146" s="11" t="s">
        <v>547</v>
      </c>
      <c r="Q146" s="11" t="s">
        <v>76</v>
      </c>
      <c r="R146" s="11" t="s">
        <v>56</v>
      </c>
      <c r="S146" s="11" t="s">
        <v>57</v>
      </c>
      <c r="T146" s="11">
        <v>0</v>
      </c>
      <c r="U146" s="20">
        <v>223.3</v>
      </c>
      <c r="V146" s="11" t="s">
        <v>61</v>
      </c>
      <c r="W146" s="11" t="s">
        <v>62</v>
      </c>
      <c r="X146" s="21">
        <v>1</v>
      </c>
      <c r="Y146" s="11" t="s">
        <v>57</v>
      </c>
    </row>
    <row r="147" spans="1:25" x14ac:dyDescent="0.2">
      <c r="A147" s="19">
        <v>1055790</v>
      </c>
      <c r="B147" s="19" t="s">
        <v>579</v>
      </c>
      <c r="C147" s="19">
        <v>16228684</v>
      </c>
      <c r="D147" s="19" t="s">
        <v>616</v>
      </c>
      <c r="E147" s="19">
        <v>893214</v>
      </c>
      <c r="F147" s="11" t="s">
        <v>298</v>
      </c>
      <c r="G147" s="11" t="s">
        <v>299</v>
      </c>
      <c r="H147" s="22">
        <v>1.35</v>
      </c>
      <c r="I147" s="11" t="s">
        <v>52</v>
      </c>
      <c r="J147" s="11">
        <v>153.93</v>
      </c>
      <c r="K147" s="11">
        <v>207.80550000000005</v>
      </c>
      <c r="L147" s="11" t="s">
        <v>92</v>
      </c>
      <c r="M147" s="11" t="s">
        <v>603</v>
      </c>
      <c r="N147" s="20">
        <v>0</v>
      </c>
      <c r="O147" s="20">
        <v>-207.81</v>
      </c>
      <c r="P147" s="11" t="s">
        <v>554</v>
      </c>
      <c r="Q147" s="11" t="s">
        <v>300</v>
      </c>
      <c r="R147" s="11" t="s">
        <v>301</v>
      </c>
      <c r="S147" s="11">
        <v>68</v>
      </c>
      <c r="T147" s="11">
        <v>50</v>
      </c>
      <c r="U147" s="20">
        <v>153.93</v>
      </c>
      <c r="V147" s="11" t="s">
        <v>61</v>
      </c>
      <c r="W147" s="11" t="s">
        <v>62</v>
      </c>
      <c r="X147" s="21">
        <v>1</v>
      </c>
      <c r="Y147" s="11" t="s">
        <v>57</v>
      </c>
    </row>
    <row r="148" spans="1:25" x14ac:dyDescent="0.2">
      <c r="A148" s="19">
        <v>1055790</v>
      </c>
      <c r="B148" s="19" t="s">
        <v>572</v>
      </c>
      <c r="C148" s="19">
        <v>8307933</v>
      </c>
      <c r="D148" s="19" t="s">
        <v>616</v>
      </c>
      <c r="E148" s="19">
        <v>893387</v>
      </c>
      <c r="F148" s="11" t="s">
        <v>242</v>
      </c>
      <c r="G148" s="11" t="s">
        <v>243</v>
      </c>
      <c r="H148" s="22">
        <v>1.35</v>
      </c>
      <c r="I148" s="11" t="s">
        <v>239</v>
      </c>
      <c r="J148" s="11">
        <v>265.99</v>
      </c>
      <c r="K148" s="11">
        <v>359.08650000000006</v>
      </c>
      <c r="L148" s="11" t="s">
        <v>192</v>
      </c>
      <c r="M148" s="11" t="s">
        <v>603</v>
      </c>
      <c r="N148" s="20">
        <v>0</v>
      </c>
      <c r="O148" s="20">
        <v>-359.09</v>
      </c>
      <c r="P148" s="11" t="s">
        <v>550</v>
      </c>
      <c r="Q148" s="11" t="s">
        <v>240</v>
      </c>
      <c r="R148" s="11" t="s">
        <v>241</v>
      </c>
      <c r="S148" s="11">
        <v>68</v>
      </c>
      <c r="T148" s="11">
        <v>75</v>
      </c>
      <c r="U148" s="20">
        <v>265.99</v>
      </c>
      <c r="V148" s="11" t="s">
        <v>61</v>
      </c>
      <c r="W148" s="11" t="s">
        <v>62</v>
      </c>
      <c r="X148" s="21">
        <v>1</v>
      </c>
      <c r="Y148" s="11" t="s">
        <v>57</v>
      </c>
    </row>
    <row r="149" spans="1:25" x14ac:dyDescent="0.2">
      <c r="A149" s="19">
        <v>1055790</v>
      </c>
      <c r="B149" s="19" t="s">
        <v>581</v>
      </c>
      <c r="C149" s="19">
        <v>21621622</v>
      </c>
      <c r="D149" s="19" t="s">
        <v>616</v>
      </c>
      <c r="E149" s="19">
        <v>1264381</v>
      </c>
      <c r="F149" s="11" t="s">
        <v>316</v>
      </c>
      <c r="G149" s="11" t="s">
        <v>317</v>
      </c>
      <c r="H149" s="22">
        <v>1.35</v>
      </c>
      <c r="I149" s="11" t="s">
        <v>318</v>
      </c>
      <c r="J149" s="11">
        <v>53.84</v>
      </c>
      <c r="K149" s="11">
        <v>72.684000000000012</v>
      </c>
      <c r="L149" s="11" t="s">
        <v>169</v>
      </c>
      <c r="M149" s="11" t="s">
        <v>603</v>
      </c>
      <c r="N149" s="20">
        <v>0</v>
      </c>
      <c r="O149" s="20">
        <v>-72.680000000000007</v>
      </c>
      <c r="P149" s="11" t="s">
        <v>550</v>
      </c>
      <c r="Q149" s="11" t="s">
        <v>55</v>
      </c>
      <c r="R149" s="11" t="s">
        <v>56</v>
      </c>
      <c r="S149" s="11">
        <v>32</v>
      </c>
      <c r="T149" s="11">
        <v>150</v>
      </c>
      <c r="U149" s="20">
        <v>53.84</v>
      </c>
      <c r="V149" s="11" t="s">
        <v>61</v>
      </c>
      <c r="W149" s="11" t="s">
        <v>62</v>
      </c>
      <c r="X149" s="21">
        <v>1</v>
      </c>
      <c r="Y149" s="11" t="s">
        <v>57</v>
      </c>
    </row>
    <row r="150" spans="1:25" x14ac:dyDescent="0.2">
      <c r="A150" s="19">
        <v>1055790</v>
      </c>
      <c r="B150" s="19" t="s">
        <v>586</v>
      </c>
      <c r="C150" s="19">
        <v>16202925</v>
      </c>
      <c r="D150" s="19" t="s">
        <v>616</v>
      </c>
      <c r="E150" s="19">
        <v>814837</v>
      </c>
      <c r="F150" s="11" t="s">
        <v>172</v>
      </c>
      <c r="G150" s="11" t="s">
        <v>173</v>
      </c>
      <c r="H150" s="22">
        <v>7.0000000000000007E-2</v>
      </c>
      <c r="I150" s="11" t="s">
        <v>174</v>
      </c>
      <c r="J150" s="11">
        <v>122.6</v>
      </c>
      <c r="K150" s="11">
        <v>8.5820000000000007</v>
      </c>
      <c r="L150" s="11" t="s">
        <v>169</v>
      </c>
      <c r="M150" s="11" t="s">
        <v>612</v>
      </c>
      <c r="N150" s="20">
        <v>8.58</v>
      </c>
      <c r="O150" s="20">
        <v>0</v>
      </c>
      <c r="P150" s="11" t="s">
        <v>550</v>
      </c>
      <c r="Q150" s="11" t="s">
        <v>176</v>
      </c>
      <c r="R150" s="11" t="s">
        <v>177</v>
      </c>
      <c r="S150" s="11">
        <v>54</v>
      </c>
      <c r="T150" s="11">
        <v>50</v>
      </c>
      <c r="U150" s="20">
        <v>122.6</v>
      </c>
      <c r="V150" s="11" t="s">
        <v>101</v>
      </c>
      <c r="W150" s="11" t="s">
        <v>102</v>
      </c>
      <c r="X150" s="21">
        <v>1</v>
      </c>
      <c r="Y150" s="11" t="s">
        <v>57</v>
      </c>
    </row>
    <row r="151" spans="1:25" x14ac:dyDescent="0.2">
      <c r="A151" s="19">
        <v>1055790</v>
      </c>
      <c r="B151" s="19" t="s">
        <v>586</v>
      </c>
      <c r="C151" s="19">
        <v>16202925</v>
      </c>
      <c r="D151" s="19" t="s">
        <v>616</v>
      </c>
      <c r="E151" s="19">
        <v>814837</v>
      </c>
      <c r="F151" s="11" t="s">
        <v>178</v>
      </c>
      <c r="G151" s="11" t="s">
        <v>179</v>
      </c>
      <c r="H151" s="22">
        <v>7.0000000000000007E-2</v>
      </c>
      <c r="I151" s="11" t="s">
        <v>174</v>
      </c>
      <c r="J151" s="11">
        <v>191.04</v>
      </c>
      <c r="K151" s="11">
        <v>13.372800000000002</v>
      </c>
      <c r="L151" s="11" t="s">
        <v>169</v>
      </c>
      <c r="M151" s="11" t="s">
        <v>612</v>
      </c>
      <c r="N151" s="20">
        <v>13.37</v>
      </c>
      <c r="O151" s="20">
        <v>0</v>
      </c>
      <c r="P151" s="11" t="s">
        <v>550</v>
      </c>
      <c r="Q151" s="11" t="s">
        <v>176</v>
      </c>
      <c r="R151" s="11" t="s">
        <v>177</v>
      </c>
      <c r="S151" s="11">
        <v>52</v>
      </c>
      <c r="T151" s="11">
        <v>50</v>
      </c>
      <c r="U151" s="20">
        <v>191.04</v>
      </c>
      <c r="V151" s="11" t="s">
        <v>101</v>
      </c>
      <c r="W151" s="11" t="s">
        <v>102</v>
      </c>
      <c r="X151" s="21">
        <v>1</v>
      </c>
      <c r="Y151" s="11" t="s">
        <v>57</v>
      </c>
    </row>
    <row r="152" spans="1:25" x14ac:dyDescent="0.2">
      <c r="A152" s="19">
        <v>1055790</v>
      </c>
      <c r="B152" s="19" t="s">
        <v>595</v>
      </c>
      <c r="C152" s="19">
        <v>15278437</v>
      </c>
      <c r="D152" s="19" t="s">
        <v>616</v>
      </c>
      <c r="E152" s="19">
        <v>648177</v>
      </c>
      <c r="F152" s="11" t="s">
        <v>290</v>
      </c>
      <c r="G152" s="11" t="s">
        <v>291</v>
      </c>
      <c r="H152" s="22">
        <v>7.0000000000000007E-2</v>
      </c>
      <c r="I152" s="11" t="s">
        <v>127</v>
      </c>
      <c r="J152" s="11">
        <v>109.75</v>
      </c>
      <c r="K152" s="11">
        <v>7.6825000000000001</v>
      </c>
      <c r="L152" s="11" t="s">
        <v>169</v>
      </c>
      <c r="M152" s="11" t="s">
        <v>612</v>
      </c>
      <c r="N152" s="20">
        <v>7.68</v>
      </c>
      <c r="O152" s="20">
        <v>0</v>
      </c>
      <c r="P152" s="11" t="s">
        <v>550</v>
      </c>
      <c r="Q152" s="11" t="s">
        <v>292</v>
      </c>
      <c r="R152" s="11" t="s">
        <v>293</v>
      </c>
      <c r="S152" s="11">
        <v>65</v>
      </c>
      <c r="T152" s="11">
        <v>20</v>
      </c>
      <c r="U152" s="20">
        <v>109.75</v>
      </c>
      <c r="V152" s="11" t="s">
        <v>101</v>
      </c>
      <c r="W152" s="11" t="s">
        <v>102</v>
      </c>
      <c r="X152" s="21">
        <v>1</v>
      </c>
      <c r="Y152" s="11" t="s">
        <v>57</v>
      </c>
    </row>
  </sheetData>
  <sortState xmlns:xlrd2="http://schemas.microsoft.com/office/spreadsheetml/2017/richdata2" ref="A2:Y10">
    <sortCondition ref="M2:M1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40ADA-709D-409B-88A8-AD8709AE3EFF}">
  <dimension ref="A1:Y1"/>
  <sheetViews>
    <sheetView workbookViewId="0">
      <selection sqref="A1:XFD1"/>
    </sheetView>
  </sheetViews>
  <sheetFormatPr defaultRowHeight="15" x14ac:dyDescent="0.25"/>
  <sheetData>
    <row r="1" spans="1:25" s="30" customFormat="1" ht="14.25" x14ac:dyDescent="0.2">
      <c r="A1" s="34">
        <v>1055790</v>
      </c>
      <c r="B1" s="34" t="s">
        <v>590</v>
      </c>
      <c r="C1" s="34" t="s">
        <v>614</v>
      </c>
      <c r="D1" s="34" t="s">
        <v>617</v>
      </c>
      <c r="E1" s="34">
        <v>891923</v>
      </c>
      <c r="F1" s="30" t="s">
        <v>352</v>
      </c>
      <c r="G1" s="30" t="s">
        <v>353</v>
      </c>
      <c r="H1" s="35">
        <v>0.18</v>
      </c>
      <c r="I1" s="30" t="s">
        <v>354</v>
      </c>
      <c r="J1" s="30">
        <v>56.33</v>
      </c>
      <c r="L1" s="30" t="s">
        <v>53</v>
      </c>
      <c r="M1" s="30" t="s">
        <v>608</v>
      </c>
      <c r="N1" s="30" t="e">
        <v>#N/A</v>
      </c>
      <c r="O1" s="30" t="s">
        <v>192</v>
      </c>
      <c r="P1" s="30" t="s">
        <v>194</v>
      </c>
      <c r="Q1" s="30" t="s">
        <v>57</v>
      </c>
      <c r="R1" s="30">
        <v>0</v>
      </c>
      <c r="S1" s="36">
        <v>56.33</v>
      </c>
      <c r="T1" s="30" t="s">
        <v>61</v>
      </c>
      <c r="U1" s="30" t="s">
        <v>213</v>
      </c>
      <c r="V1" s="37">
        <v>1</v>
      </c>
      <c r="W1" s="36">
        <v>10.14</v>
      </c>
      <c r="X1" s="36">
        <v>0</v>
      </c>
      <c r="Y1" s="30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FA5D9-27EF-429B-AB7F-D5CF50DC615E}">
  <dimension ref="A1:B158"/>
  <sheetViews>
    <sheetView topLeftCell="A124" workbookViewId="0">
      <selection activeCell="B1" sqref="B1:B158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50</v>
      </c>
      <c r="B1" t="str" cm="1">
        <f t="array" ref="B1:B158">VLOOKUP(A1:A158,[1]Sheet1!$A$1:$D$1301,2,FALSE)</f>
        <v>Medicare Supplement Plan G High Deductible</v>
      </c>
    </row>
    <row r="2" spans="1:2" x14ac:dyDescent="0.25">
      <c r="A2" t="s">
        <v>66</v>
      </c>
      <c r="B2" t="str">
        <v>Medicare Supplement Plan G</v>
      </c>
    </row>
    <row r="3" spans="1:2" x14ac:dyDescent="0.25">
      <c r="A3" t="s">
        <v>71</v>
      </c>
      <c r="B3" t="str">
        <v>Medicare Supplement Plan G</v>
      </c>
    </row>
    <row r="4" spans="1:2" x14ac:dyDescent="0.25">
      <c r="A4" t="s">
        <v>74</v>
      </c>
      <c r="B4" t="str">
        <v>Medicare Supplement Plan G</v>
      </c>
    </row>
    <row r="5" spans="1:2" x14ac:dyDescent="0.25">
      <c r="A5" t="s">
        <v>77</v>
      </c>
      <c r="B5" t="str">
        <v>Medicare Supplement Plan G</v>
      </c>
    </row>
    <row r="6" spans="1:2" x14ac:dyDescent="0.25">
      <c r="A6" t="s">
        <v>79</v>
      </c>
      <c r="B6" t="str">
        <v>Medicare Supplement Plan G</v>
      </c>
    </row>
    <row r="7" spans="1:2" x14ac:dyDescent="0.25">
      <c r="A7" t="s">
        <v>81</v>
      </c>
      <c r="B7" t="str">
        <v>Medicare Supplement Plan G</v>
      </c>
    </row>
    <row r="8" spans="1:2" x14ac:dyDescent="0.25">
      <c r="A8" t="s">
        <v>83</v>
      </c>
      <c r="B8" t="str">
        <v>Medicare Supplement Plan G</v>
      </c>
    </row>
    <row r="9" spans="1:2" x14ac:dyDescent="0.25">
      <c r="A9" t="s">
        <v>85</v>
      </c>
      <c r="B9" t="str">
        <v>Medicare Supplement Plan G</v>
      </c>
    </row>
    <row r="10" spans="1:2" x14ac:dyDescent="0.25">
      <c r="A10" t="s">
        <v>90</v>
      </c>
      <c r="B10" t="str">
        <v>Medicare Supplement Plan G</v>
      </c>
    </row>
    <row r="11" spans="1:2" x14ac:dyDescent="0.25">
      <c r="A11" t="s">
        <v>94</v>
      </c>
      <c r="B11" t="str">
        <v>Medicare Supplement Plan G</v>
      </c>
    </row>
    <row r="12" spans="1:2" x14ac:dyDescent="0.25">
      <c r="A12" t="s">
        <v>113</v>
      </c>
      <c r="B12" t="str">
        <v>Medicare Supplement Plan G</v>
      </c>
    </row>
    <row r="13" spans="1:2" x14ac:dyDescent="0.25">
      <c r="A13" t="s">
        <v>154</v>
      </c>
      <c r="B13" t="str">
        <v>Medicare Supplement Plan N</v>
      </c>
    </row>
    <row r="14" spans="1:2" x14ac:dyDescent="0.25">
      <c r="A14" t="s">
        <v>167</v>
      </c>
      <c r="B14" t="str">
        <v>Term Life Answer 10 15 20 30</v>
      </c>
    </row>
    <row r="15" spans="1:2" x14ac:dyDescent="0.25">
      <c r="A15" t="s">
        <v>196</v>
      </c>
      <c r="B15" t="str">
        <v>Term Life Express 10 15 20 30</v>
      </c>
    </row>
    <row r="16" spans="1:2" x14ac:dyDescent="0.25">
      <c r="A16" t="s">
        <v>202</v>
      </c>
      <c r="B16" t="str">
        <v>Medicare Supplement Plan G</v>
      </c>
    </row>
    <row r="17" spans="1:2" x14ac:dyDescent="0.25">
      <c r="A17" t="s">
        <v>206</v>
      </c>
      <c r="B17" t="str">
        <v>Medicare Supplement Plan N</v>
      </c>
    </row>
    <row r="18" spans="1:2" x14ac:dyDescent="0.25">
      <c r="A18" t="s">
        <v>209</v>
      </c>
      <c r="B18" t="str">
        <v>Medicare Supplement Plan G</v>
      </c>
    </row>
    <row r="19" spans="1:2" x14ac:dyDescent="0.25">
      <c r="A19" t="s">
        <v>233</v>
      </c>
      <c r="B19" t="str">
        <v>Iul Express</v>
      </c>
    </row>
    <row r="20" spans="1:2" x14ac:dyDescent="0.25">
      <c r="A20" t="s">
        <v>237</v>
      </c>
      <c r="B20" t="str">
        <v>Iul Express</v>
      </c>
    </row>
    <row r="21" spans="1:2" x14ac:dyDescent="0.25">
      <c r="A21" t="s">
        <v>242</v>
      </c>
      <c r="B21" t="str">
        <v>Iul Express</v>
      </c>
    </row>
    <row r="22" spans="1:2" x14ac:dyDescent="0.25">
      <c r="A22" t="s">
        <v>244</v>
      </c>
      <c r="B22" t="str">
        <v>Iul Express</v>
      </c>
    </row>
    <row r="23" spans="1:2" x14ac:dyDescent="0.25">
      <c r="A23" t="s">
        <v>247</v>
      </c>
      <c r="B23" t="str">
        <v>Term Life Express 10 15 20 30</v>
      </c>
    </row>
    <row r="24" spans="1:2" x14ac:dyDescent="0.25">
      <c r="A24" t="s">
        <v>250</v>
      </c>
      <c r="B24" t="str">
        <v>Term Life Express 10 15 20 30</v>
      </c>
    </row>
    <row r="25" spans="1:2" x14ac:dyDescent="0.25">
      <c r="A25" t="s">
        <v>259</v>
      </c>
      <c r="B25" t="str">
        <v>Iul Express</v>
      </c>
    </row>
    <row r="26" spans="1:2" x14ac:dyDescent="0.25">
      <c r="A26" t="s">
        <v>265</v>
      </c>
      <c r="B26" t="str">
        <v xml:space="preserve">Living Promise-graded                   </v>
      </c>
    </row>
    <row r="27" spans="1:2" x14ac:dyDescent="0.25">
      <c r="A27" t="s">
        <v>275</v>
      </c>
      <c r="B27" t="str">
        <v xml:space="preserve">Children S - Whole Life                 </v>
      </c>
    </row>
    <row r="28" spans="1:2" x14ac:dyDescent="0.25">
      <c r="A28" t="s">
        <v>278</v>
      </c>
      <c r="B28" t="str">
        <v xml:space="preserve">Children S - Whole Life                 </v>
      </c>
    </row>
    <row r="29" spans="1:2" x14ac:dyDescent="0.25">
      <c r="A29" t="s">
        <v>280</v>
      </c>
      <c r="B29" t="str">
        <v xml:space="preserve">Children S - Whole Life                 </v>
      </c>
    </row>
    <row r="30" spans="1:2" x14ac:dyDescent="0.25">
      <c r="A30" t="s">
        <v>282</v>
      </c>
      <c r="B30" t="str">
        <v>Iul Express</v>
      </c>
    </row>
    <row r="31" spans="1:2" x14ac:dyDescent="0.25">
      <c r="A31" t="s">
        <v>287</v>
      </c>
      <c r="B31" t="str">
        <v xml:space="preserve">Living Promise-graded                   </v>
      </c>
    </row>
    <row r="32" spans="1:2" x14ac:dyDescent="0.25">
      <c r="A32" t="s">
        <v>298</v>
      </c>
      <c r="B32" t="str">
        <v>Iul Express</v>
      </c>
    </row>
    <row r="33" spans="1:2" x14ac:dyDescent="0.25">
      <c r="A33" t="s">
        <v>303</v>
      </c>
      <c r="B33" t="str">
        <v>Term Life Express 10 15 20 30</v>
      </c>
    </row>
    <row r="34" spans="1:2" x14ac:dyDescent="0.25">
      <c r="A34" t="s">
        <v>306</v>
      </c>
      <c r="B34" t="str">
        <v>Term Life Express 10 15 20 30</v>
      </c>
    </row>
    <row r="35" spans="1:2" x14ac:dyDescent="0.25">
      <c r="A35" t="s">
        <v>316</v>
      </c>
      <c r="B35" t="str">
        <v>Iul Express</v>
      </c>
    </row>
    <row r="36" spans="1:2" x14ac:dyDescent="0.25">
      <c r="A36" t="s">
        <v>326</v>
      </c>
      <c r="B36" t="str">
        <v>Term Life Express 10 15 20 30</v>
      </c>
    </row>
    <row r="37" spans="1:2" x14ac:dyDescent="0.25">
      <c r="A37" t="s">
        <v>333</v>
      </c>
      <c r="B37" t="str">
        <v>Term Life Express 10 15 20 30</v>
      </c>
    </row>
    <row r="38" spans="1:2" x14ac:dyDescent="0.25">
      <c r="A38" t="s">
        <v>336</v>
      </c>
      <c r="B38" t="str">
        <v>Term Life Express 10 15 20 30</v>
      </c>
    </row>
    <row r="39" spans="1:2" x14ac:dyDescent="0.25">
      <c r="A39" t="s">
        <v>342</v>
      </c>
      <c r="B39" t="str">
        <v>Term Life Express 10 15 20 30</v>
      </c>
    </row>
    <row r="40" spans="1:2" x14ac:dyDescent="0.25">
      <c r="A40" t="s">
        <v>348</v>
      </c>
      <c r="B40" t="str">
        <v>Iul Express</v>
      </c>
    </row>
    <row r="41" spans="1:2" x14ac:dyDescent="0.25">
      <c r="A41" t="s">
        <v>357</v>
      </c>
      <c r="B41" t="str">
        <v xml:space="preserve">Preferred Plan (a) Dnt2i                </v>
      </c>
    </row>
    <row r="42" spans="1:2" x14ac:dyDescent="0.25">
      <c r="A42" t="s">
        <v>360</v>
      </c>
      <c r="B42" t="str">
        <v xml:space="preserve">Protection  Plan (c) Dnt5e              </v>
      </c>
    </row>
    <row r="43" spans="1:2" x14ac:dyDescent="0.25">
      <c r="A43" t="s">
        <v>366</v>
      </c>
      <c r="B43" t="str">
        <v xml:space="preserve">Preferred Plan (a) Dnt2e                </v>
      </c>
    </row>
    <row r="44" spans="1:2" x14ac:dyDescent="0.25">
      <c r="A44" t="s">
        <v>370</v>
      </c>
      <c r="B44" t="str">
        <v xml:space="preserve">Protection  Plan (c) Dnt5i              </v>
      </c>
    </row>
    <row r="45" spans="1:2" x14ac:dyDescent="0.25">
      <c r="A45" t="s">
        <v>373</v>
      </c>
      <c r="B45" t="str">
        <v xml:space="preserve">Preferred Plan (a) Dnt2i                </v>
      </c>
    </row>
    <row r="46" spans="1:2" x14ac:dyDescent="0.25">
      <c r="A46" t="s">
        <v>376</v>
      </c>
      <c r="B46" t="str">
        <v xml:space="preserve">Preferred Plan (a) Dnt2i                </v>
      </c>
    </row>
    <row r="47" spans="1:2" x14ac:dyDescent="0.25">
      <c r="A47" t="s">
        <v>378</v>
      </c>
      <c r="B47" t="str">
        <v xml:space="preserve">Preferred Plan (a) Dnt2i                </v>
      </c>
    </row>
    <row r="48" spans="1:2" x14ac:dyDescent="0.25">
      <c r="A48" t="s">
        <v>380</v>
      </c>
      <c r="B48" t="str">
        <v xml:space="preserve">Protection  Plan (c) Dnt5i              </v>
      </c>
    </row>
    <row r="49" spans="1:2" x14ac:dyDescent="0.25">
      <c r="A49" t="s">
        <v>382</v>
      </c>
      <c r="B49" t="str">
        <v xml:space="preserve">Preferred Plan (a) Dnt2i                </v>
      </c>
    </row>
    <row r="50" spans="1:2" x14ac:dyDescent="0.25">
      <c r="A50" t="s">
        <v>384</v>
      </c>
      <c r="B50" t="str">
        <v>Medicare Supplement Plan A</v>
      </c>
    </row>
    <row r="51" spans="1:2" x14ac:dyDescent="0.25">
      <c r="A51" t="s">
        <v>387</v>
      </c>
      <c r="B51" t="str">
        <v>Medicare Supplement Plan G</v>
      </c>
    </row>
    <row r="52" spans="1:2" x14ac:dyDescent="0.25">
      <c r="A52" t="s">
        <v>390</v>
      </c>
      <c r="B52" t="str">
        <v>Medicare Supplement Plan A</v>
      </c>
    </row>
    <row r="53" spans="1:2" x14ac:dyDescent="0.25">
      <c r="A53" t="s">
        <v>393</v>
      </c>
      <c r="B53" t="str">
        <v>Medicare Supplement Plan G</v>
      </c>
    </row>
    <row r="54" spans="1:2" x14ac:dyDescent="0.25">
      <c r="A54" t="s">
        <v>395</v>
      </c>
      <c r="B54" t="str">
        <v>Medicare Supplement Plan G</v>
      </c>
    </row>
    <row r="55" spans="1:2" x14ac:dyDescent="0.25">
      <c r="A55" t="s">
        <v>398</v>
      </c>
      <c r="B55" t="str">
        <v>Medicare Supplement Plan G</v>
      </c>
    </row>
    <row r="56" spans="1:2" x14ac:dyDescent="0.25">
      <c r="A56" t="s">
        <v>400</v>
      </c>
      <c r="B56" t="str">
        <v>Medicare Supplement Plan G</v>
      </c>
    </row>
    <row r="57" spans="1:2" x14ac:dyDescent="0.25">
      <c r="A57" t="s">
        <v>404</v>
      </c>
      <c r="B57" t="str">
        <v>Medicare Supplement Plan G</v>
      </c>
    </row>
    <row r="58" spans="1:2" x14ac:dyDescent="0.25">
      <c r="A58" t="s">
        <v>406</v>
      </c>
      <c r="B58" t="str">
        <v>Medicare Supplement Plan G</v>
      </c>
    </row>
    <row r="59" spans="1:2" x14ac:dyDescent="0.25">
      <c r="A59" t="s">
        <v>482</v>
      </c>
      <c r="B59" t="str">
        <v>Medicare Supplement Plan N</v>
      </c>
    </row>
    <row r="60" spans="1:2" x14ac:dyDescent="0.25">
      <c r="A60" t="s">
        <v>511</v>
      </c>
      <c r="B60" t="str">
        <v>Medicare Supplement Plan G</v>
      </c>
    </row>
    <row r="61" spans="1:2" x14ac:dyDescent="0.25">
      <c r="A61" t="s">
        <v>523</v>
      </c>
      <c r="B61" t="str">
        <v xml:space="preserve">Preferred Plan (a) Dnt2e                </v>
      </c>
    </row>
    <row r="62" spans="1:2" x14ac:dyDescent="0.25">
      <c r="A62" t="s">
        <v>214</v>
      </c>
      <c r="B62" t="str">
        <v>Iul Express</v>
      </c>
    </row>
    <row r="63" spans="1:2" x14ac:dyDescent="0.25">
      <c r="A63" t="s">
        <v>270</v>
      </c>
      <c r="B63" t="str">
        <v>Iul Express</v>
      </c>
    </row>
    <row r="64" spans="1:2" x14ac:dyDescent="0.25">
      <c r="A64" t="s">
        <v>273</v>
      </c>
      <c r="B64" t="str">
        <v>Iul Express</v>
      </c>
    </row>
    <row r="65" spans="1:2" x14ac:dyDescent="0.25">
      <c r="A65" t="s">
        <v>253</v>
      </c>
      <c r="B65" t="e">
        <v>#N/A</v>
      </c>
    </row>
    <row r="66" spans="1:2" x14ac:dyDescent="0.25">
      <c r="A66" t="s">
        <v>262</v>
      </c>
      <c r="B66" t="e">
        <v>#N/A</v>
      </c>
    </row>
    <row r="67" spans="1:2" x14ac:dyDescent="0.25">
      <c r="A67" t="s">
        <v>211</v>
      </c>
      <c r="B67" t="str">
        <v>Term Life Express 10 15 20 30</v>
      </c>
    </row>
    <row r="68" spans="1:2" x14ac:dyDescent="0.25">
      <c r="A68" t="s">
        <v>284</v>
      </c>
      <c r="B68" t="str">
        <v>Term Life Express 10 15 20 30</v>
      </c>
    </row>
    <row r="69" spans="1:2" x14ac:dyDescent="0.25">
      <c r="A69" t="s">
        <v>294</v>
      </c>
      <c r="B69" t="str">
        <v>Term Life Answer 10 15 20 30</v>
      </c>
    </row>
    <row r="70" spans="1:2" x14ac:dyDescent="0.25">
      <c r="A70" t="s">
        <v>331</v>
      </c>
      <c r="B70" t="str">
        <v>Term Life Express 10 15 20 30</v>
      </c>
    </row>
    <row r="71" spans="1:2" x14ac:dyDescent="0.25">
      <c r="A71" t="s">
        <v>339</v>
      </c>
      <c r="B71" t="str">
        <v>Iul Express</v>
      </c>
    </row>
    <row r="72" spans="1:2" x14ac:dyDescent="0.25">
      <c r="A72" t="s">
        <v>352</v>
      </c>
      <c r="B72" t="str">
        <v xml:space="preserve">Preferred Plan (a) Dnt2e                </v>
      </c>
    </row>
    <row r="73" spans="1:2" x14ac:dyDescent="0.25">
      <c r="A73" t="s">
        <v>364</v>
      </c>
      <c r="B73" t="str">
        <v xml:space="preserve">Protection  Plan (c) Dnt5e              </v>
      </c>
    </row>
    <row r="74" spans="1:2" x14ac:dyDescent="0.25">
      <c r="A74" t="s">
        <v>219</v>
      </c>
      <c r="B74" t="str">
        <v>Iul Express</v>
      </c>
    </row>
    <row r="75" spans="1:2" x14ac:dyDescent="0.25">
      <c r="A75" t="s">
        <v>224</v>
      </c>
      <c r="B75" t="str">
        <v>Iul Express</v>
      </c>
    </row>
    <row r="76" spans="1:2" x14ac:dyDescent="0.25">
      <c r="A76" t="s">
        <v>228</v>
      </c>
      <c r="B76" t="str">
        <v>Iul Express</v>
      </c>
    </row>
    <row r="77" spans="1:2" x14ac:dyDescent="0.25">
      <c r="A77" t="s">
        <v>231</v>
      </c>
      <c r="B77" t="str">
        <v>Iul Express</v>
      </c>
    </row>
    <row r="78" spans="1:2" x14ac:dyDescent="0.25">
      <c r="A78" t="s">
        <v>284</v>
      </c>
      <c r="B78" t="str">
        <v>Term Life Express 10 15 20 30</v>
      </c>
    </row>
    <row r="79" spans="1:2" x14ac:dyDescent="0.25">
      <c r="A79" t="s">
        <v>320</v>
      </c>
      <c r="B79" t="str">
        <v>Term Life Express 10 15 20 30</v>
      </c>
    </row>
    <row r="80" spans="1:2" x14ac:dyDescent="0.25">
      <c r="A80" t="s">
        <v>339</v>
      </c>
      <c r="B80" t="str">
        <v>Iul Express</v>
      </c>
    </row>
    <row r="81" spans="1:2" x14ac:dyDescent="0.25">
      <c r="A81" t="s">
        <v>219</v>
      </c>
      <c r="B81" t="str">
        <v>Iul Express</v>
      </c>
    </row>
    <row r="82" spans="1:2" x14ac:dyDescent="0.25">
      <c r="A82" t="s">
        <v>224</v>
      </c>
      <c r="B82" t="str">
        <v>Iul Express</v>
      </c>
    </row>
    <row r="83" spans="1:2" x14ac:dyDescent="0.25">
      <c r="A83" t="s">
        <v>311</v>
      </c>
      <c r="B83" t="str">
        <v>Iul Express</v>
      </c>
    </row>
    <row r="84" spans="1:2" x14ac:dyDescent="0.25">
      <c r="A84" t="s">
        <v>224</v>
      </c>
      <c r="B84" t="str">
        <v>Iul Express</v>
      </c>
    </row>
    <row r="85" spans="1:2" x14ac:dyDescent="0.25">
      <c r="A85" t="s">
        <v>253</v>
      </c>
      <c r="B85" t="e">
        <v>#N/A</v>
      </c>
    </row>
    <row r="86" spans="1:2" x14ac:dyDescent="0.25">
      <c r="A86" t="s">
        <v>262</v>
      </c>
      <c r="B86" t="e">
        <v>#N/A</v>
      </c>
    </row>
    <row r="87" spans="1:2" x14ac:dyDescent="0.25">
      <c r="A87" t="s">
        <v>311</v>
      </c>
      <c r="B87" t="str">
        <v>Iul Express</v>
      </c>
    </row>
    <row r="88" spans="1:2" x14ac:dyDescent="0.25">
      <c r="A88" t="s">
        <v>345</v>
      </c>
      <c r="B88" t="str">
        <v xml:space="preserve">Children S - Whole Life                 </v>
      </c>
    </row>
    <row r="89" spans="1:2" x14ac:dyDescent="0.25">
      <c r="A89" t="s">
        <v>97</v>
      </c>
      <c r="B89" t="str">
        <v>Medicare Supplement Plan G</v>
      </c>
    </row>
    <row r="90" spans="1:2" x14ac:dyDescent="0.25">
      <c r="A90" t="s">
        <v>103</v>
      </c>
      <c r="B90" t="str">
        <v>Medicare Supplement Plan G</v>
      </c>
    </row>
    <row r="91" spans="1:2" x14ac:dyDescent="0.25">
      <c r="A91" t="s">
        <v>106</v>
      </c>
      <c r="B91" t="str">
        <v>Medicare Supplement Plan G</v>
      </c>
    </row>
    <row r="92" spans="1:2" x14ac:dyDescent="0.25">
      <c r="A92" t="s">
        <v>108</v>
      </c>
      <c r="B92" t="str">
        <v>Medicare Supplement Plan G</v>
      </c>
    </row>
    <row r="93" spans="1:2" x14ac:dyDescent="0.25">
      <c r="A93" t="s">
        <v>111</v>
      </c>
      <c r="B93" t="str">
        <v>Medicare Supplement Plan G</v>
      </c>
    </row>
    <row r="94" spans="1:2" x14ac:dyDescent="0.25">
      <c r="A94" t="s">
        <v>117</v>
      </c>
      <c r="B94" t="str">
        <v>Medicare Supplement Plan G</v>
      </c>
    </row>
    <row r="95" spans="1:2" x14ac:dyDescent="0.25">
      <c r="A95" t="s">
        <v>120</v>
      </c>
      <c r="B95" t="str">
        <v>Medicare Supplement Plan G</v>
      </c>
    </row>
    <row r="96" spans="1:2" x14ac:dyDescent="0.25">
      <c r="A96" t="s">
        <v>125</v>
      </c>
      <c r="B96" t="str">
        <v>Medicare Supplement Plan N</v>
      </c>
    </row>
    <row r="97" spans="1:2" x14ac:dyDescent="0.25">
      <c r="A97" t="s">
        <v>130</v>
      </c>
      <c r="B97" t="str">
        <v>Medicare Supplement Plan G</v>
      </c>
    </row>
    <row r="98" spans="1:2" x14ac:dyDescent="0.25">
      <c r="A98" t="s">
        <v>134</v>
      </c>
      <c r="B98" t="str">
        <v>Medicare Supplement Plan G</v>
      </c>
    </row>
    <row r="99" spans="1:2" x14ac:dyDescent="0.25">
      <c r="A99" t="s">
        <v>138</v>
      </c>
      <c r="B99" t="str">
        <v>Medicare Supplement Plan G</v>
      </c>
    </row>
    <row r="100" spans="1:2" x14ac:dyDescent="0.25">
      <c r="A100" t="s">
        <v>143</v>
      </c>
      <c r="B100" t="str">
        <v>Medicare Supplement Plan N</v>
      </c>
    </row>
    <row r="101" spans="1:2" x14ac:dyDescent="0.25">
      <c r="A101" t="s">
        <v>146</v>
      </c>
      <c r="B101" t="str">
        <v>Medicare Supplement Plan N</v>
      </c>
    </row>
    <row r="102" spans="1:2" x14ac:dyDescent="0.25">
      <c r="A102" t="s">
        <v>150</v>
      </c>
      <c r="B102" t="str">
        <v>Medicare Supplement Plan G</v>
      </c>
    </row>
    <row r="103" spans="1:2" x14ac:dyDescent="0.25">
      <c r="A103" t="s">
        <v>159</v>
      </c>
      <c r="B103" t="str">
        <v>Medicare Supplement Plan F</v>
      </c>
    </row>
    <row r="104" spans="1:2" x14ac:dyDescent="0.25">
      <c r="A104" t="s">
        <v>162</v>
      </c>
      <c r="B104" t="str">
        <v>Medicare Supplement Plan G</v>
      </c>
    </row>
    <row r="105" spans="1:2" x14ac:dyDescent="0.25">
      <c r="A105" t="s">
        <v>172</v>
      </c>
      <c r="B105" t="str">
        <v xml:space="preserve">Living Promise - Level  Benefit         </v>
      </c>
    </row>
    <row r="106" spans="1:2" x14ac:dyDescent="0.25">
      <c r="A106" t="s">
        <v>178</v>
      </c>
      <c r="B106" t="str">
        <v xml:space="preserve">Living Promise - Level  Benefit         </v>
      </c>
    </row>
    <row r="107" spans="1:2" x14ac:dyDescent="0.25">
      <c r="A107" t="s">
        <v>181</v>
      </c>
      <c r="B107" t="str">
        <v xml:space="preserve">Living Promise - Level  Benefit         </v>
      </c>
    </row>
    <row r="108" spans="1:2" x14ac:dyDescent="0.25">
      <c r="A108" t="s">
        <v>184</v>
      </c>
      <c r="B108" t="str">
        <v xml:space="preserve">Living Promise - Level  Benefit         </v>
      </c>
    </row>
    <row r="109" spans="1:2" x14ac:dyDescent="0.25">
      <c r="A109" t="s">
        <v>187</v>
      </c>
      <c r="B109" t="str">
        <v xml:space="preserve">Living Promise - Level  Benefit         </v>
      </c>
    </row>
    <row r="110" spans="1:2" x14ac:dyDescent="0.25">
      <c r="A110" t="s">
        <v>189</v>
      </c>
      <c r="B110" t="str">
        <v xml:space="preserve">Living Promise - Level  Benefit         </v>
      </c>
    </row>
    <row r="111" spans="1:2" x14ac:dyDescent="0.25">
      <c r="A111" t="s">
        <v>290</v>
      </c>
      <c r="B111" t="str">
        <v xml:space="preserve">Living Promise - Level  Benefit         </v>
      </c>
    </row>
    <row r="112" spans="1:2" x14ac:dyDescent="0.25">
      <c r="A112" t="s">
        <v>408</v>
      </c>
      <c r="B112" t="str">
        <v>Medicare Supplement Plan N</v>
      </c>
    </row>
    <row r="113" spans="1:2" x14ac:dyDescent="0.25">
      <c r="A113" t="s">
        <v>411</v>
      </c>
      <c r="B113" t="str">
        <v>Medicare Supplement Plan G</v>
      </c>
    </row>
    <row r="114" spans="1:2" x14ac:dyDescent="0.25">
      <c r="A114" t="s">
        <v>413</v>
      </c>
      <c r="B114" t="str">
        <v>Medicare Supplement Plan G</v>
      </c>
    </row>
    <row r="115" spans="1:2" x14ac:dyDescent="0.25">
      <c r="A115" t="s">
        <v>416</v>
      </c>
      <c r="B115" t="str">
        <v>Medicare Supplement Plan N</v>
      </c>
    </row>
    <row r="116" spans="1:2" x14ac:dyDescent="0.25">
      <c r="A116" t="s">
        <v>419</v>
      </c>
      <c r="B116" t="str">
        <v>Medicare Supplement Plan N</v>
      </c>
    </row>
    <row r="117" spans="1:2" x14ac:dyDescent="0.25">
      <c r="A117" t="s">
        <v>421</v>
      </c>
      <c r="B117" t="str">
        <v>Medicare Supplement Plan G</v>
      </c>
    </row>
    <row r="118" spans="1:2" x14ac:dyDescent="0.25">
      <c r="A118" t="s">
        <v>423</v>
      </c>
      <c r="B118" t="str">
        <v>Medicare Supplement Plan G</v>
      </c>
    </row>
    <row r="119" spans="1:2" x14ac:dyDescent="0.25">
      <c r="A119" t="s">
        <v>425</v>
      </c>
      <c r="B119" t="str">
        <v>Medicare Supplement Plan G High Deductible</v>
      </c>
    </row>
    <row r="120" spans="1:2" x14ac:dyDescent="0.25">
      <c r="A120" t="s">
        <v>428</v>
      </c>
      <c r="B120" t="str">
        <v>Medicare Supplement Plan G</v>
      </c>
    </row>
    <row r="121" spans="1:2" x14ac:dyDescent="0.25">
      <c r="A121" t="s">
        <v>430</v>
      </c>
      <c r="B121" t="str">
        <v>Medicare Supplement Plan N</v>
      </c>
    </row>
    <row r="122" spans="1:2" x14ac:dyDescent="0.25">
      <c r="A122" t="s">
        <v>433</v>
      </c>
      <c r="B122" t="str">
        <v>Medicare Supplement Plan N</v>
      </c>
    </row>
    <row r="123" spans="1:2" x14ac:dyDescent="0.25">
      <c r="A123" t="s">
        <v>435</v>
      </c>
      <c r="B123" t="str">
        <v>Medicare Supplement Plan N</v>
      </c>
    </row>
    <row r="124" spans="1:2" x14ac:dyDescent="0.25">
      <c r="A124" t="s">
        <v>438</v>
      </c>
      <c r="B124" t="str">
        <v>Medicare Supplement Plan G</v>
      </c>
    </row>
    <row r="125" spans="1:2" x14ac:dyDescent="0.25">
      <c r="A125" t="s">
        <v>440</v>
      </c>
      <c r="B125" t="str">
        <v>Medicare Supplement Plan N</v>
      </c>
    </row>
    <row r="126" spans="1:2" x14ac:dyDescent="0.25">
      <c r="A126" t="s">
        <v>443</v>
      </c>
      <c r="B126" t="str">
        <v>Medicare Supplement Plan N</v>
      </c>
    </row>
    <row r="127" spans="1:2" x14ac:dyDescent="0.25">
      <c r="A127" t="s">
        <v>446</v>
      </c>
      <c r="B127" t="str">
        <v>Medicare Supplement Plan N</v>
      </c>
    </row>
    <row r="128" spans="1:2" x14ac:dyDescent="0.25">
      <c r="A128" t="s">
        <v>448</v>
      </c>
      <c r="B128" t="str">
        <v>Medicare Supplement Plan G</v>
      </c>
    </row>
    <row r="129" spans="1:2" x14ac:dyDescent="0.25">
      <c r="A129" t="s">
        <v>451</v>
      </c>
      <c r="B129" t="str">
        <v>Medicare Supplement Plan G</v>
      </c>
    </row>
    <row r="130" spans="1:2" x14ac:dyDescent="0.25">
      <c r="A130" t="s">
        <v>453</v>
      </c>
      <c r="B130" t="str">
        <v>Medicare Supplement Plan G</v>
      </c>
    </row>
    <row r="131" spans="1:2" x14ac:dyDescent="0.25">
      <c r="A131" t="s">
        <v>455</v>
      </c>
      <c r="B131" t="str">
        <v>Medicare Supplement Plan G</v>
      </c>
    </row>
    <row r="132" spans="1:2" x14ac:dyDescent="0.25">
      <c r="A132" t="s">
        <v>457</v>
      </c>
      <c r="B132" t="str">
        <v>Medicare Supplement Plan N</v>
      </c>
    </row>
    <row r="133" spans="1:2" x14ac:dyDescent="0.25">
      <c r="A133" t="s">
        <v>460</v>
      </c>
      <c r="B133" t="str">
        <v>Medicare Supplement Plan G</v>
      </c>
    </row>
    <row r="134" spans="1:2" x14ac:dyDescent="0.25">
      <c r="A134" t="s">
        <v>463</v>
      </c>
      <c r="B134" t="str">
        <v>Medicare Supplement Plan G</v>
      </c>
    </row>
    <row r="135" spans="1:2" x14ac:dyDescent="0.25">
      <c r="A135" t="s">
        <v>465</v>
      </c>
      <c r="B135" t="str">
        <v>Medicare Supplement Plan G</v>
      </c>
    </row>
    <row r="136" spans="1:2" x14ac:dyDescent="0.25">
      <c r="A136" t="s">
        <v>468</v>
      </c>
      <c r="B136" t="str">
        <v>Medicare Supplement Plan G</v>
      </c>
    </row>
    <row r="137" spans="1:2" x14ac:dyDescent="0.25">
      <c r="A137" t="s">
        <v>470</v>
      </c>
      <c r="B137" t="str">
        <v>Medicare Supplement Plan G</v>
      </c>
    </row>
    <row r="138" spans="1:2" x14ac:dyDescent="0.25">
      <c r="A138" t="s">
        <v>472</v>
      </c>
      <c r="B138" t="str">
        <v>Medicare Supplement Plan N</v>
      </c>
    </row>
    <row r="139" spans="1:2" x14ac:dyDescent="0.25">
      <c r="A139" t="s">
        <v>475</v>
      </c>
      <c r="B139" t="str">
        <v>Medicare Supplement Plan N</v>
      </c>
    </row>
    <row r="140" spans="1:2" x14ac:dyDescent="0.25">
      <c r="A140" t="s">
        <v>477</v>
      </c>
      <c r="B140" t="str">
        <v>Medicare Supplement Plan N</v>
      </c>
    </row>
    <row r="141" spans="1:2" x14ac:dyDescent="0.25">
      <c r="A141" t="s">
        <v>479</v>
      </c>
      <c r="B141" t="str">
        <v>Medicare Supplement Plan G</v>
      </c>
    </row>
    <row r="142" spans="1:2" x14ac:dyDescent="0.25">
      <c r="A142" t="s">
        <v>484</v>
      </c>
      <c r="B142" t="str">
        <v xml:space="preserve">Protection  Plan (c) Dnt5i              </v>
      </c>
    </row>
    <row r="143" spans="1:2" x14ac:dyDescent="0.25">
      <c r="A143" t="s">
        <v>488</v>
      </c>
      <c r="B143" t="str">
        <v xml:space="preserve">Preferred Plan (a) Dnt2i                </v>
      </c>
    </row>
    <row r="144" spans="1:2" x14ac:dyDescent="0.25">
      <c r="A144" t="s">
        <v>492</v>
      </c>
      <c r="B144" t="str">
        <v xml:space="preserve">Protection  Plan (c) Dnt5i              </v>
      </c>
    </row>
    <row r="145" spans="1:2" x14ac:dyDescent="0.25">
      <c r="A145" t="s">
        <v>494</v>
      </c>
      <c r="B145" t="str">
        <v xml:space="preserve">Protection  Plan (c) Dnt5i              </v>
      </c>
    </row>
    <row r="146" spans="1:2" x14ac:dyDescent="0.25">
      <c r="A146" t="s">
        <v>497</v>
      </c>
      <c r="B146" t="str">
        <v xml:space="preserve">Protection  Plan (c) Dnt5i              </v>
      </c>
    </row>
    <row r="147" spans="1:2" x14ac:dyDescent="0.25">
      <c r="A147" t="s">
        <v>499</v>
      </c>
      <c r="B147" t="str">
        <v xml:space="preserve">Preferred Plan (a) Dnt2i                </v>
      </c>
    </row>
    <row r="148" spans="1:2" x14ac:dyDescent="0.25">
      <c r="A148" t="s">
        <v>501</v>
      </c>
      <c r="B148" t="str">
        <v xml:space="preserve">Preferred Plan (a) Dnt2i                </v>
      </c>
    </row>
    <row r="149" spans="1:2" x14ac:dyDescent="0.25">
      <c r="A149" t="s">
        <v>503</v>
      </c>
      <c r="B149" t="str">
        <v xml:space="preserve">Protection  Plan (c) Dnt5i              </v>
      </c>
    </row>
    <row r="150" spans="1:2" x14ac:dyDescent="0.25">
      <c r="A150" t="s">
        <v>505</v>
      </c>
      <c r="B150" t="str">
        <v xml:space="preserve">Protection  Plan (c) Dnt5i              </v>
      </c>
    </row>
    <row r="151" spans="1:2" x14ac:dyDescent="0.25">
      <c r="A151" t="s">
        <v>507</v>
      </c>
      <c r="B151" t="str">
        <v xml:space="preserve">Preferred Plan (a) Dnt2i                </v>
      </c>
    </row>
    <row r="152" spans="1:2" x14ac:dyDescent="0.25">
      <c r="A152" t="s">
        <v>514</v>
      </c>
      <c r="B152" t="str">
        <v>Medicare Supplement Plan G</v>
      </c>
    </row>
    <row r="153" spans="1:2" x14ac:dyDescent="0.25">
      <c r="A153" t="s">
        <v>516</v>
      </c>
      <c r="B153" t="str">
        <v>Medicare Supplement Plan G</v>
      </c>
    </row>
    <row r="154" spans="1:2" x14ac:dyDescent="0.25">
      <c r="A154" t="s">
        <v>519</v>
      </c>
      <c r="B154" t="str">
        <v>Medicare Supplement Plan G</v>
      </c>
    </row>
    <row r="155" spans="1:2" x14ac:dyDescent="0.25">
      <c r="A155" t="s">
        <v>525</v>
      </c>
      <c r="B155" t="str">
        <v xml:space="preserve">Protection  Plan (c) Dnt5i              </v>
      </c>
    </row>
    <row r="156" spans="1:2" x14ac:dyDescent="0.25">
      <c r="A156" t="s">
        <v>528</v>
      </c>
      <c r="B156" t="str">
        <v xml:space="preserve">Protection  Plan (c) Dnt5i              </v>
      </c>
    </row>
    <row r="157" spans="1:2" x14ac:dyDescent="0.25">
      <c r="A157" t="s">
        <v>531</v>
      </c>
      <c r="B157" t="str">
        <v xml:space="preserve">Protection  Plan (c) Dnt5e              </v>
      </c>
    </row>
    <row r="158" spans="1:2" x14ac:dyDescent="0.25">
      <c r="A158" t="s">
        <v>533</v>
      </c>
      <c r="B158" t="str">
        <v xml:space="preserve">Protection  Plan (c) Dnt5e             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DETAILS</vt:lpstr>
      <vt:lpstr>clean sheet</vt:lpstr>
      <vt:lpstr>hold</vt:lpstr>
      <vt:lpstr>Sheet2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2026-03-12T11:02:11Z</dcterms:created>
  <dcterms:modified xsi:type="dcterms:W3CDTF">2026-03-18T22:59:30Z</dcterms:modified>
</cp:coreProperties>
</file>