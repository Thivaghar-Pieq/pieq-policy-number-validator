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clean sheet" sheetId="3" r:id="rId6"/>
    <sheet state="visible" name="Sheet2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hol2RoPaJGEXTrHEEL5hlPwLJq4WRKI/o9MqoXw4R8Y="/>
    </ext>
  </extLst>
</workbook>
</file>

<file path=xl/sharedStrings.xml><?xml version="1.0" encoding="utf-8"?>
<sst xmlns="http://schemas.openxmlformats.org/spreadsheetml/2006/main" count="2068" uniqueCount="383">
  <si>
    <t>MUTUAL OF OMAHA</t>
  </si>
  <si>
    <t>SUMMARY COMPENSATION STATEMENT</t>
  </si>
  <si>
    <t>For Period Ending 03/24/2026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</si>
  <si>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</si>
  <si>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</si>
  <si>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</si>
  <si>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</si>
  <si>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</si>
  <si>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</si>
  <si>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</si>
  <si>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</si>
  <si>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</si>
  <si>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</si>
  <si>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</si>
  <si>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</si>
  <si>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</si>
  <si>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</si>
  <si>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</si>
  <si>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</si>
  <si>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</si>
  <si>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</si>
  <si>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</si>
  <si>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</si>
  <si>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</si>
  <si>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</si>
  <si>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</si>
  <si>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</si>
  <si>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</si>
  <si>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</si>
  <si>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</si>
  <si>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</si>
  <si>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</si>
  <si>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</si>
  <si>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</si>
  <si>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</si>
  <si>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</si>
  <si>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</si>
  <si>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</si>
  <si>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</si>
  <si>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</si>
  <si>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</si>
  <si>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</si>
  <si>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</si>
  <si>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</si>
  <si>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</si>
  <si>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</si>
  <si>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</si>
  <si>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</si>
  <si>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682141-97</t>
  </si>
  <si>
    <t>FORBES SCOTT</t>
  </si>
  <si>
    <t>IL</t>
  </si>
  <si>
    <t>03/23/2026</t>
  </si>
  <si>
    <t>NM24HL</t>
  </si>
  <si>
    <t>07/01/2025</t>
  </si>
  <si>
    <t>04/01/2026</t>
  </si>
  <si>
    <t/>
  </si>
  <si>
    <t>M</t>
  </si>
  <si>
    <t>BSP</t>
  </si>
  <si>
    <t>001</t>
  </si>
  <si>
    <t>F</t>
  </si>
  <si>
    <t>BFY PAYMENT</t>
  </si>
  <si>
    <t>100.0%</t>
  </si>
  <si>
    <t>473139-97</t>
  </si>
  <si>
    <t>MCBRIDE SHIRLEY</t>
  </si>
  <si>
    <t>01/01/2025</t>
  </si>
  <si>
    <t>R</t>
  </si>
  <si>
    <t>RENEWAL PYMT</t>
  </si>
  <si>
    <t>502942-97</t>
  </si>
  <si>
    <t>HANDLEY MARSHA</t>
  </si>
  <si>
    <t>03/18/2026</t>
  </si>
  <si>
    <t>544949-97</t>
  </si>
  <si>
    <t>TOLBERT MARGARET</t>
  </si>
  <si>
    <t>03/19/2026</t>
  </si>
  <si>
    <t>02/01/2025</t>
  </si>
  <si>
    <t>590925-97</t>
  </si>
  <si>
    <t>VENTIMIGLIA ROXANNE</t>
  </si>
  <si>
    <t>03/01/2025</t>
  </si>
  <si>
    <t>600435-97</t>
  </si>
  <si>
    <t>JOHNSON WILLIAM</t>
  </si>
  <si>
    <t>603047-97</t>
  </si>
  <si>
    <t>CASHEN ROBYN</t>
  </si>
  <si>
    <t>614242-97</t>
  </si>
  <si>
    <t>BROWN PENNY</t>
  </si>
  <si>
    <t>629715-97</t>
  </si>
  <si>
    <t>BAUMHARDT JEAN</t>
  </si>
  <si>
    <t>624106-97</t>
  </si>
  <si>
    <t>JOHNSON REBECCA</t>
  </si>
  <si>
    <t>04/01/2025</t>
  </si>
  <si>
    <t>603087-97</t>
  </si>
  <si>
    <t>CASHEN CHRISTOPHER</t>
  </si>
  <si>
    <t>UNITED</t>
  </si>
  <si>
    <t>0957310</t>
  </si>
  <si>
    <t>878137-96</t>
  </si>
  <si>
    <t>ZONCA LORILEE</t>
  </si>
  <si>
    <t>PA</t>
  </si>
  <si>
    <t>UM35HLV</t>
  </si>
  <si>
    <t>03/01/2024</t>
  </si>
  <si>
    <t>07/01/2026</t>
  </si>
  <si>
    <t>Q</t>
  </si>
  <si>
    <t>REG</t>
  </si>
  <si>
    <t>003</t>
  </si>
  <si>
    <t>526481-97</t>
  </si>
  <si>
    <t>HASSETT LINDA</t>
  </si>
  <si>
    <t>UM36LV</t>
  </si>
  <si>
    <t>HEARTLAND FINANCIAL GROUP LLC</t>
  </si>
  <si>
    <t>0893387</t>
  </si>
  <si>
    <t>BU5653756</t>
  </si>
  <si>
    <t>SCADUTO JACQUELINE</t>
  </si>
  <si>
    <t>FL</t>
  </si>
  <si>
    <t>IXEXP1</t>
  </si>
  <si>
    <t>10/22/2025</t>
  </si>
  <si>
    <t>04/22/2026</t>
  </si>
  <si>
    <t>BU6457385</t>
  </si>
  <si>
    <t>MARIS JAMES</t>
  </si>
  <si>
    <t>03/24/2026</t>
  </si>
  <si>
    <t>TE15 1</t>
  </si>
  <si>
    <t>04/23/2026</t>
  </si>
  <si>
    <t>NEW ISS PYMT</t>
  </si>
  <si>
    <t>BU5547009</t>
  </si>
  <si>
    <t>ELLIS JAMES</t>
  </si>
  <si>
    <t>TX</t>
  </si>
  <si>
    <t>09/23/2025</t>
  </si>
  <si>
    <t>BU6370498</t>
  </si>
  <si>
    <t>HATFIELD KIM</t>
  </si>
  <si>
    <t>02/18/2026</t>
  </si>
  <si>
    <t>04/18/2026</t>
  </si>
  <si>
    <t>0892719</t>
  </si>
  <si>
    <t>BU6204845</t>
  </si>
  <si>
    <t>SIMMONS MONICA</t>
  </si>
  <si>
    <t>TN</t>
  </si>
  <si>
    <t>03/20/2026</t>
  </si>
  <si>
    <t>01/01/2026</t>
  </si>
  <si>
    <t>BFY REVERSAL</t>
  </si>
  <si>
    <t>LAPSE</t>
  </si>
  <si>
    <t>0892054</t>
  </si>
  <si>
    <t>BU5317505</t>
  </si>
  <si>
    <t>BEDELL BRENDA</t>
  </si>
  <si>
    <t>FEPL 1</t>
  </si>
  <si>
    <t>05/20/2025</t>
  </si>
  <si>
    <t>04/20/2026</t>
  </si>
  <si>
    <t>0819525</t>
  </si>
  <si>
    <t>BU6496753</t>
  </si>
  <si>
    <t>MIJAILOVIC VERONA</t>
  </si>
  <si>
    <t>NEW COV ISS</t>
  </si>
  <si>
    <t>0818994</t>
  </si>
  <si>
    <t>BU6482770</t>
  </si>
  <si>
    <t>LINTNER DONALD</t>
  </si>
  <si>
    <t>OH</t>
  </si>
  <si>
    <t>03/13/2026</t>
  </si>
  <si>
    <t>04/13/2026</t>
  </si>
  <si>
    <t>0815797</t>
  </si>
  <si>
    <t>BU6205379</t>
  </si>
  <si>
    <t>KETTER LISA</t>
  </si>
  <si>
    <t>11/10/2025</t>
  </si>
  <si>
    <t>04/10/2026</t>
  </si>
  <si>
    <t>0613147</t>
  </si>
  <si>
    <t>BU6495990</t>
  </si>
  <si>
    <t>ROESCH ZAK</t>
  </si>
  <si>
    <t>JVWL 1</t>
  </si>
  <si>
    <t>0606680</t>
  </si>
  <si>
    <t>BU6502224</t>
  </si>
  <si>
    <t>HOWARD LAURIE</t>
  </si>
  <si>
    <t>CONV NEW BUS</t>
  </si>
  <si>
    <t>BU6409083</t>
  </si>
  <si>
    <t>FILIPPO NATALIE</t>
  </si>
  <si>
    <t>02/20/2026</t>
  </si>
  <si>
    <t>BU6209154</t>
  </si>
  <si>
    <t>ROUSE CALEB</t>
  </si>
  <si>
    <t>AZ</t>
  </si>
  <si>
    <t>11/23/2025</t>
  </si>
  <si>
    <t>BU6209153</t>
  </si>
  <si>
    <t>ROUSE JESSICA</t>
  </si>
  <si>
    <t>BU5595319</t>
  </si>
  <si>
    <t>HANAFI COLEEN</t>
  </si>
  <si>
    <t>09/22/2025</t>
  </si>
  <si>
    <t>BU5410590</t>
  </si>
  <si>
    <t>HUNT STACY</t>
  </si>
  <si>
    <t>MI</t>
  </si>
  <si>
    <t>07/21/2025</t>
  </si>
  <si>
    <t>04/21/2026</t>
  </si>
  <si>
    <t>BU5359993</t>
  </si>
  <si>
    <t>MILLER GINGER</t>
  </si>
  <si>
    <t>FEPG 1</t>
  </si>
  <si>
    <t>06/20/2025</t>
  </si>
  <si>
    <t>0257168</t>
  </si>
  <si>
    <t>BU6509808</t>
  </si>
  <si>
    <t>WILSON TREVOR</t>
  </si>
  <si>
    <t>OK</t>
  </si>
  <si>
    <t>1237605</t>
  </si>
  <si>
    <t>BU6507773</t>
  </si>
  <si>
    <t>TRUETT JACKIE</t>
  </si>
  <si>
    <t>1199312</t>
  </si>
  <si>
    <t>BU5378945</t>
  </si>
  <si>
    <t>GOETZ CRAIG</t>
  </si>
  <si>
    <t>10GPT1</t>
  </si>
  <si>
    <t>04/22/2025</t>
  </si>
  <si>
    <t>1196651</t>
  </si>
  <si>
    <t>BU5371034</t>
  </si>
  <si>
    <t>PEARSON DEBORAH</t>
  </si>
  <si>
    <t>MD</t>
  </si>
  <si>
    <t>1169782</t>
  </si>
  <si>
    <t>BU6397071</t>
  </si>
  <si>
    <t>SHEHADE ALAA</t>
  </si>
  <si>
    <t>20GPT1</t>
  </si>
  <si>
    <t>03/17/2026</t>
  </si>
  <si>
    <t>04/17/2026</t>
  </si>
  <si>
    <t>1099222</t>
  </si>
  <si>
    <t>BU6235097</t>
  </si>
  <si>
    <t>GREGOR STUART</t>
  </si>
  <si>
    <t>12/21/2025</t>
  </si>
  <si>
    <t>BU6218860</t>
  </si>
  <si>
    <t>SCHURINGA COLE</t>
  </si>
  <si>
    <t>E30301</t>
  </si>
  <si>
    <t>12/15/2025</t>
  </si>
  <si>
    <t>03/15/2026</t>
  </si>
  <si>
    <t>BU6216990</t>
  </si>
  <si>
    <t>MCGHEE GAIL</t>
  </si>
  <si>
    <t>12/17/2025</t>
  </si>
  <si>
    <t>BU6216469</t>
  </si>
  <si>
    <t>SESTER MEGAN</t>
  </si>
  <si>
    <t>OR</t>
  </si>
  <si>
    <t>0910791</t>
  </si>
  <si>
    <t>BU6506226</t>
  </si>
  <si>
    <t>BUTTS VICTOR</t>
  </si>
  <si>
    <t>BU6503072</t>
  </si>
  <si>
    <t>BEACH DOROTHY</t>
  </si>
  <si>
    <t>BU6502725</t>
  </si>
  <si>
    <t>FOLTZ WILLIAM</t>
  </si>
  <si>
    <t>BU6500666</t>
  </si>
  <si>
    <t>REDD DEAN</t>
  </si>
  <si>
    <t>BU6490665</t>
  </si>
  <si>
    <t>BARRETT CHARLES</t>
  </si>
  <si>
    <t>03/16/2026</t>
  </si>
  <si>
    <t>04/16/2026</t>
  </si>
  <si>
    <t>BU6490458</t>
  </si>
  <si>
    <t>BARRETT MARTHA</t>
  </si>
  <si>
    <t>BU6485428</t>
  </si>
  <si>
    <t>FRANKS BARBARA</t>
  </si>
  <si>
    <t>BU6485102</t>
  </si>
  <si>
    <t>HIEATT VIVIAN</t>
  </si>
  <si>
    <t>BU5336528</t>
  </si>
  <si>
    <t>MIGLIO SALVATORE</t>
  </si>
  <si>
    <t>06/28/2025</t>
  </si>
  <si>
    <t>03/28/2026</t>
  </si>
  <si>
    <t>INNOVATIVE FINANCIAL PARTNERS LLC</t>
  </si>
  <si>
    <t>BU4875207</t>
  </si>
  <si>
    <t>EDWARDS GARY</t>
  </si>
  <si>
    <t>09/25/2024</t>
  </si>
  <si>
    <t>06/25/2026</t>
  </si>
  <si>
    <t>0815390</t>
  </si>
  <si>
    <t>BU4894635</t>
  </si>
  <si>
    <t>REID CAROL</t>
  </si>
  <si>
    <t>10/07/2024</t>
  </si>
  <si>
    <t>07/07/2026</t>
  </si>
  <si>
    <t>BU4758764</t>
  </si>
  <si>
    <t>MILLER BRENDA</t>
  </si>
  <si>
    <t>07/19/2024</t>
  </si>
  <si>
    <t>04/19/2026</t>
  </si>
  <si>
    <t>BU5238473</t>
  </si>
  <si>
    <t>WALDING LINDA</t>
  </si>
  <si>
    <t>04/16/2025</t>
  </si>
  <si>
    <t>BU5194609</t>
  </si>
  <si>
    <t>VELEZ MARITZA</t>
  </si>
  <si>
    <t>04/20/2025</t>
  </si>
  <si>
    <t>0821331</t>
  </si>
  <si>
    <t>BU5260541</t>
  </si>
  <si>
    <t>SMITH BETTI</t>
  </si>
  <si>
    <t>NJ</t>
  </si>
  <si>
    <t>05/02/2025</t>
  </si>
  <si>
    <t>04/02/2026</t>
  </si>
  <si>
    <t>1093959</t>
  </si>
  <si>
    <t>BU4854427</t>
  </si>
  <si>
    <t>CURCIO KIMBERLY</t>
  </si>
  <si>
    <t>09/18/2024</t>
  </si>
  <si>
    <t>BU5108099</t>
  </si>
  <si>
    <t>MATTHEWS DONNETTE</t>
  </si>
  <si>
    <t>NC</t>
  </si>
  <si>
    <t>03/02/2025</t>
  </si>
  <si>
    <t>BU5305630</t>
  </si>
  <si>
    <t>QUESADA DIANA</t>
  </si>
  <si>
    <t>06/17/2025</t>
  </si>
  <si>
    <t>BU5290420</t>
  </si>
  <si>
    <t>BURKS TONY</t>
  </si>
  <si>
    <t>05/21/2025</t>
  </si>
  <si>
    <t>BU5192489</t>
  </si>
  <si>
    <t>DAVIS ELBA</t>
  </si>
  <si>
    <t>04/23/2025</t>
  </si>
  <si>
    <t>MUTUAL</t>
  </si>
  <si>
    <t>512115-41</t>
  </si>
  <si>
    <t>HI25FL</t>
  </si>
  <si>
    <t>05/01/2026</t>
  </si>
  <si>
    <t>0907625</t>
  </si>
  <si>
    <t>466463-41</t>
  </si>
  <si>
    <t>MUMBLOW DALE</t>
  </si>
  <si>
    <t>DNT5IL</t>
  </si>
  <si>
    <t>02/02/2026</t>
  </si>
  <si>
    <t>466381-41</t>
  </si>
  <si>
    <t>MUMBLOW MARK</t>
  </si>
  <si>
    <t>0513364</t>
  </si>
  <si>
    <t>650319-97</t>
  </si>
  <si>
    <t>MCCALL HUGH</t>
  </si>
  <si>
    <t>03/19/2025</t>
  </si>
  <si>
    <t>650330-97</t>
  </si>
  <si>
    <t>MCCALL YOLANDA</t>
  </si>
  <si>
    <t>0816910</t>
  </si>
  <si>
    <t>759612-96</t>
  </si>
  <si>
    <t>MILBOURNE DONNA</t>
  </si>
  <si>
    <t>MM35HL</t>
  </si>
  <si>
    <t>12/01/2023</t>
  </si>
  <si>
    <t>0892048</t>
  </si>
  <si>
    <t>400134-97</t>
  </si>
  <si>
    <t>INNES MICHAEL</t>
  </si>
  <si>
    <t>08/20/2024</t>
  </si>
  <si>
    <t>400120-97</t>
  </si>
  <si>
    <t>INNES ELIZABETH</t>
  </si>
  <si>
    <t>DNT2IL</t>
  </si>
  <si>
    <t>COMM %</t>
  </si>
  <si>
    <t>bob premium</t>
  </si>
  <si>
    <t>mlb premium</t>
  </si>
  <si>
    <t>mlb comm</t>
  </si>
  <si>
    <t>MLB product</t>
  </si>
  <si>
    <t>writing agent</t>
  </si>
  <si>
    <t>Bob product</t>
  </si>
  <si>
    <t>Universal Life</t>
  </si>
  <si>
    <t>Ryan Caltagirone</t>
  </si>
  <si>
    <t>Iul Express</t>
  </si>
  <si>
    <t>Hospital Indemnity CO, DC, FL, IN, KY, MI, ND, OH, SC, TN, UT, VA</t>
  </si>
  <si>
    <t>Steven Brandt</t>
  </si>
  <si>
    <t xml:space="preserve">Hospital Indemnity                      </t>
  </si>
  <si>
    <t>Living Promise Graded</t>
  </si>
  <si>
    <t>Colleen Jerger</t>
  </si>
  <si>
    <t xml:space="preserve">Living Promise-graded                   </t>
  </si>
  <si>
    <t>Term Life Answers- 20 &amp; 30 year terms</t>
  </si>
  <si>
    <t>Term Life Express 10 15 20 30</t>
  </si>
  <si>
    <t>371819AV9</t>
  </si>
  <si>
    <t>Thomas Pardue</t>
  </si>
  <si>
    <t>Term Life Express</t>
  </si>
  <si>
    <t>Gregory Teipel</t>
  </si>
  <si>
    <t>Children S - Whole Life</t>
  </si>
  <si>
    <t>16912722AV9</t>
  </si>
  <si>
    <t>Andrea Petrungaro</t>
  </si>
  <si>
    <t xml:space="preserve">Children S - Whole Life                 </t>
  </si>
  <si>
    <t>FEX Level Ages 45-80</t>
  </si>
  <si>
    <t>Gary Portugal</t>
  </si>
  <si>
    <t xml:space="preserve">Living Promise - Level  Benefit         </t>
  </si>
  <si>
    <t>Victor Fuentes</t>
  </si>
  <si>
    <t>Term Life Answer 10 15 20 30</t>
  </si>
  <si>
    <t>2024 Final Expense: Level Product Commission Ages 45-80</t>
  </si>
  <si>
    <t>Ryan Shepard</t>
  </si>
  <si>
    <t>National Dental</t>
  </si>
  <si>
    <t>Ines Berg</t>
  </si>
  <si>
    <t xml:space="preserve">Protection  Plan (c) Dnt5i              </t>
  </si>
  <si>
    <t>Colleen Finnigan</t>
  </si>
  <si>
    <t>Matthew Daugherty</t>
  </si>
  <si>
    <t>Tle 20-20yr Guar</t>
  </si>
  <si>
    <t>IUL express</t>
  </si>
  <si>
    <t>17528908N</t>
  </si>
  <si>
    <t>Deborah Inskipt</t>
  </si>
  <si>
    <t>BU5627548</t>
  </si>
  <si>
    <t>FAY DONALD</t>
  </si>
  <si>
    <t>10/21/2025</t>
  </si>
  <si>
    <t>Med Supp IL/DE/TX/IN Ages 65-83</t>
  </si>
  <si>
    <t>Michael Dunavant</t>
  </si>
  <si>
    <t>Medicare Supplement Plan G</t>
  </si>
  <si>
    <t>2024 Term Life Express: IXEXP1 Term Life Conversion to IUL in years 6+ of term issue date</t>
  </si>
  <si>
    <t>Shawn Gastelo</t>
  </si>
  <si>
    <t>Frank Liskovec</t>
  </si>
  <si>
    <t>Murray Sterner</t>
  </si>
  <si>
    <t>Term Life Answers 10 Year Term</t>
  </si>
  <si>
    <t>James Allen</t>
  </si>
  <si>
    <t>Dale Walenga</t>
  </si>
  <si>
    <t>Medicare Supp- PA Plans High Deductible F,G,&amp;N 65+</t>
  </si>
  <si>
    <t>19278370old</t>
  </si>
  <si>
    <t>Anne Marie Kozacheck</t>
  </si>
  <si>
    <t>Medicare Supplement Plan G High Deductible</t>
  </si>
  <si>
    <t>Carol Foley</t>
  </si>
  <si>
    <t>Medicare Supp- AR High Deductible Plan F&amp;G&amp;Plan N Age 65-74</t>
  </si>
  <si>
    <t>Timothy Powers</t>
  </si>
  <si>
    <t>Richard Yale</t>
  </si>
  <si>
    <t xml:space="preserve">Preferred Plan (a) Dnt2i                </t>
  </si>
  <si>
    <t>Medicare Supplement Plan N</t>
  </si>
  <si>
    <t>MD HD F,G,N</t>
  </si>
  <si>
    <t>Adam Richter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</si>
</sst>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\ \ \ \ \ \ \ \ \ \ \ \ \ \ \ \ \ \ \ "/>
    <numFmt numFmtId="165" formatCode="#,##0.00000"/>
  </numFmts>
  <fonts count="5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0" fillId="0" fontId="3" numFmtId="0" xfId="0" applyAlignment="1" applyFont="1">
      <alignment horizontal="left" vertical="center"/>
    </xf>
    <xf borderId="0" fillId="0" fontId="1" numFmtId="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7" fillId="2" fontId="1" numFmtId="0" xfId="0" applyAlignment="1" applyBorder="1" applyFill="1" applyFont="1">
      <alignment horizontal="left"/>
    </xf>
    <xf borderId="7" fillId="2" fontId="1" numFmtId="4" xfId="0" applyAlignment="1" applyBorder="1" applyFont="1" applyNumberFormat="1">
      <alignment horizontal="left"/>
    </xf>
    <xf borderId="7" fillId="2" fontId="1" numFmtId="165" xfId="0" applyAlignment="1" applyBorder="1" applyFont="1" applyNumberForma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Janki%20Patel\Downloads\1055790-1774980544630.csv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055790-1774980544630"/>
      <sheetName val="Sheet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6" width="9.14"/>
    <col customWidth="1" min="7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 t="s">
        <v>12</v>
      </c>
      <c r="B19" s="10">
        <v>83.41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 t="s">
        <v>13</v>
      </c>
      <c r="B20" s="10">
        <v>30.78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 t="s">
        <v>12</v>
      </c>
      <c r="B24" s="10">
        <v>12657.46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 t="s">
        <v>13</v>
      </c>
      <c r="B25" s="10">
        <v>123.27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 t="s">
        <v>12</v>
      </c>
      <c r="B29" s="10">
        <v>26.19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 t="s">
        <v>13</v>
      </c>
      <c r="B30" s="10">
        <v>264.15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 t="s">
        <v>16</v>
      </c>
      <c r="B32" s="10"/>
      <c r="C32" s="10">
        <v>13185.26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/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 t="s">
        <v>17</v>
      </c>
      <c r="B34" s="10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/>
      <c r="B35" s="10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 t="s">
        <v>10</v>
      </c>
      <c r="B36" s="10">
        <v>-114.19</v>
      </c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9" t="s">
        <v>14</v>
      </c>
      <c r="B37" s="10">
        <v>-12780.73</v>
      </c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9" t="s">
        <v>15</v>
      </c>
      <c r="B38" s="10">
        <v>-290.34</v>
      </c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9"/>
      <c r="B39" s="10"/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9" t="s">
        <v>18</v>
      </c>
      <c r="B40" s="10"/>
      <c r="C40" s="10">
        <v>-13185.26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9" t="s">
        <v>19</v>
      </c>
      <c r="B41" s="10"/>
      <c r="C41" s="10">
        <v>0.0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9"/>
      <c r="B42" s="10"/>
      <c r="C42" s="1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6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8.71"/>
  </cols>
  <sheetData>
    <row r="1" ht="30.0" customHeight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  <c r="J1" s="12" t="s">
        <v>29</v>
      </c>
      <c r="K1" s="12" t="s">
        <v>30</v>
      </c>
      <c r="L1" s="12" t="s">
        <v>31</v>
      </c>
      <c r="M1" s="12" t="s">
        <v>32</v>
      </c>
      <c r="N1" s="12" t="s">
        <v>33</v>
      </c>
      <c r="O1" s="12" t="s">
        <v>34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"/>
      <c r="Z1" s="1"/>
    </row>
    <row r="2" ht="14.25" customHeight="1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3" t="s">
        <v>55</v>
      </c>
      <c r="M2" s="1" t="s">
        <v>56</v>
      </c>
      <c r="N2" s="1" t="s">
        <v>57</v>
      </c>
      <c r="O2" s="1" t="s">
        <v>58</v>
      </c>
      <c r="P2" s="1">
        <v>0.0</v>
      </c>
      <c r="Q2" s="14">
        <v>128.67</v>
      </c>
      <c r="R2" s="1" t="s">
        <v>59</v>
      </c>
      <c r="S2" s="1" t="s">
        <v>60</v>
      </c>
      <c r="T2" s="15" t="s">
        <v>61</v>
      </c>
      <c r="U2" s="16">
        <v>0.23</v>
      </c>
      <c r="V2" s="14">
        <v>0.0</v>
      </c>
      <c r="W2" s="14">
        <v>-29.59</v>
      </c>
      <c r="X2" s="1" t="s">
        <v>55</v>
      </c>
      <c r="Y2" s="1"/>
      <c r="Z2" s="1"/>
    </row>
    <row r="3" ht="14.25" customHeight="1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51</v>
      </c>
      <c r="I3" s="1" t="s">
        <v>52</v>
      </c>
      <c r="J3" s="1" t="s">
        <v>64</v>
      </c>
      <c r="K3" s="1" t="s">
        <v>54</v>
      </c>
      <c r="L3" s="13" t="s">
        <v>55</v>
      </c>
      <c r="M3" s="1" t="s">
        <v>56</v>
      </c>
      <c r="N3" s="1" t="s">
        <v>57</v>
      </c>
      <c r="O3" s="1" t="s">
        <v>58</v>
      </c>
      <c r="P3" s="1">
        <v>0.0</v>
      </c>
      <c r="Q3" s="14">
        <v>129.39</v>
      </c>
      <c r="R3" s="1" t="s">
        <v>65</v>
      </c>
      <c r="S3" s="1" t="s">
        <v>66</v>
      </c>
      <c r="T3" s="15" t="s">
        <v>61</v>
      </c>
      <c r="U3" s="16">
        <v>0.23</v>
      </c>
      <c r="V3" s="14">
        <v>29.76</v>
      </c>
      <c r="W3" s="14">
        <v>0.0</v>
      </c>
      <c r="X3" s="1" t="s">
        <v>55</v>
      </c>
      <c r="Y3" s="1"/>
      <c r="Z3" s="1"/>
    </row>
    <row r="4" ht="14.25" customHeight="1">
      <c r="A4" s="1" t="s">
        <v>44</v>
      </c>
      <c r="B4" s="1" t="s">
        <v>45</v>
      </c>
      <c r="C4" s="1" t="s">
        <v>46</v>
      </c>
      <c r="D4" s="1" t="s">
        <v>47</v>
      </c>
      <c r="E4" s="1" t="s">
        <v>67</v>
      </c>
      <c r="F4" s="1" t="s">
        <v>68</v>
      </c>
      <c r="G4" s="1" t="s">
        <v>50</v>
      </c>
      <c r="H4" s="1" t="s">
        <v>69</v>
      </c>
      <c r="I4" s="1" t="s">
        <v>52</v>
      </c>
      <c r="J4" s="1" t="s">
        <v>64</v>
      </c>
      <c r="K4" s="1" t="s">
        <v>54</v>
      </c>
      <c r="L4" s="13" t="s">
        <v>55</v>
      </c>
      <c r="M4" s="1" t="s">
        <v>56</v>
      </c>
      <c r="N4" s="1" t="s">
        <v>57</v>
      </c>
      <c r="O4" s="1" t="s">
        <v>58</v>
      </c>
      <c r="P4" s="1">
        <v>0.0</v>
      </c>
      <c r="Q4" s="14">
        <v>151.24</v>
      </c>
      <c r="R4" s="1" t="s">
        <v>65</v>
      </c>
      <c r="S4" s="1" t="s">
        <v>66</v>
      </c>
      <c r="T4" s="15" t="s">
        <v>61</v>
      </c>
      <c r="U4" s="16">
        <v>0.23</v>
      </c>
      <c r="V4" s="14">
        <v>34.79</v>
      </c>
      <c r="W4" s="14">
        <v>0.0</v>
      </c>
      <c r="X4" s="1" t="s">
        <v>55</v>
      </c>
      <c r="Y4" s="1"/>
      <c r="Z4" s="1"/>
    </row>
    <row r="5" ht="14.25" customHeight="1">
      <c r="A5" s="1" t="s">
        <v>44</v>
      </c>
      <c r="B5" s="1" t="s">
        <v>45</v>
      </c>
      <c r="C5" s="1" t="s">
        <v>46</v>
      </c>
      <c r="D5" s="1" t="s">
        <v>47</v>
      </c>
      <c r="E5" s="1" t="s">
        <v>70</v>
      </c>
      <c r="F5" s="1" t="s">
        <v>71</v>
      </c>
      <c r="G5" s="1" t="s">
        <v>50</v>
      </c>
      <c r="H5" s="1" t="s">
        <v>72</v>
      </c>
      <c r="I5" s="1" t="s">
        <v>52</v>
      </c>
      <c r="J5" s="1" t="s">
        <v>73</v>
      </c>
      <c r="K5" s="1" t="s">
        <v>54</v>
      </c>
      <c r="L5" s="13" t="s">
        <v>55</v>
      </c>
      <c r="M5" s="1" t="s">
        <v>56</v>
      </c>
      <c r="N5" s="1" t="s">
        <v>57</v>
      </c>
      <c r="O5" s="1" t="s">
        <v>58</v>
      </c>
      <c r="P5" s="1">
        <v>0.0</v>
      </c>
      <c r="Q5" s="14">
        <v>113.86</v>
      </c>
      <c r="R5" s="1" t="s">
        <v>65</v>
      </c>
      <c r="S5" s="1" t="s">
        <v>66</v>
      </c>
      <c r="T5" s="15" t="s">
        <v>61</v>
      </c>
      <c r="U5" s="16">
        <v>0.23</v>
      </c>
      <c r="V5" s="14">
        <v>26.19</v>
      </c>
      <c r="W5" s="14">
        <v>0.0</v>
      </c>
      <c r="X5" s="1" t="s">
        <v>55</v>
      </c>
      <c r="Y5" s="1"/>
      <c r="Z5" s="1"/>
    </row>
    <row r="6" ht="14.25" customHeight="1">
      <c r="A6" s="1" t="s">
        <v>44</v>
      </c>
      <c r="B6" s="1" t="s">
        <v>45</v>
      </c>
      <c r="C6" s="1" t="s">
        <v>46</v>
      </c>
      <c r="D6" s="1" t="s">
        <v>47</v>
      </c>
      <c r="E6" s="1" t="s">
        <v>74</v>
      </c>
      <c r="F6" s="1" t="s">
        <v>75</v>
      </c>
      <c r="G6" s="1" t="s">
        <v>50</v>
      </c>
      <c r="H6" s="1" t="s">
        <v>69</v>
      </c>
      <c r="I6" s="1" t="s">
        <v>52</v>
      </c>
      <c r="J6" s="1" t="s">
        <v>76</v>
      </c>
      <c r="K6" s="1" t="s">
        <v>54</v>
      </c>
      <c r="L6" s="13" t="s">
        <v>55</v>
      </c>
      <c r="M6" s="1" t="s">
        <v>56</v>
      </c>
      <c r="N6" s="1" t="s">
        <v>57</v>
      </c>
      <c r="O6" s="1" t="s">
        <v>58</v>
      </c>
      <c r="P6" s="1">
        <v>0.0</v>
      </c>
      <c r="Q6" s="14">
        <v>113.86</v>
      </c>
      <c r="R6" s="1" t="s">
        <v>65</v>
      </c>
      <c r="S6" s="1" t="s">
        <v>66</v>
      </c>
      <c r="T6" s="15" t="s">
        <v>61</v>
      </c>
      <c r="U6" s="16">
        <v>0.23</v>
      </c>
      <c r="V6" s="14">
        <v>26.19</v>
      </c>
      <c r="W6" s="14">
        <v>0.0</v>
      </c>
      <c r="X6" s="1" t="s">
        <v>55</v>
      </c>
      <c r="Y6" s="1"/>
      <c r="Z6" s="1"/>
    </row>
    <row r="7" ht="14.25" customHeight="1">
      <c r="A7" s="1" t="s">
        <v>44</v>
      </c>
      <c r="B7" s="1" t="s">
        <v>45</v>
      </c>
      <c r="C7" s="1" t="s">
        <v>46</v>
      </c>
      <c r="D7" s="1" t="s">
        <v>47</v>
      </c>
      <c r="E7" s="1" t="s">
        <v>77</v>
      </c>
      <c r="F7" s="1" t="s">
        <v>78</v>
      </c>
      <c r="G7" s="1" t="s">
        <v>50</v>
      </c>
      <c r="H7" s="1" t="s">
        <v>69</v>
      </c>
      <c r="I7" s="1" t="s">
        <v>52</v>
      </c>
      <c r="J7" s="1" t="s">
        <v>76</v>
      </c>
      <c r="K7" s="1" t="s">
        <v>54</v>
      </c>
      <c r="L7" s="13" t="s">
        <v>55</v>
      </c>
      <c r="M7" s="1" t="s">
        <v>56</v>
      </c>
      <c r="N7" s="1" t="s">
        <v>57</v>
      </c>
      <c r="O7" s="1" t="s">
        <v>58</v>
      </c>
      <c r="P7" s="1">
        <v>0.0</v>
      </c>
      <c r="Q7" s="14">
        <v>128.67</v>
      </c>
      <c r="R7" s="1" t="s">
        <v>65</v>
      </c>
      <c r="S7" s="1" t="s">
        <v>66</v>
      </c>
      <c r="T7" s="15" t="s">
        <v>61</v>
      </c>
      <c r="U7" s="16">
        <v>0.23</v>
      </c>
      <c r="V7" s="14">
        <v>29.59</v>
      </c>
      <c r="W7" s="14">
        <v>0.0</v>
      </c>
      <c r="X7" s="1" t="s">
        <v>55</v>
      </c>
      <c r="Y7" s="1"/>
      <c r="Z7" s="1"/>
    </row>
    <row r="8" ht="14.25" customHeight="1">
      <c r="A8" s="1" t="s">
        <v>44</v>
      </c>
      <c r="B8" s="1" t="s">
        <v>45</v>
      </c>
      <c r="C8" s="1" t="s">
        <v>46</v>
      </c>
      <c r="D8" s="1" t="s">
        <v>47</v>
      </c>
      <c r="E8" s="1" t="s">
        <v>79</v>
      </c>
      <c r="F8" s="1" t="s">
        <v>80</v>
      </c>
      <c r="G8" s="1" t="s">
        <v>50</v>
      </c>
      <c r="H8" s="1" t="s">
        <v>69</v>
      </c>
      <c r="I8" s="1" t="s">
        <v>52</v>
      </c>
      <c r="J8" s="1" t="s">
        <v>76</v>
      </c>
      <c r="K8" s="1" t="s">
        <v>54</v>
      </c>
      <c r="L8" s="13" t="s">
        <v>55</v>
      </c>
      <c r="M8" s="1" t="s">
        <v>56</v>
      </c>
      <c r="N8" s="1" t="s">
        <v>57</v>
      </c>
      <c r="O8" s="1" t="s">
        <v>58</v>
      </c>
      <c r="P8" s="1">
        <v>0.0</v>
      </c>
      <c r="Q8" s="14">
        <v>116.03</v>
      </c>
      <c r="R8" s="1" t="s">
        <v>65</v>
      </c>
      <c r="S8" s="1" t="s">
        <v>66</v>
      </c>
      <c r="T8" s="15" t="s">
        <v>61</v>
      </c>
      <c r="U8" s="16">
        <v>0.23</v>
      </c>
      <c r="V8" s="14">
        <v>26.69</v>
      </c>
      <c r="W8" s="14">
        <v>0.0</v>
      </c>
      <c r="X8" s="1" t="s">
        <v>55</v>
      </c>
      <c r="Y8" s="1"/>
      <c r="Z8" s="1"/>
    </row>
    <row r="9" ht="14.25" customHeight="1">
      <c r="A9" s="1" t="s">
        <v>44</v>
      </c>
      <c r="B9" s="1" t="s">
        <v>45</v>
      </c>
      <c r="C9" s="1" t="s">
        <v>46</v>
      </c>
      <c r="D9" s="1" t="s">
        <v>47</v>
      </c>
      <c r="E9" s="1" t="s">
        <v>81</v>
      </c>
      <c r="F9" s="1" t="s">
        <v>82</v>
      </c>
      <c r="G9" s="1" t="s">
        <v>50</v>
      </c>
      <c r="H9" s="1" t="s">
        <v>69</v>
      </c>
      <c r="I9" s="1" t="s">
        <v>52</v>
      </c>
      <c r="J9" s="1" t="s">
        <v>76</v>
      </c>
      <c r="K9" s="1" t="s">
        <v>54</v>
      </c>
      <c r="L9" s="13" t="s">
        <v>55</v>
      </c>
      <c r="M9" s="1" t="s">
        <v>56</v>
      </c>
      <c r="N9" s="1" t="s">
        <v>57</v>
      </c>
      <c r="O9" s="1" t="s">
        <v>58</v>
      </c>
      <c r="P9" s="1">
        <v>0.0</v>
      </c>
      <c r="Q9" s="14">
        <v>129.39</v>
      </c>
      <c r="R9" s="1" t="s">
        <v>65</v>
      </c>
      <c r="S9" s="1" t="s">
        <v>66</v>
      </c>
      <c r="T9" s="15" t="s">
        <v>61</v>
      </c>
      <c r="U9" s="16">
        <v>0.23</v>
      </c>
      <c r="V9" s="14">
        <v>29.76</v>
      </c>
      <c r="W9" s="14">
        <v>0.0</v>
      </c>
      <c r="X9" s="1" t="s">
        <v>55</v>
      </c>
      <c r="Y9" s="1"/>
      <c r="Z9" s="1"/>
    </row>
    <row r="10" ht="14.25" customHeight="1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83</v>
      </c>
      <c r="F10" s="1" t="s">
        <v>84</v>
      </c>
      <c r="G10" s="1" t="s">
        <v>50</v>
      </c>
      <c r="H10" s="1" t="s">
        <v>69</v>
      </c>
      <c r="I10" s="1" t="s">
        <v>52</v>
      </c>
      <c r="J10" s="1" t="s">
        <v>76</v>
      </c>
      <c r="K10" s="1" t="s">
        <v>54</v>
      </c>
      <c r="L10" s="13" t="s">
        <v>55</v>
      </c>
      <c r="M10" s="1" t="s">
        <v>56</v>
      </c>
      <c r="N10" s="1" t="s">
        <v>57</v>
      </c>
      <c r="O10" s="1" t="s">
        <v>58</v>
      </c>
      <c r="P10" s="1">
        <v>0.0</v>
      </c>
      <c r="Q10" s="14">
        <v>137.34</v>
      </c>
      <c r="R10" s="1" t="s">
        <v>65</v>
      </c>
      <c r="S10" s="1" t="s">
        <v>66</v>
      </c>
      <c r="T10" s="15" t="s">
        <v>61</v>
      </c>
      <c r="U10" s="16">
        <v>0.23</v>
      </c>
      <c r="V10" s="14">
        <v>31.59</v>
      </c>
      <c r="W10" s="14">
        <v>0.0</v>
      </c>
      <c r="X10" s="1" t="s">
        <v>55</v>
      </c>
      <c r="Y10" s="1"/>
      <c r="Z10" s="1"/>
    </row>
    <row r="11" ht="14.25" customHeight="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85</v>
      </c>
      <c r="F11" s="1" t="s">
        <v>86</v>
      </c>
      <c r="G11" s="1" t="s">
        <v>50</v>
      </c>
      <c r="H11" s="1" t="s">
        <v>69</v>
      </c>
      <c r="I11" s="1" t="s">
        <v>52</v>
      </c>
      <c r="J11" s="1" t="s">
        <v>87</v>
      </c>
      <c r="K11" s="1" t="s">
        <v>54</v>
      </c>
      <c r="L11" s="13" t="s">
        <v>55</v>
      </c>
      <c r="M11" s="1" t="s">
        <v>56</v>
      </c>
      <c r="N11" s="1" t="s">
        <v>57</v>
      </c>
      <c r="O11" s="1" t="s">
        <v>58</v>
      </c>
      <c r="P11" s="1">
        <v>0.0</v>
      </c>
      <c r="Q11" s="14">
        <v>113.86</v>
      </c>
      <c r="R11" s="1" t="s">
        <v>59</v>
      </c>
      <c r="S11" s="1" t="s">
        <v>60</v>
      </c>
      <c r="T11" s="15" t="s">
        <v>61</v>
      </c>
      <c r="U11" s="16">
        <v>0.23</v>
      </c>
      <c r="V11" s="14">
        <v>26.19</v>
      </c>
      <c r="W11" s="14">
        <v>0.0</v>
      </c>
      <c r="X11" s="1" t="s">
        <v>55</v>
      </c>
      <c r="Y11" s="1"/>
      <c r="Z11" s="1"/>
    </row>
    <row r="12" ht="14.25" customHeight="1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88</v>
      </c>
      <c r="F12" s="1" t="s">
        <v>89</v>
      </c>
      <c r="G12" s="1" t="s">
        <v>50</v>
      </c>
      <c r="H12" s="1" t="s">
        <v>69</v>
      </c>
      <c r="I12" s="1" t="s">
        <v>52</v>
      </c>
      <c r="J12" s="1" t="s">
        <v>76</v>
      </c>
      <c r="K12" s="1" t="s">
        <v>54</v>
      </c>
      <c r="L12" s="13" t="s">
        <v>55</v>
      </c>
      <c r="M12" s="1" t="s">
        <v>56</v>
      </c>
      <c r="N12" s="1" t="s">
        <v>57</v>
      </c>
      <c r="O12" s="1" t="s">
        <v>58</v>
      </c>
      <c r="P12" s="1">
        <v>0.0</v>
      </c>
      <c r="Q12" s="14">
        <v>128.67</v>
      </c>
      <c r="R12" s="1" t="s">
        <v>65</v>
      </c>
      <c r="S12" s="1" t="s">
        <v>66</v>
      </c>
      <c r="T12" s="15" t="s">
        <v>61</v>
      </c>
      <c r="U12" s="16">
        <v>0.23</v>
      </c>
      <c r="V12" s="14">
        <v>29.59</v>
      </c>
      <c r="W12" s="14">
        <v>0.0</v>
      </c>
      <c r="X12" s="1" t="s">
        <v>55</v>
      </c>
      <c r="Y12" s="1"/>
      <c r="Z12" s="1"/>
    </row>
    <row r="13" ht="14.25" customHeight="1">
      <c r="A13" s="1" t="s">
        <v>90</v>
      </c>
      <c r="B13" s="1" t="s">
        <v>45</v>
      </c>
      <c r="C13" s="1" t="s">
        <v>46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69</v>
      </c>
      <c r="I13" s="1" t="s">
        <v>95</v>
      </c>
      <c r="J13" s="1" t="s">
        <v>96</v>
      </c>
      <c r="K13" s="1" t="s">
        <v>97</v>
      </c>
      <c r="L13" s="13" t="s">
        <v>55</v>
      </c>
      <c r="M13" s="1" t="s">
        <v>98</v>
      </c>
      <c r="N13" s="1" t="s">
        <v>99</v>
      </c>
      <c r="O13" s="1" t="s">
        <v>100</v>
      </c>
      <c r="P13" s="1">
        <v>0.0</v>
      </c>
      <c r="Q13" s="14">
        <v>220.29</v>
      </c>
      <c r="R13" s="1" t="s">
        <v>65</v>
      </c>
      <c r="S13" s="1" t="s">
        <v>66</v>
      </c>
      <c r="T13" s="15" t="s">
        <v>61</v>
      </c>
      <c r="U13" s="16">
        <v>0.255</v>
      </c>
      <c r="V13" s="14">
        <v>56.16</v>
      </c>
      <c r="W13" s="14">
        <v>0.0</v>
      </c>
      <c r="X13" s="1" t="s">
        <v>55</v>
      </c>
      <c r="Y13" s="1"/>
      <c r="Z13" s="1"/>
    </row>
    <row r="14" ht="14.25" customHeight="1">
      <c r="A14" s="1" t="s">
        <v>90</v>
      </c>
      <c r="B14" s="1" t="s">
        <v>45</v>
      </c>
      <c r="C14" s="1" t="s">
        <v>46</v>
      </c>
      <c r="D14" s="1" t="s">
        <v>91</v>
      </c>
      <c r="E14" s="1" t="s">
        <v>101</v>
      </c>
      <c r="F14" s="1" t="s">
        <v>102</v>
      </c>
      <c r="G14" s="1" t="s">
        <v>94</v>
      </c>
      <c r="H14" s="1" t="s">
        <v>51</v>
      </c>
      <c r="I14" s="1" t="s">
        <v>103</v>
      </c>
      <c r="J14" s="1" t="s">
        <v>64</v>
      </c>
      <c r="K14" s="1" t="s">
        <v>54</v>
      </c>
      <c r="L14" s="13" t="s">
        <v>55</v>
      </c>
      <c r="M14" s="1" t="s">
        <v>56</v>
      </c>
      <c r="N14" s="1" t="s">
        <v>57</v>
      </c>
      <c r="O14" s="1" t="s">
        <v>58</v>
      </c>
      <c r="P14" s="1">
        <v>0.0</v>
      </c>
      <c r="Q14" s="14">
        <v>70.67</v>
      </c>
      <c r="R14" s="1" t="s">
        <v>65</v>
      </c>
      <c r="S14" s="1" t="s">
        <v>66</v>
      </c>
      <c r="T14" s="15" t="s">
        <v>61</v>
      </c>
      <c r="U14" s="16">
        <v>0.255</v>
      </c>
      <c r="V14" s="14">
        <v>18.02</v>
      </c>
      <c r="W14" s="14">
        <v>0.0</v>
      </c>
      <c r="X14" s="1" t="s">
        <v>55</v>
      </c>
      <c r="Y14" s="1"/>
      <c r="Z14" s="1"/>
    </row>
    <row r="15" ht="14.25" customHeight="1">
      <c r="A15" s="1" t="s">
        <v>90</v>
      </c>
      <c r="B15" s="1" t="s">
        <v>45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72</v>
      </c>
      <c r="I15" s="1" t="s">
        <v>109</v>
      </c>
      <c r="J15" s="1" t="s">
        <v>110</v>
      </c>
      <c r="K15" s="1" t="s">
        <v>111</v>
      </c>
      <c r="L15" s="13">
        <v>64.0</v>
      </c>
      <c r="M15" s="1" t="s">
        <v>56</v>
      </c>
      <c r="N15" s="1" t="s">
        <v>57</v>
      </c>
      <c r="O15" s="1" t="s">
        <v>58</v>
      </c>
      <c r="P15" s="1">
        <v>100.0</v>
      </c>
      <c r="Q15" s="14">
        <v>234.36</v>
      </c>
      <c r="R15" s="1" t="s">
        <v>59</v>
      </c>
      <c r="S15" s="1" t="s">
        <v>60</v>
      </c>
      <c r="T15" s="15" t="s">
        <v>61</v>
      </c>
      <c r="U15" s="16">
        <v>0.675</v>
      </c>
      <c r="V15" s="14">
        <v>0.0</v>
      </c>
      <c r="W15" s="14">
        <v>-158.19</v>
      </c>
      <c r="X15" s="1" t="s">
        <v>55</v>
      </c>
      <c r="Y15" s="1"/>
      <c r="Z15" s="1"/>
    </row>
    <row r="16" ht="14.25" customHeight="1">
      <c r="A16" s="1" t="s">
        <v>90</v>
      </c>
      <c r="B16" s="1" t="s">
        <v>45</v>
      </c>
      <c r="C16" s="1" t="s">
        <v>104</v>
      </c>
      <c r="D16" s="1" t="s">
        <v>105</v>
      </c>
      <c r="E16" s="1" t="s">
        <v>112</v>
      </c>
      <c r="F16" s="1" t="s">
        <v>113</v>
      </c>
      <c r="G16" s="1" t="s">
        <v>50</v>
      </c>
      <c r="H16" s="1" t="s">
        <v>114</v>
      </c>
      <c r="I16" s="1" t="s">
        <v>115</v>
      </c>
      <c r="J16" s="1" t="s">
        <v>51</v>
      </c>
      <c r="K16" s="1" t="s">
        <v>116</v>
      </c>
      <c r="L16" s="13">
        <v>56.0</v>
      </c>
      <c r="M16" s="1" t="s">
        <v>56</v>
      </c>
      <c r="N16" s="1" t="s">
        <v>57</v>
      </c>
      <c r="O16" s="1" t="s">
        <v>58</v>
      </c>
      <c r="P16" s="1">
        <v>200.0</v>
      </c>
      <c r="Q16" s="14">
        <v>208.44</v>
      </c>
      <c r="R16" s="1" t="s">
        <v>59</v>
      </c>
      <c r="S16" s="1" t="s">
        <v>117</v>
      </c>
      <c r="T16" s="15" t="s">
        <v>61</v>
      </c>
      <c r="U16" s="16">
        <v>1.5</v>
      </c>
      <c r="V16" s="14">
        <v>0.0</v>
      </c>
      <c r="W16" s="14">
        <v>-312.66</v>
      </c>
      <c r="X16" s="1" t="s">
        <v>55</v>
      </c>
      <c r="Y16" s="1"/>
      <c r="Z16" s="1"/>
    </row>
    <row r="17" ht="14.25" customHeight="1">
      <c r="A17" s="1" t="s">
        <v>90</v>
      </c>
      <c r="B17" s="1" t="s">
        <v>45</v>
      </c>
      <c r="C17" s="1" t="s">
        <v>104</v>
      </c>
      <c r="D17" s="1" t="s">
        <v>105</v>
      </c>
      <c r="E17" s="1" t="s">
        <v>118</v>
      </c>
      <c r="F17" s="1" t="s">
        <v>119</v>
      </c>
      <c r="G17" s="1" t="s">
        <v>120</v>
      </c>
      <c r="H17" s="1" t="s">
        <v>114</v>
      </c>
      <c r="I17" s="1" t="s">
        <v>109</v>
      </c>
      <c r="J17" s="1" t="s">
        <v>121</v>
      </c>
      <c r="K17" s="1" t="s">
        <v>116</v>
      </c>
      <c r="L17" s="13">
        <v>72.0</v>
      </c>
      <c r="M17" s="1" t="s">
        <v>56</v>
      </c>
      <c r="N17" s="1" t="s">
        <v>57</v>
      </c>
      <c r="O17" s="1" t="s">
        <v>58</v>
      </c>
      <c r="P17" s="1">
        <v>50.0</v>
      </c>
      <c r="Q17" s="14">
        <v>267.1</v>
      </c>
      <c r="R17" s="1" t="s">
        <v>59</v>
      </c>
      <c r="S17" s="1" t="s">
        <v>60</v>
      </c>
      <c r="T17" s="15" t="s">
        <v>61</v>
      </c>
      <c r="U17" s="16">
        <v>0.675</v>
      </c>
      <c r="V17" s="14">
        <v>0.0</v>
      </c>
      <c r="W17" s="14">
        <v>-180.29</v>
      </c>
      <c r="X17" s="1" t="s">
        <v>55</v>
      </c>
      <c r="Y17" s="1"/>
      <c r="Z17" s="1"/>
    </row>
    <row r="18" ht="14.25" customHeight="1">
      <c r="A18" s="1" t="s">
        <v>90</v>
      </c>
      <c r="B18" s="1" t="s">
        <v>45</v>
      </c>
      <c r="C18" s="1" t="s">
        <v>104</v>
      </c>
      <c r="D18" s="1" t="s">
        <v>105</v>
      </c>
      <c r="E18" s="1" t="s">
        <v>122</v>
      </c>
      <c r="F18" s="1" t="s">
        <v>123</v>
      </c>
      <c r="G18" s="1" t="s">
        <v>108</v>
      </c>
      <c r="H18" s="1" t="s">
        <v>72</v>
      </c>
      <c r="I18" s="1" t="s">
        <v>109</v>
      </c>
      <c r="J18" s="1" t="s">
        <v>124</v>
      </c>
      <c r="K18" s="1" t="s">
        <v>125</v>
      </c>
      <c r="L18" s="13">
        <v>67.0</v>
      </c>
      <c r="M18" s="1" t="s">
        <v>56</v>
      </c>
      <c r="N18" s="1" t="s">
        <v>57</v>
      </c>
      <c r="O18" s="1" t="s">
        <v>58</v>
      </c>
      <c r="P18" s="1">
        <v>55.0</v>
      </c>
      <c r="Q18" s="14">
        <v>156.77</v>
      </c>
      <c r="R18" s="1" t="s">
        <v>59</v>
      </c>
      <c r="S18" s="1" t="s">
        <v>60</v>
      </c>
      <c r="T18" s="15" t="s">
        <v>61</v>
      </c>
      <c r="U18" s="16">
        <v>0.675</v>
      </c>
      <c r="V18" s="14">
        <v>0.0</v>
      </c>
      <c r="W18" s="14">
        <v>-105.82</v>
      </c>
      <c r="X18" s="1" t="s">
        <v>55</v>
      </c>
      <c r="Y18" s="1"/>
      <c r="Z18" s="1"/>
    </row>
    <row r="19" ht="14.25" customHeight="1">
      <c r="A19" s="1" t="s">
        <v>90</v>
      </c>
      <c r="B19" s="1" t="s">
        <v>45</v>
      </c>
      <c r="C19" s="1" t="s">
        <v>104</v>
      </c>
      <c r="D19" s="1" t="s">
        <v>126</v>
      </c>
      <c r="E19" s="1" t="s">
        <v>127</v>
      </c>
      <c r="F19" s="1" t="s">
        <v>128</v>
      </c>
      <c r="G19" s="1" t="s">
        <v>129</v>
      </c>
      <c r="H19" s="1" t="s">
        <v>130</v>
      </c>
      <c r="I19" s="1" t="s">
        <v>115</v>
      </c>
      <c r="J19" s="1" t="s">
        <v>131</v>
      </c>
      <c r="K19" s="1" t="s">
        <v>54</v>
      </c>
      <c r="L19" s="13">
        <v>57.0</v>
      </c>
      <c r="M19" s="1" t="s">
        <v>56</v>
      </c>
      <c r="N19" s="1" t="s">
        <v>57</v>
      </c>
      <c r="O19" s="1" t="s">
        <v>58</v>
      </c>
      <c r="P19" s="1">
        <v>200.0</v>
      </c>
      <c r="Q19" s="14">
        <v>-210.04</v>
      </c>
      <c r="R19" s="1" t="s">
        <v>59</v>
      </c>
      <c r="S19" s="1" t="s">
        <v>132</v>
      </c>
      <c r="T19" s="15" t="s">
        <v>61</v>
      </c>
      <c r="U19" s="16">
        <v>1.5</v>
      </c>
      <c r="V19" s="14">
        <v>0.0</v>
      </c>
      <c r="W19" s="14">
        <v>315.06</v>
      </c>
      <c r="X19" s="1" t="s">
        <v>55</v>
      </c>
      <c r="Y19" s="1"/>
      <c r="Z19" s="1"/>
    </row>
    <row r="20" ht="14.25" customHeight="1">
      <c r="A20" s="1" t="s">
        <v>90</v>
      </c>
      <c r="B20" s="1" t="s">
        <v>45</v>
      </c>
      <c r="C20" s="1" t="s">
        <v>104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130</v>
      </c>
      <c r="I20" s="1" t="s">
        <v>115</v>
      </c>
      <c r="J20" s="1" t="s">
        <v>131</v>
      </c>
      <c r="K20" s="1" t="s">
        <v>54</v>
      </c>
      <c r="L20" s="13">
        <v>57.0</v>
      </c>
      <c r="M20" s="1" t="s">
        <v>56</v>
      </c>
      <c r="N20" s="1" t="s">
        <v>57</v>
      </c>
      <c r="O20" s="1" t="s">
        <v>58</v>
      </c>
      <c r="P20" s="1">
        <v>200.0</v>
      </c>
      <c r="Q20" s="14">
        <v>0.0</v>
      </c>
      <c r="R20" s="1" t="s">
        <v>59</v>
      </c>
      <c r="S20" s="1" t="s">
        <v>133</v>
      </c>
      <c r="T20" s="15" t="s">
        <v>61</v>
      </c>
      <c r="U20" s="16">
        <v>0.0</v>
      </c>
      <c r="V20" s="14">
        <v>-1054.82</v>
      </c>
      <c r="W20" s="14">
        <v>-1054.82</v>
      </c>
      <c r="X20" s="1" t="s">
        <v>55</v>
      </c>
      <c r="Y20" s="1"/>
      <c r="Z20" s="1"/>
    </row>
    <row r="21" ht="14.25" customHeight="1">
      <c r="A21" s="1" t="s">
        <v>90</v>
      </c>
      <c r="B21" s="1" t="s">
        <v>45</v>
      </c>
      <c r="C21" s="1" t="s">
        <v>104</v>
      </c>
      <c r="D21" s="1" t="s">
        <v>134</v>
      </c>
      <c r="E21" s="1" t="s">
        <v>135</v>
      </c>
      <c r="F21" s="1" t="s">
        <v>136</v>
      </c>
      <c r="G21" s="1" t="s">
        <v>50</v>
      </c>
      <c r="H21" s="1" t="s">
        <v>114</v>
      </c>
      <c r="I21" s="1" t="s">
        <v>137</v>
      </c>
      <c r="J21" s="1" t="s">
        <v>138</v>
      </c>
      <c r="K21" s="1" t="s">
        <v>139</v>
      </c>
      <c r="L21" s="13">
        <v>63.0</v>
      </c>
      <c r="M21" s="1" t="s">
        <v>56</v>
      </c>
      <c r="N21" s="1" t="s">
        <v>57</v>
      </c>
      <c r="O21" s="1" t="s">
        <v>58</v>
      </c>
      <c r="P21" s="1">
        <v>10.0</v>
      </c>
      <c r="Q21" s="14">
        <v>37.72</v>
      </c>
      <c r="R21" s="1" t="s">
        <v>59</v>
      </c>
      <c r="S21" s="1" t="s">
        <v>60</v>
      </c>
      <c r="T21" s="15" t="s">
        <v>61</v>
      </c>
      <c r="U21" s="16">
        <v>1.35</v>
      </c>
      <c r="V21" s="14">
        <v>50.92</v>
      </c>
      <c r="W21" s="14">
        <v>0.0</v>
      </c>
      <c r="X21" s="1" t="s">
        <v>55</v>
      </c>
      <c r="Y21" s="1"/>
      <c r="Z21" s="1"/>
    </row>
    <row r="22" ht="14.25" customHeight="1">
      <c r="A22" s="1" t="s">
        <v>90</v>
      </c>
      <c r="B22" s="1" t="s">
        <v>45</v>
      </c>
      <c r="C22" s="1" t="s">
        <v>104</v>
      </c>
      <c r="D22" s="1" t="s">
        <v>140</v>
      </c>
      <c r="E22" s="1" t="s">
        <v>141</v>
      </c>
      <c r="F22" s="1" t="s">
        <v>142</v>
      </c>
      <c r="G22" s="1" t="s">
        <v>50</v>
      </c>
      <c r="H22" s="1" t="s">
        <v>51</v>
      </c>
      <c r="I22" s="1" t="s">
        <v>137</v>
      </c>
      <c r="J22" s="1" t="s">
        <v>69</v>
      </c>
      <c r="K22" s="1" t="s">
        <v>125</v>
      </c>
      <c r="L22" s="13">
        <v>77.0</v>
      </c>
      <c r="M22" s="1" t="s">
        <v>56</v>
      </c>
      <c r="N22" s="1" t="s">
        <v>57</v>
      </c>
      <c r="O22" s="1" t="s">
        <v>58</v>
      </c>
      <c r="P22" s="1">
        <v>10.0</v>
      </c>
      <c r="Q22" s="14">
        <v>83.51</v>
      </c>
      <c r="R22" s="1" t="s">
        <v>59</v>
      </c>
      <c r="S22" s="1" t="s">
        <v>117</v>
      </c>
      <c r="T22" s="15" t="s">
        <v>61</v>
      </c>
      <c r="U22" s="16">
        <v>1.35</v>
      </c>
      <c r="V22" s="14">
        <v>0.0</v>
      </c>
      <c r="W22" s="14">
        <v>-112.74</v>
      </c>
      <c r="X22" s="1" t="s">
        <v>55</v>
      </c>
      <c r="Y22" s="1"/>
      <c r="Z22" s="1"/>
    </row>
    <row r="23" ht="14.25" customHeight="1">
      <c r="A23" s="1" t="s">
        <v>90</v>
      </c>
      <c r="B23" s="1" t="s">
        <v>45</v>
      </c>
      <c r="C23" s="1" t="s">
        <v>104</v>
      </c>
      <c r="D23" s="1" t="s">
        <v>140</v>
      </c>
      <c r="E23" s="1" t="s">
        <v>141</v>
      </c>
      <c r="F23" s="1" t="s">
        <v>142</v>
      </c>
      <c r="G23" s="1" t="s">
        <v>50</v>
      </c>
      <c r="H23" s="1" t="s">
        <v>69</v>
      </c>
      <c r="I23" s="1" t="s">
        <v>137</v>
      </c>
      <c r="J23" s="1" t="s">
        <v>69</v>
      </c>
      <c r="K23" s="1" t="s">
        <v>125</v>
      </c>
      <c r="L23" s="13">
        <v>77.0</v>
      </c>
      <c r="M23" s="1" t="s">
        <v>56</v>
      </c>
      <c r="N23" s="1" t="s">
        <v>57</v>
      </c>
      <c r="O23" s="1" t="s">
        <v>58</v>
      </c>
      <c r="P23" s="1">
        <v>10.0</v>
      </c>
      <c r="Q23" s="14">
        <v>751.59</v>
      </c>
      <c r="R23" s="1" t="s">
        <v>59</v>
      </c>
      <c r="S23" s="1" t="s">
        <v>143</v>
      </c>
      <c r="T23" s="15" t="s">
        <v>61</v>
      </c>
      <c r="U23" s="16">
        <v>1.35</v>
      </c>
      <c r="V23" s="14">
        <v>1014.66</v>
      </c>
      <c r="W23" s="14">
        <v>1014.66</v>
      </c>
      <c r="X23" s="1" t="s">
        <v>55</v>
      </c>
      <c r="Y23" s="1"/>
      <c r="Z23" s="1"/>
    </row>
    <row r="24" ht="14.25" customHeight="1">
      <c r="A24" s="1" t="s">
        <v>90</v>
      </c>
      <c r="B24" s="1" t="s">
        <v>45</v>
      </c>
      <c r="C24" s="1" t="s">
        <v>104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69</v>
      </c>
      <c r="I24" s="1" t="s">
        <v>137</v>
      </c>
      <c r="J24" s="1" t="s">
        <v>148</v>
      </c>
      <c r="K24" s="1" t="s">
        <v>149</v>
      </c>
      <c r="L24" s="13">
        <v>72.0</v>
      </c>
      <c r="M24" s="1" t="s">
        <v>56</v>
      </c>
      <c r="N24" s="1" t="s">
        <v>57</v>
      </c>
      <c r="O24" s="1" t="s">
        <v>58</v>
      </c>
      <c r="P24" s="1">
        <v>10.0</v>
      </c>
      <c r="Q24" s="14">
        <v>83.99</v>
      </c>
      <c r="R24" s="1" t="s">
        <v>59</v>
      </c>
      <c r="S24" s="1" t="s">
        <v>117</v>
      </c>
      <c r="T24" s="15" t="s">
        <v>61</v>
      </c>
      <c r="U24" s="16">
        <v>1.35</v>
      </c>
      <c r="V24" s="14">
        <v>0.0</v>
      </c>
      <c r="W24" s="14">
        <v>-113.39</v>
      </c>
      <c r="X24" s="1" t="s">
        <v>55</v>
      </c>
      <c r="Y24" s="1"/>
      <c r="Z24" s="1"/>
    </row>
    <row r="25" ht="14.25" customHeight="1">
      <c r="A25" s="1" t="s">
        <v>90</v>
      </c>
      <c r="B25" s="1" t="s">
        <v>45</v>
      </c>
      <c r="C25" s="1" t="s">
        <v>104</v>
      </c>
      <c r="D25" s="1" t="s">
        <v>150</v>
      </c>
      <c r="E25" s="1" t="s">
        <v>151</v>
      </c>
      <c r="F25" s="1" t="s">
        <v>152</v>
      </c>
      <c r="G25" s="1" t="s">
        <v>94</v>
      </c>
      <c r="H25" s="1" t="s">
        <v>51</v>
      </c>
      <c r="I25" s="1" t="s">
        <v>109</v>
      </c>
      <c r="J25" s="1" t="s">
        <v>153</v>
      </c>
      <c r="K25" s="1" t="s">
        <v>154</v>
      </c>
      <c r="L25" s="13">
        <v>57.0</v>
      </c>
      <c r="M25" s="1" t="s">
        <v>56</v>
      </c>
      <c r="N25" s="1" t="s">
        <v>57</v>
      </c>
      <c r="O25" s="1" t="s">
        <v>58</v>
      </c>
      <c r="P25" s="1">
        <v>100.0</v>
      </c>
      <c r="Q25" s="14">
        <v>144.24</v>
      </c>
      <c r="R25" s="1" t="s">
        <v>59</v>
      </c>
      <c r="S25" s="1" t="s">
        <v>60</v>
      </c>
      <c r="T25" s="15" t="s">
        <v>61</v>
      </c>
      <c r="U25" s="16">
        <v>1.35</v>
      </c>
      <c r="V25" s="14">
        <v>0.0</v>
      </c>
      <c r="W25" s="14">
        <v>-194.72</v>
      </c>
      <c r="X25" s="1" t="s">
        <v>55</v>
      </c>
      <c r="Y25" s="1"/>
      <c r="Z25" s="1"/>
    </row>
    <row r="26" ht="14.25" customHeight="1">
      <c r="A26" s="1" t="s">
        <v>90</v>
      </c>
      <c r="B26" s="1" t="s">
        <v>45</v>
      </c>
      <c r="C26" s="1" t="s">
        <v>104</v>
      </c>
      <c r="D26" s="1" t="s">
        <v>155</v>
      </c>
      <c r="E26" s="1" t="s">
        <v>156</v>
      </c>
      <c r="F26" s="1" t="s">
        <v>157</v>
      </c>
      <c r="G26" s="1" t="s">
        <v>50</v>
      </c>
      <c r="H26" s="1" t="s">
        <v>51</v>
      </c>
      <c r="I26" s="1" t="s">
        <v>158</v>
      </c>
      <c r="J26" s="1" t="s">
        <v>69</v>
      </c>
      <c r="K26" s="1" t="s">
        <v>125</v>
      </c>
      <c r="L26" s="13">
        <v>17.0</v>
      </c>
      <c r="M26" s="1" t="s">
        <v>56</v>
      </c>
      <c r="N26" s="1" t="s">
        <v>57</v>
      </c>
      <c r="O26" s="1" t="s">
        <v>58</v>
      </c>
      <c r="P26" s="1">
        <v>50.0</v>
      </c>
      <c r="Q26" s="14">
        <v>34.75</v>
      </c>
      <c r="R26" s="1" t="s">
        <v>59</v>
      </c>
      <c r="S26" s="1" t="s">
        <v>117</v>
      </c>
      <c r="T26" s="15" t="s">
        <v>61</v>
      </c>
      <c r="U26" s="16">
        <v>1.15</v>
      </c>
      <c r="V26" s="14">
        <v>0.0</v>
      </c>
      <c r="W26" s="14">
        <v>-39.96</v>
      </c>
      <c r="X26" s="1" t="s">
        <v>55</v>
      </c>
      <c r="Y26" s="1"/>
      <c r="Z26" s="1"/>
    </row>
    <row r="27" ht="14.25" customHeight="1">
      <c r="A27" s="1" t="s">
        <v>90</v>
      </c>
      <c r="B27" s="1" t="s">
        <v>45</v>
      </c>
      <c r="C27" s="1" t="s">
        <v>104</v>
      </c>
      <c r="D27" s="1" t="s">
        <v>155</v>
      </c>
      <c r="E27" s="1" t="s">
        <v>156</v>
      </c>
      <c r="F27" s="1" t="s">
        <v>157</v>
      </c>
      <c r="G27" s="1" t="s">
        <v>50</v>
      </c>
      <c r="H27" s="1" t="s">
        <v>69</v>
      </c>
      <c r="I27" s="1" t="s">
        <v>158</v>
      </c>
      <c r="J27" s="1" t="s">
        <v>69</v>
      </c>
      <c r="K27" s="1" t="s">
        <v>125</v>
      </c>
      <c r="L27" s="13">
        <v>17.0</v>
      </c>
      <c r="M27" s="1" t="s">
        <v>56</v>
      </c>
      <c r="N27" s="1" t="s">
        <v>57</v>
      </c>
      <c r="O27" s="1" t="s">
        <v>58</v>
      </c>
      <c r="P27" s="1">
        <v>50.0</v>
      </c>
      <c r="Q27" s="14">
        <v>312.75</v>
      </c>
      <c r="R27" s="1" t="s">
        <v>59</v>
      </c>
      <c r="S27" s="1" t="s">
        <v>143</v>
      </c>
      <c r="T27" s="15" t="s">
        <v>61</v>
      </c>
      <c r="U27" s="16">
        <v>1.15</v>
      </c>
      <c r="V27" s="14">
        <v>359.64</v>
      </c>
      <c r="W27" s="14">
        <v>359.64</v>
      </c>
      <c r="X27" s="1" t="s">
        <v>55</v>
      </c>
      <c r="Y27" s="1"/>
      <c r="Z27" s="1"/>
    </row>
    <row r="28" ht="14.25" customHeight="1">
      <c r="A28" s="1" t="s">
        <v>90</v>
      </c>
      <c r="B28" s="1" t="s">
        <v>45</v>
      </c>
      <c r="C28" s="1" t="s">
        <v>104</v>
      </c>
      <c r="D28" s="1" t="s">
        <v>159</v>
      </c>
      <c r="E28" s="1" t="s">
        <v>160</v>
      </c>
      <c r="F28" s="1" t="s">
        <v>161</v>
      </c>
      <c r="G28" s="1" t="s">
        <v>147</v>
      </c>
      <c r="H28" s="1" t="s">
        <v>72</v>
      </c>
      <c r="I28" s="1" t="s">
        <v>109</v>
      </c>
      <c r="J28" s="1" t="s">
        <v>125</v>
      </c>
      <c r="K28" s="1" t="s">
        <v>125</v>
      </c>
      <c r="L28" s="13">
        <v>66.0</v>
      </c>
      <c r="M28" s="1" t="s">
        <v>56</v>
      </c>
      <c r="N28" s="1" t="s">
        <v>57</v>
      </c>
      <c r="O28" s="1" t="s">
        <v>58</v>
      </c>
      <c r="P28" s="1">
        <v>67.0</v>
      </c>
      <c r="Q28" s="14">
        <v>1618.65</v>
      </c>
      <c r="R28" s="1" t="s">
        <v>59</v>
      </c>
      <c r="S28" s="1" t="s">
        <v>162</v>
      </c>
      <c r="T28" s="15" t="s">
        <v>61</v>
      </c>
      <c r="U28" s="16">
        <v>0.675</v>
      </c>
      <c r="V28" s="14">
        <v>1092.59</v>
      </c>
      <c r="W28" s="14">
        <v>1092.59</v>
      </c>
      <c r="X28" s="1" t="s">
        <v>55</v>
      </c>
      <c r="Y28" s="1"/>
      <c r="Z28" s="1"/>
    </row>
    <row r="29" ht="14.25" customHeight="1">
      <c r="A29" s="1" t="s">
        <v>90</v>
      </c>
      <c r="B29" s="1" t="s">
        <v>45</v>
      </c>
      <c r="C29" s="1" t="s">
        <v>104</v>
      </c>
      <c r="D29" s="1" t="s">
        <v>159</v>
      </c>
      <c r="E29" s="1" t="s">
        <v>163</v>
      </c>
      <c r="F29" s="1" t="s">
        <v>164</v>
      </c>
      <c r="G29" s="1" t="s">
        <v>50</v>
      </c>
      <c r="H29" s="1" t="s">
        <v>51</v>
      </c>
      <c r="I29" s="1" t="s">
        <v>109</v>
      </c>
      <c r="J29" s="1" t="s">
        <v>165</v>
      </c>
      <c r="K29" s="1" t="s">
        <v>139</v>
      </c>
      <c r="L29" s="13">
        <v>29.0</v>
      </c>
      <c r="M29" s="1" t="s">
        <v>56</v>
      </c>
      <c r="N29" s="1" t="s">
        <v>57</v>
      </c>
      <c r="O29" s="1" t="s">
        <v>58</v>
      </c>
      <c r="P29" s="1">
        <v>300.0</v>
      </c>
      <c r="Q29" s="14">
        <v>90.88</v>
      </c>
      <c r="R29" s="1" t="s">
        <v>59</v>
      </c>
      <c r="S29" s="1" t="s">
        <v>60</v>
      </c>
      <c r="T29" s="15" t="s">
        <v>61</v>
      </c>
      <c r="U29" s="16">
        <v>0.675</v>
      </c>
      <c r="V29" s="14">
        <v>0.0</v>
      </c>
      <c r="W29" s="14">
        <v>-61.34</v>
      </c>
      <c r="X29" s="1" t="s">
        <v>55</v>
      </c>
      <c r="Y29" s="1"/>
      <c r="Z29" s="1"/>
    </row>
    <row r="30" ht="14.25" customHeight="1">
      <c r="A30" s="1" t="s">
        <v>90</v>
      </c>
      <c r="B30" s="1" t="s">
        <v>45</v>
      </c>
      <c r="C30" s="1" t="s">
        <v>104</v>
      </c>
      <c r="D30" s="1" t="s">
        <v>159</v>
      </c>
      <c r="E30" s="1" t="s">
        <v>166</v>
      </c>
      <c r="F30" s="1" t="s">
        <v>167</v>
      </c>
      <c r="G30" s="1" t="s">
        <v>168</v>
      </c>
      <c r="H30" s="1" t="s">
        <v>114</v>
      </c>
      <c r="I30" s="1" t="s">
        <v>109</v>
      </c>
      <c r="J30" s="1" t="s">
        <v>169</v>
      </c>
      <c r="K30" s="1" t="s">
        <v>116</v>
      </c>
      <c r="L30" s="13">
        <v>29.0</v>
      </c>
      <c r="M30" s="1" t="s">
        <v>56</v>
      </c>
      <c r="N30" s="1" t="s">
        <v>57</v>
      </c>
      <c r="O30" s="1" t="s">
        <v>58</v>
      </c>
      <c r="P30" s="1">
        <v>120.0</v>
      </c>
      <c r="Q30" s="14">
        <v>59.68</v>
      </c>
      <c r="R30" s="1" t="s">
        <v>59</v>
      </c>
      <c r="S30" s="1" t="s">
        <v>60</v>
      </c>
      <c r="T30" s="15" t="s">
        <v>61</v>
      </c>
      <c r="U30" s="16">
        <v>0.675</v>
      </c>
      <c r="V30" s="14">
        <v>0.0</v>
      </c>
      <c r="W30" s="14">
        <v>-40.28</v>
      </c>
      <c r="X30" s="1" t="s">
        <v>55</v>
      </c>
      <c r="Y30" s="1"/>
      <c r="Z30" s="1"/>
    </row>
    <row r="31" ht="14.25" customHeight="1">
      <c r="A31" s="1" t="s">
        <v>90</v>
      </c>
      <c r="B31" s="1" t="s">
        <v>45</v>
      </c>
      <c r="C31" s="1" t="s">
        <v>104</v>
      </c>
      <c r="D31" s="1" t="s">
        <v>159</v>
      </c>
      <c r="E31" s="1" t="s">
        <v>170</v>
      </c>
      <c r="F31" s="1" t="s">
        <v>171</v>
      </c>
      <c r="G31" s="1" t="s">
        <v>168</v>
      </c>
      <c r="H31" s="1" t="s">
        <v>114</v>
      </c>
      <c r="I31" s="1" t="s">
        <v>109</v>
      </c>
      <c r="J31" s="1" t="s">
        <v>169</v>
      </c>
      <c r="K31" s="1" t="s">
        <v>116</v>
      </c>
      <c r="L31" s="13">
        <v>31.0</v>
      </c>
      <c r="M31" s="1" t="s">
        <v>56</v>
      </c>
      <c r="N31" s="1" t="s">
        <v>57</v>
      </c>
      <c r="O31" s="1" t="s">
        <v>58</v>
      </c>
      <c r="P31" s="1">
        <v>170.0</v>
      </c>
      <c r="Q31" s="14">
        <v>59.98</v>
      </c>
      <c r="R31" s="1" t="s">
        <v>59</v>
      </c>
      <c r="S31" s="1" t="s">
        <v>60</v>
      </c>
      <c r="T31" s="15" t="s">
        <v>61</v>
      </c>
      <c r="U31" s="16">
        <v>0.675</v>
      </c>
      <c r="V31" s="14">
        <v>0.0</v>
      </c>
      <c r="W31" s="14">
        <v>-40.49</v>
      </c>
      <c r="X31" s="1" t="s">
        <v>55</v>
      </c>
      <c r="Y31" s="1"/>
      <c r="Z31" s="1"/>
    </row>
    <row r="32" ht="14.25" customHeight="1">
      <c r="A32" s="1" t="s">
        <v>90</v>
      </c>
      <c r="B32" s="1" t="s">
        <v>45</v>
      </c>
      <c r="C32" s="1" t="s">
        <v>104</v>
      </c>
      <c r="D32" s="1" t="s">
        <v>159</v>
      </c>
      <c r="E32" s="1" t="s">
        <v>172</v>
      </c>
      <c r="F32" s="1" t="s">
        <v>173</v>
      </c>
      <c r="G32" s="1" t="s">
        <v>168</v>
      </c>
      <c r="H32" s="1" t="s">
        <v>114</v>
      </c>
      <c r="I32" s="1" t="s">
        <v>115</v>
      </c>
      <c r="J32" s="1" t="s">
        <v>174</v>
      </c>
      <c r="K32" s="1" t="s">
        <v>111</v>
      </c>
      <c r="L32" s="13">
        <v>61.0</v>
      </c>
      <c r="M32" s="1" t="s">
        <v>56</v>
      </c>
      <c r="N32" s="1" t="s">
        <v>57</v>
      </c>
      <c r="O32" s="1" t="s">
        <v>58</v>
      </c>
      <c r="P32" s="1">
        <v>65.0</v>
      </c>
      <c r="Q32" s="14">
        <v>97.44</v>
      </c>
      <c r="R32" s="1" t="s">
        <v>59</v>
      </c>
      <c r="S32" s="1" t="s">
        <v>60</v>
      </c>
      <c r="T32" s="15" t="s">
        <v>61</v>
      </c>
      <c r="U32" s="16">
        <v>1.5</v>
      </c>
      <c r="V32" s="14">
        <v>0.0</v>
      </c>
      <c r="W32" s="14">
        <v>-146.16</v>
      </c>
      <c r="X32" s="1" t="s">
        <v>55</v>
      </c>
      <c r="Y32" s="1"/>
      <c r="Z32" s="1"/>
    </row>
    <row r="33" ht="14.25" customHeight="1">
      <c r="A33" s="1" t="s">
        <v>90</v>
      </c>
      <c r="B33" s="1" t="s">
        <v>45</v>
      </c>
      <c r="C33" s="1" t="s">
        <v>104</v>
      </c>
      <c r="D33" s="1" t="s">
        <v>159</v>
      </c>
      <c r="E33" s="1" t="s">
        <v>175</v>
      </c>
      <c r="F33" s="1" t="s">
        <v>176</v>
      </c>
      <c r="G33" s="1" t="s">
        <v>177</v>
      </c>
      <c r="H33" s="1" t="s">
        <v>114</v>
      </c>
      <c r="I33" s="1" t="s">
        <v>109</v>
      </c>
      <c r="J33" s="1" t="s">
        <v>178</v>
      </c>
      <c r="K33" s="1" t="s">
        <v>179</v>
      </c>
      <c r="L33" s="13">
        <v>53.0</v>
      </c>
      <c r="M33" s="1" t="s">
        <v>56</v>
      </c>
      <c r="N33" s="1" t="s">
        <v>57</v>
      </c>
      <c r="O33" s="1" t="s">
        <v>58</v>
      </c>
      <c r="P33" s="1">
        <v>143.0</v>
      </c>
      <c r="Q33" s="14">
        <v>168.73</v>
      </c>
      <c r="R33" s="1" t="s">
        <v>59</v>
      </c>
      <c r="S33" s="1" t="s">
        <v>60</v>
      </c>
      <c r="T33" s="15" t="s">
        <v>61</v>
      </c>
      <c r="U33" s="16">
        <v>0.675</v>
      </c>
      <c r="V33" s="14">
        <v>0.0</v>
      </c>
      <c r="W33" s="14">
        <v>-113.89</v>
      </c>
      <c r="X33" s="1" t="s">
        <v>55</v>
      </c>
      <c r="Y33" s="1"/>
      <c r="Z33" s="1"/>
    </row>
    <row r="34" ht="14.25" customHeight="1">
      <c r="A34" s="1" t="s">
        <v>90</v>
      </c>
      <c r="B34" s="1" t="s">
        <v>45</v>
      </c>
      <c r="C34" s="1" t="s">
        <v>104</v>
      </c>
      <c r="D34" s="1" t="s">
        <v>159</v>
      </c>
      <c r="E34" s="1" t="s">
        <v>180</v>
      </c>
      <c r="F34" s="1" t="s">
        <v>181</v>
      </c>
      <c r="G34" s="1" t="s">
        <v>177</v>
      </c>
      <c r="H34" s="1" t="s">
        <v>51</v>
      </c>
      <c r="I34" s="1" t="s">
        <v>182</v>
      </c>
      <c r="J34" s="1" t="s">
        <v>183</v>
      </c>
      <c r="K34" s="1" t="s">
        <v>139</v>
      </c>
      <c r="L34" s="13">
        <v>63.0</v>
      </c>
      <c r="M34" s="1" t="s">
        <v>56</v>
      </c>
      <c r="N34" s="1" t="s">
        <v>57</v>
      </c>
      <c r="O34" s="1" t="s">
        <v>58</v>
      </c>
      <c r="P34" s="1">
        <v>20.0</v>
      </c>
      <c r="Q34" s="14">
        <v>91.63</v>
      </c>
      <c r="R34" s="1" t="s">
        <v>59</v>
      </c>
      <c r="S34" s="1" t="s">
        <v>60</v>
      </c>
      <c r="T34" s="15" t="s">
        <v>61</v>
      </c>
      <c r="U34" s="16">
        <v>0.875</v>
      </c>
      <c r="V34" s="14">
        <v>80.18</v>
      </c>
      <c r="W34" s="14">
        <v>0.0</v>
      </c>
      <c r="X34" s="1" t="s">
        <v>55</v>
      </c>
      <c r="Y34" s="1"/>
      <c r="Z34" s="1"/>
    </row>
    <row r="35" ht="14.25" customHeight="1">
      <c r="A35" s="1" t="s">
        <v>90</v>
      </c>
      <c r="B35" s="1" t="s">
        <v>45</v>
      </c>
      <c r="C35" s="1" t="s">
        <v>104</v>
      </c>
      <c r="D35" s="1" t="s">
        <v>184</v>
      </c>
      <c r="E35" s="1" t="s">
        <v>185</v>
      </c>
      <c r="F35" s="1" t="s">
        <v>186</v>
      </c>
      <c r="G35" s="1" t="s">
        <v>187</v>
      </c>
      <c r="H35" s="1" t="s">
        <v>114</v>
      </c>
      <c r="I35" s="1" t="s">
        <v>115</v>
      </c>
      <c r="J35" s="1" t="s">
        <v>114</v>
      </c>
      <c r="K35" s="1" t="s">
        <v>114</v>
      </c>
      <c r="L35" s="13">
        <v>32.0</v>
      </c>
      <c r="M35" s="1" t="s">
        <v>56</v>
      </c>
      <c r="N35" s="1" t="s">
        <v>57</v>
      </c>
      <c r="O35" s="1" t="s">
        <v>58</v>
      </c>
      <c r="P35" s="1">
        <v>250.0</v>
      </c>
      <c r="Q35" s="14">
        <v>426.51</v>
      </c>
      <c r="R35" s="1" t="s">
        <v>59</v>
      </c>
      <c r="S35" s="1" t="s">
        <v>143</v>
      </c>
      <c r="T35" s="15" t="s">
        <v>61</v>
      </c>
      <c r="U35" s="16">
        <v>1.5</v>
      </c>
      <c r="V35" s="14">
        <v>639.81</v>
      </c>
      <c r="W35" s="14">
        <v>639.81</v>
      </c>
      <c r="X35" s="1" t="s">
        <v>55</v>
      </c>
      <c r="Y35" s="1"/>
      <c r="Z35" s="1"/>
    </row>
    <row r="36" ht="14.25" customHeight="1">
      <c r="A36" s="1" t="s">
        <v>90</v>
      </c>
      <c r="B36" s="1" t="s">
        <v>45</v>
      </c>
      <c r="C36" s="1" t="s">
        <v>104</v>
      </c>
      <c r="D36" s="1" t="s">
        <v>188</v>
      </c>
      <c r="E36" s="1" t="s">
        <v>189</v>
      </c>
      <c r="F36" s="1" t="s">
        <v>190</v>
      </c>
      <c r="G36" s="1" t="s">
        <v>120</v>
      </c>
      <c r="H36" s="1" t="s">
        <v>114</v>
      </c>
      <c r="I36" s="1" t="s">
        <v>182</v>
      </c>
      <c r="J36" s="1" t="s">
        <v>54</v>
      </c>
      <c r="K36" s="1" t="s">
        <v>54</v>
      </c>
      <c r="L36" s="13">
        <v>74.0</v>
      </c>
      <c r="M36" s="1" t="s">
        <v>56</v>
      </c>
      <c r="N36" s="1" t="s">
        <v>57</v>
      </c>
      <c r="O36" s="1" t="s">
        <v>58</v>
      </c>
      <c r="P36" s="1">
        <v>20.0</v>
      </c>
      <c r="Q36" s="14">
        <v>1478.34</v>
      </c>
      <c r="R36" s="1" t="s">
        <v>59</v>
      </c>
      <c r="S36" s="1" t="s">
        <v>143</v>
      </c>
      <c r="T36" s="15" t="s">
        <v>61</v>
      </c>
      <c r="U36" s="16">
        <v>0.875</v>
      </c>
      <c r="V36" s="14">
        <v>1293.57</v>
      </c>
      <c r="W36" s="14">
        <v>1293.57</v>
      </c>
      <c r="X36" s="1" t="s">
        <v>55</v>
      </c>
      <c r="Y36" s="1"/>
      <c r="Z36" s="1"/>
    </row>
    <row r="37" ht="14.25" customHeight="1">
      <c r="A37" s="1" t="s">
        <v>90</v>
      </c>
      <c r="B37" s="1" t="s">
        <v>45</v>
      </c>
      <c r="C37" s="1" t="s">
        <v>104</v>
      </c>
      <c r="D37" s="1" t="s">
        <v>191</v>
      </c>
      <c r="E37" s="1" t="s">
        <v>192</v>
      </c>
      <c r="F37" s="1" t="s">
        <v>193</v>
      </c>
      <c r="G37" s="1" t="s">
        <v>50</v>
      </c>
      <c r="H37" s="1" t="s">
        <v>51</v>
      </c>
      <c r="I37" s="1" t="s">
        <v>194</v>
      </c>
      <c r="J37" s="1" t="s">
        <v>195</v>
      </c>
      <c r="K37" s="1" t="s">
        <v>111</v>
      </c>
      <c r="L37" s="13">
        <v>60.0</v>
      </c>
      <c r="M37" s="1" t="s">
        <v>56</v>
      </c>
      <c r="N37" s="1" t="s">
        <v>57</v>
      </c>
      <c r="O37" s="1" t="s">
        <v>58</v>
      </c>
      <c r="P37" s="1">
        <v>100.0</v>
      </c>
      <c r="Q37" s="14">
        <v>71.34</v>
      </c>
      <c r="R37" s="1" t="s">
        <v>59</v>
      </c>
      <c r="S37" s="1" t="s">
        <v>60</v>
      </c>
      <c r="T37" s="15" t="s">
        <v>61</v>
      </c>
      <c r="U37" s="16">
        <v>1.03</v>
      </c>
      <c r="V37" s="14">
        <v>73.48</v>
      </c>
      <c r="W37" s="14">
        <v>0.0</v>
      </c>
      <c r="X37" s="1" t="s">
        <v>55</v>
      </c>
      <c r="Y37" s="1"/>
      <c r="Z37" s="1"/>
    </row>
    <row r="38" ht="14.25" customHeight="1">
      <c r="A38" s="1" t="s">
        <v>90</v>
      </c>
      <c r="B38" s="1" t="s">
        <v>45</v>
      </c>
      <c r="C38" s="1" t="s">
        <v>104</v>
      </c>
      <c r="D38" s="1" t="s">
        <v>196</v>
      </c>
      <c r="E38" s="1" t="s">
        <v>197</v>
      </c>
      <c r="F38" s="1" t="s">
        <v>198</v>
      </c>
      <c r="G38" s="1" t="s">
        <v>199</v>
      </c>
      <c r="H38" s="1" t="s">
        <v>130</v>
      </c>
      <c r="I38" s="1" t="s">
        <v>137</v>
      </c>
      <c r="J38" s="1" t="s">
        <v>183</v>
      </c>
      <c r="K38" s="1" t="s">
        <v>139</v>
      </c>
      <c r="L38" s="13">
        <v>63.0</v>
      </c>
      <c r="M38" s="1" t="s">
        <v>56</v>
      </c>
      <c r="N38" s="1" t="s">
        <v>57</v>
      </c>
      <c r="O38" s="1" t="s">
        <v>58</v>
      </c>
      <c r="P38" s="1">
        <v>20.0</v>
      </c>
      <c r="Q38" s="14">
        <v>78.68</v>
      </c>
      <c r="R38" s="1" t="s">
        <v>59</v>
      </c>
      <c r="S38" s="1" t="s">
        <v>60</v>
      </c>
      <c r="T38" s="15" t="s">
        <v>61</v>
      </c>
      <c r="U38" s="16">
        <v>1.35</v>
      </c>
      <c r="V38" s="14">
        <v>106.22</v>
      </c>
      <c r="W38" s="14">
        <v>0.0</v>
      </c>
      <c r="X38" s="1" t="s">
        <v>55</v>
      </c>
      <c r="Y38" s="1"/>
      <c r="Z38" s="1"/>
    </row>
    <row r="39" ht="14.25" customHeight="1">
      <c r="A39" s="1" t="s">
        <v>90</v>
      </c>
      <c r="B39" s="1" t="s">
        <v>45</v>
      </c>
      <c r="C39" s="1" t="s">
        <v>104</v>
      </c>
      <c r="D39" s="1" t="s">
        <v>200</v>
      </c>
      <c r="E39" s="1" t="s">
        <v>201</v>
      </c>
      <c r="F39" s="1" t="s">
        <v>202</v>
      </c>
      <c r="G39" s="1" t="s">
        <v>50</v>
      </c>
      <c r="H39" s="1" t="s">
        <v>130</v>
      </c>
      <c r="I39" s="1" t="s">
        <v>203</v>
      </c>
      <c r="J39" s="1" t="s">
        <v>204</v>
      </c>
      <c r="K39" s="1" t="s">
        <v>205</v>
      </c>
      <c r="L39" s="13">
        <v>40.0</v>
      </c>
      <c r="M39" s="1" t="s">
        <v>56</v>
      </c>
      <c r="N39" s="1" t="s">
        <v>57</v>
      </c>
      <c r="O39" s="1" t="s">
        <v>58</v>
      </c>
      <c r="P39" s="1">
        <v>750.0</v>
      </c>
      <c r="Q39" s="14">
        <v>81.91</v>
      </c>
      <c r="R39" s="1" t="s">
        <v>59</v>
      </c>
      <c r="S39" s="1" t="s">
        <v>117</v>
      </c>
      <c r="T39" s="15" t="s">
        <v>61</v>
      </c>
      <c r="U39" s="16">
        <v>1.26</v>
      </c>
      <c r="V39" s="14">
        <v>0.0</v>
      </c>
      <c r="W39" s="14">
        <v>-103.21</v>
      </c>
      <c r="X39" s="1" t="s">
        <v>55</v>
      </c>
      <c r="Y39" s="1"/>
      <c r="Z39" s="1"/>
    </row>
    <row r="40" ht="14.25" customHeight="1">
      <c r="A40" s="1" t="s">
        <v>90</v>
      </c>
      <c r="B40" s="1" t="s">
        <v>45</v>
      </c>
      <c r="C40" s="1" t="s">
        <v>104</v>
      </c>
      <c r="D40" s="1" t="s">
        <v>206</v>
      </c>
      <c r="E40" s="1" t="s">
        <v>207</v>
      </c>
      <c r="F40" s="1" t="s">
        <v>208</v>
      </c>
      <c r="G40" s="1" t="s">
        <v>120</v>
      </c>
      <c r="H40" s="1" t="s">
        <v>114</v>
      </c>
      <c r="I40" s="1" t="s">
        <v>115</v>
      </c>
      <c r="J40" s="1" t="s">
        <v>209</v>
      </c>
      <c r="K40" s="1" t="s">
        <v>179</v>
      </c>
      <c r="L40" s="13">
        <v>57.0</v>
      </c>
      <c r="M40" s="1" t="s">
        <v>56</v>
      </c>
      <c r="N40" s="1" t="s">
        <v>57</v>
      </c>
      <c r="O40" s="1" t="s">
        <v>58</v>
      </c>
      <c r="P40" s="1">
        <v>125.0</v>
      </c>
      <c r="Q40" s="14">
        <v>141.84</v>
      </c>
      <c r="R40" s="1" t="s">
        <v>59</v>
      </c>
      <c r="S40" s="1" t="s">
        <v>60</v>
      </c>
      <c r="T40" s="15" t="s">
        <v>61</v>
      </c>
      <c r="U40" s="16">
        <v>1.5</v>
      </c>
      <c r="V40" s="14">
        <v>0.0</v>
      </c>
      <c r="W40" s="14">
        <v>-212.76</v>
      </c>
      <c r="X40" s="1" t="s">
        <v>55</v>
      </c>
      <c r="Y40" s="1"/>
      <c r="Z40" s="1"/>
    </row>
    <row r="41" ht="14.25" customHeight="1">
      <c r="A41" s="1" t="s">
        <v>90</v>
      </c>
      <c r="B41" s="1" t="s">
        <v>45</v>
      </c>
      <c r="C41" s="1" t="s">
        <v>104</v>
      </c>
      <c r="D41" s="1" t="s">
        <v>206</v>
      </c>
      <c r="E41" s="1" t="s">
        <v>210</v>
      </c>
      <c r="F41" s="1" t="s">
        <v>211</v>
      </c>
      <c r="G41" s="1" t="s">
        <v>168</v>
      </c>
      <c r="H41" s="1" t="s">
        <v>72</v>
      </c>
      <c r="I41" s="1" t="s">
        <v>212</v>
      </c>
      <c r="J41" s="1" t="s">
        <v>213</v>
      </c>
      <c r="K41" s="1" t="s">
        <v>214</v>
      </c>
      <c r="L41" s="13">
        <v>30.0</v>
      </c>
      <c r="M41" s="1" t="s">
        <v>56</v>
      </c>
      <c r="N41" s="1" t="s">
        <v>57</v>
      </c>
      <c r="O41" s="1" t="s">
        <v>58</v>
      </c>
      <c r="P41" s="1">
        <v>300.0</v>
      </c>
      <c r="Q41" s="14">
        <v>-94.07</v>
      </c>
      <c r="R41" s="1" t="s">
        <v>59</v>
      </c>
      <c r="S41" s="1" t="s">
        <v>132</v>
      </c>
      <c r="T41" s="15" t="s">
        <v>61</v>
      </c>
      <c r="U41" s="16">
        <v>1.5</v>
      </c>
      <c r="V41" s="14">
        <v>0.0</v>
      </c>
      <c r="W41" s="14">
        <v>141.11</v>
      </c>
      <c r="X41" s="1" t="s">
        <v>55</v>
      </c>
      <c r="Y41" s="1"/>
      <c r="Z41" s="1"/>
    </row>
    <row r="42" ht="14.25" customHeight="1">
      <c r="A42" s="1" t="s">
        <v>90</v>
      </c>
      <c r="B42" s="1" t="s">
        <v>45</v>
      </c>
      <c r="C42" s="1" t="s">
        <v>104</v>
      </c>
      <c r="D42" s="1" t="s">
        <v>206</v>
      </c>
      <c r="E42" s="1" t="s">
        <v>215</v>
      </c>
      <c r="F42" s="1" t="s">
        <v>216</v>
      </c>
      <c r="G42" s="1" t="s">
        <v>120</v>
      </c>
      <c r="H42" s="1" t="s">
        <v>69</v>
      </c>
      <c r="I42" s="1" t="s">
        <v>115</v>
      </c>
      <c r="J42" s="1" t="s">
        <v>217</v>
      </c>
      <c r="K42" s="1" t="s">
        <v>205</v>
      </c>
      <c r="L42" s="13">
        <v>62.0</v>
      </c>
      <c r="M42" s="1" t="s">
        <v>56</v>
      </c>
      <c r="N42" s="1" t="s">
        <v>57</v>
      </c>
      <c r="O42" s="1" t="s">
        <v>58</v>
      </c>
      <c r="P42" s="1">
        <v>25.0</v>
      </c>
      <c r="Q42" s="14">
        <v>87.87</v>
      </c>
      <c r="R42" s="1" t="s">
        <v>59</v>
      </c>
      <c r="S42" s="1" t="s">
        <v>60</v>
      </c>
      <c r="T42" s="15" t="s">
        <v>61</v>
      </c>
      <c r="U42" s="16">
        <v>1.5</v>
      </c>
      <c r="V42" s="14">
        <v>0.0</v>
      </c>
      <c r="W42" s="14">
        <v>-131.81</v>
      </c>
      <c r="X42" s="1" t="s">
        <v>55</v>
      </c>
      <c r="Y42" s="1"/>
      <c r="Z42" s="1"/>
    </row>
    <row r="43" ht="14.25" customHeight="1">
      <c r="A43" s="1" t="s">
        <v>90</v>
      </c>
      <c r="B43" s="1" t="s">
        <v>45</v>
      </c>
      <c r="C43" s="1" t="s">
        <v>104</v>
      </c>
      <c r="D43" s="1" t="s">
        <v>206</v>
      </c>
      <c r="E43" s="1" t="s">
        <v>218</v>
      </c>
      <c r="F43" s="1" t="s">
        <v>219</v>
      </c>
      <c r="G43" s="1" t="s">
        <v>220</v>
      </c>
      <c r="H43" s="1" t="s">
        <v>69</v>
      </c>
      <c r="I43" s="1" t="s">
        <v>212</v>
      </c>
      <c r="J43" s="1" t="s">
        <v>217</v>
      </c>
      <c r="K43" s="1" t="s">
        <v>205</v>
      </c>
      <c r="L43" s="13">
        <v>25.0</v>
      </c>
      <c r="M43" s="1" t="s">
        <v>56</v>
      </c>
      <c r="N43" s="1" t="s">
        <v>57</v>
      </c>
      <c r="O43" s="1" t="s">
        <v>58</v>
      </c>
      <c r="P43" s="1">
        <v>300.0</v>
      </c>
      <c r="Q43" s="14">
        <v>62.57</v>
      </c>
      <c r="R43" s="1" t="s">
        <v>59</v>
      </c>
      <c r="S43" s="1" t="s">
        <v>60</v>
      </c>
      <c r="T43" s="15" t="s">
        <v>61</v>
      </c>
      <c r="U43" s="16">
        <v>1.5</v>
      </c>
      <c r="V43" s="14">
        <v>0.0</v>
      </c>
      <c r="W43" s="14">
        <v>-93.86</v>
      </c>
      <c r="X43" s="1" t="s">
        <v>55</v>
      </c>
      <c r="Y43" s="1"/>
      <c r="Z43" s="1"/>
    </row>
    <row r="44" ht="14.25" customHeight="1">
      <c r="A44" s="1" t="s">
        <v>90</v>
      </c>
      <c r="B44" s="1" t="s">
        <v>45</v>
      </c>
      <c r="C44" s="1" t="s">
        <v>104</v>
      </c>
      <c r="D44" s="1" t="s">
        <v>221</v>
      </c>
      <c r="E44" s="1" t="s">
        <v>222</v>
      </c>
      <c r="F44" s="1" t="s">
        <v>223</v>
      </c>
      <c r="G44" s="1" t="s">
        <v>147</v>
      </c>
      <c r="H44" s="1" t="s">
        <v>51</v>
      </c>
      <c r="I44" s="1" t="s">
        <v>115</v>
      </c>
      <c r="J44" s="1" t="s">
        <v>54</v>
      </c>
      <c r="K44" s="1" t="s">
        <v>54</v>
      </c>
      <c r="L44" s="13">
        <v>63.0</v>
      </c>
      <c r="M44" s="1" t="s">
        <v>56</v>
      </c>
      <c r="N44" s="1" t="s">
        <v>57</v>
      </c>
      <c r="O44" s="1" t="s">
        <v>58</v>
      </c>
      <c r="P44" s="1">
        <v>60.0</v>
      </c>
      <c r="Q44" s="14">
        <v>2128.14</v>
      </c>
      <c r="R44" s="1" t="s">
        <v>59</v>
      </c>
      <c r="S44" s="1" t="s">
        <v>143</v>
      </c>
      <c r="T44" s="15" t="s">
        <v>61</v>
      </c>
      <c r="U44" s="16">
        <v>1.5</v>
      </c>
      <c r="V44" s="14">
        <v>2000.0</v>
      </c>
      <c r="W44" s="14">
        <v>2000.0</v>
      </c>
      <c r="X44" s="1" t="s">
        <v>55</v>
      </c>
      <c r="Y44" s="1"/>
      <c r="Z44" s="1"/>
    </row>
    <row r="45" ht="14.25" customHeight="1">
      <c r="A45" s="1" t="s">
        <v>90</v>
      </c>
      <c r="B45" s="1" t="s">
        <v>45</v>
      </c>
      <c r="C45" s="1" t="s">
        <v>104</v>
      </c>
      <c r="D45" s="1" t="s">
        <v>221</v>
      </c>
      <c r="E45" s="1" t="s">
        <v>224</v>
      </c>
      <c r="F45" s="1" t="s">
        <v>225</v>
      </c>
      <c r="G45" s="1" t="s">
        <v>147</v>
      </c>
      <c r="H45" s="1" t="s">
        <v>51</v>
      </c>
      <c r="I45" s="1" t="s">
        <v>115</v>
      </c>
      <c r="J45" s="1" t="s">
        <v>54</v>
      </c>
      <c r="K45" s="1" t="s">
        <v>54</v>
      </c>
      <c r="L45" s="13">
        <v>61.0</v>
      </c>
      <c r="M45" s="1" t="s">
        <v>56</v>
      </c>
      <c r="N45" s="1" t="s">
        <v>57</v>
      </c>
      <c r="O45" s="1" t="s">
        <v>58</v>
      </c>
      <c r="P45" s="1">
        <v>75.0</v>
      </c>
      <c r="Q45" s="14">
        <v>1004.49</v>
      </c>
      <c r="R45" s="1" t="s">
        <v>59</v>
      </c>
      <c r="S45" s="1" t="s">
        <v>143</v>
      </c>
      <c r="T45" s="15" t="s">
        <v>61</v>
      </c>
      <c r="U45" s="16">
        <v>1.5</v>
      </c>
      <c r="V45" s="14">
        <v>1506.78</v>
      </c>
      <c r="W45" s="14">
        <v>1506.78</v>
      </c>
      <c r="X45" s="1" t="s">
        <v>55</v>
      </c>
      <c r="Y45" s="1"/>
      <c r="Z45" s="1"/>
    </row>
    <row r="46" ht="14.25" customHeight="1">
      <c r="A46" s="1" t="s">
        <v>90</v>
      </c>
      <c r="B46" s="1" t="s">
        <v>45</v>
      </c>
      <c r="C46" s="1" t="s">
        <v>104</v>
      </c>
      <c r="D46" s="1" t="s">
        <v>221</v>
      </c>
      <c r="E46" s="1" t="s">
        <v>226</v>
      </c>
      <c r="F46" s="1" t="s">
        <v>227</v>
      </c>
      <c r="G46" s="1" t="s">
        <v>147</v>
      </c>
      <c r="H46" s="1" t="s">
        <v>130</v>
      </c>
      <c r="I46" s="1" t="s">
        <v>115</v>
      </c>
      <c r="J46" s="1" t="s">
        <v>54</v>
      </c>
      <c r="K46" s="1" t="s">
        <v>54</v>
      </c>
      <c r="L46" s="13">
        <v>64.0</v>
      </c>
      <c r="M46" s="1" t="s">
        <v>56</v>
      </c>
      <c r="N46" s="1" t="s">
        <v>57</v>
      </c>
      <c r="O46" s="1" t="s">
        <v>58</v>
      </c>
      <c r="P46" s="1">
        <v>30.0</v>
      </c>
      <c r="Q46" s="14">
        <v>602.91</v>
      </c>
      <c r="R46" s="1" t="s">
        <v>59</v>
      </c>
      <c r="S46" s="1" t="s">
        <v>143</v>
      </c>
      <c r="T46" s="15" t="s">
        <v>61</v>
      </c>
      <c r="U46" s="16">
        <v>1.5</v>
      </c>
      <c r="V46" s="14">
        <v>904.41</v>
      </c>
      <c r="W46" s="14">
        <v>904.41</v>
      </c>
      <c r="X46" s="1" t="s">
        <v>55</v>
      </c>
      <c r="Y46" s="1"/>
      <c r="Z46" s="1"/>
    </row>
    <row r="47" ht="14.25" customHeight="1">
      <c r="A47" s="1" t="s">
        <v>90</v>
      </c>
      <c r="B47" s="1" t="s">
        <v>45</v>
      </c>
      <c r="C47" s="1" t="s">
        <v>104</v>
      </c>
      <c r="D47" s="1" t="s">
        <v>221</v>
      </c>
      <c r="E47" s="1" t="s">
        <v>228</v>
      </c>
      <c r="F47" s="1" t="s">
        <v>229</v>
      </c>
      <c r="G47" s="1" t="s">
        <v>147</v>
      </c>
      <c r="H47" s="1" t="s">
        <v>72</v>
      </c>
      <c r="I47" s="1" t="s">
        <v>115</v>
      </c>
      <c r="J47" s="1" t="s">
        <v>54</v>
      </c>
      <c r="K47" s="1" t="s">
        <v>54</v>
      </c>
      <c r="L47" s="13">
        <v>57.0</v>
      </c>
      <c r="M47" s="1" t="s">
        <v>56</v>
      </c>
      <c r="N47" s="1" t="s">
        <v>57</v>
      </c>
      <c r="O47" s="1" t="s">
        <v>58</v>
      </c>
      <c r="P47" s="1">
        <v>100.0</v>
      </c>
      <c r="Q47" s="14">
        <v>1030.86</v>
      </c>
      <c r="R47" s="1" t="s">
        <v>59</v>
      </c>
      <c r="S47" s="1" t="s">
        <v>143</v>
      </c>
      <c r="T47" s="15" t="s">
        <v>61</v>
      </c>
      <c r="U47" s="16">
        <v>1.5</v>
      </c>
      <c r="V47" s="14">
        <v>1546.29</v>
      </c>
      <c r="W47" s="14">
        <v>1546.29</v>
      </c>
      <c r="X47" s="1" t="s">
        <v>55</v>
      </c>
      <c r="Y47" s="1"/>
      <c r="Z47" s="1"/>
    </row>
    <row r="48" ht="14.25" customHeight="1">
      <c r="A48" s="1" t="s">
        <v>90</v>
      </c>
      <c r="B48" s="1" t="s">
        <v>45</v>
      </c>
      <c r="C48" s="1" t="s">
        <v>104</v>
      </c>
      <c r="D48" s="1" t="s">
        <v>221</v>
      </c>
      <c r="E48" s="1" t="s">
        <v>230</v>
      </c>
      <c r="F48" s="1" t="s">
        <v>231</v>
      </c>
      <c r="G48" s="1" t="s">
        <v>147</v>
      </c>
      <c r="H48" s="1" t="s">
        <v>72</v>
      </c>
      <c r="I48" s="1" t="s">
        <v>115</v>
      </c>
      <c r="J48" s="1" t="s">
        <v>232</v>
      </c>
      <c r="K48" s="1" t="s">
        <v>233</v>
      </c>
      <c r="L48" s="13">
        <v>66.0</v>
      </c>
      <c r="M48" s="1" t="s">
        <v>56</v>
      </c>
      <c r="N48" s="1" t="s">
        <v>57</v>
      </c>
      <c r="O48" s="1" t="s">
        <v>58</v>
      </c>
      <c r="P48" s="1">
        <v>30.0</v>
      </c>
      <c r="Q48" s="14">
        <v>86.48</v>
      </c>
      <c r="R48" s="1" t="s">
        <v>59</v>
      </c>
      <c r="S48" s="1" t="s">
        <v>117</v>
      </c>
      <c r="T48" s="15" t="s">
        <v>61</v>
      </c>
      <c r="U48" s="16">
        <v>1.5</v>
      </c>
      <c r="V48" s="14">
        <v>0.0</v>
      </c>
      <c r="W48" s="14">
        <v>-129.72</v>
      </c>
      <c r="X48" s="1" t="s">
        <v>55</v>
      </c>
      <c r="Y48" s="1"/>
      <c r="Z48" s="1"/>
    </row>
    <row r="49" ht="14.25" customHeight="1">
      <c r="A49" s="1" t="s">
        <v>90</v>
      </c>
      <c r="B49" s="1" t="s">
        <v>45</v>
      </c>
      <c r="C49" s="1" t="s">
        <v>104</v>
      </c>
      <c r="D49" s="1" t="s">
        <v>221</v>
      </c>
      <c r="E49" s="1" t="s">
        <v>234</v>
      </c>
      <c r="F49" s="1" t="s">
        <v>235</v>
      </c>
      <c r="G49" s="1" t="s">
        <v>147</v>
      </c>
      <c r="H49" s="1" t="s">
        <v>51</v>
      </c>
      <c r="I49" s="1" t="s">
        <v>115</v>
      </c>
      <c r="J49" s="1" t="s">
        <v>69</v>
      </c>
      <c r="K49" s="1" t="s">
        <v>125</v>
      </c>
      <c r="L49" s="13">
        <v>61.0</v>
      </c>
      <c r="M49" s="1" t="s">
        <v>56</v>
      </c>
      <c r="N49" s="1" t="s">
        <v>57</v>
      </c>
      <c r="O49" s="1" t="s">
        <v>58</v>
      </c>
      <c r="P49" s="1">
        <v>30.0</v>
      </c>
      <c r="Q49" s="14">
        <v>47.85</v>
      </c>
      <c r="R49" s="1" t="s">
        <v>59</v>
      </c>
      <c r="S49" s="1" t="s">
        <v>117</v>
      </c>
      <c r="T49" s="15" t="s">
        <v>61</v>
      </c>
      <c r="U49" s="16">
        <v>1.5</v>
      </c>
      <c r="V49" s="14">
        <v>0.0</v>
      </c>
      <c r="W49" s="14">
        <v>-71.78</v>
      </c>
      <c r="X49" s="1" t="s">
        <v>55</v>
      </c>
      <c r="Y49" s="1"/>
      <c r="Z49" s="1"/>
    </row>
    <row r="50" ht="14.25" customHeight="1">
      <c r="A50" s="1" t="s">
        <v>90</v>
      </c>
      <c r="B50" s="1" t="s">
        <v>45</v>
      </c>
      <c r="C50" s="1" t="s">
        <v>104</v>
      </c>
      <c r="D50" s="1" t="s">
        <v>221</v>
      </c>
      <c r="E50" s="1" t="s">
        <v>234</v>
      </c>
      <c r="F50" s="1" t="s">
        <v>235</v>
      </c>
      <c r="G50" s="1" t="s">
        <v>147</v>
      </c>
      <c r="H50" s="1" t="s">
        <v>69</v>
      </c>
      <c r="I50" s="1" t="s">
        <v>115</v>
      </c>
      <c r="J50" s="1" t="s">
        <v>69</v>
      </c>
      <c r="K50" s="1" t="s">
        <v>125</v>
      </c>
      <c r="L50" s="13">
        <v>61.0</v>
      </c>
      <c r="M50" s="1" t="s">
        <v>56</v>
      </c>
      <c r="N50" s="1" t="s">
        <v>57</v>
      </c>
      <c r="O50" s="1" t="s">
        <v>58</v>
      </c>
      <c r="P50" s="1">
        <v>30.0</v>
      </c>
      <c r="Q50" s="14">
        <v>430.65</v>
      </c>
      <c r="R50" s="1" t="s">
        <v>59</v>
      </c>
      <c r="S50" s="1" t="s">
        <v>143</v>
      </c>
      <c r="T50" s="15" t="s">
        <v>61</v>
      </c>
      <c r="U50" s="16">
        <v>1.5</v>
      </c>
      <c r="V50" s="14">
        <v>646.02</v>
      </c>
      <c r="W50" s="14">
        <v>646.02</v>
      </c>
      <c r="X50" s="1" t="s">
        <v>55</v>
      </c>
      <c r="Y50" s="1"/>
      <c r="Z50" s="1"/>
    </row>
    <row r="51" ht="14.25" customHeight="1">
      <c r="A51" s="1" t="s">
        <v>90</v>
      </c>
      <c r="B51" s="1" t="s">
        <v>45</v>
      </c>
      <c r="C51" s="1" t="s">
        <v>104</v>
      </c>
      <c r="D51" s="1" t="s">
        <v>221</v>
      </c>
      <c r="E51" s="1" t="s">
        <v>236</v>
      </c>
      <c r="F51" s="1" t="s">
        <v>237</v>
      </c>
      <c r="G51" s="1" t="s">
        <v>147</v>
      </c>
      <c r="H51" s="1" t="s">
        <v>69</v>
      </c>
      <c r="I51" s="1" t="s">
        <v>115</v>
      </c>
      <c r="J51" s="1" t="s">
        <v>148</v>
      </c>
      <c r="K51" s="1" t="s">
        <v>149</v>
      </c>
      <c r="L51" s="13">
        <v>65.0</v>
      </c>
      <c r="M51" s="1" t="s">
        <v>56</v>
      </c>
      <c r="N51" s="1" t="s">
        <v>57</v>
      </c>
      <c r="O51" s="1" t="s">
        <v>58</v>
      </c>
      <c r="P51" s="1">
        <v>30.0</v>
      </c>
      <c r="Q51" s="14">
        <v>69.9</v>
      </c>
      <c r="R51" s="1" t="s">
        <v>59</v>
      </c>
      <c r="S51" s="1" t="s">
        <v>117</v>
      </c>
      <c r="T51" s="15" t="s">
        <v>61</v>
      </c>
      <c r="U51" s="16">
        <v>1.5</v>
      </c>
      <c r="V51" s="14">
        <v>0.0</v>
      </c>
      <c r="W51" s="14">
        <v>-104.85</v>
      </c>
      <c r="X51" s="1" t="s">
        <v>55</v>
      </c>
      <c r="Y51" s="1"/>
      <c r="Z51" s="1"/>
    </row>
    <row r="52" ht="14.25" customHeight="1">
      <c r="A52" s="1" t="s">
        <v>90</v>
      </c>
      <c r="B52" s="1" t="s">
        <v>45</v>
      </c>
      <c r="C52" s="1" t="s">
        <v>104</v>
      </c>
      <c r="D52" s="1" t="s">
        <v>221</v>
      </c>
      <c r="E52" s="1" t="s">
        <v>238</v>
      </c>
      <c r="F52" s="1" t="s">
        <v>239</v>
      </c>
      <c r="G52" s="1" t="s">
        <v>147</v>
      </c>
      <c r="H52" s="1" t="s">
        <v>130</v>
      </c>
      <c r="I52" s="1" t="s">
        <v>115</v>
      </c>
      <c r="J52" s="1" t="s">
        <v>130</v>
      </c>
      <c r="K52" s="1" t="s">
        <v>139</v>
      </c>
      <c r="L52" s="13">
        <v>64.0</v>
      </c>
      <c r="M52" s="1" t="s">
        <v>56</v>
      </c>
      <c r="N52" s="1" t="s">
        <v>57</v>
      </c>
      <c r="O52" s="1" t="s">
        <v>58</v>
      </c>
      <c r="P52" s="1">
        <v>50.0</v>
      </c>
      <c r="Q52" s="14">
        <v>933.57</v>
      </c>
      <c r="R52" s="1" t="s">
        <v>59</v>
      </c>
      <c r="S52" s="1" t="s">
        <v>143</v>
      </c>
      <c r="T52" s="15" t="s">
        <v>61</v>
      </c>
      <c r="U52" s="16">
        <v>1.5</v>
      </c>
      <c r="V52" s="14">
        <v>1400.4</v>
      </c>
      <c r="W52" s="14">
        <v>1400.4</v>
      </c>
      <c r="X52" s="1" t="s">
        <v>55</v>
      </c>
      <c r="Y52" s="1"/>
      <c r="Z52" s="1"/>
    </row>
    <row r="53" ht="14.25" customHeight="1">
      <c r="A53" s="1" t="s">
        <v>90</v>
      </c>
      <c r="B53" s="1" t="s">
        <v>45</v>
      </c>
      <c r="C53" s="1" t="s">
        <v>104</v>
      </c>
      <c r="D53" s="1" t="s">
        <v>105</v>
      </c>
      <c r="E53" s="1" t="s">
        <v>240</v>
      </c>
      <c r="F53" s="1" t="s">
        <v>241</v>
      </c>
      <c r="G53" s="1" t="s">
        <v>177</v>
      </c>
      <c r="H53" s="1" t="s">
        <v>114</v>
      </c>
      <c r="I53" s="1" t="s">
        <v>109</v>
      </c>
      <c r="J53" s="1" t="s">
        <v>242</v>
      </c>
      <c r="K53" s="1" t="s">
        <v>243</v>
      </c>
      <c r="L53" s="13">
        <v>53.0</v>
      </c>
      <c r="M53" s="1" t="s">
        <v>56</v>
      </c>
      <c r="N53" s="1" t="s">
        <v>57</v>
      </c>
      <c r="O53" s="1" t="s">
        <v>58</v>
      </c>
      <c r="P53" s="1">
        <v>200.0</v>
      </c>
      <c r="Q53" s="14">
        <v>309.85</v>
      </c>
      <c r="R53" s="1" t="s">
        <v>59</v>
      </c>
      <c r="S53" s="1" t="s">
        <v>60</v>
      </c>
      <c r="T53" s="15" t="s">
        <v>61</v>
      </c>
      <c r="U53" s="16">
        <v>0.675</v>
      </c>
      <c r="V53" s="14">
        <v>0.01</v>
      </c>
      <c r="W53" s="14">
        <v>-209.14</v>
      </c>
      <c r="X53" s="1" t="s">
        <v>55</v>
      </c>
      <c r="Y53" s="1"/>
      <c r="Z53" s="1"/>
    </row>
    <row r="55" ht="14.25" customHeight="1">
      <c r="A55" s="1" t="s">
        <v>90</v>
      </c>
      <c r="B55" s="1" t="s">
        <v>45</v>
      </c>
      <c r="C55" s="1" t="s">
        <v>244</v>
      </c>
      <c r="D55" s="1" t="s">
        <v>140</v>
      </c>
      <c r="E55" s="1" t="s">
        <v>245</v>
      </c>
      <c r="F55" s="1" t="s">
        <v>246</v>
      </c>
      <c r="G55" s="1" t="s">
        <v>50</v>
      </c>
      <c r="H55" s="1" t="s">
        <v>130</v>
      </c>
      <c r="I55" s="1" t="s">
        <v>137</v>
      </c>
      <c r="J55" s="1" t="s">
        <v>247</v>
      </c>
      <c r="K55" s="1" t="s">
        <v>248</v>
      </c>
      <c r="L55" s="13">
        <v>69.0</v>
      </c>
      <c r="M55" s="1" t="s">
        <v>98</v>
      </c>
      <c r="N55" s="1" t="s">
        <v>99</v>
      </c>
      <c r="O55" s="1" t="s">
        <v>100</v>
      </c>
      <c r="P55" s="1">
        <v>12.0</v>
      </c>
      <c r="Q55" s="14">
        <v>260.49</v>
      </c>
      <c r="R55" s="1" t="s">
        <v>65</v>
      </c>
      <c r="S55" s="1" t="s">
        <v>66</v>
      </c>
      <c r="T55" s="15" t="s">
        <v>61</v>
      </c>
      <c r="U55" s="16">
        <v>0.07</v>
      </c>
      <c r="V55" s="14">
        <v>18.23</v>
      </c>
      <c r="W55" s="14">
        <v>0.0</v>
      </c>
      <c r="X55" s="1" t="s">
        <v>55</v>
      </c>
      <c r="Y55" s="1"/>
      <c r="Z55" s="1"/>
    </row>
    <row r="56" ht="14.25" customHeight="1">
      <c r="A56" s="1" t="s">
        <v>90</v>
      </c>
      <c r="B56" s="1" t="s">
        <v>45</v>
      </c>
      <c r="C56" s="1" t="s">
        <v>244</v>
      </c>
      <c r="D56" s="1" t="s">
        <v>249</v>
      </c>
      <c r="E56" s="1" t="s">
        <v>250</v>
      </c>
      <c r="F56" s="1" t="s">
        <v>251</v>
      </c>
      <c r="G56" s="1" t="s">
        <v>94</v>
      </c>
      <c r="H56" s="1" t="s">
        <v>114</v>
      </c>
      <c r="I56" s="1" t="s">
        <v>137</v>
      </c>
      <c r="J56" s="1" t="s">
        <v>252</v>
      </c>
      <c r="K56" s="1" t="s">
        <v>253</v>
      </c>
      <c r="L56" s="13">
        <v>57.0</v>
      </c>
      <c r="M56" s="1" t="s">
        <v>98</v>
      </c>
      <c r="N56" s="1" t="s">
        <v>99</v>
      </c>
      <c r="O56" s="1" t="s">
        <v>100</v>
      </c>
      <c r="P56" s="1">
        <v>30.0</v>
      </c>
      <c r="Q56" s="14">
        <v>258.15</v>
      </c>
      <c r="R56" s="1" t="s">
        <v>65</v>
      </c>
      <c r="S56" s="1" t="s">
        <v>66</v>
      </c>
      <c r="T56" s="15" t="s">
        <v>61</v>
      </c>
      <c r="U56" s="16">
        <v>0.07</v>
      </c>
      <c r="V56" s="14">
        <v>18.07</v>
      </c>
      <c r="W56" s="14">
        <v>0.0</v>
      </c>
      <c r="X56" s="1" t="s">
        <v>55</v>
      </c>
      <c r="Y56" s="1"/>
      <c r="Z56" s="1"/>
    </row>
    <row r="57" ht="14.25" customHeight="1">
      <c r="A57" s="1" t="s">
        <v>90</v>
      </c>
      <c r="B57" s="1" t="s">
        <v>45</v>
      </c>
      <c r="C57" s="1" t="s">
        <v>244</v>
      </c>
      <c r="D57" s="1" t="s">
        <v>150</v>
      </c>
      <c r="E57" s="1" t="s">
        <v>254</v>
      </c>
      <c r="F57" s="1" t="s">
        <v>255</v>
      </c>
      <c r="G57" s="1" t="s">
        <v>94</v>
      </c>
      <c r="H57" s="1" t="s">
        <v>51</v>
      </c>
      <c r="I57" s="1" t="s">
        <v>137</v>
      </c>
      <c r="J57" s="1" t="s">
        <v>256</v>
      </c>
      <c r="K57" s="1" t="s">
        <v>257</v>
      </c>
      <c r="L57" s="13">
        <v>69.0</v>
      </c>
      <c r="M57" s="1" t="s">
        <v>56</v>
      </c>
      <c r="N57" s="1" t="s">
        <v>57</v>
      </c>
      <c r="O57" s="1" t="s">
        <v>58</v>
      </c>
      <c r="P57" s="1">
        <v>5.0</v>
      </c>
      <c r="Q57" s="14">
        <v>27.01</v>
      </c>
      <c r="R57" s="1" t="s">
        <v>65</v>
      </c>
      <c r="S57" s="1" t="s">
        <v>66</v>
      </c>
      <c r="T57" s="15" t="s">
        <v>61</v>
      </c>
      <c r="U57" s="16">
        <v>0.07</v>
      </c>
      <c r="V57" s="14">
        <v>1.89</v>
      </c>
      <c r="W57" s="14">
        <v>0.0</v>
      </c>
      <c r="X57" s="1" t="s">
        <v>55</v>
      </c>
      <c r="Y57" s="1"/>
      <c r="Z57" s="1"/>
    </row>
    <row r="58" ht="14.25" customHeight="1">
      <c r="A58" s="1" t="s">
        <v>90</v>
      </c>
      <c r="B58" s="1" t="s">
        <v>45</v>
      </c>
      <c r="C58" s="1" t="s">
        <v>244</v>
      </c>
      <c r="D58" s="1" t="s">
        <v>105</v>
      </c>
      <c r="E58" s="1" t="s">
        <v>258</v>
      </c>
      <c r="F58" s="1" t="s">
        <v>259</v>
      </c>
      <c r="G58" s="1" t="s">
        <v>120</v>
      </c>
      <c r="H58" s="1" t="s">
        <v>114</v>
      </c>
      <c r="I58" s="1" t="s">
        <v>109</v>
      </c>
      <c r="J58" s="1" t="s">
        <v>260</v>
      </c>
      <c r="K58" s="1" t="s">
        <v>233</v>
      </c>
      <c r="L58" s="13">
        <v>65.0</v>
      </c>
      <c r="M58" s="1" t="s">
        <v>56</v>
      </c>
      <c r="N58" s="1" t="s">
        <v>57</v>
      </c>
      <c r="O58" s="1" t="s">
        <v>58</v>
      </c>
      <c r="P58" s="1">
        <v>55.0</v>
      </c>
      <c r="Q58" s="14">
        <v>139.53</v>
      </c>
      <c r="R58" s="1" t="s">
        <v>59</v>
      </c>
      <c r="S58" s="1" t="s">
        <v>60</v>
      </c>
      <c r="T58" s="15" t="s">
        <v>61</v>
      </c>
      <c r="U58" s="16">
        <v>1.35</v>
      </c>
      <c r="V58" s="14">
        <v>188.37</v>
      </c>
      <c r="W58" s="14">
        <v>0.0</v>
      </c>
      <c r="X58" s="1" t="s">
        <v>55</v>
      </c>
      <c r="Y58" s="1"/>
      <c r="Z58" s="1"/>
    </row>
    <row r="59" ht="14.25" customHeight="1">
      <c r="A59" s="1" t="s">
        <v>90</v>
      </c>
      <c r="B59" s="1" t="s">
        <v>45</v>
      </c>
      <c r="C59" s="1" t="s">
        <v>244</v>
      </c>
      <c r="D59" s="1" t="s">
        <v>105</v>
      </c>
      <c r="E59" s="1" t="s">
        <v>261</v>
      </c>
      <c r="F59" s="1" t="s">
        <v>262</v>
      </c>
      <c r="G59" s="1" t="s">
        <v>50</v>
      </c>
      <c r="H59" s="1" t="s">
        <v>51</v>
      </c>
      <c r="I59" s="1" t="s">
        <v>109</v>
      </c>
      <c r="J59" s="1" t="s">
        <v>263</v>
      </c>
      <c r="K59" s="1" t="s">
        <v>139</v>
      </c>
      <c r="L59" s="13">
        <v>61.0</v>
      </c>
      <c r="M59" s="1" t="s">
        <v>56</v>
      </c>
      <c r="N59" s="1" t="s">
        <v>57</v>
      </c>
      <c r="O59" s="1" t="s">
        <v>58</v>
      </c>
      <c r="P59" s="1">
        <v>100.0</v>
      </c>
      <c r="Q59" s="14">
        <v>188.82</v>
      </c>
      <c r="R59" s="1" t="s">
        <v>59</v>
      </c>
      <c r="S59" s="1" t="s">
        <v>60</v>
      </c>
      <c r="T59" s="15" t="s">
        <v>61</v>
      </c>
      <c r="U59" s="16">
        <v>0.675</v>
      </c>
      <c r="V59" s="14">
        <v>127.45</v>
      </c>
      <c r="W59" s="14">
        <v>0.0</v>
      </c>
      <c r="X59" s="1" t="s">
        <v>55</v>
      </c>
      <c r="Y59" s="1"/>
      <c r="Z59" s="1"/>
    </row>
    <row r="60" ht="14.25" customHeight="1">
      <c r="A60" s="1" t="s">
        <v>90</v>
      </c>
      <c r="B60" s="1" t="s">
        <v>45</v>
      </c>
      <c r="C60" s="1" t="s">
        <v>244</v>
      </c>
      <c r="D60" s="1" t="s">
        <v>264</v>
      </c>
      <c r="E60" s="1" t="s">
        <v>265</v>
      </c>
      <c r="F60" s="1" t="s">
        <v>266</v>
      </c>
      <c r="G60" s="1" t="s">
        <v>267</v>
      </c>
      <c r="H60" s="1" t="s">
        <v>114</v>
      </c>
      <c r="I60" s="1" t="s">
        <v>182</v>
      </c>
      <c r="J60" s="1" t="s">
        <v>268</v>
      </c>
      <c r="K60" s="1" t="s">
        <v>269</v>
      </c>
      <c r="L60" s="13">
        <v>60.0</v>
      </c>
      <c r="M60" s="1" t="s">
        <v>56</v>
      </c>
      <c r="N60" s="1" t="s">
        <v>57</v>
      </c>
      <c r="O60" s="1" t="s">
        <v>58</v>
      </c>
      <c r="P60" s="1">
        <v>20.0</v>
      </c>
      <c r="Q60" s="14">
        <v>83.94</v>
      </c>
      <c r="R60" s="1" t="s">
        <v>59</v>
      </c>
      <c r="S60" s="1" t="s">
        <v>60</v>
      </c>
      <c r="T60" s="15" t="s">
        <v>61</v>
      </c>
      <c r="U60" s="16">
        <v>0.875</v>
      </c>
      <c r="V60" s="14">
        <v>73.45</v>
      </c>
      <c r="W60" s="14">
        <v>0.0</v>
      </c>
      <c r="X60" s="1" t="s">
        <v>55</v>
      </c>
      <c r="Y60" s="1"/>
      <c r="Z60" s="1"/>
    </row>
    <row r="61" ht="14.25" customHeight="1">
      <c r="A61" s="1" t="s">
        <v>90</v>
      </c>
      <c r="B61" s="1" t="s">
        <v>45</v>
      </c>
      <c r="C61" s="1" t="s">
        <v>244</v>
      </c>
      <c r="D61" s="1" t="s">
        <v>270</v>
      </c>
      <c r="E61" s="1" t="s">
        <v>271</v>
      </c>
      <c r="F61" s="1" t="s">
        <v>272</v>
      </c>
      <c r="G61" s="1" t="s">
        <v>94</v>
      </c>
      <c r="H61" s="1" t="s">
        <v>69</v>
      </c>
      <c r="I61" s="1" t="s">
        <v>137</v>
      </c>
      <c r="J61" s="1" t="s">
        <v>273</v>
      </c>
      <c r="K61" s="1" t="s">
        <v>125</v>
      </c>
      <c r="L61" s="13">
        <v>63.0</v>
      </c>
      <c r="M61" s="1" t="s">
        <v>56</v>
      </c>
      <c r="N61" s="1" t="s">
        <v>57</v>
      </c>
      <c r="O61" s="1" t="s">
        <v>58</v>
      </c>
      <c r="P61" s="1">
        <v>10.0</v>
      </c>
      <c r="Q61" s="14">
        <v>52.07</v>
      </c>
      <c r="R61" s="1" t="s">
        <v>65</v>
      </c>
      <c r="S61" s="1" t="s">
        <v>66</v>
      </c>
      <c r="T61" s="15" t="s">
        <v>61</v>
      </c>
      <c r="U61" s="16">
        <v>0.025</v>
      </c>
      <c r="V61" s="14">
        <v>1.3</v>
      </c>
      <c r="W61" s="14">
        <v>0.0</v>
      </c>
      <c r="X61" s="1" t="s">
        <v>55</v>
      </c>
      <c r="Y61" s="1"/>
      <c r="Z61" s="1"/>
    </row>
    <row r="62" ht="14.25" customHeight="1">
      <c r="A62" s="1" t="s">
        <v>90</v>
      </c>
      <c r="B62" s="1" t="s">
        <v>45</v>
      </c>
      <c r="C62" s="1" t="s">
        <v>244</v>
      </c>
      <c r="D62" s="1" t="s">
        <v>105</v>
      </c>
      <c r="E62" s="1" t="s">
        <v>274</v>
      </c>
      <c r="F62" s="1" t="s">
        <v>275</v>
      </c>
      <c r="G62" s="1" t="s">
        <v>276</v>
      </c>
      <c r="H62" s="1" t="s">
        <v>69</v>
      </c>
      <c r="I62" s="1" t="s">
        <v>137</v>
      </c>
      <c r="J62" s="1" t="s">
        <v>277</v>
      </c>
      <c r="K62" s="1" t="s">
        <v>269</v>
      </c>
      <c r="L62" s="13">
        <v>57.0</v>
      </c>
      <c r="M62" s="1" t="s">
        <v>56</v>
      </c>
      <c r="N62" s="1" t="s">
        <v>57</v>
      </c>
      <c r="O62" s="1" t="s">
        <v>58</v>
      </c>
      <c r="P62" s="1">
        <v>50.0</v>
      </c>
      <c r="Q62" s="14">
        <v>137.1</v>
      </c>
      <c r="R62" s="1" t="s">
        <v>65</v>
      </c>
      <c r="S62" s="1" t="s">
        <v>66</v>
      </c>
      <c r="T62" s="15" t="s">
        <v>61</v>
      </c>
      <c r="U62" s="16">
        <v>0.07</v>
      </c>
      <c r="V62" s="14">
        <v>9.6</v>
      </c>
      <c r="W62" s="14">
        <v>0.0</v>
      </c>
      <c r="X62" s="1" t="s">
        <v>55</v>
      </c>
      <c r="Y62" s="1"/>
      <c r="Z62" s="1"/>
    </row>
    <row r="63" ht="14.25" customHeight="1">
      <c r="A63" s="1" t="s">
        <v>90</v>
      </c>
      <c r="B63" s="1" t="s">
        <v>45</v>
      </c>
      <c r="C63" s="1" t="s">
        <v>244</v>
      </c>
      <c r="D63" s="1" t="s">
        <v>105</v>
      </c>
      <c r="E63" s="1" t="s">
        <v>278</v>
      </c>
      <c r="F63" s="1" t="s">
        <v>279</v>
      </c>
      <c r="G63" s="1" t="s">
        <v>50</v>
      </c>
      <c r="H63" s="1" t="s">
        <v>69</v>
      </c>
      <c r="I63" s="1" t="s">
        <v>109</v>
      </c>
      <c r="J63" s="1" t="s">
        <v>280</v>
      </c>
      <c r="K63" s="1" t="s">
        <v>205</v>
      </c>
      <c r="L63" s="13">
        <v>68.0</v>
      </c>
      <c r="M63" s="1" t="s">
        <v>56</v>
      </c>
      <c r="N63" s="1" t="s">
        <v>57</v>
      </c>
      <c r="O63" s="1" t="s">
        <v>58</v>
      </c>
      <c r="P63" s="1">
        <v>75.0</v>
      </c>
      <c r="Q63" s="14">
        <v>225.39</v>
      </c>
      <c r="R63" s="1" t="s">
        <v>59</v>
      </c>
      <c r="S63" s="1" t="s">
        <v>60</v>
      </c>
      <c r="T63" s="15" t="s">
        <v>61</v>
      </c>
      <c r="U63" s="16">
        <v>1.35</v>
      </c>
      <c r="V63" s="14">
        <v>304.28</v>
      </c>
      <c r="W63" s="14">
        <v>0.0</v>
      </c>
      <c r="X63" s="1" t="s">
        <v>55</v>
      </c>
      <c r="Y63" s="1"/>
      <c r="Z63" s="1"/>
    </row>
    <row r="64" ht="14.25" customHeight="1">
      <c r="A64" s="1" t="s">
        <v>90</v>
      </c>
      <c r="B64" s="1" t="s">
        <v>45</v>
      </c>
      <c r="C64" s="1" t="s">
        <v>244</v>
      </c>
      <c r="D64" s="1" t="s">
        <v>105</v>
      </c>
      <c r="E64" s="1" t="s">
        <v>281</v>
      </c>
      <c r="F64" s="1" t="s">
        <v>282</v>
      </c>
      <c r="G64" s="1" t="s">
        <v>120</v>
      </c>
      <c r="H64" s="1" t="s">
        <v>114</v>
      </c>
      <c r="I64" s="1" t="s">
        <v>109</v>
      </c>
      <c r="J64" s="1" t="s">
        <v>283</v>
      </c>
      <c r="K64" s="1" t="s">
        <v>179</v>
      </c>
      <c r="L64" s="13">
        <v>64.0</v>
      </c>
      <c r="M64" s="1" t="s">
        <v>56</v>
      </c>
      <c r="N64" s="1" t="s">
        <v>57</v>
      </c>
      <c r="O64" s="1" t="s">
        <v>58</v>
      </c>
      <c r="P64" s="1">
        <v>60.0</v>
      </c>
      <c r="Q64" s="14">
        <v>187.92</v>
      </c>
      <c r="R64" s="1" t="s">
        <v>59</v>
      </c>
      <c r="S64" s="1" t="s">
        <v>60</v>
      </c>
      <c r="T64" s="15" t="s">
        <v>61</v>
      </c>
      <c r="U64" s="16">
        <v>0.675</v>
      </c>
      <c r="V64" s="14">
        <v>126.85</v>
      </c>
      <c r="W64" s="14">
        <v>0.0</v>
      </c>
      <c r="X64" s="1" t="s">
        <v>55</v>
      </c>
      <c r="Y64" s="1"/>
      <c r="Z64" s="1"/>
    </row>
    <row r="65" ht="14.25" customHeight="1">
      <c r="A65" s="1" t="s">
        <v>90</v>
      </c>
      <c r="B65" s="1" t="s">
        <v>45</v>
      </c>
      <c r="C65" s="1" t="s">
        <v>244</v>
      </c>
      <c r="D65" s="1" t="s">
        <v>159</v>
      </c>
      <c r="E65" s="1" t="s">
        <v>284</v>
      </c>
      <c r="F65" s="1" t="s">
        <v>285</v>
      </c>
      <c r="G65" s="1" t="s">
        <v>50</v>
      </c>
      <c r="H65" s="1" t="s">
        <v>114</v>
      </c>
      <c r="I65" s="1" t="s">
        <v>115</v>
      </c>
      <c r="J65" s="1" t="s">
        <v>286</v>
      </c>
      <c r="K65" s="1" t="s">
        <v>116</v>
      </c>
      <c r="L65" s="13">
        <v>57.0</v>
      </c>
      <c r="M65" s="1" t="s">
        <v>56</v>
      </c>
      <c r="N65" s="1" t="s">
        <v>57</v>
      </c>
      <c r="O65" s="1" t="s">
        <v>58</v>
      </c>
      <c r="P65" s="1">
        <v>110.0</v>
      </c>
      <c r="Q65" s="14">
        <v>117.93</v>
      </c>
      <c r="R65" s="1" t="s">
        <v>59</v>
      </c>
      <c r="S65" s="1" t="s">
        <v>60</v>
      </c>
      <c r="T65" s="15" t="s">
        <v>61</v>
      </c>
      <c r="U65" s="16">
        <v>1.5</v>
      </c>
      <c r="V65" s="14">
        <v>176.9</v>
      </c>
      <c r="W65" s="14">
        <v>0.0</v>
      </c>
      <c r="X65" s="1" t="s">
        <v>55</v>
      </c>
      <c r="Y65" s="1"/>
      <c r="Z65" s="1"/>
    </row>
    <row r="66" ht="14.25" customHeight="1">
      <c r="A66" s="1" t="s">
        <v>287</v>
      </c>
      <c r="B66" s="1" t="s">
        <v>45</v>
      </c>
      <c r="C66" s="1" t="s">
        <v>104</v>
      </c>
      <c r="D66" s="1" t="s">
        <v>221</v>
      </c>
      <c r="E66" s="1" t="s">
        <v>288</v>
      </c>
      <c r="F66" s="1" t="s">
        <v>227</v>
      </c>
      <c r="G66" s="1" t="s">
        <v>147</v>
      </c>
      <c r="H66" s="1" t="s">
        <v>130</v>
      </c>
      <c r="I66" s="1" t="s">
        <v>289</v>
      </c>
      <c r="J66" s="1" t="s">
        <v>54</v>
      </c>
      <c r="K66" s="1" t="s">
        <v>290</v>
      </c>
      <c r="L66" s="13" t="s">
        <v>55</v>
      </c>
      <c r="M66" s="1" t="s">
        <v>56</v>
      </c>
      <c r="N66" s="1" t="s">
        <v>57</v>
      </c>
      <c r="O66" s="1" t="s">
        <v>58</v>
      </c>
      <c r="P66" s="1">
        <v>0.0</v>
      </c>
      <c r="Q66" s="14">
        <v>97.52</v>
      </c>
      <c r="R66" s="1" t="s">
        <v>59</v>
      </c>
      <c r="S66" s="1" t="s">
        <v>143</v>
      </c>
      <c r="T66" s="15" t="s">
        <v>61</v>
      </c>
      <c r="U66" s="16">
        <v>0.56</v>
      </c>
      <c r="V66" s="14">
        <v>54.61</v>
      </c>
      <c r="W66" s="14">
        <v>0.0</v>
      </c>
      <c r="X66" s="1" t="s">
        <v>55</v>
      </c>
      <c r="Y66" s="1"/>
      <c r="Z66" s="1"/>
    </row>
    <row r="67" ht="14.25" customHeight="1">
      <c r="A67" s="1" t="s">
        <v>287</v>
      </c>
      <c r="B67" s="1" t="s">
        <v>45</v>
      </c>
      <c r="C67" s="1" t="s">
        <v>104</v>
      </c>
      <c r="D67" s="1" t="s">
        <v>291</v>
      </c>
      <c r="E67" s="1" t="s">
        <v>292</v>
      </c>
      <c r="F67" s="1" t="s">
        <v>293</v>
      </c>
      <c r="G67" s="1" t="s">
        <v>108</v>
      </c>
      <c r="H67" s="1" t="s">
        <v>69</v>
      </c>
      <c r="I67" s="1" t="s">
        <v>294</v>
      </c>
      <c r="J67" s="1" t="s">
        <v>295</v>
      </c>
      <c r="K67" s="1" t="s">
        <v>269</v>
      </c>
      <c r="L67" s="13" t="s">
        <v>55</v>
      </c>
      <c r="M67" s="1" t="s">
        <v>56</v>
      </c>
      <c r="N67" s="1" t="s">
        <v>57</v>
      </c>
      <c r="O67" s="1" t="s">
        <v>58</v>
      </c>
      <c r="P67" s="1">
        <v>0.0</v>
      </c>
      <c r="Q67" s="14">
        <v>27.69</v>
      </c>
      <c r="R67" s="1" t="s">
        <v>59</v>
      </c>
      <c r="S67" s="1" t="s">
        <v>60</v>
      </c>
      <c r="T67" s="15" t="s">
        <v>61</v>
      </c>
      <c r="U67" s="16">
        <v>0.52</v>
      </c>
      <c r="V67" s="14">
        <v>14.4</v>
      </c>
      <c r="W67" s="14">
        <v>0.0</v>
      </c>
      <c r="X67" s="1" t="s">
        <v>55</v>
      </c>
      <c r="Y67" s="1"/>
      <c r="Z67" s="1"/>
    </row>
    <row r="68" ht="14.25" customHeight="1">
      <c r="A68" s="1" t="s">
        <v>287</v>
      </c>
      <c r="B68" s="1" t="s">
        <v>45</v>
      </c>
      <c r="C68" s="1" t="s">
        <v>104</v>
      </c>
      <c r="D68" s="1" t="s">
        <v>291</v>
      </c>
      <c r="E68" s="1" t="s">
        <v>296</v>
      </c>
      <c r="F68" s="1" t="s">
        <v>297</v>
      </c>
      <c r="G68" s="1" t="s">
        <v>108</v>
      </c>
      <c r="H68" s="1" t="s">
        <v>69</v>
      </c>
      <c r="I68" s="1" t="s">
        <v>294</v>
      </c>
      <c r="J68" s="1" t="s">
        <v>295</v>
      </c>
      <c r="K68" s="1" t="s">
        <v>269</v>
      </c>
      <c r="L68" s="13" t="s">
        <v>55</v>
      </c>
      <c r="M68" s="1" t="s">
        <v>56</v>
      </c>
      <c r="N68" s="1" t="s">
        <v>57</v>
      </c>
      <c r="O68" s="1" t="s">
        <v>58</v>
      </c>
      <c r="P68" s="1">
        <v>0.0</v>
      </c>
      <c r="Q68" s="14">
        <v>27.69</v>
      </c>
      <c r="R68" s="1" t="s">
        <v>59</v>
      </c>
      <c r="S68" s="1" t="s">
        <v>60</v>
      </c>
      <c r="T68" s="15" t="s">
        <v>61</v>
      </c>
      <c r="U68" s="16">
        <v>0.52</v>
      </c>
      <c r="V68" s="14">
        <v>14.4</v>
      </c>
      <c r="W68" s="14">
        <v>0.0</v>
      </c>
      <c r="X68" s="1" t="s">
        <v>55</v>
      </c>
      <c r="Y68" s="1"/>
      <c r="Z68" s="1"/>
    </row>
    <row r="69" ht="14.25" customHeight="1">
      <c r="A69" s="1" t="s">
        <v>287</v>
      </c>
      <c r="B69" s="1" t="s">
        <v>45</v>
      </c>
      <c r="C69" s="1" t="s">
        <v>46</v>
      </c>
      <c r="D69" s="1" t="s">
        <v>298</v>
      </c>
      <c r="E69" s="1" t="s">
        <v>299</v>
      </c>
      <c r="F69" s="1" t="s">
        <v>300</v>
      </c>
      <c r="G69" s="1" t="s">
        <v>50</v>
      </c>
      <c r="H69" s="1" t="s">
        <v>72</v>
      </c>
      <c r="I69" s="1" t="s">
        <v>294</v>
      </c>
      <c r="J69" s="1" t="s">
        <v>301</v>
      </c>
      <c r="K69" s="1" t="s">
        <v>257</v>
      </c>
      <c r="L69" s="13" t="s">
        <v>55</v>
      </c>
      <c r="M69" s="1" t="s">
        <v>56</v>
      </c>
      <c r="N69" s="1" t="s">
        <v>57</v>
      </c>
      <c r="O69" s="1" t="s">
        <v>58</v>
      </c>
      <c r="P69" s="1">
        <v>0.0</v>
      </c>
      <c r="Q69" s="14">
        <v>34.36</v>
      </c>
      <c r="R69" s="1" t="s">
        <v>65</v>
      </c>
      <c r="S69" s="1" t="s">
        <v>66</v>
      </c>
      <c r="T69" s="15" t="s">
        <v>61</v>
      </c>
      <c r="U69" s="16">
        <v>0.03</v>
      </c>
      <c r="V69" s="14">
        <v>1.03</v>
      </c>
      <c r="W69" s="14">
        <v>0.0</v>
      </c>
      <c r="X69" s="1" t="s">
        <v>55</v>
      </c>
      <c r="Y69" s="1"/>
      <c r="Z69" s="1"/>
    </row>
    <row r="70" ht="14.25" customHeight="1">
      <c r="A70" s="1" t="s">
        <v>287</v>
      </c>
      <c r="B70" s="1" t="s">
        <v>45</v>
      </c>
      <c r="C70" s="1" t="s">
        <v>46</v>
      </c>
      <c r="D70" s="1" t="s">
        <v>298</v>
      </c>
      <c r="E70" s="1" t="s">
        <v>302</v>
      </c>
      <c r="F70" s="1" t="s">
        <v>303</v>
      </c>
      <c r="G70" s="1" t="s">
        <v>50</v>
      </c>
      <c r="H70" s="1" t="s">
        <v>72</v>
      </c>
      <c r="I70" s="1" t="s">
        <v>294</v>
      </c>
      <c r="J70" s="1" t="s">
        <v>301</v>
      </c>
      <c r="K70" s="1" t="s">
        <v>257</v>
      </c>
      <c r="L70" s="13" t="s">
        <v>55</v>
      </c>
      <c r="M70" s="1" t="s">
        <v>56</v>
      </c>
      <c r="N70" s="1" t="s">
        <v>57</v>
      </c>
      <c r="O70" s="1" t="s">
        <v>58</v>
      </c>
      <c r="P70" s="1">
        <v>0.0</v>
      </c>
      <c r="Q70" s="14">
        <v>34.36</v>
      </c>
      <c r="R70" s="1" t="s">
        <v>65</v>
      </c>
      <c r="S70" s="1" t="s">
        <v>66</v>
      </c>
      <c r="T70" s="15" t="s">
        <v>61</v>
      </c>
      <c r="U70" s="16">
        <v>0.03</v>
      </c>
      <c r="V70" s="14">
        <v>1.03</v>
      </c>
      <c r="W70" s="14">
        <v>0.0</v>
      </c>
      <c r="X70" s="1" t="s">
        <v>55</v>
      </c>
      <c r="Y70" s="1"/>
      <c r="Z70" s="1"/>
    </row>
    <row r="71" ht="14.25" customHeight="1">
      <c r="A71" s="1" t="s">
        <v>287</v>
      </c>
      <c r="B71" s="1" t="s">
        <v>45</v>
      </c>
      <c r="C71" s="1" t="s">
        <v>46</v>
      </c>
      <c r="D71" s="1" t="s">
        <v>304</v>
      </c>
      <c r="E71" s="1" t="s">
        <v>305</v>
      </c>
      <c r="F71" s="1" t="s">
        <v>306</v>
      </c>
      <c r="G71" s="1" t="s">
        <v>199</v>
      </c>
      <c r="H71" s="1" t="s">
        <v>51</v>
      </c>
      <c r="I71" s="1" t="s">
        <v>307</v>
      </c>
      <c r="J71" s="1" t="s">
        <v>308</v>
      </c>
      <c r="K71" s="1" t="s">
        <v>54</v>
      </c>
      <c r="L71" s="13" t="s">
        <v>55</v>
      </c>
      <c r="M71" s="1" t="s">
        <v>56</v>
      </c>
      <c r="N71" s="1" t="s">
        <v>57</v>
      </c>
      <c r="O71" s="1" t="s">
        <v>58</v>
      </c>
      <c r="P71" s="1">
        <v>0.0</v>
      </c>
      <c r="Q71" s="14">
        <v>93.57</v>
      </c>
      <c r="R71" s="1" t="s">
        <v>65</v>
      </c>
      <c r="S71" s="1" t="s">
        <v>66</v>
      </c>
      <c r="T71" s="15" t="s">
        <v>61</v>
      </c>
      <c r="U71" s="16">
        <v>0.27</v>
      </c>
      <c r="V71" s="14">
        <v>25.26</v>
      </c>
      <c r="W71" s="14">
        <v>0.0</v>
      </c>
      <c r="X71" s="1" t="s">
        <v>55</v>
      </c>
      <c r="Y71" s="1"/>
      <c r="Z71" s="1"/>
    </row>
    <row r="72" ht="14.25" customHeight="1">
      <c r="A72" s="1" t="s">
        <v>287</v>
      </c>
      <c r="B72" s="1" t="s">
        <v>45</v>
      </c>
      <c r="C72" s="1" t="s">
        <v>46</v>
      </c>
      <c r="D72" s="1" t="s">
        <v>309</v>
      </c>
      <c r="E72" s="1" t="s">
        <v>310</v>
      </c>
      <c r="F72" s="1" t="s">
        <v>311</v>
      </c>
      <c r="G72" s="1" t="s">
        <v>50</v>
      </c>
      <c r="H72" s="1" t="s">
        <v>51</v>
      </c>
      <c r="I72" s="1" t="s">
        <v>294</v>
      </c>
      <c r="J72" s="1" t="s">
        <v>312</v>
      </c>
      <c r="K72" s="1" t="s">
        <v>139</v>
      </c>
      <c r="L72" s="13" t="s">
        <v>55</v>
      </c>
      <c r="M72" s="1" t="s">
        <v>56</v>
      </c>
      <c r="N72" s="1" t="s">
        <v>57</v>
      </c>
      <c r="O72" s="1" t="s">
        <v>58</v>
      </c>
      <c r="P72" s="1">
        <v>0.0</v>
      </c>
      <c r="Q72" s="14">
        <v>36.08</v>
      </c>
      <c r="R72" s="1" t="s">
        <v>65</v>
      </c>
      <c r="S72" s="1" t="s">
        <v>66</v>
      </c>
      <c r="T72" s="15" t="s">
        <v>61</v>
      </c>
      <c r="U72" s="16">
        <v>0.03</v>
      </c>
      <c r="V72" s="14">
        <v>1.08</v>
      </c>
      <c r="W72" s="14">
        <v>0.0</v>
      </c>
      <c r="X72" s="1" t="s">
        <v>55</v>
      </c>
      <c r="Y72" s="1"/>
      <c r="Z72" s="1"/>
    </row>
    <row r="73" ht="14.25" customHeight="1">
      <c r="A73" s="1" t="s">
        <v>287</v>
      </c>
      <c r="B73" s="1" t="s">
        <v>45</v>
      </c>
      <c r="C73" s="1" t="s">
        <v>46</v>
      </c>
      <c r="D73" s="1" t="s">
        <v>309</v>
      </c>
      <c r="E73" s="1" t="s">
        <v>313</v>
      </c>
      <c r="F73" s="1" t="s">
        <v>314</v>
      </c>
      <c r="G73" s="1" t="s">
        <v>50</v>
      </c>
      <c r="H73" s="1" t="s">
        <v>51</v>
      </c>
      <c r="I73" s="1" t="s">
        <v>315</v>
      </c>
      <c r="J73" s="1" t="s">
        <v>312</v>
      </c>
      <c r="K73" s="1" t="s">
        <v>139</v>
      </c>
      <c r="L73" s="13" t="s">
        <v>55</v>
      </c>
      <c r="M73" s="1" t="s">
        <v>56</v>
      </c>
      <c r="N73" s="1" t="s">
        <v>57</v>
      </c>
      <c r="O73" s="1" t="s">
        <v>58</v>
      </c>
      <c r="P73" s="1">
        <v>0.0</v>
      </c>
      <c r="Q73" s="14">
        <v>79.28</v>
      </c>
      <c r="R73" s="1" t="s">
        <v>65</v>
      </c>
      <c r="S73" s="1" t="s">
        <v>66</v>
      </c>
      <c r="T73" s="15" t="s">
        <v>61</v>
      </c>
      <c r="U73" s="16">
        <v>0.03</v>
      </c>
      <c r="V73" s="14">
        <v>2.38</v>
      </c>
      <c r="W73" s="14">
        <v>0.0</v>
      </c>
      <c r="X73" s="1" t="s">
        <v>55</v>
      </c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6.0"/>
    <col customWidth="1" min="3" max="3" width="11.71"/>
    <col customWidth="1" min="4" max="4" width="12.29"/>
    <col customWidth="1" min="5" max="5" width="14.29"/>
    <col customWidth="1" min="6" max="6" width="14.0"/>
    <col customWidth="1" min="7" max="7" width="11.0"/>
    <col customWidth="1" min="8" max="8" width="88.71"/>
    <col customWidth="1" min="9" max="9" width="14.0"/>
    <col customWidth="1" min="10" max="10" width="22.71"/>
    <col customWidth="1" min="11" max="11" width="44.29"/>
    <col customWidth="1" min="12" max="12" width="11.71"/>
    <col customWidth="1" min="13" max="13" width="14.14"/>
    <col customWidth="1" min="14" max="14" width="16.86"/>
    <col customWidth="1" min="15" max="15" width="17.86"/>
    <col customWidth="1" min="16" max="16" width="11.14"/>
    <col customWidth="1" min="17" max="17" width="11.57"/>
    <col customWidth="1" min="18" max="18" width="11.71"/>
    <col customWidth="1" min="19" max="26" width="8.71"/>
  </cols>
  <sheetData>
    <row r="1" ht="30.0" customHeight="1">
      <c r="A1" s="17" t="s">
        <v>24</v>
      </c>
      <c r="B1" s="17" t="s">
        <v>25</v>
      </c>
      <c r="C1" s="17" t="s">
        <v>316</v>
      </c>
      <c r="D1" s="17" t="s">
        <v>26</v>
      </c>
      <c r="E1" s="17" t="s">
        <v>317</v>
      </c>
      <c r="F1" s="17" t="s">
        <v>318</v>
      </c>
      <c r="G1" s="17" t="s">
        <v>319</v>
      </c>
      <c r="H1" s="17" t="s">
        <v>320</v>
      </c>
      <c r="I1" s="17" t="s">
        <v>23</v>
      </c>
      <c r="J1" s="17" t="s">
        <v>321</v>
      </c>
      <c r="K1" s="17" t="s">
        <v>322</v>
      </c>
      <c r="L1" s="17" t="s">
        <v>29</v>
      </c>
      <c r="M1" s="17" t="s">
        <v>30</v>
      </c>
      <c r="N1" s="17" t="s">
        <v>36</v>
      </c>
      <c r="O1" s="17" t="s">
        <v>38</v>
      </c>
      <c r="P1" s="17" t="s">
        <v>40</v>
      </c>
      <c r="Q1" s="17" t="s">
        <v>41</v>
      </c>
      <c r="R1" s="17" t="s">
        <v>42</v>
      </c>
      <c r="S1" s="17"/>
      <c r="T1" s="17"/>
      <c r="U1" s="17"/>
      <c r="V1" s="17"/>
      <c r="W1" s="17"/>
      <c r="X1" s="17"/>
      <c r="Y1" s="17"/>
      <c r="Z1" s="17"/>
    </row>
    <row r="2" ht="14.25" customHeight="1">
      <c r="A2" s="13" t="s">
        <v>160</v>
      </c>
      <c r="B2" s="13" t="s">
        <v>161</v>
      </c>
      <c r="C2" s="13">
        <f t="shared" ref="C2:C70" si="1">SUM(P2*100)</f>
        <v>67.5</v>
      </c>
      <c r="D2" s="13" t="s">
        <v>147</v>
      </c>
      <c r="E2" s="13">
        <v>179.85</v>
      </c>
      <c r="F2" s="13">
        <v>179.85</v>
      </c>
      <c r="G2" s="13">
        <v>121.39875</v>
      </c>
      <c r="H2" s="13" t="s">
        <v>323</v>
      </c>
      <c r="I2" s="13">
        <v>8977234.0</v>
      </c>
      <c r="J2" s="13" t="s">
        <v>324</v>
      </c>
      <c r="K2" s="13" t="s">
        <v>325</v>
      </c>
      <c r="L2" s="13" t="s">
        <v>125</v>
      </c>
      <c r="M2" s="13" t="s">
        <v>125</v>
      </c>
      <c r="N2" s="18">
        <v>1618.65</v>
      </c>
      <c r="O2" s="13" t="s">
        <v>162</v>
      </c>
      <c r="P2" s="19">
        <v>0.675</v>
      </c>
      <c r="Q2" s="18">
        <v>1092.59</v>
      </c>
      <c r="R2" s="18">
        <v>1092.59</v>
      </c>
      <c r="S2" s="13"/>
      <c r="T2" s="13"/>
      <c r="U2" s="13"/>
      <c r="V2" s="13"/>
      <c r="W2" s="13"/>
      <c r="X2" s="13"/>
      <c r="Y2" s="13"/>
      <c r="Z2" s="13"/>
    </row>
    <row r="3" ht="14.25" customHeight="1">
      <c r="A3" s="13" t="s">
        <v>288</v>
      </c>
      <c r="B3" s="13" t="s">
        <v>227</v>
      </c>
      <c r="C3" s="13">
        <f t="shared" si="1"/>
        <v>56</v>
      </c>
      <c r="D3" s="13" t="s">
        <v>147</v>
      </c>
      <c r="E3" s="13">
        <v>97.52</v>
      </c>
      <c r="F3" s="13">
        <v>97.52</v>
      </c>
      <c r="G3" s="13">
        <v>54.611200000000004</v>
      </c>
      <c r="H3" s="13" t="s">
        <v>326</v>
      </c>
      <c r="I3" s="13">
        <v>1.9491313E7</v>
      </c>
      <c r="J3" s="13" t="s">
        <v>327</v>
      </c>
      <c r="K3" s="13" t="s">
        <v>328</v>
      </c>
      <c r="L3" s="13" t="s">
        <v>54</v>
      </c>
      <c r="M3" s="13" t="s">
        <v>290</v>
      </c>
      <c r="N3" s="18">
        <v>97.52</v>
      </c>
      <c r="O3" s="13" t="s">
        <v>143</v>
      </c>
      <c r="P3" s="19">
        <v>0.56</v>
      </c>
      <c r="Q3" s="18">
        <v>54.61</v>
      </c>
      <c r="R3" s="18">
        <v>0.0</v>
      </c>
      <c r="S3" s="13"/>
      <c r="T3" s="13"/>
      <c r="U3" s="13"/>
      <c r="V3" s="13"/>
      <c r="W3" s="13"/>
      <c r="X3" s="13"/>
      <c r="Y3" s="13"/>
      <c r="Z3" s="13"/>
    </row>
    <row r="4" ht="14.25" customHeight="1">
      <c r="A4" s="13" t="s">
        <v>189</v>
      </c>
      <c r="B4" s="13" t="s">
        <v>190</v>
      </c>
      <c r="C4" s="13">
        <f t="shared" si="1"/>
        <v>87.5</v>
      </c>
      <c r="D4" s="13" t="s">
        <v>120</v>
      </c>
      <c r="E4" s="13">
        <v>164.26</v>
      </c>
      <c r="F4" s="13">
        <v>164.26</v>
      </c>
      <c r="G4" s="13">
        <v>143.7275</v>
      </c>
      <c r="H4" s="13" t="s">
        <v>329</v>
      </c>
      <c r="I4" s="13">
        <v>3333476.0</v>
      </c>
      <c r="J4" s="13" t="s">
        <v>330</v>
      </c>
      <c r="K4" s="13" t="s">
        <v>331</v>
      </c>
      <c r="L4" s="13" t="s">
        <v>54</v>
      </c>
      <c r="M4" s="13" t="s">
        <v>54</v>
      </c>
      <c r="N4" s="18">
        <v>1478.34</v>
      </c>
      <c r="O4" s="13" t="s">
        <v>143</v>
      </c>
      <c r="P4" s="19">
        <v>0.875</v>
      </c>
      <c r="Q4" s="18">
        <v>1293.57</v>
      </c>
      <c r="R4" s="18">
        <v>1293.57</v>
      </c>
      <c r="S4" s="13"/>
      <c r="T4" s="13"/>
      <c r="U4" s="13"/>
      <c r="V4" s="13"/>
      <c r="W4" s="13"/>
      <c r="X4" s="13"/>
      <c r="Y4" s="13"/>
      <c r="Z4" s="13"/>
    </row>
    <row r="5" ht="14.25" customHeight="1">
      <c r="A5" s="20" t="s">
        <v>226</v>
      </c>
      <c r="B5" s="20" t="s">
        <v>227</v>
      </c>
      <c r="C5" s="20">
        <f t="shared" si="1"/>
        <v>150</v>
      </c>
      <c r="D5" s="20" t="s">
        <v>147</v>
      </c>
      <c r="E5" s="20">
        <v>66.99</v>
      </c>
      <c r="F5" s="20">
        <v>66.99</v>
      </c>
      <c r="G5" s="20">
        <v>100.48499999999999</v>
      </c>
      <c r="H5" s="20" t="s">
        <v>332</v>
      </c>
      <c r="I5" s="20">
        <v>1.9491313E7</v>
      </c>
      <c r="J5" s="20" t="s">
        <v>327</v>
      </c>
      <c r="K5" s="20" t="s">
        <v>333</v>
      </c>
      <c r="L5" s="20" t="s">
        <v>54</v>
      </c>
      <c r="M5" s="20" t="s">
        <v>54</v>
      </c>
      <c r="N5" s="21">
        <v>602.91</v>
      </c>
      <c r="O5" s="20" t="s">
        <v>143</v>
      </c>
      <c r="P5" s="22">
        <v>1.5</v>
      </c>
      <c r="Q5" s="21">
        <v>904.41</v>
      </c>
      <c r="R5" s="21">
        <v>904.41</v>
      </c>
      <c r="S5" s="13"/>
      <c r="T5" s="13"/>
      <c r="U5" s="13"/>
      <c r="V5" s="13"/>
      <c r="W5" s="13"/>
      <c r="X5" s="13"/>
      <c r="Y5" s="13"/>
      <c r="Z5" s="13"/>
    </row>
    <row r="6" ht="14.25" customHeight="1">
      <c r="A6" s="20" t="s">
        <v>224</v>
      </c>
      <c r="B6" s="20" t="s">
        <v>225</v>
      </c>
      <c r="C6" s="20">
        <f t="shared" si="1"/>
        <v>150</v>
      </c>
      <c r="D6" s="20" t="s">
        <v>147</v>
      </c>
      <c r="E6" s="20">
        <v>111.61</v>
      </c>
      <c r="F6" s="20">
        <v>111.61</v>
      </c>
      <c r="G6" s="20">
        <v>167.415</v>
      </c>
      <c r="H6" s="20" t="s">
        <v>332</v>
      </c>
      <c r="I6" s="20">
        <v>1.9491313E7</v>
      </c>
      <c r="J6" s="20" t="s">
        <v>327</v>
      </c>
      <c r="K6" s="20" t="s">
        <v>333</v>
      </c>
      <c r="L6" s="20" t="s">
        <v>54</v>
      </c>
      <c r="M6" s="20" t="s">
        <v>54</v>
      </c>
      <c r="N6" s="21">
        <v>1004.49</v>
      </c>
      <c r="O6" s="20" t="s">
        <v>143</v>
      </c>
      <c r="P6" s="22">
        <v>1.5</v>
      </c>
      <c r="Q6" s="21">
        <v>1506.78</v>
      </c>
      <c r="R6" s="21">
        <v>1506.78</v>
      </c>
      <c r="S6" s="13"/>
      <c r="T6" s="13"/>
      <c r="U6" s="13"/>
      <c r="V6" s="13"/>
      <c r="W6" s="13"/>
      <c r="X6" s="13"/>
      <c r="Y6" s="13"/>
      <c r="Z6" s="13"/>
    </row>
    <row r="7" ht="14.25" customHeight="1">
      <c r="A7" s="20" t="s">
        <v>228</v>
      </c>
      <c r="B7" s="20" t="s">
        <v>229</v>
      </c>
      <c r="C7" s="20">
        <f t="shared" si="1"/>
        <v>150</v>
      </c>
      <c r="D7" s="20" t="s">
        <v>147</v>
      </c>
      <c r="E7" s="20">
        <v>114.54</v>
      </c>
      <c r="F7" s="20">
        <v>114.54</v>
      </c>
      <c r="G7" s="20">
        <v>171.81</v>
      </c>
      <c r="H7" s="20" t="s">
        <v>332</v>
      </c>
      <c r="I7" s="20">
        <v>1.9491313E7</v>
      </c>
      <c r="J7" s="20" t="s">
        <v>327</v>
      </c>
      <c r="K7" s="20" t="s">
        <v>333</v>
      </c>
      <c r="L7" s="20" t="s">
        <v>54</v>
      </c>
      <c r="M7" s="20" t="s">
        <v>54</v>
      </c>
      <c r="N7" s="21">
        <v>1030.86</v>
      </c>
      <c r="O7" s="20" t="s">
        <v>143</v>
      </c>
      <c r="P7" s="22">
        <v>1.5</v>
      </c>
      <c r="Q7" s="21">
        <v>1546.29</v>
      </c>
      <c r="R7" s="21">
        <v>1546.29</v>
      </c>
      <c r="S7" s="20"/>
      <c r="T7" s="20"/>
      <c r="U7" s="20"/>
      <c r="V7" s="20"/>
      <c r="W7" s="20"/>
      <c r="X7" s="20"/>
      <c r="Y7" s="20"/>
      <c r="Z7" s="20"/>
    </row>
    <row r="8" ht="14.25" customHeight="1">
      <c r="A8" s="20" t="s">
        <v>222</v>
      </c>
      <c r="B8" s="20" t="s">
        <v>223</v>
      </c>
      <c r="C8" s="20">
        <f t="shared" si="1"/>
        <v>150</v>
      </c>
      <c r="D8" s="20" t="s">
        <v>147</v>
      </c>
      <c r="E8" s="20">
        <v>236.46</v>
      </c>
      <c r="F8" s="20">
        <v>236.46</v>
      </c>
      <c r="G8" s="20">
        <v>354.69</v>
      </c>
      <c r="H8" s="20" t="s">
        <v>332</v>
      </c>
      <c r="I8" s="20">
        <v>1.9491313E7</v>
      </c>
      <c r="J8" s="20" t="s">
        <v>327</v>
      </c>
      <c r="K8" s="20" t="s">
        <v>333</v>
      </c>
      <c r="L8" s="20" t="s">
        <v>54</v>
      </c>
      <c r="M8" s="20" t="s">
        <v>54</v>
      </c>
      <c r="N8" s="21">
        <v>2128.14</v>
      </c>
      <c r="O8" s="20" t="s">
        <v>143</v>
      </c>
      <c r="P8" s="22">
        <v>1.5</v>
      </c>
      <c r="Q8" s="21">
        <v>2000.0</v>
      </c>
      <c r="R8" s="21">
        <v>2000.0</v>
      </c>
      <c r="S8" s="20"/>
      <c r="T8" s="20"/>
      <c r="U8" s="20"/>
      <c r="V8" s="20"/>
      <c r="W8" s="20"/>
      <c r="X8" s="20"/>
      <c r="Y8" s="20"/>
      <c r="Z8" s="20"/>
    </row>
    <row r="9" ht="14.25" customHeight="1">
      <c r="A9" s="20" t="s">
        <v>185</v>
      </c>
      <c r="B9" s="20" t="s">
        <v>186</v>
      </c>
      <c r="C9" s="20">
        <f t="shared" si="1"/>
        <v>150</v>
      </c>
      <c r="D9" s="20" t="s">
        <v>187</v>
      </c>
      <c r="E9" s="20">
        <v>47.39</v>
      </c>
      <c r="F9" s="20">
        <v>47.39</v>
      </c>
      <c r="G9" s="20">
        <v>71.08500000000001</v>
      </c>
      <c r="H9" s="20" t="s">
        <v>332</v>
      </c>
      <c r="I9" s="20" t="s">
        <v>334</v>
      </c>
      <c r="J9" s="20" t="s">
        <v>335</v>
      </c>
      <c r="K9" s="20" t="s">
        <v>333</v>
      </c>
      <c r="L9" s="20" t="s">
        <v>114</v>
      </c>
      <c r="M9" s="20" t="s">
        <v>114</v>
      </c>
      <c r="N9" s="21">
        <v>426.51</v>
      </c>
      <c r="O9" s="20" t="s">
        <v>143</v>
      </c>
      <c r="P9" s="22">
        <v>1.5</v>
      </c>
      <c r="Q9" s="21">
        <v>639.81</v>
      </c>
      <c r="R9" s="21">
        <v>639.81</v>
      </c>
      <c r="S9" s="20"/>
      <c r="T9" s="20"/>
      <c r="U9" s="20"/>
      <c r="V9" s="20"/>
      <c r="W9" s="20"/>
      <c r="X9" s="20"/>
      <c r="Y9" s="20"/>
      <c r="Z9" s="20"/>
    </row>
    <row r="10" ht="14.25" customHeight="1">
      <c r="A10" s="13" t="s">
        <v>112</v>
      </c>
      <c r="B10" s="13" t="s">
        <v>113</v>
      </c>
      <c r="C10" s="13">
        <f t="shared" si="1"/>
        <v>150</v>
      </c>
      <c r="D10" s="13" t="s">
        <v>50</v>
      </c>
      <c r="E10" s="13">
        <v>208.44</v>
      </c>
      <c r="F10" s="13">
        <v>208.44</v>
      </c>
      <c r="G10" s="13">
        <v>312.65999999999997</v>
      </c>
      <c r="H10" s="13" t="s">
        <v>336</v>
      </c>
      <c r="I10" s="13">
        <v>8307933.0</v>
      </c>
      <c r="J10" s="13" t="s">
        <v>337</v>
      </c>
      <c r="K10" s="13" t="s">
        <v>333</v>
      </c>
      <c r="L10" s="13" t="s">
        <v>51</v>
      </c>
      <c r="M10" s="13" t="s">
        <v>116</v>
      </c>
      <c r="N10" s="18">
        <v>208.44</v>
      </c>
      <c r="O10" s="13" t="s">
        <v>117</v>
      </c>
      <c r="P10" s="19">
        <v>1.5</v>
      </c>
      <c r="Q10" s="18">
        <v>0.0</v>
      </c>
      <c r="R10" s="18">
        <v>-312.66</v>
      </c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20" t="s">
        <v>238</v>
      </c>
      <c r="B11" s="20" t="s">
        <v>239</v>
      </c>
      <c r="C11" s="20">
        <f t="shared" si="1"/>
        <v>150</v>
      </c>
      <c r="D11" s="20" t="s">
        <v>147</v>
      </c>
      <c r="E11" s="20">
        <v>103.73</v>
      </c>
      <c r="F11" s="20">
        <v>103.73</v>
      </c>
      <c r="G11" s="20">
        <v>155.595</v>
      </c>
      <c r="H11" s="20" t="s">
        <v>332</v>
      </c>
      <c r="I11" s="20">
        <v>1.9491313E7</v>
      </c>
      <c r="J11" s="20" t="s">
        <v>327</v>
      </c>
      <c r="K11" s="20" t="s">
        <v>333</v>
      </c>
      <c r="L11" s="20" t="s">
        <v>130</v>
      </c>
      <c r="M11" s="20" t="s">
        <v>139</v>
      </c>
      <c r="N11" s="21">
        <v>933.57</v>
      </c>
      <c r="O11" s="20" t="s">
        <v>143</v>
      </c>
      <c r="P11" s="22">
        <v>1.5</v>
      </c>
      <c r="Q11" s="21">
        <v>1400.4</v>
      </c>
      <c r="R11" s="21">
        <v>1400.4</v>
      </c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13" t="s">
        <v>156</v>
      </c>
      <c r="B12" s="13" t="s">
        <v>157</v>
      </c>
      <c r="C12" s="13">
        <f t="shared" si="1"/>
        <v>115</v>
      </c>
      <c r="D12" s="13" t="s">
        <v>50</v>
      </c>
      <c r="E12" s="13">
        <v>34.75</v>
      </c>
      <c r="F12" s="13">
        <v>34.75</v>
      </c>
      <c r="G12" s="13">
        <v>39.9625</v>
      </c>
      <c r="H12" s="13" t="s">
        <v>338</v>
      </c>
      <c r="I12" s="13" t="s">
        <v>339</v>
      </c>
      <c r="J12" s="13" t="s">
        <v>340</v>
      </c>
      <c r="K12" s="13" t="s">
        <v>341</v>
      </c>
      <c r="L12" s="13" t="s">
        <v>69</v>
      </c>
      <c r="M12" s="13" t="s">
        <v>125</v>
      </c>
      <c r="N12" s="18">
        <v>34.75</v>
      </c>
      <c r="O12" s="13" t="s">
        <v>117</v>
      </c>
      <c r="P12" s="19">
        <v>1.15</v>
      </c>
      <c r="Q12" s="18">
        <v>0.0</v>
      </c>
      <c r="R12" s="18">
        <v>-39.96</v>
      </c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13" t="s">
        <v>141</v>
      </c>
      <c r="B13" s="13" t="s">
        <v>142</v>
      </c>
      <c r="C13" s="13">
        <f t="shared" si="1"/>
        <v>135</v>
      </c>
      <c r="D13" s="13" t="s">
        <v>50</v>
      </c>
      <c r="E13" s="13">
        <v>83.51</v>
      </c>
      <c r="F13" s="13">
        <v>83.51</v>
      </c>
      <c r="G13" s="13">
        <v>112.73850000000002</v>
      </c>
      <c r="H13" s="13" t="s">
        <v>342</v>
      </c>
      <c r="I13" s="13">
        <v>9213293.0</v>
      </c>
      <c r="J13" s="13" t="s">
        <v>343</v>
      </c>
      <c r="K13" s="13" t="s">
        <v>344</v>
      </c>
      <c r="L13" s="13" t="s">
        <v>69</v>
      </c>
      <c r="M13" s="13" t="s">
        <v>125</v>
      </c>
      <c r="N13" s="18">
        <v>83.51</v>
      </c>
      <c r="O13" s="13" t="s">
        <v>117</v>
      </c>
      <c r="P13" s="19">
        <v>1.35</v>
      </c>
      <c r="Q13" s="18">
        <v>0.0</v>
      </c>
      <c r="R13" s="18">
        <v>-112.74</v>
      </c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20" t="s">
        <v>234</v>
      </c>
      <c r="B14" s="20" t="s">
        <v>235</v>
      </c>
      <c r="C14" s="20">
        <f t="shared" si="1"/>
        <v>150</v>
      </c>
      <c r="D14" s="20" t="s">
        <v>147</v>
      </c>
      <c r="E14" s="20">
        <v>47.85</v>
      </c>
      <c r="F14" s="20">
        <v>47.85</v>
      </c>
      <c r="G14" s="20">
        <v>71.775</v>
      </c>
      <c r="H14" s="20" t="s">
        <v>332</v>
      </c>
      <c r="I14" s="20">
        <v>1.9491313E7</v>
      </c>
      <c r="J14" s="20" t="s">
        <v>327</v>
      </c>
      <c r="K14" s="20" t="s">
        <v>333</v>
      </c>
      <c r="L14" s="20" t="s">
        <v>69</v>
      </c>
      <c r="M14" s="20" t="s">
        <v>125</v>
      </c>
      <c r="N14" s="21">
        <v>430.65</v>
      </c>
      <c r="O14" s="20" t="s">
        <v>143</v>
      </c>
      <c r="P14" s="22">
        <v>1.5</v>
      </c>
      <c r="Q14" s="21">
        <v>646.02</v>
      </c>
      <c r="R14" s="21">
        <v>646.02</v>
      </c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 t="s">
        <v>201</v>
      </c>
      <c r="B15" s="13" t="s">
        <v>202</v>
      </c>
      <c r="C15" s="13">
        <f t="shared" si="1"/>
        <v>126</v>
      </c>
      <c r="D15" s="13" t="s">
        <v>50</v>
      </c>
      <c r="E15" s="13">
        <v>87.29</v>
      </c>
      <c r="F15" s="13">
        <v>87.29</v>
      </c>
      <c r="G15" s="13">
        <v>109.98540000000001</v>
      </c>
      <c r="H15" s="13" t="s">
        <v>332</v>
      </c>
      <c r="I15" s="13">
        <v>2.1283956E7</v>
      </c>
      <c r="J15" s="13" t="s">
        <v>345</v>
      </c>
      <c r="K15" s="13" t="s">
        <v>346</v>
      </c>
      <c r="L15" s="13" t="s">
        <v>204</v>
      </c>
      <c r="M15" s="13" t="s">
        <v>205</v>
      </c>
      <c r="N15" s="18">
        <v>81.91</v>
      </c>
      <c r="O15" s="13" t="s">
        <v>117</v>
      </c>
      <c r="P15" s="19">
        <v>1.26</v>
      </c>
      <c r="Q15" s="18">
        <v>0.0</v>
      </c>
      <c r="R15" s="18">
        <v>-103.21</v>
      </c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 t="s">
        <v>230</v>
      </c>
      <c r="B16" s="13" t="s">
        <v>231</v>
      </c>
      <c r="C16" s="13">
        <f t="shared" si="1"/>
        <v>150</v>
      </c>
      <c r="D16" s="13" t="s">
        <v>147</v>
      </c>
      <c r="E16" s="13">
        <v>86.48</v>
      </c>
      <c r="F16" s="13">
        <v>86.48</v>
      </c>
      <c r="G16" s="13">
        <v>129.72</v>
      </c>
      <c r="H16" s="13" t="s">
        <v>336</v>
      </c>
      <c r="I16" s="13">
        <v>1.9491313E7</v>
      </c>
      <c r="J16" s="13" t="s">
        <v>327</v>
      </c>
      <c r="K16" s="13" t="s">
        <v>333</v>
      </c>
      <c r="L16" s="13" t="s">
        <v>232</v>
      </c>
      <c r="M16" s="13" t="s">
        <v>233</v>
      </c>
      <c r="N16" s="18">
        <v>86.48</v>
      </c>
      <c r="O16" s="13" t="s">
        <v>117</v>
      </c>
      <c r="P16" s="19">
        <v>1.5</v>
      </c>
      <c r="Q16" s="18">
        <v>0.0</v>
      </c>
      <c r="R16" s="18">
        <v>-129.72</v>
      </c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 t="s">
        <v>236</v>
      </c>
      <c r="B17" s="13" t="s">
        <v>237</v>
      </c>
      <c r="C17" s="13">
        <f t="shared" si="1"/>
        <v>150</v>
      </c>
      <c r="D17" s="13" t="s">
        <v>147</v>
      </c>
      <c r="E17" s="13">
        <v>69.9</v>
      </c>
      <c r="F17" s="13">
        <v>69.9</v>
      </c>
      <c r="G17" s="13">
        <v>104.85000000000001</v>
      </c>
      <c r="H17" s="13" t="s">
        <v>336</v>
      </c>
      <c r="I17" s="13">
        <v>1.9491313E7</v>
      </c>
      <c r="J17" s="13" t="s">
        <v>327</v>
      </c>
      <c r="K17" s="13" t="s">
        <v>333</v>
      </c>
      <c r="L17" s="13" t="s">
        <v>148</v>
      </c>
      <c r="M17" s="13" t="s">
        <v>149</v>
      </c>
      <c r="N17" s="18">
        <v>69.9</v>
      </c>
      <c r="O17" s="13" t="s">
        <v>117</v>
      </c>
      <c r="P17" s="19">
        <v>1.5</v>
      </c>
      <c r="Q17" s="18">
        <v>0.0</v>
      </c>
      <c r="R17" s="18">
        <v>-104.85</v>
      </c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 t="s">
        <v>145</v>
      </c>
      <c r="B18" s="13" t="s">
        <v>146</v>
      </c>
      <c r="C18" s="13">
        <f t="shared" si="1"/>
        <v>135</v>
      </c>
      <c r="D18" s="13" t="s">
        <v>147</v>
      </c>
      <c r="E18" s="13">
        <v>83.99</v>
      </c>
      <c r="F18" s="13">
        <v>83.99</v>
      </c>
      <c r="G18" s="13">
        <v>113.3865</v>
      </c>
      <c r="H18" s="13" t="s">
        <v>347</v>
      </c>
      <c r="I18" s="13">
        <v>1.6170994E7</v>
      </c>
      <c r="J18" s="13" t="s">
        <v>348</v>
      </c>
      <c r="K18" s="13" t="s">
        <v>344</v>
      </c>
      <c r="L18" s="13" t="s">
        <v>148</v>
      </c>
      <c r="M18" s="13" t="s">
        <v>149</v>
      </c>
      <c r="N18" s="18">
        <v>83.99</v>
      </c>
      <c r="O18" s="13" t="s">
        <v>117</v>
      </c>
      <c r="P18" s="19">
        <v>1.35</v>
      </c>
      <c r="Q18" s="18">
        <v>0.0</v>
      </c>
      <c r="R18" s="18">
        <v>-113.39</v>
      </c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 t="s">
        <v>163</v>
      </c>
      <c r="B19" s="13" t="s">
        <v>164</v>
      </c>
      <c r="C19" s="13">
        <f t="shared" si="1"/>
        <v>67.5</v>
      </c>
      <c r="D19" s="13" t="s">
        <v>50</v>
      </c>
      <c r="E19" s="13">
        <v>90.88</v>
      </c>
      <c r="F19" s="13">
        <v>90.88</v>
      </c>
      <c r="G19" s="13">
        <v>61.344</v>
      </c>
      <c r="H19" s="13" t="s">
        <v>323</v>
      </c>
      <c r="I19" s="13">
        <v>8977234.0</v>
      </c>
      <c r="J19" s="13" t="s">
        <v>324</v>
      </c>
      <c r="K19" s="13" t="s">
        <v>325</v>
      </c>
      <c r="L19" s="13" t="s">
        <v>165</v>
      </c>
      <c r="M19" s="13" t="s">
        <v>139</v>
      </c>
      <c r="N19" s="18">
        <v>90.88</v>
      </c>
      <c r="O19" s="13" t="s">
        <v>60</v>
      </c>
      <c r="P19" s="19">
        <v>0.675</v>
      </c>
      <c r="Q19" s="18">
        <v>0.0</v>
      </c>
      <c r="R19" s="18">
        <v>-61.34</v>
      </c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 t="s">
        <v>122</v>
      </c>
      <c r="B20" s="13" t="s">
        <v>123</v>
      </c>
      <c r="C20" s="13">
        <f t="shared" si="1"/>
        <v>67.5</v>
      </c>
      <c r="D20" s="13" t="s">
        <v>108</v>
      </c>
      <c r="E20" s="13">
        <v>156.77</v>
      </c>
      <c r="F20" s="13">
        <v>156.77</v>
      </c>
      <c r="G20" s="13">
        <v>105.81975000000001</v>
      </c>
      <c r="H20" s="13" t="s">
        <v>323</v>
      </c>
      <c r="I20" s="13">
        <v>8307933.0</v>
      </c>
      <c r="J20" s="13" t="s">
        <v>337</v>
      </c>
      <c r="K20" s="13" t="s">
        <v>325</v>
      </c>
      <c r="L20" s="13" t="s">
        <v>124</v>
      </c>
      <c r="M20" s="13" t="s">
        <v>125</v>
      </c>
      <c r="N20" s="18">
        <v>156.77</v>
      </c>
      <c r="O20" s="13" t="s">
        <v>60</v>
      </c>
      <c r="P20" s="19">
        <v>0.675</v>
      </c>
      <c r="Q20" s="18">
        <v>0.0</v>
      </c>
      <c r="R20" s="18">
        <v>-105.82</v>
      </c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 t="s">
        <v>292</v>
      </c>
      <c r="B21" s="13" t="s">
        <v>293</v>
      </c>
      <c r="C21" s="13">
        <f t="shared" si="1"/>
        <v>52</v>
      </c>
      <c r="D21" s="13" t="s">
        <v>108</v>
      </c>
      <c r="E21" s="13">
        <v>27.69</v>
      </c>
      <c r="F21" s="13">
        <v>27.69</v>
      </c>
      <c r="G21" s="13">
        <v>14.398800000000001</v>
      </c>
      <c r="H21" s="13" t="s">
        <v>349</v>
      </c>
      <c r="I21" s="13">
        <v>1.7117649E7</v>
      </c>
      <c r="J21" s="13" t="s">
        <v>350</v>
      </c>
      <c r="K21" s="13" t="s">
        <v>351</v>
      </c>
      <c r="L21" s="13" t="s">
        <v>295</v>
      </c>
      <c r="M21" s="13" t="s">
        <v>269</v>
      </c>
      <c r="N21" s="18">
        <v>27.69</v>
      </c>
      <c r="O21" s="13" t="s">
        <v>60</v>
      </c>
      <c r="P21" s="19">
        <v>0.52</v>
      </c>
      <c r="Q21" s="18">
        <v>14.4</v>
      </c>
      <c r="R21" s="18">
        <v>0.0</v>
      </c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 t="s">
        <v>296</v>
      </c>
      <c r="B22" s="13" t="s">
        <v>297</v>
      </c>
      <c r="C22" s="13">
        <f t="shared" si="1"/>
        <v>52</v>
      </c>
      <c r="D22" s="13" t="s">
        <v>108</v>
      </c>
      <c r="E22" s="13">
        <v>27.69</v>
      </c>
      <c r="F22" s="13">
        <v>27.69</v>
      </c>
      <c r="G22" s="13">
        <v>14.398800000000001</v>
      </c>
      <c r="H22" s="13" t="s">
        <v>349</v>
      </c>
      <c r="I22" s="13">
        <v>1.7117649E7</v>
      </c>
      <c r="J22" s="13" t="s">
        <v>350</v>
      </c>
      <c r="K22" s="13" t="s">
        <v>351</v>
      </c>
      <c r="L22" s="13" t="s">
        <v>295</v>
      </c>
      <c r="M22" s="13" t="s">
        <v>269</v>
      </c>
      <c r="N22" s="18">
        <v>27.69</v>
      </c>
      <c r="O22" s="13" t="s">
        <v>60</v>
      </c>
      <c r="P22" s="19">
        <v>0.52</v>
      </c>
      <c r="Q22" s="18">
        <v>14.4</v>
      </c>
      <c r="R22" s="18">
        <v>0.0</v>
      </c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 t="s">
        <v>127</v>
      </c>
      <c r="B23" s="13" t="s">
        <v>128</v>
      </c>
      <c r="C23" s="13">
        <f t="shared" si="1"/>
        <v>150</v>
      </c>
      <c r="D23" s="13" t="s">
        <v>129</v>
      </c>
      <c r="E23" s="13">
        <v>-210.04</v>
      </c>
      <c r="F23" s="13">
        <v>-210.04</v>
      </c>
      <c r="G23" s="13">
        <v>-315.06</v>
      </c>
      <c r="H23" s="13" t="s">
        <v>336</v>
      </c>
      <c r="I23" s="13">
        <v>1.743782E7</v>
      </c>
      <c r="J23" s="13" t="s">
        <v>352</v>
      </c>
      <c r="K23" s="13" t="s">
        <v>333</v>
      </c>
      <c r="L23" s="13" t="s">
        <v>131</v>
      </c>
      <c r="M23" s="13" t="s">
        <v>54</v>
      </c>
      <c r="N23" s="18">
        <v>-210.04</v>
      </c>
      <c r="O23" s="13" t="s">
        <v>132</v>
      </c>
      <c r="P23" s="19">
        <v>1.5</v>
      </c>
      <c r="Q23" s="18">
        <v>0.0</v>
      </c>
      <c r="R23" s="18">
        <v>315.06</v>
      </c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 t="s">
        <v>127</v>
      </c>
      <c r="B24" s="13" t="s">
        <v>128</v>
      </c>
      <c r="C24" s="13">
        <f t="shared" si="1"/>
        <v>0</v>
      </c>
      <c r="D24" s="13" t="s">
        <v>129</v>
      </c>
      <c r="E24" s="13">
        <v>210.04</v>
      </c>
      <c r="F24" s="13">
        <v>210.04</v>
      </c>
      <c r="G24" s="13">
        <v>0.0</v>
      </c>
      <c r="H24" s="13" t="s">
        <v>336</v>
      </c>
      <c r="I24" s="13">
        <v>1.743782E7</v>
      </c>
      <c r="J24" s="13" t="s">
        <v>352</v>
      </c>
      <c r="K24" s="13" t="s">
        <v>333</v>
      </c>
      <c r="L24" s="13" t="s">
        <v>131</v>
      </c>
      <c r="M24" s="13" t="s">
        <v>54</v>
      </c>
      <c r="N24" s="18">
        <v>0.0</v>
      </c>
      <c r="O24" s="13" t="s">
        <v>133</v>
      </c>
      <c r="P24" s="19">
        <v>0.0</v>
      </c>
      <c r="Q24" s="18">
        <v>-1054.82</v>
      </c>
      <c r="R24" s="18">
        <v>-1054.82</v>
      </c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 t="s">
        <v>207</v>
      </c>
      <c r="B25" s="13" t="s">
        <v>208</v>
      </c>
      <c r="C25" s="13">
        <f t="shared" si="1"/>
        <v>150</v>
      </c>
      <c r="D25" s="13" t="s">
        <v>120</v>
      </c>
      <c r="E25" s="13">
        <v>141.84</v>
      </c>
      <c r="F25" s="13">
        <v>141.84</v>
      </c>
      <c r="G25" s="13">
        <v>212.76</v>
      </c>
      <c r="H25" s="13" t="s">
        <v>336</v>
      </c>
      <c r="I25" s="13">
        <v>1706194.0</v>
      </c>
      <c r="J25" s="13" t="s">
        <v>353</v>
      </c>
      <c r="K25" s="13" t="s">
        <v>333</v>
      </c>
      <c r="L25" s="13" t="s">
        <v>209</v>
      </c>
      <c r="M25" s="13" t="s">
        <v>179</v>
      </c>
      <c r="N25" s="18">
        <v>141.84</v>
      </c>
      <c r="O25" s="13" t="s">
        <v>60</v>
      </c>
      <c r="P25" s="19">
        <v>1.5</v>
      </c>
      <c r="Q25" s="18">
        <v>0.0</v>
      </c>
      <c r="R25" s="18">
        <v>-212.76</v>
      </c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 t="s">
        <v>218</v>
      </c>
      <c r="B26" s="13" t="s">
        <v>219</v>
      </c>
      <c r="C26" s="13">
        <f t="shared" si="1"/>
        <v>150</v>
      </c>
      <c r="D26" s="13" t="s">
        <v>220</v>
      </c>
      <c r="E26" s="13">
        <v>62.57</v>
      </c>
      <c r="F26" s="13">
        <v>62.57</v>
      </c>
      <c r="G26" s="13">
        <v>93.855</v>
      </c>
      <c r="H26" s="13" t="s">
        <v>336</v>
      </c>
      <c r="I26" s="13">
        <v>1706194.0</v>
      </c>
      <c r="J26" s="13" t="s">
        <v>353</v>
      </c>
      <c r="K26" s="13" t="s">
        <v>333</v>
      </c>
      <c r="L26" s="13" t="s">
        <v>217</v>
      </c>
      <c r="M26" s="13" t="s">
        <v>205</v>
      </c>
      <c r="N26" s="18">
        <v>62.57</v>
      </c>
      <c r="O26" s="13" t="s">
        <v>60</v>
      </c>
      <c r="P26" s="19">
        <v>1.5</v>
      </c>
      <c r="Q26" s="18">
        <v>0.0</v>
      </c>
      <c r="R26" s="18">
        <v>-93.86</v>
      </c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 t="s">
        <v>215</v>
      </c>
      <c r="B27" s="13" t="s">
        <v>216</v>
      </c>
      <c r="C27" s="13">
        <f t="shared" si="1"/>
        <v>150</v>
      </c>
      <c r="D27" s="13" t="s">
        <v>120</v>
      </c>
      <c r="E27" s="13">
        <v>87.87</v>
      </c>
      <c r="F27" s="13">
        <v>87.87</v>
      </c>
      <c r="G27" s="13">
        <v>131.805</v>
      </c>
      <c r="H27" s="13" t="s">
        <v>336</v>
      </c>
      <c r="I27" s="13">
        <v>1706194.0</v>
      </c>
      <c r="J27" s="13" t="s">
        <v>353</v>
      </c>
      <c r="K27" s="13" t="s">
        <v>333</v>
      </c>
      <c r="L27" s="13" t="s">
        <v>217</v>
      </c>
      <c r="M27" s="13" t="s">
        <v>205</v>
      </c>
      <c r="N27" s="18">
        <v>87.87</v>
      </c>
      <c r="O27" s="13" t="s">
        <v>60</v>
      </c>
      <c r="P27" s="19">
        <v>1.5</v>
      </c>
      <c r="Q27" s="18">
        <v>0.0</v>
      </c>
      <c r="R27" s="18">
        <v>-131.81</v>
      </c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 t="s">
        <v>210</v>
      </c>
      <c r="B28" s="13" t="s">
        <v>211</v>
      </c>
      <c r="C28" s="13">
        <f t="shared" si="1"/>
        <v>150</v>
      </c>
      <c r="D28" s="13" t="s">
        <v>168</v>
      </c>
      <c r="E28" s="13">
        <v>-94.07</v>
      </c>
      <c r="F28" s="13">
        <v>-94.07</v>
      </c>
      <c r="G28" s="13">
        <v>-141.105</v>
      </c>
      <c r="H28" s="13" t="s">
        <v>336</v>
      </c>
      <c r="I28" s="13">
        <v>1706194.0</v>
      </c>
      <c r="J28" s="13" t="s">
        <v>353</v>
      </c>
      <c r="K28" s="13" t="s">
        <v>354</v>
      </c>
      <c r="L28" s="13" t="s">
        <v>213</v>
      </c>
      <c r="M28" s="13" t="s">
        <v>214</v>
      </c>
      <c r="N28" s="18">
        <v>-94.07</v>
      </c>
      <c r="O28" s="13" t="s">
        <v>132</v>
      </c>
      <c r="P28" s="19">
        <v>1.5</v>
      </c>
      <c r="Q28" s="18">
        <v>0.0</v>
      </c>
      <c r="R28" s="18">
        <v>141.11</v>
      </c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 t="s">
        <v>166</v>
      </c>
      <c r="B29" s="13" t="s">
        <v>167</v>
      </c>
      <c r="C29" s="13">
        <f t="shared" si="1"/>
        <v>67.5</v>
      </c>
      <c r="D29" s="13" t="s">
        <v>168</v>
      </c>
      <c r="E29" s="13">
        <v>59.68</v>
      </c>
      <c r="F29" s="13">
        <v>59.68</v>
      </c>
      <c r="G29" s="13">
        <v>40.284</v>
      </c>
      <c r="H29" s="13" t="s">
        <v>323</v>
      </c>
      <c r="I29" s="13">
        <v>8977234.0</v>
      </c>
      <c r="J29" s="13" t="s">
        <v>324</v>
      </c>
      <c r="K29" s="13" t="s">
        <v>325</v>
      </c>
      <c r="L29" s="13" t="s">
        <v>169</v>
      </c>
      <c r="M29" s="13" t="s">
        <v>116</v>
      </c>
      <c r="N29" s="18">
        <v>59.68</v>
      </c>
      <c r="O29" s="13" t="s">
        <v>60</v>
      </c>
      <c r="P29" s="19">
        <v>0.675</v>
      </c>
      <c r="Q29" s="18">
        <v>0.0</v>
      </c>
      <c r="R29" s="18">
        <v>-40.28</v>
      </c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 t="s">
        <v>170</v>
      </c>
      <c r="B30" s="13" t="s">
        <v>171</v>
      </c>
      <c r="C30" s="13">
        <f t="shared" si="1"/>
        <v>67.5</v>
      </c>
      <c r="D30" s="13" t="s">
        <v>168</v>
      </c>
      <c r="E30" s="13">
        <v>59.98</v>
      </c>
      <c r="F30" s="13">
        <v>59.98</v>
      </c>
      <c r="G30" s="13">
        <v>40.4865</v>
      </c>
      <c r="H30" s="13" t="s">
        <v>323</v>
      </c>
      <c r="I30" s="13">
        <v>8977234.0</v>
      </c>
      <c r="J30" s="13" t="s">
        <v>324</v>
      </c>
      <c r="K30" s="13" t="s">
        <v>325</v>
      </c>
      <c r="L30" s="13" t="s">
        <v>169</v>
      </c>
      <c r="M30" s="13" t="s">
        <v>116</v>
      </c>
      <c r="N30" s="18">
        <v>59.98</v>
      </c>
      <c r="O30" s="13" t="s">
        <v>60</v>
      </c>
      <c r="P30" s="19">
        <v>0.675</v>
      </c>
      <c r="Q30" s="18">
        <v>0.0</v>
      </c>
      <c r="R30" s="18">
        <v>-40.49</v>
      </c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 t="s">
        <v>151</v>
      </c>
      <c r="B31" s="13" t="s">
        <v>152</v>
      </c>
      <c r="C31" s="13">
        <f t="shared" si="1"/>
        <v>135</v>
      </c>
      <c r="D31" s="13" t="s">
        <v>94</v>
      </c>
      <c r="E31" s="13">
        <v>144.24</v>
      </c>
      <c r="F31" s="13">
        <v>144.24</v>
      </c>
      <c r="G31" s="13">
        <v>194.72400000000002</v>
      </c>
      <c r="H31" s="13" t="s">
        <v>355</v>
      </c>
      <c r="I31" s="13" t="s">
        <v>356</v>
      </c>
      <c r="J31" s="13" t="s">
        <v>357</v>
      </c>
      <c r="K31" s="13" t="s">
        <v>325</v>
      </c>
      <c r="L31" s="13" t="s">
        <v>153</v>
      </c>
      <c r="M31" s="13" t="s">
        <v>154</v>
      </c>
      <c r="N31" s="18">
        <v>144.24</v>
      </c>
      <c r="O31" s="13" t="s">
        <v>60</v>
      </c>
      <c r="P31" s="19">
        <v>1.35</v>
      </c>
      <c r="Q31" s="18">
        <v>0.0</v>
      </c>
      <c r="R31" s="18">
        <v>-194.72</v>
      </c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 t="s">
        <v>106</v>
      </c>
      <c r="B32" s="13" t="s">
        <v>107</v>
      </c>
      <c r="C32" s="13">
        <f t="shared" si="1"/>
        <v>67.5</v>
      </c>
      <c r="D32" s="13" t="s">
        <v>108</v>
      </c>
      <c r="E32" s="13">
        <v>234.36</v>
      </c>
      <c r="F32" s="13">
        <v>234.36</v>
      </c>
      <c r="G32" s="13">
        <v>158.193</v>
      </c>
      <c r="H32" s="13" t="s">
        <v>323</v>
      </c>
      <c r="I32" s="13">
        <v>8307933.0</v>
      </c>
      <c r="J32" s="13" t="s">
        <v>337</v>
      </c>
      <c r="K32" s="13" t="s">
        <v>325</v>
      </c>
      <c r="L32" s="13" t="s">
        <v>110</v>
      </c>
      <c r="M32" s="13" t="s">
        <v>111</v>
      </c>
      <c r="N32" s="18">
        <v>234.36</v>
      </c>
      <c r="O32" s="13" t="s">
        <v>60</v>
      </c>
      <c r="P32" s="19">
        <v>0.675</v>
      </c>
      <c r="Q32" s="18">
        <v>0.0</v>
      </c>
      <c r="R32" s="18">
        <v>-158.19</v>
      </c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 t="s">
        <v>358</v>
      </c>
      <c r="B33" s="13" t="s">
        <v>359</v>
      </c>
      <c r="C33" s="13">
        <f t="shared" si="1"/>
        <v>135</v>
      </c>
      <c r="D33" s="13" t="s">
        <v>50</v>
      </c>
      <c r="E33" s="13">
        <v>197.9</v>
      </c>
      <c r="F33" s="13">
        <v>197.9</v>
      </c>
      <c r="G33" s="13">
        <v>267.165</v>
      </c>
      <c r="H33" s="13" t="s">
        <v>355</v>
      </c>
      <c r="I33" s="13">
        <v>8307933.0</v>
      </c>
      <c r="J33" s="13" t="s">
        <v>337</v>
      </c>
      <c r="K33" s="13" t="s">
        <v>325</v>
      </c>
      <c r="L33" s="13" t="s">
        <v>360</v>
      </c>
      <c r="M33" s="13" t="s">
        <v>179</v>
      </c>
      <c r="N33" s="18">
        <v>197.9</v>
      </c>
      <c r="O33" s="13" t="s">
        <v>60</v>
      </c>
      <c r="P33" s="19">
        <v>1.35</v>
      </c>
      <c r="Q33" s="18">
        <v>0.0</v>
      </c>
      <c r="R33" s="18">
        <v>-267.17</v>
      </c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 t="s">
        <v>118</v>
      </c>
      <c r="B34" s="13" t="s">
        <v>119</v>
      </c>
      <c r="C34" s="13">
        <f t="shared" si="1"/>
        <v>67.5</v>
      </c>
      <c r="D34" s="13" t="s">
        <v>120</v>
      </c>
      <c r="E34" s="13">
        <v>267.1</v>
      </c>
      <c r="F34" s="13">
        <v>267.1</v>
      </c>
      <c r="G34" s="13">
        <v>180.29250000000002</v>
      </c>
      <c r="H34" s="13" t="s">
        <v>323</v>
      </c>
      <c r="I34" s="13">
        <v>8307933.0</v>
      </c>
      <c r="J34" s="13" t="s">
        <v>337</v>
      </c>
      <c r="K34" s="13" t="s">
        <v>325</v>
      </c>
      <c r="L34" s="13" t="s">
        <v>121</v>
      </c>
      <c r="M34" s="13" t="s">
        <v>116</v>
      </c>
      <c r="N34" s="18">
        <v>267.1</v>
      </c>
      <c r="O34" s="13" t="s">
        <v>60</v>
      </c>
      <c r="P34" s="19">
        <v>0.675</v>
      </c>
      <c r="Q34" s="18">
        <v>0.0</v>
      </c>
      <c r="R34" s="18">
        <v>-180.29</v>
      </c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 t="s">
        <v>172</v>
      </c>
      <c r="B35" s="13" t="s">
        <v>173</v>
      </c>
      <c r="C35" s="13">
        <f t="shared" si="1"/>
        <v>150</v>
      </c>
      <c r="D35" s="13" t="s">
        <v>168</v>
      </c>
      <c r="E35" s="13">
        <v>97.44</v>
      </c>
      <c r="F35" s="13">
        <v>97.44</v>
      </c>
      <c r="G35" s="13">
        <v>146.16</v>
      </c>
      <c r="H35" s="13" t="s">
        <v>336</v>
      </c>
      <c r="I35" s="13">
        <v>8977234.0</v>
      </c>
      <c r="J35" s="13" t="s">
        <v>324</v>
      </c>
      <c r="K35" s="13" t="s">
        <v>354</v>
      </c>
      <c r="L35" s="13" t="s">
        <v>174</v>
      </c>
      <c r="M35" s="13" t="s">
        <v>111</v>
      </c>
      <c r="N35" s="18">
        <v>97.44</v>
      </c>
      <c r="O35" s="13" t="s">
        <v>60</v>
      </c>
      <c r="P35" s="19">
        <v>1.5</v>
      </c>
      <c r="Q35" s="18">
        <v>0.0</v>
      </c>
      <c r="R35" s="18">
        <v>-146.16</v>
      </c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 t="s">
        <v>175</v>
      </c>
      <c r="B36" s="13" t="s">
        <v>176</v>
      </c>
      <c r="C36" s="13">
        <f t="shared" si="1"/>
        <v>67.5</v>
      </c>
      <c r="D36" s="13" t="s">
        <v>177</v>
      </c>
      <c r="E36" s="13">
        <v>168.73</v>
      </c>
      <c r="F36" s="13">
        <v>168.73</v>
      </c>
      <c r="G36" s="13">
        <v>113.89275</v>
      </c>
      <c r="H36" s="13" t="s">
        <v>323</v>
      </c>
      <c r="I36" s="13">
        <v>8977234.0</v>
      </c>
      <c r="J36" s="13" t="s">
        <v>324</v>
      </c>
      <c r="K36" s="13" t="s">
        <v>325</v>
      </c>
      <c r="L36" s="13" t="s">
        <v>178</v>
      </c>
      <c r="M36" s="13" t="s">
        <v>179</v>
      </c>
      <c r="N36" s="18">
        <v>168.73</v>
      </c>
      <c r="O36" s="13" t="s">
        <v>60</v>
      </c>
      <c r="P36" s="19">
        <v>0.675</v>
      </c>
      <c r="Q36" s="18">
        <v>0.0</v>
      </c>
      <c r="R36" s="18">
        <v>-113.89</v>
      </c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 t="s">
        <v>48</v>
      </c>
      <c r="B37" s="13" t="s">
        <v>49</v>
      </c>
      <c r="C37" s="13">
        <f t="shared" si="1"/>
        <v>23</v>
      </c>
      <c r="D37" s="13" t="s">
        <v>50</v>
      </c>
      <c r="E37" s="13">
        <v>128.67</v>
      </c>
      <c r="F37" s="13">
        <v>128.67</v>
      </c>
      <c r="G37" s="13">
        <v>29.594099999999997</v>
      </c>
      <c r="H37" s="13" t="s">
        <v>361</v>
      </c>
      <c r="I37" s="13">
        <v>1.8828278E7</v>
      </c>
      <c r="J37" s="13" t="s">
        <v>362</v>
      </c>
      <c r="K37" s="13" t="s">
        <v>363</v>
      </c>
      <c r="L37" s="13" t="s">
        <v>53</v>
      </c>
      <c r="M37" s="13" t="s">
        <v>54</v>
      </c>
      <c r="N37" s="18">
        <v>128.67</v>
      </c>
      <c r="O37" s="13" t="s">
        <v>60</v>
      </c>
      <c r="P37" s="19">
        <v>0.23</v>
      </c>
      <c r="Q37" s="18">
        <v>0.0</v>
      </c>
      <c r="R37" s="18">
        <v>-29.59</v>
      </c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 t="s">
        <v>240</v>
      </c>
      <c r="B38" s="13" t="s">
        <v>241</v>
      </c>
      <c r="C38" s="13">
        <f t="shared" si="1"/>
        <v>67.5</v>
      </c>
      <c r="D38" s="13" t="s">
        <v>177</v>
      </c>
      <c r="E38" s="13">
        <v>309.85</v>
      </c>
      <c r="F38" s="13">
        <v>309.85</v>
      </c>
      <c r="G38" s="13">
        <v>209.14875000000004</v>
      </c>
      <c r="H38" s="13" t="s">
        <v>323</v>
      </c>
      <c r="I38" s="13">
        <v>8307933.0</v>
      </c>
      <c r="J38" s="13" t="s">
        <v>337</v>
      </c>
      <c r="K38" s="13" t="s">
        <v>325</v>
      </c>
      <c r="L38" s="13" t="s">
        <v>242</v>
      </c>
      <c r="M38" s="13" t="s">
        <v>243</v>
      </c>
      <c r="N38" s="18">
        <v>309.85</v>
      </c>
      <c r="O38" s="13" t="s">
        <v>60</v>
      </c>
      <c r="P38" s="19">
        <v>0.675</v>
      </c>
      <c r="Q38" s="18">
        <v>0.01</v>
      </c>
      <c r="R38" s="18">
        <v>-209.14</v>
      </c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 t="s">
        <v>197</v>
      </c>
      <c r="B39" s="13" t="s">
        <v>198</v>
      </c>
      <c r="C39" s="13">
        <f t="shared" si="1"/>
        <v>135</v>
      </c>
      <c r="D39" s="13" t="s">
        <v>199</v>
      </c>
      <c r="E39" s="13">
        <v>78.68</v>
      </c>
      <c r="F39" s="13">
        <v>78.68</v>
      </c>
      <c r="G39" s="13">
        <v>106.21800000000002</v>
      </c>
      <c r="H39" s="13" t="s">
        <v>364</v>
      </c>
      <c r="I39" s="13">
        <v>2.1122864E7</v>
      </c>
      <c r="J39" s="13" t="s">
        <v>365</v>
      </c>
      <c r="K39" s="13" t="s">
        <v>344</v>
      </c>
      <c r="L39" s="13" t="s">
        <v>183</v>
      </c>
      <c r="M39" s="13" t="s">
        <v>139</v>
      </c>
      <c r="N39" s="18">
        <v>78.68</v>
      </c>
      <c r="O39" s="13" t="s">
        <v>60</v>
      </c>
      <c r="P39" s="19">
        <v>1.35</v>
      </c>
      <c r="Q39" s="18">
        <v>106.22</v>
      </c>
      <c r="R39" s="18">
        <v>0.0</v>
      </c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 t="s">
        <v>180</v>
      </c>
      <c r="B40" s="13" t="s">
        <v>181</v>
      </c>
      <c r="C40" s="13">
        <f t="shared" si="1"/>
        <v>87.5</v>
      </c>
      <c r="D40" s="13" t="s">
        <v>177</v>
      </c>
      <c r="E40" s="13">
        <v>91.63</v>
      </c>
      <c r="F40" s="13">
        <v>91.63</v>
      </c>
      <c r="G40" s="13">
        <v>80.17625</v>
      </c>
      <c r="H40" s="13" t="s">
        <v>329</v>
      </c>
      <c r="I40" s="13">
        <v>8977234.0</v>
      </c>
      <c r="J40" s="13" t="s">
        <v>324</v>
      </c>
      <c r="K40" s="13" t="s">
        <v>331</v>
      </c>
      <c r="L40" s="13" t="s">
        <v>183</v>
      </c>
      <c r="M40" s="13" t="s">
        <v>139</v>
      </c>
      <c r="N40" s="18">
        <v>91.63</v>
      </c>
      <c r="O40" s="13" t="s">
        <v>60</v>
      </c>
      <c r="P40" s="19">
        <v>0.875</v>
      </c>
      <c r="Q40" s="18">
        <v>80.18</v>
      </c>
      <c r="R40" s="18">
        <v>0.0</v>
      </c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 t="s">
        <v>278</v>
      </c>
      <c r="B41" s="13" t="s">
        <v>279</v>
      </c>
      <c r="C41" s="13">
        <f t="shared" si="1"/>
        <v>135</v>
      </c>
      <c r="D41" s="13" t="s">
        <v>50</v>
      </c>
      <c r="E41" s="13">
        <v>225.39</v>
      </c>
      <c r="F41" s="13">
        <v>225.39</v>
      </c>
      <c r="G41" s="13">
        <v>304.2765</v>
      </c>
      <c r="H41" s="13" t="s">
        <v>342</v>
      </c>
      <c r="I41" s="13">
        <v>8307933.0</v>
      </c>
      <c r="J41" s="13" t="s">
        <v>337</v>
      </c>
      <c r="K41" s="13" t="s">
        <v>325</v>
      </c>
      <c r="L41" s="13" t="s">
        <v>280</v>
      </c>
      <c r="M41" s="13" t="s">
        <v>205</v>
      </c>
      <c r="N41" s="18">
        <v>225.39</v>
      </c>
      <c r="O41" s="13" t="s">
        <v>60</v>
      </c>
      <c r="P41" s="19">
        <v>1.35</v>
      </c>
      <c r="Q41" s="18">
        <v>304.28</v>
      </c>
      <c r="R41" s="18">
        <v>0.0</v>
      </c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 t="s">
        <v>281</v>
      </c>
      <c r="B42" s="13" t="s">
        <v>282</v>
      </c>
      <c r="C42" s="13">
        <f t="shared" si="1"/>
        <v>67.5</v>
      </c>
      <c r="D42" s="13" t="s">
        <v>120</v>
      </c>
      <c r="E42" s="13">
        <v>187.92</v>
      </c>
      <c r="F42" s="13">
        <v>187.92</v>
      </c>
      <c r="G42" s="13">
        <v>126.846</v>
      </c>
      <c r="H42" s="13" t="s">
        <v>323</v>
      </c>
      <c r="I42" s="13">
        <v>8307933.0</v>
      </c>
      <c r="J42" s="13" t="s">
        <v>337</v>
      </c>
      <c r="K42" s="13" t="s">
        <v>325</v>
      </c>
      <c r="L42" s="13" t="s">
        <v>283</v>
      </c>
      <c r="M42" s="13" t="s">
        <v>179</v>
      </c>
      <c r="N42" s="18">
        <v>187.92</v>
      </c>
      <c r="O42" s="13" t="s">
        <v>60</v>
      </c>
      <c r="P42" s="19">
        <v>0.675</v>
      </c>
      <c r="Q42" s="18">
        <v>126.85</v>
      </c>
      <c r="R42" s="18">
        <v>0.0</v>
      </c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 t="s">
        <v>135</v>
      </c>
      <c r="B43" s="13" t="s">
        <v>136</v>
      </c>
      <c r="C43" s="13">
        <f t="shared" si="1"/>
        <v>135</v>
      </c>
      <c r="D43" s="13" t="s">
        <v>50</v>
      </c>
      <c r="E43" s="13">
        <v>37.72</v>
      </c>
      <c r="F43" s="13">
        <v>37.72</v>
      </c>
      <c r="G43" s="13">
        <v>50.922000000000004</v>
      </c>
      <c r="H43" s="13" t="s">
        <v>364</v>
      </c>
      <c r="I43" s="13">
        <v>8814784.0</v>
      </c>
      <c r="J43" s="13" t="s">
        <v>366</v>
      </c>
      <c r="K43" s="13" t="s">
        <v>344</v>
      </c>
      <c r="L43" s="13" t="s">
        <v>138</v>
      </c>
      <c r="M43" s="13" t="s">
        <v>139</v>
      </c>
      <c r="N43" s="18">
        <v>37.72</v>
      </c>
      <c r="O43" s="13" t="s">
        <v>60</v>
      </c>
      <c r="P43" s="19">
        <v>1.35</v>
      </c>
      <c r="Q43" s="18">
        <v>50.92</v>
      </c>
      <c r="R43" s="18">
        <v>0.0</v>
      </c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 t="s">
        <v>265</v>
      </c>
      <c r="B44" s="13" t="s">
        <v>266</v>
      </c>
      <c r="C44" s="13">
        <f t="shared" si="1"/>
        <v>87.5</v>
      </c>
      <c r="D44" s="13" t="s">
        <v>267</v>
      </c>
      <c r="E44" s="13">
        <v>83.94</v>
      </c>
      <c r="F44" s="13">
        <v>83.94</v>
      </c>
      <c r="G44" s="13">
        <v>73.44749999999999</v>
      </c>
      <c r="H44" s="13" t="s">
        <v>329</v>
      </c>
      <c r="I44" s="13">
        <v>1.6212649E7</v>
      </c>
      <c r="J44" s="13" t="s">
        <v>367</v>
      </c>
      <c r="K44" s="13" t="s">
        <v>331</v>
      </c>
      <c r="L44" s="13" t="s">
        <v>268</v>
      </c>
      <c r="M44" s="13" t="s">
        <v>269</v>
      </c>
      <c r="N44" s="18">
        <v>83.94</v>
      </c>
      <c r="O44" s="13" t="s">
        <v>60</v>
      </c>
      <c r="P44" s="19">
        <v>0.875</v>
      </c>
      <c r="Q44" s="18">
        <v>73.45</v>
      </c>
      <c r="R44" s="18">
        <v>0.0</v>
      </c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 t="s">
        <v>284</v>
      </c>
      <c r="B45" s="13" t="s">
        <v>285</v>
      </c>
      <c r="C45" s="13">
        <f t="shared" si="1"/>
        <v>150</v>
      </c>
      <c r="D45" s="13" t="s">
        <v>50</v>
      </c>
      <c r="E45" s="13">
        <v>117.93</v>
      </c>
      <c r="F45" s="13">
        <v>117.93</v>
      </c>
      <c r="G45" s="13">
        <v>176.895</v>
      </c>
      <c r="H45" s="13" t="s">
        <v>336</v>
      </c>
      <c r="I45" s="13">
        <v>8977234.0</v>
      </c>
      <c r="J45" s="13" t="s">
        <v>324</v>
      </c>
      <c r="K45" s="13" t="s">
        <v>333</v>
      </c>
      <c r="L45" s="13" t="s">
        <v>286</v>
      </c>
      <c r="M45" s="13" t="s">
        <v>116</v>
      </c>
      <c r="N45" s="18">
        <v>117.93</v>
      </c>
      <c r="O45" s="13" t="s">
        <v>60</v>
      </c>
      <c r="P45" s="19">
        <v>1.5</v>
      </c>
      <c r="Q45" s="18">
        <v>176.9</v>
      </c>
      <c r="R45" s="18">
        <v>0.0</v>
      </c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 t="s">
        <v>192</v>
      </c>
      <c r="B46" s="13" t="s">
        <v>193</v>
      </c>
      <c r="C46" s="13">
        <f t="shared" si="1"/>
        <v>103</v>
      </c>
      <c r="D46" s="13" t="s">
        <v>50</v>
      </c>
      <c r="E46" s="13">
        <v>71.34</v>
      </c>
      <c r="F46" s="13">
        <v>71.34</v>
      </c>
      <c r="G46" s="13">
        <v>73.48020000000001</v>
      </c>
      <c r="H46" s="13" t="s">
        <v>368</v>
      </c>
      <c r="I46" s="13">
        <v>1.7143996E7</v>
      </c>
      <c r="J46" s="13" t="s">
        <v>369</v>
      </c>
      <c r="K46" s="13" t="s">
        <v>346</v>
      </c>
      <c r="L46" s="13" t="s">
        <v>195</v>
      </c>
      <c r="M46" s="13" t="s">
        <v>111</v>
      </c>
      <c r="N46" s="18">
        <v>71.34</v>
      </c>
      <c r="O46" s="13" t="s">
        <v>60</v>
      </c>
      <c r="P46" s="19">
        <v>1.03</v>
      </c>
      <c r="Q46" s="18">
        <v>73.48</v>
      </c>
      <c r="R46" s="18">
        <v>0.0</v>
      </c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 t="s">
        <v>261</v>
      </c>
      <c r="B47" s="13" t="s">
        <v>262</v>
      </c>
      <c r="C47" s="13">
        <f t="shared" si="1"/>
        <v>67.5</v>
      </c>
      <c r="D47" s="13" t="s">
        <v>50</v>
      </c>
      <c r="E47" s="13">
        <v>188.82</v>
      </c>
      <c r="F47" s="13">
        <v>188.82</v>
      </c>
      <c r="G47" s="13">
        <v>127.4535</v>
      </c>
      <c r="H47" s="13" t="s">
        <v>323</v>
      </c>
      <c r="I47" s="13">
        <v>8307933.0</v>
      </c>
      <c r="J47" s="13" t="s">
        <v>337</v>
      </c>
      <c r="K47" s="13" t="s">
        <v>325</v>
      </c>
      <c r="L47" s="13" t="s">
        <v>263</v>
      </c>
      <c r="M47" s="13" t="s">
        <v>139</v>
      </c>
      <c r="N47" s="18">
        <v>188.82</v>
      </c>
      <c r="O47" s="13" t="s">
        <v>60</v>
      </c>
      <c r="P47" s="19">
        <v>0.675</v>
      </c>
      <c r="Q47" s="18">
        <v>127.45</v>
      </c>
      <c r="R47" s="18">
        <v>0.0</v>
      </c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 t="s">
        <v>258</v>
      </c>
      <c r="B48" s="13" t="s">
        <v>259</v>
      </c>
      <c r="C48" s="13">
        <f t="shared" si="1"/>
        <v>135</v>
      </c>
      <c r="D48" s="13" t="s">
        <v>120</v>
      </c>
      <c r="E48" s="13">
        <v>139.53</v>
      </c>
      <c r="F48" s="13">
        <v>139.53</v>
      </c>
      <c r="G48" s="13">
        <v>188.36550000000003</v>
      </c>
      <c r="H48" s="13" t="s">
        <v>342</v>
      </c>
      <c r="I48" s="13">
        <v>8307933.0</v>
      </c>
      <c r="J48" s="13" t="s">
        <v>337</v>
      </c>
      <c r="K48" s="13" t="s">
        <v>325</v>
      </c>
      <c r="L48" s="13" t="s">
        <v>260</v>
      </c>
      <c r="M48" s="13" t="s">
        <v>233</v>
      </c>
      <c r="N48" s="18">
        <v>139.53</v>
      </c>
      <c r="O48" s="13" t="s">
        <v>60</v>
      </c>
      <c r="P48" s="19">
        <v>1.35</v>
      </c>
      <c r="Q48" s="18">
        <v>188.37</v>
      </c>
      <c r="R48" s="18">
        <v>0.0</v>
      </c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 t="s">
        <v>85</v>
      </c>
      <c r="B49" s="13" t="s">
        <v>86</v>
      </c>
      <c r="C49" s="13">
        <f t="shared" si="1"/>
        <v>23</v>
      </c>
      <c r="D49" s="13" t="s">
        <v>50</v>
      </c>
      <c r="E49" s="13">
        <v>113.86</v>
      </c>
      <c r="F49" s="13">
        <v>113.86</v>
      </c>
      <c r="G49" s="13">
        <v>26.1878</v>
      </c>
      <c r="H49" s="13" t="s">
        <v>361</v>
      </c>
      <c r="I49" s="13">
        <v>1.8828278E7</v>
      </c>
      <c r="J49" s="13" t="s">
        <v>362</v>
      </c>
      <c r="K49" s="13" t="s">
        <v>363</v>
      </c>
      <c r="L49" s="13" t="s">
        <v>87</v>
      </c>
      <c r="M49" s="13" t="s">
        <v>54</v>
      </c>
      <c r="N49" s="18">
        <v>113.86</v>
      </c>
      <c r="O49" s="13" t="s">
        <v>60</v>
      </c>
      <c r="P49" s="19">
        <v>0.23</v>
      </c>
      <c r="Q49" s="18">
        <v>26.19</v>
      </c>
      <c r="R49" s="18">
        <v>0.0</v>
      </c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 t="s">
        <v>299</v>
      </c>
      <c r="B50" s="13" t="s">
        <v>300</v>
      </c>
      <c r="C50" s="13">
        <f t="shared" si="1"/>
        <v>3</v>
      </c>
      <c r="D50" s="13" t="s">
        <v>50</v>
      </c>
      <c r="E50" s="13">
        <v>34.36</v>
      </c>
      <c r="F50" s="13">
        <v>34.36</v>
      </c>
      <c r="G50" s="13">
        <v>1.0308</v>
      </c>
      <c r="H50" s="13" t="s">
        <v>349</v>
      </c>
      <c r="I50" s="13">
        <v>8325282.0</v>
      </c>
      <c r="J50" s="13" t="s">
        <v>370</v>
      </c>
      <c r="K50" s="13" t="s">
        <v>351</v>
      </c>
      <c r="L50" s="13" t="s">
        <v>301</v>
      </c>
      <c r="M50" s="13" t="s">
        <v>257</v>
      </c>
      <c r="N50" s="18">
        <v>34.36</v>
      </c>
      <c r="O50" s="13" t="s">
        <v>66</v>
      </c>
      <c r="P50" s="19">
        <v>0.03</v>
      </c>
      <c r="Q50" s="18">
        <v>1.03</v>
      </c>
      <c r="R50" s="18">
        <v>0.0</v>
      </c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 t="s">
        <v>302</v>
      </c>
      <c r="B51" s="13" t="s">
        <v>303</v>
      </c>
      <c r="C51" s="13">
        <f t="shared" si="1"/>
        <v>3</v>
      </c>
      <c r="D51" s="13" t="s">
        <v>50</v>
      </c>
      <c r="E51" s="13">
        <v>34.36</v>
      </c>
      <c r="F51" s="13">
        <v>34.36</v>
      </c>
      <c r="G51" s="13">
        <v>1.0308</v>
      </c>
      <c r="H51" s="13" t="s">
        <v>349</v>
      </c>
      <c r="I51" s="13">
        <v>8325282.0</v>
      </c>
      <c r="J51" s="13" t="s">
        <v>370</v>
      </c>
      <c r="K51" s="13" t="s">
        <v>351</v>
      </c>
      <c r="L51" s="13" t="s">
        <v>301</v>
      </c>
      <c r="M51" s="13" t="s">
        <v>257</v>
      </c>
      <c r="N51" s="18">
        <v>34.36</v>
      </c>
      <c r="O51" s="13" t="s">
        <v>66</v>
      </c>
      <c r="P51" s="19">
        <v>0.03</v>
      </c>
      <c r="Q51" s="18">
        <v>1.03</v>
      </c>
      <c r="R51" s="18">
        <v>0.0</v>
      </c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 t="s">
        <v>274</v>
      </c>
      <c r="B52" s="13" t="s">
        <v>275</v>
      </c>
      <c r="C52" s="13">
        <f t="shared" si="1"/>
        <v>7</v>
      </c>
      <c r="D52" s="13" t="s">
        <v>276</v>
      </c>
      <c r="E52" s="13">
        <v>137.1</v>
      </c>
      <c r="F52" s="13">
        <v>137.1</v>
      </c>
      <c r="G52" s="13">
        <v>9.597000000000001</v>
      </c>
      <c r="H52" s="13" t="s">
        <v>342</v>
      </c>
      <c r="I52" s="13">
        <v>8307933.0</v>
      </c>
      <c r="J52" s="13" t="s">
        <v>337</v>
      </c>
      <c r="K52" s="13" t="s">
        <v>344</v>
      </c>
      <c r="L52" s="13" t="s">
        <v>277</v>
      </c>
      <c r="M52" s="13" t="s">
        <v>269</v>
      </c>
      <c r="N52" s="18">
        <v>137.1</v>
      </c>
      <c r="O52" s="13" t="s">
        <v>66</v>
      </c>
      <c r="P52" s="19">
        <v>0.07</v>
      </c>
      <c r="Q52" s="18">
        <v>9.6</v>
      </c>
      <c r="R52" s="18">
        <v>0.0</v>
      </c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 t="s">
        <v>74</v>
      </c>
      <c r="B53" s="13" t="s">
        <v>75</v>
      </c>
      <c r="C53" s="13">
        <f t="shared" si="1"/>
        <v>23</v>
      </c>
      <c r="D53" s="13" t="s">
        <v>50</v>
      </c>
      <c r="E53" s="13">
        <v>159.41</v>
      </c>
      <c r="F53" s="13">
        <v>159.41</v>
      </c>
      <c r="G53" s="13">
        <v>36.664300000000004</v>
      </c>
      <c r="H53" s="13" t="s">
        <v>361</v>
      </c>
      <c r="I53" s="13">
        <v>1.8828278E7</v>
      </c>
      <c r="J53" s="13" t="s">
        <v>362</v>
      </c>
      <c r="K53" s="13" t="s">
        <v>363</v>
      </c>
      <c r="L53" s="13" t="s">
        <v>76</v>
      </c>
      <c r="M53" s="13" t="s">
        <v>54</v>
      </c>
      <c r="N53" s="18">
        <v>113.86</v>
      </c>
      <c r="O53" s="13" t="s">
        <v>66</v>
      </c>
      <c r="P53" s="19">
        <v>0.23</v>
      </c>
      <c r="Q53" s="18">
        <v>26.19</v>
      </c>
      <c r="R53" s="18">
        <v>0.0</v>
      </c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 t="s">
        <v>79</v>
      </c>
      <c r="B54" s="13" t="s">
        <v>80</v>
      </c>
      <c r="C54" s="13">
        <f t="shared" si="1"/>
        <v>23</v>
      </c>
      <c r="D54" s="13" t="s">
        <v>50</v>
      </c>
      <c r="E54" s="13">
        <v>165.47</v>
      </c>
      <c r="F54" s="13">
        <v>165.47</v>
      </c>
      <c r="G54" s="13">
        <v>38.0581</v>
      </c>
      <c r="H54" s="13" t="s">
        <v>361</v>
      </c>
      <c r="I54" s="13">
        <v>1.8828278E7</v>
      </c>
      <c r="J54" s="13" t="s">
        <v>362</v>
      </c>
      <c r="K54" s="13" t="s">
        <v>363</v>
      </c>
      <c r="L54" s="13" t="s">
        <v>76</v>
      </c>
      <c r="M54" s="13" t="s">
        <v>54</v>
      </c>
      <c r="N54" s="18">
        <v>116.03</v>
      </c>
      <c r="O54" s="13" t="s">
        <v>66</v>
      </c>
      <c r="P54" s="19">
        <v>0.23</v>
      </c>
      <c r="Q54" s="18">
        <v>26.69</v>
      </c>
      <c r="R54" s="18">
        <v>0.0</v>
      </c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 t="s">
        <v>77</v>
      </c>
      <c r="B55" s="13" t="s">
        <v>78</v>
      </c>
      <c r="C55" s="13">
        <f t="shared" si="1"/>
        <v>23</v>
      </c>
      <c r="D55" s="13" t="s">
        <v>50</v>
      </c>
      <c r="E55" s="13">
        <v>180.14</v>
      </c>
      <c r="F55" s="13">
        <v>180.14</v>
      </c>
      <c r="G55" s="13">
        <v>41.4322</v>
      </c>
      <c r="H55" s="13" t="s">
        <v>361</v>
      </c>
      <c r="I55" s="13">
        <v>1.8828278E7</v>
      </c>
      <c r="J55" s="13" t="s">
        <v>362</v>
      </c>
      <c r="K55" s="13" t="s">
        <v>363</v>
      </c>
      <c r="L55" s="13" t="s">
        <v>76</v>
      </c>
      <c r="M55" s="13" t="s">
        <v>54</v>
      </c>
      <c r="N55" s="18">
        <v>128.67</v>
      </c>
      <c r="O55" s="13" t="s">
        <v>66</v>
      </c>
      <c r="P55" s="19">
        <v>0.23</v>
      </c>
      <c r="Q55" s="18">
        <v>29.59</v>
      </c>
      <c r="R55" s="18">
        <v>0.0</v>
      </c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 t="s">
        <v>88</v>
      </c>
      <c r="B56" s="13" t="s">
        <v>89</v>
      </c>
      <c r="C56" s="13">
        <f t="shared" si="1"/>
        <v>23</v>
      </c>
      <c r="D56" s="13" t="s">
        <v>50</v>
      </c>
      <c r="E56" s="13">
        <v>180.14</v>
      </c>
      <c r="F56" s="13">
        <v>180.14</v>
      </c>
      <c r="G56" s="13">
        <v>41.4322</v>
      </c>
      <c r="H56" s="13" t="s">
        <v>361</v>
      </c>
      <c r="I56" s="13">
        <v>1.8828278E7</v>
      </c>
      <c r="J56" s="13" t="s">
        <v>362</v>
      </c>
      <c r="K56" s="13" t="s">
        <v>363</v>
      </c>
      <c r="L56" s="13" t="s">
        <v>76</v>
      </c>
      <c r="M56" s="13" t="s">
        <v>54</v>
      </c>
      <c r="N56" s="18">
        <v>128.67</v>
      </c>
      <c r="O56" s="13" t="s">
        <v>66</v>
      </c>
      <c r="P56" s="19">
        <v>0.23</v>
      </c>
      <c r="Q56" s="18">
        <v>29.59</v>
      </c>
      <c r="R56" s="18">
        <v>0.0</v>
      </c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 t="s">
        <v>81</v>
      </c>
      <c r="B57" s="13" t="s">
        <v>82</v>
      </c>
      <c r="C57" s="13">
        <f t="shared" si="1"/>
        <v>23</v>
      </c>
      <c r="D57" s="13" t="s">
        <v>50</v>
      </c>
      <c r="E57" s="13">
        <v>181.15</v>
      </c>
      <c r="F57" s="13">
        <v>181.15</v>
      </c>
      <c r="G57" s="13">
        <v>41.664500000000004</v>
      </c>
      <c r="H57" s="13" t="s">
        <v>361</v>
      </c>
      <c r="I57" s="13">
        <v>1.8828278E7</v>
      </c>
      <c r="J57" s="13" t="s">
        <v>362</v>
      </c>
      <c r="K57" s="13" t="s">
        <v>363</v>
      </c>
      <c r="L57" s="13" t="s">
        <v>76</v>
      </c>
      <c r="M57" s="13" t="s">
        <v>54</v>
      </c>
      <c r="N57" s="18">
        <v>129.39</v>
      </c>
      <c r="O57" s="13" t="s">
        <v>66</v>
      </c>
      <c r="P57" s="19">
        <v>0.23</v>
      </c>
      <c r="Q57" s="18">
        <v>29.76</v>
      </c>
      <c r="R57" s="18">
        <v>0.0</v>
      </c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 t="s">
        <v>83</v>
      </c>
      <c r="B58" s="13" t="s">
        <v>84</v>
      </c>
      <c r="C58" s="13">
        <f t="shared" si="1"/>
        <v>23</v>
      </c>
      <c r="D58" s="13" t="s">
        <v>50</v>
      </c>
      <c r="E58" s="13">
        <v>198.24</v>
      </c>
      <c r="F58" s="13">
        <v>198.24</v>
      </c>
      <c r="G58" s="13">
        <v>45.595200000000006</v>
      </c>
      <c r="H58" s="13" t="s">
        <v>361</v>
      </c>
      <c r="I58" s="13">
        <v>1.8828278E7</v>
      </c>
      <c r="J58" s="13" t="s">
        <v>362</v>
      </c>
      <c r="K58" s="13" t="s">
        <v>363</v>
      </c>
      <c r="L58" s="13" t="s">
        <v>76</v>
      </c>
      <c r="M58" s="13" t="s">
        <v>54</v>
      </c>
      <c r="N58" s="18">
        <v>137.34</v>
      </c>
      <c r="O58" s="13" t="s">
        <v>66</v>
      </c>
      <c r="P58" s="19">
        <v>0.23</v>
      </c>
      <c r="Q58" s="18">
        <v>31.59</v>
      </c>
      <c r="R58" s="18">
        <v>0.0</v>
      </c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 t="s">
        <v>70</v>
      </c>
      <c r="B59" s="13" t="s">
        <v>71</v>
      </c>
      <c r="C59" s="13">
        <f t="shared" si="1"/>
        <v>23</v>
      </c>
      <c r="D59" s="13" t="s">
        <v>50</v>
      </c>
      <c r="E59" s="13">
        <v>168.38</v>
      </c>
      <c r="F59" s="13">
        <v>168.38</v>
      </c>
      <c r="G59" s="13">
        <v>38.7274</v>
      </c>
      <c r="H59" s="13" t="s">
        <v>361</v>
      </c>
      <c r="I59" s="13">
        <v>1.8828278E7</v>
      </c>
      <c r="J59" s="13" t="s">
        <v>362</v>
      </c>
      <c r="K59" s="13" t="s">
        <v>363</v>
      </c>
      <c r="L59" s="13" t="s">
        <v>73</v>
      </c>
      <c r="M59" s="13" t="s">
        <v>54</v>
      </c>
      <c r="N59" s="18">
        <v>113.86</v>
      </c>
      <c r="O59" s="13" t="s">
        <v>66</v>
      </c>
      <c r="P59" s="19">
        <v>0.23</v>
      </c>
      <c r="Q59" s="18">
        <v>26.19</v>
      </c>
      <c r="R59" s="18">
        <v>0.0</v>
      </c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 t="s">
        <v>101</v>
      </c>
      <c r="B60" s="13" t="s">
        <v>102</v>
      </c>
      <c r="C60" s="13">
        <f t="shared" si="1"/>
        <v>25.5</v>
      </c>
      <c r="D60" s="13" t="s">
        <v>94</v>
      </c>
      <c r="E60" s="13">
        <v>72.97</v>
      </c>
      <c r="F60" s="13">
        <v>72.97</v>
      </c>
      <c r="G60" s="13">
        <v>18.60735</v>
      </c>
      <c r="H60" s="13" t="s">
        <v>371</v>
      </c>
      <c r="I60" s="13" t="s">
        <v>372</v>
      </c>
      <c r="J60" s="13" t="s">
        <v>373</v>
      </c>
      <c r="K60" s="13" t="s">
        <v>374</v>
      </c>
      <c r="L60" s="13" t="s">
        <v>64</v>
      </c>
      <c r="M60" s="13" t="s">
        <v>54</v>
      </c>
      <c r="N60" s="18">
        <v>70.67</v>
      </c>
      <c r="O60" s="13" t="s">
        <v>66</v>
      </c>
      <c r="P60" s="19">
        <v>0.255</v>
      </c>
      <c r="Q60" s="18">
        <v>18.02</v>
      </c>
      <c r="R60" s="18">
        <v>0.0</v>
      </c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 t="s">
        <v>62</v>
      </c>
      <c r="B61" s="13" t="s">
        <v>63</v>
      </c>
      <c r="C61" s="13">
        <f t="shared" si="1"/>
        <v>23</v>
      </c>
      <c r="D61" s="13" t="s">
        <v>50</v>
      </c>
      <c r="E61" s="13">
        <v>181.15</v>
      </c>
      <c r="F61" s="13">
        <v>181.15</v>
      </c>
      <c r="G61" s="13">
        <v>41.664500000000004</v>
      </c>
      <c r="H61" s="13" t="s">
        <v>361</v>
      </c>
      <c r="I61" s="13">
        <v>1.8828278E7</v>
      </c>
      <c r="J61" s="13" t="s">
        <v>362</v>
      </c>
      <c r="K61" s="13" t="s">
        <v>363</v>
      </c>
      <c r="L61" s="13" t="s">
        <v>64</v>
      </c>
      <c r="M61" s="13" t="s">
        <v>54</v>
      </c>
      <c r="N61" s="18">
        <v>129.39</v>
      </c>
      <c r="O61" s="13" t="s">
        <v>66</v>
      </c>
      <c r="P61" s="19">
        <v>0.23</v>
      </c>
      <c r="Q61" s="18">
        <v>29.76</v>
      </c>
      <c r="R61" s="18">
        <v>0.0</v>
      </c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 t="s">
        <v>67</v>
      </c>
      <c r="B62" s="13" t="s">
        <v>68</v>
      </c>
      <c r="C62" s="13">
        <f t="shared" si="1"/>
        <v>23</v>
      </c>
      <c r="D62" s="13" t="s">
        <v>50</v>
      </c>
      <c r="E62" s="13">
        <v>218.5</v>
      </c>
      <c r="F62" s="13">
        <v>218.5</v>
      </c>
      <c r="G62" s="13">
        <v>50.255</v>
      </c>
      <c r="H62" s="13" t="s">
        <v>361</v>
      </c>
      <c r="I62" s="13">
        <v>1.8828278E7</v>
      </c>
      <c r="J62" s="13" t="s">
        <v>362</v>
      </c>
      <c r="K62" s="13" t="s">
        <v>363</v>
      </c>
      <c r="L62" s="13" t="s">
        <v>64</v>
      </c>
      <c r="M62" s="13" t="s">
        <v>54</v>
      </c>
      <c r="N62" s="18">
        <v>151.24</v>
      </c>
      <c r="O62" s="13" t="s">
        <v>66</v>
      </c>
      <c r="P62" s="19">
        <v>0.23</v>
      </c>
      <c r="Q62" s="18">
        <v>34.79</v>
      </c>
      <c r="R62" s="18">
        <v>0.0</v>
      </c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 t="s">
        <v>250</v>
      </c>
      <c r="B63" s="13" t="s">
        <v>251</v>
      </c>
      <c r="C63" s="13">
        <f t="shared" si="1"/>
        <v>7</v>
      </c>
      <c r="D63" s="13" t="s">
        <v>94</v>
      </c>
      <c r="E63" s="13">
        <v>258.14</v>
      </c>
      <c r="F63" s="13">
        <v>258.14</v>
      </c>
      <c r="G63" s="13">
        <v>18.0698</v>
      </c>
      <c r="H63" s="13" t="s">
        <v>347</v>
      </c>
      <c r="I63" s="13">
        <v>1.7425766E7</v>
      </c>
      <c r="J63" s="13" t="s">
        <v>375</v>
      </c>
      <c r="K63" s="13" t="s">
        <v>344</v>
      </c>
      <c r="L63" s="13" t="s">
        <v>252</v>
      </c>
      <c r="M63" s="13" t="s">
        <v>253</v>
      </c>
      <c r="N63" s="18">
        <v>258.15</v>
      </c>
      <c r="O63" s="13" t="s">
        <v>66</v>
      </c>
      <c r="P63" s="19">
        <v>0.07</v>
      </c>
      <c r="Q63" s="18">
        <v>18.07</v>
      </c>
      <c r="R63" s="18">
        <v>0.0</v>
      </c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 t="s">
        <v>245</v>
      </c>
      <c r="B64" s="13" t="s">
        <v>246</v>
      </c>
      <c r="C64" s="13">
        <f t="shared" si="1"/>
        <v>7</v>
      </c>
      <c r="D64" s="13" t="s">
        <v>50</v>
      </c>
      <c r="E64" s="13">
        <v>260.5</v>
      </c>
      <c r="F64" s="13">
        <v>260.5</v>
      </c>
      <c r="G64" s="13">
        <v>18.235000000000003</v>
      </c>
      <c r="H64" s="13" t="s">
        <v>347</v>
      </c>
      <c r="I64" s="13">
        <v>9213293.0</v>
      </c>
      <c r="J64" s="13" t="s">
        <v>343</v>
      </c>
      <c r="K64" s="13" t="s">
        <v>344</v>
      </c>
      <c r="L64" s="13" t="s">
        <v>247</v>
      </c>
      <c r="M64" s="13" t="s">
        <v>248</v>
      </c>
      <c r="N64" s="18">
        <v>260.49</v>
      </c>
      <c r="O64" s="13" t="s">
        <v>66</v>
      </c>
      <c r="P64" s="19">
        <v>0.07</v>
      </c>
      <c r="Q64" s="18">
        <v>18.23</v>
      </c>
      <c r="R64" s="18">
        <v>0.0</v>
      </c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 t="s">
        <v>271</v>
      </c>
      <c r="B65" s="13" t="s">
        <v>272</v>
      </c>
      <c r="C65" s="13">
        <f t="shared" si="1"/>
        <v>2.5</v>
      </c>
      <c r="D65" s="13" t="s">
        <v>94</v>
      </c>
      <c r="E65" s="13">
        <v>52.07</v>
      </c>
      <c r="F65" s="13">
        <v>52.07</v>
      </c>
      <c r="G65" s="13">
        <v>1.3017500000000002</v>
      </c>
      <c r="H65" s="13" t="s">
        <v>376</v>
      </c>
      <c r="I65" s="13">
        <v>1.7886092E7</v>
      </c>
      <c r="J65" s="13" t="s">
        <v>377</v>
      </c>
      <c r="K65" s="13" t="s">
        <v>344</v>
      </c>
      <c r="L65" s="13" t="s">
        <v>273</v>
      </c>
      <c r="M65" s="13" t="s">
        <v>125</v>
      </c>
      <c r="N65" s="18">
        <v>52.07</v>
      </c>
      <c r="O65" s="13" t="s">
        <v>66</v>
      </c>
      <c r="P65" s="19">
        <v>0.025</v>
      </c>
      <c r="Q65" s="18">
        <v>1.3</v>
      </c>
      <c r="R65" s="18">
        <v>0.0</v>
      </c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 t="s">
        <v>310</v>
      </c>
      <c r="B66" s="13" t="s">
        <v>311</v>
      </c>
      <c r="C66" s="13">
        <f t="shared" si="1"/>
        <v>3</v>
      </c>
      <c r="D66" s="13" t="s">
        <v>50</v>
      </c>
      <c r="E66" s="13">
        <v>36.08</v>
      </c>
      <c r="F66" s="13">
        <v>36.08</v>
      </c>
      <c r="G66" s="13">
        <v>1.0823999999999998</v>
      </c>
      <c r="H66" s="13" t="s">
        <v>349</v>
      </c>
      <c r="I66" s="13">
        <v>1.6633294E7</v>
      </c>
      <c r="J66" s="13" t="s">
        <v>378</v>
      </c>
      <c r="K66" s="13" t="s">
        <v>351</v>
      </c>
      <c r="L66" s="13" t="s">
        <v>312</v>
      </c>
      <c r="M66" s="13" t="s">
        <v>139</v>
      </c>
      <c r="N66" s="18">
        <v>36.08</v>
      </c>
      <c r="O66" s="13" t="s">
        <v>66</v>
      </c>
      <c r="P66" s="19">
        <v>0.03</v>
      </c>
      <c r="Q66" s="18">
        <v>1.08</v>
      </c>
      <c r="R66" s="18">
        <v>0.0</v>
      </c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 t="s">
        <v>313</v>
      </c>
      <c r="B67" s="13" t="s">
        <v>314</v>
      </c>
      <c r="C67" s="13">
        <f t="shared" si="1"/>
        <v>3</v>
      </c>
      <c r="D67" s="13" t="s">
        <v>50</v>
      </c>
      <c r="E67" s="13">
        <v>79.28</v>
      </c>
      <c r="F67" s="13">
        <v>79.28</v>
      </c>
      <c r="G67" s="13">
        <v>2.3784</v>
      </c>
      <c r="H67" s="13" t="s">
        <v>349</v>
      </c>
      <c r="I67" s="13">
        <v>1.6633294E7</v>
      </c>
      <c r="J67" s="13" t="s">
        <v>378</v>
      </c>
      <c r="K67" s="13" t="s">
        <v>379</v>
      </c>
      <c r="L67" s="13" t="s">
        <v>312</v>
      </c>
      <c r="M67" s="13" t="s">
        <v>139</v>
      </c>
      <c r="N67" s="18">
        <v>79.28</v>
      </c>
      <c r="O67" s="13" t="s">
        <v>66</v>
      </c>
      <c r="P67" s="19">
        <v>0.03</v>
      </c>
      <c r="Q67" s="18">
        <v>2.38</v>
      </c>
      <c r="R67" s="18">
        <v>0.0</v>
      </c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 t="s">
        <v>254</v>
      </c>
      <c r="B68" s="13" t="s">
        <v>255</v>
      </c>
      <c r="C68" s="13">
        <f t="shared" si="1"/>
        <v>7</v>
      </c>
      <c r="D68" s="13" t="s">
        <v>94</v>
      </c>
      <c r="E68" s="13">
        <v>27.01</v>
      </c>
      <c r="F68" s="13">
        <v>27.01</v>
      </c>
      <c r="G68" s="13">
        <v>1.8907000000000003</v>
      </c>
      <c r="H68" s="13" t="s">
        <v>342</v>
      </c>
      <c r="I68" s="13">
        <v>1.7528908E7</v>
      </c>
      <c r="J68" s="13" t="s">
        <v>357</v>
      </c>
      <c r="K68" s="13" t="s">
        <v>344</v>
      </c>
      <c r="L68" s="13" t="s">
        <v>256</v>
      </c>
      <c r="M68" s="13" t="s">
        <v>257</v>
      </c>
      <c r="N68" s="18">
        <v>27.01</v>
      </c>
      <c r="O68" s="13" t="s">
        <v>66</v>
      </c>
      <c r="P68" s="19">
        <v>0.07</v>
      </c>
      <c r="Q68" s="18">
        <v>1.89</v>
      </c>
      <c r="R68" s="18">
        <v>0.0</v>
      </c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 t="s">
        <v>92</v>
      </c>
      <c r="B69" s="13" t="s">
        <v>93</v>
      </c>
      <c r="C69" s="13">
        <f t="shared" si="1"/>
        <v>25.5</v>
      </c>
      <c r="D69" s="13" t="s">
        <v>94</v>
      </c>
      <c r="E69" s="13">
        <v>240.09</v>
      </c>
      <c r="F69" s="13">
        <v>240.09</v>
      </c>
      <c r="G69" s="13">
        <v>61.222950000000004</v>
      </c>
      <c r="H69" s="13" t="s">
        <v>371</v>
      </c>
      <c r="I69" s="13" t="s">
        <v>372</v>
      </c>
      <c r="J69" s="13" t="s">
        <v>373</v>
      </c>
      <c r="K69" s="13" t="s">
        <v>380</v>
      </c>
      <c r="L69" s="13" t="s">
        <v>96</v>
      </c>
      <c r="M69" s="13" t="s">
        <v>97</v>
      </c>
      <c r="N69" s="18">
        <v>220.29</v>
      </c>
      <c r="O69" s="13" t="s">
        <v>66</v>
      </c>
      <c r="P69" s="19">
        <v>0.255</v>
      </c>
      <c r="Q69" s="18">
        <v>56.16</v>
      </c>
      <c r="R69" s="18">
        <v>0.0</v>
      </c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 t="s">
        <v>305</v>
      </c>
      <c r="B70" s="13" t="s">
        <v>306</v>
      </c>
      <c r="C70" s="13">
        <f t="shared" si="1"/>
        <v>27</v>
      </c>
      <c r="D70" s="13" t="s">
        <v>199</v>
      </c>
      <c r="E70" s="13">
        <v>125.66</v>
      </c>
      <c r="F70" s="13">
        <v>125.66</v>
      </c>
      <c r="G70" s="13">
        <v>33.928200000000004</v>
      </c>
      <c r="H70" s="13" t="s">
        <v>381</v>
      </c>
      <c r="I70" s="13">
        <v>9079571.0</v>
      </c>
      <c r="J70" s="13" t="s">
        <v>382</v>
      </c>
      <c r="K70" s="13" t="s">
        <v>380</v>
      </c>
      <c r="L70" s="13" t="s">
        <v>308</v>
      </c>
      <c r="M70" s="13" t="s">
        <v>54</v>
      </c>
      <c r="N70" s="18">
        <v>93.57</v>
      </c>
      <c r="O70" s="13" t="s">
        <v>66</v>
      </c>
      <c r="P70" s="19">
        <v>0.27</v>
      </c>
      <c r="Q70" s="18">
        <v>25.26</v>
      </c>
      <c r="R70" s="18">
        <v>0.0</v>
      </c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3" t="s">
        <v>48</v>
      </c>
      <c r="B1" s="23" t="str">
        <f>ARRAY_CONSTRAIN(ARRAYFORMULA(VLOOKUP(A1:A72,[1]Sheet1!$A$1:$B$1317,2,FALSE)), 72, 1)</f>
        <v>#ERROR!</v>
      </c>
    </row>
    <row r="2">
      <c r="A2" s="13" t="s">
        <v>62</v>
      </c>
    </row>
    <row r="3">
      <c r="A3" s="13" t="s">
        <v>67</v>
      </c>
    </row>
    <row r="4">
      <c r="A4" s="13" t="s">
        <v>70</v>
      </c>
    </row>
    <row r="5">
      <c r="A5" s="13" t="s">
        <v>74</v>
      </c>
    </row>
    <row r="6">
      <c r="A6" s="13" t="s">
        <v>77</v>
      </c>
    </row>
    <row r="7">
      <c r="A7" s="13" t="s">
        <v>79</v>
      </c>
    </row>
    <row r="8">
      <c r="A8" s="13" t="s">
        <v>81</v>
      </c>
    </row>
    <row r="9">
      <c r="A9" s="13" t="s">
        <v>83</v>
      </c>
    </row>
    <row r="10">
      <c r="A10" s="13" t="s">
        <v>85</v>
      </c>
    </row>
    <row r="11">
      <c r="A11" s="13" t="s">
        <v>88</v>
      </c>
    </row>
    <row r="12">
      <c r="A12" s="13" t="s">
        <v>92</v>
      </c>
    </row>
    <row r="13">
      <c r="A13" s="13" t="s">
        <v>101</v>
      </c>
    </row>
    <row r="14">
      <c r="A14" s="13" t="s">
        <v>106</v>
      </c>
    </row>
    <row r="15">
      <c r="A15" s="13" t="s">
        <v>112</v>
      </c>
    </row>
    <row r="16">
      <c r="A16" s="13" t="s">
        <v>118</v>
      </c>
    </row>
    <row r="17">
      <c r="A17" s="13" t="s">
        <v>122</v>
      </c>
    </row>
    <row r="18">
      <c r="A18" s="13" t="s">
        <v>127</v>
      </c>
    </row>
    <row r="19">
      <c r="A19" s="13" t="s">
        <v>127</v>
      </c>
    </row>
    <row r="20">
      <c r="A20" s="13" t="s">
        <v>135</v>
      </c>
    </row>
    <row r="21" ht="15.75" customHeight="1">
      <c r="A21" s="13" t="s">
        <v>141</v>
      </c>
    </row>
    <row r="22" ht="15.75" customHeight="1">
      <c r="A22" s="13" t="s">
        <v>141</v>
      </c>
    </row>
    <row r="23" ht="15.75" customHeight="1">
      <c r="A23" s="13" t="s">
        <v>145</v>
      </c>
    </row>
    <row r="24" ht="15.75" customHeight="1">
      <c r="A24" s="13" t="s">
        <v>151</v>
      </c>
    </row>
    <row r="25" ht="15.75" customHeight="1">
      <c r="A25" s="13" t="s">
        <v>156</v>
      </c>
    </row>
    <row r="26" ht="15.75" customHeight="1">
      <c r="A26" s="13" t="s">
        <v>156</v>
      </c>
    </row>
    <row r="27" ht="15.75" customHeight="1">
      <c r="A27" s="13" t="s">
        <v>160</v>
      </c>
    </row>
    <row r="28" ht="15.75" customHeight="1">
      <c r="A28" s="13" t="s">
        <v>163</v>
      </c>
    </row>
    <row r="29" ht="15.75" customHeight="1">
      <c r="A29" s="13" t="s">
        <v>166</v>
      </c>
    </row>
    <row r="30" ht="15.75" customHeight="1">
      <c r="A30" s="13" t="s">
        <v>170</v>
      </c>
    </row>
    <row r="31" ht="15.75" customHeight="1">
      <c r="A31" s="13" t="s">
        <v>172</v>
      </c>
    </row>
    <row r="32" ht="15.75" customHeight="1">
      <c r="A32" s="13" t="s">
        <v>175</v>
      </c>
    </row>
    <row r="33" ht="15.75" customHeight="1">
      <c r="A33" s="13" t="s">
        <v>180</v>
      </c>
    </row>
    <row r="34" ht="15.75" customHeight="1">
      <c r="A34" s="13" t="s">
        <v>185</v>
      </c>
    </row>
    <row r="35" ht="15.75" customHeight="1">
      <c r="A35" s="13" t="s">
        <v>189</v>
      </c>
    </row>
    <row r="36" ht="15.75" customHeight="1">
      <c r="A36" s="13" t="s">
        <v>192</v>
      </c>
    </row>
    <row r="37" ht="15.75" customHeight="1">
      <c r="A37" s="13" t="s">
        <v>197</v>
      </c>
    </row>
    <row r="38" ht="15.75" customHeight="1">
      <c r="A38" s="13" t="s">
        <v>201</v>
      </c>
    </row>
    <row r="39" ht="15.75" customHeight="1">
      <c r="A39" s="13" t="s">
        <v>207</v>
      </c>
    </row>
    <row r="40" ht="15.75" customHeight="1">
      <c r="A40" s="13" t="s">
        <v>210</v>
      </c>
    </row>
    <row r="41" ht="15.75" customHeight="1">
      <c r="A41" s="13" t="s">
        <v>215</v>
      </c>
    </row>
    <row r="42" ht="15.75" customHeight="1">
      <c r="A42" s="13" t="s">
        <v>218</v>
      </c>
    </row>
    <row r="43" ht="15.75" customHeight="1">
      <c r="A43" s="13" t="s">
        <v>222</v>
      </c>
    </row>
    <row r="44" ht="15.75" customHeight="1">
      <c r="A44" s="13" t="s">
        <v>224</v>
      </c>
    </row>
    <row r="45" ht="15.75" customHeight="1">
      <c r="A45" s="13" t="s">
        <v>226</v>
      </c>
    </row>
    <row r="46" ht="15.75" customHeight="1">
      <c r="A46" s="13" t="s">
        <v>228</v>
      </c>
    </row>
    <row r="47" ht="15.75" customHeight="1">
      <c r="A47" s="13" t="s">
        <v>230</v>
      </c>
    </row>
    <row r="48" ht="15.75" customHeight="1">
      <c r="A48" s="13" t="s">
        <v>234</v>
      </c>
    </row>
    <row r="49" ht="15.75" customHeight="1">
      <c r="A49" s="13" t="s">
        <v>234</v>
      </c>
    </row>
    <row r="50" ht="15.75" customHeight="1">
      <c r="A50" s="13" t="s">
        <v>236</v>
      </c>
    </row>
    <row r="51" ht="15.75" customHeight="1">
      <c r="A51" s="13" t="s">
        <v>238</v>
      </c>
    </row>
    <row r="52" ht="15.75" customHeight="1">
      <c r="A52" s="13" t="s">
        <v>358</v>
      </c>
    </row>
    <row r="53" ht="15.75" customHeight="1">
      <c r="A53" s="13" t="s">
        <v>240</v>
      </c>
    </row>
    <row r="54" ht="15.75" customHeight="1">
      <c r="A54" s="13" t="s">
        <v>245</v>
      </c>
    </row>
    <row r="55" ht="15.75" customHeight="1">
      <c r="A55" s="13" t="s">
        <v>250</v>
      </c>
    </row>
    <row r="56" ht="15.75" customHeight="1">
      <c r="A56" s="13" t="s">
        <v>254</v>
      </c>
    </row>
    <row r="57" ht="15.75" customHeight="1">
      <c r="A57" s="13" t="s">
        <v>258</v>
      </c>
    </row>
    <row r="58" ht="15.75" customHeight="1">
      <c r="A58" s="13" t="s">
        <v>261</v>
      </c>
    </row>
    <row r="59" ht="15.75" customHeight="1">
      <c r="A59" s="13" t="s">
        <v>265</v>
      </c>
    </row>
    <row r="60" ht="15.75" customHeight="1">
      <c r="A60" s="13" t="s">
        <v>271</v>
      </c>
    </row>
    <row r="61" ht="15.75" customHeight="1">
      <c r="A61" s="13" t="s">
        <v>274</v>
      </c>
    </row>
    <row r="62" ht="15.75" customHeight="1">
      <c r="A62" s="13" t="s">
        <v>278</v>
      </c>
    </row>
    <row r="63" ht="15.75" customHeight="1">
      <c r="A63" s="13" t="s">
        <v>281</v>
      </c>
    </row>
    <row r="64" ht="15.75" customHeight="1">
      <c r="A64" s="13" t="s">
        <v>284</v>
      </c>
    </row>
    <row r="65" ht="15.75" customHeight="1">
      <c r="A65" s="13" t="s">
        <v>288</v>
      </c>
    </row>
    <row r="66" ht="15.75" customHeight="1">
      <c r="A66" s="13" t="s">
        <v>292</v>
      </c>
    </row>
    <row r="67" ht="15.75" customHeight="1">
      <c r="A67" s="13" t="s">
        <v>296</v>
      </c>
    </row>
    <row r="68" ht="15.75" customHeight="1">
      <c r="A68" s="13" t="s">
        <v>299</v>
      </c>
    </row>
    <row r="69" ht="15.75" customHeight="1">
      <c r="A69" s="13" t="s">
        <v>302</v>
      </c>
    </row>
    <row r="70" ht="15.75" customHeight="1">
      <c r="A70" s="13" t="s">
        <v>305</v>
      </c>
    </row>
    <row r="71" ht="15.75" customHeight="1">
      <c r="A71" s="13" t="s">
        <v>310</v>
      </c>
    </row>
    <row r="72" ht="15.75" customHeight="1">
      <c r="A72" s="13" t="s">
        <v>313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2026-03-27T08:04:58Z</dcterms:created>
  <dc:creator>Mutual of Omaha - IS IFS Distribution Support - Cameron Gaines</dc:creator>
</cp:coreProperties>
</file>