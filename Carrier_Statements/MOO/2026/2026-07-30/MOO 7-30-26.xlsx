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OO\2026\2026-07-30\"/>
    </mc:Choice>
  </mc:AlternateContent>
  <xr:revisionPtr revIDLastSave="0" documentId="13_ncr:1_{10C8E9C0-E9A4-4B3F-8094-EAB6FD601B7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6" i="3" l="1"/>
  <c r="S4" i="3"/>
  <c r="S41" i="3"/>
  <c r="S74" i="3"/>
  <c r="S75" i="3"/>
  <c r="S72" i="3"/>
  <c r="S71" i="3"/>
  <c r="S25" i="3"/>
  <c r="S67" i="3"/>
  <c r="S35" i="3"/>
  <c r="S27" i="3"/>
  <c r="S37" i="3"/>
  <c r="S38" i="3"/>
  <c r="S91" i="3"/>
  <c r="S99" i="3"/>
  <c r="S43" i="3"/>
  <c r="S44" i="3"/>
  <c r="S6" i="3"/>
  <c r="S13" i="3"/>
  <c r="S31" i="3"/>
  <c r="S30" i="3"/>
  <c r="S17" i="3"/>
  <c r="S69" i="3"/>
  <c r="S68" i="3"/>
  <c r="S2" i="3"/>
  <c r="S3" i="3"/>
  <c r="S70" i="3"/>
  <c r="S47" i="3"/>
  <c r="S26" i="3"/>
  <c r="S73" i="3"/>
  <c r="S36" i="3"/>
  <c r="S92" i="3"/>
  <c r="S40" i="3"/>
  <c r="S12" i="3"/>
  <c r="S8" i="3"/>
  <c r="S9" i="3"/>
  <c r="S59" i="3"/>
  <c r="S48" i="3"/>
  <c r="S49" i="3"/>
  <c r="S50" i="3"/>
  <c r="S76" i="3"/>
  <c r="S97" i="3"/>
  <c r="S28" i="3"/>
  <c r="S34" i="3"/>
  <c r="S32" i="3"/>
  <c r="S33" i="3"/>
  <c r="S29" i="3"/>
  <c r="S10" i="3"/>
  <c r="S42" i="3"/>
  <c r="S24" i="3"/>
  <c r="S19" i="3"/>
  <c r="S18" i="3"/>
  <c r="S20" i="3"/>
  <c r="S21" i="3"/>
  <c r="S98" i="3"/>
  <c r="S16" i="3"/>
  <c r="S5" i="3"/>
  <c r="S54" i="3"/>
  <c r="S80" i="3"/>
  <c r="S82" i="3"/>
  <c r="S89" i="3"/>
  <c r="S11" i="3"/>
  <c r="S61" i="3"/>
  <c r="S60" i="3"/>
  <c r="S86" i="3"/>
  <c r="S85" i="3"/>
  <c r="S51" i="3"/>
  <c r="S81" i="3"/>
  <c r="S84" i="3"/>
  <c r="S83" i="3"/>
  <c r="S52" i="3"/>
  <c r="S79" i="3"/>
  <c r="S78" i="3"/>
  <c r="S77" i="3"/>
  <c r="S57" i="3"/>
  <c r="S55" i="3"/>
  <c r="S56" i="3"/>
  <c r="S87" i="3"/>
  <c r="S88" i="3"/>
  <c r="S58" i="3"/>
  <c r="S53" i="3"/>
  <c r="S7" i="3"/>
  <c r="S94" i="3"/>
  <c r="S22" i="3"/>
  <c r="S23" i="3"/>
  <c r="S63" i="3"/>
  <c r="S39" i="3"/>
  <c r="S14" i="3"/>
  <c r="S62" i="3"/>
  <c r="S15" i="3"/>
  <c r="S45" i="3"/>
  <c r="S66" i="3"/>
  <c r="S65" i="3"/>
  <c r="S64" i="3"/>
  <c r="S46" i="3"/>
</calcChain>
</file>

<file path=xl/sharedStrings.xml><?xml version="1.0" encoding="utf-8"?>
<sst xmlns="http://schemas.openxmlformats.org/spreadsheetml/2006/main" count="3608" uniqueCount="601">
  <si>
    <t>MUTUAL OF OMAHA</t>
  </si>
  <si>
    <t>SUMMARY COMPENSATION STATEMENT</t>
  </si>
  <si>
    <t>For Period Ending 07/28/2026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</si>
  <si>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</si>
  <si>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</si>
  <si>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</si>
  <si>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</si>
  <si>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</si>
  <si>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</si>
  <si>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</si>
  <si>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</si>
  <si>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</si>
  <si>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</si>
  <si>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</si>
  <si>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</si>
  <si>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</si>
  <si>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</si>
  <si>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</si>
  <si>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</si>
  <si>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</si>
  <si>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</si>
  <si>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</si>
  <si>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</si>
  <si>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</si>
  <si>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</si>
  <si>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</si>
  <si>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</si>
  <si>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</si>
  <si>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</si>
  <si>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</si>
  <si>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</si>
  <si>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</si>
  <si>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</si>
  <si>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</si>
  <si>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</si>
  <si>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</si>
  <si>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</si>
  <si>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</si>
  <si>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</si>
  <si>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</si>
  <si>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</si>
  <si>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</si>
  <si>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</si>
  <si>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</si>
  <si>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</si>
  <si>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</si>
  <si>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</si>
  <si>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</si>
  <si>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</si>
  <si>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0893387</t>
  </si>
  <si>
    <t>520981-41</t>
  </si>
  <si>
    <t>THOMAS ALAN</t>
  </si>
  <si>
    <t>IL</t>
  </si>
  <si>
    <t>07/27/2026</t>
  </si>
  <si>
    <t>NM24HL</t>
  </si>
  <si>
    <t>04/01/2026</t>
  </si>
  <si>
    <t>11/01/2026</t>
  </si>
  <si>
    <t/>
  </si>
  <si>
    <t>Q</t>
  </si>
  <si>
    <t>REG</t>
  </si>
  <si>
    <t>003</t>
  </si>
  <si>
    <t>F</t>
  </si>
  <si>
    <t>BFY PAYMENT</t>
  </si>
  <si>
    <t>100.0%</t>
  </si>
  <si>
    <t>OMAHA SUPP</t>
  </si>
  <si>
    <t>0910791</t>
  </si>
  <si>
    <t>631263-41</t>
  </si>
  <si>
    <t>HASKINS MARK</t>
  </si>
  <si>
    <t>OH</t>
  </si>
  <si>
    <t>07/22/2026</t>
  </si>
  <si>
    <t>SM35L</t>
  </si>
  <si>
    <t>08/01/2026</t>
  </si>
  <si>
    <t>09/01/2026</t>
  </si>
  <si>
    <t>M</t>
  </si>
  <si>
    <t>BSP</t>
  </si>
  <si>
    <t>001</t>
  </si>
  <si>
    <t>NEW COV ISS</t>
  </si>
  <si>
    <t>GURU INSURANCE MARKETING, LLC</t>
  </si>
  <si>
    <t>1174646</t>
  </si>
  <si>
    <t>682141-97</t>
  </si>
  <si>
    <t>FORBES SCOTT</t>
  </si>
  <si>
    <t>07/23/2026</t>
  </si>
  <si>
    <t>07/01/2025</t>
  </si>
  <si>
    <t>R</t>
  </si>
  <si>
    <t>RENEWAL PYMT</t>
  </si>
  <si>
    <t>655858-97</t>
  </si>
  <si>
    <t>KINGDON RANDALL</t>
  </si>
  <si>
    <t>07/28/2026</t>
  </si>
  <si>
    <t>04/01/2025</t>
  </si>
  <si>
    <t>642060-97</t>
  </si>
  <si>
    <t>COLLINS JIM</t>
  </si>
  <si>
    <t>630114-97</t>
  </si>
  <si>
    <t>KATH ANITA</t>
  </si>
  <si>
    <t>03/01/2025</t>
  </si>
  <si>
    <t>473139-97</t>
  </si>
  <si>
    <t>MCBRIDE SHIRLEY</t>
  </si>
  <si>
    <t>01/01/2025</t>
  </si>
  <si>
    <t>957939-96</t>
  </si>
  <si>
    <t>BIORDI JR JOHN</t>
  </si>
  <si>
    <t>06/01/2024</t>
  </si>
  <si>
    <t>UNITED WORLD</t>
  </si>
  <si>
    <t>0815390</t>
  </si>
  <si>
    <t>689251-97</t>
  </si>
  <si>
    <t>ROGERS ROBIN</t>
  </si>
  <si>
    <t>OR</t>
  </si>
  <si>
    <t>WM35HL</t>
  </si>
  <si>
    <t>07/01/2026</t>
  </si>
  <si>
    <t>PREM ADJ DEC</t>
  </si>
  <si>
    <t>UNITED</t>
  </si>
  <si>
    <t>0957310</t>
  </si>
  <si>
    <t>663680-96</t>
  </si>
  <si>
    <t>DELPRATO KAREN</t>
  </si>
  <si>
    <t>PA</t>
  </si>
  <si>
    <t>UM35HLV</t>
  </si>
  <si>
    <t>09/01/2023</t>
  </si>
  <si>
    <t>526481-97</t>
  </si>
  <si>
    <t>HASSETT LINDA</t>
  </si>
  <si>
    <t>UM36LV</t>
  </si>
  <si>
    <t>418918-97</t>
  </si>
  <si>
    <t>MCCOY CAROL</t>
  </si>
  <si>
    <t>UM24HLV</t>
  </si>
  <si>
    <t>10/01/2024</t>
  </si>
  <si>
    <t>INNOVATIVE FINANCIAL PARTNERS LLC</t>
  </si>
  <si>
    <t>0606680</t>
  </si>
  <si>
    <t>BU4714531</t>
  </si>
  <si>
    <t>ANDERSON ROBIN</t>
  </si>
  <si>
    <t>IN</t>
  </si>
  <si>
    <t>FEPL 1</t>
  </si>
  <si>
    <t>06/26/2024</t>
  </si>
  <si>
    <t>08/26/2026</t>
  </si>
  <si>
    <t>1199312</t>
  </si>
  <si>
    <t>BU5223396</t>
  </si>
  <si>
    <t>ALLEN DELORES</t>
  </si>
  <si>
    <t>05/01/2025</t>
  </si>
  <si>
    <t>1075176</t>
  </si>
  <si>
    <t>BU6850568</t>
  </si>
  <si>
    <t>SHAGDARSUREN HULAN</t>
  </si>
  <si>
    <t>IXEXP1</t>
  </si>
  <si>
    <t>1099222</t>
  </si>
  <si>
    <t>BU6170227</t>
  </si>
  <si>
    <t>COSENZA DONNA</t>
  </si>
  <si>
    <t>FL</t>
  </si>
  <si>
    <t>TE15 1</t>
  </si>
  <si>
    <t>11/25/2025</t>
  </si>
  <si>
    <t>08/25/2026</t>
  </si>
  <si>
    <t>BU6235097</t>
  </si>
  <si>
    <t>GREGOR STUART</t>
  </si>
  <si>
    <t>TX</t>
  </si>
  <si>
    <t>12/21/2025</t>
  </si>
  <si>
    <t>08/21/2026</t>
  </si>
  <si>
    <t>BU6241482</t>
  </si>
  <si>
    <t>PIEDRA MICHAEL</t>
  </si>
  <si>
    <t>E30301</t>
  </si>
  <si>
    <t>12/27/2025</t>
  </si>
  <si>
    <t>08/27/2026</t>
  </si>
  <si>
    <t>BU6241487</t>
  </si>
  <si>
    <t>PIEDRA ROSALIE</t>
  </si>
  <si>
    <t>BU6765242</t>
  </si>
  <si>
    <t>REDMON JENNIFER</t>
  </si>
  <si>
    <t>06/24/2026</t>
  </si>
  <si>
    <t>08/24/2026</t>
  </si>
  <si>
    <t>NEW ISS PYMT</t>
  </si>
  <si>
    <t>07/24/2026</t>
  </si>
  <si>
    <t>1169782</t>
  </si>
  <si>
    <t>BU6590798</t>
  </si>
  <si>
    <t>ANTUNEZ EMANUEL</t>
  </si>
  <si>
    <t>LA</t>
  </si>
  <si>
    <t>05/11/2026</t>
  </si>
  <si>
    <t>08/11/2026</t>
  </si>
  <si>
    <t>1254766</t>
  </si>
  <si>
    <t>BU6842547</t>
  </si>
  <si>
    <t>FRAZIER RICHARD</t>
  </si>
  <si>
    <t>MD</t>
  </si>
  <si>
    <t>E10101</t>
  </si>
  <si>
    <t>1283567</t>
  </si>
  <si>
    <t>BU6443322</t>
  </si>
  <si>
    <t>REESE CAYDE</t>
  </si>
  <si>
    <t>WV</t>
  </si>
  <si>
    <t>JVWL 1</t>
  </si>
  <si>
    <t>03/01/2026</t>
  </si>
  <si>
    <t>BU6443327</t>
  </si>
  <si>
    <t>REESE COHEN</t>
  </si>
  <si>
    <t>1301664</t>
  </si>
  <si>
    <t>BU6648743</t>
  </si>
  <si>
    <t>KANEMITSU GARRICK</t>
  </si>
  <si>
    <t>HI</t>
  </si>
  <si>
    <t>05/18/2026</t>
  </si>
  <si>
    <t>08/18/2026</t>
  </si>
  <si>
    <t>BU5547009</t>
  </si>
  <si>
    <t>ELLIS JAMES</t>
  </si>
  <si>
    <t>09/23/2025</t>
  </si>
  <si>
    <t>08/23/2026</t>
  </si>
  <si>
    <t>BU5627548</t>
  </si>
  <si>
    <t>FAY DONALD</t>
  </si>
  <si>
    <t>10/21/2025</t>
  </si>
  <si>
    <t>BU6269154</t>
  </si>
  <si>
    <t>BOWMAN SCOTT</t>
  </si>
  <si>
    <t>MO</t>
  </si>
  <si>
    <t>01/01/2026</t>
  </si>
  <si>
    <t>BU6294054</t>
  </si>
  <si>
    <t>AHOLT STEVE</t>
  </si>
  <si>
    <t>12/24/2025</t>
  </si>
  <si>
    <t>BU6328041</t>
  </si>
  <si>
    <t>FOSTER DENNIS</t>
  </si>
  <si>
    <t>01/25/2026</t>
  </si>
  <si>
    <t>BU6437102</t>
  </si>
  <si>
    <t>EZNACK JAMES</t>
  </si>
  <si>
    <t>02/25/2026</t>
  </si>
  <si>
    <t>BU6437181</t>
  </si>
  <si>
    <t>EZNACK TERRI</t>
  </si>
  <si>
    <t>BU6450110</t>
  </si>
  <si>
    <t>DAKE JOSEPH</t>
  </si>
  <si>
    <t>03/26/2026</t>
  </si>
  <si>
    <t>BU6450122</t>
  </si>
  <si>
    <t>SUMMERS AMY</t>
  </si>
  <si>
    <t>03/24/2026</t>
  </si>
  <si>
    <t>BU6457385</t>
  </si>
  <si>
    <t>MARIS JAMES</t>
  </si>
  <si>
    <t>03/23/2026</t>
  </si>
  <si>
    <t>BU6476659</t>
  </si>
  <si>
    <t>WALDING TOMMY</t>
  </si>
  <si>
    <t>FEPG 1</t>
  </si>
  <si>
    <t>03/27/2026</t>
  </si>
  <si>
    <t>BU6572506</t>
  </si>
  <si>
    <t>MIRTSCHING BARRY</t>
  </si>
  <si>
    <t>04/27/2026</t>
  </si>
  <si>
    <t>BU6576716</t>
  </si>
  <si>
    <t>PROCTER JESSICA</t>
  </si>
  <si>
    <t>05/08/2026</t>
  </si>
  <si>
    <t>08/08/2026</t>
  </si>
  <si>
    <t>BU6851984</t>
  </si>
  <si>
    <t>RUSS MICHAEL</t>
  </si>
  <si>
    <t>BU6378912</t>
  </si>
  <si>
    <t>AYUR TSOGT</t>
  </si>
  <si>
    <t>02/01/2026</t>
  </si>
  <si>
    <t>BU6559845</t>
  </si>
  <si>
    <t>SANDAG SUGAR</t>
  </si>
  <si>
    <t>04/14/2026</t>
  </si>
  <si>
    <t>08/14/2026</t>
  </si>
  <si>
    <t>0468247</t>
  </si>
  <si>
    <t>BU6568160</t>
  </si>
  <si>
    <t>DRESSER KIMBERLY</t>
  </si>
  <si>
    <t>10GPT1</t>
  </si>
  <si>
    <t>07/16/2026</t>
  </si>
  <si>
    <t>0495210</t>
  </si>
  <si>
    <t>BU6627456</t>
  </si>
  <si>
    <t>ANDERSON GARY</t>
  </si>
  <si>
    <t>WI</t>
  </si>
  <si>
    <t>05/19/2026</t>
  </si>
  <si>
    <t>08/19/2026</t>
  </si>
  <si>
    <t>BU5451962</t>
  </si>
  <si>
    <t>GUGLIELMO MICHAEL</t>
  </si>
  <si>
    <t>SC</t>
  </si>
  <si>
    <t>08/27/2025</t>
  </si>
  <si>
    <t>BU5516959</t>
  </si>
  <si>
    <t>DOWDA DENEEN</t>
  </si>
  <si>
    <t>10/25/2025</t>
  </si>
  <si>
    <t>BU5516960</t>
  </si>
  <si>
    <t>HARPER RODNEY</t>
  </si>
  <si>
    <t>09/25/2025</t>
  </si>
  <si>
    <t>BU5521064</t>
  </si>
  <si>
    <t>WASSELL TIMOTHY</t>
  </si>
  <si>
    <t>BU5533904</t>
  </si>
  <si>
    <t>BINNS CONNIE</t>
  </si>
  <si>
    <t>BU5592571</t>
  </si>
  <si>
    <t>HORAN ASHLEY</t>
  </si>
  <si>
    <t>BU5595319</t>
  </si>
  <si>
    <t>HANAFI COLEEN</t>
  </si>
  <si>
    <t>AZ</t>
  </si>
  <si>
    <t>09/22/2025</t>
  </si>
  <si>
    <t>08/22/2026</t>
  </si>
  <si>
    <t>BU6209153</t>
  </si>
  <si>
    <t>ROUSE JESSICA</t>
  </si>
  <si>
    <t>11/23/2025</t>
  </si>
  <si>
    <t>BU6209154</t>
  </si>
  <si>
    <t>ROUSE CALEB</t>
  </si>
  <si>
    <t>BU6239044</t>
  </si>
  <si>
    <t>BROWN KAITLYN</t>
  </si>
  <si>
    <t>12/26/2025</t>
  </si>
  <si>
    <t>BU6260853</t>
  </si>
  <si>
    <t>GARD ROLAND</t>
  </si>
  <si>
    <t>BU6345020</t>
  </si>
  <si>
    <t>KROKEL REGINA</t>
  </si>
  <si>
    <t>01/02/2026</t>
  </si>
  <si>
    <t>08/02/2026</t>
  </si>
  <si>
    <t>BU6345021</t>
  </si>
  <si>
    <t>KROEKEL GERT</t>
  </si>
  <si>
    <t>01/27/2026</t>
  </si>
  <si>
    <t>BU6360737</t>
  </si>
  <si>
    <t>CHARTER TONI</t>
  </si>
  <si>
    <t>UT</t>
  </si>
  <si>
    <t>02/26/2026</t>
  </si>
  <si>
    <t>BU6515636</t>
  </si>
  <si>
    <t>CURA LINDA</t>
  </si>
  <si>
    <t>04/25/2026</t>
  </si>
  <si>
    <t>BU6562984</t>
  </si>
  <si>
    <t>CHRIST TANNER</t>
  </si>
  <si>
    <t>BU6594589</t>
  </si>
  <si>
    <t>CERRETANI KATHLEEN</t>
  </si>
  <si>
    <t>05/24/2026</t>
  </si>
  <si>
    <t>BU6668558</t>
  </si>
  <si>
    <t>STURGEON MARY</t>
  </si>
  <si>
    <t>06/25/2026</t>
  </si>
  <si>
    <t>BU6676016</t>
  </si>
  <si>
    <t>KISSEL GAVIN</t>
  </si>
  <si>
    <t>BU6676119</t>
  </si>
  <si>
    <t>KISSEL MACI</t>
  </si>
  <si>
    <t>BU6688179</t>
  </si>
  <si>
    <t>SHIPP DONNA</t>
  </si>
  <si>
    <t>06/26/2026</t>
  </si>
  <si>
    <t>BU6697265</t>
  </si>
  <si>
    <t>SHIPP HAILEY</t>
  </si>
  <si>
    <t>BU6723451</t>
  </si>
  <si>
    <t>WRING DAVID</t>
  </si>
  <si>
    <t>BU6816391</t>
  </si>
  <si>
    <t>JOHNSON GORDON</t>
  </si>
  <si>
    <t>VA</t>
  </si>
  <si>
    <t>CONV NEW BUS</t>
  </si>
  <si>
    <t>0819525</t>
  </si>
  <si>
    <t>BU6594927</t>
  </si>
  <si>
    <t>MANOLOVA-RAIKOFF ANNA</t>
  </si>
  <si>
    <t>04/28/2026</t>
  </si>
  <si>
    <t>08/28/2026</t>
  </si>
  <si>
    <t>0892054</t>
  </si>
  <si>
    <t>BU5317505</t>
  </si>
  <si>
    <t>BEDELL BRENDA</t>
  </si>
  <si>
    <t>05/20/2025</t>
  </si>
  <si>
    <t>08/20/2026</t>
  </si>
  <si>
    <t>0892698</t>
  </si>
  <si>
    <t>BU6366959</t>
  </si>
  <si>
    <t>MAGLICCO KAREN</t>
  </si>
  <si>
    <t>01/26/2026</t>
  </si>
  <si>
    <t>0892719</t>
  </si>
  <si>
    <t>BU6370496</t>
  </si>
  <si>
    <t>TALTON DENISE</t>
  </si>
  <si>
    <t>NC</t>
  </si>
  <si>
    <t>02/27/2026</t>
  </si>
  <si>
    <t>0893214</t>
  </si>
  <si>
    <t>BU5442915</t>
  </si>
  <si>
    <t>GOETZ NANCY</t>
  </si>
  <si>
    <t>07/22/2025</t>
  </si>
  <si>
    <t>07/22/2027</t>
  </si>
  <si>
    <t>A</t>
  </si>
  <si>
    <t>012</t>
  </si>
  <si>
    <t>BU6154557</t>
  </si>
  <si>
    <t>GONCHIG ALTANTUUL</t>
  </si>
  <si>
    <t>10/15/2025</t>
  </si>
  <si>
    <t>08/15/2026</t>
  </si>
  <si>
    <t>BU6859070</t>
  </si>
  <si>
    <t>NELSON CHRISTOPHER</t>
  </si>
  <si>
    <t>ND</t>
  </si>
  <si>
    <t>0899216</t>
  </si>
  <si>
    <t>BU6840721</t>
  </si>
  <si>
    <t>RETTALIATA ANTHONY</t>
  </si>
  <si>
    <t>BU6859075</t>
  </si>
  <si>
    <t>COLEMAN SANDY</t>
  </si>
  <si>
    <t>BU6853860</t>
  </si>
  <si>
    <t>MORILLA OTNIEL</t>
  </si>
  <si>
    <t>E20201</t>
  </si>
  <si>
    <t>BU6559850</t>
  </si>
  <si>
    <t>ZAGD MUNKHJARGAL</t>
  </si>
  <si>
    <t>04/13/2026</t>
  </si>
  <si>
    <t>08/13/2026</t>
  </si>
  <si>
    <t>BU6627789</t>
  </si>
  <si>
    <t>ANDERSON CHRISTINE</t>
  </si>
  <si>
    <t>BU5452090</t>
  </si>
  <si>
    <t>GUGLIELMO CHRISTINE</t>
  </si>
  <si>
    <t>08/21/2025</t>
  </si>
  <si>
    <t>MUTUAL</t>
  </si>
  <si>
    <t>567413-41</t>
  </si>
  <si>
    <t>ROHRBAUGH CHRISTINA</t>
  </si>
  <si>
    <t>DNT5IL</t>
  </si>
  <si>
    <t>0894080</t>
  </si>
  <si>
    <t>516103-41</t>
  </si>
  <si>
    <t>GAREFALOS TONI</t>
  </si>
  <si>
    <t>DNT2BL</t>
  </si>
  <si>
    <t>629219-41</t>
  </si>
  <si>
    <t>MATHENY LORELEA</t>
  </si>
  <si>
    <t>CP1FI</t>
  </si>
  <si>
    <t>07/21/2026</t>
  </si>
  <si>
    <t>859539-97</t>
  </si>
  <si>
    <t>SMITH KAREN</t>
  </si>
  <si>
    <t>MM25HL</t>
  </si>
  <si>
    <t>11/01/2025</t>
  </si>
  <si>
    <t>628245-41</t>
  </si>
  <si>
    <t>HAUGHN RAELYNN</t>
  </si>
  <si>
    <t>HI25AL</t>
  </si>
  <si>
    <t>10/01/2026</t>
  </si>
  <si>
    <t>TRM CLNT REQ</t>
  </si>
  <si>
    <t>340328-41</t>
  </si>
  <si>
    <t>SIMINGTON GREGORY</t>
  </si>
  <si>
    <t>HI25FL</t>
  </si>
  <si>
    <t>0816910</t>
  </si>
  <si>
    <t>759612-96</t>
  </si>
  <si>
    <t>MILBOURNE DONNA</t>
  </si>
  <si>
    <t>MM35HL</t>
  </si>
  <si>
    <t>12/01/2023</t>
  </si>
  <si>
    <t>900385-96</t>
  </si>
  <si>
    <t>BURTON PATRICIA</t>
  </si>
  <si>
    <t>MM25HTL</t>
  </si>
  <si>
    <t>03/07/2024</t>
  </si>
  <si>
    <t>TERM-OTHER</t>
  </si>
  <si>
    <t>522176-97</t>
  </si>
  <si>
    <t>OSTALA BARBARA</t>
  </si>
  <si>
    <t>DNT2IL</t>
  </si>
  <si>
    <t>11/28/2024</t>
  </si>
  <si>
    <t>0513364</t>
  </si>
  <si>
    <t>488716-97</t>
  </si>
  <si>
    <t>POWERS APRIL</t>
  </si>
  <si>
    <t>488722-97</t>
  </si>
  <si>
    <t>POWERS THOMAS</t>
  </si>
  <si>
    <t>BOB Agt</t>
  </si>
  <si>
    <t>MLB Agt</t>
  </si>
  <si>
    <t>NPN</t>
  </si>
  <si>
    <t>BOB Prem</t>
  </si>
  <si>
    <t>Comm</t>
  </si>
  <si>
    <t>BOB Prod</t>
  </si>
  <si>
    <t>MLB Prod</t>
  </si>
  <si>
    <t>Gregory Teipel</t>
  </si>
  <si>
    <t>Michael Dunavant</t>
  </si>
  <si>
    <t>Carol Foley</t>
  </si>
  <si>
    <t>Anne Marie Kozacheck</t>
  </si>
  <si>
    <t>Ryan Caltagirone</t>
  </si>
  <si>
    <t>James Allen</t>
  </si>
  <si>
    <t>Matthew Daugherty</t>
  </si>
  <si>
    <t>Victor Fuentes</t>
  </si>
  <si>
    <t>Jo Lauder</t>
  </si>
  <si>
    <t>Nicole Toa</t>
  </si>
  <si>
    <t>Nasandelger Zana</t>
  </si>
  <si>
    <t>William Peppler</t>
  </si>
  <si>
    <t>Gary Portugal</t>
  </si>
  <si>
    <t>Frank Liskovec</t>
  </si>
  <si>
    <t>Michelle Stasko</t>
  </si>
  <si>
    <t>Colleen Finnigan</t>
  </si>
  <si>
    <t>Jason Roller</t>
  </si>
  <si>
    <t>Ronald Max</t>
  </si>
  <si>
    <t>Jacob Yale</t>
  </si>
  <si>
    <t>Steven Brandt</t>
  </si>
  <si>
    <t>Adam Richter</t>
  </si>
  <si>
    <t>Dale Walenga</t>
  </si>
  <si>
    <t>Medicare Supplement Plan G</t>
  </si>
  <si>
    <t>Medicare Supplement Plan N</t>
  </si>
  <si>
    <t>Medicare Supplement Plan G High Deductible</t>
  </si>
  <si>
    <t>Living Promise - Level Benefit</t>
  </si>
  <si>
    <t>Tle 20-20yr Guar</t>
  </si>
  <si>
    <t>Term Life Express 10 15 20 30</t>
  </si>
  <si>
    <t>Iul Express</t>
  </si>
  <si>
    <t>Children S - Whole Life</t>
  </si>
  <si>
    <t>Living Promise-graded</t>
  </si>
  <si>
    <t>Protection Plan (c) Dnt5i</t>
  </si>
  <si>
    <t>Preferred Plan (a) Dnt2b</t>
  </si>
  <si>
    <t>Lump Sum (ca/spec Disease Indemnity)</t>
  </si>
  <si>
    <t>Hospital Indemnity</t>
  </si>
  <si>
    <t>Preferred Plan (a) Dnt2i</t>
  </si>
  <si>
    <t>Alan Thomas</t>
  </si>
  <si>
    <t>Scott Forbes</t>
  </si>
  <si>
    <t>Randall F Kingdon</t>
  </si>
  <si>
    <t>Jim R Collins</t>
  </si>
  <si>
    <t>Anita Kath</t>
  </si>
  <si>
    <t>Shirley Mcbride</t>
  </si>
  <si>
    <t>John A Biordi</t>
  </si>
  <si>
    <t>Robin A Rogers</t>
  </si>
  <si>
    <t>Karen Delprato</t>
  </si>
  <si>
    <t>Linda Hassett</t>
  </si>
  <si>
    <t>Carol A Mccoy</t>
  </si>
  <si>
    <t>Robin Anderson</t>
  </si>
  <si>
    <t>Delores Allen</t>
  </si>
  <si>
    <t>Donna Cosenza</t>
  </si>
  <si>
    <t>Stuart Gregor</t>
  </si>
  <si>
    <t>Michael Piedra</t>
  </si>
  <si>
    <t>Rosalie Piedra</t>
  </si>
  <si>
    <t>Jennifer Redmon</t>
  </si>
  <si>
    <t>Emanuel Antunez</t>
  </si>
  <si>
    <t>Cayde M Reese</t>
  </si>
  <si>
    <t>Cohen S Reese</t>
  </si>
  <si>
    <t>Garrick Kanemitsu</t>
  </si>
  <si>
    <t>James Ellis</t>
  </si>
  <si>
    <t>Donald Fay</t>
  </si>
  <si>
    <t>Scott Bowman</t>
  </si>
  <si>
    <t>Steve Aholt</t>
  </si>
  <si>
    <t>Dennis Foster</t>
  </si>
  <si>
    <t>James Eznack Sr</t>
  </si>
  <si>
    <t>Terri Eznack</t>
  </si>
  <si>
    <t>Joseph Dake</t>
  </si>
  <si>
    <t>Amy Summers</t>
  </si>
  <si>
    <t>James Maris</t>
  </si>
  <si>
    <t>Tommy Walding</t>
  </si>
  <si>
    <t>Barry Mirtsching</t>
  </si>
  <si>
    <t>Jessica Procter</t>
  </si>
  <si>
    <t>Tsogt Erdene Ayur</t>
  </si>
  <si>
    <t>Sugar Sandag</t>
  </si>
  <si>
    <t>Gary A Anderson</t>
  </si>
  <si>
    <t>Michael Guglielmo</t>
  </si>
  <si>
    <t>Deneen Dowda</t>
  </si>
  <si>
    <t>Rodney Harper</t>
  </si>
  <si>
    <t>Timothy Wassell</t>
  </si>
  <si>
    <t>Connie Binns</t>
  </si>
  <si>
    <t>Ashley Horan</t>
  </si>
  <si>
    <t>Coleen Hanafi</t>
  </si>
  <si>
    <t>Jessica Rouse</t>
  </si>
  <si>
    <t>Caleb Rouse</t>
  </si>
  <si>
    <t>Kaitlyn Brown</t>
  </si>
  <si>
    <t>Roland Gard</t>
  </si>
  <si>
    <t>Regina Krokel</t>
  </si>
  <si>
    <t>Gert Kroekel</t>
  </si>
  <si>
    <t>Toni Charter</t>
  </si>
  <si>
    <t>Linda Cura</t>
  </si>
  <si>
    <t>Tanner Christ</t>
  </si>
  <si>
    <t>Kathleen Cerretani</t>
  </si>
  <si>
    <t>Mary Ann Sturgeon</t>
  </si>
  <si>
    <t>Gavin Kissel</t>
  </si>
  <si>
    <t>Maci Kissel</t>
  </si>
  <si>
    <t>Donna Shipp</t>
  </si>
  <si>
    <t>Hailey Shipp</t>
  </si>
  <si>
    <t>David Wring</t>
  </si>
  <si>
    <t>Anna Manolova-Raikoff</t>
  </si>
  <si>
    <t>Brenda Bedell</t>
  </si>
  <si>
    <t>Karen Maglicco</t>
  </si>
  <si>
    <t>Denise Talton</t>
  </si>
  <si>
    <t>Nancy Goetz</t>
  </si>
  <si>
    <t>Altantuul Gonchig</t>
  </si>
  <si>
    <t>Anthony Rettaliata</t>
  </si>
  <si>
    <t>Munkhjargal Zagd</t>
  </si>
  <si>
    <t>Christine B Anderson</t>
  </si>
  <si>
    <t>Christine Guglielmo</t>
  </si>
  <si>
    <t>Christina Rohrbaugh</t>
  </si>
  <si>
    <t>Toni Garefalos</t>
  </si>
  <si>
    <t>Lorelea L Matheny</t>
  </si>
  <si>
    <t>Karen Smith</t>
  </si>
  <si>
    <t>Gregory R Simington</t>
  </si>
  <si>
    <t>Barbara Ostala</t>
  </si>
  <si>
    <t>April Powers</t>
  </si>
  <si>
    <t>Thomas Powers</t>
  </si>
  <si>
    <t>GREG  TEIPEL</t>
  </si>
  <si>
    <t>MICHAEL  DUNAVANT</t>
  </si>
  <si>
    <t>CAROL  FOLEY</t>
  </si>
  <si>
    <t>ANNE MARIE  KOZACHECK</t>
  </si>
  <si>
    <t>RYAN  CALTAGIRONE</t>
  </si>
  <si>
    <t>JAMES  ALLEN</t>
  </si>
  <si>
    <t>MATTHEW  DAUGHERTY</t>
  </si>
  <si>
    <t>VICTOR  FUENTES</t>
  </si>
  <si>
    <t>JO MICHELLE  LAUDER</t>
  </si>
  <si>
    <t>NICOLE  TOA</t>
  </si>
  <si>
    <t>NASANDELGER  ZANA</t>
  </si>
  <si>
    <t>WILLIAM  PEPPLER</t>
  </si>
  <si>
    <t>GARY  PORTUGAL</t>
  </si>
  <si>
    <t>FRANK  LISKOVEC</t>
  </si>
  <si>
    <t>MICHELLE  STASKO</t>
  </si>
  <si>
    <t>COLLEEN  FINNIGAN</t>
  </si>
  <si>
    <t>JACOB  YALE</t>
  </si>
  <si>
    <t>ADAM  RICHTER</t>
  </si>
  <si>
    <t>DALE  WALENGA</t>
  </si>
  <si>
    <t>Med Supp MD/NJ/TN/VA/WY Ages 65-83</t>
  </si>
  <si>
    <t>Med Supp IL/DE/TX/IN Ages 65-83</t>
  </si>
  <si>
    <t>Med Supp OR Plans H.D F, H.D G, and N All Ages NB, Internal &amp; External Replacements</t>
  </si>
  <si>
    <t>Medicare Supp- PA All Plans Except H.D F, H.D G, and Plan N New Business</t>
  </si>
  <si>
    <t>Medicare Supp- PA Plans High Deductible F,G,&amp;N 65+</t>
  </si>
  <si>
    <t>2024 Final Expense: Level Product Commission Ages 45-80</t>
  </si>
  <si>
    <t>Term Life Express</t>
  </si>
  <si>
    <t>IUL express</t>
  </si>
  <si>
    <t>Universal Life</t>
  </si>
  <si>
    <t>Living Promise Graded</t>
  </si>
  <si>
    <t>FEX Level Ages 45-80</t>
  </si>
  <si>
    <t>2024 Term Life Express: IXEXP1 Term Life Conversion to IUL in years 6+ of term issue date</t>
  </si>
  <si>
    <t>Term Life Express 10 Year</t>
  </si>
  <si>
    <t>National Dental</t>
  </si>
  <si>
    <t>Med Supp MD/NJ/TN/VA/WY Ages 65-83 2025</t>
  </si>
  <si>
    <t>Hospital Indemnity All Ages</t>
  </si>
  <si>
    <t>MD HD F,G,N</t>
  </si>
  <si>
    <t>Medicare Supp- PA All Plans</t>
  </si>
  <si>
    <t>AE</t>
  </si>
  <si>
    <t>AV1</t>
  </si>
  <si>
    <t>AV</t>
  </si>
  <si>
    <t>19278370old</t>
  </si>
  <si>
    <t>18710070N</t>
  </si>
  <si>
    <t>Kendall Gillespie</t>
  </si>
  <si>
    <t>Pamela Deaton</t>
  </si>
  <si>
    <t>Term Life Answer 10 15 20 30</t>
  </si>
  <si>
    <t>Donna K Milbourne</t>
  </si>
  <si>
    <t>Mark B Haskins</t>
  </si>
  <si>
    <t>Hulan Shagdarsuren</t>
  </si>
  <si>
    <t>Richard Frazier Jr</t>
  </si>
  <si>
    <t>Michael Russ</t>
  </si>
  <si>
    <t>Kimberly Dresser</t>
  </si>
  <si>
    <t>Gordon Johnson Jr</t>
  </si>
  <si>
    <t>Christopher Nelson</t>
  </si>
  <si>
    <t>Sandy Coleman</t>
  </si>
  <si>
    <t>Otniel Morilla</t>
  </si>
  <si>
    <t>20220688AV9</t>
  </si>
  <si>
    <t>STEVEN  BRANDT</t>
  </si>
  <si>
    <t>Hospital Indemnity CO, DC, FL, IN, KY, MI, ND, OH, SC, TN, UT, VA</t>
  </si>
  <si>
    <t>Duplicate</t>
  </si>
  <si>
    <t>8244481AV9</t>
  </si>
  <si>
    <t>RN</t>
  </si>
  <si>
    <t>NB</t>
  </si>
  <si>
    <t>CHAS CI, MD, MA, NJ, NY, SD WA</t>
  </si>
  <si>
    <t>MOO OH Plans High Ded F G &amp; N Ages 65-80</t>
  </si>
  <si>
    <t>Term Life Answers 10 Year Term</t>
  </si>
  <si>
    <t>Final Expense: Level Product Commission Ages 45-80</t>
  </si>
  <si>
    <t>CB</t>
  </si>
  <si>
    <t>Did not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</si>
</sst>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\ \ \ \ \ \ \ \ \ \ \ \ \ \ \ \ \ \ \ \ "/>
    <numFmt numFmtId="165" formatCode="#,##0.00000"/>
  </numFmts>
  <fonts count="3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8" fontId="1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8" fontId="1" fillId="2" borderId="0" xfId="0" applyNumberFormat="1" applyFont="1" applyFill="1"/>
    <xf numFmtId="4" fontId="1" fillId="2" borderId="0" xfId="0" applyNumberFormat="1" applyFont="1" applyFill="1"/>
    <xf numFmtId="165" fontId="1" fillId="2" borderId="0" xfId="0" applyNumberFormat="1" applyFont="1" applyFill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8" fontId="1" fillId="3" borderId="0" xfId="0" applyNumberFormat="1" applyFont="1" applyFill="1"/>
    <xf numFmtId="4" fontId="1" fillId="3" borderId="0" xfId="0" applyNumberFormat="1" applyFont="1" applyFill="1"/>
    <xf numFmtId="165" fontId="1" fillId="3" borderId="0" xfId="0" applyNumberFormat="1" applyFont="1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8" fontId="1" fillId="4" borderId="0" xfId="0" applyNumberFormat="1" applyFont="1" applyFill="1"/>
    <xf numFmtId="4" fontId="1" fillId="4" borderId="0" xfId="0" applyNumberFormat="1" applyFont="1" applyFill="1"/>
    <xf numFmtId="165" fontId="1" fillId="4" borderId="0" xfId="0" applyNumberFormat="1" applyFont="1" applyFill="1"/>
    <xf numFmtId="0" fontId="1" fillId="5" borderId="0" xfId="0" applyFont="1" applyFill="1"/>
    <xf numFmtId="0" fontId="1" fillId="5" borderId="0" xfId="0" applyFont="1" applyFill="1" applyAlignment="1">
      <alignment horizontal="left"/>
    </xf>
    <xf numFmtId="8" fontId="1" fillId="5" borderId="0" xfId="0" applyNumberFormat="1" applyFont="1" applyFill="1"/>
    <xf numFmtId="4" fontId="1" fillId="5" borderId="0" xfId="0" applyNumberFormat="1" applyFont="1" applyFill="1"/>
    <xf numFmtId="165" fontId="1" fillId="5" borderId="0" xfId="0" applyNumberFormat="1" applyFont="1" applyFill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8" fontId="1" fillId="0" borderId="0" xfId="0" applyNumberFormat="1" applyFont="1" applyFill="1"/>
    <xf numFmtId="4" fontId="1" fillId="0" borderId="0" xfId="0" applyNumberFormat="1" applyFont="1" applyFill="1"/>
    <xf numFmtId="165" fontId="1" fillId="0" borderId="0" xfId="0" applyNumberFormat="1" applyFont="1" applyFill="1"/>
    <xf numFmtId="0" fontId="2" fillId="0" borderId="0" xfId="0" applyFont="1" applyAlignment="1">
      <alignment horizontal="left" vertical="center"/>
    </xf>
    <xf numFmtId="14" fontId="1" fillId="2" borderId="0" xfId="0" applyNumberFormat="1" applyFont="1" applyFill="1" applyAlignment="1">
      <alignment horizontal="left"/>
    </xf>
    <xf numFmtId="14" fontId="1" fillId="3" borderId="0" xfId="0" applyNumberFormat="1" applyFont="1" applyFill="1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3"/>
  <sheetViews>
    <sheetView showGridLines="0" workbookViewId="0">
      <selection activeCell="Z1" sqref="Z1"/>
    </sheetView>
  </sheetViews>
  <sheetFormatPr defaultRowHeight="14.25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>
      <c r="A2" s="23" t="s">
        <v>0</v>
      </c>
      <c r="B2" s="24"/>
      <c r="C2" s="24"/>
    </row>
    <row r="3" spans="1:3">
      <c r="A3" s="23" t="s">
        <v>1</v>
      </c>
      <c r="B3" s="24"/>
      <c r="C3" s="24"/>
    </row>
    <row r="4" spans="1:3">
      <c r="A4" s="23" t="s">
        <v>2</v>
      </c>
      <c r="B4" s="24"/>
      <c r="C4" s="24"/>
    </row>
    <row r="7" spans="1:3">
      <c r="A7" s="1" t="s">
        <v>3</v>
      </c>
    </row>
    <row r="10" spans="1:3">
      <c r="A10" s="1" t="s">
        <v>4</v>
      </c>
    </row>
    <row r="12" spans="1:3">
      <c r="A12" s="3"/>
      <c r="B12" s="21" t="s">
        <v>5</v>
      </c>
      <c r="C12" s="22"/>
    </row>
    <row r="13" spans="1:3">
      <c r="A13" s="4"/>
      <c r="B13" s="5" t="s">
        <v>6</v>
      </c>
      <c r="C13" s="5" t="s">
        <v>7</v>
      </c>
    </row>
    <row r="14" spans="1:3">
      <c r="A14" s="3" t="s">
        <v>8</v>
      </c>
      <c r="B14" s="7"/>
      <c r="C14" s="7">
        <v>0</v>
      </c>
    </row>
    <row r="15" spans="1:3">
      <c r="A15" s="2" t="s">
        <v>9</v>
      </c>
      <c r="B15" s="8"/>
      <c r="C15" s="8"/>
    </row>
    <row r="16" spans="1:3">
      <c r="A16" s="2"/>
      <c r="B16" s="8"/>
      <c r="C16" s="8"/>
    </row>
    <row r="17" spans="1:3">
      <c r="A17" s="2" t="s">
        <v>10</v>
      </c>
      <c r="B17" s="8"/>
      <c r="C17" s="8"/>
    </row>
    <row r="18" spans="1:3">
      <c r="A18" s="2" t="s">
        <v>11</v>
      </c>
      <c r="B18" s="8"/>
      <c r="C18" s="8"/>
    </row>
    <row r="19" spans="1:3">
      <c r="A19" s="2" t="s">
        <v>12</v>
      </c>
      <c r="B19" s="8">
        <v>173.36</v>
      </c>
      <c r="C19" s="8"/>
    </row>
    <row r="20" spans="1:3">
      <c r="A20" s="2" t="s">
        <v>13</v>
      </c>
      <c r="B20" s="8">
        <v>9.91</v>
      </c>
      <c r="C20" s="8"/>
    </row>
    <row r="21" spans="1:3">
      <c r="A21" s="2"/>
      <c r="B21" s="8"/>
      <c r="C21" s="8"/>
    </row>
    <row r="22" spans="1:3">
      <c r="A22" s="2" t="s">
        <v>14</v>
      </c>
      <c r="B22" s="8"/>
      <c r="C22" s="8"/>
    </row>
    <row r="23" spans="1:3">
      <c r="A23" s="2" t="s">
        <v>11</v>
      </c>
      <c r="B23" s="8"/>
      <c r="C23" s="8"/>
    </row>
    <row r="24" spans="1:3">
      <c r="A24" s="2" t="s">
        <v>12</v>
      </c>
      <c r="B24" s="8">
        <v>11836.61</v>
      </c>
      <c r="C24" s="8"/>
    </row>
    <row r="25" spans="1:3">
      <c r="A25" s="2" t="s">
        <v>13</v>
      </c>
      <c r="B25" s="8">
        <v>204.21</v>
      </c>
      <c r="C25" s="8"/>
    </row>
    <row r="26" spans="1:3">
      <c r="A26" s="2"/>
      <c r="B26" s="8"/>
      <c r="C26" s="8"/>
    </row>
    <row r="27" spans="1:3">
      <c r="A27" s="2" t="s">
        <v>15</v>
      </c>
      <c r="B27" s="8"/>
      <c r="C27" s="8"/>
    </row>
    <row r="28" spans="1:3">
      <c r="A28" s="2" t="s">
        <v>11</v>
      </c>
      <c r="B28" s="8"/>
      <c r="C28" s="8"/>
    </row>
    <row r="29" spans="1:3">
      <c r="A29" s="2" t="s">
        <v>12</v>
      </c>
      <c r="B29" s="8">
        <v>-28.78</v>
      </c>
      <c r="C29" s="8"/>
    </row>
    <row r="30" spans="1:3">
      <c r="A30" s="2" t="s">
        <v>13</v>
      </c>
      <c r="B30" s="8">
        <v>28.78</v>
      </c>
      <c r="C30" s="8"/>
    </row>
    <row r="31" spans="1:3">
      <c r="A31" s="2"/>
      <c r="B31" s="8"/>
      <c r="C31" s="8"/>
    </row>
    <row r="32" spans="1:3">
      <c r="A32" s="2" t="s">
        <v>16</v>
      </c>
      <c r="B32" s="8"/>
      <c r="C32" s="8"/>
    </row>
    <row r="33" spans="1:3">
      <c r="A33" s="2" t="s">
        <v>11</v>
      </c>
      <c r="B33" s="8"/>
      <c r="C33" s="8"/>
    </row>
    <row r="34" spans="1:3">
      <c r="A34" s="2" t="s">
        <v>12</v>
      </c>
      <c r="B34" s="8">
        <v>137.94</v>
      </c>
      <c r="C34" s="8"/>
    </row>
    <row r="35" spans="1:3">
      <c r="A35" s="2" t="s">
        <v>13</v>
      </c>
      <c r="B35" s="8">
        <v>190.61</v>
      </c>
      <c r="C35" s="8"/>
    </row>
    <row r="36" spans="1:3">
      <c r="A36" s="2"/>
      <c r="B36" s="8"/>
      <c r="C36" s="8"/>
    </row>
    <row r="37" spans="1:3">
      <c r="A37" s="2" t="s">
        <v>17</v>
      </c>
      <c r="B37" s="8"/>
      <c r="C37" s="8"/>
    </row>
    <row r="38" spans="1:3">
      <c r="A38" s="2" t="s">
        <v>11</v>
      </c>
      <c r="B38" s="8"/>
      <c r="C38" s="8"/>
    </row>
    <row r="39" spans="1:3">
      <c r="A39" s="2" t="s">
        <v>12</v>
      </c>
      <c r="B39" s="8">
        <v>35.53</v>
      </c>
      <c r="C39" s="8"/>
    </row>
    <row r="40" spans="1:3">
      <c r="A40" s="2"/>
      <c r="B40" s="8"/>
      <c r="C40" s="8"/>
    </row>
    <row r="41" spans="1:3">
      <c r="A41" s="2" t="s">
        <v>18</v>
      </c>
      <c r="B41" s="8"/>
      <c r="C41" s="8">
        <v>12588.17</v>
      </c>
    </row>
    <row r="42" spans="1:3">
      <c r="A42" s="2"/>
      <c r="B42" s="8"/>
      <c r="C42" s="8"/>
    </row>
    <row r="43" spans="1:3">
      <c r="A43" s="2" t="s">
        <v>19</v>
      </c>
      <c r="B43" s="8"/>
      <c r="C43" s="8"/>
    </row>
    <row r="44" spans="1:3">
      <c r="A44" s="2"/>
      <c r="B44" s="8"/>
      <c r="C44" s="8"/>
    </row>
    <row r="45" spans="1:3">
      <c r="A45" s="2" t="s">
        <v>10</v>
      </c>
      <c r="B45" s="8">
        <v>-183.27</v>
      </c>
      <c r="C45" s="8"/>
    </row>
    <row r="46" spans="1:3">
      <c r="A46" s="2" t="s">
        <v>14</v>
      </c>
      <c r="B46" s="8">
        <v>-12040.82</v>
      </c>
      <c r="C46" s="8"/>
    </row>
    <row r="47" spans="1:3">
      <c r="A47" s="2" t="s">
        <v>16</v>
      </c>
      <c r="B47" s="8">
        <v>-328.55</v>
      </c>
      <c r="C47" s="8"/>
    </row>
    <row r="48" spans="1:3">
      <c r="A48" s="2" t="s">
        <v>17</v>
      </c>
      <c r="B48" s="8">
        <v>-35.53</v>
      </c>
      <c r="C48" s="8"/>
    </row>
    <row r="49" spans="1:3">
      <c r="A49" s="2"/>
      <c r="B49" s="8"/>
      <c r="C49" s="8"/>
    </row>
    <row r="50" spans="1:3">
      <c r="A50" s="2" t="s">
        <v>20</v>
      </c>
      <c r="B50" s="8"/>
      <c r="C50" s="8">
        <v>-12588.17</v>
      </c>
    </row>
    <row r="51" spans="1:3">
      <c r="A51" s="2" t="s">
        <v>21</v>
      </c>
      <c r="B51" s="8"/>
      <c r="C51" s="8">
        <v>0</v>
      </c>
    </row>
    <row r="52" spans="1:3">
      <c r="A52" s="2"/>
      <c r="B52" s="8"/>
      <c r="C52" s="8"/>
    </row>
    <row r="53" spans="1:3">
      <c r="A53" s="4"/>
      <c r="B53" s="9"/>
      <c r="C53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6"/>
  <sheetViews>
    <sheetView workbookViewId="0">
      <pane ySplit="1" topLeftCell="A2" activePane="bottomLeft" state="frozen"/>
      <selection pane="bottomLeft" sqref="A1:XFD1048576"/>
    </sheetView>
  </sheetViews>
  <sheetFormatPr defaultRowHeight="14.25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</row>
    <row r="2" spans="1:24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1" t="s">
        <v>57</v>
      </c>
      <c r="M2" s="1" t="s">
        <v>58</v>
      </c>
      <c r="N2" s="1" t="s">
        <v>59</v>
      </c>
      <c r="O2" s="1" t="s">
        <v>60</v>
      </c>
      <c r="P2" s="1">
        <v>0</v>
      </c>
      <c r="Q2" s="12">
        <v>599.73</v>
      </c>
      <c r="R2" s="1" t="s">
        <v>61</v>
      </c>
      <c r="S2" s="1" t="s">
        <v>62</v>
      </c>
      <c r="T2" s="6" t="s">
        <v>63</v>
      </c>
      <c r="U2" s="13">
        <v>0.23</v>
      </c>
      <c r="V2" s="12">
        <v>137.94</v>
      </c>
      <c r="W2" s="12">
        <v>0</v>
      </c>
      <c r="X2" s="1" t="s">
        <v>57</v>
      </c>
    </row>
    <row r="3" spans="1:24">
      <c r="A3" s="1" t="s">
        <v>64</v>
      </c>
      <c r="B3" s="1" t="s">
        <v>47</v>
      </c>
      <c r="C3" s="1" t="s">
        <v>48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70</v>
      </c>
      <c r="J3" s="1" t="s">
        <v>71</v>
      </c>
      <c r="K3" s="1" t="s">
        <v>72</v>
      </c>
      <c r="L3" s="11" t="s">
        <v>57</v>
      </c>
      <c r="M3" s="1" t="s">
        <v>73</v>
      </c>
      <c r="N3" s="1" t="s">
        <v>74</v>
      </c>
      <c r="O3" s="1" t="s">
        <v>75</v>
      </c>
      <c r="P3" s="1">
        <v>0</v>
      </c>
      <c r="Q3" s="12">
        <v>134.08000000000001</v>
      </c>
      <c r="R3" s="1" t="s">
        <v>61</v>
      </c>
      <c r="S3" s="1" t="s">
        <v>76</v>
      </c>
      <c r="T3" s="6" t="s">
        <v>63</v>
      </c>
      <c r="U3" s="13">
        <v>0.26500000000000001</v>
      </c>
      <c r="V3" s="12">
        <v>35.53</v>
      </c>
      <c r="W3" s="12">
        <v>0</v>
      </c>
      <c r="X3" s="1" t="s">
        <v>57</v>
      </c>
    </row>
    <row r="4" spans="1:24">
      <c r="A4" s="1" t="s">
        <v>46</v>
      </c>
      <c r="B4" s="1" t="s">
        <v>47</v>
      </c>
      <c r="C4" s="1" t="s">
        <v>77</v>
      </c>
      <c r="D4" s="1" t="s">
        <v>78</v>
      </c>
      <c r="E4" s="1" t="s">
        <v>79</v>
      </c>
      <c r="F4" s="1" t="s">
        <v>80</v>
      </c>
      <c r="G4" s="1" t="s">
        <v>52</v>
      </c>
      <c r="H4" s="1" t="s">
        <v>81</v>
      </c>
      <c r="I4" s="1" t="s">
        <v>54</v>
      </c>
      <c r="J4" s="1" t="s">
        <v>82</v>
      </c>
      <c r="K4" s="1" t="s">
        <v>71</v>
      </c>
      <c r="L4" s="11" t="s">
        <v>57</v>
      </c>
      <c r="M4" s="1" t="s">
        <v>73</v>
      </c>
      <c r="N4" s="1" t="s">
        <v>74</v>
      </c>
      <c r="O4" s="1" t="s">
        <v>75</v>
      </c>
      <c r="P4" s="1">
        <v>0</v>
      </c>
      <c r="Q4" s="12">
        <v>128.66999999999999</v>
      </c>
      <c r="R4" s="1" t="s">
        <v>83</v>
      </c>
      <c r="S4" s="1" t="s">
        <v>84</v>
      </c>
      <c r="T4" s="6" t="s">
        <v>63</v>
      </c>
      <c r="U4" s="13">
        <v>0.23</v>
      </c>
      <c r="V4" s="12">
        <v>29.59</v>
      </c>
      <c r="W4" s="12">
        <v>0</v>
      </c>
      <c r="X4" s="1" t="s">
        <v>57</v>
      </c>
    </row>
    <row r="5" spans="1:24">
      <c r="A5" s="1" t="s">
        <v>46</v>
      </c>
      <c r="B5" s="1" t="s">
        <v>47</v>
      </c>
      <c r="C5" s="1" t="s">
        <v>77</v>
      </c>
      <c r="D5" s="1" t="s">
        <v>78</v>
      </c>
      <c r="E5" s="1" t="s">
        <v>85</v>
      </c>
      <c r="F5" s="1" t="s">
        <v>86</v>
      </c>
      <c r="G5" s="1" t="s">
        <v>52</v>
      </c>
      <c r="H5" s="1" t="s">
        <v>87</v>
      </c>
      <c r="I5" s="1" t="s">
        <v>54</v>
      </c>
      <c r="J5" s="1" t="s">
        <v>88</v>
      </c>
      <c r="K5" s="1" t="s">
        <v>71</v>
      </c>
      <c r="L5" s="11" t="s">
        <v>57</v>
      </c>
      <c r="M5" s="1" t="s">
        <v>73</v>
      </c>
      <c r="N5" s="1" t="s">
        <v>74</v>
      </c>
      <c r="O5" s="1" t="s">
        <v>75</v>
      </c>
      <c r="P5" s="1">
        <v>0</v>
      </c>
      <c r="Q5" s="12">
        <v>150.41</v>
      </c>
      <c r="R5" s="1" t="s">
        <v>83</v>
      </c>
      <c r="S5" s="1" t="s">
        <v>84</v>
      </c>
      <c r="T5" s="6" t="s">
        <v>63</v>
      </c>
      <c r="U5" s="13">
        <v>0.23</v>
      </c>
      <c r="V5" s="12">
        <v>34.590000000000003</v>
      </c>
      <c r="W5" s="12">
        <v>0</v>
      </c>
      <c r="X5" s="1" t="s">
        <v>57</v>
      </c>
    </row>
    <row r="6" spans="1:24">
      <c r="A6" s="1" t="s">
        <v>46</v>
      </c>
      <c r="B6" s="1" t="s">
        <v>47</v>
      </c>
      <c r="C6" s="1" t="s">
        <v>77</v>
      </c>
      <c r="D6" s="1" t="s">
        <v>78</v>
      </c>
      <c r="E6" s="1" t="s">
        <v>89</v>
      </c>
      <c r="F6" s="1" t="s">
        <v>90</v>
      </c>
      <c r="G6" s="1" t="s">
        <v>52</v>
      </c>
      <c r="H6" s="1" t="s">
        <v>81</v>
      </c>
      <c r="I6" s="1" t="s">
        <v>54</v>
      </c>
      <c r="J6" s="1" t="s">
        <v>88</v>
      </c>
      <c r="K6" s="1" t="s">
        <v>71</v>
      </c>
      <c r="L6" s="11" t="s">
        <v>57</v>
      </c>
      <c r="M6" s="1" t="s">
        <v>73</v>
      </c>
      <c r="N6" s="1" t="s">
        <v>74</v>
      </c>
      <c r="O6" s="1" t="s">
        <v>75</v>
      </c>
      <c r="P6" s="1">
        <v>0</v>
      </c>
      <c r="Q6" s="12">
        <v>128.66999999999999</v>
      </c>
      <c r="R6" s="1" t="s">
        <v>83</v>
      </c>
      <c r="S6" s="1" t="s">
        <v>84</v>
      </c>
      <c r="T6" s="6" t="s">
        <v>63</v>
      </c>
      <c r="U6" s="13">
        <v>0.23</v>
      </c>
      <c r="V6" s="12">
        <v>29.59</v>
      </c>
      <c r="W6" s="12">
        <v>0</v>
      </c>
      <c r="X6" s="1" t="s">
        <v>57</v>
      </c>
    </row>
    <row r="7" spans="1:24">
      <c r="A7" s="1" t="s">
        <v>46</v>
      </c>
      <c r="B7" s="1" t="s">
        <v>47</v>
      </c>
      <c r="C7" s="1" t="s">
        <v>77</v>
      </c>
      <c r="D7" s="1" t="s">
        <v>78</v>
      </c>
      <c r="E7" s="1" t="s">
        <v>91</v>
      </c>
      <c r="F7" s="1" t="s">
        <v>92</v>
      </c>
      <c r="G7" s="1" t="s">
        <v>52</v>
      </c>
      <c r="H7" s="1" t="s">
        <v>87</v>
      </c>
      <c r="I7" s="1" t="s">
        <v>54</v>
      </c>
      <c r="J7" s="1" t="s">
        <v>93</v>
      </c>
      <c r="K7" s="1" t="s">
        <v>71</v>
      </c>
      <c r="L7" s="11" t="s">
        <v>57</v>
      </c>
      <c r="M7" s="1" t="s">
        <v>73</v>
      </c>
      <c r="N7" s="1" t="s">
        <v>74</v>
      </c>
      <c r="O7" s="1" t="s">
        <v>75</v>
      </c>
      <c r="P7" s="1">
        <v>0</v>
      </c>
      <c r="Q7" s="12">
        <v>129.38999999999999</v>
      </c>
      <c r="R7" s="1" t="s">
        <v>83</v>
      </c>
      <c r="S7" s="1" t="s">
        <v>84</v>
      </c>
      <c r="T7" s="6" t="s">
        <v>63</v>
      </c>
      <c r="U7" s="13">
        <v>0.23</v>
      </c>
      <c r="V7" s="12">
        <v>29.76</v>
      </c>
      <c r="W7" s="12">
        <v>0</v>
      </c>
      <c r="X7" s="1" t="s">
        <v>57</v>
      </c>
    </row>
    <row r="8" spans="1:24">
      <c r="A8" s="1" t="s">
        <v>46</v>
      </c>
      <c r="B8" s="1" t="s">
        <v>47</v>
      </c>
      <c r="C8" s="1" t="s">
        <v>77</v>
      </c>
      <c r="D8" s="1" t="s">
        <v>78</v>
      </c>
      <c r="E8" s="1" t="s">
        <v>94</v>
      </c>
      <c r="F8" s="1" t="s">
        <v>95</v>
      </c>
      <c r="G8" s="1" t="s">
        <v>52</v>
      </c>
      <c r="H8" s="1" t="s">
        <v>69</v>
      </c>
      <c r="I8" s="1" t="s">
        <v>54</v>
      </c>
      <c r="J8" s="1" t="s">
        <v>96</v>
      </c>
      <c r="K8" s="1" t="s">
        <v>71</v>
      </c>
      <c r="L8" s="11" t="s">
        <v>57</v>
      </c>
      <c r="M8" s="1" t="s">
        <v>73</v>
      </c>
      <c r="N8" s="1" t="s">
        <v>74</v>
      </c>
      <c r="O8" s="1" t="s">
        <v>75</v>
      </c>
      <c r="P8" s="1">
        <v>0</v>
      </c>
      <c r="Q8" s="12">
        <v>129.38999999999999</v>
      </c>
      <c r="R8" s="1" t="s">
        <v>83</v>
      </c>
      <c r="S8" s="1" t="s">
        <v>84</v>
      </c>
      <c r="T8" s="6" t="s">
        <v>63</v>
      </c>
      <c r="U8" s="13">
        <v>0.23</v>
      </c>
      <c r="V8" s="12">
        <v>29.76</v>
      </c>
      <c r="W8" s="12">
        <v>0</v>
      </c>
      <c r="X8" s="1" t="s">
        <v>57</v>
      </c>
    </row>
    <row r="9" spans="1:24">
      <c r="A9" s="1" t="s">
        <v>46</v>
      </c>
      <c r="B9" s="1" t="s">
        <v>47</v>
      </c>
      <c r="C9" s="1" t="s">
        <v>77</v>
      </c>
      <c r="D9" s="1" t="s">
        <v>49</v>
      </c>
      <c r="E9" s="1" t="s">
        <v>97</v>
      </c>
      <c r="F9" s="1" t="s">
        <v>98</v>
      </c>
      <c r="G9" s="1" t="s">
        <v>52</v>
      </c>
      <c r="H9" s="1" t="s">
        <v>69</v>
      </c>
      <c r="I9" s="1" t="s">
        <v>54</v>
      </c>
      <c r="J9" s="1" t="s">
        <v>99</v>
      </c>
      <c r="K9" s="1" t="s">
        <v>71</v>
      </c>
      <c r="L9" s="11" t="s">
        <v>57</v>
      </c>
      <c r="M9" s="1" t="s">
        <v>73</v>
      </c>
      <c r="N9" s="1" t="s">
        <v>74</v>
      </c>
      <c r="O9" s="1" t="s">
        <v>75</v>
      </c>
      <c r="P9" s="1">
        <v>0</v>
      </c>
      <c r="Q9" s="12">
        <v>162.27000000000001</v>
      </c>
      <c r="R9" s="1" t="s">
        <v>83</v>
      </c>
      <c r="S9" s="1" t="s">
        <v>84</v>
      </c>
      <c r="T9" s="6" t="s">
        <v>63</v>
      </c>
      <c r="U9" s="13">
        <v>0.23</v>
      </c>
      <c r="V9" s="12">
        <v>37.32</v>
      </c>
      <c r="W9" s="12">
        <v>0</v>
      </c>
      <c r="X9" s="1" t="s">
        <v>57</v>
      </c>
    </row>
    <row r="10" spans="1:24">
      <c r="A10" s="1" t="s">
        <v>100</v>
      </c>
      <c r="B10" s="1" t="s">
        <v>47</v>
      </c>
      <c r="C10" s="1" t="s">
        <v>77</v>
      </c>
      <c r="D10" s="1" t="s">
        <v>101</v>
      </c>
      <c r="E10" s="1" t="s">
        <v>102</v>
      </c>
      <c r="F10" s="1" t="s">
        <v>103</v>
      </c>
      <c r="G10" s="1" t="s">
        <v>104</v>
      </c>
      <c r="H10" s="1" t="s">
        <v>69</v>
      </c>
      <c r="I10" s="1" t="s">
        <v>105</v>
      </c>
      <c r="J10" s="1" t="s">
        <v>82</v>
      </c>
      <c r="K10" s="1" t="s">
        <v>106</v>
      </c>
      <c r="L10" s="11" t="s">
        <v>57</v>
      </c>
      <c r="M10" s="1" t="s">
        <v>73</v>
      </c>
      <c r="N10" s="1" t="s">
        <v>59</v>
      </c>
      <c r="O10" s="1" t="s">
        <v>75</v>
      </c>
      <c r="P10" s="1">
        <v>0</v>
      </c>
      <c r="Q10" s="12">
        <v>-127.91</v>
      </c>
      <c r="R10" s="1" t="s">
        <v>61</v>
      </c>
      <c r="S10" s="1" t="s">
        <v>107</v>
      </c>
      <c r="T10" s="6" t="s">
        <v>63</v>
      </c>
      <c r="U10" s="13">
        <v>0.22500000000000001</v>
      </c>
      <c r="V10" s="12">
        <v>-28.78</v>
      </c>
      <c r="W10" s="12">
        <v>0</v>
      </c>
      <c r="X10" s="1" t="s">
        <v>57</v>
      </c>
    </row>
    <row r="11" spans="1:24">
      <c r="A11" s="1" t="s">
        <v>100</v>
      </c>
      <c r="B11" s="1" t="s">
        <v>47</v>
      </c>
      <c r="C11" s="1" t="s">
        <v>77</v>
      </c>
      <c r="D11" s="1" t="s">
        <v>101</v>
      </c>
      <c r="E11" s="1" t="s">
        <v>102</v>
      </c>
      <c r="F11" s="1" t="s">
        <v>103</v>
      </c>
      <c r="G11" s="1" t="s">
        <v>104</v>
      </c>
      <c r="H11" s="1" t="s">
        <v>69</v>
      </c>
      <c r="I11" s="1" t="s">
        <v>105</v>
      </c>
      <c r="J11" s="1" t="s">
        <v>82</v>
      </c>
      <c r="K11" s="1" t="s">
        <v>106</v>
      </c>
      <c r="L11" s="11" t="s">
        <v>57</v>
      </c>
      <c r="M11" s="1" t="s">
        <v>73</v>
      </c>
      <c r="N11" s="1" t="s">
        <v>59</v>
      </c>
      <c r="O11" s="1" t="s">
        <v>75</v>
      </c>
      <c r="P11" s="1">
        <v>0</v>
      </c>
      <c r="Q11" s="12">
        <v>127.91</v>
      </c>
      <c r="R11" s="1" t="s">
        <v>83</v>
      </c>
      <c r="S11" s="1" t="s">
        <v>84</v>
      </c>
      <c r="T11" s="6" t="s">
        <v>63</v>
      </c>
      <c r="U11" s="13">
        <v>0.22500000000000001</v>
      </c>
      <c r="V11" s="12">
        <v>28.78</v>
      </c>
      <c r="W11" s="12">
        <v>0</v>
      </c>
      <c r="X11" s="1" t="s">
        <v>57</v>
      </c>
    </row>
    <row r="12" spans="1:24">
      <c r="A12" s="1" t="s">
        <v>108</v>
      </c>
      <c r="B12" s="1" t="s">
        <v>47</v>
      </c>
      <c r="C12" s="1" t="s">
        <v>77</v>
      </c>
      <c r="D12" s="1" t="s">
        <v>109</v>
      </c>
      <c r="E12" s="1" t="s">
        <v>110</v>
      </c>
      <c r="F12" s="1" t="s">
        <v>111</v>
      </c>
      <c r="G12" s="1" t="s">
        <v>112</v>
      </c>
      <c r="H12" s="1" t="s">
        <v>53</v>
      </c>
      <c r="I12" s="1" t="s">
        <v>113</v>
      </c>
      <c r="J12" s="1" t="s">
        <v>114</v>
      </c>
      <c r="K12" s="1" t="s">
        <v>71</v>
      </c>
      <c r="L12" s="11" t="s">
        <v>57</v>
      </c>
      <c r="M12" s="1" t="s">
        <v>73</v>
      </c>
      <c r="N12" s="1" t="s">
        <v>74</v>
      </c>
      <c r="O12" s="1" t="s">
        <v>75</v>
      </c>
      <c r="P12" s="1">
        <v>0</v>
      </c>
      <c r="Q12" s="12">
        <v>104.05</v>
      </c>
      <c r="R12" s="1" t="s">
        <v>83</v>
      </c>
      <c r="S12" s="1" t="s">
        <v>84</v>
      </c>
      <c r="T12" s="6" t="s">
        <v>63</v>
      </c>
      <c r="U12" s="13">
        <v>1.2500000000000001E-2</v>
      </c>
      <c r="V12" s="12">
        <v>1.3</v>
      </c>
      <c r="W12" s="12">
        <v>0</v>
      </c>
      <c r="X12" s="1" t="s">
        <v>57</v>
      </c>
    </row>
    <row r="13" spans="1:24">
      <c r="A13" s="1" t="s">
        <v>108</v>
      </c>
      <c r="B13" s="1" t="s">
        <v>47</v>
      </c>
      <c r="C13" s="1" t="s">
        <v>77</v>
      </c>
      <c r="D13" s="1" t="s">
        <v>109</v>
      </c>
      <c r="E13" s="1" t="s">
        <v>115</v>
      </c>
      <c r="F13" s="1" t="s">
        <v>116</v>
      </c>
      <c r="G13" s="1" t="s">
        <v>112</v>
      </c>
      <c r="H13" s="1" t="s">
        <v>81</v>
      </c>
      <c r="I13" s="1" t="s">
        <v>117</v>
      </c>
      <c r="J13" s="1" t="s">
        <v>96</v>
      </c>
      <c r="K13" s="1" t="s">
        <v>71</v>
      </c>
      <c r="L13" s="11" t="s">
        <v>57</v>
      </c>
      <c r="M13" s="1" t="s">
        <v>73</v>
      </c>
      <c r="N13" s="1" t="s">
        <v>74</v>
      </c>
      <c r="O13" s="1" t="s">
        <v>75</v>
      </c>
      <c r="P13" s="1">
        <v>0</v>
      </c>
      <c r="Q13" s="12">
        <v>70.67</v>
      </c>
      <c r="R13" s="1" t="s">
        <v>83</v>
      </c>
      <c r="S13" s="1" t="s">
        <v>84</v>
      </c>
      <c r="T13" s="6" t="s">
        <v>63</v>
      </c>
      <c r="U13" s="13">
        <v>0.255</v>
      </c>
      <c r="V13" s="12">
        <v>18.02</v>
      </c>
      <c r="W13" s="12">
        <v>0</v>
      </c>
      <c r="X13" s="1" t="s">
        <v>57</v>
      </c>
    </row>
    <row r="14" spans="1:24">
      <c r="A14" s="1" t="s">
        <v>108</v>
      </c>
      <c r="B14" s="1" t="s">
        <v>47</v>
      </c>
      <c r="C14" s="1" t="s">
        <v>77</v>
      </c>
      <c r="D14" s="1" t="s">
        <v>109</v>
      </c>
      <c r="E14" s="1" t="s">
        <v>118</v>
      </c>
      <c r="F14" s="1" t="s">
        <v>119</v>
      </c>
      <c r="G14" s="1" t="s">
        <v>112</v>
      </c>
      <c r="H14" s="1" t="s">
        <v>53</v>
      </c>
      <c r="I14" s="1" t="s">
        <v>120</v>
      </c>
      <c r="J14" s="1" t="s">
        <v>121</v>
      </c>
      <c r="K14" s="1" t="s">
        <v>56</v>
      </c>
      <c r="L14" s="11" t="s">
        <v>57</v>
      </c>
      <c r="M14" s="1" t="s">
        <v>58</v>
      </c>
      <c r="N14" s="1" t="s">
        <v>59</v>
      </c>
      <c r="O14" s="1" t="s">
        <v>60</v>
      </c>
      <c r="P14" s="1">
        <v>0</v>
      </c>
      <c r="Q14" s="12">
        <v>332.28</v>
      </c>
      <c r="R14" s="1" t="s">
        <v>83</v>
      </c>
      <c r="S14" s="1" t="s">
        <v>84</v>
      </c>
      <c r="T14" s="6" t="s">
        <v>63</v>
      </c>
      <c r="U14" s="13">
        <v>0.215</v>
      </c>
      <c r="V14" s="12">
        <v>71.44</v>
      </c>
      <c r="W14" s="12">
        <v>0</v>
      </c>
      <c r="X14" s="1" t="s">
        <v>57</v>
      </c>
    </row>
    <row r="15" spans="1:24">
      <c r="A15" s="1" t="s">
        <v>108</v>
      </c>
      <c r="B15" s="1" t="s">
        <v>47</v>
      </c>
      <c r="C15" s="1" t="s">
        <v>77</v>
      </c>
      <c r="D15" s="1" t="s">
        <v>109</v>
      </c>
      <c r="E15" s="1" t="s">
        <v>118</v>
      </c>
      <c r="F15" s="1" t="s">
        <v>119</v>
      </c>
      <c r="G15" s="1" t="s">
        <v>112</v>
      </c>
      <c r="H15" s="1" t="s">
        <v>53</v>
      </c>
      <c r="I15" s="1" t="s">
        <v>120</v>
      </c>
      <c r="J15" s="1" t="s">
        <v>121</v>
      </c>
      <c r="K15" s="1" t="s">
        <v>56</v>
      </c>
      <c r="L15" s="11" t="s">
        <v>57</v>
      </c>
      <c r="M15" s="1" t="s">
        <v>58</v>
      </c>
      <c r="N15" s="1" t="s">
        <v>59</v>
      </c>
      <c r="O15" s="1" t="s">
        <v>60</v>
      </c>
      <c r="P15" s="1">
        <v>0</v>
      </c>
      <c r="Q15" s="12">
        <v>166.14</v>
      </c>
      <c r="R15" s="1" t="s">
        <v>83</v>
      </c>
      <c r="S15" s="1" t="s">
        <v>84</v>
      </c>
      <c r="T15" s="6" t="s">
        <v>63</v>
      </c>
      <c r="U15" s="13">
        <v>0.215</v>
      </c>
      <c r="V15" s="12">
        <v>35.72</v>
      </c>
      <c r="W15" s="12">
        <v>0</v>
      </c>
      <c r="X15" s="1" t="s">
        <v>57</v>
      </c>
    </row>
    <row r="16" spans="1:24">
      <c r="A16" s="1" t="s">
        <v>108</v>
      </c>
      <c r="B16" s="1" t="s">
        <v>47</v>
      </c>
      <c r="C16" s="1" t="s">
        <v>122</v>
      </c>
      <c r="D16" s="1" t="s">
        <v>123</v>
      </c>
      <c r="E16" s="1" t="s">
        <v>124</v>
      </c>
      <c r="F16" s="1" t="s">
        <v>125</v>
      </c>
      <c r="G16" s="1" t="s">
        <v>126</v>
      </c>
      <c r="H16" s="1" t="s">
        <v>87</v>
      </c>
      <c r="I16" s="1" t="s">
        <v>127</v>
      </c>
      <c r="J16" s="1" t="s">
        <v>128</v>
      </c>
      <c r="K16" s="1" t="s">
        <v>129</v>
      </c>
      <c r="L16" s="11">
        <v>63</v>
      </c>
      <c r="M16" s="1" t="s">
        <v>73</v>
      </c>
      <c r="N16" s="1" t="s">
        <v>74</v>
      </c>
      <c r="O16" s="1" t="s">
        <v>75</v>
      </c>
      <c r="P16" s="1">
        <v>25</v>
      </c>
      <c r="Q16" s="12">
        <v>89.49</v>
      </c>
      <c r="R16" s="1" t="s">
        <v>83</v>
      </c>
      <c r="S16" s="1" t="s">
        <v>84</v>
      </c>
      <c r="T16" s="6" t="s">
        <v>63</v>
      </c>
      <c r="U16" s="13">
        <v>7.0000000000000007E-2</v>
      </c>
      <c r="V16" s="12">
        <v>6.26</v>
      </c>
      <c r="W16" s="12">
        <v>0</v>
      </c>
      <c r="X16" s="1" t="s">
        <v>57</v>
      </c>
    </row>
    <row r="17" spans="1:24">
      <c r="A17" s="1" t="s">
        <v>108</v>
      </c>
      <c r="B17" s="1" t="s">
        <v>47</v>
      </c>
      <c r="C17" s="1" t="s">
        <v>122</v>
      </c>
      <c r="D17" s="1" t="s">
        <v>130</v>
      </c>
      <c r="E17" s="1" t="s">
        <v>131</v>
      </c>
      <c r="F17" s="1" t="s">
        <v>132</v>
      </c>
      <c r="G17" s="1" t="s">
        <v>52</v>
      </c>
      <c r="H17" s="1" t="s">
        <v>81</v>
      </c>
      <c r="I17" s="1" t="s">
        <v>127</v>
      </c>
      <c r="J17" s="1" t="s">
        <v>133</v>
      </c>
      <c r="K17" s="1" t="s">
        <v>56</v>
      </c>
      <c r="L17" s="11">
        <v>56</v>
      </c>
      <c r="M17" s="1" t="s">
        <v>58</v>
      </c>
      <c r="N17" s="1" t="s">
        <v>59</v>
      </c>
      <c r="O17" s="1" t="s">
        <v>60</v>
      </c>
      <c r="P17" s="1">
        <v>12</v>
      </c>
      <c r="Q17" s="12">
        <v>118.14</v>
      </c>
      <c r="R17" s="1" t="s">
        <v>83</v>
      </c>
      <c r="S17" s="1" t="s">
        <v>84</v>
      </c>
      <c r="T17" s="6" t="s">
        <v>63</v>
      </c>
      <c r="U17" s="13">
        <v>7.0000000000000007E-2</v>
      </c>
      <c r="V17" s="12">
        <v>8.27</v>
      </c>
      <c r="W17" s="12">
        <v>0</v>
      </c>
      <c r="X17" s="1" t="s">
        <v>57</v>
      </c>
    </row>
    <row r="18" spans="1:24">
      <c r="A18" s="1" t="s">
        <v>108</v>
      </c>
      <c r="B18" s="1" t="s">
        <v>47</v>
      </c>
      <c r="C18" s="1" t="s">
        <v>48</v>
      </c>
      <c r="D18" s="1" t="s">
        <v>134</v>
      </c>
      <c r="E18" s="1" t="s">
        <v>135</v>
      </c>
      <c r="F18" s="1" t="s">
        <v>136</v>
      </c>
      <c r="G18" s="1" t="s">
        <v>52</v>
      </c>
      <c r="H18" s="1" t="s">
        <v>53</v>
      </c>
      <c r="I18" s="1" t="s">
        <v>137</v>
      </c>
      <c r="J18" s="1" t="s">
        <v>53</v>
      </c>
      <c r="K18" s="1" t="s">
        <v>53</v>
      </c>
      <c r="L18" s="11">
        <v>59</v>
      </c>
      <c r="M18" s="1" t="s">
        <v>73</v>
      </c>
      <c r="N18" s="1" t="s">
        <v>74</v>
      </c>
      <c r="O18" s="1" t="s">
        <v>75</v>
      </c>
      <c r="P18" s="1">
        <v>100</v>
      </c>
      <c r="Q18" s="12">
        <v>1466.82</v>
      </c>
      <c r="R18" s="1" t="s">
        <v>61</v>
      </c>
      <c r="S18" s="1" t="s">
        <v>76</v>
      </c>
      <c r="T18" s="6" t="s">
        <v>63</v>
      </c>
      <c r="U18" s="13">
        <v>1.35</v>
      </c>
      <c r="V18" s="12">
        <v>1980.21</v>
      </c>
      <c r="W18" s="12">
        <v>1980.21</v>
      </c>
      <c r="X18" s="1" t="s">
        <v>57</v>
      </c>
    </row>
    <row r="19" spans="1:24">
      <c r="A19" s="1" t="s">
        <v>108</v>
      </c>
      <c r="B19" s="1" t="s">
        <v>47</v>
      </c>
      <c r="C19" s="1" t="s">
        <v>48</v>
      </c>
      <c r="D19" s="1" t="s">
        <v>138</v>
      </c>
      <c r="E19" s="1" t="s">
        <v>139</v>
      </c>
      <c r="F19" s="1" t="s">
        <v>140</v>
      </c>
      <c r="G19" s="1" t="s">
        <v>141</v>
      </c>
      <c r="H19" s="1" t="s">
        <v>87</v>
      </c>
      <c r="I19" s="1" t="s">
        <v>142</v>
      </c>
      <c r="J19" s="1" t="s">
        <v>143</v>
      </c>
      <c r="K19" s="1" t="s">
        <v>144</v>
      </c>
      <c r="L19" s="11">
        <v>66</v>
      </c>
      <c r="M19" s="1" t="s">
        <v>73</v>
      </c>
      <c r="N19" s="1" t="s">
        <v>74</v>
      </c>
      <c r="O19" s="1" t="s">
        <v>75</v>
      </c>
      <c r="P19" s="1">
        <v>30</v>
      </c>
      <c r="Q19" s="12">
        <v>75.849999999999994</v>
      </c>
      <c r="R19" s="1" t="s">
        <v>61</v>
      </c>
      <c r="S19" s="1" t="s">
        <v>62</v>
      </c>
      <c r="T19" s="6" t="s">
        <v>63</v>
      </c>
      <c r="U19" s="13">
        <v>1.5</v>
      </c>
      <c r="V19" s="12">
        <v>0</v>
      </c>
      <c r="W19" s="12">
        <v>-113.78</v>
      </c>
      <c r="X19" s="1" t="s">
        <v>57</v>
      </c>
    </row>
    <row r="20" spans="1:24">
      <c r="A20" s="1" t="s">
        <v>108</v>
      </c>
      <c r="B20" s="1" t="s">
        <v>47</v>
      </c>
      <c r="C20" s="1" t="s">
        <v>48</v>
      </c>
      <c r="D20" s="1" t="s">
        <v>138</v>
      </c>
      <c r="E20" s="1" t="s">
        <v>145</v>
      </c>
      <c r="F20" s="1" t="s">
        <v>146</v>
      </c>
      <c r="G20" s="1" t="s">
        <v>147</v>
      </c>
      <c r="H20" s="1" t="s">
        <v>69</v>
      </c>
      <c r="I20" s="1" t="s">
        <v>142</v>
      </c>
      <c r="J20" s="1" t="s">
        <v>148</v>
      </c>
      <c r="K20" s="1" t="s">
        <v>149</v>
      </c>
      <c r="L20" s="11">
        <v>57</v>
      </c>
      <c r="M20" s="1" t="s">
        <v>73</v>
      </c>
      <c r="N20" s="1" t="s">
        <v>74</v>
      </c>
      <c r="O20" s="1" t="s">
        <v>75</v>
      </c>
      <c r="P20" s="1">
        <v>125</v>
      </c>
      <c r="Q20" s="12">
        <v>141.84</v>
      </c>
      <c r="R20" s="1" t="s">
        <v>61</v>
      </c>
      <c r="S20" s="1" t="s">
        <v>62</v>
      </c>
      <c r="T20" s="6" t="s">
        <v>63</v>
      </c>
      <c r="U20" s="13">
        <v>1.5</v>
      </c>
      <c r="V20" s="12">
        <v>0</v>
      </c>
      <c r="W20" s="12">
        <v>-212.76</v>
      </c>
      <c r="X20" s="1" t="s">
        <v>57</v>
      </c>
    </row>
    <row r="21" spans="1:24">
      <c r="A21" s="1" t="s">
        <v>108</v>
      </c>
      <c r="B21" s="1" t="s">
        <v>47</v>
      </c>
      <c r="C21" s="1" t="s">
        <v>48</v>
      </c>
      <c r="D21" s="1" t="s">
        <v>138</v>
      </c>
      <c r="E21" s="1" t="s">
        <v>150</v>
      </c>
      <c r="F21" s="1" t="s">
        <v>151</v>
      </c>
      <c r="G21" s="1" t="s">
        <v>147</v>
      </c>
      <c r="H21" s="1" t="s">
        <v>87</v>
      </c>
      <c r="I21" s="1" t="s">
        <v>152</v>
      </c>
      <c r="J21" s="1" t="s">
        <v>153</v>
      </c>
      <c r="K21" s="1" t="s">
        <v>154</v>
      </c>
      <c r="L21" s="11">
        <v>36</v>
      </c>
      <c r="M21" s="1" t="s">
        <v>73</v>
      </c>
      <c r="N21" s="1" t="s">
        <v>74</v>
      </c>
      <c r="O21" s="1" t="s">
        <v>75</v>
      </c>
      <c r="P21" s="1">
        <v>300</v>
      </c>
      <c r="Q21" s="12">
        <v>99.32</v>
      </c>
      <c r="R21" s="1" t="s">
        <v>61</v>
      </c>
      <c r="S21" s="1" t="s">
        <v>62</v>
      </c>
      <c r="T21" s="6" t="s">
        <v>63</v>
      </c>
      <c r="U21" s="13">
        <v>1.5</v>
      </c>
      <c r="V21" s="12">
        <v>0</v>
      </c>
      <c r="W21" s="12">
        <v>-148.97999999999999</v>
      </c>
      <c r="X21" s="1" t="s">
        <v>57</v>
      </c>
    </row>
    <row r="22" spans="1:24">
      <c r="A22" s="1" t="s">
        <v>108</v>
      </c>
      <c r="B22" s="1" t="s">
        <v>47</v>
      </c>
      <c r="C22" s="1" t="s">
        <v>48</v>
      </c>
      <c r="D22" s="1" t="s">
        <v>138</v>
      </c>
      <c r="E22" s="1" t="s">
        <v>155</v>
      </c>
      <c r="F22" s="1" t="s">
        <v>156</v>
      </c>
      <c r="G22" s="1" t="s">
        <v>147</v>
      </c>
      <c r="H22" s="1" t="s">
        <v>87</v>
      </c>
      <c r="I22" s="1" t="s">
        <v>152</v>
      </c>
      <c r="J22" s="1" t="s">
        <v>153</v>
      </c>
      <c r="K22" s="1" t="s">
        <v>154</v>
      </c>
      <c r="L22" s="11">
        <v>36</v>
      </c>
      <c r="M22" s="1" t="s">
        <v>73</v>
      </c>
      <c r="N22" s="1" t="s">
        <v>74</v>
      </c>
      <c r="O22" s="1" t="s">
        <v>75</v>
      </c>
      <c r="P22" s="1">
        <v>300</v>
      </c>
      <c r="Q22" s="12">
        <v>93.18</v>
      </c>
      <c r="R22" s="1" t="s">
        <v>61</v>
      </c>
      <c r="S22" s="1" t="s">
        <v>62</v>
      </c>
      <c r="T22" s="6" t="s">
        <v>63</v>
      </c>
      <c r="U22" s="13">
        <v>1.5</v>
      </c>
      <c r="V22" s="12">
        <v>0</v>
      </c>
      <c r="W22" s="12">
        <v>-139.77000000000001</v>
      </c>
      <c r="X22" s="1" t="s">
        <v>57</v>
      </c>
    </row>
    <row r="23" spans="1:24">
      <c r="A23" s="1" t="s">
        <v>108</v>
      </c>
      <c r="B23" s="1" t="s">
        <v>47</v>
      </c>
      <c r="C23" s="1" t="s">
        <v>48</v>
      </c>
      <c r="D23" s="1" t="s">
        <v>138</v>
      </c>
      <c r="E23" s="1" t="s">
        <v>157</v>
      </c>
      <c r="F23" s="1" t="s">
        <v>158</v>
      </c>
      <c r="G23" s="1" t="s">
        <v>147</v>
      </c>
      <c r="H23" s="1" t="s">
        <v>69</v>
      </c>
      <c r="I23" s="1" t="s">
        <v>137</v>
      </c>
      <c r="J23" s="1" t="s">
        <v>159</v>
      </c>
      <c r="K23" s="1" t="s">
        <v>160</v>
      </c>
      <c r="L23" s="11">
        <v>39</v>
      </c>
      <c r="M23" s="1" t="s">
        <v>73</v>
      </c>
      <c r="N23" s="1" t="s">
        <v>74</v>
      </c>
      <c r="O23" s="1" t="s">
        <v>75</v>
      </c>
      <c r="P23" s="1">
        <v>300</v>
      </c>
      <c r="Q23" s="12">
        <v>114.37</v>
      </c>
      <c r="R23" s="1" t="s">
        <v>61</v>
      </c>
      <c r="S23" s="1" t="s">
        <v>161</v>
      </c>
      <c r="T23" s="6" t="s">
        <v>63</v>
      </c>
      <c r="U23" s="13">
        <v>0.67500000000000004</v>
      </c>
      <c r="V23" s="12">
        <v>0</v>
      </c>
      <c r="W23" s="12">
        <v>-77.2</v>
      </c>
      <c r="X23" s="1" t="s">
        <v>57</v>
      </c>
    </row>
    <row r="24" spans="1:24">
      <c r="A24" s="1" t="s">
        <v>108</v>
      </c>
      <c r="B24" s="1" t="s">
        <v>47</v>
      </c>
      <c r="C24" s="1" t="s">
        <v>48</v>
      </c>
      <c r="D24" s="1" t="s">
        <v>138</v>
      </c>
      <c r="E24" s="1" t="s">
        <v>157</v>
      </c>
      <c r="F24" s="1" t="s">
        <v>158</v>
      </c>
      <c r="G24" s="1" t="s">
        <v>147</v>
      </c>
      <c r="H24" s="1" t="s">
        <v>162</v>
      </c>
      <c r="I24" s="1" t="s">
        <v>137</v>
      </c>
      <c r="J24" s="1" t="s">
        <v>159</v>
      </c>
      <c r="K24" s="1" t="s">
        <v>160</v>
      </c>
      <c r="L24" s="11">
        <v>39</v>
      </c>
      <c r="M24" s="1" t="s">
        <v>73</v>
      </c>
      <c r="N24" s="1" t="s">
        <v>74</v>
      </c>
      <c r="O24" s="1" t="s">
        <v>75</v>
      </c>
      <c r="P24" s="1">
        <v>300</v>
      </c>
      <c r="Q24" s="12">
        <v>114.37</v>
      </c>
      <c r="R24" s="1" t="s">
        <v>61</v>
      </c>
      <c r="S24" s="1" t="s">
        <v>62</v>
      </c>
      <c r="T24" s="6" t="s">
        <v>63</v>
      </c>
      <c r="U24" s="13">
        <v>0.67500000000000004</v>
      </c>
      <c r="V24" s="12">
        <v>0</v>
      </c>
      <c r="W24" s="12">
        <v>-77.2</v>
      </c>
      <c r="X24" s="1" t="s">
        <v>57</v>
      </c>
    </row>
    <row r="25" spans="1:24">
      <c r="A25" s="1" t="s">
        <v>108</v>
      </c>
      <c r="B25" s="1" t="s">
        <v>47</v>
      </c>
      <c r="C25" s="1" t="s">
        <v>48</v>
      </c>
      <c r="D25" s="1" t="s">
        <v>163</v>
      </c>
      <c r="E25" s="1" t="s">
        <v>164</v>
      </c>
      <c r="F25" s="1" t="s">
        <v>165</v>
      </c>
      <c r="G25" s="1" t="s">
        <v>166</v>
      </c>
      <c r="H25" s="1" t="s">
        <v>87</v>
      </c>
      <c r="I25" s="1" t="s">
        <v>137</v>
      </c>
      <c r="J25" s="1" t="s">
        <v>167</v>
      </c>
      <c r="K25" s="1" t="s">
        <v>168</v>
      </c>
      <c r="L25" s="11">
        <v>36</v>
      </c>
      <c r="M25" s="1" t="s">
        <v>73</v>
      </c>
      <c r="N25" s="1" t="s">
        <v>74</v>
      </c>
      <c r="O25" s="1" t="s">
        <v>75</v>
      </c>
      <c r="P25" s="1">
        <v>200</v>
      </c>
      <c r="Q25" s="12">
        <v>124.86</v>
      </c>
      <c r="R25" s="1" t="s">
        <v>61</v>
      </c>
      <c r="S25" s="1" t="s">
        <v>62</v>
      </c>
      <c r="T25" s="6" t="s">
        <v>63</v>
      </c>
      <c r="U25" s="13">
        <v>1.35</v>
      </c>
      <c r="V25" s="12">
        <v>168.56</v>
      </c>
      <c r="W25" s="12">
        <v>0</v>
      </c>
      <c r="X25" s="1" t="s">
        <v>57</v>
      </c>
    </row>
    <row r="26" spans="1:24">
      <c r="A26" s="1" t="s">
        <v>108</v>
      </c>
      <c r="B26" s="1" t="s">
        <v>47</v>
      </c>
      <c r="C26" s="1" t="s">
        <v>48</v>
      </c>
      <c r="D26" s="1" t="s">
        <v>169</v>
      </c>
      <c r="E26" s="1" t="s">
        <v>170</v>
      </c>
      <c r="F26" s="1" t="s">
        <v>171</v>
      </c>
      <c r="G26" s="1" t="s">
        <v>172</v>
      </c>
      <c r="H26" s="1" t="s">
        <v>53</v>
      </c>
      <c r="I26" s="1" t="s">
        <v>173</v>
      </c>
      <c r="J26" s="1" t="s">
        <v>71</v>
      </c>
      <c r="K26" s="1" t="s">
        <v>71</v>
      </c>
      <c r="L26" s="11">
        <v>64</v>
      </c>
      <c r="M26" s="1" t="s">
        <v>73</v>
      </c>
      <c r="N26" s="1" t="s">
        <v>74</v>
      </c>
      <c r="O26" s="1" t="s">
        <v>75</v>
      </c>
      <c r="P26" s="1">
        <v>25</v>
      </c>
      <c r="Q26" s="12">
        <v>463.77</v>
      </c>
      <c r="R26" s="1" t="s">
        <v>61</v>
      </c>
      <c r="S26" s="1" t="s">
        <v>76</v>
      </c>
      <c r="T26" s="6" t="s">
        <v>63</v>
      </c>
      <c r="U26" s="13">
        <v>1.3</v>
      </c>
      <c r="V26" s="12">
        <v>602.91</v>
      </c>
      <c r="W26" s="12">
        <v>602.91</v>
      </c>
      <c r="X26" s="1" t="s">
        <v>57</v>
      </c>
    </row>
    <row r="27" spans="1:24">
      <c r="A27" s="1" t="s">
        <v>108</v>
      </c>
      <c r="B27" s="1" t="s">
        <v>47</v>
      </c>
      <c r="C27" s="1" t="s">
        <v>48</v>
      </c>
      <c r="D27" s="1" t="s">
        <v>174</v>
      </c>
      <c r="E27" s="1" t="s">
        <v>175</v>
      </c>
      <c r="F27" s="1" t="s">
        <v>176</v>
      </c>
      <c r="G27" s="1" t="s">
        <v>177</v>
      </c>
      <c r="H27" s="1" t="s">
        <v>87</v>
      </c>
      <c r="I27" s="1" t="s">
        <v>178</v>
      </c>
      <c r="J27" s="1" t="s">
        <v>179</v>
      </c>
      <c r="K27" s="1" t="s">
        <v>71</v>
      </c>
      <c r="L27" s="11">
        <v>9</v>
      </c>
      <c r="M27" s="1" t="s">
        <v>73</v>
      </c>
      <c r="N27" s="1" t="s">
        <v>74</v>
      </c>
      <c r="O27" s="1" t="s">
        <v>75</v>
      </c>
      <c r="P27" s="1">
        <v>50</v>
      </c>
      <c r="Q27" s="12">
        <v>23.17</v>
      </c>
      <c r="R27" s="1" t="s">
        <v>61</v>
      </c>
      <c r="S27" s="1" t="s">
        <v>62</v>
      </c>
      <c r="T27" s="6" t="s">
        <v>63</v>
      </c>
      <c r="U27" s="13">
        <v>1.1499999999999999</v>
      </c>
      <c r="V27" s="12">
        <v>0</v>
      </c>
      <c r="W27" s="12">
        <v>-26.65</v>
      </c>
      <c r="X27" s="1" t="s">
        <v>57</v>
      </c>
    </row>
    <row r="28" spans="1:24">
      <c r="A28" s="1" t="s">
        <v>108</v>
      </c>
      <c r="B28" s="1" t="s">
        <v>47</v>
      </c>
      <c r="C28" s="1" t="s">
        <v>48</v>
      </c>
      <c r="D28" s="1" t="s">
        <v>174</v>
      </c>
      <c r="E28" s="1" t="s">
        <v>180</v>
      </c>
      <c r="F28" s="1" t="s">
        <v>181</v>
      </c>
      <c r="G28" s="1" t="s">
        <v>177</v>
      </c>
      <c r="H28" s="1" t="s">
        <v>87</v>
      </c>
      <c r="I28" s="1" t="s">
        <v>178</v>
      </c>
      <c r="J28" s="1" t="s">
        <v>179</v>
      </c>
      <c r="K28" s="1" t="s">
        <v>71</v>
      </c>
      <c r="L28" s="11">
        <v>7</v>
      </c>
      <c r="M28" s="1" t="s">
        <v>73</v>
      </c>
      <c r="N28" s="1" t="s">
        <v>74</v>
      </c>
      <c r="O28" s="1" t="s">
        <v>75</v>
      </c>
      <c r="P28" s="1">
        <v>50</v>
      </c>
      <c r="Q28" s="12">
        <v>23.17</v>
      </c>
      <c r="R28" s="1" t="s">
        <v>61</v>
      </c>
      <c r="S28" s="1" t="s">
        <v>62</v>
      </c>
      <c r="T28" s="6" t="s">
        <v>63</v>
      </c>
      <c r="U28" s="13">
        <v>1.1499999999999999</v>
      </c>
      <c r="V28" s="12">
        <v>0</v>
      </c>
      <c r="W28" s="12">
        <v>-26.65</v>
      </c>
      <c r="X28" s="1" t="s">
        <v>57</v>
      </c>
    </row>
    <row r="29" spans="1:24">
      <c r="A29" s="1" t="s">
        <v>108</v>
      </c>
      <c r="B29" s="1" t="s">
        <v>47</v>
      </c>
      <c r="C29" s="1" t="s">
        <v>48</v>
      </c>
      <c r="D29" s="1" t="s">
        <v>182</v>
      </c>
      <c r="E29" s="1" t="s">
        <v>183</v>
      </c>
      <c r="F29" s="1" t="s">
        <v>184</v>
      </c>
      <c r="G29" s="1" t="s">
        <v>185</v>
      </c>
      <c r="H29" s="1" t="s">
        <v>87</v>
      </c>
      <c r="I29" s="1" t="s">
        <v>137</v>
      </c>
      <c r="J29" s="1" t="s">
        <v>186</v>
      </c>
      <c r="K29" s="1" t="s">
        <v>187</v>
      </c>
      <c r="L29" s="11">
        <v>56</v>
      </c>
      <c r="M29" s="1" t="s">
        <v>73</v>
      </c>
      <c r="N29" s="1" t="s">
        <v>74</v>
      </c>
      <c r="O29" s="1" t="s">
        <v>75</v>
      </c>
      <c r="P29" s="1">
        <v>160</v>
      </c>
      <c r="Q29" s="12">
        <v>296.49</v>
      </c>
      <c r="R29" s="1" t="s">
        <v>61</v>
      </c>
      <c r="S29" s="1" t="s">
        <v>62</v>
      </c>
      <c r="T29" s="6" t="s">
        <v>63</v>
      </c>
      <c r="U29" s="13">
        <v>1.35</v>
      </c>
      <c r="V29" s="12">
        <v>400.26</v>
      </c>
      <c r="W29" s="12">
        <v>0</v>
      </c>
      <c r="X29" s="1" t="s">
        <v>57</v>
      </c>
    </row>
    <row r="30" spans="1:24">
      <c r="A30" s="1" t="s">
        <v>108</v>
      </c>
      <c r="B30" s="1" t="s">
        <v>47</v>
      </c>
      <c r="C30" s="1" t="s">
        <v>48</v>
      </c>
      <c r="D30" s="1" t="s">
        <v>49</v>
      </c>
      <c r="E30" s="1" t="s">
        <v>188</v>
      </c>
      <c r="F30" s="1" t="s">
        <v>189</v>
      </c>
      <c r="G30" s="1" t="s">
        <v>147</v>
      </c>
      <c r="H30" s="1" t="s">
        <v>162</v>
      </c>
      <c r="I30" s="1" t="s">
        <v>137</v>
      </c>
      <c r="J30" s="1" t="s">
        <v>190</v>
      </c>
      <c r="K30" s="1" t="s">
        <v>191</v>
      </c>
      <c r="L30" s="11">
        <v>72</v>
      </c>
      <c r="M30" s="1" t="s">
        <v>73</v>
      </c>
      <c r="N30" s="1" t="s">
        <v>74</v>
      </c>
      <c r="O30" s="1" t="s">
        <v>75</v>
      </c>
      <c r="P30" s="1">
        <v>50</v>
      </c>
      <c r="Q30" s="12">
        <v>267.10000000000002</v>
      </c>
      <c r="R30" s="1" t="s">
        <v>61</v>
      </c>
      <c r="S30" s="1" t="s">
        <v>62</v>
      </c>
      <c r="T30" s="6" t="s">
        <v>63</v>
      </c>
      <c r="U30" s="13">
        <v>0.67500000000000004</v>
      </c>
      <c r="V30" s="12">
        <v>180.29</v>
      </c>
      <c r="W30" s="12">
        <v>0</v>
      </c>
      <c r="X30" s="1" t="s">
        <v>57</v>
      </c>
    </row>
    <row r="31" spans="1:24">
      <c r="A31" s="1" t="s">
        <v>108</v>
      </c>
      <c r="B31" s="1" t="s">
        <v>47</v>
      </c>
      <c r="C31" s="1" t="s">
        <v>48</v>
      </c>
      <c r="D31" s="1" t="s">
        <v>49</v>
      </c>
      <c r="E31" s="1" t="s">
        <v>192</v>
      </c>
      <c r="F31" s="1" t="s">
        <v>193</v>
      </c>
      <c r="G31" s="1" t="s">
        <v>52</v>
      </c>
      <c r="H31" s="1" t="s">
        <v>69</v>
      </c>
      <c r="I31" s="1" t="s">
        <v>137</v>
      </c>
      <c r="J31" s="1" t="s">
        <v>194</v>
      </c>
      <c r="K31" s="1" t="s">
        <v>149</v>
      </c>
      <c r="L31" s="11">
        <v>66</v>
      </c>
      <c r="M31" s="1" t="s">
        <v>73</v>
      </c>
      <c r="N31" s="1" t="s">
        <v>74</v>
      </c>
      <c r="O31" s="1" t="s">
        <v>75</v>
      </c>
      <c r="P31" s="1">
        <v>60</v>
      </c>
      <c r="Q31" s="12">
        <v>197.9</v>
      </c>
      <c r="R31" s="1" t="s">
        <v>61</v>
      </c>
      <c r="S31" s="1" t="s">
        <v>62</v>
      </c>
      <c r="T31" s="6" t="s">
        <v>63</v>
      </c>
      <c r="U31" s="13">
        <v>1.35</v>
      </c>
      <c r="V31" s="12">
        <v>267.17</v>
      </c>
      <c r="W31" s="12">
        <v>0</v>
      </c>
      <c r="X31" s="1" t="s">
        <v>57</v>
      </c>
    </row>
    <row r="32" spans="1:24">
      <c r="A32" s="1" t="s">
        <v>108</v>
      </c>
      <c r="B32" s="1" t="s">
        <v>47</v>
      </c>
      <c r="C32" s="1" t="s">
        <v>48</v>
      </c>
      <c r="D32" s="1" t="s">
        <v>49</v>
      </c>
      <c r="E32" s="1" t="s">
        <v>195</v>
      </c>
      <c r="F32" s="1" t="s">
        <v>196</v>
      </c>
      <c r="G32" s="1" t="s">
        <v>197</v>
      </c>
      <c r="H32" s="1" t="s">
        <v>87</v>
      </c>
      <c r="I32" s="1" t="s">
        <v>137</v>
      </c>
      <c r="J32" s="1" t="s">
        <v>198</v>
      </c>
      <c r="K32" s="1" t="s">
        <v>71</v>
      </c>
      <c r="L32" s="11">
        <v>60</v>
      </c>
      <c r="M32" s="1" t="s">
        <v>73</v>
      </c>
      <c r="N32" s="1" t="s">
        <v>74</v>
      </c>
      <c r="O32" s="1" t="s">
        <v>75</v>
      </c>
      <c r="P32" s="1">
        <v>50</v>
      </c>
      <c r="Q32" s="12">
        <v>122.74</v>
      </c>
      <c r="R32" s="1" t="s">
        <v>61</v>
      </c>
      <c r="S32" s="1" t="s">
        <v>62</v>
      </c>
      <c r="T32" s="6" t="s">
        <v>63</v>
      </c>
      <c r="U32" s="13">
        <v>0.67500000000000004</v>
      </c>
      <c r="V32" s="12">
        <v>0</v>
      </c>
      <c r="W32" s="12">
        <v>-82.85</v>
      </c>
      <c r="X32" s="1" t="s">
        <v>57</v>
      </c>
    </row>
    <row r="33" spans="1:24">
      <c r="A33" s="1" t="s">
        <v>108</v>
      </c>
      <c r="B33" s="1" t="s">
        <v>47</v>
      </c>
      <c r="C33" s="1" t="s">
        <v>48</v>
      </c>
      <c r="D33" s="1" t="s">
        <v>49</v>
      </c>
      <c r="E33" s="1" t="s">
        <v>199</v>
      </c>
      <c r="F33" s="1" t="s">
        <v>200</v>
      </c>
      <c r="G33" s="1" t="s">
        <v>52</v>
      </c>
      <c r="H33" s="1" t="s">
        <v>53</v>
      </c>
      <c r="I33" s="1" t="s">
        <v>137</v>
      </c>
      <c r="J33" s="1" t="s">
        <v>201</v>
      </c>
      <c r="K33" s="1" t="s">
        <v>160</v>
      </c>
      <c r="L33" s="11">
        <v>67</v>
      </c>
      <c r="M33" s="1" t="s">
        <v>73</v>
      </c>
      <c r="N33" s="1" t="s">
        <v>74</v>
      </c>
      <c r="O33" s="1" t="s">
        <v>75</v>
      </c>
      <c r="P33" s="1">
        <v>75</v>
      </c>
      <c r="Q33" s="12">
        <v>258.06</v>
      </c>
      <c r="R33" s="1" t="s">
        <v>61</v>
      </c>
      <c r="S33" s="1" t="s">
        <v>62</v>
      </c>
      <c r="T33" s="6" t="s">
        <v>63</v>
      </c>
      <c r="U33" s="13">
        <v>0.67500000000000004</v>
      </c>
      <c r="V33" s="12">
        <v>0</v>
      </c>
      <c r="W33" s="12">
        <v>-174.19</v>
      </c>
      <c r="X33" s="1" t="s">
        <v>57</v>
      </c>
    </row>
    <row r="34" spans="1:24">
      <c r="A34" s="1" t="s">
        <v>108</v>
      </c>
      <c r="B34" s="1" t="s">
        <v>47</v>
      </c>
      <c r="C34" s="1" t="s">
        <v>48</v>
      </c>
      <c r="D34" s="1" t="s">
        <v>49</v>
      </c>
      <c r="E34" s="1" t="s">
        <v>202</v>
      </c>
      <c r="F34" s="1" t="s">
        <v>203</v>
      </c>
      <c r="G34" s="1" t="s">
        <v>197</v>
      </c>
      <c r="H34" s="1" t="s">
        <v>87</v>
      </c>
      <c r="I34" s="1" t="s">
        <v>137</v>
      </c>
      <c r="J34" s="1" t="s">
        <v>204</v>
      </c>
      <c r="K34" s="1" t="s">
        <v>144</v>
      </c>
      <c r="L34" s="11">
        <v>68</v>
      </c>
      <c r="M34" s="1" t="s">
        <v>73</v>
      </c>
      <c r="N34" s="1" t="s">
        <v>74</v>
      </c>
      <c r="O34" s="1" t="s">
        <v>75</v>
      </c>
      <c r="P34" s="1">
        <v>50</v>
      </c>
      <c r="Q34" s="12">
        <v>186.64</v>
      </c>
      <c r="R34" s="1" t="s">
        <v>61</v>
      </c>
      <c r="S34" s="1" t="s">
        <v>62</v>
      </c>
      <c r="T34" s="6" t="s">
        <v>63</v>
      </c>
      <c r="U34" s="13">
        <v>0.67500000000000004</v>
      </c>
      <c r="V34" s="12">
        <v>0</v>
      </c>
      <c r="W34" s="12">
        <v>-125.98</v>
      </c>
      <c r="X34" s="1" t="s">
        <v>57</v>
      </c>
    </row>
    <row r="35" spans="1:24">
      <c r="A35" s="1" t="s">
        <v>108</v>
      </c>
      <c r="B35" s="1" t="s">
        <v>47</v>
      </c>
      <c r="C35" s="1" t="s">
        <v>48</v>
      </c>
      <c r="D35" s="1" t="s">
        <v>49</v>
      </c>
      <c r="E35" s="1" t="s">
        <v>205</v>
      </c>
      <c r="F35" s="1" t="s">
        <v>206</v>
      </c>
      <c r="G35" s="1" t="s">
        <v>147</v>
      </c>
      <c r="H35" s="1" t="s">
        <v>87</v>
      </c>
      <c r="I35" s="1" t="s">
        <v>127</v>
      </c>
      <c r="J35" s="1" t="s">
        <v>207</v>
      </c>
      <c r="K35" s="1" t="s">
        <v>144</v>
      </c>
      <c r="L35" s="11">
        <v>64</v>
      </c>
      <c r="M35" s="1" t="s">
        <v>73</v>
      </c>
      <c r="N35" s="1" t="s">
        <v>74</v>
      </c>
      <c r="O35" s="1" t="s">
        <v>75</v>
      </c>
      <c r="P35" s="1">
        <v>5</v>
      </c>
      <c r="Q35" s="12">
        <v>28.39</v>
      </c>
      <c r="R35" s="1" t="s">
        <v>61</v>
      </c>
      <c r="S35" s="1" t="s">
        <v>62</v>
      </c>
      <c r="T35" s="6" t="s">
        <v>63</v>
      </c>
      <c r="U35" s="13">
        <v>1.35</v>
      </c>
      <c r="V35" s="12">
        <v>0</v>
      </c>
      <c r="W35" s="12">
        <v>-38.33</v>
      </c>
      <c r="X35" s="1" t="s">
        <v>57</v>
      </c>
    </row>
    <row r="36" spans="1:24">
      <c r="A36" s="1" t="s">
        <v>108</v>
      </c>
      <c r="B36" s="1" t="s">
        <v>47</v>
      </c>
      <c r="C36" s="1" t="s">
        <v>48</v>
      </c>
      <c r="D36" s="1" t="s">
        <v>49</v>
      </c>
      <c r="E36" s="1" t="s">
        <v>208</v>
      </c>
      <c r="F36" s="1" t="s">
        <v>209</v>
      </c>
      <c r="G36" s="1" t="s">
        <v>147</v>
      </c>
      <c r="H36" s="1" t="s">
        <v>87</v>
      </c>
      <c r="I36" s="1" t="s">
        <v>127</v>
      </c>
      <c r="J36" s="1" t="s">
        <v>207</v>
      </c>
      <c r="K36" s="1" t="s">
        <v>144</v>
      </c>
      <c r="L36" s="11">
        <v>63</v>
      </c>
      <c r="M36" s="1" t="s">
        <v>73</v>
      </c>
      <c r="N36" s="1" t="s">
        <v>74</v>
      </c>
      <c r="O36" s="1" t="s">
        <v>75</v>
      </c>
      <c r="P36" s="1">
        <v>5</v>
      </c>
      <c r="Q36" s="12">
        <v>20.46</v>
      </c>
      <c r="R36" s="1" t="s">
        <v>61</v>
      </c>
      <c r="S36" s="1" t="s">
        <v>62</v>
      </c>
      <c r="T36" s="6" t="s">
        <v>63</v>
      </c>
      <c r="U36" s="13">
        <v>1.35</v>
      </c>
      <c r="V36" s="12">
        <v>0</v>
      </c>
      <c r="W36" s="12">
        <v>-27.62</v>
      </c>
      <c r="X36" s="1" t="s">
        <v>57</v>
      </c>
    </row>
    <row r="37" spans="1:24">
      <c r="A37" s="1" t="s">
        <v>108</v>
      </c>
      <c r="B37" s="1" t="s">
        <v>47</v>
      </c>
      <c r="C37" s="1" t="s">
        <v>48</v>
      </c>
      <c r="D37" s="1" t="s">
        <v>49</v>
      </c>
      <c r="E37" s="1" t="s">
        <v>210</v>
      </c>
      <c r="F37" s="1" t="s">
        <v>211</v>
      </c>
      <c r="G37" s="1" t="s">
        <v>197</v>
      </c>
      <c r="H37" s="1" t="s">
        <v>87</v>
      </c>
      <c r="I37" s="1" t="s">
        <v>137</v>
      </c>
      <c r="J37" s="1" t="s">
        <v>212</v>
      </c>
      <c r="K37" s="1" t="s">
        <v>129</v>
      </c>
      <c r="L37" s="11">
        <v>65</v>
      </c>
      <c r="M37" s="1" t="s">
        <v>73</v>
      </c>
      <c r="N37" s="1" t="s">
        <v>74</v>
      </c>
      <c r="O37" s="1" t="s">
        <v>75</v>
      </c>
      <c r="P37" s="1">
        <v>75</v>
      </c>
      <c r="Q37" s="12">
        <v>235.16</v>
      </c>
      <c r="R37" s="1" t="s">
        <v>61</v>
      </c>
      <c r="S37" s="1" t="s">
        <v>62</v>
      </c>
      <c r="T37" s="6" t="s">
        <v>63</v>
      </c>
      <c r="U37" s="13">
        <v>0.67500000000000004</v>
      </c>
      <c r="V37" s="12">
        <v>0</v>
      </c>
      <c r="W37" s="12">
        <v>-158.72999999999999</v>
      </c>
      <c r="X37" s="1" t="s">
        <v>57</v>
      </c>
    </row>
    <row r="38" spans="1:24">
      <c r="A38" s="1" t="s">
        <v>108</v>
      </c>
      <c r="B38" s="1" t="s">
        <v>47</v>
      </c>
      <c r="C38" s="1" t="s">
        <v>48</v>
      </c>
      <c r="D38" s="1" t="s">
        <v>49</v>
      </c>
      <c r="E38" s="1" t="s">
        <v>213</v>
      </c>
      <c r="F38" s="1" t="s">
        <v>214</v>
      </c>
      <c r="G38" s="1" t="s">
        <v>52</v>
      </c>
      <c r="H38" s="1" t="s">
        <v>53</v>
      </c>
      <c r="I38" s="1" t="s">
        <v>137</v>
      </c>
      <c r="J38" s="1" t="s">
        <v>215</v>
      </c>
      <c r="K38" s="1" t="s">
        <v>160</v>
      </c>
      <c r="L38" s="11">
        <v>54</v>
      </c>
      <c r="M38" s="1" t="s">
        <v>73</v>
      </c>
      <c r="N38" s="1" t="s">
        <v>74</v>
      </c>
      <c r="O38" s="1" t="s">
        <v>75</v>
      </c>
      <c r="P38" s="1">
        <v>125</v>
      </c>
      <c r="Q38" s="12">
        <v>152.13</v>
      </c>
      <c r="R38" s="1" t="s">
        <v>61</v>
      </c>
      <c r="S38" s="1" t="s">
        <v>62</v>
      </c>
      <c r="T38" s="6" t="s">
        <v>63</v>
      </c>
      <c r="U38" s="13">
        <v>0.67500000000000004</v>
      </c>
      <c r="V38" s="12">
        <v>0</v>
      </c>
      <c r="W38" s="12">
        <v>-102.69</v>
      </c>
      <c r="X38" s="1" t="s">
        <v>57</v>
      </c>
    </row>
    <row r="39" spans="1:24">
      <c r="A39" s="1" t="s">
        <v>108</v>
      </c>
      <c r="B39" s="1" t="s">
        <v>47</v>
      </c>
      <c r="C39" s="1" t="s">
        <v>48</v>
      </c>
      <c r="D39" s="1" t="s">
        <v>49</v>
      </c>
      <c r="E39" s="1" t="s">
        <v>216</v>
      </c>
      <c r="F39" s="1" t="s">
        <v>217</v>
      </c>
      <c r="G39" s="1" t="s">
        <v>52</v>
      </c>
      <c r="H39" s="1" t="s">
        <v>87</v>
      </c>
      <c r="I39" s="1" t="s">
        <v>142</v>
      </c>
      <c r="J39" s="1" t="s">
        <v>218</v>
      </c>
      <c r="K39" s="1" t="s">
        <v>191</v>
      </c>
      <c r="L39" s="11">
        <v>56</v>
      </c>
      <c r="M39" s="1" t="s">
        <v>73</v>
      </c>
      <c r="N39" s="1" t="s">
        <v>74</v>
      </c>
      <c r="O39" s="1" t="s">
        <v>75</v>
      </c>
      <c r="P39" s="1">
        <v>200</v>
      </c>
      <c r="Q39" s="12">
        <v>208.44</v>
      </c>
      <c r="R39" s="1" t="s">
        <v>61</v>
      </c>
      <c r="S39" s="1" t="s">
        <v>62</v>
      </c>
      <c r="T39" s="6" t="s">
        <v>63</v>
      </c>
      <c r="U39" s="13">
        <v>1.5</v>
      </c>
      <c r="V39" s="12">
        <v>0</v>
      </c>
      <c r="W39" s="12">
        <v>-312.66000000000003</v>
      </c>
      <c r="X39" s="1" t="s">
        <v>57</v>
      </c>
    </row>
    <row r="40" spans="1:24">
      <c r="A40" s="1" t="s">
        <v>108</v>
      </c>
      <c r="B40" s="1" t="s">
        <v>47</v>
      </c>
      <c r="C40" s="1" t="s">
        <v>48</v>
      </c>
      <c r="D40" s="1" t="s">
        <v>49</v>
      </c>
      <c r="E40" s="1" t="s">
        <v>219</v>
      </c>
      <c r="F40" s="1" t="s">
        <v>220</v>
      </c>
      <c r="G40" s="1" t="s">
        <v>147</v>
      </c>
      <c r="H40" s="1" t="s">
        <v>87</v>
      </c>
      <c r="I40" s="1" t="s">
        <v>221</v>
      </c>
      <c r="J40" s="1" t="s">
        <v>222</v>
      </c>
      <c r="K40" s="1" t="s">
        <v>154</v>
      </c>
      <c r="L40" s="11">
        <v>71</v>
      </c>
      <c r="M40" s="1" t="s">
        <v>73</v>
      </c>
      <c r="N40" s="1" t="s">
        <v>74</v>
      </c>
      <c r="O40" s="1" t="s">
        <v>75</v>
      </c>
      <c r="P40" s="1">
        <v>8</v>
      </c>
      <c r="Q40" s="12">
        <v>72.349999999999994</v>
      </c>
      <c r="R40" s="1" t="s">
        <v>61</v>
      </c>
      <c r="S40" s="1" t="s">
        <v>62</v>
      </c>
      <c r="T40" s="6" t="s">
        <v>63</v>
      </c>
      <c r="U40" s="13">
        <v>0.875</v>
      </c>
      <c r="V40" s="12">
        <v>0</v>
      </c>
      <c r="W40" s="12">
        <v>-63.31</v>
      </c>
      <c r="X40" s="1" t="s">
        <v>57</v>
      </c>
    </row>
    <row r="41" spans="1:24">
      <c r="A41" s="1" t="s">
        <v>108</v>
      </c>
      <c r="B41" s="1" t="s">
        <v>47</v>
      </c>
      <c r="C41" s="1" t="s">
        <v>48</v>
      </c>
      <c r="D41" s="1" t="s">
        <v>49</v>
      </c>
      <c r="E41" s="1" t="s">
        <v>223</v>
      </c>
      <c r="F41" s="1" t="s">
        <v>224</v>
      </c>
      <c r="G41" s="1" t="s">
        <v>147</v>
      </c>
      <c r="H41" s="1" t="s">
        <v>87</v>
      </c>
      <c r="I41" s="1" t="s">
        <v>137</v>
      </c>
      <c r="J41" s="1" t="s">
        <v>225</v>
      </c>
      <c r="K41" s="1" t="s">
        <v>154</v>
      </c>
      <c r="L41" s="11">
        <v>64</v>
      </c>
      <c r="M41" s="1" t="s">
        <v>73</v>
      </c>
      <c r="N41" s="1" t="s">
        <v>74</v>
      </c>
      <c r="O41" s="1" t="s">
        <v>75</v>
      </c>
      <c r="P41" s="1">
        <v>110</v>
      </c>
      <c r="Q41" s="12">
        <v>323.26</v>
      </c>
      <c r="R41" s="1" t="s">
        <v>61</v>
      </c>
      <c r="S41" s="1" t="s">
        <v>62</v>
      </c>
      <c r="T41" s="6" t="s">
        <v>63</v>
      </c>
      <c r="U41" s="13">
        <v>0.67500000000000004</v>
      </c>
      <c r="V41" s="12">
        <v>0</v>
      </c>
      <c r="W41" s="12">
        <v>-218.2</v>
      </c>
      <c r="X41" s="1" t="s">
        <v>57</v>
      </c>
    </row>
    <row r="42" spans="1:24">
      <c r="A42" s="1" t="s">
        <v>108</v>
      </c>
      <c r="B42" s="1" t="s">
        <v>47</v>
      </c>
      <c r="C42" s="1" t="s">
        <v>48</v>
      </c>
      <c r="D42" s="1" t="s">
        <v>49</v>
      </c>
      <c r="E42" s="1" t="s">
        <v>226</v>
      </c>
      <c r="F42" s="1" t="s">
        <v>227</v>
      </c>
      <c r="G42" s="1" t="s">
        <v>147</v>
      </c>
      <c r="H42" s="1" t="s">
        <v>87</v>
      </c>
      <c r="I42" s="1" t="s">
        <v>137</v>
      </c>
      <c r="J42" s="1" t="s">
        <v>228</v>
      </c>
      <c r="K42" s="1" t="s">
        <v>229</v>
      </c>
      <c r="L42" s="11">
        <v>64</v>
      </c>
      <c r="M42" s="1" t="s">
        <v>73</v>
      </c>
      <c r="N42" s="1" t="s">
        <v>74</v>
      </c>
      <c r="O42" s="1" t="s">
        <v>75</v>
      </c>
      <c r="P42" s="1">
        <v>110</v>
      </c>
      <c r="Q42" s="12">
        <v>257.8</v>
      </c>
      <c r="R42" s="1" t="s">
        <v>61</v>
      </c>
      <c r="S42" s="1" t="s">
        <v>62</v>
      </c>
      <c r="T42" s="6" t="s">
        <v>63</v>
      </c>
      <c r="U42" s="13">
        <v>0.67500000000000004</v>
      </c>
      <c r="V42" s="12">
        <v>0</v>
      </c>
      <c r="W42" s="12">
        <v>-174.02</v>
      </c>
      <c r="X42" s="1" t="s">
        <v>57</v>
      </c>
    </row>
    <row r="43" spans="1:24">
      <c r="A43" s="1" t="s">
        <v>108</v>
      </c>
      <c r="B43" s="1" t="s">
        <v>47</v>
      </c>
      <c r="C43" s="1" t="s">
        <v>48</v>
      </c>
      <c r="D43" s="1" t="s">
        <v>49</v>
      </c>
      <c r="E43" s="1" t="s">
        <v>230</v>
      </c>
      <c r="F43" s="1" t="s">
        <v>231</v>
      </c>
      <c r="G43" s="1" t="s">
        <v>147</v>
      </c>
      <c r="H43" s="1" t="s">
        <v>87</v>
      </c>
      <c r="I43" s="1" t="s">
        <v>137</v>
      </c>
      <c r="J43" s="1" t="s">
        <v>71</v>
      </c>
      <c r="K43" s="1" t="s">
        <v>71</v>
      </c>
      <c r="L43" s="11">
        <v>64</v>
      </c>
      <c r="M43" s="1" t="s">
        <v>73</v>
      </c>
      <c r="N43" s="1" t="s">
        <v>74</v>
      </c>
      <c r="O43" s="1" t="s">
        <v>75</v>
      </c>
      <c r="P43" s="1">
        <v>40</v>
      </c>
      <c r="Q43" s="12">
        <v>1150.29</v>
      </c>
      <c r="R43" s="1" t="s">
        <v>61</v>
      </c>
      <c r="S43" s="1" t="s">
        <v>76</v>
      </c>
      <c r="T43" s="6" t="s">
        <v>63</v>
      </c>
      <c r="U43" s="13">
        <v>1.35</v>
      </c>
      <c r="V43" s="12">
        <v>1552.89</v>
      </c>
      <c r="W43" s="12">
        <v>1552.89</v>
      </c>
      <c r="X43" s="1" t="s">
        <v>57</v>
      </c>
    </row>
    <row r="44" spans="1:24">
      <c r="A44" s="1" t="s">
        <v>108</v>
      </c>
      <c r="B44" s="1" t="s">
        <v>47</v>
      </c>
      <c r="C44" s="1" t="s">
        <v>48</v>
      </c>
      <c r="D44" s="1" t="s">
        <v>134</v>
      </c>
      <c r="E44" s="1" t="s">
        <v>232</v>
      </c>
      <c r="F44" s="1" t="s">
        <v>233</v>
      </c>
      <c r="G44" s="1" t="s">
        <v>52</v>
      </c>
      <c r="H44" s="1" t="s">
        <v>87</v>
      </c>
      <c r="I44" s="1" t="s">
        <v>127</v>
      </c>
      <c r="J44" s="1" t="s">
        <v>234</v>
      </c>
      <c r="K44" s="1" t="s">
        <v>71</v>
      </c>
      <c r="L44" s="11">
        <v>68</v>
      </c>
      <c r="M44" s="1" t="s">
        <v>73</v>
      </c>
      <c r="N44" s="1" t="s">
        <v>74</v>
      </c>
      <c r="O44" s="1" t="s">
        <v>75</v>
      </c>
      <c r="P44" s="1">
        <v>15</v>
      </c>
      <c r="Q44" s="12">
        <v>98.66</v>
      </c>
      <c r="R44" s="1" t="s">
        <v>61</v>
      </c>
      <c r="S44" s="1" t="s">
        <v>62</v>
      </c>
      <c r="T44" s="6" t="s">
        <v>63</v>
      </c>
      <c r="U44" s="13">
        <v>1.35</v>
      </c>
      <c r="V44" s="12">
        <v>0</v>
      </c>
      <c r="W44" s="12">
        <v>-133.19</v>
      </c>
      <c r="X44" s="1" t="s">
        <v>57</v>
      </c>
    </row>
    <row r="45" spans="1:24">
      <c r="A45" s="1" t="s">
        <v>108</v>
      </c>
      <c r="B45" s="1" t="s">
        <v>47</v>
      </c>
      <c r="C45" s="1" t="s">
        <v>48</v>
      </c>
      <c r="D45" s="1" t="s">
        <v>134</v>
      </c>
      <c r="E45" s="1" t="s">
        <v>235</v>
      </c>
      <c r="F45" s="1" t="s">
        <v>236</v>
      </c>
      <c r="G45" s="1" t="s">
        <v>52</v>
      </c>
      <c r="H45" s="1" t="s">
        <v>87</v>
      </c>
      <c r="I45" s="1" t="s">
        <v>137</v>
      </c>
      <c r="J45" s="1" t="s">
        <v>237</v>
      </c>
      <c r="K45" s="1" t="s">
        <v>238</v>
      </c>
      <c r="L45" s="11">
        <v>68</v>
      </c>
      <c r="M45" s="1" t="s">
        <v>73</v>
      </c>
      <c r="N45" s="1" t="s">
        <v>74</v>
      </c>
      <c r="O45" s="1" t="s">
        <v>75</v>
      </c>
      <c r="P45" s="1">
        <v>25</v>
      </c>
      <c r="Q45" s="12">
        <v>97.59</v>
      </c>
      <c r="R45" s="1" t="s">
        <v>61</v>
      </c>
      <c r="S45" s="1" t="s">
        <v>62</v>
      </c>
      <c r="T45" s="6" t="s">
        <v>63</v>
      </c>
      <c r="U45" s="13">
        <v>1.35</v>
      </c>
      <c r="V45" s="12">
        <v>0</v>
      </c>
      <c r="W45" s="12">
        <v>-131.75</v>
      </c>
      <c r="X45" s="1" t="s">
        <v>57</v>
      </c>
    </row>
    <row r="46" spans="1:24">
      <c r="A46" s="1" t="s">
        <v>108</v>
      </c>
      <c r="B46" s="1" t="s">
        <v>47</v>
      </c>
      <c r="C46" s="1" t="s">
        <v>48</v>
      </c>
      <c r="D46" s="1" t="s">
        <v>239</v>
      </c>
      <c r="E46" s="1" t="s">
        <v>240</v>
      </c>
      <c r="F46" s="1" t="s">
        <v>241</v>
      </c>
      <c r="G46" s="1" t="s">
        <v>52</v>
      </c>
      <c r="H46" s="1" t="s">
        <v>53</v>
      </c>
      <c r="I46" s="1" t="s">
        <v>242</v>
      </c>
      <c r="J46" s="1" t="s">
        <v>243</v>
      </c>
      <c r="K46" s="1" t="s">
        <v>243</v>
      </c>
      <c r="L46" s="11">
        <v>59</v>
      </c>
      <c r="M46" s="1" t="s">
        <v>73</v>
      </c>
      <c r="N46" s="1" t="s">
        <v>74</v>
      </c>
      <c r="O46" s="1" t="s">
        <v>75</v>
      </c>
      <c r="P46" s="1">
        <v>250</v>
      </c>
      <c r="Q46" s="12">
        <v>686.88</v>
      </c>
      <c r="R46" s="1" t="s">
        <v>61</v>
      </c>
      <c r="S46" s="1" t="s">
        <v>76</v>
      </c>
      <c r="T46" s="6" t="s">
        <v>63</v>
      </c>
      <c r="U46" s="13">
        <v>1.03</v>
      </c>
      <c r="V46" s="12">
        <v>707.49</v>
      </c>
      <c r="W46" s="12">
        <v>707.49</v>
      </c>
      <c r="X46" s="1" t="s">
        <v>57</v>
      </c>
    </row>
    <row r="47" spans="1:24">
      <c r="A47" s="1" t="s">
        <v>108</v>
      </c>
      <c r="B47" s="1" t="s">
        <v>47</v>
      </c>
      <c r="C47" s="1" t="s">
        <v>48</v>
      </c>
      <c r="D47" s="1" t="s">
        <v>244</v>
      </c>
      <c r="E47" s="1" t="s">
        <v>245</v>
      </c>
      <c r="F47" s="1" t="s">
        <v>246</v>
      </c>
      <c r="G47" s="1" t="s">
        <v>247</v>
      </c>
      <c r="H47" s="1" t="s">
        <v>87</v>
      </c>
      <c r="I47" s="1" t="s">
        <v>137</v>
      </c>
      <c r="J47" s="1" t="s">
        <v>248</v>
      </c>
      <c r="K47" s="1" t="s">
        <v>249</v>
      </c>
      <c r="L47" s="11">
        <v>71</v>
      </c>
      <c r="M47" s="1" t="s">
        <v>73</v>
      </c>
      <c r="N47" s="1" t="s">
        <v>74</v>
      </c>
      <c r="O47" s="1" t="s">
        <v>75</v>
      </c>
      <c r="P47" s="1">
        <v>50</v>
      </c>
      <c r="Q47" s="12">
        <v>290.83999999999997</v>
      </c>
      <c r="R47" s="1" t="s">
        <v>61</v>
      </c>
      <c r="S47" s="1" t="s">
        <v>62</v>
      </c>
      <c r="T47" s="6" t="s">
        <v>63</v>
      </c>
      <c r="U47" s="13">
        <v>1.35</v>
      </c>
      <c r="V47" s="12">
        <v>0</v>
      </c>
      <c r="W47" s="12">
        <v>-392.63</v>
      </c>
      <c r="X47" s="1" t="s">
        <v>57</v>
      </c>
    </row>
    <row r="48" spans="1:24">
      <c r="A48" s="1" t="s">
        <v>108</v>
      </c>
      <c r="B48" s="1" t="s">
        <v>47</v>
      </c>
      <c r="C48" s="1" t="s">
        <v>48</v>
      </c>
      <c r="D48" s="1" t="s">
        <v>123</v>
      </c>
      <c r="E48" s="1" t="s">
        <v>250</v>
      </c>
      <c r="F48" s="1" t="s">
        <v>251</v>
      </c>
      <c r="G48" s="1" t="s">
        <v>252</v>
      </c>
      <c r="H48" s="1" t="s">
        <v>87</v>
      </c>
      <c r="I48" s="1" t="s">
        <v>142</v>
      </c>
      <c r="J48" s="1" t="s">
        <v>253</v>
      </c>
      <c r="K48" s="1" t="s">
        <v>154</v>
      </c>
      <c r="L48" s="11">
        <v>59</v>
      </c>
      <c r="M48" s="1" t="s">
        <v>73</v>
      </c>
      <c r="N48" s="1" t="s">
        <v>74</v>
      </c>
      <c r="O48" s="1" t="s">
        <v>75</v>
      </c>
      <c r="P48" s="1">
        <v>95</v>
      </c>
      <c r="Q48" s="12">
        <v>123.96</v>
      </c>
      <c r="R48" s="1" t="s">
        <v>61</v>
      </c>
      <c r="S48" s="1" t="s">
        <v>62</v>
      </c>
      <c r="T48" s="6" t="s">
        <v>63</v>
      </c>
      <c r="U48" s="13">
        <v>1.5</v>
      </c>
      <c r="V48" s="12">
        <v>185.94</v>
      </c>
      <c r="W48" s="12">
        <v>0</v>
      </c>
      <c r="X48" s="1" t="s">
        <v>57</v>
      </c>
    </row>
    <row r="49" spans="1:24">
      <c r="A49" s="1" t="s">
        <v>108</v>
      </c>
      <c r="B49" s="1" t="s">
        <v>47</v>
      </c>
      <c r="C49" s="1" t="s">
        <v>48</v>
      </c>
      <c r="D49" s="1" t="s">
        <v>123</v>
      </c>
      <c r="E49" s="1" t="s">
        <v>254</v>
      </c>
      <c r="F49" s="1" t="s">
        <v>255</v>
      </c>
      <c r="G49" s="1" t="s">
        <v>141</v>
      </c>
      <c r="H49" s="1" t="s">
        <v>87</v>
      </c>
      <c r="I49" s="1" t="s">
        <v>137</v>
      </c>
      <c r="J49" s="1" t="s">
        <v>256</v>
      </c>
      <c r="K49" s="1" t="s">
        <v>144</v>
      </c>
      <c r="L49" s="11">
        <v>61</v>
      </c>
      <c r="M49" s="1" t="s">
        <v>73</v>
      </c>
      <c r="N49" s="1" t="s">
        <v>74</v>
      </c>
      <c r="O49" s="1" t="s">
        <v>75</v>
      </c>
      <c r="P49" s="1">
        <v>58</v>
      </c>
      <c r="Q49" s="12">
        <v>114.92</v>
      </c>
      <c r="R49" s="1" t="s">
        <v>61</v>
      </c>
      <c r="S49" s="1" t="s">
        <v>62</v>
      </c>
      <c r="T49" s="6" t="s">
        <v>63</v>
      </c>
      <c r="U49" s="13">
        <v>0.67500000000000004</v>
      </c>
      <c r="V49" s="12">
        <v>77.56</v>
      </c>
      <c r="W49" s="12">
        <v>-0.01</v>
      </c>
      <c r="X49" s="1" t="s">
        <v>57</v>
      </c>
    </row>
    <row r="50" spans="1:24">
      <c r="A50" s="1" t="s">
        <v>108</v>
      </c>
      <c r="B50" s="1" t="s">
        <v>47</v>
      </c>
      <c r="C50" s="1" t="s">
        <v>48</v>
      </c>
      <c r="D50" s="1" t="s">
        <v>123</v>
      </c>
      <c r="E50" s="1" t="s">
        <v>257</v>
      </c>
      <c r="F50" s="1" t="s">
        <v>258</v>
      </c>
      <c r="G50" s="1" t="s">
        <v>141</v>
      </c>
      <c r="H50" s="1" t="s">
        <v>87</v>
      </c>
      <c r="I50" s="1" t="s">
        <v>137</v>
      </c>
      <c r="J50" s="1" t="s">
        <v>259</v>
      </c>
      <c r="K50" s="1" t="s">
        <v>144</v>
      </c>
      <c r="L50" s="11">
        <v>64</v>
      </c>
      <c r="M50" s="1" t="s">
        <v>73</v>
      </c>
      <c r="N50" s="1" t="s">
        <v>74</v>
      </c>
      <c r="O50" s="1" t="s">
        <v>75</v>
      </c>
      <c r="P50" s="1">
        <v>43</v>
      </c>
      <c r="Q50" s="12">
        <v>139.94999999999999</v>
      </c>
      <c r="R50" s="1" t="s">
        <v>61</v>
      </c>
      <c r="S50" s="1" t="s">
        <v>62</v>
      </c>
      <c r="T50" s="6" t="s">
        <v>63</v>
      </c>
      <c r="U50" s="13">
        <v>0.67500000000000004</v>
      </c>
      <c r="V50" s="12">
        <v>94.47</v>
      </c>
      <c r="W50" s="12">
        <v>0</v>
      </c>
      <c r="X50" s="1" t="s">
        <v>57</v>
      </c>
    </row>
    <row r="51" spans="1:24">
      <c r="A51" s="1" t="s">
        <v>108</v>
      </c>
      <c r="B51" s="1" t="s">
        <v>47</v>
      </c>
      <c r="C51" s="1" t="s">
        <v>48</v>
      </c>
      <c r="D51" s="1" t="s">
        <v>123</v>
      </c>
      <c r="E51" s="1" t="s">
        <v>260</v>
      </c>
      <c r="F51" s="1" t="s">
        <v>261</v>
      </c>
      <c r="G51" s="1" t="s">
        <v>252</v>
      </c>
      <c r="H51" s="1" t="s">
        <v>87</v>
      </c>
      <c r="I51" s="1" t="s">
        <v>137</v>
      </c>
      <c r="J51" s="1" t="s">
        <v>256</v>
      </c>
      <c r="K51" s="1" t="s">
        <v>144</v>
      </c>
      <c r="L51" s="11">
        <v>56</v>
      </c>
      <c r="M51" s="1" t="s">
        <v>73</v>
      </c>
      <c r="N51" s="1" t="s">
        <v>74</v>
      </c>
      <c r="O51" s="1" t="s">
        <v>75</v>
      </c>
      <c r="P51" s="1">
        <v>150</v>
      </c>
      <c r="Q51" s="12">
        <v>277.95999999999998</v>
      </c>
      <c r="R51" s="1" t="s">
        <v>61</v>
      </c>
      <c r="S51" s="1" t="s">
        <v>62</v>
      </c>
      <c r="T51" s="6" t="s">
        <v>63</v>
      </c>
      <c r="U51" s="13">
        <v>0.67500000000000004</v>
      </c>
      <c r="V51" s="12">
        <v>187.59</v>
      </c>
      <c r="W51" s="12">
        <v>-0.03</v>
      </c>
      <c r="X51" s="1" t="s">
        <v>57</v>
      </c>
    </row>
    <row r="52" spans="1:24">
      <c r="A52" s="1" t="s">
        <v>108</v>
      </c>
      <c r="B52" s="1" t="s">
        <v>47</v>
      </c>
      <c r="C52" s="1" t="s">
        <v>48</v>
      </c>
      <c r="D52" s="1" t="s">
        <v>123</v>
      </c>
      <c r="E52" s="1" t="s">
        <v>262</v>
      </c>
      <c r="F52" s="1" t="s">
        <v>263</v>
      </c>
      <c r="G52" s="1" t="s">
        <v>68</v>
      </c>
      <c r="H52" s="1" t="s">
        <v>87</v>
      </c>
      <c r="I52" s="1" t="s">
        <v>137</v>
      </c>
      <c r="J52" s="1" t="s">
        <v>259</v>
      </c>
      <c r="K52" s="1" t="s">
        <v>144</v>
      </c>
      <c r="L52" s="11">
        <v>60</v>
      </c>
      <c r="M52" s="1" t="s">
        <v>73</v>
      </c>
      <c r="N52" s="1" t="s">
        <v>74</v>
      </c>
      <c r="O52" s="1" t="s">
        <v>75</v>
      </c>
      <c r="P52" s="1">
        <v>81</v>
      </c>
      <c r="Q52" s="12">
        <v>136.82</v>
      </c>
      <c r="R52" s="1" t="s">
        <v>61</v>
      </c>
      <c r="S52" s="1" t="s">
        <v>62</v>
      </c>
      <c r="T52" s="6" t="s">
        <v>63</v>
      </c>
      <c r="U52" s="13">
        <v>1.35</v>
      </c>
      <c r="V52" s="12">
        <v>184.71</v>
      </c>
      <c r="W52" s="12">
        <v>0</v>
      </c>
      <c r="X52" s="1" t="s">
        <v>57</v>
      </c>
    </row>
    <row r="53" spans="1:24">
      <c r="A53" s="1" t="s">
        <v>108</v>
      </c>
      <c r="B53" s="1" t="s">
        <v>47</v>
      </c>
      <c r="C53" s="1" t="s">
        <v>48</v>
      </c>
      <c r="D53" s="1" t="s">
        <v>123</v>
      </c>
      <c r="E53" s="1" t="s">
        <v>264</v>
      </c>
      <c r="F53" s="1" t="s">
        <v>265</v>
      </c>
      <c r="G53" s="1" t="s">
        <v>141</v>
      </c>
      <c r="H53" s="1" t="s">
        <v>87</v>
      </c>
      <c r="I53" s="1" t="s">
        <v>152</v>
      </c>
      <c r="J53" s="1" t="s">
        <v>259</v>
      </c>
      <c r="K53" s="1" t="s">
        <v>144</v>
      </c>
      <c r="L53" s="11">
        <v>29</v>
      </c>
      <c r="M53" s="1" t="s">
        <v>73</v>
      </c>
      <c r="N53" s="1" t="s">
        <v>74</v>
      </c>
      <c r="O53" s="1" t="s">
        <v>75</v>
      </c>
      <c r="P53" s="1">
        <v>275</v>
      </c>
      <c r="Q53" s="12">
        <v>59.67</v>
      </c>
      <c r="R53" s="1" t="s">
        <v>61</v>
      </c>
      <c r="S53" s="1" t="s">
        <v>62</v>
      </c>
      <c r="T53" s="6" t="s">
        <v>63</v>
      </c>
      <c r="U53" s="13">
        <v>1.5</v>
      </c>
      <c r="V53" s="12">
        <v>89.51</v>
      </c>
      <c r="W53" s="12">
        <v>0</v>
      </c>
      <c r="X53" s="1" t="s">
        <v>57</v>
      </c>
    </row>
    <row r="54" spans="1:24">
      <c r="A54" s="1" t="s">
        <v>108</v>
      </c>
      <c r="B54" s="1" t="s">
        <v>47</v>
      </c>
      <c r="C54" s="1" t="s">
        <v>48</v>
      </c>
      <c r="D54" s="1" t="s">
        <v>123</v>
      </c>
      <c r="E54" s="1" t="s">
        <v>266</v>
      </c>
      <c r="F54" s="1" t="s">
        <v>267</v>
      </c>
      <c r="G54" s="1" t="s">
        <v>268</v>
      </c>
      <c r="H54" s="1" t="s">
        <v>81</v>
      </c>
      <c r="I54" s="1" t="s">
        <v>142</v>
      </c>
      <c r="J54" s="1" t="s">
        <v>269</v>
      </c>
      <c r="K54" s="1" t="s">
        <v>270</v>
      </c>
      <c r="L54" s="11">
        <v>61</v>
      </c>
      <c r="M54" s="1" t="s">
        <v>73</v>
      </c>
      <c r="N54" s="1" t="s">
        <v>74</v>
      </c>
      <c r="O54" s="1" t="s">
        <v>75</v>
      </c>
      <c r="P54" s="1">
        <v>65</v>
      </c>
      <c r="Q54" s="12">
        <v>97.44</v>
      </c>
      <c r="R54" s="1" t="s">
        <v>61</v>
      </c>
      <c r="S54" s="1" t="s">
        <v>62</v>
      </c>
      <c r="T54" s="6" t="s">
        <v>63</v>
      </c>
      <c r="U54" s="13">
        <v>1.5</v>
      </c>
      <c r="V54" s="12">
        <v>146.16</v>
      </c>
      <c r="W54" s="12">
        <v>0</v>
      </c>
      <c r="X54" s="1" t="s">
        <v>57</v>
      </c>
    </row>
    <row r="55" spans="1:24">
      <c r="A55" s="1" t="s">
        <v>108</v>
      </c>
      <c r="B55" s="1" t="s">
        <v>47</v>
      </c>
      <c r="C55" s="1" t="s">
        <v>48</v>
      </c>
      <c r="D55" s="1" t="s">
        <v>123</v>
      </c>
      <c r="E55" s="1" t="s">
        <v>271</v>
      </c>
      <c r="F55" s="1" t="s">
        <v>272</v>
      </c>
      <c r="G55" s="1" t="s">
        <v>268</v>
      </c>
      <c r="H55" s="1" t="s">
        <v>162</v>
      </c>
      <c r="I55" s="1" t="s">
        <v>137</v>
      </c>
      <c r="J55" s="1" t="s">
        <v>273</v>
      </c>
      <c r="K55" s="1" t="s">
        <v>191</v>
      </c>
      <c r="L55" s="11">
        <v>31</v>
      </c>
      <c r="M55" s="1" t="s">
        <v>73</v>
      </c>
      <c r="N55" s="1" t="s">
        <v>74</v>
      </c>
      <c r="O55" s="1" t="s">
        <v>75</v>
      </c>
      <c r="P55" s="1">
        <v>170</v>
      </c>
      <c r="Q55" s="12">
        <v>59.98</v>
      </c>
      <c r="R55" s="1" t="s">
        <v>61</v>
      </c>
      <c r="S55" s="1" t="s">
        <v>62</v>
      </c>
      <c r="T55" s="6" t="s">
        <v>63</v>
      </c>
      <c r="U55" s="13">
        <v>0.67500000000000004</v>
      </c>
      <c r="V55" s="12">
        <v>0.03</v>
      </c>
      <c r="W55" s="12">
        <v>-40.46</v>
      </c>
      <c r="X55" s="1" t="s">
        <v>57</v>
      </c>
    </row>
    <row r="56" spans="1:24">
      <c r="A56" s="1" t="s">
        <v>108</v>
      </c>
      <c r="B56" s="1" t="s">
        <v>47</v>
      </c>
      <c r="C56" s="1" t="s">
        <v>48</v>
      </c>
      <c r="D56" s="1" t="s">
        <v>123</v>
      </c>
      <c r="E56" s="1" t="s">
        <v>274</v>
      </c>
      <c r="F56" s="1" t="s">
        <v>275</v>
      </c>
      <c r="G56" s="1" t="s">
        <v>268</v>
      </c>
      <c r="H56" s="1" t="s">
        <v>162</v>
      </c>
      <c r="I56" s="1" t="s">
        <v>137</v>
      </c>
      <c r="J56" s="1" t="s">
        <v>273</v>
      </c>
      <c r="K56" s="1" t="s">
        <v>191</v>
      </c>
      <c r="L56" s="11">
        <v>29</v>
      </c>
      <c r="M56" s="1" t="s">
        <v>73</v>
      </c>
      <c r="N56" s="1" t="s">
        <v>74</v>
      </c>
      <c r="O56" s="1" t="s">
        <v>75</v>
      </c>
      <c r="P56" s="1">
        <v>120</v>
      </c>
      <c r="Q56" s="12">
        <v>59.68</v>
      </c>
      <c r="R56" s="1" t="s">
        <v>61</v>
      </c>
      <c r="S56" s="1" t="s">
        <v>62</v>
      </c>
      <c r="T56" s="6" t="s">
        <v>63</v>
      </c>
      <c r="U56" s="13">
        <v>0.67500000000000004</v>
      </c>
      <c r="V56" s="12">
        <v>0</v>
      </c>
      <c r="W56" s="12">
        <v>-40.28</v>
      </c>
      <c r="X56" s="1" t="s">
        <v>57</v>
      </c>
    </row>
    <row r="57" spans="1:24">
      <c r="A57" s="1" t="s">
        <v>108</v>
      </c>
      <c r="B57" s="1" t="s">
        <v>47</v>
      </c>
      <c r="C57" s="1" t="s">
        <v>48</v>
      </c>
      <c r="D57" s="1" t="s">
        <v>123</v>
      </c>
      <c r="E57" s="1" t="s">
        <v>276</v>
      </c>
      <c r="F57" s="1" t="s">
        <v>277</v>
      </c>
      <c r="G57" s="1" t="s">
        <v>52</v>
      </c>
      <c r="H57" s="1" t="s">
        <v>87</v>
      </c>
      <c r="I57" s="1" t="s">
        <v>142</v>
      </c>
      <c r="J57" s="1" t="s">
        <v>278</v>
      </c>
      <c r="K57" s="1" t="s">
        <v>129</v>
      </c>
      <c r="L57" s="11">
        <v>27</v>
      </c>
      <c r="M57" s="1" t="s">
        <v>73</v>
      </c>
      <c r="N57" s="1" t="s">
        <v>74</v>
      </c>
      <c r="O57" s="1" t="s">
        <v>75</v>
      </c>
      <c r="P57" s="1">
        <v>275</v>
      </c>
      <c r="Q57" s="12">
        <v>43.28</v>
      </c>
      <c r="R57" s="1" t="s">
        <v>61</v>
      </c>
      <c r="S57" s="1" t="s">
        <v>62</v>
      </c>
      <c r="T57" s="6" t="s">
        <v>63</v>
      </c>
      <c r="U57" s="13">
        <v>1.5</v>
      </c>
      <c r="V57" s="12">
        <v>0</v>
      </c>
      <c r="W57" s="12">
        <v>-64.92</v>
      </c>
      <c r="X57" s="1" t="s">
        <v>57</v>
      </c>
    </row>
    <row r="58" spans="1:24">
      <c r="A58" s="1" t="s">
        <v>108</v>
      </c>
      <c r="B58" s="1" t="s">
        <v>47</v>
      </c>
      <c r="C58" s="1" t="s">
        <v>48</v>
      </c>
      <c r="D58" s="1" t="s">
        <v>123</v>
      </c>
      <c r="E58" s="1" t="s">
        <v>279</v>
      </c>
      <c r="F58" s="1" t="s">
        <v>280</v>
      </c>
      <c r="G58" s="1" t="s">
        <v>68</v>
      </c>
      <c r="H58" s="1" t="s">
        <v>87</v>
      </c>
      <c r="I58" s="1" t="s">
        <v>137</v>
      </c>
      <c r="J58" s="1" t="s">
        <v>198</v>
      </c>
      <c r="K58" s="1" t="s">
        <v>71</v>
      </c>
      <c r="L58" s="11">
        <v>62</v>
      </c>
      <c r="M58" s="1" t="s">
        <v>73</v>
      </c>
      <c r="N58" s="1" t="s">
        <v>74</v>
      </c>
      <c r="O58" s="1" t="s">
        <v>75</v>
      </c>
      <c r="P58" s="1">
        <v>77</v>
      </c>
      <c r="Q58" s="12">
        <v>205.2</v>
      </c>
      <c r="R58" s="1" t="s">
        <v>61</v>
      </c>
      <c r="S58" s="1" t="s">
        <v>62</v>
      </c>
      <c r="T58" s="6" t="s">
        <v>63</v>
      </c>
      <c r="U58" s="13">
        <v>0.67500000000000004</v>
      </c>
      <c r="V58" s="12">
        <v>0</v>
      </c>
      <c r="W58" s="12">
        <v>-138.51</v>
      </c>
      <c r="X58" s="1" t="s">
        <v>57</v>
      </c>
    </row>
    <row r="59" spans="1:24">
      <c r="A59" s="1" t="s">
        <v>108</v>
      </c>
      <c r="B59" s="1" t="s">
        <v>47</v>
      </c>
      <c r="C59" s="1" t="s">
        <v>48</v>
      </c>
      <c r="D59" s="1" t="s">
        <v>123</v>
      </c>
      <c r="E59" s="1" t="s">
        <v>281</v>
      </c>
      <c r="F59" s="1" t="s">
        <v>282</v>
      </c>
      <c r="G59" s="1" t="s">
        <v>252</v>
      </c>
      <c r="H59" s="1" t="s">
        <v>87</v>
      </c>
      <c r="I59" s="1" t="s">
        <v>137</v>
      </c>
      <c r="J59" s="1" t="s">
        <v>283</v>
      </c>
      <c r="K59" s="1" t="s">
        <v>284</v>
      </c>
      <c r="L59" s="11">
        <v>62</v>
      </c>
      <c r="M59" s="1" t="s">
        <v>73</v>
      </c>
      <c r="N59" s="1" t="s">
        <v>74</v>
      </c>
      <c r="O59" s="1" t="s">
        <v>75</v>
      </c>
      <c r="P59" s="1">
        <v>35</v>
      </c>
      <c r="Q59" s="12">
        <v>79.739999999999995</v>
      </c>
      <c r="R59" s="1" t="s">
        <v>61</v>
      </c>
      <c r="S59" s="1" t="s">
        <v>62</v>
      </c>
      <c r="T59" s="6" t="s">
        <v>63</v>
      </c>
      <c r="U59" s="13">
        <v>0.67500000000000004</v>
      </c>
      <c r="V59" s="12">
        <v>0</v>
      </c>
      <c r="W59" s="12">
        <v>-53.82</v>
      </c>
      <c r="X59" s="1" t="s">
        <v>57</v>
      </c>
    </row>
    <row r="60" spans="1:24">
      <c r="A60" s="1" t="s">
        <v>108</v>
      </c>
      <c r="B60" s="1" t="s">
        <v>47</v>
      </c>
      <c r="C60" s="1" t="s">
        <v>48</v>
      </c>
      <c r="D60" s="1" t="s">
        <v>123</v>
      </c>
      <c r="E60" s="1" t="s">
        <v>285</v>
      </c>
      <c r="F60" s="1" t="s">
        <v>286</v>
      </c>
      <c r="G60" s="1" t="s">
        <v>252</v>
      </c>
      <c r="H60" s="1" t="s">
        <v>87</v>
      </c>
      <c r="I60" s="1" t="s">
        <v>137</v>
      </c>
      <c r="J60" s="1" t="s">
        <v>287</v>
      </c>
      <c r="K60" s="1" t="s">
        <v>154</v>
      </c>
      <c r="L60" s="11">
        <v>62</v>
      </c>
      <c r="M60" s="1" t="s">
        <v>73</v>
      </c>
      <c r="N60" s="1" t="s">
        <v>74</v>
      </c>
      <c r="O60" s="1" t="s">
        <v>75</v>
      </c>
      <c r="P60" s="1">
        <v>30</v>
      </c>
      <c r="Q60" s="12">
        <v>86.28</v>
      </c>
      <c r="R60" s="1" t="s">
        <v>61</v>
      </c>
      <c r="S60" s="1" t="s">
        <v>62</v>
      </c>
      <c r="T60" s="6" t="s">
        <v>63</v>
      </c>
      <c r="U60" s="13">
        <v>0.67500000000000004</v>
      </c>
      <c r="V60" s="12">
        <v>0</v>
      </c>
      <c r="W60" s="12">
        <v>-58.24</v>
      </c>
      <c r="X60" s="1" t="s">
        <v>57</v>
      </c>
    </row>
    <row r="61" spans="1:24">
      <c r="A61" s="1" t="s">
        <v>108</v>
      </c>
      <c r="B61" s="1" t="s">
        <v>47</v>
      </c>
      <c r="C61" s="1" t="s">
        <v>48</v>
      </c>
      <c r="D61" s="1" t="s">
        <v>123</v>
      </c>
      <c r="E61" s="1" t="s">
        <v>288</v>
      </c>
      <c r="F61" s="1" t="s">
        <v>289</v>
      </c>
      <c r="G61" s="1" t="s">
        <v>290</v>
      </c>
      <c r="H61" s="1" t="s">
        <v>87</v>
      </c>
      <c r="I61" s="1" t="s">
        <v>142</v>
      </c>
      <c r="J61" s="1" t="s">
        <v>291</v>
      </c>
      <c r="K61" s="1" t="s">
        <v>129</v>
      </c>
      <c r="L61" s="11">
        <v>61</v>
      </c>
      <c r="M61" s="1" t="s">
        <v>73</v>
      </c>
      <c r="N61" s="1" t="s">
        <v>74</v>
      </c>
      <c r="O61" s="1" t="s">
        <v>75</v>
      </c>
      <c r="P61" s="1">
        <v>100</v>
      </c>
      <c r="Q61" s="12">
        <v>147.03</v>
      </c>
      <c r="R61" s="1" t="s">
        <v>61</v>
      </c>
      <c r="S61" s="1" t="s">
        <v>62</v>
      </c>
      <c r="T61" s="6" t="s">
        <v>63</v>
      </c>
      <c r="U61" s="13">
        <v>1.5</v>
      </c>
      <c r="V61" s="12">
        <v>0</v>
      </c>
      <c r="W61" s="12">
        <v>-220.55</v>
      </c>
      <c r="X61" s="1" t="s">
        <v>57</v>
      </c>
    </row>
    <row r="62" spans="1:24">
      <c r="A62" s="1" t="s">
        <v>108</v>
      </c>
      <c r="B62" s="1" t="s">
        <v>47</v>
      </c>
      <c r="C62" s="1" t="s">
        <v>48</v>
      </c>
      <c r="D62" s="1" t="s">
        <v>123</v>
      </c>
      <c r="E62" s="1" t="s">
        <v>292</v>
      </c>
      <c r="F62" s="1" t="s">
        <v>293</v>
      </c>
      <c r="G62" s="1" t="s">
        <v>52</v>
      </c>
      <c r="H62" s="1" t="s">
        <v>87</v>
      </c>
      <c r="I62" s="1" t="s">
        <v>137</v>
      </c>
      <c r="J62" s="1" t="s">
        <v>294</v>
      </c>
      <c r="K62" s="1" t="s">
        <v>144</v>
      </c>
      <c r="L62" s="11">
        <v>63</v>
      </c>
      <c r="M62" s="1" t="s">
        <v>73</v>
      </c>
      <c r="N62" s="1" t="s">
        <v>74</v>
      </c>
      <c r="O62" s="1" t="s">
        <v>75</v>
      </c>
      <c r="P62" s="1">
        <v>53</v>
      </c>
      <c r="Q62" s="12">
        <v>120</v>
      </c>
      <c r="R62" s="1" t="s">
        <v>61</v>
      </c>
      <c r="S62" s="1" t="s">
        <v>62</v>
      </c>
      <c r="T62" s="6" t="s">
        <v>63</v>
      </c>
      <c r="U62" s="13">
        <v>0.67500000000000004</v>
      </c>
      <c r="V62" s="12">
        <v>0</v>
      </c>
      <c r="W62" s="12">
        <v>-81</v>
      </c>
      <c r="X62" s="1" t="s">
        <v>57</v>
      </c>
    </row>
    <row r="63" spans="1:24">
      <c r="A63" s="1" t="s">
        <v>108</v>
      </c>
      <c r="B63" s="1" t="s">
        <v>47</v>
      </c>
      <c r="C63" s="1" t="s">
        <v>48</v>
      </c>
      <c r="D63" s="1" t="s">
        <v>123</v>
      </c>
      <c r="E63" s="1" t="s">
        <v>295</v>
      </c>
      <c r="F63" s="1" t="s">
        <v>296</v>
      </c>
      <c r="G63" s="1" t="s">
        <v>268</v>
      </c>
      <c r="H63" s="1" t="s">
        <v>87</v>
      </c>
      <c r="I63" s="1" t="s">
        <v>137</v>
      </c>
      <c r="J63" s="1" t="s">
        <v>294</v>
      </c>
      <c r="K63" s="1" t="s">
        <v>144</v>
      </c>
      <c r="L63" s="11">
        <v>28</v>
      </c>
      <c r="M63" s="1" t="s">
        <v>73</v>
      </c>
      <c r="N63" s="1" t="s">
        <v>74</v>
      </c>
      <c r="O63" s="1" t="s">
        <v>75</v>
      </c>
      <c r="P63" s="1">
        <v>93</v>
      </c>
      <c r="Q63" s="12">
        <v>47</v>
      </c>
      <c r="R63" s="1" t="s">
        <v>61</v>
      </c>
      <c r="S63" s="1" t="s">
        <v>62</v>
      </c>
      <c r="T63" s="6" t="s">
        <v>63</v>
      </c>
      <c r="U63" s="13">
        <v>0.67500000000000004</v>
      </c>
      <c r="V63" s="12">
        <v>0</v>
      </c>
      <c r="W63" s="12">
        <v>-31.73</v>
      </c>
      <c r="X63" s="1" t="s">
        <v>57</v>
      </c>
    </row>
    <row r="64" spans="1:24">
      <c r="A64" s="1" t="s">
        <v>108</v>
      </c>
      <c r="B64" s="1" t="s">
        <v>47</v>
      </c>
      <c r="C64" s="1" t="s">
        <v>48</v>
      </c>
      <c r="D64" s="1" t="s">
        <v>123</v>
      </c>
      <c r="E64" s="1" t="s">
        <v>297</v>
      </c>
      <c r="F64" s="1" t="s">
        <v>298</v>
      </c>
      <c r="G64" s="1" t="s">
        <v>141</v>
      </c>
      <c r="H64" s="1" t="s">
        <v>53</v>
      </c>
      <c r="I64" s="1" t="s">
        <v>137</v>
      </c>
      <c r="J64" s="1" t="s">
        <v>299</v>
      </c>
      <c r="K64" s="1" t="s">
        <v>160</v>
      </c>
      <c r="L64" s="11">
        <v>64</v>
      </c>
      <c r="M64" s="1" t="s">
        <v>73</v>
      </c>
      <c r="N64" s="1" t="s">
        <v>74</v>
      </c>
      <c r="O64" s="1" t="s">
        <v>75</v>
      </c>
      <c r="P64" s="1">
        <v>125</v>
      </c>
      <c r="Q64" s="12">
        <v>292.95</v>
      </c>
      <c r="R64" s="1" t="s">
        <v>61</v>
      </c>
      <c r="S64" s="1" t="s">
        <v>62</v>
      </c>
      <c r="T64" s="6" t="s">
        <v>63</v>
      </c>
      <c r="U64" s="13">
        <v>0.67500000000000004</v>
      </c>
      <c r="V64" s="12">
        <v>0</v>
      </c>
      <c r="W64" s="12">
        <v>-197.74</v>
      </c>
      <c r="X64" s="1" t="s">
        <v>57</v>
      </c>
    </row>
    <row r="65" spans="1:24">
      <c r="A65" s="1" t="s">
        <v>108</v>
      </c>
      <c r="B65" s="1" t="s">
        <v>47</v>
      </c>
      <c r="C65" s="1" t="s">
        <v>48</v>
      </c>
      <c r="D65" s="1" t="s">
        <v>123</v>
      </c>
      <c r="E65" s="1" t="s">
        <v>300</v>
      </c>
      <c r="F65" s="1" t="s">
        <v>301</v>
      </c>
      <c r="G65" s="1" t="s">
        <v>126</v>
      </c>
      <c r="H65" s="1" t="s">
        <v>87</v>
      </c>
      <c r="I65" s="1" t="s">
        <v>142</v>
      </c>
      <c r="J65" s="1" t="s">
        <v>302</v>
      </c>
      <c r="K65" s="1" t="s">
        <v>144</v>
      </c>
      <c r="L65" s="11">
        <v>60</v>
      </c>
      <c r="M65" s="1" t="s">
        <v>73</v>
      </c>
      <c r="N65" s="1" t="s">
        <v>74</v>
      </c>
      <c r="O65" s="1" t="s">
        <v>75</v>
      </c>
      <c r="P65" s="1">
        <v>52</v>
      </c>
      <c r="Q65" s="12">
        <v>69.349999999999994</v>
      </c>
      <c r="R65" s="1" t="s">
        <v>61</v>
      </c>
      <c r="S65" s="1" t="s">
        <v>62</v>
      </c>
      <c r="T65" s="6" t="s">
        <v>63</v>
      </c>
      <c r="U65" s="13">
        <v>1.5</v>
      </c>
      <c r="V65" s="12">
        <v>0</v>
      </c>
      <c r="W65" s="12">
        <v>-104.03</v>
      </c>
      <c r="X65" s="1" t="s">
        <v>57</v>
      </c>
    </row>
    <row r="66" spans="1:24">
      <c r="A66" s="1" t="s">
        <v>108</v>
      </c>
      <c r="B66" s="1" t="s">
        <v>47</v>
      </c>
      <c r="C66" s="1" t="s">
        <v>48</v>
      </c>
      <c r="D66" s="1" t="s">
        <v>123</v>
      </c>
      <c r="E66" s="1" t="s">
        <v>303</v>
      </c>
      <c r="F66" s="1" t="s">
        <v>304</v>
      </c>
      <c r="G66" s="1" t="s">
        <v>126</v>
      </c>
      <c r="H66" s="1" t="s">
        <v>87</v>
      </c>
      <c r="I66" s="1" t="s">
        <v>142</v>
      </c>
      <c r="J66" s="1" t="s">
        <v>302</v>
      </c>
      <c r="K66" s="1" t="s">
        <v>144</v>
      </c>
      <c r="L66" s="11">
        <v>31</v>
      </c>
      <c r="M66" s="1" t="s">
        <v>73</v>
      </c>
      <c r="N66" s="1" t="s">
        <v>74</v>
      </c>
      <c r="O66" s="1" t="s">
        <v>75</v>
      </c>
      <c r="P66" s="1">
        <v>265</v>
      </c>
      <c r="Q66" s="12">
        <v>47.79</v>
      </c>
      <c r="R66" s="1" t="s">
        <v>61</v>
      </c>
      <c r="S66" s="1" t="s">
        <v>62</v>
      </c>
      <c r="T66" s="6" t="s">
        <v>63</v>
      </c>
      <c r="U66" s="13">
        <v>1.5</v>
      </c>
      <c r="V66" s="12">
        <v>0</v>
      </c>
      <c r="W66" s="12">
        <v>-71.69</v>
      </c>
      <c r="X66" s="1" t="s">
        <v>57</v>
      </c>
    </row>
    <row r="67" spans="1:24">
      <c r="A67" s="1" t="s">
        <v>108</v>
      </c>
      <c r="B67" s="1" t="s">
        <v>47</v>
      </c>
      <c r="C67" s="1" t="s">
        <v>48</v>
      </c>
      <c r="D67" s="1" t="s">
        <v>123</v>
      </c>
      <c r="E67" s="1" t="s">
        <v>305</v>
      </c>
      <c r="F67" s="1" t="s">
        <v>306</v>
      </c>
      <c r="G67" s="1" t="s">
        <v>126</v>
      </c>
      <c r="H67" s="1" t="s">
        <v>87</v>
      </c>
      <c r="I67" s="1" t="s">
        <v>142</v>
      </c>
      <c r="J67" s="1" t="s">
        <v>302</v>
      </c>
      <c r="K67" s="1" t="s">
        <v>144</v>
      </c>
      <c r="L67" s="11">
        <v>28</v>
      </c>
      <c r="M67" s="1" t="s">
        <v>73</v>
      </c>
      <c r="N67" s="1" t="s">
        <v>74</v>
      </c>
      <c r="O67" s="1" t="s">
        <v>75</v>
      </c>
      <c r="P67" s="1">
        <v>265</v>
      </c>
      <c r="Q67" s="12">
        <v>43.31</v>
      </c>
      <c r="R67" s="1" t="s">
        <v>61</v>
      </c>
      <c r="S67" s="1" t="s">
        <v>62</v>
      </c>
      <c r="T67" s="6" t="s">
        <v>63</v>
      </c>
      <c r="U67" s="13">
        <v>1.5</v>
      </c>
      <c r="V67" s="12">
        <v>0</v>
      </c>
      <c r="W67" s="12">
        <v>-64.97</v>
      </c>
      <c r="X67" s="1" t="s">
        <v>57</v>
      </c>
    </row>
    <row r="68" spans="1:24">
      <c r="A68" s="1" t="s">
        <v>108</v>
      </c>
      <c r="B68" s="1" t="s">
        <v>47</v>
      </c>
      <c r="C68" s="1" t="s">
        <v>48</v>
      </c>
      <c r="D68" s="1" t="s">
        <v>123</v>
      </c>
      <c r="E68" s="1" t="s">
        <v>307</v>
      </c>
      <c r="F68" s="1" t="s">
        <v>308</v>
      </c>
      <c r="G68" s="1" t="s">
        <v>126</v>
      </c>
      <c r="H68" s="1" t="s">
        <v>87</v>
      </c>
      <c r="I68" s="1" t="s">
        <v>137</v>
      </c>
      <c r="J68" s="1" t="s">
        <v>309</v>
      </c>
      <c r="K68" s="1" t="s">
        <v>129</v>
      </c>
      <c r="L68" s="11">
        <v>60</v>
      </c>
      <c r="M68" s="1" t="s">
        <v>73</v>
      </c>
      <c r="N68" s="1" t="s">
        <v>74</v>
      </c>
      <c r="O68" s="1" t="s">
        <v>75</v>
      </c>
      <c r="P68" s="1">
        <v>65</v>
      </c>
      <c r="Q68" s="12">
        <v>112.84</v>
      </c>
      <c r="R68" s="1" t="s">
        <v>61</v>
      </c>
      <c r="S68" s="1" t="s">
        <v>62</v>
      </c>
      <c r="T68" s="6" t="s">
        <v>63</v>
      </c>
      <c r="U68" s="13">
        <v>0.67500000000000004</v>
      </c>
      <c r="V68" s="12">
        <v>0</v>
      </c>
      <c r="W68" s="12">
        <v>-76.17</v>
      </c>
      <c r="X68" s="1" t="s">
        <v>57</v>
      </c>
    </row>
    <row r="69" spans="1:24">
      <c r="A69" s="1" t="s">
        <v>108</v>
      </c>
      <c r="B69" s="1" t="s">
        <v>47</v>
      </c>
      <c r="C69" s="1" t="s">
        <v>48</v>
      </c>
      <c r="D69" s="1" t="s">
        <v>123</v>
      </c>
      <c r="E69" s="1" t="s">
        <v>310</v>
      </c>
      <c r="F69" s="1" t="s">
        <v>311</v>
      </c>
      <c r="G69" s="1" t="s">
        <v>68</v>
      </c>
      <c r="H69" s="1" t="s">
        <v>87</v>
      </c>
      <c r="I69" s="1" t="s">
        <v>137</v>
      </c>
      <c r="J69" s="1" t="s">
        <v>309</v>
      </c>
      <c r="K69" s="1" t="s">
        <v>129</v>
      </c>
      <c r="L69" s="11">
        <v>26</v>
      </c>
      <c r="M69" s="1" t="s">
        <v>73</v>
      </c>
      <c r="N69" s="1" t="s">
        <v>74</v>
      </c>
      <c r="O69" s="1" t="s">
        <v>75</v>
      </c>
      <c r="P69" s="1">
        <v>175</v>
      </c>
      <c r="Q69" s="12">
        <v>80.8</v>
      </c>
      <c r="R69" s="1" t="s">
        <v>61</v>
      </c>
      <c r="S69" s="1" t="s">
        <v>62</v>
      </c>
      <c r="T69" s="6" t="s">
        <v>63</v>
      </c>
      <c r="U69" s="13">
        <v>0.67500000000000004</v>
      </c>
      <c r="V69" s="12">
        <v>0</v>
      </c>
      <c r="W69" s="12">
        <v>-54.54</v>
      </c>
      <c r="X69" s="1" t="s">
        <v>57</v>
      </c>
    </row>
    <row r="70" spans="1:24">
      <c r="A70" s="1" t="s">
        <v>108</v>
      </c>
      <c r="B70" s="1" t="s">
        <v>47</v>
      </c>
      <c r="C70" s="1" t="s">
        <v>48</v>
      </c>
      <c r="D70" s="1" t="s">
        <v>123</v>
      </c>
      <c r="E70" s="1" t="s">
        <v>312</v>
      </c>
      <c r="F70" s="1" t="s">
        <v>313</v>
      </c>
      <c r="G70" s="1" t="s">
        <v>52</v>
      </c>
      <c r="H70" s="1" t="s">
        <v>87</v>
      </c>
      <c r="I70" s="1" t="s">
        <v>142</v>
      </c>
      <c r="J70" s="1" t="s">
        <v>302</v>
      </c>
      <c r="K70" s="1" t="s">
        <v>144</v>
      </c>
      <c r="L70" s="11">
        <v>40</v>
      </c>
      <c r="M70" s="1" t="s">
        <v>73</v>
      </c>
      <c r="N70" s="1" t="s">
        <v>74</v>
      </c>
      <c r="O70" s="1" t="s">
        <v>75</v>
      </c>
      <c r="P70" s="1">
        <v>250</v>
      </c>
      <c r="Q70" s="12">
        <v>69.87</v>
      </c>
      <c r="R70" s="1" t="s">
        <v>61</v>
      </c>
      <c r="S70" s="1" t="s">
        <v>62</v>
      </c>
      <c r="T70" s="6" t="s">
        <v>63</v>
      </c>
      <c r="U70" s="13">
        <v>1.5</v>
      </c>
      <c r="V70" s="12">
        <v>0</v>
      </c>
      <c r="W70" s="12">
        <v>-104.81</v>
      </c>
      <c r="X70" s="1" t="s">
        <v>57</v>
      </c>
    </row>
    <row r="71" spans="1:24">
      <c r="A71" s="1" t="s">
        <v>108</v>
      </c>
      <c r="B71" s="1" t="s">
        <v>47</v>
      </c>
      <c r="C71" s="1" t="s">
        <v>48</v>
      </c>
      <c r="D71" s="1" t="s">
        <v>123</v>
      </c>
      <c r="E71" s="1" t="s">
        <v>314</v>
      </c>
      <c r="F71" s="1" t="s">
        <v>315</v>
      </c>
      <c r="G71" s="1" t="s">
        <v>316</v>
      </c>
      <c r="H71" s="1" t="s">
        <v>81</v>
      </c>
      <c r="I71" s="1" t="s">
        <v>137</v>
      </c>
      <c r="J71" s="1" t="s">
        <v>71</v>
      </c>
      <c r="K71" s="1" t="s">
        <v>71</v>
      </c>
      <c r="L71" s="11">
        <v>26</v>
      </c>
      <c r="M71" s="1" t="s">
        <v>73</v>
      </c>
      <c r="N71" s="1" t="s">
        <v>74</v>
      </c>
      <c r="O71" s="1" t="s">
        <v>75</v>
      </c>
      <c r="P71" s="1">
        <v>65</v>
      </c>
      <c r="Q71" s="12">
        <v>298.98</v>
      </c>
      <c r="R71" s="1" t="s">
        <v>61</v>
      </c>
      <c r="S71" s="1" t="s">
        <v>317</v>
      </c>
      <c r="T71" s="6" t="s">
        <v>63</v>
      </c>
      <c r="U71" s="13">
        <v>0.67500000000000004</v>
      </c>
      <c r="V71" s="12">
        <v>201.81</v>
      </c>
      <c r="W71" s="12">
        <v>201.81</v>
      </c>
      <c r="X71" s="1" t="s">
        <v>57</v>
      </c>
    </row>
    <row r="72" spans="1:24">
      <c r="A72" s="1" t="s">
        <v>108</v>
      </c>
      <c r="B72" s="1" t="s">
        <v>47</v>
      </c>
      <c r="C72" s="1" t="s">
        <v>48</v>
      </c>
      <c r="D72" s="1" t="s">
        <v>318</v>
      </c>
      <c r="E72" s="1" t="s">
        <v>319</v>
      </c>
      <c r="F72" s="1" t="s">
        <v>320</v>
      </c>
      <c r="G72" s="1" t="s">
        <v>52</v>
      </c>
      <c r="H72" s="1" t="s">
        <v>87</v>
      </c>
      <c r="I72" s="1" t="s">
        <v>221</v>
      </c>
      <c r="J72" s="1" t="s">
        <v>321</v>
      </c>
      <c r="K72" s="1" t="s">
        <v>322</v>
      </c>
      <c r="L72" s="11">
        <v>64</v>
      </c>
      <c r="M72" s="1" t="s">
        <v>73</v>
      </c>
      <c r="N72" s="1" t="s">
        <v>74</v>
      </c>
      <c r="O72" s="1" t="s">
        <v>75</v>
      </c>
      <c r="P72" s="1">
        <v>20</v>
      </c>
      <c r="Q72" s="12">
        <v>95.05</v>
      </c>
      <c r="R72" s="1" t="s">
        <v>61</v>
      </c>
      <c r="S72" s="1" t="s">
        <v>62</v>
      </c>
      <c r="T72" s="6" t="s">
        <v>63</v>
      </c>
      <c r="U72" s="13">
        <v>0.875</v>
      </c>
      <c r="V72" s="12">
        <v>0</v>
      </c>
      <c r="W72" s="12">
        <v>-83.17</v>
      </c>
      <c r="X72" s="1" t="s">
        <v>57</v>
      </c>
    </row>
    <row r="73" spans="1:24">
      <c r="A73" s="1" t="s">
        <v>108</v>
      </c>
      <c r="B73" s="1" t="s">
        <v>47</v>
      </c>
      <c r="C73" s="1" t="s">
        <v>48</v>
      </c>
      <c r="D73" s="1" t="s">
        <v>323</v>
      </c>
      <c r="E73" s="1" t="s">
        <v>324</v>
      </c>
      <c r="F73" s="1" t="s">
        <v>325</v>
      </c>
      <c r="G73" s="1" t="s">
        <v>52</v>
      </c>
      <c r="H73" s="1" t="s">
        <v>69</v>
      </c>
      <c r="I73" s="1" t="s">
        <v>127</v>
      </c>
      <c r="J73" s="1" t="s">
        <v>326</v>
      </c>
      <c r="K73" s="1" t="s">
        <v>327</v>
      </c>
      <c r="L73" s="11">
        <v>63</v>
      </c>
      <c r="M73" s="1" t="s">
        <v>73</v>
      </c>
      <c r="N73" s="1" t="s">
        <v>74</v>
      </c>
      <c r="O73" s="1" t="s">
        <v>75</v>
      </c>
      <c r="P73" s="1">
        <v>10</v>
      </c>
      <c r="Q73" s="12">
        <v>37.72</v>
      </c>
      <c r="R73" s="1" t="s">
        <v>83</v>
      </c>
      <c r="S73" s="1" t="s">
        <v>84</v>
      </c>
      <c r="T73" s="6" t="s">
        <v>63</v>
      </c>
      <c r="U73" s="13">
        <v>7.0000000000000007E-2</v>
      </c>
      <c r="V73" s="12">
        <v>2.64</v>
      </c>
      <c r="W73" s="12">
        <v>0</v>
      </c>
      <c r="X73" s="1" t="s">
        <v>57</v>
      </c>
    </row>
    <row r="74" spans="1:24">
      <c r="A74" s="1" t="s">
        <v>108</v>
      </c>
      <c r="B74" s="1" t="s">
        <v>47</v>
      </c>
      <c r="C74" s="1" t="s">
        <v>48</v>
      </c>
      <c r="D74" s="1" t="s">
        <v>328</v>
      </c>
      <c r="E74" s="1" t="s">
        <v>329</v>
      </c>
      <c r="F74" s="1" t="s">
        <v>330</v>
      </c>
      <c r="G74" s="1" t="s">
        <v>112</v>
      </c>
      <c r="H74" s="1" t="s">
        <v>87</v>
      </c>
      <c r="I74" s="1" t="s">
        <v>137</v>
      </c>
      <c r="J74" s="1" t="s">
        <v>331</v>
      </c>
      <c r="K74" s="1" t="s">
        <v>129</v>
      </c>
      <c r="L74" s="11">
        <v>67</v>
      </c>
      <c r="M74" s="1" t="s">
        <v>73</v>
      </c>
      <c r="N74" s="1" t="s">
        <v>74</v>
      </c>
      <c r="O74" s="1" t="s">
        <v>75</v>
      </c>
      <c r="P74" s="1">
        <v>25</v>
      </c>
      <c r="Q74" s="12">
        <v>75.55</v>
      </c>
      <c r="R74" s="1" t="s">
        <v>61</v>
      </c>
      <c r="S74" s="1" t="s">
        <v>62</v>
      </c>
      <c r="T74" s="6" t="s">
        <v>63</v>
      </c>
      <c r="U74" s="13">
        <v>1.35</v>
      </c>
      <c r="V74" s="12">
        <v>0</v>
      </c>
      <c r="W74" s="12">
        <v>-101.99</v>
      </c>
      <c r="X74" s="1" t="s">
        <v>57</v>
      </c>
    </row>
    <row r="75" spans="1:24">
      <c r="A75" s="1" t="s">
        <v>108</v>
      </c>
      <c r="B75" s="1" t="s">
        <v>47</v>
      </c>
      <c r="C75" s="1" t="s">
        <v>48</v>
      </c>
      <c r="D75" s="1" t="s">
        <v>332</v>
      </c>
      <c r="E75" s="1" t="s">
        <v>333</v>
      </c>
      <c r="F75" s="1" t="s">
        <v>334</v>
      </c>
      <c r="G75" s="1" t="s">
        <v>335</v>
      </c>
      <c r="H75" s="1" t="s">
        <v>87</v>
      </c>
      <c r="I75" s="1" t="s">
        <v>137</v>
      </c>
      <c r="J75" s="1" t="s">
        <v>336</v>
      </c>
      <c r="K75" s="1" t="s">
        <v>154</v>
      </c>
      <c r="L75" s="11">
        <v>62</v>
      </c>
      <c r="M75" s="1" t="s">
        <v>73</v>
      </c>
      <c r="N75" s="1" t="s">
        <v>74</v>
      </c>
      <c r="O75" s="1" t="s">
        <v>75</v>
      </c>
      <c r="P75" s="1">
        <v>140</v>
      </c>
      <c r="Q75" s="12">
        <v>282.98</v>
      </c>
      <c r="R75" s="1" t="s">
        <v>61</v>
      </c>
      <c r="S75" s="1" t="s">
        <v>62</v>
      </c>
      <c r="T75" s="6" t="s">
        <v>63</v>
      </c>
      <c r="U75" s="13">
        <v>0.67500000000000004</v>
      </c>
      <c r="V75" s="12">
        <v>0</v>
      </c>
      <c r="W75" s="12">
        <v>-191.01</v>
      </c>
      <c r="X75" s="1" t="s">
        <v>57</v>
      </c>
    </row>
    <row r="76" spans="1:24">
      <c r="A76" s="1" t="s">
        <v>108</v>
      </c>
      <c r="B76" s="1" t="s">
        <v>47</v>
      </c>
      <c r="C76" s="1" t="s">
        <v>48</v>
      </c>
      <c r="D76" s="1" t="s">
        <v>337</v>
      </c>
      <c r="E76" s="1" t="s">
        <v>338</v>
      </c>
      <c r="F76" s="1" t="s">
        <v>339</v>
      </c>
      <c r="G76" s="1" t="s">
        <v>52</v>
      </c>
      <c r="H76" s="1" t="s">
        <v>81</v>
      </c>
      <c r="I76" s="1" t="s">
        <v>127</v>
      </c>
      <c r="J76" s="1" t="s">
        <v>340</v>
      </c>
      <c r="K76" s="1" t="s">
        <v>341</v>
      </c>
      <c r="L76" s="11">
        <v>68</v>
      </c>
      <c r="M76" s="1" t="s">
        <v>342</v>
      </c>
      <c r="N76" s="1" t="s">
        <v>74</v>
      </c>
      <c r="O76" s="1" t="s">
        <v>343</v>
      </c>
      <c r="P76" s="1">
        <v>15</v>
      </c>
      <c r="Q76" s="12">
        <v>865.08</v>
      </c>
      <c r="R76" s="1" t="s">
        <v>83</v>
      </c>
      <c r="S76" s="1" t="s">
        <v>84</v>
      </c>
      <c r="T76" s="6" t="s">
        <v>63</v>
      </c>
      <c r="U76" s="13">
        <v>7.0000000000000007E-2</v>
      </c>
      <c r="V76" s="12">
        <v>60.56</v>
      </c>
      <c r="W76" s="12">
        <v>0</v>
      </c>
      <c r="X76" s="1" t="s">
        <v>57</v>
      </c>
    </row>
    <row r="77" spans="1:24">
      <c r="A77" s="1" t="s">
        <v>108</v>
      </c>
      <c r="B77" s="1" t="s">
        <v>47</v>
      </c>
      <c r="C77" s="1" t="s">
        <v>48</v>
      </c>
      <c r="D77" s="1" t="s">
        <v>134</v>
      </c>
      <c r="E77" s="1" t="s">
        <v>344</v>
      </c>
      <c r="F77" s="1" t="s">
        <v>345</v>
      </c>
      <c r="G77" s="1" t="s">
        <v>52</v>
      </c>
      <c r="H77" s="1" t="s">
        <v>87</v>
      </c>
      <c r="I77" s="1" t="s">
        <v>137</v>
      </c>
      <c r="J77" s="1" t="s">
        <v>346</v>
      </c>
      <c r="K77" s="1" t="s">
        <v>347</v>
      </c>
      <c r="L77" s="11">
        <v>55</v>
      </c>
      <c r="M77" s="1" t="s">
        <v>73</v>
      </c>
      <c r="N77" s="1" t="s">
        <v>74</v>
      </c>
      <c r="O77" s="1" t="s">
        <v>75</v>
      </c>
      <c r="P77" s="1">
        <v>50</v>
      </c>
      <c r="Q77" s="12">
        <v>68.239999999999995</v>
      </c>
      <c r="R77" s="1" t="s">
        <v>61</v>
      </c>
      <c r="S77" s="1" t="s">
        <v>62</v>
      </c>
      <c r="T77" s="6" t="s">
        <v>63</v>
      </c>
      <c r="U77" s="13">
        <v>1.35</v>
      </c>
      <c r="V77" s="12">
        <v>92.08</v>
      </c>
      <c r="W77" s="12">
        <v>-0.04</v>
      </c>
      <c r="X77" s="1" t="s">
        <v>57</v>
      </c>
    </row>
    <row r="78" spans="1:24">
      <c r="A78" s="1" t="s">
        <v>108</v>
      </c>
      <c r="B78" s="1" t="s">
        <v>47</v>
      </c>
      <c r="C78" s="1" t="s">
        <v>48</v>
      </c>
      <c r="D78" s="1" t="s">
        <v>49</v>
      </c>
      <c r="E78" s="1" t="s">
        <v>348</v>
      </c>
      <c r="F78" s="1" t="s">
        <v>349</v>
      </c>
      <c r="G78" s="1" t="s">
        <v>350</v>
      </c>
      <c r="H78" s="1" t="s">
        <v>87</v>
      </c>
      <c r="I78" s="1" t="s">
        <v>137</v>
      </c>
      <c r="J78" s="1" t="s">
        <v>71</v>
      </c>
      <c r="K78" s="1" t="s">
        <v>71</v>
      </c>
      <c r="L78" s="11">
        <v>60</v>
      </c>
      <c r="M78" s="1" t="s">
        <v>73</v>
      </c>
      <c r="N78" s="1" t="s">
        <v>74</v>
      </c>
      <c r="O78" s="1" t="s">
        <v>75</v>
      </c>
      <c r="P78" s="1">
        <v>75</v>
      </c>
      <c r="Q78" s="12">
        <v>1618.38</v>
      </c>
      <c r="R78" s="1" t="s">
        <v>61</v>
      </c>
      <c r="S78" s="1" t="s">
        <v>317</v>
      </c>
      <c r="T78" s="6" t="s">
        <v>63</v>
      </c>
      <c r="U78" s="13">
        <v>0.67500000000000004</v>
      </c>
      <c r="V78" s="12">
        <v>1092.4100000000001</v>
      </c>
      <c r="W78" s="12">
        <v>1092.4100000000001</v>
      </c>
      <c r="X78" s="1" t="s">
        <v>57</v>
      </c>
    </row>
    <row r="79" spans="1:24">
      <c r="A79" s="1" t="s">
        <v>108</v>
      </c>
      <c r="B79" s="1" t="s">
        <v>47</v>
      </c>
      <c r="C79" s="1" t="s">
        <v>48</v>
      </c>
      <c r="D79" s="1" t="s">
        <v>351</v>
      </c>
      <c r="E79" s="1" t="s">
        <v>352</v>
      </c>
      <c r="F79" s="1" t="s">
        <v>353</v>
      </c>
      <c r="G79" s="1" t="s">
        <v>172</v>
      </c>
      <c r="H79" s="1" t="s">
        <v>69</v>
      </c>
      <c r="I79" s="1" t="s">
        <v>137</v>
      </c>
      <c r="J79" s="1" t="s">
        <v>69</v>
      </c>
      <c r="K79" s="1" t="s">
        <v>270</v>
      </c>
      <c r="L79" s="11">
        <v>31</v>
      </c>
      <c r="M79" s="1" t="s">
        <v>73</v>
      </c>
      <c r="N79" s="1" t="s">
        <v>74</v>
      </c>
      <c r="O79" s="1" t="s">
        <v>75</v>
      </c>
      <c r="P79" s="1">
        <v>150</v>
      </c>
      <c r="Q79" s="12">
        <v>661.68</v>
      </c>
      <c r="R79" s="1" t="s">
        <v>61</v>
      </c>
      <c r="S79" s="1" t="s">
        <v>76</v>
      </c>
      <c r="T79" s="6" t="s">
        <v>63</v>
      </c>
      <c r="U79" s="13">
        <v>1.35</v>
      </c>
      <c r="V79" s="12">
        <v>893.27</v>
      </c>
      <c r="W79" s="12">
        <v>893.27</v>
      </c>
      <c r="X79" s="1" t="s">
        <v>57</v>
      </c>
    </row>
    <row r="80" spans="1:24">
      <c r="A80" s="1" t="s">
        <v>108</v>
      </c>
      <c r="B80" s="1" t="s">
        <v>47</v>
      </c>
      <c r="C80" s="1" t="s">
        <v>48</v>
      </c>
      <c r="D80" s="1" t="s">
        <v>49</v>
      </c>
      <c r="E80" s="1" t="s">
        <v>354</v>
      </c>
      <c r="F80" s="1" t="s">
        <v>355</v>
      </c>
      <c r="G80" s="1" t="s">
        <v>350</v>
      </c>
      <c r="H80" s="1" t="s">
        <v>87</v>
      </c>
      <c r="I80" s="1" t="s">
        <v>137</v>
      </c>
      <c r="J80" s="1" t="s">
        <v>71</v>
      </c>
      <c r="K80" s="1" t="s">
        <v>71</v>
      </c>
      <c r="L80" s="11">
        <v>54</v>
      </c>
      <c r="M80" s="1" t="s">
        <v>73</v>
      </c>
      <c r="N80" s="1" t="s">
        <v>74</v>
      </c>
      <c r="O80" s="1" t="s">
        <v>75</v>
      </c>
      <c r="P80" s="1">
        <v>75</v>
      </c>
      <c r="Q80" s="12">
        <v>840.78</v>
      </c>
      <c r="R80" s="1" t="s">
        <v>61</v>
      </c>
      <c r="S80" s="1" t="s">
        <v>317</v>
      </c>
      <c r="T80" s="6" t="s">
        <v>63</v>
      </c>
      <c r="U80" s="13">
        <v>0.67500000000000004</v>
      </c>
      <c r="V80" s="12">
        <v>567.53</v>
      </c>
      <c r="W80" s="12">
        <v>567.53</v>
      </c>
      <c r="X80" s="1" t="s">
        <v>57</v>
      </c>
    </row>
    <row r="81" spans="1:24">
      <c r="A81" s="1" t="s">
        <v>108</v>
      </c>
      <c r="B81" s="1" t="s">
        <v>47</v>
      </c>
      <c r="C81" s="1" t="s">
        <v>48</v>
      </c>
      <c r="D81" s="1" t="s">
        <v>351</v>
      </c>
      <c r="E81" s="1" t="s">
        <v>352</v>
      </c>
      <c r="F81" s="1" t="s">
        <v>353</v>
      </c>
      <c r="G81" s="1" t="s">
        <v>172</v>
      </c>
      <c r="H81" s="1" t="s">
        <v>53</v>
      </c>
      <c r="I81" s="1" t="s">
        <v>137</v>
      </c>
      <c r="J81" s="1" t="s">
        <v>69</v>
      </c>
      <c r="K81" s="1" t="s">
        <v>270</v>
      </c>
      <c r="L81" s="11">
        <v>31</v>
      </c>
      <c r="M81" s="1" t="s">
        <v>73</v>
      </c>
      <c r="N81" s="1" t="s">
        <v>74</v>
      </c>
      <c r="O81" s="1" t="s">
        <v>75</v>
      </c>
      <c r="P81" s="1">
        <v>150</v>
      </c>
      <c r="Q81" s="12">
        <v>73.52</v>
      </c>
      <c r="R81" s="1" t="s">
        <v>61</v>
      </c>
      <c r="S81" s="1" t="s">
        <v>161</v>
      </c>
      <c r="T81" s="6" t="s">
        <v>63</v>
      </c>
      <c r="U81" s="13">
        <v>1.35</v>
      </c>
      <c r="V81" s="12">
        <v>0</v>
      </c>
      <c r="W81" s="12">
        <v>-99.25</v>
      </c>
      <c r="X81" s="1" t="s">
        <v>57</v>
      </c>
    </row>
    <row r="82" spans="1:24">
      <c r="A82" s="1" t="s">
        <v>108</v>
      </c>
      <c r="B82" s="1" t="s">
        <v>47</v>
      </c>
      <c r="C82" s="1" t="s">
        <v>48</v>
      </c>
      <c r="D82" s="1" t="s">
        <v>351</v>
      </c>
      <c r="E82" s="1" t="s">
        <v>356</v>
      </c>
      <c r="F82" s="1" t="s">
        <v>357</v>
      </c>
      <c r="G82" s="1" t="s">
        <v>172</v>
      </c>
      <c r="H82" s="1" t="s">
        <v>53</v>
      </c>
      <c r="I82" s="1" t="s">
        <v>358</v>
      </c>
      <c r="J82" s="1" t="s">
        <v>71</v>
      </c>
      <c r="K82" s="1" t="s">
        <v>71</v>
      </c>
      <c r="L82" s="11">
        <v>50</v>
      </c>
      <c r="M82" s="1" t="s">
        <v>73</v>
      </c>
      <c r="N82" s="1" t="s">
        <v>74</v>
      </c>
      <c r="O82" s="1" t="s">
        <v>75</v>
      </c>
      <c r="P82" s="1">
        <v>500</v>
      </c>
      <c r="Q82" s="12">
        <v>3646.53</v>
      </c>
      <c r="R82" s="1" t="s">
        <v>61</v>
      </c>
      <c r="S82" s="1" t="s">
        <v>76</v>
      </c>
      <c r="T82" s="6" t="s">
        <v>63</v>
      </c>
      <c r="U82" s="13">
        <v>1.5</v>
      </c>
      <c r="V82" s="12">
        <v>2000</v>
      </c>
      <c r="W82" s="12">
        <v>2000</v>
      </c>
      <c r="X82" s="1" t="s">
        <v>57</v>
      </c>
    </row>
    <row r="83" spans="1:24">
      <c r="A83" s="1" t="s">
        <v>108</v>
      </c>
      <c r="B83" s="1" t="s">
        <v>47</v>
      </c>
      <c r="C83" s="1" t="s">
        <v>48</v>
      </c>
      <c r="D83" s="1" t="s">
        <v>134</v>
      </c>
      <c r="E83" s="1" t="s">
        <v>359</v>
      </c>
      <c r="F83" s="1" t="s">
        <v>360</v>
      </c>
      <c r="G83" s="1" t="s">
        <v>52</v>
      </c>
      <c r="H83" s="1" t="s">
        <v>87</v>
      </c>
      <c r="I83" s="1" t="s">
        <v>137</v>
      </c>
      <c r="J83" s="1" t="s">
        <v>361</v>
      </c>
      <c r="K83" s="1" t="s">
        <v>362</v>
      </c>
      <c r="L83" s="11">
        <v>65</v>
      </c>
      <c r="M83" s="1" t="s">
        <v>73</v>
      </c>
      <c r="N83" s="1" t="s">
        <v>74</v>
      </c>
      <c r="O83" s="1" t="s">
        <v>75</v>
      </c>
      <c r="P83" s="1">
        <v>25</v>
      </c>
      <c r="Q83" s="12">
        <v>68.66</v>
      </c>
      <c r="R83" s="1" t="s">
        <v>61</v>
      </c>
      <c r="S83" s="1" t="s">
        <v>62</v>
      </c>
      <c r="T83" s="6" t="s">
        <v>63</v>
      </c>
      <c r="U83" s="13">
        <v>1.35</v>
      </c>
      <c r="V83" s="12">
        <v>0</v>
      </c>
      <c r="W83" s="12">
        <v>-92.69</v>
      </c>
      <c r="X83" s="1" t="s">
        <v>57</v>
      </c>
    </row>
    <row r="84" spans="1:24">
      <c r="A84" s="1" t="s">
        <v>108</v>
      </c>
      <c r="B84" s="1" t="s">
        <v>47</v>
      </c>
      <c r="C84" s="1" t="s">
        <v>48</v>
      </c>
      <c r="D84" s="1" t="s">
        <v>244</v>
      </c>
      <c r="E84" s="1" t="s">
        <v>363</v>
      </c>
      <c r="F84" s="1" t="s">
        <v>364</v>
      </c>
      <c r="G84" s="1" t="s">
        <v>247</v>
      </c>
      <c r="H84" s="1" t="s">
        <v>87</v>
      </c>
      <c r="I84" s="1" t="s">
        <v>173</v>
      </c>
      <c r="J84" s="1" t="s">
        <v>167</v>
      </c>
      <c r="K84" s="1" t="s">
        <v>168</v>
      </c>
      <c r="L84" s="11">
        <v>57</v>
      </c>
      <c r="M84" s="1" t="s">
        <v>73</v>
      </c>
      <c r="N84" s="1" t="s">
        <v>74</v>
      </c>
      <c r="O84" s="1" t="s">
        <v>75</v>
      </c>
      <c r="P84" s="1">
        <v>100</v>
      </c>
      <c r="Q84" s="12">
        <v>67.28</v>
      </c>
      <c r="R84" s="1" t="s">
        <v>61</v>
      </c>
      <c r="S84" s="1" t="s">
        <v>62</v>
      </c>
      <c r="T84" s="6" t="s">
        <v>63</v>
      </c>
      <c r="U84" s="13">
        <v>1.3</v>
      </c>
      <c r="V84" s="12">
        <v>0</v>
      </c>
      <c r="W84" s="12">
        <v>-87.46</v>
      </c>
      <c r="X84" s="1" t="s">
        <v>57</v>
      </c>
    </row>
    <row r="85" spans="1:24">
      <c r="A85" s="1" t="s">
        <v>108</v>
      </c>
      <c r="B85" s="1" t="s">
        <v>47</v>
      </c>
      <c r="C85" s="1" t="s">
        <v>48</v>
      </c>
      <c r="D85" s="1" t="s">
        <v>123</v>
      </c>
      <c r="E85" s="1" t="s">
        <v>365</v>
      </c>
      <c r="F85" s="1" t="s">
        <v>366</v>
      </c>
      <c r="G85" s="1" t="s">
        <v>252</v>
      </c>
      <c r="H85" s="1" t="s">
        <v>87</v>
      </c>
      <c r="I85" s="1" t="s">
        <v>142</v>
      </c>
      <c r="J85" s="1" t="s">
        <v>367</v>
      </c>
      <c r="K85" s="1" t="s">
        <v>149</v>
      </c>
      <c r="L85" s="11">
        <v>58</v>
      </c>
      <c r="M85" s="1" t="s">
        <v>73</v>
      </c>
      <c r="N85" s="1" t="s">
        <v>74</v>
      </c>
      <c r="O85" s="1" t="s">
        <v>75</v>
      </c>
      <c r="P85" s="1">
        <v>95</v>
      </c>
      <c r="Q85" s="12">
        <v>109.17</v>
      </c>
      <c r="R85" s="1" t="s">
        <v>61</v>
      </c>
      <c r="S85" s="1" t="s">
        <v>62</v>
      </c>
      <c r="T85" s="6" t="s">
        <v>63</v>
      </c>
      <c r="U85" s="13">
        <v>1.5</v>
      </c>
      <c r="V85" s="12">
        <v>163.76</v>
      </c>
      <c r="W85" s="12">
        <v>0</v>
      </c>
      <c r="X85" s="1" t="s">
        <v>57</v>
      </c>
    </row>
    <row r="86" spans="1:24">
      <c r="A86" s="1" t="s">
        <v>368</v>
      </c>
      <c r="B86" s="1" t="s">
        <v>47</v>
      </c>
      <c r="C86" s="1" t="s">
        <v>48</v>
      </c>
      <c r="D86" s="1" t="s">
        <v>328</v>
      </c>
      <c r="E86" s="1" t="s">
        <v>369</v>
      </c>
      <c r="F86" s="1" t="s">
        <v>370</v>
      </c>
      <c r="G86" s="1" t="s">
        <v>177</v>
      </c>
      <c r="H86" s="1" t="s">
        <v>87</v>
      </c>
      <c r="I86" s="1" t="s">
        <v>371</v>
      </c>
      <c r="J86" s="1" t="s">
        <v>186</v>
      </c>
      <c r="K86" s="1" t="s">
        <v>187</v>
      </c>
      <c r="L86" s="11" t="s">
        <v>57</v>
      </c>
      <c r="M86" s="1" t="s">
        <v>73</v>
      </c>
      <c r="N86" s="1" t="s">
        <v>74</v>
      </c>
      <c r="O86" s="1" t="s">
        <v>75</v>
      </c>
      <c r="P86" s="1">
        <v>0</v>
      </c>
      <c r="Q86" s="12">
        <v>25.85</v>
      </c>
      <c r="R86" s="1" t="s">
        <v>61</v>
      </c>
      <c r="S86" s="1" t="s">
        <v>62</v>
      </c>
      <c r="T86" s="6" t="s">
        <v>63</v>
      </c>
      <c r="U86" s="13">
        <v>0.52</v>
      </c>
      <c r="V86" s="12">
        <v>13.44</v>
      </c>
      <c r="W86" s="12">
        <v>0</v>
      </c>
      <c r="X86" s="1" t="s">
        <v>57</v>
      </c>
    </row>
    <row r="87" spans="1:24">
      <c r="A87" s="1" t="s">
        <v>368</v>
      </c>
      <c r="B87" s="1" t="s">
        <v>47</v>
      </c>
      <c r="C87" s="1" t="s">
        <v>48</v>
      </c>
      <c r="D87" s="1" t="s">
        <v>372</v>
      </c>
      <c r="E87" s="1" t="s">
        <v>373</v>
      </c>
      <c r="F87" s="1" t="s">
        <v>374</v>
      </c>
      <c r="G87" s="1" t="s">
        <v>141</v>
      </c>
      <c r="H87" s="1" t="s">
        <v>53</v>
      </c>
      <c r="I87" s="1" t="s">
        <v>375</v>
      </c>
      <c r="J87" s="1" t="s">
        <v>212</v>
      </c>
      <c r="K87" s="1" t="s">
        <v>129</v>
      </c>
      <c r="L87" s="11" t="s">
        <v>57</v>
      </c>
      <c r="M87" s="1" t="s">
        <v>73</v>
      </c>
      <c r="N87" s="1" t="s">
        <v>74</v>
      </c>
      <c r="O87" s="1" t="s">
        <v>75</v>
      </c>
      <c r="P87" s="1">
        <v>0</v>
      </c>
      <c r="Q87" s="12">
        <v>50.94</v>
      </c>
      <c r="R87" s="1" t="s">
        <v>61</v>
      </c>
      <c r="S87" s="1" t="s">
        <v>62</v>
      </c>
      <c r="T87" s="6" t="s">
        <v>63</v>
      </c>
      <c r="U87" s="13">
        <v>0.52</v>
      </c>
      <c r="V87" s="12">
        <v>26.49</v>
      </c>
      <c r="W87" s="12">
        <v>0</v>
      </c>
      <c r="X87" s="1" t="s">
        <v>57</v>
      </c>
    </row>
    <row r="88" spans="1:24">
      <c r="A88" s="1" t="s">
        <v>368</v>
      </c>
      <c r="B88" s="1" t="s">
        <v>47</v>
      </c>
      <c r="C88" s="1" t="s">
        <v>48</v>
      </c>
      <c r="D88" s="1" t="s">
        <v>65</v>
      </c>
      <c r="E88" s="1" t="s">
        <v>376</v>
      </c>
      <c r="F88" s="1" t="s">
        <v>377</v>
      </c>
      <c r="G88" s="1" t="s">
        <v>68</v>
      </c>
      <c r="H88" s="1" t="s">
        <v>69</v>
      </c>
      <c r="I88" s="1" t="s">
        <v>378</v>
      </c>
      <c r="J88" s="1" t="s">
        <v>379</v>
      </c>
      <c r="K88" s="1" t="s">
        <v>149</v>
      </c>
      <c r="L88" s="11" t="s">
        <v>57</v>
      </c>
      <c r="M88" s="1" t="s">
        <v>73</v>
      </c>
      <c r="N88" s="1" t="s">
        <v>74</v>
      </c>
      <c r="O88" s="1" t="s">
        <v>75</v>
      </c>
      <c r="P88" s="1">
        <v>0</v>
      </c>
      <c r="Q88" s="12">
        <v>114.65</v>
      </c>
      <c r="R88" s="1" t="s">
        <v>61</v>
      </c>
      <c r="S88" s="1" t="s">
        <v>76</v>
      </c>
      <c r="T88" s="6" t="s">
        <v>63</v>
      </c>
      <c r="U88" s="13">
        <v>0.65</v>
      </c>
      <c r="V88" s="12">
        <v>74.52</v>
      </c>
      <c r="W88" s="12">
        <v>0</v>
      </c>
      <c r="X88" s="1" t="s">
        <v>57</v>
      </c>
    </row>
    <row r="89" spans="1:24">
      <c r="A89" s="1" t="s">
        <v>368</v>
      </c>
      <c r="B89" s="1" t="s">
        <v>47</v>
      </c>
      <c r="C89" s="1" t="s">
        <v>48</v>
      </c>
      <c r="D89" s="1" t="s">
        <v>49</v>
      </c>
      <c r="E89" s="1" t="s">
        <v>380</v>
      </c>
      <c r="F89" s="1" t="s">
        <v>381</v>
      </c>
      <c r="G89" s="1" t="s">
        <v>147</v>
      </c>
      <c r="H89" s="1" t="s">
        <v>53</v>
      </c>
      <c r="I89" s="1" t="s">
        <v>382</v>
      </c>
      <c r="J89" s="1" t="s">
        <v>383</v>
      </c>
      <c r="K89" s="1" t="s">
        <v>71</v>
      </c>
      <c r="L89" s="11" t="s">
        <v>57</v>
      </c>
      <c r="M89" s="1" t="s">
        <v>73</v>
      </c>
      <c r="N89" s="1" t="s">
        <v>74</v>
      </c>
      <c r="O89" s="1" t="s">
        <v>75</v>
      </c>
      <c r="P89" s="1">
        <v>0</v>
      </c>
      <c r="Q89" s="12">
        <v>151.81</v>
      </c>
      <c r="R89" s="1" t="s">
        <v>61</v>
      </c>
      <c r="S89" s="1" t="s">
        <v>62</v>
      </c>
      <c r="T89" s="6" t="s">
        <v>63</v>
      </c>
      <c r="U89" s="13">
        <v>0.24</v>
      </c>
      <c r="V89" s="12">
        <v>36.43</v>
      </c>
      <c r="W89" s="12">
        <v>0</v>
      </c>
      <c r="X89" s="1" t="s">
        <v>57</v>
      </c>
    </row>
    <row r="90" spans="1:24">
      <c r="A90" s="1" t="s">
        <v>368</v>
      </c>
      <c r="B90" s="1" t="s">
        <v>47</v>
      </c>
      <c r="C90" s="1" t="s">
        <v>48</v>
      </c>
      <c r="D90" s="1" t="s">
        <v>65</v>
      </c>
      <c r="E90" s="1" t="s">
        <v>384</v>
      </c>
      <c r="F90" s="1" t="s">
        <v>385</v>
      </c>
      <c r="G90" s="1" t="s">
        <v>68</v>
      </c>
      <c r="H90" s="1" t="s">
        <v>53</v>
      </c>
      <c r="I90" s="1" t="s">
        <v>386</v>
      </c>
      <c r="J90" s="1" t="s">
        <v>72</v>
      </c>
      <c r="K90" s="1" t="s">
        <v>387</v>
      </c>
      <c r="L90" s="11" t="s">
        <v>57</v>
      </c>
      <c r="M90" s="1" t="s">
        <v>73</v>
      </c>
      <c r="N90" s="1" t="s">
        <v>74</v>
      </c>
      <c r="O90" s="1" t="s">
        <v>75</v>
      </c>
      <c r="P90" s="1">
        <v>0</v>
      </c>
      <c r="Q90" s="12">
        <v>-34</v>
      </c>
      <c r="R90" s="1" t="s">
        <v>61</v>
      </c>
      <c r="S90" s="1" t="s">
        <v>388</v>
      </c>
      <c r="T90" s="6" t="s">
        <v>63</v>
      </c>
      <c r="U90" s="13">
        <v>0.56000000000000005</v>
      </c>
      <c r="V90" s="12">
        <v>-19.04</v>
      </c>
      <c r="W90" s="12">
        <v>0</v>
      </c>
      <c r="X90" s="1" t="s">
        <v>57</v>
      </c>
    </row>
    <row r="91" spans="1:24">
      <c r="A91" s="1" t="s">
        <v>368</v>
      </c>
      <c r="B91" s="1" t="s">
        <v>47</v>
      </c>
      <c r="C91" s="1" t="s">
        <v>48</v>
      </c>
      <c r="D91" s="1" t="s">
        <v>318</v>
      </c>
      <c r="E91" s="1" t="s">
        <v>389</v>
      </c>
      <c r="F91" s="1" t="s">
        <v>390</v>
      </c>
      <c r="G91" s="1" t="s">
        <v>52</v>
      </c>
      <c r="H91" s="1" t="s">
        <v>87</v>
      </c>
      <c r="I91" s="1" t="s">
        <v>391</v>
      </c>
      <c r="J91" s="1" t="s">
        <v>256</v>
      </c>
      <c r="K91" s="1" t="s">
        <v>144</v>
      </c>
      <c r="L91" s="11" t="s">
        <v>57</v>
      </c>
      <c r="M91" s="1" t="s">
        <v>73</v>
      </c>
      <c r="N91" s="1" t="s">
        <v>74</v>
      </c>
      <c r="O91" s="1" t="s">
        <v>75</v>
      </c>
      <c r="P91" s="1">
        <v>0</v>
      </c>
      <c r="Q91" s="12">
        <v>64.88</v>
      </c>
      <c r="R91" s="1" t="s">
        <v>61</v>
      </c>
      <c r="S91" s="1" t="s">
        <v>62</v>
      </c>
      <c r="T91" s="6" t="s">
        <v>63</v>
      </c>
      <c r="U91" s="13">
        <v>0.64</v>
      </c>
      <c r="V91" s="12">
        <v>41.52</v>
      </c>
      <c r="W91" s="12">
        <v>0</v>
      </c>
      <c r="X91" s="1" t="s">
        <v>57</v>
      </c>
    </row>
    <row r="92" spans="1:24">
      <c r="A92" s="1" t="s">
        <v>368</v>
      </c>
      <c r="B92" s="1" t="s">
        <v>47</v>
      </c>
      <c r="C92" s="1" t="s">
        <v>77</v>
      </c>
      <c r="D92" s="1" t="s">
        <v>392</v>
      </c>
      <c r="E92" s="1" t="s">
        <v>393</v>
      </c>
      <c r="F92" s="1" t="s">
        <v>394</v>
      </c>
      <c r="G92" s="1" t="s">
        <v>172</v>
      </c>
      <c r="H92" s="1" t="s">
        <v>81</v>
      </c>
      <c r="I92" s="1" t="s">
        <v>395</v>
      </c>
      <c r="J92" s="1" t="s">
        <v>396</v>
      </c>
      <c r="K92" s="1" t="s">
        <v>71</v>
      </c>
      <c r="L92" s="11" t="s">
        <v>57</v>
      </c>
      <c r="M92" s="1" t="s">
        <v>73</v>
      </c>
      <c r="N92" s="1" t="s">
        <v>74</v>
      </c>
      <c r="O92" s="1" t="s">
        <v>75</v>
      </c>
      <c r="P92" s="1">
        <v>0</v>
      </c>
      <c r="Q92" s="12">
        <v>93.57</v>
      </c>
      <c r="R92" s="1" t="s">
        <v>83</v>
      </c>
      <c r="S92" s="1" t="s">
        <v>84</v>
      </c>
      <c r="T92" s="6" t="s">
        <v>63</v>
      </c>
      <c r="U92" s="13">
        <v>0.27</v>
      </c>
      <c r="V92" s="12">
        <v>25.26</v>
      </c>
      <c r="W92" s="12">
        <v>0</v>
      </c>
      <c r="X92" s="1" t="s">
        <v>57</v>
      </c>
    </row>
    <row r="93" spans="1:24">
      <c r="A93" s="1" t="s">
        <v>368</v>
      </c>
      <c r="B93" s="1" t="s">
        <v>47</v>
      </c>
      <c r="C93" s="1" t="s">
        <v>77</v>
      </c>
      <c r="D93" s="1" t="s">
        <v>49</v>
      </c>
      <c r="E93" s="1" t="s">
        <v>397</v>
      </c>
      <c r="F93" s="1" t="s">
        <v>398</v>
      </c>
      <c r="G93" s="1" t="s">
        <v>126</v>
      </c>
      <c r="H93" s="1" t="s">
        <v>53</v>
      </c>
      <c r="I93" s="1" t="s">
        <v>399</v>
      </c>
      <c r="J93" s="1" t="s">
        <v>400</v>
      </c>
      <c r="K93" s="1" t="s">
        <v>69</v>
      </c>
      <c r="L93" s="11" t="s">
        <v>57</v>
      </c>
      <c r="M93" s="1" t="s">
        <v>73</v>
      </c>
      <c r="N93" s="1" t="s">
        <v>74</v>
      </c>
      <c r="O93" s="1" t="s">
        <v>75</v>
      </c>
      <c r="P93" s="1">
        <v>0</v>
      </c>
      <c r="Q93" s="12">
        <v>-92.53</v>
      </c>
      <c r="R93" s="1" t="s">
        <v>83</v>
      </c>
      <c r="S93" s="1" t="s">
        <v>401</v>
      </c>
      <c r="T93" s="6" t="s">
        <v>63</v>
      </c>
      <c r="U93" s="13">
        <v>0.215</v>
      </c>
      <c r="V93" s="12">
        <v>-19.89</v>
      </c>
      <c r="W93" s="12">
        <v>0</v>
      </c>
      <c r="X93" s="1" t="s">
        <v>57</v>
      </c>
    </row>
    <row r="94" spans="1:24">
      <c r="A94" s="1" t="s">
        <v>368</v>
      </c>
      <c r="B94" s="1" t="s">
        <v>47</v>
      </c>
      <c r="C94" s="1" t="s">
        <v>77</v>
      </c>
      <c r="D94" s="1" t="s">
        <v>372</v>
      </c>
      <c r="E94" s="1" t="s">
        <v>402</v>
      </c>
      <c r="F94" s="1" t="s">
        <v>403</v>
      </c>
      <c r="G94" s="1" t="s">
        <v>52</v>
      </c>
      <c r="H94" s="1" t="s">
        <v>87</v>
      </c>
      <c r="I94" s="1" t="s">
        <v>404</v>
      </c>
      <c r="J94" s="1" t="s">
        <v>405</v>
      </c>
      <c r="K94" s="1" t="s">
        <v>322</v>
      </c>
      <c r="L94" s="11" t="s">
        <v>57</v>
      </c>
      <c r="M94" s="1" t="s">
        <v>73</v>
      </c>
      <c r="N94" s="1" t="s">
        <v>74</v>
      </c>
      <c r="O94" s="1" t="s">
        <v>75</v>
      </c>
      <c r="P94" s="1">
        <v>0</v>
      </c>
      <c r="Q94" s="12">
        <v>79.28</v>
      </c>
      <c r="R94" s="1" t="s">
        <v>83</v>
      </c>
      <c r="S94" s="1" t="s">
        <v>84</v>
      </c>
      <c r="T94" s="6" t="s">
        <v>63</v>
      </c>
      <c r="U94" s="13">
        <v>0.03</v>
      </c>
      <c r="V94" s="12">
        <v>2.38</v>
      </c>
      <c r="W94" s="12">
        <v>0</v>
      </c>
      <c r="X94" s="1" t="s">
        <v>57</v>
      </c>
    </row>
    <row r="95" spans="1:24">
      <c r="A95" s="1" t="s">
        <v>368</v>
      </c>
      <c r="B95" s="1" t="s">
        <v>47</v>
      </c>
      <c r="C95" s="1" t="s">
        <v>77</v>
      </c>
      <c r="D95" s="1" t="s">
        <v>406</v>
      </c>
      <c r="E95" s="1" t="s">
        <v>407</v>
      </c>
      <c r="F95" s="1" t="s">
        <v>408</v>
      </c>
      <c r="G95" s="1" t="s">
        <v>52</v>
      </c>
      <c r="H95" s="1" t="s">
        <v>87</v>
      </c>
      <c r="I95" s="1" t="s">
        <v>371</v>
      </c>
      <c r="J95" s="1" t="s">
        <v>96</v>
      </c>
      <c r="K95" s="1" t="s">
        <v>71</v>
      </c>
      <c r="L95" s="11" t="s">
        <v>57</v>
      </c>
      <c r="M95" s="1" t="s">
        <v>73</v>
      </c>
      <c r="N95" s="1" t="s">
        <v>74</v>
      </c>
      <c r="O95" s="1" t="s">
        <v>75</v>
      </c>
      <c r="P95" s="1">
        <v>0</v>
      </c>
      <c r="Q95" s="12">
        <v>36.08</v>
      </c>
      <c r="R95" s="1" t="s">
        <v>83</v>
      </c>
      <c r="S95" s="1" t="s">
        <v>84</v>
      </c>
      <c r="T95" s="6" t="s">
        <v>63</v>
      </c>
      <c r="U95" s="13">
        <v>0.03</v>
      </c>
      <c r="V95" s="12">
        <v>1.08</v>
      </c>
      <c r="W95" s="12">
        <v>0</v>
      </c>
      <c r="X95" s="1" t="s">
        <v>57</v>
      </c>
    </row>
    <row r="96" spans="1:24">
      <c r="A96" s="1" t="s">
        <v>368</v>
      </c>
      <c r="B96" s="1" t="s">
        <v>47</v>
      </c>
      <c r="C96" s="1" t="s">
        <v>77</v>
      </c>
      <c r="D96" s="1" t="s">
        <v>406</v>
      </c>
      <c r="E96" s="1" t="s">
        <v>409</v>
      </c>
      <c r="F96" s="1" t="s">
        <v>410</v>
      </c>
      <c r="G96" s="1" t="s">
        <v>52</v>
      </c>
      <c r="H96" s="1" t="s">
        <v>87</v>
      </c>
      <c r="I96" s="1" t="s">
        <v>371</v>
      </c>
      <c r="J96" s="1" t="s">
        <v>96</v>
      </c>
      <c r="K96" s="1" t="s">
        <v>71</v>
      </c>
      <c r="L96" s="11" t="s">
        <v>57</v>
      </c>
      <c r="M96" s="1" t="s">
        <v>73</v>
      </c>
      <c r="N96" s="1" t="s">
        <v>74</v>
      </c>
      <c r="O96" s="1" t="s">
        <v>75</v>
      </c>
      <c r="P96" s="1">
        <v>0</v>
      </c>
      <c r="Q96" s="12">
        <v>36.08</v>
      </c>
      <c r="R96" s="1" t="s">
        <v>83</v>
      </c>
      <c r="S96" s="1" t="s">
        <v>84</v>
      </c>
      <c r="T96" s="6" t="s">
        <v>63</v>
      </c>
      <c r="U96" s="13">
        <v>0.03</v>
      </c>
      <c r="V96" s="12">
        <v>1.08</v>
      </c>
      <c r="W96" s="12">
        <v>0</v>
      </c>
      <c r="X96" s="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DCE3-F983-464A-BBD5-16F58DC0E853}">
  <dimension ref="A1:Z99"/>
  <sheetViews>
    <sheetView tabSelected="1" workbookViewId="0">
      <selection activeCell="A2" sqref="A2:XFD89"/>
    </sheetView>
  </sheetViews>
  <sheetFormatPr defaultRowHeight="14.25"/>
  <cols>
    <col min="1" max="1" width="18" style="1" customWidth="1"/>
    <col min="2" max="2" width="20.28515625" style="1" customWidth="1"/>
    <col min="3" max="3" width="12.85546875" style="1" bestFit="1" customWidth="1"/>
    <col min="4" max="4" width="5.85546875" style="1" customWidth="1"/>
    <col min="5" max="5" width="7.140625" style="1" customWidth="1"/>
    <col min="6" max="6" width="14" style="1" customWidth="1"/>
    <col min="7" max="7" width="24" style="1" customWidth="1"/>
    <col min="8" max="8" width="18.28515625" style="1" customWidth="1"/>
    <col min="9" max="9" width="7.7109375" style="1" customWidth="1"/>
    <col min="10" max="11" width="15" style="1" customWidth="1"/>
    <col min="12" max="12" width="14.85546875" style="1" customWidth="1"/>
    <col min="13" max="13" width="23.7109375" style="1" customWidth="1"/>
    <col min="14" max="14" width="13.28515625" style="1" customWidth="1"/>
    <col min="15" max="15" width="13.42578125" style="11" customWidth="1"/>
    <col min="16" max="16" width="6.140625" style="1" customWidth="1"/>
    <col min="17" max="19" width="9" style="1" customWidth="1"/>
    <col min="20" max="20" width="11.42578125" style="1" customWidth="1"/>
    <col min="21" max="21" width="6.28515625" style="1" customWidth="1"/>
    <col min="22" max="22" width="17.5703125" style="1" customWidth="1"/>
    <col min="23" max="23" width="9.85546875" style="1" customWidth="1"/>
    <col min="24" max="24" width="9.5703125" style="1" customWidth="1"/>
    <col min="25" max="25" width="15" style="1" customWidth="1"/>
    <col min="26" max="26" width="40" style="1" customWidth="1"/>
    <col min="27" max="16384" width="9.140625" style="1"/>
  </cols>
  <sheetData>
    <row r="1" spans="1:26" ht="30" customHeight="1">
      <c r="A1" s="14" t="s">
        <v>411</v>
      </c>
      <c r="B1" s="14" t="s">
        <v>412</v>
      </c>
      <c r="C1" s="14" t="s">
        <v>413</v>
      </c>
      <c r="D1" s="14"/>
      <c r="E1" s="14"/>
      <c r="F1" s="10" t="s">
        <v>26</v>
      </c>
      <c r="G1" s="10" t="s">
        <v>27</v>
      </c>
      <c r="H1" s="10"/>
      <c r="I1" s="10" t="s">
        <v>28</v>
      </c>
      <c r="J1" s="10" t="s">
        <v>29</v>
      </c>
      <c r="K1" s="10" t="s">
        <v>30</v>
      </c>
      <c r="L1" s="14" t="s">
        <v>416</v>
      </c>
      <c r="M1" s="14" t="s">
        <v>417</v>
      </c>
      <c r="N1" s="10" t="s">
        <v>31</v>
      </c>
      <c r="O1" s="45" t="s">
        <v>32</v>
      </c>
      <c r="P1" s="10" t="s">
        <v>34</v>
      </c>
      <c r="Q1" s="10" t="s">
        <v>36</v>
      </c>
      <c r="R1" s="14" t="s">
        <v>414</v>
      </c>
      <c r="S1" s="14" t="s">
        <v>415</v>
      </c>
      <c r="T1" s="10" t="s">
        <v>38</v>
      </c>
      <c r="U1" s="10" t="s">
        <v>39</v>
      </c>
      <c r="V1" s="10" t="s">
        <v>40</v>
      </c>
      <c r="W1" s="10" t="s">
        <v>42</v>
      </c>
      <c r="X1" s="10" t="s">
        <v>43</v>
      </c>
      <c r="Y1" s="10" t="s">
        <v>44</v>
      </c>
      <c r="Z1" s="10" t="s">
        <v>45</v>
      </c>
    </row>
    <row r="2" spans="1:26">
      <c r="A2" s="1" t="s">
        <v>418</v>
      </c>
      <c r="B2" s="1" t="s">
        <v>533</v>
      </c>
      <c r="C2" s="11">
        <v>8307933</v>
      </c>
      <c r="D2" s="1" t="s">
        <v>593</v>
      </c>
      <c r="E2" s="1" t="s">
        <v>570</v>
      </c>
      <c r="F2" s="1" t="s">
        <v>205</v>
      </c>
      <c r="G2" s="1" t="s">
        <v>206</v>
      </c>
      <c r="H2" s="1" t="s">
        <v>481</v>
      </c>
      <c r="I2" s="1" t="s">
        <v>147</v>
      </c>
      <c r="J2" s="1" t="s">
        <v>87</v>
      </c>
      <c r="K2" s="1" t="s">
        <v>127</v>
      </c>
      <c r="L2" s="1" t="s">
        <v>443</v>
      </c>
      <c r="M2" s="1" t="s">
        <v>557</v>
      </c>
      <c r="N2" s="1" t="s">
        <v>207</v>
      </c>
      <c r="O2" s="11" t="s">
        <v>144</v>
      </c>
      <c r="P2" s="1" t="s">
        <v>73</v>
      </c>
      <c r="Q2" s="1" t="s">
        <v>75</v>
      </c>
      <c r="R2" s="15">
        <v>28.39</v>
      </c>
      <c r="S2" s="15">
        <f>R2*W2</f>
        <v>38.326500000000003</v>
      </c>
      <c r="T2" s="12">
        <v>28.39</v>
      </c>
      <c r="U2" s="1" t="s">
        <v>61</v>
      </c>
      <c r="V2" s="1" t="s">
        <v>62</v>
      </c>
      <c r="W2" s="13">
        <v>1.35</v>
      </c>
      <c r="X2" s="12">
        <v>0</v>
      </c>
      <c r="Y2" s="12">
        <v>-38.33</v>
      </c>
      <c r="Z2" s="1" t="s">
        <v>57</v>
      </c>
    </row>
    <row r="3" spans="1:26">
      <c r="A3" s="1" t="s">
        <v>418</v>
      </c>
      <c r="B3" s="1" t="s">
        <v>533</v>
      </c>
      <c r="C3" s="11">
        <v>8307933</v>
      </c>
      <c r="D3" s="1" t="s">
        <v>593</v>
      </c>
      <c r="E3" s="1" t="s">
        <v>570</v>
      </c>
      <c r="F3" s="1" t="s">
        <v>208</v>
      </c>
      <c r="G3" s="1" t="s">
        <v>209</v>
      </c>
      <c r="H3" s="1" t="s">
        <v>482</v>
      </c>
      <c r="I3" s="1" t="s">
        <v>147</v>
      </c>
      <c r="J3" s="1" t="s">
        <v>87</v>
      </c>
      <c r="K3" s="1" t="s">
        <v>127</v>
      </c>
      <c r="L3" s="1" t="s">
        <v>443</v>
      </c>
      <c r="M3" s="1" t="s">
        <v>557</v>
      </c>
      <c r="N3" s="1" t="s">
        <v>207</v>
      </c>
      <c r="O3" s="11" t="s">
        <v>144</v>
      </c>
      <c r="P3" s="1" t="s">
        <v>73</v>
      </c>
      <c r="Q3" s="1" t="s">
        <v>75</v>
      </c>
      <c r="R3" s="15">
        <v>20.46</v>
      </c>
      <c r="S3" s="15">
        <f>R3*W3</f>
        <v>27.621000000000002</v>
      </c>
      <c r="T3" s="12">
        <v>20.46</v>
      </c>
      <c r="U3" s="1" t="s">
        <v>61</v>
      </c>
      <c r="V3" s="1" t="s">
        <v>62</v>
      </c>
      <c r="W3" s="13">
        <v>1.35</v>
      </c>
      <c r="X3" s="12">
        <v>0</v>
      </c>
      <c r="Y3" s="12">
        <v>-27.62</v>
      </c>
      <c r="Z3" s="1" t="s">
        <v>57</v>
      </c>
    </row>
    <row r="4" spans="1:26">
      <c r="A4" s="1" t="s">
        <v>423</v>
      </c>
      <c r="B4" s="1" t="s">
        <v>538</v>
      </c>
      <c r="C4" s="11">
        <v>17143996</v>
      </c>
      <c r="D4" s="1" t="s">
        <v>593</v>
      </c>
      <c r="E4" s="1" t="s">
        <v>571</v>
      </c>
      <c r="F4" s="1" t="s">
        <v>131</v>
      </c>
      <c r="G4" s="1" t="s">
        <v>132</v>
      </c>
      <c r="H4" s="1" t="s">
        <v>466</v>
      </c>
      <c r="I4" s="1" t="s">
        <v>52</v>
      </c>
      <c r="J4" s="1" t="s">
        <v>81</v>
      </c>
      <c r="K4" s="1" t="s">
        <v>127</v>
      </c>
      <c r="L4" s="1" t="s">
        <v>443</v>
      </c>
      <c r="M4" s="1" t="s">
        <v>557</v>
      </c>
      <c r="N4" s="1" t="s">
        <v>133</v>
      </c>
      <c r="O4" s="11" t="s">
        <v>56</v>
      </c>
      <c r="P4" s="1" t="s">
        <v>58</v>
      </c>
      <c r="Q4" s="1" t="s">
        <v>60</v>
      </c>
      <c r="R4" s="15">
        <v>118.15</v>
      </c>
      <c r="S4" s="15">
        <f>R4*W4</f>
        <v>8.270500000000002</v>
      </c>
      <c r="T4" s="12">
        <v>118.14</v>
      </c>
      <c r="U4" s="1" t="s">
        <v>83</v>
      </c>
      <c r="V4" s="1" t="s">
        <v>84</v>
      </c>
      <c r="W4" s="13">
        <v>7.0000000000000007E-2</v>
      </c>
      <c r="X4" s="12">
        <v>8.27</v>
      </c>
      <c r="Y4" s="12">
        <v>0</v>
      </c>
      <c r="Z4" s="1" t="s">
        <v>57</v>
      </c>
    </row>
    <row r="5" spans="1:26">
      <c r="A5" s="1" t="s">
        <v>422</v>
      </c>
      <c r="B5" s="1" t="s">
        <v>537</v>
      </c>
      <c r="C5" s="11">
        <v>8977234</v>
      </c>
      <c r="D5" s="1" t="s">
        <v>593</v>
      </c>
      <c r="E5" s="1" t="s">
        <v>570</v>
      </c>
      <c r="F5" s="1" t="s">
        <v>124</v>
      </c>
      <c r="G5" s="1" t="s">
        <v>125</v>
      </c>
      <c r="H5" s="1" t="s">
        <v>465</v>
      </c>
      <c r="I5" s="1" t="s">
        <v>126</v>
      </c>
      <c r="J5" s="1" t="s">
        <v>87</v>
      </c>
      <c r="K5" s="1" t="s">
        <v>127</v>
      </c>
      <c r="L5" s="1" t="s">
        <v>443</v>
      </c>
      <c r="M5" s="1" t="s">
        <v>557</v>
      </c>
      <c r="N5" s="1" t="s">
        <v>128</v>
      </c>
      <c r="O5" s="11" t="s">
        <v>129</v>
      </c>
      <c r="P5" s="1" t="s">
        <v>73</v>
      </c>
      <c r="Q5" s="1" t="s">
        <v>75</v>
      </c>
      <c r="R5" s="15">
        <v>89.49</v>
      </c>
      <c r="S5" s="15">
        <f>R5*W5</f>
        <v>6.2643000000000004</v>
      </c>
      <c r="T5" s="12">
        <v>89.49</v>
      </c>
      <c r="U5" s="1" t="s">
        <v>83</v>
      </c>
      <c r="V5" s="1" t="s">
        <v>84</v>
      </c>
      <c r="W5" s="13">
        <v>7.0000000000000007E-2</v>
      </c>
      <c r="X5" s="12">
        <v>6.26</v>
      </c>
      <c r="Y5" s="12">
        <v>0</v>
      </c>
      <c r="Z5" s="1" t="s">
        <v>57</v>
      </c>
    </row>
    <row r="6" spans="1:26">
      <c r="A6" s="1" t="s">
        <v>431</v>
      </c>
      <c r="B6" s="1" t="s">
        <v>546</v>
      </c>
      <c r="C6" s="11">
        <v>8814784</v>
      </c>
      <c r="D6" s="1" t="s">
        <v>593</v>
      </c>
      <c r="E6" s="1" t="s">
        <v>570</v>
      </c>
      <c r="F6" s="1" t="s">
        <v>324</v>
      </c>
      <c r="G6" s="1" t="s">
        <v>325</v>
      </c>
      <c r="H6" s="1" t="s">
        <v>516</v>
      </c>
      <c r="I6" s="1" t="s">
        <v>52</v>
      </c>
      <c r="J6" s="1" t="s">
        <v>69</v>
      </c>
      <c r="K6" s="1" t="s">
        <v>127</v>
      </c>
      <c r="L6" s="1" t="s">
        <v>443</v>
      </c>
      <c r="M6" s="1" t="s">
        <v>563</v>
      </c>
      <c r="N6" s="1" t="s">
        <v>326</v>
      </c>
      <c r="O6" s="11" t="s">
        <v>327</v>
      </c>
      <c r="P6" s="1" t="s">
        <v>73</v>
      </c>
      <c r="Q6" s="1" t="s">
        <v>75</v>
      </c>
      <c r="R6" s="15">
        <v>37.72</v>
      </c>
      <c r="S6" s="15">
        <f>R6*W6</f>
        <v>2.6404000000000001</v>
      </c>
      <c r="T6" s="12">
        <v>37.72</v>
      </c>
      <c r="U6" s="1" t="s">
        <v>83</v>
      </c>
      <c r="V6" s="1" t="s">
        <v>84</v>
      </c>
      <c r="W6" s="13">
        <v>7.0000000000000007E-2</v>
      </c>
      <c r="X6" s="12">
        <v>2.64</v>
      </c>
      <c r="Y6" s="12">
        <v>0</v>
      </c>
      <c r="Z6" s="1" t="s">
        <v>57</v>
      </c>
    </row>
    <row r="7" spans="1:26">
      <c r="A7" s="25" t="s">
        <v>437</v>
      </c>
      <c r="B7" s="25" t="s">
        <v>437</v>
      </c>
      <c r="C7" s="26">
        <v>19491313</v>
      </c>
      <c r="D7" s="25" t="s">
        <v>593</v>
      </c>
      <c r="E7" s="25" t="s">
        <v>570</v>
      </c>
      <c r="F7" s="25" t="s">
        <v>376</v>
      </c>
      <c r="G7" s="25" t="s">
        <v>377</v>
      </c>
      <c r="H7" s="25" t="s">
        <v>527</v>
      </c>
      <c r="I7" s="25" t="s">
        <v>68</v>
      </c>
      <c r="J7" s="25" t="s">
        <v>69</v>
      </c>
      <c r="K7" s="25" t="s">
        <v>378</v>
      </c>
      <c r="L7" s="25" t="s">
        <v>451</v>
      </c>
      <c r="M7" s="25" t="s">
        <v>595</v>
      </c>
      <c r="N7" s="25" t="s">
        <v>379</v>
      </c>
      <c r="O7" s="26" t="s">
        <v>149</v>
      </c>
      <c r="P7" s="25" t="s">
        <v>73</v>
      </c>
      <c r="Q7" s="25" t="s">
        <v>75</v>
      </c>
      <c r="R7" s="27">
        <v>114.65</v>
      </c>
      <c r="S7" s="27">
        <f>R7*W7</f>
        <v>74.522500000000008</v>
      </c>
      <c r="T7" s="28">
        <v>114.65</v>
      </c>
      <c r="U7" s="25" t="s">
        <v>61</v>
      </c>
      <c r="V7" s="25" t="s">
        <v>76</v>
      </c>
      <c r="W7" s="29">
        <v>0.65</v>
      </c>
      <c r="X7" s="28">
        <v>74.52</v>
      </c>
      <c r="Y7" s="28">
        <v>0</v>
      </c>
      <c r="Z7" s="25" t="s">
        <v>57</v>
      </c>
    </row>
    <row r="8" spans="1:26">
      <c r="A8" s="1" t="s">
        <v>426</v>
      </c>
      <c r="B8" s="1" t="s">
        <v>541</v>
      </c>
      <c r="C8" s="11">
        <v>22063143</v>
      </c>
      <c r="D8" s="1" t="s">
        <v>593</v>
      </c>
      <c r="E8" s="1" t="s">
        <v>570</v>
      </c>
      <c r="F8" s="1" t="s">
        <v>175</v>
      </c>
      <c r="G8" s="1" t="s">
        <v>176</v>
      </c>
      <c r="H8" s="1" t="s">
        <v>473</v>
      </c>
      <c r="I8" s="1" t="s">
        <v>177</v>
      </c>
      <c r="J8" s="1" t="s">
        <v>87</v>
      </c>
      <c r="K8" s="1" t="s">
        <v>178</v>
      </c>
      <c r="L8" s="1" t="s">
        <v>447</v>
      </c>
      <c r="M8" s="1" t="s">
        <v>447</v>
      </c>
      <c r="N8" s="1" t="s">
        <v>179</v>
      </c>
      <c r="O8" s="11" t="s">
        <v>71</v>
      </c>
      <c r="P8" s="1" t="s">
        <v>73</v>
      </c>
      <c r="Q8" s="1" t="s">
        <v>75</v>
      </c>
      <c r="R8" s="15">
        <v>23.17</v>
      </c>
      <c r="S8" s="15">
        <f>R8*W8</f>
        <v>26.645499999999998</v>
      </c>
      <c r="T8" s="12">
        <v>23.17</v>
      </c>
      <c r="U8" s="1" t="s">
        <v>61</v>
      </c>
      <c r="V8" s="1" t="s">
        <v>62</v>
      </c>
      <c r="W8" s="13">
        <v>1.1499999999999999</v>
      </c>
      <c r="X8" s="12">
        <v>0</v>
      </c>
      <c r="Y8" s="12">
        <v>-26.65</v>
      </c>
      <c r="Z8" s="1" t="s">
        <v>57</v>
      </c>
    </row>
    <row r="9" spans="1:26">
      <c r="A9" s="1" t="s">
        <v>426</v>
      </c>
      <c r="B9" s="1" t="s">
        <v>541</v>
      </c>
      <c r="C9" s="11">
        <v>22063143</v>
      </c>
      <c r="D9" s="1" t="s">
        <v>593</v>
      </c>
      <c r="E9" s="1" t="s">
        <v>570</v>
      </c>
      <c r="F9" s="1" t="s">
        <v>180</v>
      </c>
      <c r="G9" s="1" t="s">
        <v>181</v>
      </c>
      <c r="H9" s="1" t="s">
        <v>474</v>
      </c>
      <c r="I9" s="1" t="s">
        <v>177</v>
      </c>
      <c r="J9" s="1" t="s">
        <v>87</v>
      </c>
      <c r="K9" s="1" t="s">
        <v>178</v>
      </c>
      <c r="L9" s="1" t="s">
        <v>447</v>
      </c>
      <c r="M9" s="1" t="s">
        <v>447</v>
      </c>
      <c r="N9" s="1" t="s">
        <v>179</v>
      </c>
      <c r="O9" s="11" t="s">
        <v>71</v>
      </c>
      <c r="P9" s="1" t="s">
        <v>73</v>
      </c>
      <c r="Q9" s="1" t="s">
        <v>75</v>
      </c>
      <c r="R9" s="15">
        <v>23.17</v>
      </c>
      <c r="S9" s="15">
        <f>R9*W9</f>
        <v>26.645499999999998</v>
      </c>
      <c r="T9" s="12">
        <v>23.17</v>
      </c>
      <c r="U9" s="1" t="s">
        <v>61</v>
      </c>
      <c r="V9" s="1" t="s">
        <v>62</v>
      </c>
      <c r="W9" s="13">
        <v>1.1499999999999999</v>
      </c>
      <c r="X9" s="12">
        <v>0</v>
      </c>
      <c r="Y9" s="12">
        <v>-26.65</v>
      </c>
      <c r="Z9" s="1" t="s">
        <v>57</v>
      </c>
    </row>
    <row r="10" spans="1:26">
      <c r="A10" s="1" t="s">
        <v>432</v>
      </c>
      <c r="B10" s="1" t="s">
        <v>547</v>
      </c>
      <c r="C10" s="11" t="s">
        <v>574</v>
      </c>
      <c r="D10" s="1" t="s">
        <v>593</v>
      </c>
      <c r="E10" s="1" t="s">
        <v>571</v>
      </c>
      <c r="F10" s="1" t="s">
        <v>329</v>
      </c>
      <c r="G10" s="1" t="s">
        <v>330</v>
      </c>
      <c r="H10" s="1" t="s">
        <v>517</v>
      </c>
      <c r="I10" s="1" t="s">
        <v>112</v>
      </c>
      <c r="J10" s="1" t="s">
        <v>87</v>
      </c>
      <c r="K10" s="1" t="s">
        <v>137</v>
      </c>
      <c r="L10" s="1" t="s">
        <v>446</v>
      </c>
      <c r="M10" s="1" t="s">
        <v>562</v>
      </c>
      <c r="N10" s="1" t="s">
        <v>331</v>
      </c>
      <c r="O10" s="11" t="s">
        <v>129</v>
      </c>
      <c r="P10" s="1" t="s">
        <v>73</v>
      </c>
      <c r="Q10" s="1" t="s">
        <v>75</v>
      </c>
      <c r="R10" s="15">
        <v>75.55</v>
      </c>
      <c r="S10" s="15">
        <f>R10*W10</f>
        <v>101.99250000000001</v>
      </c>
      <c r="T10" s="12">
        <v>75.55</v>
      </c>
      <c r="U10" s="1" t="s">
        <v>61</v>
      </c>
      <c r="V10" s="1" t="s">
        <v>62</v>
      </c>
      <c r="W10" s="13">
        <v>1.35</v>
      </c>
      <c r="X10" s="12">
        <v>0</v>
      </c>
      <c r="Y10" s="12">
        <v>-101.99</v>
      </c>
      <c r="Z10" s="1" t="s">
        <v>57</v>
      </c>
    </row>
    <row r="11" spans="1:26">
      <c r="A11" s="1" t="s">
        <v>422</v>
      </c>
      <c r="B11" s="1" t="s">
        <v>537</v>
      </c>
      <c r="C11" s="11">
        <v>8977234</v>
      </c>
      <c r="D11" s="1" t="s">
        <v>593</v>
      </c>
      <c r="E11" s="1" t="s">
        <v>570</v>
      </c>
      <c r="F11" s="1" t="s">
        <v>262</v>
      </c>
      <c r="G11" s="1" t="s">
        <v>263</v>
      </c>
      <c r="H11" s="1" t="s">
        <v>496</v>
      </c>
      <c r="I11" s="1" t="s">
        <v>68</v>
      </c>
      <c r="J11" s="1" t="s">
        <v>87</v>
      </c>
      <c r="K11" s="1" t="s">
        <v>137</v>
      </c>
      <c r="L11" s="1" t="s">
        <v>446</v>
      </c>
      <c r="M11" s="1" t="s">
        <v>562</v>
      </c>
      <c r="N11" s="1" t="s">
        <v>259</v>
      </c>
      <c r="O11" s="11" t="s">
        <v>144</v>
      </c>
      <c r="P11" s="1" t="s">
        <v>73</v>
      </c>
      <c r="Q11" s="1" t="s">
        <v>75</v>
      </c>
      <c r="R11" s="15">
        <v>136.82</v>
      </c>
      <c r="S11" s="15">
        <f>R11*W11</f>
        <v>184.70699999999999</v>
      </c>
      <c r="T11" s="12">
        <v>136.82</v>
      </c>
      <c r="U11" s="1" t="s">
        <v>61</v>
      </c>
      <c r="V11" s="1" t="s">
        <v>62</v>
      </c>
      <c r="W11" s="13">
        <v>1.35</v>
      </c>
      <c r="X11" s="12">
        <v>184.71</v>
      </c>
      <c r="Y11" s="12">
        <v>0</v>
      </c>
      <c r="Z11" s="1" t="s">
        <v>57</v>
      </c>
    </row>
    <row r="12" spans="1:26">
      <c r="A12" s="25" t="s">
        <v>434</v>
      </c>
      <c r="B12" s="25" t="s">
        <v>434</v>
      </c>
      <c r="C12" s="26">
        <v>16228684</v>
      </c>
      <c r="D12" s="25" t="s">
        <v>593</v>
      </c>
      <c r="E12" s="25" t="s">
        <v>570</v>
      </c>
      <c r="F12" s="25" t="s">
        <v>338</v>
      </c>
      <c r="G12" s="25" t="s">
        <v>339</v>
      </c>
      <c r="H12" s="25" t="s">
        <v>519</v>
      </c>
      <c r="I12" s="25" t="s">
        <v>52</v>
      </c>
      <c r="J12" s="25" t="s">
        <v>81</v>
      </c>
      <c r="K12" s="25" t="s">
        <v>127</v>
      </c>
      <c r="L12" s="25" t="s">
        <v>443</v>
      </c>
      <c r="M12" s="25" t="s">
        <v>598</v>
      </c>
      <c r="N12" s="25" t="s">
        <v>340</v>
      </c>
      <c r="O12" s="26" t="s">
        <v>341</v>
      </c>
      <c r="P12" s="25" t="s">
        <v>342</v>
      </c>
      <c r="Q12" s="25" t="s">
        <v>343</v>
      </c>
      <c r="R12" s="27">
        <v>865.05</v>
      </c>
      <c r="S12" s="27">
        <f>R12*W12</f>
        <v>60.5535</v>
      </c>
      <c r="T12" s="28">
        <v>865.08</v>
      </c>
      <c r="U12" s="25" t="s">
        <v>83</v>
      </c>
      <c r="V12" s="25" t="s">
        <v>84</v>
      </c>
      <c r="W12" s="29">
        <v>7.0000000000000007E-2</v>
      </c>
      <c r="X12" s="28">
        <v>60.56</v>
      </c>
      <c r="Y12" s="28">
        <v>0</v>
      </c>
      <c r="Z12" s="25" t="s">
        <v>57</v>
      </c>
    </row>
    <row r="13" spans="1:26">
      <c r="A13" s="1" t="s">
        <v>430</v>
      </c>
      <c r="B13" s="1" t="s">
        <v>545</v>
      </c>
      <c r="C13" s="11">
        <v>9213293</v>
      </c>
      <c r="D13" s="1" t="s">
        <v>593</v>
      </c>
      <c r="E13" s="1" t="s">
        <v>570</v>
      </c>
      <c r="F13" s="1" t="s">
        <v>389</v>
      </c>
      <c r="G13" s="1" t="s">
        <v>390</v>
      </c>
      <c r="H13" s="1" t="s">
        <v>529</v>
      </c>
      <c r="I13" s="1" t="s">
        <v>52</v>
      </c>
      <c r="J13" s="1" t="s">
        <v>87</v>
      </c>
      <c r="K13" s="1" t="s">
        <v>391</v>
      </c>
      <c r="L13" s="1" t="s">
        <v>452</v>
      </c>
      <c r="M13" s="1" t="s">
        <v>567</v>
      </c>
      <c r="N13" s="1" t="s">
        <v>256</v>
      </c>
      <c r="O13" s="11" t="s">
        <v>144</v>
      </c>
      <c r="P13" s="1" t="s">
        <v>73</v>
      </c>
      <c r="Q13" s="1" t="s">
        <v>75</v>
      </c>
      <c r="R13" s="15">
        <v>64.88</v>
      </c>
      <c r="S13" s="15">
        <f>R13*W13</f>
        <v>41.523199999999996</v>
      </c>
      <c r="T13" s="12">
        <v>64.88</v>
      </c>
      <c r="U13" s="1" t="s">
        <v>61</v>
      </c>
      <c r="V13" s="1" t="s">
        <v>62</v>
      </c>
      <c r="W13" s="13">
        <v>0.64</v>
      </c>
      <c r="X13" s="12">
        <v>41.52</v>
      </c>
      <c r="Y13" s="12">
        <v>0</v>
      </c>
      <c r="Z13" s="1" t="s">
        <v>57</v>
      </c>
    </row>
    <row r="14" spans="1:26">
      <c r="A14" s="16" t="s">
        <v>428</v>
      </c>
      <c r="B14" s="16" t="s">
        <v>428</v>
      </c>
      <c r="C14" s="17" t="s">
        <v>588</v>
      </c>
      <c r="D14" s="16" t="s">
        <v>594</v>
      </c>
      <c r="E14" s="16" t="s">
        <v>572</v>
      </c>
      <c r="F14" s="16" t="s">
        <v>135</v>
      </c>
      <c r="G14" s="16" t="s">
        <v>136</v>
      </c>
      <c r="H14" s="16" t="s">
        <v>580</v>
      </c>
      <c r="I14" s="16" t="s">
        <v>52</v>
      </c>
      <c r="J14" s="16" t="s">
        <v>53</v>
      </c>
      <c r="K14" s="16" t="s">
        <v>137</v>
      </c>
      <c r="L14" s="16" t="s">
        <v>446</v>
      </c>
      <c r="M14" s="16" t="s">
        <v>559</v>
      </c>
      <c r="N14" s="16" t="s">
        <v>53</v>
      </c>
      <c r="O14" s="46">
        <v>46261</v>
      </c>
      <c r="P14" s="16" t="s">
        <v>73</v>
      </c>
      <c r="Q14" s="16" t="s">
        <v>75</v>
      </c>
      <c r="R14" s="18">
        <v>162.97999999999999</v>
      </c>
      <c r="S14" s="18">
        <f>R14*W14</f>
        <v>220.023</v>
      </c>
      <c r="T14" s="19">
        <v>1466.82</v>
      </c>
      <c r="U14" s="16" t="s">
        <v>61</v>
      </c>
      <c r="V14" s="16" t="s">
        <v>76</v>
      </c>
      <c r="W14" s="20">
        <v>1.35</v>
      </c>
      <c r="X14" s="19">
        <v>1980.21</v>
      </c>
      <c r="Y14" s="19">
        <v>1980.21</v>
      </c>
      <c r="Z14" s="16" t="s">
        <v>57</v>
      </c>
    </row>
    <row r="15" spans="1:26">
      <c r="A15" s="25" t="s">
        <v>418</v>
      </c>
      <c r="B15" s="25" t="s">
        <v>418</v>
      </c>
      <c r="C15" s="26">
        <v>8307933</v>
      </c>
      <c r="D15" s="25" t="s">
        <v>593</v>
      </c>
      <c r="E15" s="25" t="s">
        <v>570</v>
      </c>
      <c r="F15" s="25" t="s">
        <v>230</v>
      </c>
      <c r="G15" s="25" t="s">
        <v>231</v>
      </c>
      <c r="H15" s="25" t="s">
        <v>582</v>
      </c>
      <c r="I15" s="25" t="s">
        <v>147</v>
      </c>
      <c r="J15" s="25" t="s">
        <v>87</v>
      </c>
      <c r="K15" s="25" t="s">
        <v>137</v>
      </c>
      <c r="L15" s="25" t="s">
        <v>446</v>
      </c>
      <c r="M15" s="25" t="s">
        <v>559</v>
      </c>
      <c r="N15" s="25" t="s">
        <v>71</v>
      </c>
      <c r="O15" s="47">
        <v>46266</v>
      </c>
      <c r="P15" s="25" t="s">
        <v>73</v>
      </c>
      <c r="Q15" s="25" t="s">
        <v>75</v>
      </c>
      <c r="R15" s="27">
        <v>127.81</v>
      </c>
      <c r="S15" s="27">
        <f>R15*W15</f>
        <v>172.54350000000002</v>
      </c>
      <c r="T15" s="28">
        <v>1150.29</v>
      </c>
      <c r="U15" s="25" t="s">
        <v>61</v>
      </c>
      <c r="V15" s="25" t="s">
        <v>76</v>
      </c>
      <c r="W15" s="29">
        <v>1.35</v>
      </c>
      <c r="X15" s="28">
        <v>1552.89</v>
      </c>
      <c r="Y15" s="28">
        <v>1552.89</v>
      </c>
      <c r="Z15" s="25" t="s">
        <v>57</v>
      </c>
    </row>
    <row r="16" spans="1:26">
      <c r="A16" s="25" t="s">
        <v>435</v>
      </c>
      <c r="B16" s="25" t="s">
        <v>435</v>
      </c>
      <c r="C16" s="26">
        <v>5442438</v>
      </c>
      <c r="D16" s="25" t="s">
        <v>593</v>
      </c>
      <c r="E16" s="25" t="s">
        <v>570</v>
      </c>
      <c r="F16" s="25" t="s">
        <v>352</v>
      </c>
      <c r="G16" s="25" t="s">
        <v>353</v>
      </c>
      <c r="H16" s="25" t="s">
        <v>521</v>
      </c>
      <c r="I16" s="25" t="s">
        <v>172</v>
      </c>
      <c r="J16" s="25" t="s">
        <v>53</v>
      </c>
      <c r="K16" s="25" t="s">
        <v>137</v>
      </c>
      <c r="L16" s="25" t="s">
        <v>446</v>
      </c>
      <c r="M16" s="25" t="s">
        <v>559</v>
      </c>
      <c r="N16" s="25" t="s">
        <v>69</v>
      </c>
      <c r="O16" s="26" t="s">
        <v>270</v>
      </c>
      <c r="P16" s="25" t="s">
        <v>73</v>
      </c>
      <c r="Q16" s="25" t="s">
        <v>75</v>
      </c>
      <c r="R16" s="27">
        <v>73.52</v>
      </c>
      <c r="S16" s="27">
        <f>R16*W16</f>
        <v>99.251999999999995</v>
      </c>
      <c r="T16" s="28">
        <v>73.52</v>
      </c>
      <c r="U16" s="25" t="s">
        <v>61</v>
      </c>
      <c r="V16" s="25" t="s">
        <v>161</v>
      </c>
      <c r="W16" s="29">
        <v>1.35</v>
      </c>
      <c r="X16" s="28">
        <v>0</v>
      </c>
      <c r="Y16" s="28">
        <v>-99.25</v>
      </c>
      <c r="Z16" s="25" t="s">
        <v>57</v>
      </c>
    </row>
    <row r="17" spans="1:26">
      <c r="A17" s="1" t="s">
        <v>418</v>
      </c>
      <c r="B17" s="1" t="s">
        <v>533</v>
      </c>
      <c r="C17" s="11">
        <v>8307933</v>
      </c>
      <c r="D17" s="1" t="s">
        <v>593</v>
      </c>
      <c r="E17" s="1" t="s">
        <v>570</v>
      </c>
      <c r="F17" s="1" t="s">
        <v>192</v>
      </c>
      <c r="G17" s="1" t="s">
        <v>193</v>
      </c>
      <c r="H17" s="1" t="s">
        <v>477</v>
      </c>
      <c r="I17" s="1" t="s">
        <v>52</v>
      </c>
      <c r="J17" s="1" t="s">
        <v>69</v>
      </c>
      <c r="K17" s="1" t="s">
        <v>137</v>
      </c>
      <c r="L17" s="1" t="s">
        <v>446</v>
      </c>
      <c r="M17" s="1" t="s">
        <v>559</v>
      </c>
      <c r="N17" s="1" t="s">
        <v>194</v>
      </c>
      <c r="O17" s="11" t="s">
        <v>149</v>
      </c>
      <c r="P17" s="1" t="s">
        <v>73</v>
      </c>
      <c r="Q17" s="1" t="s">
        <v>75</v>
      </c>
      <c r="R17" s="15">
        <v>197.9</v>
      </c>
      <c r="S17" s="15">
        <f>R17*W17</f>
        <v>267.16500000000002</v>
      </c>
      <c r="T17" s="12">
        <v>197.9</v>
      </c>
      <c r="U17" s="1" t="s">
        <v>61</v>
      </c>
      <c r="V17" s="1" t="s">
        <v>62</v>
      </c>
      <c r="W17" s="13">
        <v>1.35</v>
      </c>
      <c r="X17" s="12">
        <v>267.17</v>
      </c>
      <c r="Y17" s="12">
        <v>0</v>
      </c>
      <c r="Z17" s="1" t="s">
        <v>57</v>
      </c>
    </row>
    <row r="18" spans="1:26">
      <c r="A18" s="1" t="s">
        <v>428</v>
      </c>
      <c r="B18" s="1" t="s">
        <v>543</v>
      </c>
      <c r="C18" s="11">
        <v>20220688</v>
      </c>
      <c r="D18" s="1" t="s">
        <v>593</v>
      </c>
      <c r="E18" s="1" t="s">
        <v>572</v>
      </c>
      <c r="F18" s="1" t="s">
        <v>344</v>
      </c>
      <c r="G18" s="1" t="s">
        <v>345</v>
      </c>
      <c r="H18" s="1" t="s">
        <v>520</v>
      </c>
      <c r="I18" s="1" t="s">
        <v>52</v>
      </c>
      <c r="J18" s="1" t="s">
        <v>87</v>
      </c>
      <c r="K18" s="1" t="s">
        <v>137</v>
      </c>
      <c r="L18" s="1" t="s">
        <v>446</v>
      </c>
      <c r="M18" s="1" t="s">
        <v>559</v>
      </c>
      <c r="N18" s="1" t="s">
        <v>346</v>
      </c>
      <c r="O18" s="11" t="s">
        <v>347</v>
      </c>
      <c r="P18" s="1" t="s">
        <v>73</v>
      </c>
      <c r="Q18" s="1" t="s">
        <v>75</v>
      </c>
      <c r="R18" s="15">
        <v>68.239999999999995</v>
      </c>
      <c r="S18" s="15">
        <f>R18*W18</f>
        <v>92.123999999999995</v>
      </c>
      <c r="T18" s="12">
        <v>68.239999999999995</v>
      </c>
      <c r="U18" s="1" t="s">
        <v>61</v>
      </c>
      <c r="V18" s="1" t="s">
        <v>62</v>
      </c>
      <c r="W18" s="13">
        <v>1.35</v>
      </c>
      <c r="X18" s="12">
        <v>92.08</v>
      </c>
      <c r="Y18" s="12">
        <v>-0.04</v>
      </c>
      <c r="Z18" s="1" t="s">
        <v>57</v>
      </c>
    </row>
    <row r="19" spans="1:26">
      <c r="A19" s="1" t="s">
        <v>428</v>
      </c>
      <c r="B19" s="1" t="s">
        <v>543</v>
      </c>
      <c r="C19" s="11">
        <v>20220688</v>
      </c>
      <c r="D19" s="1" t="s">
        <v>593</v>
      </c>
      <c r="E19" s="1" t="s">
        <v>572</v>
      </c>
      <c r="F19" s="1" t="s">
        <v>235</v>
      </c>
      <c r="G19" s="1" t="s">
        <v>236</v>
      </c>
      <c r="H19" s="1" t="s">
        <v>490</v>
      </c>
      <c r="I19" s="1" t="s">
        <v>52</v>
      </c>
      <c r="J19" s="1" t="s">
        <v>87</v>
      </c>
      <c r="K19" s="1" t="s">
        <v>137</v>
      </c>
      <c r="L19" s="1" t="s">
        <v>446</v>
      </c>
      <c r="M19" s="1" t="s">
        <v>559</v>
      </c>
      <c r="N19" s="1" t="s">
        <v>237</v>
      </c>
      <c r="O19" s="11" t="s">
        <v>238</v>
      </c>
      <c r="P19" s="1" t="s">
        <v>73</v>
      </c>
      <c r="Q19" s="1" t="s">
        <v>75</v>
      </c>
      <c r="R19" s="15">
        <v>97.59</v>
      </c>
      <c r="S19" s="15">
        <f>R19*W19</f>
        <v>131.74650000000003</v>
      </c>
      <c r="T19" s="12">
        <v>97.59</v>
      </c>
      <c r="U19" s="1" t="s">
        <v>61</v>
      </c>
      <c r="V19" s="1" t="s">
        <v>62</v>
      </c>
      <c r="W19" s="13">
        <v>1.35</v>
      </c>
      <c r="X19" s="12">
        <v>0</v>
      </c>
      <c r="Y19" s="12">
        <v>-131.75</v>
      </c>
      <c r="Z19" s="1" t="s">
        <v>57</v>
      </c>
    </row>
    <row r="20" spans="1:26">
      <c r="A20" s="1" t="s">
        <v>428</v>
      </c>
      <c r="B20" s="1" t="s">
        <v>543</v>
      </c>
      <c r="C20" s="11">
        <v>20220688</v>
      </c>
      <c r="D20" s="1" t="s">
        <v>593</v>
      </c>
      <c r="E20" s="1" t="s">
        <v>572</v>
      </c>
      <c r="F20" s="1" t="s">
        <v>359</v>
      </c>
      <c r="G20" s="1" t="s">
        <v>360</v>
      </c>
      <c r="H20" s="1" t="s">
        <v>522</v>
      </c>
      <c r="I20" s="1" t="s">
        <v>52</v>
      </c>
      <c r="J20" s="1" t="s">
        <v>87</v>
      </c>
      <c r="K20" s="1" t="s">
        <v>137</v>
      </c>
      <c r="L20" s="1" t="s">
        <v>446</v>
      </c>
      <c r="M20" s="1" t="s">
        <v>559</v>
      </c>
      <c r="N20" s="1" t="s">
        <v>361</v>
      </c>
      <c r="O20" s="11" t="s">
        <v>362</v>
      </c>
      <c r="P20" s="1" t="s">
        <v>73</v>
      </c>
      <c r="Q20" s="1" t="s">
        <v>75</v>
      </c>
      <c r="R20" s="15">
        <v>68.66</v>
      </c>
      <c r="S20" s="15">
        <f>R20*W20</f>
        <v>92.691000000000003</v>
      </c>
      <c r="T20" s="12">
        <v>68.66</v>
      </c>
      <c r="U20" s="1" t="s">
        <v>61</v>
      </c>
      <c r="V20" s="1" t="s">
        <v>62</v>
      </c>
      <c r="W20" s="13">
        <v>1.35</v>
      </c>
      <c r="X20" s="12">
        <v>0</v>
      </c>
      <c r="Y20" s="12">
        <v>-92.69</v>
      </c>
      <c r="Z20" s="1" t="s">
        <v>57</v>
      </c>
    </row>
    <row r="21" spans="1:26">
      <c r="A21" s="1" t="s">
        <v>427</v>
      </c>
      <c r="B21" s="1" t="s">
        <v>542</v>
      </c>
      <c r="C21" s="11">
        <v>22106234</v>
      </c>
      <c r="D21" s="1" t="s">
        <v>593</v>
      </c>
      <c r="E21" s="1" t="s">
        <v>572</v>
      </c>
      <c r="F21" s="1" t="s">
        <v>183</v>
      </c>
      <c r="G21" s="1" t="s">
        <v>184</v>
      </c>
      <c r="H21" s="1" t="s">
        <v>475</v>
      </c>
      <c r="I21" s="1" t="s">
        <v>185</v>
      </c>
      <c r="J21" s="1" t="s">
        <v>87</v>
      </c>
      <c r="K21" s="1" t="s">
        <v>137</v>
      </c>
      <c r="L21" s="1" t="s">
        <v>446</v>
      </c>
      <c r="M21" s="1" t="s">
        <v>559</v>
      </c>
      <c r="N21" s="1" t="s">
        <v>186</v>
      </c>
      <c r="O21" s="11" t="s">
        <v>187</v>
      </c>
      <c r="P21" s="1" t="s">
        <v>73</v>
      </c>
      <c r="Q21" s="1" t="s">
        <v>75</v>
      </c>
      <c r="R21" s="15">
        <v>296.49</v>
      </c>
      <c r="S21" s="15">
        <f>R21*W21</f>
        <v>400.26150000000001</v>
      </c>
      <c r="T21" s="12">
        <v>296.49</v>
      </c>
      <c r="U21" s="1" t="s">
        <v>61</v>
      </c>
      <c r="V21" s="1" t="s">
        <v>62</v>
      </c>
      <c r="W21" s="13">
        <v>1.35</v>
      </c>
      <c r="X21" s="12">
        <v>400.26</v>
      </c>
      <c r="Y21" s="12">
        <v>0</v>
      </c>
      <c r="Z21" s="1" t="s">
        <v>57</v>
      </c>
    </row>
    <row r="22" spans="1:26">
      <c r="A22" s="1" t="s">
        <v>425</v>
      </c>
      <c r="B22" s="1" t="s">
        <v>540</v>
      </c>
      <c r="C22" s="11">
        <v>21283956</v>
      </c>
      <c r="D22" s="1" t="s">
        <v>593</v>
      </c>
      <c r="E22" s="1" t="s">
        <v>572</v>
      </c>
      <c r="F22" s="1" t="s">
        <v>164</v>
      </c>
      <c r="G22" s="1" t="s">
        <v>165</v>
      </c>
      <c r="H22" s="1" t="s">
        <v>472</v>
      </c>
      <c r="I22" s="1" t="s">
        <v>166</v>
      </c>
      <c r="J22" s="1" t="s">
        <v>87</v>
      </c>
      <c r="K22" s="1" t="s">
        <v>137</v>
      </c>
      <c r="L22" s="1" t="s">
        <v>446</v>
      </c>
      <c r="M22" s="1" t="s">
        <v>559</v>
      </c>
      <c r="N22" s="1" t="s">
        <v>167</v>
      </c>
      <c r="O22" s="11" t="s">
        <v>168</v>
      </c>
      <c r="P22" s="1" t="s">
        <v>73</v>
      </c>
      <c r="Q22" s="1" t="s">
        <v>75</v>
      </c>
      <c r="R22" s="15">
        <v>124.86</v>
      </c>
      <c r="S22" s="15">
        <f>R22*W22</f>
        <v>168.56100000000001</v>
      </c>
      <c r="T22" s="12">
        <v>124.86</v>
      </c>
      <c r="U22" s="1" t="s">
        <v>61</v>
      </c>
      <c r="V22" s="1" t="s">
        <v>62</v>
      </c>
      <c r="W22" s="13">
        <v>1.35</v>
      </c>
      <c r="X22" s="12">
        <v>168.56</v>
      </c>
      <c r="Y22" s="12">
        <v>0</v>
      </c>
      <c r="Z22" s="1" t="s">
        <v>57</v>
      </c>
    </row>
    <row r="23" spans="1:26">
      <c r="A23" s="1" t="s">
        <v>429</v>
      </c>
      <c r="B23" s="1" t="s">
        <v>544</v>
      </c>
      <c r="C23" s="11">
        <v>14903711</v>
      </c>
      <c r="D23" s="1" t="s">
        <v>593</v>
      </c>
      <c r="E23" s="1" t="s">
        <v>572</v>
      </c>
      <c r="F23" s="1" t="s">
        <v>245</v>
      </c>
      <c r="G23" s="1" t="s">
        <v>246</v>
      </c>
      <c r="H23" s="1" t="s">
        <v>491</v>
      </c>
      <c r="I23" s="1" t="s">
        <v>247</v>
      </c>
      <c r="J23" s="1" t="s">
        <v>87</v>
      </c>
      <c r="K23" s="1" t="s">
        <v>137</v>
      </c>
      <c r="L23" s="1" t="s">
        <v>446</v>
      </c>
      <c r="M23" s="1" t="s">
        <v>559</v>
      </c>
      <c r="N23" s="1" t="s">
        <v>248</v>
      </c>
      <c r="O23" s="11" t="s">
        <v>249</v>
      </c>
      <c r="P23" s="1" t="s">
        <v>73</v>
      </c>
      <c r="Q23" s="1" t="s">
        <v>75</v>
      </c>
      <c r="R23" s="15">
        <v>290.83999999999997</v>
      </c>
      <c r="S23" s="15">
        <f>R23*W23</f>
        <v>392.63400000000001</v>
      </c>
      <c r="T23" s="12">
        <v>290.83999999999997</v>
      </c>
      <c r="U23" s="1" t="s">
        <v>61</v>
      </c>
      <c r="V23" s="1" t="s">
        <v>62</v>
      </c>
      <c r="W23" s="13">
        <v>1.35</v>
      </c>
      <c r="X23" s="12">
        <v>0</v>
      </c>
      <c r="Y23" s="12">
        <v>-392.63</v>
      </c>
      <c r="Z23" s="1" t="s">
        <v>57</v>
      </c>
    </row>
    <row r="24" spans="1:26">
      <c r="A24" s="1" t="s">
        <v>428</v>
      </c>
      <c r="B24" s="1" t="s">
        <v>543</v>
      </c>
      <c r="C24" s="11">
        <v>20220688</v>
      </c>
      <c r="D24" s="1" t="s">
        <v>593</v>
      </c>
      <c r="E24" s="1" t="s">
        <v>572</v>
      </c>
      <c r="F24" s="1" t="s">
        <v>232</v>
      </c>
      <c r="G24" s="1" t="s">
        <v>233</v>
      </c>
      <c r="H24" s="1" t="s">
        <v>489</v>
      </c>
      <c r="I24" s="1" t="s">
        <v>52</v>
      </c>
      <c r="J24" s="1" t="s">
        <v>87</v>
      </c>
      <c r="K24" s="1" t="s">
        <v>127</v>
      </c>
      <c r="L24" s="1" t="s">
        <v>443</v>
      </c>
      <c r="M24" s="1" t="s">
        <v>559</v>
      </c>
      <c r="N24" s="1" t="s">
        <v>234</v>
      </c>
      <c r="O24" s="11" t="s">
        <v>71</v>
      </c>
      <c r="P24" s="1" t="s">
        <v>73</v>
      </c>
      <c r="Q24" s="1" t="s">
        <v>75</v>
      </c>
      <c r="R24" s="15">
        <v>98.66</v>
      </c>
      <c r="S24" s="15">
        <f>R24*W24</f>
        <v>133.191</v>
      </c>
      <c r="T24" s="12">
        <v>98.66</v>
      </c>
      <c r="U24" s="1" t="s">
        <v>61</v>
      </c>
      <c r="V24" s="1" t="s">
        <v>62</v>
      </c>
      <c r="W24" s="13">
        <v>1.35</v>
      </c>
      <c r="X24" s="12">
        <v>0</v>
      </c>
      <c r="Y24" s="12">
        <v>-133.19</v>
      </c>
      <c r="Z24" s="1" t="s">
        <v>57</v>
      </c>
    </row>
    <row r="25" spans="1:26">
      <c r="A25" s="1" t="s">
        <v>430</v>
      </c>
      <c r="B25" s="1" t="s">
        <v>545</v>
      </c>
      <c r="C25" s="11">
        <v>9213293</v>
      </c>
      <c r="D25" s="1" t="s">
        <v>593</v>
      </c>
      <c r="E25" s="1" t="s">
        <v>570</v>
      </c>
      <c r="F25" s="1" t="s">
        <v>319</v>
      </c>
      <c r="G25" s="1" t="s">
        <v>320</v>
      </c>
      <c r="H25" s="1" t="s">
        <v>515</v>
      </c>
      <c r="I25" s="1" t="s">
        <v>52</v>
      </c>
      <c r="J25" s="1" t="s">
        <v>87</v>
      </c>
      <c r="K25" s="1" t="s">
        <v>221</v>
      </c>
      <c r="L25" s="1" t="s">
        <v>448</v>
      </c>
      <c r="M25" s="1" t="s">
        <v>561</v>
      </c>
      <c r="N25" s="1" t="s">
        <v>321</v>
      </c>
      <c r="O25" s="11" t="s">
        <v>322</v>
      </c>
      <c r="P25" s="1" t="s">
        <v>73</v>
      </c>
      <c r="Q25" s="1" t="s">
        <v>75</v>
      </c>
      <c r="R25" s="15">
        <v>95.05</v>
      </c>
      <c r="S25" s="15">
        <f>R25*W25</f>
        <v>83.168750000000003</v>
      </c>
      <c r="T25" s="12">
        <v>95.05</v>
      </c>
      <c r="U25" s="1" t="s">
        <v>61</v>
      </c>
      <c r="V25" s="1" t="s">
        <v>62</v>
      </c>
      <c r="W25" s="13">
        <v>0.875</v>
      </c>
      <c r="X25" s="12">
        <v>0</v>
      </c>
      <c r="Y25" s="12">
        <v>-83.17</v>
      </c>
      <c r="Z25" s="1" t="s">
        <v>57</v>
      </c>
    </row>
    <row r="26" spans="1:26">
      <c r="A26" s="1" t="s">
        <v>418</v>
      </c>
      <c r="B26" s="1" t="s">
        <v>533</v>
      </c>
      <c r="C26" s="11">
        <v>8307933</v>
      </c>
      <c r="D26" s="1" t="s">
        <v>593</v>
      </c>
      <c r="E26" s="1" t="s">
        <v>570</v>
      </c>
      <c r="F26" s="1" t="s">
        <v>219</v>
      </c>
      <c r="G26" s="1" t="s">
        <v>220</v>
      </c>
      <c r="H26" s="1" t="s">
        <v>486</v>
      </c>
      <c r="I26" s="1" t="s">
        <v>147</v>
      </c>
      <c r="J26" s="1" t="s">
        <v>87</v>
      </c>
      <c r="K26" s="1" t="s">
        <v>221</v>
      </c>
      <c r="L26" s="1" t="s">
        <v>448</v>
      </c>
      <c r="M26" s="1" t="s">
        <v>561</v>
      </c>
      <c r="N26" s="1" t="s">
        <v>222</v>
      </c>
      <c r="O26" s="11" t="s">
        <v>154</v>
      </c>
      <c r="P26" s="1" t="s">
        <v>73</v>
      </c>
      <c r="Q26" s="1" t="s">
        <v>75</v>
      </c>
      <c r="R26" s="15">
        <v>72.349999999999994</v>
      </c>
      <c r="S26" s="15">
        <f>R26*W26</f>
        <v>63.306249999999991</v>
      </c>
      <c r="T26" s="12">
        <v>72.349999999999994</v>
      </c>
      <c r="U26" s="1" t="s">
        <v>61</v>
      </c>
      <c r="V26" s="1" t="s">
        <v>62</v>
      </c>
      <c r="W26" s="13">
        <v>0.875</v>
      </c>
      <c r="X26" s="12">
        <v>0</v>
      </c>
      <c r="Y26" s="12">
        <v>-63.31</v>
      </c>
      <c r="Z26" s="1" t="s">
        <v>57</v>
      </c>
    </row>
    <row r="27" spans="1:26">
      <c r="A27" s="1" t="s">
        <v>438</v>
      </c>
      <c r="B27" s="1" t="s">
        <v>550</v>
      </c>
      <c r="C27" s="11">
        <v>9079571</v>
      </c>
      <c r="D27" s="1" t="s">
        <v>593</v>
      </c>
      <c r="E27" s="1" t="s">
        <v>570</v>
      </c>
      <c r="F27" s="1" t="s">
        <v>393</v>
      </c>
      <c r="G27" s="1" t="s">
        <v>394</v>
      </c>
      <c r="H27" s="1" t="s">
        <v>578</v>
      </c>
      <c r="I27" s="1" t="s">
        <v>172</v>
      </c>
      <c r="J27" s="1" t="s">
        <v>81</v>
      </c>
      <c r="K27" s="1" t="s">
        <v>395</v>
      </c>
      <c r="L27" s="1" t="s">
        <v>441</v>
      </c>
      <c r="M27" s="1" t="s">
        <v>568</v>
      </c>
      <c r="N27" s="1" t="s">
        <v>396</v>
      </c>
      <c r="O27" s="11" t="s">
        <v>71</v>
      </c>
      <c r="P27" s="1" t="s">
        <v>73</v>
      </c>
      <c r="Q27" s="1" t="s">
        <v>75</v>
      </c>
      <c r="R27" s="15">
        <v>125.66</v>
      </c>
      <c r="S27" s="15">
        <f>R27*W27</f>
        <v>33.928200000000004</v>
      </c>
      <c r="T27" s="12">
        <v>93.57</v>
      </c>
      <c r="U27" s="1" t="s">
        <v>83</v>
      </c>
      <c r="V27" s="1" t="s">
        <v>84</v>
      </c>
      <c r="W27" s="13">
        <v>0.27</v>
      </c>
      <c r="X27" s="12">
        <v>25.26</v>
      </c>
      <c r="Y27" s="12">
        <v>0</v>
      </c>
      <c r="Z27" s="1" t="s">
        <v>57</v>
      </c>
    </row>
    <row r="28" spans="1:26">
      <c r="A28" s="1" t="s">
        <v>419</v>
      </c>
      <c r="B28" s="1" t="s">
        <v>534</v>
      </c>
      <c r="C28" s="11">
        <v>18828278</v>
      </c>
      <c r="D28" s="1" t="s">
        <v>593</v>
      </c>
      <c r="E28" s="1" t="s">
        <v>571</v>
      </c>
      <c r="F28" s="1" t="s">
        <v>79</v>
      </c>
      <c r="G28" s="1" t="s">
        <v>80</v>
      </c>
      <c r="H28" s="1" t="s">
        <v>455</v>
      </c>
      <c r="I28" s="1" t="s">
        <v>52</v>
      </c>
      <c r="J28" s="1" t="s">
        <v>81</v>
      </c>
      <c r="K28" s="1" t="s">
        <v>54</v>
      </c>
      <c r="L28" s="1" t="s">
        <v>440</v>
      </c>
      <c r="M28" s="1" t="s">
        <v>553</v>
      </c>
      <c r="N28" s="1" t="s">
        <v>82</v>
      </c>
      <c r="O28" s="11" t="s">
        <v>71</v>
      </c>
      <c r="P28" s="1" t="s">
        <v>73</v>
      </c>
      <c r="Q28" s="1" t="s">
        <v>75</v>
      </c>
      <c r="R28" s="15">
        <v>180.14</v>
      </c>
      <c r="S28" s="15">
        <f>R28*W28</f>
        <v>41.432200000000002</v>
      </c>
      <c r="T28" s="12">
        <v>128.66999999999999</v>
      </c>
      <c r="U28" s="1" t="s">
        <v>83</v>
      </c>
      <c r="V28" s="1" t="s">
        <v>84</v>
      </c>
      <c r="W28" s="13">
        <v>0.23</v>
      </c>
      <c r="X28" s="12">
        <v>29.59</v>
      </c>
      <c r="Y28" s="12">
        <v>0</v>
      </c>
      <c r="Z28" s="1" t="s">
        <v>57</v>
      </c>
    </row>
    <row r="29" spans="1:26">
      <c r="A29" s="1" t="s">
        <v>419</v>
      </c>
      <c r="B29" s="1" t="s">
        <v>534</v>
      </c>
      <c r="C29" s="11">
        <v>18828278</v>
      </c>
      <c r="D29" s="1" t="s">
        <v>593</v>
      </c>
      <c r="E29" s="1" t="s">
        <v>570</v>
      </c>
      <c r="F29" s="1" t="s">
        <v>94</v>
      </c>
      <c r="G29" s="1" t="s">
        <v>95</v>
      </c>
      <c r="H29" s="1" t="s">
        <v>459</v>
      </c>
      <c r="I29" s="1" t="s">
        <v>52</v>
      </c>
      <c r="J29" s="1" t="s">
        <v>69</v>
      </c>
      <c r="K29" s="1" t="s">
        <v>54</v>
      </c>
      <c r="L29" s="1" t="s">
        <v>440</v>
      </c>
      <c r="M29" s="1" t="s">
        <v>553</v>
      </c>
      <c r="N29" s="1" t="s">
        <v>96</v>
      </c>
      <c r="O29" s="11" t="s">
        <v>71</v>
      </c>
      <c r="P29" s="1" t="s">
        <v>73</v>
      </c>
      <c r="Q29" s="1" t="s">
        <v>75</v>
      </c>
      <c r="R29" s="15">
        <v>181.15</v>
      </c>
      <c r="S29" s="15">
        <f>R29*W29</f>
        <v>41.664500000000004</v>
      </c>
      <c r="T29" s="12">
        <v>129.38999999999999</v>
      </c>
      <c r="U29" s="1" t="s">
        <v>83</v>
      </c>
      <c r="V29" s="1" t="s">
        <v>84</v>
      </c>
      <c r="W29" s="13">
        <v>0.23</v>
      </c>
      <c r="X29" s="12">
        <v>29.76</v>
      </c>
      <c r="Y29" s="12">
        <v>0</v>
      </c>
      <c r="Z29" s="1" t="s">
        <v>57</v>
      </c>
    </row>
    <row r="30" spans="1:26" s="25" customFormat="1">
      <c r="A30" s="1" t="s">
        <v>418</v>
      </c>
      <c r="B30" s="1" t="s">
        <v>533</v>
      </c>
      <c r="C30" s="11">
        <v>8307933</v>
      </c>
      <c r="D30" s="1" t="s">
        <v>593</v>
      </c>
      <c r="E30" s="1" t="s">
        <v>570</v>
      </c>
      <c r="F30" s="1" t="s">
        <v>97</v>
      </c>
      <c r="G30" s="1" t="s">
        <v>98</v>
      </c>
      <c r="H30" s="1" t="s">
        <v>460</v>
      </c>
      <c r="I30" s="1" t="s">
        <v>52</v>
      </c>
      <c r="J30" s="1" t="s">
        <v>69</v>
      </c>
      <c r="K30" s="1" t="s">
        <v>54</v>
      </c>
      <c r="L30" s="1" t="s">
        <v>440</v>
      </c>
      <c r="M30" s="1" t="s">
        <v>552</v>
      </c>
      <c r="N30" s="1" t="s">
        <v>99</v>
      </c>
      <c r="O30" s="11" t="s">
        <v>71</v>
      </c>
      <c r="P30" s="1" t="s">
        <v>73</v>
      </c>
      <c r="Q30" s="1" t="s">
        <v>75</v>
      </c>
      <c r="R30" s="15">
        <v>246.48</v>
      </c>
      <c r="S30" s="15">
        <f>R30*W30</f>
        <v>56.690399999999997</v>
      </c>
      <c r="T30" s="12">
        <v>162.27000000000001</v>
      </c>
      <c r="U30" s="1" t="s">
        <v>83</v>
      </c>
      <c r="V30" s="1" t="s">
        <v>84</v>
      </c>
      <c r="W30" s="13">
        <v>0.23</v>
      </c>
      <c r="X30" s="12">
        <v>37.32</v>
      </c>
      <c r="Y30" s="12">
        <v>0</v>
      </c>
      <c r="Z30" s="1" t="s">
        <v>57</v>
      </c>
    </row>
    <row r="31" spans="1:26">
      <c r="A31" s="1" t="s">
        <v>418</v>
      </c>
      <c r="B31" s="1" t="s">
        <v>533</v>
      </c>
      <c r="C31" s="11">
        <v>8307933</v>
      </c>
      <c r="D31" s="1" t="s">
        <v>593</v>
      </c>
      <c r="E31" s="1" t="s">
        <v>570</v>
      </c>
      <c r="F31" s="1" t="s">
        <v>50</v>
      </c>
      <c r="G31" s="1" t="s">
        <v>51</v>
      </c>
      <c r="H31" s="1" t="s">
        <v>454</v>
      </c>
      <c r="I31" s="1" t="s">
        <v>52</v>
      </c>
      <c r="J31" s="1" t="s">
        <v>53</v>
      </c>
      <c r="K31" s="1" t="s">
        <v>54</v>
      </c>
      <c r="L31" s="1" t="s">
        <v>440</v>
      </c>
      <c r="M31" s="1" t="s">
        <v>552</v>
      </c>
      <c r="N31" s="1" t="s">
        <v>55</v>
      </c>
      <c r="O31" s="11" t="s">
        <v>56</v>
      </c>
      <c r="P31" s="1" t="s">
        <v>58</v>
      </c>
      <c r="Q31" s="1" t="s">
        <v>60</v>
      </c>
      <c r="R31" s="15">
        <v>599.73</v>
      </c>
      <c r="S31" s="15">
        <f>R31*W31</f>
        <v>137.93790000000001</v>
      </c>
      <c r="T31" s="12">
        <v>599.73</v>
      </c>
      <c r="U31" s="1" t="s">
        <v>61</v>
      </c>
      <c r="V31" s="1" t="s">
        <v>62</v>
      </c>
      <c r="W31" s="13">
        <v>0.23</v>
      </c>
      <c r="X31" s="12">
        <v>137.94</v>
      </c>
      <c r="Y31" s="12">
        <v>0</v>
      </c>
      <c r="Z31" s="1" t="s">
        <v>57</v>
      </c>
    </row>
    <row r="32" spans="1:26">
      <c r="A32" s="1" t="s">
        <v>419</v>
      </c>
      <c r="B32" s="1" t="s">
        <v>534</v>
      </c>
      <c r="C32" s="11">
        <v>18828278</v>
      </c>
      <c r="D32" s="1" t="s">
        <v>593</v>
      </c>
      <c r="E32" s="1" t="s">
        <v>570</v>
      </c>
      <c r="F32" s="1" t="s">
        <v>89</v>
      </c>
      <c r="G32" s="1" t="s">
        <v>90</v>
      </c>
      <c r="H32" s="1" t="s">
        <v>457</v>
      </c>
      <c r="I32" s="1" t="s">
        <v>52</v>
      </c>
      <c r="J32" s="1" t="s">
        <v>81</v>
      </c>
      <c r="K32" s="1" t="s">
        <v>54</v>
      </c>
      <c r="L32" s="1" t="s">
        <v>440</v>
      </c>
      <c r="M32" s="1" t="s">
        <v>552</v>
      </c>
      <c r="N32" s="1" t="s">
        <v>88</v>
      </c>
      <c r="O32" s="11" t="s">
        <v>71</v>
      </c>
      <c r="P32" s="1" t="s">
        <v>73</v>
      </c>
      <c r="Q32" s="1" t="s">
        <v>75</v>
      </c>
      <c r="R32" s="15">
        <v>180.14</v>
      </c>
      <c r="S32" s="15">
        <f>R32*W32</f>
        <v>41.432200000000002</v>
      </c>
      <c r="T32" s="12">
        <v>128.66999999999999</v>
      </c>
      <c r="U32" s="1" t="s">
        <v>83</v>
      </c>
      <c r="V32" s="1" t="s">
        <v>84</v>
      </c>
      <c r="W32" s="13">
        <v>0.23</v>
      </c>
      <c r="X32" s="12">
        <v>29.59</v>
      </c>
      <c r="Y32" s="12">
        <v>0</v>
      </c>
      <c r="Z32" s="1" t="s">
        <v>57</v>
      </c>
    </row>
    <row r="33" spans="1:26">
      <c r="A33" s="1" t="s">
        <v>419</v>
      </c>
      <c r="B33" s="1" t="s">
        <v>534</v>
      </c>
      <c r="C33" s="11">
        <v>18828278</v>
      </c>
      <c r="D33" s="1" t="s">
        <v>593</v>
      </c>
      <c r="E33" s="1" t="s">
        <v>570</v>
      </c>
      <c r="F33" s="1" t="s">
        <v>91</v>
      </c>
      <c r="G33" s="1" t="s">
        <v>92</v>
      </c>
      <c r="H33" s="1" t="s">
        <v>458</v>
      </c>
      <c r="I33" s="1" t="s">
        <v>52</v>
      </c>
      <c r="J33" s="1" t="s">
        <v>87</v>
      </c>
      <c r="K33" s="1" t="s">
        <v>54</v>
      </c>
      <c r="L33" s="1" t="s">
        <v>440</v>
      </c>
      <c r="M33" s="1" t="s">
        <v>552</v>
      </c>
      <c r="N33" s="1" t="s">
        <v>93</v>
      </c>
      <c r="O33" s="11" t="s">
        <v>71</v>
      </c>
      <c r="P33" s="1" t="s">
        <v>73</v>
      </c>
      <c r="Q33" s="1" t="s">
        <v>75</v>
      </c>
      <c r="R33" s="15">
        <v>181.15</v>
      </c>
      <c r="S33" s="15">
        <f>R33*W33</f>
        <v>41.664500000000004</v>
      </c>
      <c r="T33" s="12">
        <v>129.38999999999999</v>
      </c>
      <c r="U33" s="1" t="s">
        <v>83</v>
      </c>
      <c r="V33" s="1" t="s">
        <v>84</v>
      </c>
      <c r="W33" s="13">
        <v>0.23</v>
      </c>
      <c r="X33" s="12">
        <v>29.76</v>
      </c>
      <c r="Y33" s="12">
        <v>0</v>
      </c>
      <c r="Z33" s="1" t="s">
        <v>57</v>
      </c>
    </row>
    <row r="34" spans="1:26">
      <c r="A34" s="1" t="s">
        <v>419</v>
      </c>
      <c r="B34" s="1" t="s">
        <v>534</v>
      </c>
      <c r="C34" s="11">
        <v>18828278</v>
      </c>
      <c r="D34" s="1" t="s">
        <v>593</v>
      </c>
      <c r="E34" s="1" t="s">
        <v>570</v>
      </c>
      <c r="F34" s="1" t="s">
        <v>85</v>
      </c>
      <c r="G34" s="1" t="s">
        <v>86</v>
      </c>
      <c r="H34" s="1" t="s">
        <v>456</v>
      </c>
      <c r="I34" s="1" t="s">
        <v>52</v>
      </c>
      <c r="J34" s="1" t="s">
        <v>87</v>
      </c>
      <c r="K34" s="1" t="s">
        <v>54</v>
      </c>
      <c r="L34" s="1" t="s">
        <v>440</v>
      </c>
      <c r="M34" s="1" t="s">
        <v>552</v>
      </c>
      <c r="N34" s="1" t="s">
        <v>88</v>
      </c>
      <c r="O34" s="11" t="s">
        <v>71</v>
      </c>
      <c r="P34" s="1" t="s">
        <v>73</v>
      </c>
      <c r="Q34" s="1" t="s">
        <v>75</v>
      </c>
      <c r="R34" s="15">
        <v>217.29</v>
      </c>
      <c r="S34" s="15">
        <f>R34*W34</f>
        <v>49.976700000000001</v>
      </c>
      <c r="T34" s="12">
        <v>150.41</v>
      </c>
      <c r="U34" s="1" t="s">
        <v>83</v>
      </c>
      <c r="V34" s="1" t="s">
        <v>84</v>
      </c>
      <c r="W34" s="13">
        <v>0.23</v>
      </c>
      <c r="X34" s="12">
        <v>34.590000000000003</v>
      </c>
      <c r="Y34" s="12">
        <v>0</v>
      </c>
      <c r="Z34" s="1" t="s">
        <v>57</v>
      </c>
    </row>
    <row r="35" spans="1:26">
      <c r="A35" s="1" t="s">
        <v>421</v>
      </c>
      <c r="B35" s="1" t="s">
        <v>536</v>
      </c>
      <c r="C35" s="11" t="s">
        <v>573</v>
      </c>
      <c r="D35" s="1" t="s">
        <v>593</v>
      </c>
      <c r="E35" s="1" t="s">
        <v>570</v>
      </c>
      <c r="F35" s="1" t="s">
        <v>118</v>
      </c>
      <c r="G35" s="1" t="s">
        <v>119</v>
      </c>
      <c r="H35" s="1" t="s">
        <v>464</v>
      </c>
      <c r="I35" s="1" t="s">
        <v>112</v>
      </c>
      <c r="J35" s="1" t="s">
        <v>53</v>
      </c>
      <c r="K35" s="1" t="s">
        <v>120</v>
      </c>
      <c r="L35" s="1" t="s">
        <v>440</v>
      </c>
      <c r="M35" s="1" t="s">
        <v>552</v>
      </c>
      <c r="N35" s="1" t="s">
        <v>121</v>
      </c>
      <c r="O35" s="11" t="s">
        <v>56</v>
      </c>
      <c r="P35" s="1" t="s">
        <v>58</v>
      </c>
      <c r="Q35" s="1" t="s">
        <v>60</v>
      </c>
      <c r="R35" s="15">
        <v>620.46</v>
      </c>
      <c r="S35" s="15">
        <f>R35*W35</f>
        <v>133.3989</v>
      </c>
      <c r="T35" s="12">
        <v>332.28</v>
      </c>
      <c r="U35" s="1" t="s">
        <v>83</v>
      </c>
      <c r="V35" s="1" t="s">
        <v>84</v>
      </c>
      <c r="W35" s="13">
        <v>0.215</v>
      </c>
      <c r="X35" s="12">
        <v>71.44</v>
      </c>
      <c r="Y35" s="12">
        <v>0</v>
      </c>
      <c r="Z35" s="1" t="s">
        <v>57</v>
      </c>
    </row>
    <row r="36" spans="1:26">
      <c r="A36" s="1" t="s">
        <v>418</v>
      </c>
      <c r="B36" s="1" t="s">
        <v>533</v>
      </c>
      <c r="C36" s="11">
        <v>8307933</v>
      </c>
      <c r="D36" s="1" t="s">
        <v>593</v>
      </c>
      <c r="E36" s="1" t="s">
        <v>570</v>
      </c>
      <c r="F36" s="1" t="s">
        <v>380</v>
      </c>
      <c r="G36" s="1" t="s">
        <v>381</v>
      </c>
      <c r="H36" s="1" t="s">
        <v>528</v>
      </c>
      <c r="I36" s="1" t="s">
        <v>147</v>
      </c>
      <c r="J36" s="1" t="s">
        <v>53</v>
      </c>
      <c r="K36" s="1" t="s">
        <v>382</v>
      </c>
      <c r="L36" s="1" t="s">
        <v>440</v>
      </c>
      <c r="M36" s="1" t="s">
        <v>566</v>
      </c>
      <c r="N36" s="1" t="s">
        <v>383</v>
      </c>
      <c r="O36" s="11" t="s">
        <v>71</v>
      </c>
      <c r="P36" s="1" t="s">
        <v>73</v>
      </c>
      <c r="Q36" s="1" t="s">
        <v>75</v>
      </c>
      <c r="R36" s="15">
        <v>151.81</v>
      </c>
      <c r="S36" s="15">
        <f>R36*W36</f>
        <v>36.434399999999997</v>
      </c>
      <c r="T36" s="12">
        <v>151.81</v>
      </c>
      <c r="U36" s="1" t="s">
        <v>61</v>
      </c>
      <c r="V36" s="1" t="s">
        <v>62</v>
      </c>
      <c r="W36" s="13">
        <v>0.24</v>
      </c>
      <c r="X36" s="12">
        <v>36.43</v>
      </c>
      <c r="Y36" s="12">
        <v>0</v>
      </c>
      <c r="Z36" s="1" t="s">
        <v>57</v>
      </c>
    </row>
    <row r="37" spans="1:26" s="25" customFormat="1">
      <c r="A37" s="1" t="s">
        <v>421</v>
      </c>
      <c r="B37" s="1" t="s">
        <v>536</v>
      </c>
      <c r="C37" s="11" t="s">
        <v>573</v>
      </c>
      <c r="D37" s="1" t="s">
        <v>593</v>
      </c>
      <c r="E37" s="1" t="s">
        <v>570</v>
      </c>
      <c r="F37" s="1" t="s">
        <v>110</v>
      </c>
      <c r="G37" s="1" t="s">
        <v>111</v>
      </c>
      <c r="H37" s="1" t="s">
        <v>462</v>
      </c>
      <c r="I37" s="1" t="s">
        <v>112</v>
      </c>
      <c r="J37" s="1" t="s">
        <v>53</v>
      </c>
      <c r="K37" s="1" t="s">
        <v>113</v>
      </c>
      <c r="L37" s="1" t="s">
        <v>441</v>
      </c>
      <c r="M37" s="1" t="s">
        <v>555</v>
      </c>
      <c r="N37" s="1" t="s">
        <v>114</v>
      </c>
      <c r="O37" s="11" t="s">
        <v>71</v>
      </c>
      <c r="P37" s="1" t="s">
        <v>73</v>
      </c>
      <c r="Q37" s="1" t="s">
        <v>75</v>
      </c>
      <c r="R37" s="15">
        <v>118.77</v>
      </c>
      <c r="S37" s="15">
        <f>R37*W37</f>
        <v>1.4846250000000001</v>
      </c>
      <c r="T37" s="12">
        <v>104.05</v>
      </c>
      <c r="U37" s="1" t="s">
        <v>83</v>
      </c>
      <c r="V37" s="1" t="s">
        <v>84</v>
      </c>
      <c r="W37" s="13">
        <v>1.2500000000000001E-2</v>
      </c>
      <c r="X37" s="12">
        <v>1.3</v>
      </c>
      <c r="Y37" s="12">
        <v>0</v>
      </c>
      <c r="Z37" s="1" t="s">
        <v>57</v>
      </c>
    </row>
    <row r="38" spans="1:26" s="25" customFormat="1">
      <c r="A38" s="1" t="s">
        <v>421</v>
      </c>
      <c r="B38" s="1" t="s">
        <v>536</v>
      </c>
      <c r="C38" s="11" t="s">
        <v>573</v>
      </c>
      <c r="D38" s="1" t="s">
        <v>593</v>
      </c>
      <c r="E38" s="1" t="s">
        <v>570</v>
      </c>
      <c r="F38" s="1" t="s">
        <v>115</v>
      </c>
      <c r="G38" s="1" t="s">
        <v>116</v>
      </c>
      <c r="H38" s="1" t="s">
        <v>463</v>
      </c>
      <c r="I38" s="1" t="s">
        <v>112</v>
      </c>
      <c r="J38" s="1" t="s">
        <v>81</v>
      </c>
      <c r="K38" s="1" t="s">
        <v>117</v>
      </c>
      <c r="L38" s="1" t="s">
        <v>442</v>
      </c>
      <c r="M38" s="1" t="s">
        <v>556</v>
      </c>
      <c r="N38" s="1" t="s">
        <v>96</v>
      </c>
      <c r="O38" s="11" t="s">
        <v>71</v>
      </c>
      <c r="P38" s="1" t="s">
        <v>73</v>
      </c>
      <c r="Q38" s="1" t="s">
        <v>75</v>
      </c>
      <c r="R38" s="15">
        <v>72.97</v>
      </c>
      <c r="S38" s="15">
        <f>R38*W38</f>
        <v>18.60735</v>
      </c>
      <c r="T38" s="12">
        <v>70.67</v>
      </c>
      <c r="U38" s="1" t="s">
        <v>83</v>
      </c>
      <c r="V38" s="1" t="s">
        <v>84</v>
      </c>
      <c r="W38" s="13">
        <v>0.255</v>
      </c>
      <c r="X38" s="12">
        <v>18.02</v>
      </c>
      <c r="Y38" s="12">
        <v>0</v>
      </c>
      <c r="Z38" s="1" t="s">
        <v>57</v>
      </c>
    </row>
    <row r="39" spans="1:26">
      <c r="A39" s="25" t="s">
        <v>437</v>
      </c>
      <c r="B39" s="25" t="s">
        <v>437</v>
      </c>
      <c r="C39" s="26">
        <v>19491313</v>
      </c>
      <c r="D39" s="25" t="s">
        <v>593</v>
      </c>
      <c r="E39" s="25" t="s">
        <v>570</v>
      </c>
      <c r="F39" s="25" t="s">
        <v>66</v>
      </c>
      <c r="G39" s="25" t="s">
        <v>67</v>
      </c>
      <c r="H39" s="25" t="s">
        <v>579</v>
      </c>
      <c r="I39" s="25" t="s">
        <v>68</v>
      </c>
      <c r="J39" s="25" t="s">
        <v>69</v>
      </c>
      <c r="K39" s="25" t="s">
        <v>70</v>
      </c>
      <c r="L39" s="25" t="s">
        <v>441</v>
      </c>
      <c r="M39" s="25" t="s">
        <v>596</v>
      </c>
      <c r="N39" s="25" t="s">
        <v>71</v>
      </c>
      <c r="O39" s="26" t="s">
        <v>72</v>
      </c>
      <c r="P39" s="25" t="s">
        <v>73</v>
      </c>
      <c r="Q39" s="25" t="s">
        <v>75</v>
      </c>
      <c r="R39" s="27">
        <v>134.08000000000001</v>
      </c>
      <c r="S39" s="27">
        <f>R39*W39</f>
        <v>35.531200000000005</v>
      </c>
      <c r="T39" s="28">
        <v>134.08000000000001</v>
      </c>
      <c r="U39" s="25" t="s">
        <v>61</v>
      </c>
      <c r="V39" s="25" t="s">
        <v>76</v>
      </c>
      <c r="W39" s="29">
        <v>0.26500000000000001</v>
      </c>
      <c r="X39" s="28">
        <v>35.53</v>
      </c>
      <c r="Y39" s="28">
        <v>0</v>
      </c>
      <c r="Z39" s="25" t="s">
        <v>57</v>
      </c>
    </row>
    <row r="40" spans="1:26">
      <c r="A40" s="1" t="s">
        <v>436</v>
      </c>
      <c r="B40" s="1" t="s">
        <v>549</v>
      </c>
      <c r="C40" s="11">
        <v>18754354</v>
      </c>
      <c r="D40" s="1" t="s">
        <v>593</v>
      </c>
      <c r="E40" s="1" t="s">
        <v>570</v>
      </c>
      <c r="F40" s="1" t="s">
        <v>373</v>
      </c>
      <c r="G40" s="1" t="s">
        <v>374</v>
      </c>
      <c r="H40" s="1" t="s">
        <v>526</v>
      </c>
      <c r="I40" s="1" t="s">
        <v>141</v>
      </c>
      <c r="J40" s="1" t="s">
        <v>53</v>
      </c>
      <c r="K40" s="1" t="s">
        <v>375</v>
      </c>
      <c r="L40" s="1" t="s">
        <v>450</v>
      </c>
      <c r="M40" s="1" t="s">
        <v>565</v>
      </c>
      <c r="N40" s="1" t="s">
        <v>212</v>
      </c>
      <c r="O40" s="11" t="s">
        <v>129</v>
      </c>
      <c r="P40" s="1" t="s">
        <v>73</v>
      </c>
      <c r="Q40" s="1" t="s">
        <v>75</v>
      </c>
      <c r="R40" s="15">
        <v>50.94</v>
      </c>
      <c r="S40" s="15">
        <f>R40*W40</f>
        <v>26.488800000000001</v>
      </c>
      <c r="T40" s="12">
        <v>50.94</v>
      </c>
      <c r="U40" s="1" t="s">
        <v>61</v>
      </c>
      <c r="V40" s="1" t="s">
        <v>62</v>
      </c>
      <c r="W40" s="13">
        <v>0.52</v>
      </c>
      <c r="X40" s="12">
        <v>26.49</v>
      </c>
      <c r="Y40" s="12">
        <v>0</v>
      </c>
      <c r="Z40" s="1" t="s">
        <v>57</v>
      </c>
    </row>
    <row r="41" spans="1:26">
      <c r="A41" s="1" t="s">
        <v>436</v>
      </c>
      <c r="B41" s="1" t="s">
        <v>549</v>
      </c>
      <c r="C41" s="11">
        <v>18754354</v>
      </c>
      <c r="D41" s="1" t="s">
        <v>593</v>
      </c>
      <c r="E41" s="1" t="s">
        <v>570</v>
      </c>
      <c r="F41" s="1" t="s">
        <v>402</v>
      </c>
      <c r="G41" s="1" t="s">
        <v>403</v>
      </c>
      <c r="H41" s="1" t="s">
        <v>530</v>
      </c>
      <c r="I41" s="1" t="s">
        <v>52</v>
      </c>
      <c r="J41" s="1" t="s">
        <v>87</v>
      </c>
      <c r="K41" s="1" t="s">
        <v>404</v>
      </c>
      <c r="L41" s="1" t="s">
        <v>453</v>
      </c>
      <c r="M41" s="1" t="s">
        <v>565</v>
      </c>
      <c r="N41" s="1" t="s">
        <v>405</v>
      </c>
      <c r="O41" s="11" t="s">
        <v>322</v>
      </c>
      <c r="P41" s="1" t="s">
        <v>73</v>
      </c>
      <c r="Q41" s="1" t="s">
        <v>75</v>
      </c>
      <c r="R41" s="15">
        <v>79.28</v>
      </c>
      <c r="S41" s="15">
        <f>R41*W41</f>
        <v>2.3784000000000001</v>
      </c>
      <c r="T41" s="12">
        <v>79.28</v>
      </c>
      <c r="U41" s="1" t="s">
        <v>83</v>
      </c>
      <c r="V41" s="1" t="s">
        <v>84</v>
      </c>
      <c r="W41" s="13">
        <v>0.03</v>
      </c>
      <c r="X41" s="12">
        <v>2.38</v>
      </c>
      <c r="Y41" s="12">
        <v>0</v>
      </c>
      <c r="Z41" s="1" t="s">
        <v>57</v>
      </c>
    </row>
    <row r="42" spans="1:26" s="40" customFormat="1">
      <c r="A42" s="1" t="s">
        <v>432</v>
      </c>
      <c r="B42" s="1" t="s">
        <v>547</v>
      </c>
      <c r="C42" s="11" t="s">
        <v>574</v>
      </c>
      <c r="D42" s="1" t="s">
        <v>593</v>
      </c>
      <c r="E42" s="1" t="s">
        <v>570</v>
      </c>
      <c r="F42" s="1" t="s">
        <v>369</v>
      </c>
      <c r="G42" s="1" t="s">
        <v>370</v>
      </c>
      <c r="H42" s="1" t="s">
        <v>525</v>
      </c>
      <c r="I42" s="1" t="s">
        <v>177</v>
      </c>
      <c r="J42" s="1" t="s">
        <v>87</v>
      </c>
      <c r="K42" s="1" t="s">
        <v>371</v>
      </c>
      <c r="L42" s="1" t="s">
        <v>449</v>
      </c>
      <c r="M42" s="1" t="s">
        <v>565</v>
      </c>
      <c r="N42" s="1" t="s">
        <v>186</v>
      </c>
      <c r="O42" s="11" t="s">
        <v>187</v>
      </c>
      <c r="P42" s="1" t="s">
        <v>73</v>
      </c>
      <c r="Q42" s="1" t="s">
        <v>75</v>
      </c>
      <c r="R42" s="15">
        <v>25.85</v>
      </c>
      <c r="S42" s="15">
        <f>R42*W42</f>
        <v>13.442000000000002</v>
      </c>
      <c r="T42" s="12">
        <v>25.85</v>
      </c>
      <c r="U42" s="1" t="s">
        <v>61</v>
      </c>
      <c r="V42" s="1" t="s">
        <v>62</v>
      </c>
      <c r="W42" s="13">
        <v>0.52</v>
      </c>
      <c r="X42" s="12">
        <v>13.44</v>
      </c>
      <c r="Y42" s="12">
        <v>0</v>
      </c>
      <c r="Z42" s="1" t="s">
        <v>57</v>
      </c>
    </row>
    <row r="43" spans="1:26">
      <c r="A43" s="1" t="s">
        <v>439</v>
      </c>
      <c r="B43" s="1" t="s">
        <v>551</v>
      </c>
      <c r="C43" s="11">
        <v>8325282</v>
      </c>
      <c r="D43" s="1" t="s">
        <v>593</v>
      </c>
      <c r="E43" s="1" t="s">
        <v>570</v>
      </c>
      <c r="F43" s="1" t="s">
        <v>407</v>
      </c>
      <c r="G43" s="1" t="s">
        <v>408</v>
      </c>
      <c r="H43" s="1" t="s">
        <v>531</v>
      </c>
      <c r="I43" s="1" t="s">
        <v>52</v>
      </c>
      <c r="J43" s="1" t="s">
        <v>87</v>
      </c>
      <c r="K43" s="1" t="s">
        <v>371</v>
      </c>
      <c r="L43" s="1" t="s">
        <v>449</v>
      </c>
      <c r="M43" s="1" t="s">
        <v>565</v>
      </c>
      <c r="N43" s="1" t="s">
        <v>96</v>
      </c>
      <c r="O43" s="11" t="s">
        <v>71</v>
      </c>
      <c r="P43" s="1" t="s">
        <v>73</v>
      </c>
      <c r="Q43" s="1" t="s">
        <v>75</v>
      </c>
      <c r="R43" s="15">
        <v>36.08</v>
      </c>
      <c r="S43" s="15">
        <f>R43*W43</f>
        <v>1.0823999999999998</v>
      </c>
      <c r="T43" s="12">
        <v>36.08</v>
      </c>
      <c r="U43" s="1" t="s">
        <v>83</v>
      </c>
      <c r="V43" s="1" t="s">
        <v>84</v>
      </c>
      <c r="W43" s="13">
        <v>0.03</v>
      </c>
      <c r="X43" s="12">
        <v>1.08</v>
      </c>
      <c r="Y43" s="12">
        <v>0</v>
      </c>
      <c r="Z43" s="1" t="s">
        <v>57</v>
      </c>
    </row>
    <row r="44" spans="1:26">
      <c r="A44" s="1" t="s">
        <v>439</v>
      </c>
      <c r="B44" s="1" t="s">
        <v>551</v>
      </c>
      <c r="C44" s="11">
        <v>8325282</v>
      </c>
      <c r="D44" s="1" t="s">
        <v>593</v>
      </c>
      <c r="E44" s="1" t="s">
        <v>570</v>
      </c>
      <c r="F44" s="1" t="s">
        <v>409</v>
      </c>
      <c r="G44" s="1" t="s">
        <v>410</v>
      </c>
      <c r="H44" s="1" t="s">
        <v>532</v>
      </c>
      <c r="I44" s="1" t="s">
        <v>52</v>
      </c>
      <c r="J44" s="1" t="s">
        <v>87</v>
      </c>
      <c r="K44" s="1" t="s">
        <v>371</v>
      </c>
      <c r="L44" s="1" t="s">
        <v>449</v>
      </c>
      <c r="M44" s="1" t="s">
        <v>565</v>
      </c>
      <c r="N44" s="1" t="s">
        <v>96</v>
      </c>
      <c r="O44" s="11" t="s">
        <v>71</v>
      </c>
      <c r="P44" s="1" t="s">
        <v>73</v>
      </c>
      <c r="Q44" s="1" t="s">
        <v>75</v>
      </c>
      <c r="R44" s="15">
        <v>36.08</v>
      </c>
      <c r="S44" s="15">
        <f>R44*W44</f>
        <v>1.0823999999999998</v>
      </c>
      <c r="T44" s="12">
        <v>36.08</v>
      </c>
      <c r="U44" s="1" t="s">
        <v>83</v>
      </c>
      <c r="V44" s="1" t="s">
        <v>84</v>
      </c>
      <c r="W44" s="13">
        <v>0.03</v>
      </c>
      <c r="X44" s="12">
        <v>1.08</v>
      </c>
      <c r="Y44" s="12">
        <v>0</v>
      </c>
      <c r="Z44" s="1" t="s">
        <v>57</v>
      </c>
    </row>
    <row r="45" spans="1:26">
      <c r="A45" s="16" t="s">
        <v>576</v>
      </c>
      <c r="B45" s="16" t="s">
        <v>576</v>
      </c>
      <c r="C45" s="17" t="s">
        <v>592</v>
      </c>
      <c r="D45" s="16" t="s">
        <v>594</v>
      </c>
      <c r="E45" s="16" t="s">
        <v>572</v>
      </c>
      <c r="F45" s="16" t="s">
        <v>240</v>
      </c>
      <c r="G45" s="16" t="s">
        <v>241</v>
      </c>
      <c r="H45" s="16" t="s">
        <v>583</v>
      </c>
      <c r="I45" s="16" t="s">
        <v>52</v>
      </c>
      <c r="J45" s="16" t="s">
        <v>53</v>
      </c>
      <c r="K45" s="16" t="s">
        <v>242</v>
      </c>
      <c r="L45" s="16" t="s">
        <v>577</v>
      </c>
      <c r="M45" s="16" t="s">
        <v>597</v>
      </c>
      <c r="N45" s="16" t="s">
        <v>243</v>
      </c>
      <c r="O45" s="46">
        <v>46250</v>
      </c>
      <c r="P45" s="16" t="s">
        <v>73</v>
      </c>
      <c r="Q45" s="16" t="s">
        <v>75</v>
      </c>
      <c r="R45" s="18">
        <v>81.7</v>
      </c>
      <c r="S45" s="18">
        <f>R45*W45</f>
        <v>84.15100000000001</v>
      </c>
      <c r="T45" s="19">
        <v>686.88</v>
      </c>
      <c r="U45" s="16" t="s">
        <v>61</v>
      </c>
      <c r="V45" s="16" t="s">
        <v>76</v>
      </c>
      <c r="W45" s="20">
        <v>1.03</v>
      </c>
      <c r="X45" s="19">
        <v>707.49</v>
      </c>
      <c r="Y45" s="19">
        <v>707.49</v>
      </c>
      <c r="Z45" s="16" t="s">
        <v>57</v>
      </c>
    </row>
    <row r="46" spans="1:26">
      <c r="A46" s="25" t="s">
        <v>435</v>
      </c>
      <c r="B46" s="25" t="s">
        <v>435</v>
      </c>
      <c r="C46" s="26">
        <v>5442438</v>
      </c>
      <c r="D46" s="25" t="s">
        <v>593</v>
      </c>
      <c r="E46" s="25" t="s">
        <v>570</v>
      </c>
      <c r="F46" s="25" t="s">
        <v>356</v>
      </c>
      <c r="G46" s="25" t="s">
        <v>357</v>
      </c>
      <c r="H46" s="25" t="s">
        <v>587</v>
      </c>
      <c r="I46" s="25" t="s">
        <v>172</v>
      </c>
      <c r="J46" s="25" t="s">
        <v>53</v>
      </c>
      <c r="K46" s="25" t="s">
        <v>358</v>
      </c>
      <c r="L46" s="25" t="s">
        <v>445</v>
      </c>
      <c r="M46" s="25" t="s">
        <v>558</v>
      </c>
      <c r="N46" s="25" t="s">
        <v>71</v>
      </c>
      <c r="O46" s="47">
        <v>46266</v>
      </c>
      <c r="P46" s="25" t="s">
        <v>73</v>
      </c>
      <c r="Q46" s="25" t="s">
        <v>75</v>
      </c>
      <c r="R46" s="27">
        <v>405.17</v>
      </c>
      <c r="S46" s="27">
        <f>R46*W46</f>
        <v>607.755</v>
      </c>
      <c r="T46" s="28">
        <v>3646.53</v>
      </c>
      <c r="U46" s="25" t="s">
        <v>61</v>
      </c>
      <c r="V46" s="25" t="s">
        <v>76</v>
      </c>
      <c r="W46" s="29">
        <v>1.5</v>
      </c>
      <c r="X46" s="28">
        <v>2000</v>
      </c>
      <c r="Y46" s="28">
        <v>2000</v>
      </c>
      <c r="Z46" s="25" t="s">
        <v>57</v>
      </c>
    </row>
    <row r="47" spans="1:26">
      <c r="A47" s="1" t="s">
        <v>418</v>
      </c>
      <c r="B47" s="1" t="s">
        <v>533</v>
      </c>
      <c r="C47" s="11">
        <v>8307933</v>
      </c>
      <c r="D47" s="1" t="s">
        <v>593</v>
      </c>
      <c r="E47" s="1" t="s">
        <v>570</v>
      </c>
      <c r="F47" s="1" t="s">
        <v>216</v>
      </c>
      <c r="G47" s="1" t="s">
        <v>217</v>
      </c>
      <c r="H47" s="1" t="s">
        <v>485</v>
      </c>
      <c r="I47" s="1" t="s">
        <v>52</v>
      </c>
      <c r="J47" s="1" t="s">
        <v>87</v>
      </c>
      <c r="K47" s="1" t="s">
        <v>142</v>
      </c>
      <c r="L47" s="1" t="s">
        <v>445</v>
      </c>
      <c r="M47" s="1" t="s">
        <v>558</v>
      </c>
      <c r="N47" s="1" t="s">
        <v>218</v>
      </c>
      <c r="O47" s="11" t="s">
        <v>191</v>
      </c>
      <c r="P47" s="1" t="s">
        <v>73</v>
      </c>
      <c r="Q47" s="1" t="s">
        <v>75</v>
      </c>
      <c r="R47" s="15">
        <v>208.44</v>
      </c>
      <c r="S47" s="15">
        <f>R47*W47</f>
        <v>312.65999999999997</v>
      </c>
      <c r="T47" s="12">
        <v>208.44</v>
      </c>
      <c r="U47" s="1" t="s">
        <v>61</v>
      </c>
      <c r="V47" s="1" t="s">
        <v>62</v>
      </c>
      <c r="W47" s="13">
        <v>1.5</v>
      </c>
      <c r="X47" s="12">
        <v>0</v>
      </c>
      <c r="Y47" s="12">
        <v>-312.66000000000003</v>
      </c>
      <c r="Z47" s="1" t="s">
        <v>57</v>
      </c>
    </row>
    <row r="48" spans="1:26">
      <c r="A48" s="1" t="s">
        <v>424</v>
      </c>
      <c r="B48" s="1" t="s">
        <v>539</v>
      </c>
      <c r="C48" s="11">
        <v>1706194</v>
      </c>
      <c r="D48" s="1" t="s">
        <v>593</v>
      </c>
      <c r="E48" s="1" t="s">
        <v>570</v>
      </c>
      <c r="F48" s="1" t="s">
        <v>145</v>
      </c>
      <c r="G48" s="1" t="s">
        <v>146</v>
      </c>
      <c r="H48" s="1" t="s">
        <v>468</v>
      </c>
      <c r="I48" s="1" t="s">
        <v>147</v>
      </c>
      <c r="J48" s="1" t="s">
        <v>69</v>
      </c>
      <c r="K48" s="1" t="s">
        <v>142</v>
      </c>
      <c r="L48" s="1" t="s">
        <v>445</v>
      </c>
      <c r="M48" s="1" t="s">
        <v>558</v>
      </c>
      <c r="N48" s="1" t="s">
        <v>148</v>
      </c>
      <c r="O48" s="11" t="s">
        <v>149</v>
      </c>
      <c r="P48" s="1" t="s">
        <v>73</v>
      </c>
      <c r="Q48" s="1" t="s">
        <v>75</v>
      </c>
      <c r="R48" s="15">
        <v>141.84</v>
      </c>
      <c r="S48" s="15">
        <f>R48*W48</f>
        <v>212.76</v>
      </c>
      <c r="T48" s="12">
        <v>141.84</v>
      </c>
      <c r="U48" s="1" t="s">
        <v>61</v>
      </c>
      <c r="V48" s="1" t="s">
        <v>62</v>
      </c>
      <c r="W48" s="13">
        <v>1.5</v>
      </c>
      <c r="X48" s="12">
        <v>0</v>
      </c>
      <c r="Y48" s="12">
        <v>-212.76</v>
      </c>
      <c r="Z48" s="1" t="s">
        <v>57</v>
      </c>
    </row>
    <row r="49" spans="1:26">
      <c r="A49" s="1" t="s">
        <v>424</v>
      </c>
      <c r="B49" s="1" t="s">
        <v>539</v>
      </c>
      <c r="C49" s="11">
        <v>1706194</v>
      </c>
      <c r="D49" s="1" t="s">
        <v>593</v>
      </c>
      <c r="E49" s="1" t="s">
        <v>570</v>
      </c>
      <c r="F49" s="1" t="s">
        <v>150</v>
      </c>
      <c r="G49" s="1" t="s">
        <v>151</v>
      </c>
      <c r="H49" s="1" t="s">
        <v>469</v>
      </c>
      <c r="I49" s="1" t="s">
        <v>147</v>
      </c>
      <c r="J49" s="1" t="s">
        <v>87</v>
      </c>
      <c r="K49" s="1" t="s">
        <v>152</v>
      </c>
      <c r="L49" s="1" t="s">
        <v>445</v>
      </c>
      <c r="M49" s="1" t="s">
        <v>558</v>
      </c>
      <c r="N49" s="1" t="s">
        <v>153</v>
      </c>
      <c r="O49" s="11" t="s">
        <v>154</v>
      </c>
      <c r="P49" s="1" t="s">
        <v>73</v>
      </c>
      <c r="Q49" s="1" t="s">
        <v>75</v>
      </c>
      <c r="R49" s="15">
        <v>99.32</v>
      </c>
      <c r="S49" s="15">
        <f>R49*W49</f>
        <v>148.97999999999999</v>
      </c>
      <c r="T49" s="12">
        <v>99.32</v>
      </c>
      <c r="U49" s="1" t="s">
        <v>61</v>
      </c>
      <c r="V49" s="1" t="s">
        <v>62</v>
      </c>
      <c r="W49" s="13">
        <v>1.5</v>
      </c>
      <c r="X49" s="12">
        <v>0</v>
      </c>
      <c r="Y49" s="12">
        <v>-148.97999999999999</v>
      </c>
      <c r="Z49" s="1" t="s">
        <v>57</v>
      </c>
    </row>
    <row r="50" spans="1:26">
      <c r="A50" s="1" t="s">
        <v>424</v>
      </c>
      <c r="B50" s="1" t="s">
        <v>539</v>
      </c>
      <c r="C50" s="11">
        <v>1706194</v>
      </c>
      <c r="D50" s="1" t="s">
        <v>593</v>
      </c>
      <c r="E50" s="1" t="s">
        <v>570</v>
      </c>
      <c r="F50" s="1" t="s">
        <v>155</v>
      </c>
      <c r="G50" s="1" t="s">
        <v>156</v>
      </c>
      <c r="H50" s="1" t="s">
        <v>470</v>
      </c>
      <c r="I50" s="1" t="s">
        <v>147</v>
      </c>
      <c r="J50" s="1" t="s">
        <v>87</v>
      </c>
      <c r="K50" s="1" t="s">
        <v>152</v>
      </c>
      <c r="L50" s="1" t="s">
        <v>445</v>
      </c>
      <c r="M50" s="1" t="s">
        <v>558</v>
      </c>
      <c r="N50" s="1" t="s">
        <v>153</v>
      </c>
      <c r="O50" s="11" t="s">
        <v>154</v>
      </c>
      <c r="P50" s="1" t="s">
        <v>73</v>
      </c>
      <c r="Q50" s="1" t="s">
        <v>75</v>
      </c>
      <c r="R50" s="15">
        <v>93.18</v>
      </c>
      <c r="S50" s="15">
        <f>R50*W50</f>
        <v>139.77000000000001</v>
      </c>
      <c r="T50" s="12">
        <v>93.18</v>
      </c>
      <c r="U50" s="1" t="s">
        <v>61</v>
      </c>
      <c r="V50" s="1" t="s">
        <v>62</v>
      </c>
      <c r="W50" s="13">
        <v>1.5</v>
      </c>
      <c r="X50" s="12">
        <v>0</v>
      </c>
      <c r="Y50" s="12">
        <v>-139.77000000000001</v>
      </c>
      <c r="Z50" s="1" t="s">
        <v>57</v>
      </c>
    </row>
    <row r="51" spans="1:26" s="25" customFormat="1">
      <c r="A51" s="1" t="s">
        <v>422</v>
      </c>
      <c r="B51" s="1" t="s">
        <v>537</v>
      </c>
      <c r="C51" s="11">
        <v>8977234</v>
      </c>
      <c r="D51" s="1" t="s">
        <v>593</v>
      </c>
      <c r="E51" s="1" t="s">
        <v>570</v>
      </c>
      <c r="F51" s="1" t="s">
        <v>276</v>
      </c>
      <c r="G51" s="1" t="s">
        <v>277</v>
      </c>
      <c r="H51" s="1" t="s">
        <v>501</v>
      </c>
      <c r="I51" s="1" t="s">
        <v>52</v>
      </c>
      <c r="J51" s="1" t="s">
        <v>87</v>
      </c>
      <c r="K51" s="1" t="s">
        <v>142</v>
      </c>
      <c r="L51" s="1" t="s">
        <v>445</v>
      </c>
      <c r="M51" s="1" t="s">
        <v>558</v>
      </c>
      <c r="N51" s="1" t="s">
        <v>278</v>
      </c>
      <c r="O51" s="11" t="s">
        <v>129</v>
      </c>
      <c r="P51" s="1" t="s">
        <v>73</v>
      </c>
      <c r="Q51" s="1" t="s">
        <v>75</v>
      </c>
      <c r="R51" s="15">
        <v>43.28</v>
      </c>
      <c r="S51" s="15">
        <f>R51*W51</f>
        <v>64.92</v>
      </c>
      <c r="T51" s="12">
        <v>43.28</v>
      </c>
      <c r="U51" s="1" t="s">
        <v>61</v>
      </c>
      <c r="V51" s="1" t="s">
        <v>62</v>
      </c>
      <c r="W51" s="13">
        <v>1.5</v>
      </c>
      <c r="X51" s="12">
        <v>0</v>
      </c>
      <c r="Y51" s="12">
        <v>-64.92</v>
      </c>
      <c r="Z51" s="1" t="s">
        <v>57</v>
      </c>
    </row>
    <row r="52" spans="1:26" s="25" customFormat="1">
      <c r="A52" s="1" t="s">
        <v>422</v>
      </c>
      <c r="B52" s="1" t="s">
        <v>537</v>
      </c>
      <c r="C52" s="11">
        <v>8977234</v>
      </c>
      <c r="D52" s="1" t="s">
        <v>593</v>
      </c>
      <c r="E52" s="1" t="s">
        <v>571</v>
      </c>
      <c r="F52" s="1" t="s">
        <v>288</v>
      </c>
      <c r="G52" s="1" t="s">
        <v>289</v>
      </c>
      <c r="H52" s="1" t="s">
        <v>505</v>
      </c>
      <c r="I52" s="1" t="s">
        <v>290</v>
      </c>
      <c r="J52" s="1" t="s">
        <v>87</v>
      </c>
      <c r="K52" s="1" t="s">
        <v>142</v>
      </c>
      <c r="L52" s="1" t="s">
        <v>445</v>
      </c>
      <c r="M52" s="1" t="s">
        <v>558</v>
      </c>
      <c r="N52" s="1" t="s">
        <v>291</v>
      </c>
      <c r="O52" s="11" t="s">
        <v>129</v>
      </c>
      <c r="P52" s="1" t="s">
        <v>73</v>
      </c>
      <c r="Q52" s="1" t="s">
        <v>75</v>
      </c>
      <c r="R52" s="15">
        <v>147.03</v>
      </c>
      <c r="S52" s="15">
        <f>R52*W52</f>
        <v>220.54500000000002</v>
      </c>
      <c r="T52" s="12">
        <v>147.03</v>
      </c>
      <c r="U52" s="1" t="s">
        <v>61</v>
      </c>
      <c r="V52" s="1" t="s">
        <v>62</v>
      </c>
      <c r="W52" s="13">
        <v>1.5</v>
      </c>
      <c r="X52" s="12">
        <v>0</v>
      </c>
      <c r="Y52" s="12">
        <v>-220.55</v>
      </c>
      <c r="Z52" s="1" t="s">
        <v>57</v>
      </c>
    </row>
    <row r="53" spans="1:26" s="16" customFormat="1">
      <c r="A53" s="1" t="s">
        <v>422</v>
      </c>
      <c r="B53" s="1" t="s">
        <v>537</v>
      </c>
      <c r="C53" s="11">
        <v>8977234</v>
      </c>
      <c r="D53" s="1" t="s">
        <v>593</v>
      </c>
      <c r="E53" s="1" t="s">
        <v>570</v>
      </c>
      <c r="F53" s="1" t="s">
        <v>365</v>
      </c>
      <c r="G53" s="1" t="s">
        <v>366</v>
      </c>
      <c r="H53" s="1" t="s">
        <v>524</v>
      </c>
      <c r="I53" s="1" t="s">
        <v>252</v>
      </c>
      <c r="J53" s="1" t="s">
        <v>87</v>
      </c>
      <c r="K53" s="1" t="s">
        <v>142</v>
      </c>
      <c r="L53" s="1" t="s">
        <v>445</v>
      </c>
      <c r="M53" s="1" t="s">
        <v>558</v>
      </c>
      <c r="N53" s="1" t="s">
        <v>367</v>
      </c>
      <c r="O53" s="11" t="s">
        <v>149</v>
      </c>
      <c r="P53" s="1" t="s">
        <v>73</v>
      </c>
      <c r="Q53" s="1" t="s">
        <v>75</v>
      </c>
      <c r="R53" s="15">
        <v>109.17</v>
      </c>
      <c r="S53" s="15">
        <f>R53*W53</f>
        <v>163.755</v>
      </c>
      <c r="T53" s="12">
        <v>109.17</v>
      </c>
      <c r="U53" s="1" t="s">
        <v>61</v>
      </c>
      <c r="V53" s="1" t="s">
        <v>62</v>
      </c>
      <c r="W53" s="13">
        <v>1.5</v>
      </c>
      <c r="X53" s="12">
        <v>163.76</v>
      </c>
      <c r="Y53" s="12">
        <v>0</v>
      </c>
      <c r="Z53" s="1" t="s">
        <v>57</v>
      </c>
    </row>
    <row r="54" spans="1:26">
      <c r="A54" s="1" t="s">
        <v>422</v>
      </c>
      <c r="B54" s="1" t="s">
        <v>537</v>
      </c>
      <c r="C54" s="11">
        <v>8977234</v>
      </c>
      <c r="D54" s="1" t="s">
        <v>593</v>
      </c>
      <c r="E54" s="1" t="s">
        <v>570</v>
      </c>
      <c r="F54" s="1" t="s">
        <v>250</v>
      </c>
      <c r="G54" s="1" t="s">
        <v>251</v>
      </c>
      <c r="H54" s="1" t="s">
        <v>492</v>
      </c>
      <c r="I54" s="1" t="s">
        <v>252</v>
      </c>
      <c r="J54" s="1" t="s">
        <v>87</v>
      </c>
      <c r="K54" s="1" t="s">
        <v>142</v>
      </c>
      <c r="L54" s="1" t="s">
        <v>445</v>
      </c>
      <c r="M54" s="1" t="s">
        <v>558</v>
      </c>
      <c r="N54" s="1" t="s">
        <v>253</v>
      </c>
      <c r="O54" s="11" t="s">
        <v>154</v>
      </c>
      <c r="P54" s="1" t="s">
        <v>73</v>
      </c>
      <c r="Q54" s="1" t="s">
        <v>75</v>
      </c>
      <c r="R54" s="15">
        <v>123.96</v>
      </c>
      <c r="S54" s="15">
        <f>R54*W54</f>
        <v>185.94</v>
      </c>
      <c r="T54" s="12">
        <v>123.96</v>
      </c>
      <c r="U54" s="1" t="s">
        <v>61</v>
      </c>
      <c r="V54" s="1" t="s">
        <v>62</v>
      </c>
      <c r="W54" s="13">
        <v>1.5</v>
      </c>
      <c r="X54" s="12">
        <v>185.94</v>
      </c>
      <c r="Y54" s="12">
        <v>0</v>
      </c>
      <c r="Z54" s="1" t="s">
        <v>57</v>
      </c>
    </row>
    <row r="55" spans="1:26">
      <c r="A55" s="1" t="s">
        <v>422</v>
      </c>
      <c r="B55" s="1" t="s">
        <v>537</v>
      </c>
      <c r="C55" s="11">
        <v>8977234</v>
      </c>
      <c r="D55" s="1" t="s">
        <v>593</v>
      </c>
      <c r="E55" s="1" t="s">
        <v>570</v>
      </c>
      <c r="F55" s="1" t="s">
        <v>303</v>
      </c>
      <c r="G55" s="1" t="s">
        <v>304</v>
      </c>
      <c r="H55" s="1" t="s">
        <v>510</v>
      </c>
      <c r="I55" s="1" t="s">
        <v>126</v>
      </c>
      <c r="J55" s="1" t="s">
        <v>87</v>
      </c>
      <c r="K55" s="1" t="s">
        <v>142</v>
      </c>
      <c r="L55" s="1" t="s">
        <v>445</v>
      </c>
      <c r="M55" s="1" t="s">
        <v>558</v>
      </c>
      <c r="N55" s="1" t="s">
        <v>302</v>
      </c>
      <c r="O55" s="11" t="s">
        <v>144</v>
      </c>
      <c r="P55" s="1" t="s">
        <v>73</v>
      </c>
      <c r="Q55" s="1" t="s">
        <v>75</v>
      </c>
      <c r="R55" s="15">
        <v>47.79</v>
      </c>
      <c r="S55" s="15">
        <f>R55*W55</f>
        <v>71.685000000000002</v>
      </c>
      <c r="T55" s="12">
        <v>47.79</v>
      </c>
      <c r="U55" s="1" t="s">
        <v>61</v>
      </c>
      <c r="V55" s="1" t="s">
        <v>62</v>
      </c>
      <c r="W55" s="13">
        <v>1.5</v>
      </c>
      <c r="X55" s="12">
        <v>0</v>
      </c>
      <c r="Y55" s="12">
        <v>-71.69</v>
      </c>
      <c r="Z55" s="1" t="s">
        <v>57</v>
      </c>
    </row>
    <row r="56" spans="1:26" s="16" customFormat="1">
      <c r="A56" s="1" t="s">
        <v>422</v>
      </c>
      <c r="B56" s="1" t="s">
        <v>537</v>
      </c>
      <c r="C56" s="11">
        <v>8977234</v>
      </c>
      <c r="D56" s="1" t="s">
        <v>593</v>
      </c>
      <c r="E56" s="1" t="s">
        <v>570</v>
      </c>
      <c r="F56" s="1" t="s">
        <v>305</v>
      </c>
      <c r="G56" s="1" t="s">
        <v>306</v>
      </c>
      <c r="H56" s="1" t="s">
        <v>511</v>
      </c>
      <c r="I56" s="1" t="s">
        <v>126</v>
      </c>
      <c r="J56" s="1" t="s">
        <v>87</v>
      </c>
      <c r="K56" s="1" t="s">
        <v>142</v>
      </c>
      <c r="L56" s="1" t="s">
        <v>445</v>
      </c>
      <c r="M56" s="1" t="s">
        <v>558</v>
      </c>
      <c r="N56" s="1" t="s">
        <v>302</v>
      </c>
      <c r="O56" s="11" t="s">
        <v>144</v>
      </c>
      <c r="P56" s="1" t="s">
        <v>73</v>
      </c>
      <c r="Q56" s="1" t="s">
        <v>75</v>
      </c>
      <c r="R56" s="15">
        <v>43.31</v>
      </c>
      <c r="S56" s="15">
        <f>R56*W56</f>
        <v>64.965000000000003</v>
      </c>
      <c r="T56" s="12">
        <v>43.31</v>
      </c>
      <c r="U56" s="1" t="s">
        <v>61</v>
      </c>
      <c r="V56" s="1" t="s">
        <v>62</v>
      </c>
      <c r="W56" s="13">
        <v>1.5</v>
      </c>
      <c r="X56" s="12">
        <v>0</v>
      </c>
      <c r="Y56" s="12">
        <v>-64.97</v>
      </c>
      <c r="Z56" s="1" t="s">
        <v>57</v>
      </c>
    </row>
    <row r="57" spans="1:26">
      <c r="A57" s="1" t="s">
        <v>422</v>
      </c>
      <c r="B57" s="1" t="s">
        <v>537</v>
      </c>
      <c r="C57" s="11">
        <v>8977234</v>
      </c>
      <c r="D57" s="1" t="s">
        <v>593</v>
      </c>
      <c r="E57" s="1" t="s">
        <v>570</v>
      </c>
      <c r="F57" s="1" t="s">
        <v>300</v>
      </c>
      <c r="G57" s="1" t="s">
        <v>301</v>
      </c>
      <c r="H57" s="1" t="s">
        <v>509</v>
      </c>
      <c r="I57" s="1" t="s">
        <v>126</v>
      </c>
      <c r="J57" s="1" t="s">
        <v>87</v>
      </c>
      <c r="K57" s="1" t="s">
        <v>142</v>
      </c>
      <c r="L57" s="1" t="s">
        <v>445</v>
      </c>
      <c r="M57" s="1" t="s">
        <v>558</v>
      </c>
      <c r="N57" s="1" t="s">
        <v>302</v>
      </c>
      <c r="O57" s="11" t="s">
        <v>144</v>
      </c>
      <c r="P57" s="1" t="s">
        <v>73</v>
      </c>
      <c r="Q57" s="1" t="s">
        <v>75</v>
      </c>
      <c r="R57" s="15">
        <v>69.349999999999994</v>
      </c>
      <c r="S57" s="15">
        <f>R57*W57</f>
        <v>104.02499999999999</v>
      </c>
      <c r="T57" s="12">
        <v>69.349999999999994</v>
      </c>
      <c r="U57" s="1" t="s">
        <v>61</v>
      </c>
      <c r="V57" s="1" t="s">
        <v>62</v>
      </c>
      <c r="W57" s="13">
        <v>1.5</v>
      </c>
      <c r="X57" s="12">
        <v>0</v>
      </c>
      <c r="Y57" s="12">
        <v>-104.03</v>
      </c>
      <c r="Z57" s="1" t="s">
        <v>57</v>
      </c>
    </row>
    <row r="58" spans="1:26">
      <c r="A58" s="1" t="s">
        <v>422</v>
      </c>
      <c r="B58" s="1" t="s">
        <v>537</v>
      </c>
      <c r="C58" s="11">
        <v>8977234</v>
      </c>
      <c r="D58" s="1" t="s">
        <v>593</v>
      </c>
      <c r="E58" s="1" t="s">
        <v>570</v>
      </c>
      <c r="F58" s="1" t="s">
        <v>312</v>
      </c>
      <c r="G58" s="1" t="s">
        <v>313</v>
      </c>
      <c r="H58" s="1" t="s">
        <v>514</v>
      </c>
      <c r="I58" s="1" t="s">
        <v>52</v>
      </c>
      <c r="J58" s="1" t="s">
        <v>87</v>
      </c>
      <c r="K58" s="1" t="s">
        <v>142</v>
      </c>
      <c r="L58" s="1" t="s">
        <v>445</v>
      </c>
      <c r="M58" s="1" t="s">
        <v>558</v>
      </c>
      <c r="N58" s="1" t="s">
        <v>302</v>
      </c>
      <c r="O58" s="11" t="s">
        <v>144</v>
      </c>
      <c r="P58" s="1" t="s">
        <v>73</v>
      </c>
      <c r="Q58" s="1" t="s">
        <v>75</v>
      </c>
      <c r="R58" s="15">
        <v>69.87</v>
      </c>
      <c r="S58" s="15">
        <f>R58*W58</f>
        <v>104.80500000000001</v>
      </c>
      <c r="T58" s="12">
        <v>69.87</v>
      </c>
      <c r="U58" s="1" t="s">
        <v>61</v>
      </c>
      <c r="V58" s="1" t="s">
        <v>62</v>
      </c>
      <c r="W58" s="13">
        <v>1.5</v>
      </c>
      <c r="X58" s="12">
        <v>0</v>
      </c>
      <c r="Y58" s="12">
        <v>-104.81</v>
      </c>
      <c r="Z58" s="1" t="s">
        <v>57</v>
      </c>
    </row>
    <row r="59" spans="1:26">
      <c r="A59" s="1" t="s">
        <v>424</v>
      </c>
      <c r="B59" s="1" t="s">
        <v>539</v>
      </c>
      <c r="C59" s="11">
        <v>1706194</v>
      </c>
      <c r="D59" s="1" t="s">
        <v>593</v>
      </c>
      <c r="E59" s="1" t="s">
        <v>570</v>
      </c>
      <c r="F59" s="1" t="s">
        <v>139</v>
      </c>
      <c r="G59" s="1" t="s">
        <v>140</v>
      </c>
      <c r="H59" s="1" t="s">
        <v>467</v>
      </c>
      <c r="I59" s="1" t="s">
        <v>141</v>
      </c>
      <c r="J59" s="1" t="s">
        <v>87</v>
      </c>
      <c r="K59" s="1" t="s">
        <v>142</v>
      </c>
      <c r="L59" s="1" t="s">
        <v>444</v>
      </c>
      <c r="M59" s="1" t="s">
        <v>558</v>
      </c>
      <c r="N59" s="1" t="s">
        <v>143</v>
      </c>
      <c r="O59" s="11" t="s">
        <v>144</v>
      </c>
      <c r="P59" s="1" t="s">
        <v>73</v>
      </c>
      <c r="Q59" s="1" t="s">
        <v>75</v>
      </c>
      <c r="R59" s="15">
        <v>75.849999999999994</v>
      </c>
      <c r="S59" s="15">
        <f>R59*W59</f>
        <v>113.77499999999999</v>
      </c>
      <c r="T59" s="12">
        <v>75.849999999999994</v>
      </c>
      <c r="U59" s="1" t="s">
        <v>61</v>
      </c>
      <c r="V59" s="1" t="s">
        <v>62</v>
      </c>
      <c r="W59" s="13">
        <v>1.5</v>
      </c>
      <c r="X59" s="12">
        <v>0</v>
      </c>
      <c r="Y59" s="12">
        <v>-113.78</v>
      </c>
      <c r="Z59" s="1" t="s">
        <v>57</v>
      </c>
    </row>
    <row r="60" spans="1:26">
      <c r="A60" s="1" t="s">
        <v>422</v>
      </c>
      <c r="B60" s="1" t="s">
        <v>537</v>
      </c>
      <c r="C60" s="11">
        <v>8977234</v>
      </c>
      <c r="D60" s="1" t="s">
        <v>593</v>
      </c>
      <c r="E60" s="1" t="s">
        <v>570</v>
      </c>
      <c r="F60" s="1" t="s">
        <v>266</v>
      </c>
      <c r="G60" s="1" t="s">
        <v>267</v>
      </c>
      <c r="H60" s="1" t="s">
        <v>498</v>
      </c>
      <c r="I60" s="1" t="s">
        <v>268</v>
      </c>
      <c r="J60" s="1" t="s">
        <v>81</v>
      </c>
      <c r="K60" s="1" t="s">
        <v>142</v>
      </c>
      <c r="L60" s="1" t="s">
        <v>444</v>
      </c>
      <c r="M60" s="1" t="s">
        <v>558</v>
      </c>
      <c r="N60" s="1" t="s">
        <v>269</v>
      </c>
      <c r="O60" s="11" t="s">
        <v>270</v>
      </c>
      <c r="P60" s="1" t="s">
        <v>73</v>
      </c>
      <c r="Q60" s="1" t="s">
        <v>75</v>
      </c>
      <c r="R60" s="15">
        <v>97.44</v>
      </c>
      <c r="S60" s="15">
        <f>R60*W60</f>
        <v>146.16</v>
      </c>
      <c r="T60" s="12">
        <v>97.44</v>
      </c>
      <c r="U60" s="1" t="s">
        <v>61</v>
      </c>
      <c r="V60" s="1" t="s">
        <v>62</v>
      </c>
      <c r="W60" s="13">
        <v>1.5</v>
      </c>
      <c r="X60" s="12">
        <v>146.16</v>
      </c>
      <c r="Y60" s="12">
        <v>0</v>
      </c>
      <c r="Z60" s="1" t="s">
        <v>57</v>
      </c>
    </row>
    <row r="61" spans="1:26">
      <c r="A61" s="1" t="s">
        <v>422</v>
      </c>
      <c r="B61" s="1" t="s">
        <v>537</v>
      </c>
      <c r="C61" s="11">
        <v>8977234</v>
      </c>
      <c r="D61" s="1" t="s">
        <v>593</v>
      </c>
      <c r="E61" s="1" t="s">
        <v>570</v>
      </c>
      <c r="F61" s="1" t="s">
        <v>264</v>
      </c>
      <c r="G61" s="1" t="s">
        <v>265</v>
      </c>
      <c r="H61" s="1" t="s">
        <v>497</v>
      </c>
      <c r="I61" s="1" t="s">
        <v>141</v>
      </c>
      <c r="J61" s="1" t="s">
        <v>87</v>
      </c>
      <c r="K61" s="1" t="s">
        <v>152</v>
      </c>
      <c r="L61" s="1" t="s">
        <v>444</v>
      </c>
      <c r="M61" s="1" t="s">
        <v>558</v>
      </c>
      <c r="N61" s="1" t="s">
        <v>259</v>
      </c>
      <c r="O61" s="11" t="s">
        <v>144</v>
      </c>
      <c r="P61" s="1" t="s">
        <v>73</v>
      </c>
      <c r="Q61" s="1" t="s">
        <v>75</v>
      </c>
      <c r="R61" s="15">
        <v>59.67</v>
      </c>
      <c r="S61" s="15">
        <f>R61*W61</f>
        <v>89.504999999999995</v>
      </c>
      <c r="T61" s="12">
        <v>59.67</v>
      </c>
      <c r="U61" s="1" t="s">
        <v>61</v>
      </c>
      <c r="V61" s="1" t="s">
        <v>62</v>
      </c>
      <c r="W61" s="13">
        <v>1.5</v>
      </c>
      <c r="X61" s="12">
        <v>89.51</v>
      </c>
      <c r="Y61" s="12">
        <v>0</v>
      </c>
      <c r="Z61" s="1" t="s">
        <v>57</v>
      </c>
    </row>
    <row r="62" spans="1:26">
      <c r="A62" s="25" t="s">
        <v>575</v>
      </c>
      <c r="B62" s="25" t="s">
        <v>575</v>
      </c>
      <c r="C62" s="26">
        <v>21645031</v>
      </c>
      <c r="D62" s="25" t="s">
        <v>593</v>
      </c>
      <c r="E62" s="25" t="s">
        <v>570</v>
      </c>
      <c r="F62" s="25" t="s">
        <v>170</v>
      </c>
      <c r="G62" s="25" t="s">
        <v>171</v>
      </c>
      <c r="H62" s="25" t="s">
        <v>581</v>
      </c>
      <c r="I62" s="25" t="s">
        <v>172</v>
      </c>
      <c r="J62" s="25" t="s">
        <v>53</v>
      </c>
      <c r="K62" s="25" t="s">
        <v>173</v>
      </c>
      <c r="L62" s="25" t="s">
        <v>445</v>
      </c>
      <c r="M62" s="25" t="s">
        <v>564</v>
      </c>
      <c r="N62" s="25" t="s">
        <v>71</v>
      </c>
      <c r="O62" s="47">
        <v>46266</v>
      </c>
      <c r="P62" s="25" t="s">
        <v>73</v>
      </c>
      <c r="Q62" s="25" t="s">
        <v>75</v>
      </c>
      <c r="R62" s="27">
        <v>51.53</v>
      </c>
      <c r="S62" s="27">
        <f>R62*W62</f>
        <v>66.989000000000004</v>
      </c>
      <c r="T62" s="28">
        <v>463.77</v>
      </c>
      <c r="U62" s="25" t="s">
        <v>61</v>
      </c>
      <c r="V62" s="25" t="s">
        <v>76</v>
      </c>
      <c r="W62" s="29">
        <v>1.3</v>
      </c>
      <c r="X62" s="28">
        <v>602.91</v>
      </c>
      <c r="Y62" s="28">
        <v>602.91</v>
      </c>
      <c r="Z62" s="25" t="s">
        <v>57</v>
      </c>
    </row>
    <row r="63" spans="1:26">
      <c r="A63" s="1" t="s">
        <v>429</v>
      </c>
      <c r="B63" s="1" t="s">
        <v>544</v>
      </c>
      <c r="C63" s="11">
        <v>14903711</v>
      </c>
      <c r="D63" s="1" t="s">
        <v>593</v>
      </c>
      <c r="E63" s="1" t="s">
        <v>572</v>
      </c>
      <c r="F63" s="1" t="s">
        <v>363</v>
      </c>
      <c r="G63" s="1" t="s">
        <v>364</v>
      </c>
      <c r="H63" s="1" t="s">
        <v>523</v>
      </c>
      <c r="I63" s="1" t="s">
        <v>247</v>
      </c>
      <c r="J63" s="1" t="s">
        <v>87</v>
      </c>
      <c r="K63" s="1" t="s">
        <v>173</v>
      </c>
      <c r="L63" s="1" t="s">
        <v>445</v>
      </c>
      <c r="M63" s="1" t="s">
        <v>564</v>
      </c>
      <c r="N63" s="1" t="s">
        <v>167</v>
      </c>
      <c r="O63" s="11" t="s">
        <v>168</v>
      </c>
      <c r="P63" s="1" t="s">
        <v>73</v>
      </c>
      <c r="Q63" s="1" t="s">
        <v>75</v>
      </c>
      <c r="R63" s="15">
        <v>67.28</v>
      </c>
      <c r="S63" s="15">
        <f>R63*W63</f>
        <v>87.463999999999999</v>
      </c>
      <c r="T63" s="12">
        <v>67.28</v>
      </c>
      <c r="U63" s="1" t="s">
        <v>61</v>
      </c>
      <c r="V63" s="1" t="s">
        <v>62</v>
      </c>
      <c r="W63" s="13">
        <v>1.3</v>
      </c>
      <c r="X63" s="12">
        <v>0</v>
      </c>
      <c r="Y63" s="12">
        <v>-87.46</v>
      </c>
      <c r="Z63" s="1" t="s">
        <v>57</v>
      </c>
    </row>
    <row r="64" spans="1:26">
      <c r="A64" s="25" t="s">
        <v>418</v>
      </c>
      <c r="B64" s="25" t="s">
        <v>418</v>
      </c>
      <c r="C64" s="26">
        <v>8307933</v>
      </c>
      <c r="D64" s="25" t="s">
        <v>593</v>
      </c>
      <c r="E64" s="25" t="s">
        <v>570</v>
      </c>
      <c r="F64" s="25" t="s">
        <v>354</v>
      </c>
      <c r="G64" s="25" t="s">
        <v>355</v>
      </c>
      <c r="H64" s="25" t="s">
        <v>586</v>
      </c>
      <c r="I64" s="25" t="s">
        <v>350</v>
      </c>
      <c r="J64" s="25" t="s">
        <v>87</v>
      </c>
      <c r="K64" s="25" t="s">
        <v>137</v>
      </c>
      <c r="L64" s="25" t="s">
        <v>446</v>
      </c>
      <c r="M64" s="25" t="s">
        <v>560</v>
      </c>
      <c r="N64" s="25" t="s">
        <v>71</v>
      </c>
      <c r="O64" s="47">
        <v>46266</v>
      </c>
      <c r="P64" s="25" t="s">
        <v>73</v>
      </c>
      <c r="Q64" s="25" t="s">
        <v>75</v>
      </c>
      <c r="R64" s="27">
        <v>93.42</v>
      </c>
      <c r="S64" s="27">
        <f>R64*W64</f>
        <v>63.058500000000002</v>
      </c>
      <c r="T64" s="28">
        <v>840.78</v>
      </c>
      <c r="U64" s="25" t="s">
        <v>61</v>
      </c>
      <c r="V64" s="25" t="s">
        <v>317</v>
      </c>
      <c r="W64" s="29">
        <v>0.67500000000000004</v>
      </c>
      <c r="X64" s="28">
        <v>567.53</v>
      </c>
      <c r="Y64" s="28">
        <v>567.53</v>
      </c>
      <c r="Z64" s="25" t="s">
        <v>57</v>
      </c>
    </row>
    <row r="65" spans="1:26">
      <c r="A65" s="25" t="s">
        <v>418</v>
      </c>
      <c r="B65" s="25" t="s">
        <v>418</v>
      </c>
      <c r="C65" s="26">
        <v>8307933</v>
      </c>
      <c r="D65" s="25" t="s">
        <v>593</v>
      </c>
      <c r="E65" s="25" t="s">
        <v>570</v>
      </c>
      <c r="F65" s="25" t="s">
        <v>348</v>
      </c>
      <c r="G65" s="25" t="s">
        <v>349</v>
      </c>
      <c r="H65" s="25" t="s">
        <v>585</v>
      </c>
      <c r="I65" s="25" t="s">
        <v>350</v>
      </c>
      <c r="J65" s="25" t="s">
        <v>87</v>
      </c>
      <c r="K65" s="25" t="s">
        <v>137</v>
      </c>
      <c r="L65" s="25" t="s">
        <v>446</v>
      </c>
      <c r="M65" s="25" t="s">
        <v>560</v>
      </c>
      <c r="N65" s="25" t="s">
        <v>71</v>
      </c>
      <c r="O65" s="47">
        <v>46266</v>
      </c>
      <c r="P65" s="25" t="s">
        <v>73</v>
      </c>
      <c r="Q65" s="25" t="s">
        <v>75</v>
      </c>
      <c r="R65" s="27">
        <v>179.82</v>
      </c>
      <c r="S65" s="27">
        <f>R65*W65</f>
        <v>121.3785</v>
      </c>
      <c r="T65" s="28">
        <v>1618.38</v>
      </c>
      <c r="U65" s="25" t="s">
        <v>61</v>
      </c>
      <c r="V65" s="25" t="s">
        <v>317</v>
      </c>
      <c r="W65" s="29">
        <v>0.67500000000000004</v>
      </c>
      <c r="X65" s="28">
        <v>1092.4100000000001</v>
      </c>
      <c r="Y65" s="28">
        <v>1092.4100000000001</v>
      </c>
      <c r="Z65" s="25" t="s">
        <v>57</v>
      </c>
    </row>
    <row r="66" spans="1:26">
      <c r="A66" s="25" t="s">
        <v>422</v>
      </c>
      <c r="B66" s="25" t="s">
        <v>422</v>
      </c>
      <c r="C66" s="26">
        <v>8977234</v>
      </c>
      <c r="D66" s="25" t="s">
        <v>593</v>
      </c>
      <c r="E66" s="25" t="s">
        <v>570</v>
      </c>
      <c r="F66" s="25" t="s">
        <v>314</v>
      </c>
      <c r="G66" s="25" t="s">
        <v>315</v>
      </c>
      <c r="H66" s="25" t="s">
        <v>584</v>
      </c>
      <c r="I66" s="25" t="s">
        <v>316</v>
      </c>
      <c r="J66" s="25" t="s">
        <v>81</v>
      </c>
      <c r="K66" s="25" t="s">
        <v>137</v>
      </c>
      <c r="L66" s="25" t="s">
        <v>446</v>
      </c>
      <c r="M66" s="25" t="s">
        <v>560</v>
      </c>
      <c r="N66" s="25" t="s">
        <v>71</v>
      </c>
      <c r="O66" s="47">
        <v>46266</v>
      </c>
      <c r="P66" s="25" t="s">
        <v>73</v>
      </c>
      <c r="Q66" s="25" t="s">
        <v>75</v>
      </c>
      <c r="R66" s="27">
        <v>33.22</v>
      </c>
      <c r="S66" s="27">
        <f>R66*W66</f>
        <v>22.423500000000001</v>
      </c>
      <c r="T66" s="28">
        <v>298.98</v>
      </c>
      <c r="U66" s="25" t="s">
        <v>61</v>
      </c>
      <c r="V66" s="25" t="s">
        <v>317</v>
      </c>
      <c r="W66" s="29">
        <v>0.67500000000000004</v>
      </c>
      <c r="X66" s="28">
        <v>201.81</v>
      </c>
      <c r="Y66" s="28">
        <v>201.81</v>
      </c>
      <c r="Z66" s="25" t="s">
        <v>57</v>
      </c>
    </row>
    <row r="67" spans="1:26">
      <c r="A67" s="1" t="s">
        <v>433</v>
      </c>
      <c r="B67" s="1" t="s">
        <v>548</v>
      </c>
      <c r="C67" s="11">
        <v>17437820</v>
      </c>
      <c r="D67" s="1" t="s">
        <v>593</v>
      </c>
      <c r="E67" s="1" t="s">
        <v>571</v>
      </c>
      <c r="F67" s="1" t="s">
        <v>333</v>
      </c>
      <c r="G67" s="1" t="s">
        <v>334</v>
      </c>
      <c r="H67" s="1" t="s">
        <v>518</v>
      </c>
      <c r="I67" s="1" t="s">
        <v>335</v>
      </c>
      <c r="J67" s="1" t="s">
        <v>87</v>
      </c>
      <c r="K67" s="1" t="s">
        <v>137</v>
      </c>
      <c r="L67" s="1" t="s">
        <v>446</v>
      </c>
      <c r="M67" s="1" t="s">
        <v>560</v>
      </c>
      <c r="N67" s="1" t="s">
        <v>336</v>
      </c>
      <c r="O67" s="11" t="s">
        <v>154</v>
      </c>
      <c r="P67" s="1" t="s">
        <v>73</v>
      </c>
      <c r="Q67" s="1" t="s">
        <v>75</v>
      </c>
      <c r="R67" s="15">
        <v>282.98</v>
      </c>
      <c r="S67" s="15">
        <f>R67*W67</f>
        <v>191.01150000000001</v>
      </c>
      <c r="T67" s="12">
        <v>282.98</v>
      </c>
      <c r="U67" s="1" t="s">
        <v>61</v>
      </c>
      <c r="V67" s="1" t="s">
        <v>62</v>
      </c>
      <c r="W67" s="13">
        <v>0.67500000000000004</v>
      </c>
      <c r="X67" s="12">
        <v>0</v>
      </c>
      <c r="Y67" s="12">
        <v>-191.01</v>
      </c>
      <c r="Z67" s="1" t="s">
        <v>57</v>
      </c>
    </row>
    <row r="68" spans="1:26">
      <c r="A68" s="1" t="s">
        <v>418</v>
      </c>
      <c r="B68" s="1" t="s">
        <v>533</v>
      </c>
      <c r="C68" s="11">
        <v>8307933</v>
      </c>
      <c r="D68" s="1" t="s">
        <v>593</v>
      </c>
      <c r="E68" s="1" t="s">
        <v>570</v>
      </c>
      <c r="F68" s="1" t="s">
        <v>199</v>
      </c>
      <c r="G68" s="1" t="s">
        <v>200</v>
      </c>
      <c r="H68" s="1" t="s">
        <v>479</v>
      </c>
      <c r="I68" s="1" t="s">
        <v>52</v>
      </c>
      <c r="J68" s="1" t="s">
        <v>53</v>
      </c>
      <c r="K68" s="1" t="s">
        <v>137</v>
      </c>
      <c r="L68" s="1" t="s">
        <v>446</v>
      </c>
      <c r="M68" s="1" t="s">
        <v>560</v>
      </c>
      <c r="N68" s="1" t="s">
        <v>201</v>
      </c>
      <c r="O68" s="11" t="s">
        <v>160</v>
      </c>
      <c r="P68" s="1" t="s">
        <v>73</v>
      </c>
      <c r="Q68" s="1" t="s">
        <v>75</v>
      </c>
      <c r="R68" s="15">
        <v>258.06</v>
      </c>
      <c r="S68" s="15">
        <f>R68*W68</f>
        <v>174.19050000000001</v>
      </c>
      <c r="T68" s="12">
        <v>258.06</v>
      </c>
      <c r="U68" s="1" t="s">
        <v>61</v>
      </c>
      <c r="V68" s="1" t="s">
        <v>62</v>
      </c>
      <c r="W68" s="13">
        <v>0.67500000000000004</v>
      </c>
      <c r="X68" s="12">
        <v>0</v>
      </c>
      <c r="Y68" s="12">
        <v>-174.19</v>
      </c>
      <c r="Z68" s="1" t="s">
        <v>57</v>
      </c>
    </row>
    <row r="69" spans="1:26">
      <c r="A69" s="1" t="s">
        <v>418</v>
      </c>
      <c r="B69" s="1" t="s">
        <v>533</v>
      </c>
      <c r="C69" s="11">
        <v>8307933</v>
      </c>
      <c r="D69" s="1" t="s">
        <v>593</v>
      </c>
      <c r="E69" s="1" t="s">
        <v>570</v>
      </c>
      <c r="F69" s="1" t="s">
        <v>195</v>
      </c>
      <c r="G69" s="1" t="s">
        <v>196</v>
      </c>
      <c r="H69" s="1" t="s">
        <v>478</v>
      </c>
      <c r="I69" s="1" t="s">
        <v>197</v>
      </c>
      <c r="J69" s="1" t="s">
        <v>87</v>
      </c>
      <c r="K69" s="1" t="s">
        <v>137</v>
      </c>
      <c r="L69" s="1" t="s">
        <v>446</v>
      </c>
      <c r="M69" s="1" t="s">
        <v>560</v>
      </c>
      <c r="N69" s="1" t="s">
        <v>198</v>
      </c>
      <c r="O69" s="11" t="s">
        <v>71</v>
      </c>
      <c r="P69" s="1" t="s">
        <v>73</v>
      </c>
      <c r="Q69" s="1" t="s">
        <v>75</v>
      </c>
      <c r="R69" s="15">
        <v>122.74</v>
      </c>
      <c r="S69" s="15">
        <f>R69*W69</f>
        <v>82.849500000000006</v>
      </c>
      <c r="T69" s="12">
        <v>122.74</v>
      </c>
      <c r="U69" s="1" t="s">
        <v>61</v>
      </c>
      <c r="V69" s="1" t="s">
        <v>62</v>
      </c>
      <c r="W69" s="13">
        <v>0.67500000000000004</v>
      </c>
      <c r="X69" s="12">
        <v>0</v>
      </c>
      <c r="Y69" s="12">
        <v>-82.85</v>
      </c>
      <c r="Z69" s="1" t="s">
        <v>57</v>
      </c>
    </row>
    <row r="70" spans="1:26">
      <c r="A70" s="1" t="s">
        <v>418</v>
      </c>
      <c r="B70" s="1" t="s">
        <v>533</v>
      </c>
      <c r="C70" s="11">
        <v>8307933</v>
      </c>
      <c r="D70" s="1" t="s">
        <v>593</v>
      </c>
      <c r="E70" s="1" t="s">
        <v>570</v>
      </c>
      <c r="F70" s="1" t="s">
        <v>210</v>
      </c>
      <c r="G70" s="1" t="s">
        <v>211</v>
      </c>
      <c r="H70" s="1" t="s">
        <v>483</v>
      </c>
      <c r="I70" s="1" t="s">
        <v>197</v>
      </c>
      <c r="J70" s="1" t="s">
        <v>87</v>
      </c>
      <c r="K70" s="1" t="s">
        <v>137</v>
      </c>
      <c r="L70" s="1" t="s">
        <v>446</v>
      </c>
      <c r="M70" s="1" t="s">
        <v>560</v>
      </c>
      <c r="N70" s="1" t="s">
        <v>212</v>
      </c>
      <c r="O70" s="11" t="s">
        <v>129</v>
      </c>
      <c r="P70" s="1" t="s">
        <v>73</v>
      </c>
      <c r="Q70" s="1" t="s">
        <v>75</v>
      </c>
      <c r="R70" s="15">
        <v>235.16</v>
      </c>
      <c r="S70" s="15">
        <f>R70*W70</f>
        <v>158.733</v>
      </c>
      <c r="T70" s="12">
        <v>235.16</v>
      </c>
      <c r="U70" s="1" t="s">
        <v>61</v>
      </c>
      <c r="V70" s="1" t="s">
        <v>62</v>
      </c>
      <c r="W70" s="13">
        <v>0.67500000000000004</v>
      </c>
      <c r="X70" s="12">
        <v>0</v>
      </c>
      <c r="Y70" s="12">
        <v>-158.72999999999999</v>
      </c>
      <c r="Z70" s="1" t="s">
        <v>57</v>
      </c>
    </row>
    <row r="71" spans="1:26">
      <c r="A71" s="1" t="s">
        <v>418</v>
      </c>
      <c r="B71" s="1" t="s">
        <v>533</v>
      </c>
      <c r="C71" s="11">
        <v>8307933</v>
      </c>
      <c r="D71" s="1" t="s">
        <v>593</v>
      </c>
      <c r="E71" s="1" t="s">
        <v>570</v>
      </c>
      <c r="F71" s="1" t="s">
        <v>188</v>
      </c>
      <c r="G71" s="1" t="s">
        <v>189</v>
      </c>
      <c r="H71" s="1" t="s">
        <v>476</v>
      </c>
      <c r="I71" s="1" t="s">
        <v>147</v>
      </c>
      <c r="J71" s="1" t="s">
        <v>162</v>
      </c>
      <c r="K71" s="1" t="s">
        <v>137</v>
      </c>
      <c r="L71" s="1" t="s">
        <v>446</v>
      </c>
      <c r="M71" s="1" t="s">
        <v>560</v>
      </c>
      <c r="N71" s="1" t="s">
        <v>190</v>
      </c>
      <c r="O71" s="11" t="s">
        <v>191</v>
      </c>
      <c r="P71" s="1" t="s">
        <v>73</v>
      </c>
      <c r="Q71" s="1" t="s">
        <v>75</v>
      </c>
      <c r="R71" s="15">
        <v>267.10000000000002</v>
      </c>
      <c r="S71" s="15">
        <f>R71*W71</f>
        <v>180.29250000000002</v>
      </c>
      <c r="T71" s="12">
        <v>267.10000000000002</v>
      </c>
      <c r="U71" s="1" t="s">
        <v>61</v>
      </c>
      <c r="V71" s="1" t="s">
        <v>62</v>
      </c>
      <c r="W71" s="13">
        <v>0.67500000000000004</v>
      </c>
      <c r="X71" s="12">
        <v>180.29</v>
      </c>
      <c r="Y71" s="12">
        <v>0</v>
      </c>
      <c r="Z71" s="1" t="s">
        <v>57</v>
      </c>
    </row>
    <row r="72" spans="1:26">
      <c r="A72" s="1" t="s">
        <v>418</v>
      </c>
      <c r="B72" s="1" t="s">
        <v>533</v>
      </c>
      <c r="C72" s="11">
        <v>8307933</v>
      </c>
      <c r="D72" s="1" t="s">
        <v>593</v>
      </c>
      <c r="E72" s="1" t="s">
        <v>570</v>
      </c>
      <c r="F72" s="1" t="s">
        <v>202</v>
      </c>
      <c r="G72" s="1" t="s">
        <v>203</v>
      </c>
      <c r="H72" s="1" t="s">
        <v>480</v>
      </c>
      <c r="I72" s="1" t="s">
        <v>197</v>
      </c>
      <c r="J72" s="1" t="s">
        <v>87</v>
      </c>
      <c r="K72" s="1" t="s">
        <v>137</v>
      </c>
      <c r="L72" s="1" t="s">
        <v>446</v>
      </c>
      <c r="M72" s="1" t="s">
        <v>560</v>
      </c>
      <c r="N72" s="1" t="s">
        <v>204</v>
      </c>
      <c r="O72" s="11" t="s">
        <v>144</v>
      </c>
      <c r="P72" s="1" t="s">
        <v>73</v>
      </c>
      <c r="Q72" s="1" t="s">
        <v>75</v>
      </c>
      <c r="R72" s="15">
        <v>186.64</v>
      </c>
      <c r="S72" s="15">
        <f>R72*W72</f>
        <v>125.982</v>
      </c>
      <c r="T72" s="12">
        <v>186.64</v>
      </c>
      <c r="U72" s="1" t="s">
        <v>61</v>
      </c>
      <c r="V72" s="1" t="s">
        <v>62</v>
      </c>
      <c r="W72" s="13">
        <v>0.67500000000000004</v>
      </c>
      <c r="X72" s="12">
        <v>0</v>
      </c>
      <c r="Y72" s="12">
        <v>-125.98</v>
      </c>
      <c r="Z72" s="1" t="s">
        <v>57</v>
      </c>
    </row>
    <row r="73" spans="1:26">
      <c r="A73" s="1" t="s">
        <v>418</v>
      </c>
      <c r="B73" s="1" t="s">
        <v>533</v>
      </c>
      <c r="C73" s="11">
        <v>8307933</v>
      </c>
      <c r="D73" s="1" t="s">
        <v>593</v>
      </c>
      <c r="E73" s="1" t="s">
        <v>570</v>
      </c>
      <c r="F73" s="1" t="s">
        <v>223</v>
      </c>
      <c r="G73" s="1" t="s">
        <v>224</v>
      </c>
      <c r="H73" s="1" t="s">
        <v>487</v>
      </c>
      <c r="I73" s="1" t="s">
        <v>147</v>
      </c>
      <c r="J73" s="1" t="s">
        <v>87</v>
      </c>
      <c r="K73" s="1" t="s">
        <v>137</v>
      </c>
      <c r="L73" s="1" t="s">
        <v>446</v>
      </c>
      <c r="M73" s="1" t="s">
        <v>560</v>
      </c>
      <c r="N73" s="1" t="s">
        <v>225</v>
      </c>
      <c r="O73" s="11" t="s">
        <v>154</v>
      </c>
      <c r="P73" s="1" t="s">
        <v>73</v>
      </c>
      <c r="Q73" s="1" t="s">
        <v>75</v>
      </c>
      <c r="R73" s="15">
        <v>323.26</v>
      </c>
      <c r="S73" s="15">
        <f>R73*W73</f>
        <v>218.20050000000001</v>
      </c>
      <c r="T73" s="12">
        <v>323.26</v>
      </c>
      <c r="U73" s="1" t="s">
        <v>61</v>
      </c>
      <c r="V73" s="1" t="s">
        <v>62</v>
      </c>
      <c r="W73" s="13">
        <v>0.67500000000000004</v>
      </c>
      <c r="X73" s="12">
        <v>0</v>
      </c>
      <c r="Y73" s="12">
        <v>-218.2</v>
      </c>
      <c r="Z73" s="1" t="s">
        <v>57</v>
      </c>
    </row>
    <row r="74" spans="1:26">
      <c r="A74" s="1" t="s">
        <v>418</v>
      </c>
      <c r="B74" s="1" t="s">
        <v>533</v>
      </c>
      <c r="C74" s="11">
        <v>8307933</v>
      </c>
      <c r="D74" s="1" t="s">
        <v>593</v>
      </c>
      <c r="E74" s="1" t="s">
        <v>570</v>
      </c>
      <c r="F74" s="1" t="s">
        <v>226</v>
      </c>
      <c r="G74" s="1" t="s">
        <v>227</v>
      </c>
      <c r="H74" s="1" t="s">
        <v>488</v>
      </c>
      <c r="I74" s="1" t="s">
        <v>147</v>
      </c>
      <c r="J74" s="1" t="s">
        <v>87</v>
      </c>
      <c r="K74" s="1" t="s">
        <v>137</v>
      </c>
      <c r="L74" s="1" t="s">
        <v>446</v>
      </c>
      <c r="M74" s="1" t="s">
        <v>560</v>
      </c>
      <c r="N74" s="1" t="s">
        <v>228</v>
      </c>
      <c r="O74" s="11" t="s">
        <v>229</v>
      </c>
      <c r="P74" s="1" t="s">
        <v>73</v>
      </c>
      <c r="Q74" s="1" t="s">
        <v>75</v>
      </c>
      <c r="R74" s="15">
        <v>257.8</v>
      </c>
      <c r="S74" s="15">
        <f>R74*W74</f>
        <v>174.01500000000001</v>
      </c>
      <c r="T74" s="12">
        <v>257.8</v>
      </c>
      <c r="U74" s="1" t="s">
        <v>61</v>
      </c>
      <c r="V74" s="1" t="s">
        <v>62</v>
      </c>
      <c r="W74" s="13">
        <v>0.67500000000000004</v>
      </c>
      <c r="X74" s="12">
        <v>0</v>
      </c>
      <c r="Y74" s="12">
        <v>-174.02</v>
      </c>
      <c r="Z74" s="1" t="s">
        <v>57</v>
      </c>
    </row>
    <row r="75" spans="1:26">
      <c r="A75" s="1" t="s">
        <v>418</v>
      </c>
      <c r="B75" s="1" t="s">
        <v>533</v>
      </c>
      <c r="C75" s="11">
        <v>8307933</v>
      </c>
      <c r="D75" s="1" t="s">
        <v>593</v>
      </c>
      <c r="E75" s="1" t="s">
        <v>570</v>
      </c>
      <c r="F75" s="1" t="s">
        <v>213</v>
      </c>
      <c r="G75" s="1" t="s">
        <v>214</v>
      </c>
      <c r="H75" s="1" t="s">
        <v>484</v>
      </c>
      <c r="I75" s="1" t="s">
        <v>52</v>
      </c>
      <c r="J75" s="1" t="s">
        <v>53</v>
      </c>
      <c r="K75" s="1" t="s">
        <v>137</v>
      </c>
      <c r="L75" s="1" t="s">
        <v>446</v>
      </c>
      <c r="M75" s="1" t="s">
        <v>560</v>
      </c>
      <c r="N75" s="1" t="s">
        <v>215</v>
      </c>
      <c r="O75" s="11" t="s">
        <v>160</v>
      </c>
      <c r="P75" s="1" t="s">
        <v>73</v>
      </c>
      <c r="Q75" s="1" t="s">
        <v>75</v>
      </c>
      <c r="R75" s="15">
        <v>152.13</v>
      </c>
      <c r="S75" s="15">
        <f>R75*W75</f>
        <v>102.68775000000001</v>
      </c>
      <c r="T75" s="12">
        <v>152.13</v>
      </c>
      <c r="U75" s="1" t="s">
        <v>61</v>
      </c>
      <c r="V75" s="1" t="s">
        <v>62</v>
      </c>
      <c r="W75" s="13">
        <v>0.67500000000000004</v>
      </c>
      <c r="X75" s="12">
        <v>0</v>
      </c>
      <c r="Y75" s="12">
        <v>-102.69</v>
      </c>
      <c r="Z75" s="1" t="s">
        <v>57</v>
      </c>
    </row>
    <row r="76" spans="1:26">
      <c r="A76" s="40" t="s">
        <v>424</v>
      </c>
      <c r="B76" s="40" t="s">
        <v>539</v>
      </c>
      <c r="C76" s="41">
        <v>1706194</v>
      </c>
      <c r="D76" s="1" t="s">
        <v>593</v>
      </c>
      <c r="E76" s="40" t="s">
        <v>570</v>
      </c>
      <c r="F76" s="40" t="s">
        <v>157</v>
      </c>
      <c r="G76" s="40" t="s">
        <v>158</v>
      </c>
      <c r="H76" s="40" t="s">
        <v>471</v>
      </c>
      <c r="I76" s="40" t="s">
        <v>147</v>
      </c>
      <c r="J76" s="40" t="s">
        <v>69</v>
      </c>
      <c r="K76" s="40" t="s">
        <v>137</v>
      </c>
      <c r="L76" s="40" t="s">
        <v>446</v>
      </c>
      <c r="M76" s="40" t="s">
        <v>560</v>
      </c>
      <c r="N76" s="40" t="s">
        <v>159</v>
      </c>
      <c r="O76" s="41" t="s">
        <v>160</v>
      </c>
      <c r="P76" s="40" t="s">
        <v>73</v>
      </c>
      <c r="Q76" s="40" t="s">
        <v>75</v>
      </c>
      <c r="R76" s="42">
        <v>114.37</v>
      </c>
      <c r="S76" s="42">
        <f>R76*W76</f>
        <v>77.199750000000009</v>
      </c>
      <c r="T76" s="43">
        <v>114.37</v>
      </c>
      <c r="U76" s="40" t="s">
        <v>61</v>
      </c>
      <c r="V76" s="40" t="s">
        <v>161</v>
      </c>
      <c r="W76" s="44">
        <v>0.67500000000000004</v>
      </c>
      <c r="X76" s="43">
        <v>0</v>
      </c>
      <c r="Y76" s="43">
        <v>-77.2</v>
      </c>
      <c r="Z76" s="40" t="s">
        <v>57</v>
      </c>
    </row>
    <row r="77" spans="1:26">
      <c r="A77" s="1" t="s">
        <v>422</v>
      </c>
      <c r="B77" s="1" t="s">
        <v>537</v>
      </c>
      <c r="C77" s="11">
        <v>8977234</v>
      </c>
      <c r="D77" s="1" t="s">
        <v>593</v>
      </c>
      <c r="E77" s="1" t="s">
        <v>570</v>
      </c>
      <c r="F77" s="1" t="s">
        <v>297</v>
      </c>
      <c r="G77" s="1" t="s">
        <v>298</v>
      </c>
      <c r="H77" s="1" t="s">
        <v>508</v>
      </c>
      <c r="I77" s="1" t="s">
        <v>141</v>
      </c>
      <c r="J77" s="1" t="s">
        <v>53</v>
      </c>
      <c r="K77" s="1" t="s">
        <v>137</v>
      </c>
      <c r="L77" s="1" t="s">
        <v>446</v>
      </c>
      <c r="M77" s="1" t="s">
        <v>560</v>
      </c>
      <c r="N77" s="1" t="s">
        <v>299</v>
      </c>
      <c r="O77" s="11" t="s">
        <v>160</v>
      </c>
      <c r="P77" s="1" t="s">
        <v>73</v>
      </c>
      <c r="Q77" s="1" t="s">
        <v>75</v>
      </c>
      <c r="R77" s="15">
        <v>292.95</v>
      </c>
      <c r="S77" s="15">
        <f>R77*W77</f>
        <v>197.74125000000001</v>
      </c>
      <c r="T77" s="12">
        <v>292.95</v>
      </c>
      <c r="U77" s="1" t="s">
        <v>61</v>
      </c>
      <c r="V77" s="1" t="s">
        <v>62</v>
      </c>
      <c r="W77" s="13">
        <v>0.67500000000000004</v>
      </c>
      <c r="X77" s="12">
        <v>0</v>
      </c>
      <c r="Y77" s="12">
        <v>-197.74</v>
      </c>
      <c r="Z77" s="1" t="s">
        <v>57</v>
      </c>
    </row>
    <row r="78" spans="1:26" s="25" customFormat="1">
      <c r="A78" s="1" t="s">
        <v>422</v>
      </c>
      <c r="B78" s="1" t="s">
        <v>537</v>
      </c>
      <c r="C78" s="11">
        <v>8977234</v>
      </c>
      <c r="D78" s="1" t="s">
        <v>593</v>
      </c>
      <c r="E78" s="1" t="s">
        <v>570</v>
      </c>
      <c r="F78" s="1" t="s">
        <v>295</v>
      </c>
      <c r="G78" s="1" t="s">
        <v>296</v>
      </c>
      <c r="H78" s="1" t="s">
        <v>507</v>
      </c>
      <c r="I78" s="1" t="s">
        <v>268</v>
      </c>
      <c r="J78" s="1" t="s">
        <v>87</v>
      </c>
      <c r="K78" s="1" t="s">
        <v>137</v>
      </c>
      <c r="L78" s="1" t="s">
        <v>446</v>
      </c>
      <c r="M78" s="1" t="s">
        <v>560</v>
      </c>
      <c r="N78" s="1" t="s">
        <v>294</v>
      </c>
      <c r="O78" s="11" t="s">
        <v>144</v>
      </c>
      <c r="P78" s="1" t="s">
        <v>73</v>
      </c>
      <c r="Q78" s="1" t="s">
        <v>75</v>
      </c>
      <c r="R78" s="15">
        <v>47</v>
      </c>
      <c r="S78" s="15">
        <f>R78*W78</f>
        <v>31.725000000000001</v>
      </c>
      <c r="T78" s="12">
        <v>47</v>
      </c>
      <c r="U78" s="1" t="s">
        <v>61</v>
      </c>
      <c r="V78" s="1" t="s">
        <v>62</v>
      </c>
      <c r="W78" s="13">
        <v>0.67500000000000004</v>
      </c>
      <c r="X78" s="12">
        <v>0</v>
      </c>
      <c r="Y78" s="12">
        <v>-31.73</v>
      </c>
      <c r="Z78" s="1" t="s">
        <v>57</v>
      </c>
    </row>
    <row r="79" spans="1:26" s="16" customFormat="1">
      <c r="A79" s="1" t="s">
        <v>422</v>
      </c>
      <c r="B79" s="1" t="s">
        <v>537</v>
      </c>
      <c r="C79" s="11">
        <v>8977234</v>
      </c>
      <c r="D79" s="1" t="s">
        <v>593</v>
      </c>
      <c r="E79" s="1" t="s">
        <v>570</v>
      </c>
      <c r="F79" s="1" t="s">
        <v>292</v>
      </c>
      <c r="G79" s="1" t="s">
        <v>293</v>
      </c>
      <c r="H79" s="1" t="s">
        <v>506</v>
      </c>
      <c r="I79" s="1" t="s">
        <v>52</v>
      </c>
      <c r="J79" s="1" t="s">
        <v>87</v>
      </c>
      <c r="K79" s="1" t="s">
        <v>137</v>
      </c>
      <c r="L79" s="1" t="s">
        <v>446</v>
      </c>
      <c r="M79" s="1" t="s">
        <v>560</v>
      </c>
      <c r="N79" s="1" t="s">
        <v>294</v>
      </c>
      <c r="O79" s="11" t="s">
        <v>144</v>
      </c>
      <c r="P79" s="1" t="s">
        <v>73</v>
      </c>
      <c r="Q79" s="1" t="s">
        <v>75</v>
      </c>
      <c r="R79" s="15">
        <v>120</v>
      </c>
      <c r="S79" s="15">
        <f>R79*W79</f>
        <v>81</v>
      </c>
      <c r="T79" s="12">
        <v>120</v>
      </c>
      <c r="U79" s="1" t="s">
        <v>61</v>
      </c>
      <c r="V79" s="1" t="s">
        <v>62</v>
      </c>
      <c r="W79" s="13">
        <v>0.67500000000000004</v>
      </c>
      <c r="X79" s="12">
        <v>0</v>
      </c>
      <c r="Y79" s="12">
        <v>-81</v>
      </c>
      <c r="Z79" s="1" t="s">
        <v>57</v>
      </c>
    </row>
    <row r="80" spans="1:26">
      <c r="A80" s="1" t="s">
        <v>422</v>
      </c>
      <c r="B80" s="1" t="s">
        <v>537</v>
      </c>
      <c r="C80" s="11">
        <v>8977234</v>
      </c>
      <c r="D80" s="1" t="s">
        <v>593</v>
      </c>
      <c r="E80" s="1" t="s">
        <v>570</v>
      </c>
      <c r="F80" s="1" t="s">
        <v>254</v>
      </c>
      <c r="G80" s="1" t="s">
        <v>255</v>
      </c>
      <c r="H80" s="1" t="s">
        <v>493</v>
      </c>
      <c r="I80" s="1" t="s">
        <v>141</v>
      </c>
      <c r="J80" s="1" t="s">
        <v>87</v>
      </c>
      <c r="K80" s="1" t="s">
        <v>137</v>
      </c>
      <c r="L80" s="1" t="s">
        <v>446</v>
      </c>
      <c r="M80" s="1" t="s">
        <v>560</v>
      </c>
      <c r="N80" s="1" t="s">
        <v>256</v>
      </c>
      <c r="O80" s="11" t="s">
        <v>144</v>
      </c>
      <c r="P80" s="1" t="s">
        <v>73</v>
      </c>
      <c r="Q80" s="1" t="s">
        <v>75</v>
      </c>
      <c r="R80" s="15">
        <v>114.92</v>
      </c>
      <c r="S80" s="15">
        <f>R80*W80</f>
        <v>77.571000000000012</v>
      </c>
      <c r="T80" s="12">
        <v>114.92</v>
      </c>
      <c r="U80" s="1" t="s">
        <v>61</v>
      </c>
      <c r="V80" s="1" t="s">
        <v>62</v>
      </c>
      <c r="W80" s="13">
        <v>0.67500000000000004</v>
      </c>
      <c r="X80" s="12">
        <v>77.56</v>
      </c>
      <c r="Y80" s="12">
        <v>-0.01</v>
      </c>
      <c r="Z80" s="1" t="s">
        <v>57</v>
      </c>
    </row>
    <row r="81" spans="1:26">
      <c r="A81" s="1" t="s">
        <v>422</v>
      </c>
      <c r="B81" s="1" t="s">
        <v>537</v>
      </c>
      <c r="C81" s="11">
        <v>8977234</v>
      </c>
      <c r="D81" s="1" t="s">
        <v>593</v>
      </c>
      <c r="E81" s="1" t="s">
        <v>570</v>
      </c>
      <c r="F81" s="1" t="s">
        <v>279</v>
      </c>
      <c r="G81" s="1" t="s">
        <v>280</v>
      </c>
      <c r="H81" s="1" t="s">
        <v>502</v>
      </c>
      <c r="I81" s="1" t="s">
        <v>68</v>
      </c>
      <c r="J81" s="1" t="s">
        <v>87</v>
      </c>
      <c r="K81" s="1" t="s">
        <v>137</v>
      </c>
      <c r="L81" s="1" t="s">
        <v>446</v>
      </c>
      <c r="M81" s="1" t="s">
        <v>560</v>
      </c>
      <c r="N81" s="1" t="s">
        <v>198</v>
      </c>
      <c r="O81" s="11" t="s">
        <v>71</v>
      </c>
      <c r="P81" s="1" t="s">
        <v>73</v>
      </c>
      <c r="Q81" s="1" t="s">
        <v>75</v>
      </c>
      <c r="R81" s="15">
        <v>205.2</v>
      </c>
      <c r="S81" s="15">
        <f>R81*W81</f>
        <v>138.51</v>
      </c>
      <c r="T81" s="12">
        <v>205.2</v>
      </c>
      <c r="U81" s="1" t="s">
        <v>61</v>
      </c>
      <c r="V81" s="1" t="s">
        <v>62</v>
      </c>
      <c r="W81" s="13">
        <v>0.67500000000000004</v>
      </c>
      <c r="X81" s="12">
        <v>0</v>
      </c>
      <c r="Y81" s="12">
        <v>-138.51</v>
      </c>
      <c r="Z81" s="1" t="s">
        <v>57</v>
      </c>
    </row>
    <row r="82" spans="1:26" s="25" customFormat="1">
      <c r="A82" s="1" t="s">
        <v>422</v>
      </c>
      <c r="B82" s="1" t="s">
        <v>537</v>
      </c>
      <c r="C82" s="11">
        <v>8977234</v>
      </c>
      <c r="D82" s="1" t="s">
        <v>593</v>
      </c>
      <c r="E82" s="1" t="s">
        <v>570</v>
      </c>
      <c r="F82" s="1" t="s">
        <v>257</v>
      </c>
      <c r="G82" s="1" t="s">
        <v>258</v>
      </c>
      <c r="H82" s="1" t="s">
        <v>494</v>
      </c>
      <c r="I82" s="1" t="s">
        <v>141</v>
      </c>
      <c r="J82" s="1" t="s">
        <v>87</v>
      </c>
      <c r="K82" s="1" t="s">
        <v>137</v>
      </c>
      <c r="L82" s="1" t="s">
        <v>446</v>
      </c>
      <c r="M82" s="1" t="s">
        <v>560</v>
      </c>
      <c r="N82" s="1" t="s">
        <v>259</v>
      </c>
      <c r="O82" s="11" t="s">
        <v>144</v>
      </c>
      <c r="P82" s="1" t="s">
        <v>73</v>
      </c>
      <c r="Q82" s="1" t="s">
        <v>75</v>
      </c>
      <c r="R82" s="15">
        <v>139.94999999999999</v>
      </c>
      <c r="S82" s="15">
        <f>R82*W82</f>
        <v>94.466250000000002</v>
      </c>
      <c r="T82" s="12">
        <v>139.94999999999999</v>
      </c>
      <c r="U82" s="1" t="s">
        <v>61</v>
      </c>
      <c r="V82" s="1" t="s">
        <v>62</v>
      </c>
      <c r="W82" s="13">
        <v>0.67500000000000004</v>
      </c>
      <c r="X82" s="12">
        <v>94.47</v>
      </c>
      <c r="Y82" s="12">
        <v>0</v>
      </c>
      <c r="Z82" s="1" t="s">
        <v>57</v>
      </c>
    </row>
    <row r="83" spans="1:26" s="25" customFormat="1">
      <c r="A83" s="1" t="s">
        <v>422</v>
      </c>
      <c r="B83" s="1" t="s">
        <v>537</v>
      </c>
      <c r="C83" s="11">
        <v>8977234</v>
      </c>
      <c r="D83" s="1" t="s">
        <v>593</v>
      </c>
      <c r="E83" s="1" t="s">
        <v>571</v>
      </c>
      <c r="F83" s="1" t="s">
        <v>285</v>
      </c>
      <c r="G83" s="1" t="s">
        <v>286</v>
      </c>
      <c r="H83" s="1" t="s">
        <v>504</v>
      </c>
      <c r="I83" s="1" t="s">
        <v>252</v>
      </c>
      <c r="J83" s="1" t="s">
        <v>87</v>
      </c>
      <c r="K83" s="1" t="s">
        <v>137</v>
      </c>
      <c r="L83" s="1" t="s">
        <v>446</v>
      </c>
      <c r="M83" s="1" t="s">
        <v>560</v>
      </c>
      <c r="N83" s="1" t="s">
        <v>287</v>
      </c>
      <c r="O83" s="11" t="s">
        <v>154</v>
      </c>
      <c r="P83" s="1" t="s">
        <v>73</v>
      </c>
      <c r="Q83" s="1" t="s">
        <v>75</v>
      </c>
      <c r="R83" s="15">
        <v>86.28</v>
      </c>
      <c r="S83" s="15">
        <f>R83*W83</f>
        <v>58.239000000000004</v>
      </c>
      <c r="T83" s="12">
        <v>86.28</v>
      </c>
      <c r="U83" s="1" t="s">
        <v>61</v>
      </c>
      <c r="V83" s="1" t="s">
        <v>62</v>
      </c>
      <c r="W83" s="13">
        <v>0.67500000000000004</v>
      </c>
      <c r="X83" s="12">
        <v>0</v>
      </c>
      <c r="Y83" s="12">
        <v>-58.24</v>
      </c>
      <c r="Z83" s="1" t="s">
        <v>57</v>
      </c>
    </row>
    <row r="84" spans="1:26" s="25" customFormat="1">
      <c r="A84" s="1" t="s">
        <v>422</v>
      </c>
      <c r="B84" s="1" t="s">
        <v>537</v>
      </c>
      <c r="C84" s="11">
        <v>8977234</v>
      </c>
      <c r="D84" s="1" t="s">
        <v>593</v>
      </c>
      <c r="E84" s="1" t="s">
        <v>571</v>
      </c>
      <c r="F84" s="1" t="s">
        <v>281</v>
      </c>
      <c r="G84" s="1" t="s">
        <v>282</v>
      </c>
      <c r="H84" s="1" t="s">
        <v>503</v>
      </c>
      <c r="I84" s="1" t="s">
        <v>252</v>
      </c>
      <c r="J84" s="1" t="s">
        <v>87</v>
      </c>
      <c r="K84" s="1" t="s">
        <v>137</v>
      </c>
      <c r="L84" s="1" t="s">
        <v>446</v>
      </c>
      <c r="M84" s="1" t="s">
        <v>560</v>
      </c>
      <c r="N84" s="1" t="s">
        <v>283</v>
      </c>
      <c r="O84" s="11" t="s">
        <v>284</v>
      </c>
      <c r="P84" s="1" t="s">
        <v>73</v>
      </c>
      <c r="Q84" s="1" t="s">
        <v>75</v>
      </c>
      <c r="R84" s="15">
        <v>79.739999999999995</v>
      </c>
      <c r="S84" s="15">
        <f>R84*W84</f>
        <v>53.8245</v>
      </c>
      <c r="T84" s="12">
        <v>79.739999999999995</v>
      </c>
      <c r="U84" s="1" t="s">
        <v>61</v>
      </c>
      <c r="V84" s="1" t="s">
        <v>62</v>
      </c>
      <c r="W84" s="13">
        <v>0.67500000000000004</v>
      </c>
      <c r="X84" s="12">
        <v>0</v>
      </c>
      <c r="Y84" s="12">
        <v>-53.82</v>
      </c>
      <c r="Z84" s="1" t="s">
        <v>57</v>
      </c>
    </row>
    <row r="85" spans="1:26" s="25" customFormat="1">
      <c r="A85" s="1" t="s">
        <v>422</v>
      </c>
      <c r="B85" s="1" t="s">
        <v>537</v>
      </c>
      <c r="C85" s="11">
        <v>8977234</v>
      </c>
      <c r="D85" s="1" t="s">
        <v>593</v>
      </c>
      <c r="E85" s="1" t="s">
        <v>570</v>
      </c>
      <c r="F85" s="1" t="s">
        <v>274</v>
      </c>
      <c r="G85" s="1" t="s">
        <v>275</v>
      </c>
      <c r="H85" s="1" t="s">
        <v>500</v>
      </c>
      <c r="I85" s="1" t="s">
        <v>268</v>
      </c>
      <c r="J85" s="1" t="s">
        <v>162</v>
      </c>
      <c r="K85" s="1" t="s">
        <v>137</v>
      </c>
      <c r="L85" s="1" t="s">
        <v>446</v>
      </c>
      <c r="M85" s="1" t="s">
        <v>560</v>
      </c>
      <c r="N85" s="1" t="s">
        <v>273</v>
      </c>
      <c r="O85" s="11" t="s">
        <v>191</v>
      </c>
      <c r="P85" s="1" t="s">
        <v>73</v>
      </c>
      <c r="Q85" s="1" t="s">
        <v>75</v>
      </c>
      <c r="R85" s="15">
        <v>59.68</v>
      </c>
      <c r="S85" s="15">
        <f>R85*W85</f>
        <v>40.283999999999999</v>
      </c>
      <c r="T85" s="12">
        <v>59.68</v>
      </c>
      <c r="U85" s="1" t="s">
        <v>61</v>
      </c>
      <c r="V85" s="1" t="s">
        <v>62</v>
      </c>
      <c r="W85" s="13">
        <v>0.67500000000000004</v>
      </c>
      <c r="X85" s="12">
        <v>0</v>
      </c>
      <c r="Y85" s="12">
        <v>-40.28</v>
      </c>
      <c r="Z85" s="1" t="s">
        <v>57</v>
      </c>
    </row>
    <row r="86" spans="1:26" s="25" customFormat="1">
      <c r="A86" s="1" t="s">
        <v>422</v>
      </c>
      <c r="B86" s="1" t="s">
        <v>537</v>
      </c>
      <c r="C86" s="11">
        <v>8977234</v>
      </c>
      <c r="D86" s="1" t="s">
        <v>593</v>
      </c>
      <c r="E86" s="1" t="s">
        <v>570</v>
      </c>
      <c r="F86" s="1" t="s">
        <v>271</v>
      </c>
      <c r="G86" s="1" t="s">
        <v>272</v>
      </c>
      <c r="H86" s="1" t="s">
        <v>499</v>
      </c>
      <c r="I86" s="1" t="s">
        <v>268</v>
      </c>
      <c r="J86" s="1" t="s">
        <v>162</v>
      </c>
      <c r="K86" s="1" t="s">
        <v>137</v>
      </c>
      <c r="L86" s="1" t="s">
        <v>446</v>
      </c>
      <c r="M86" s="1" t="s">
        <v>560</v>
      </c>
      <c r="N86" s="1" t="s">
        <v>273</v>
      </c>
      <c r="O86" s="11" t="s">
        <v>191</v>
      </c>
      <c r="P86" s="1" t="s">
        <v>73</v>
      </c>
      <c r="Q86" s="1" t="s">
        <v>75</v>
      </c>
      <c r="R86" s="15">
        <v>59.98</v>
      </c>
      <c r="S86" s="15">
        <f>R86*W86</f>
        <v>40.486499999999999</v>
      </c>
      <c r="T86" s="12">
        <v>59.98</v>
      </c>
      <c r="U86" s="1" t="s">
        <v>61</v>
      </c>
      <c r="V86" s="1" t="s">
        <v>62</v>
      </c>
      <c r="W86" s="13">
        <v>0.67500000000000004</v>
      </c>
      <c r="X86" s="12">
        <v>0.03</v>
      </c>
      <c r="Y86" s="12">
        <v>-40.46</v>
      </c>
      <c r="Z86" s="1" t="s">
        <v>57</v>
      </c>
    </row>
    <row r="87" spans="1:26" s="25" customFormat="1">
      <c r="A87" s="1" t="s">
        <v>422</v>
      </c>
      <c r="B87" s="1" t="s">
        <v>537</v>
      </c>
      <c r="C87" s="11">
        <v>8977234</v>
      </c>
      <c r="D87" s="1" t="s">
        <v>593</v>
      </c>
      <c r="E87" s="1" t="s">
        <v>570</v>
      </c>
      <c r="F87" s="1" t="s">
        <v>307</v>
      </c>
      <c r="G87" s="1" t="s">
        <v>308</v>
      </c>
      <c r="H87" s="1" t="s">
        <v>512</v>
      </c>
      <c r="I87" s="1" t="s">
        <v>126</v>
      </c>
      <c r="J87" s="1" t="s">
        <v>87</v>
      </c>
      <c r="K87" s="1" t="s">
        <v>137</v>
      </c>
      <c r="L87" s="1" t="s">
        <v>446</v>
      </c>
      <c r="M87" s="1" t="s">
        <v>560</v>
      </c>
      <c r="N87" s="1" t="s">
        <v>309</v>
      </c>
      <c r="O87" s="11" t="s">
        <v>129</v>
      </c>
      <c r="P87" s="1" t="s">
        <v>73</v>
      </c>
      <c r="Q87" s="1" t="s">
        <v>75</v>
      </c>
      <c r="R87" s="15">
        <v>112.84</v>
      </c>
      <c r="S87" s="15">
        <f>R87*W87</f>
        <v>76.167000000000002</v>
      </c>
      <c r="T87" s="12">
        <v>112.84</v>
      </c>
      <c r="U87" s="1" t="s">
        <v>61</v>
      </c>
      <c r="V87" s="1" t="s">
        <v>62</v>
      </c>
      <c r="W87" s="13">
        <v>0.67500000000000004</v>
      </c>
      <c r="X87" s="12">
        <v>0</v>
      </c>
      <c r="Y87" s="12">
        <v>-76.17</v>
      </c>
      <c r="Z87" s="1" t="s">
        <v>57</v>
      </c>
    </row>
    <row r="88" spans="1:26" s="25" customFormat="1">
      <c r="A88" s="1" t="s">
        <v>422</v>
      </c>
      <c r="B88" s="1" t="s">
        <v>537</v>
      </c>
      <c r="C88" s="11">
        <v>8977234</v>
      </c>
      <c r="D88" s="1" t="s">
        <v>593</v>
      </c>
      <c r="E88" s="1" t="s">
        <v>570</v>
      </c>
      <c r="F88" s="1" t="s">
        <v>310</v>
      </c>
      <c r="G88" s="1" t="s">
        <v>311</v>
      </c>
      <c r="H88" s="1" t="s">
        <v>513</v>
      </c>
      <c r="I88" s="1" t="s">
        <v>68</v>
      </c>
      <c r="J88" s="1" t="s">
        <v>87</v>
      </c>
      <c r="K88" s="1" t="s">
        <v>137</v>
      </c>
      <c r="L88" s="1" t="s">
        <v>446</v>
      </c>
      <c r="M88" s="1" t="s">
        <v>560</v>
      </c>
      <c r="N88" s="1" t="s">
        <v>309</v>
      </c>
      <c r="O88" s="11" t="s">
        <v>129</v>
      </c>
      <c r="P88" s="1" t="s">
        <v>73</v>
      </c>
      <c r="Q88" s="1" t="s">
        <v>75</v>
      </c>
      <c r="R88" s="15">
        <v>80.8</v>
      </c>
      <c r="S88" s="15">
        <f>R88*W88</f>
        <v>54.54</v>
      </c>
      <c r="T88" s="12">
        <v>80.8</v>
      </c>
      <c r="U88" s="1" t="s">
        <v>61</v>
      </c>
      <c r="V88" s="1" t="s">
        <v>62</v>
      </c>
      <c r="W88" s="13">
        <v>0.67500000000000004</v>
      </c>
      <c r="X88" s="12">
        <v>0</v>
      </c>
      <c r="Y88" s="12">
        <v>-54.54</v>
      </c>
      <c r="Z88" s="1" t="s">
        <v>57</v>
      </c>
    </row>
    <row r="89" spans="1:26" s="25" customFormat="1">
      <c r="A89" s="1" t="s">
        <v>422</v>
      </c>
      <c r="B89" s="1" t="s">
        <v>537</v>
      </c>
      <c r="C89" s="11">
        <v>8977234</v>
      </c>
      <c r="D89" s="1" t="s">
        <v>593</v>
      </c>
      <c r="E89" s="1" t="s">
        <v>570</v>
      </c>
      <c r="F89" s="1" t="s">
        <v>260</v>
      </c>
      <c r="G89" s="1" t="s">
        <v>261</v>
      </c>
      <c r="H89" s="1" t="s">
        <v>495</v>
      </c>
      <c r="I89" s="1" t="s">
        <v>252</v>
      </c>
      <c r="J89" s="1" t="s">
        <v>87</v>
      </c>
      <c r="K89" s="1" t="s">
        <v>137</v>
      </c>
      <c r="L89" s="1" t="s">
        <v>446</v>
      </c>
      <c r="M89" s="1" t="s">
        <v>560</v>
      </c>
      <c r="N89" s="1" t="s">
        <v>256</v>
      </c>
      <c r="O89" s="11" t="s">
        <v>144</v>
      </c>
      <c r="P89" s="1" t="s">
        <v>73</v>
      </c>
      <c r="Q89" s="1" t="s">
        <v>75</v>
      </c>
      <c r="R89" s="15">
        <v>277.95999999999998</v>
      </c>
      <c r="S89" s="15">
        <f>R89*W89</f>
        <v>187.62299999999999</v>
      </c>
      <c r="T89" s="12">
        <v>277.95999999999998</v>
      </c>
      <c r="U89" s="1" t="s">
        <v>61</v>
      </c>
      <c r="V89" s="1" t="s">
        <v>62</v>
      </c>
      <c r="W89" s="13">
        <v>0.67500000000000004</v>
      </c>
      <c r="X89" s="12">
        <v>187.59</v>
      </c>
      <c r="Y89" s="12">
        <v>-0.03</v>
      </c>
      <c r="Z89" s="1" t="s">
        <v>57</v>
      </c>
    </row>
    <row r="91" spans="1:26" s="35" customFormat="1">
      <c r="A91" s="35" t="s">
        <v>420</v>
      </c>
      <c r="B91" s="35" t="s">
        <v>535</v>
      </c>
      <c r="C91" s="36">
        <v>17425766</v>
      </c>
      <c r="E91" s="35" t="s">
        <v>570</v>
      </c>
      <c r="F91" s="35" t="s">
        <v>102</v>
      </c>
      <c r="G91" s="35" t="s">
        <v>103</v>
      </c>
      <c r="H91" s="35" t="s">
        <v>461</v>
      </c>
      <c r="I91" s="35" t="s">
        <v>104</v>
      </c>
      <c r="J91" s="35" t="s">
        <v>69</v>
      </c>
      <c r="K91" s="35" t="s">
        <v>105</v>
      </c>
      <c r="L91" s="35" t="s">
        <v>441</v>
      </c>
      <c r="M91" s="35" t="s">
        <v>554</v>
      </c>
      <c r="N91" s="35" t="s">
        <v>82</v>
      </c>
      <c r="O91" s="36" t="s">
        <v>106</v>
      </c>
      <c r="P91" s="35" t="s">
        <v>73</v>
      </c>
      <c r="Q91" s="35" t="s">
        <v>75</v>
      </c>
      <c r="R91" s="37">
        <v>161.88999999999999</v>
      </c>
      <c r="S91" s="37">
        <f>R91*W91</f>
        <v>36.425249999999998</v>
      </c>
      <c r="T91" s="38">
        <v>-127.91</v>
      </c>
      <c r="U91" s="35" t="s">
        <v>61</v>
      </c>
      <c r="V91" s="35" t="s">
        <v>107</v>
      </c>
      <c r="W91" s="39">
        <v>0.22500000000000001</v>
      </c>
      <c r="X91" s="38">
        <v>-28.78</v>
      </c>
      <c r="Y91" s="38">
        <v>0</v>
      </c>
      <c r="Z91" s="35" t="s">
        <v>599</v>
      </c>
    </row>
    <row r="92" spans="1:26" s="35" customFormat="1">
      <c r="A92" s="35" t="e">
        <v>#N/A</v>
      </c>
      <c r="B92" s="35" t="s">
        <v>533</v>
      </c>
      <c r="C92" s="36">
        <v>8307933</v>
      </c>
      <c r="E92" s="35" t="s">
        <v>570</v>
      </c>
      <c r="F92" s="35" t="s">
        <v>397</v>
      </c>
      <c r="G92" s="35" t="s">
        <v>398</v>
      </c>
      <c r="H92" s="35" t="e">
        <v>#N/A</v>
      </c>
      <c r="I92" s="35" t="s">
        <v>126</v>
      </c>
      <c r="J92" s="35" t="s">
        <v>53</v>
      </c>
      <c r="K92" s="35" t="s">
        <v>399</v>
      </c>
      <c r="L92" s="35" t="e">
        <v>#N/A</v>
      </c>
      <c r="M92" s="35" t="s">
        <v>569</v>
      </c>
      <c r="N92" s="35" t="s">
        <v>400</v>
      </c>
      <c r="O92" s="36" t="s">
        <v>69</v>
      </c>
      <c r="P92" s="35" t="s">
        <v>73</v>
      </c>
      <c r="Q92" s="35" t="s">
        <v>75</v>
      </c>
      <c r="R92" s="37" t="e">
        <v>#N/A</v>
      </c>
      <c r="S92" s="37" t="e">
        <f>R92*W92</f>
        <v>#N/A</v>
      </c>
      <c r="T92" s="38">
        <v>-92.53</v>
      </c>
      <c r="U92" s="35" t="s">
        <v>83</v>
      </c>
      <c r="V92" s="35" t="s">
        <v>401</v>
      </c>
      <c r="W92" s="39">
        <v>0.215</v>
      </c>
      <c r="X92" s="38">
        <v>-19.89</v>
      </c>
      <c r="Y92" s="38">
        <v>0</v>
      </c>
      <c r="Z92" s="35" t="s">
        <v>599</v>
      </c>
    </row>
    <row r="94" spans="1:26" s="35" customFormat="1">
      <c r="A94" s="35" t="e">
        <v>#N/A</v>
      </c>
      <c r="B94" s="35" t="s">
        <v>589</v>
      </c>
      <c r="C94" s="36">
        <v>19491313</v>
      </c>
      <c r="E94" s="35" t="s">
        <v>570</v>
      </c>
      <c r="F94" s="35" t="s">
        <v>384</v>
      </c>
      <c r="G94" s="35" t="s">
        <v>385</v>
      </c>
      <c r="H94" s="35" t="e">
        <v>#N/A</v>
      </c>
      <c r="I94" s="35" t="s">
        <v>68</v>
      </c>
      <c r="J94" s="35" t="s">
        <v>53</v>
      </c>
      <c r="K94" s="35" t="s">
        <v>386</v>
      </c>
      <c r="L94" s="35" t="e">
        <v>#N/A</v>
      </c>
      <c r="M94" s="35" t="s">
        <v>590</v>
      </c>
      <c r="N94" s="35" t="s">
        <v>72</v>
      </c>
      <c r="O94" s="36" t="s">
        <v>387</v>
      </c>
      <c r="P94" s="35" t="s">
        <v>73</v>
      </c>
      <c r="Q94" s="35" t="s">
        <v>75</v>
      </c>
      <c r="R94" s="37" t="e">
        <v>#N/A</v>
      </c>
      <c r="S94" s="37" t="e">
        <f>R94*W94</f>
        <v>#N/A</v>
      </c>
      <c r="T94" s="38">
        <v>-34</v>
      </c>
      <c r="U94" s="35" t="s">
        <v>61</v>
      </c>
      <c r="V94" s="35" t="s">
        <v>388</v>
      </c>
      <c r="W94" s="39">
        <v>0.56000000000000005</v>
      </c>
      <c r="X94" s="38">
        <v>-19.04</v>
      </c>
      <c r="Y94" s="38">
        <v>0</v>
      </c>
      <c r="Z94" s="35" t="s">
        <v>600</v>
      </c>
    </row>
    <row r="96" spans="1:26" s="30" customFormat="1">
      <c r="A96" s="30" t="s">
        <v>421</v>
      </c>
      <c r="B96" s="30" t="s">
        <v>536</v>
      </c>
      <c r="C96" s="31" t="s">
        <v>573</v>
      </c>
      <c r="E96" s="30" t="s">
        <v>570</v>
      </c>
      <c r="F96" s="30" t="s">
        <v>118</v>
      </c>
      <c r="G96" s="30" t="s">
        <v>119</v>
      </c>
      <c r="H96" s="30" t="s">
        <v>464</v>
      </c>
      <c r="I96" s="30" t="s">
        <v>112</v>
      </c>
      <c r="J96" s="30" t="s">
        <v>53</v>
      </c>
      <c r="K96" s="30" t="s">
        <v>120</v>
      </c>
      <c r="L96" s="30" t="s">
        <v>440</v>
      </c>
      <c r="M96" s="30" t="s">
        <v>552</v>
      </c>
      <c r="N96" s="30" t="s">
        <v>121</v>
      </c>
      <c r="O96" s="31" t="s">
        <v>56</v>
      </c>
      <c r="P96" s="30" t="s">
        <v>58</v>
      </c>
      <c r="Q96" s="30" t="s">
        <v>60</v>
      </c>
      <c r="R96" s="32">
        <v>620.46</v>
      </c>
      <c r="S96" s="32">
        <f>R96*W96</f>
        <v>133.3989</v>
      </c>
      <c r="T96" s="33">
        <v>166.14</v>
      </c>
      <c r="U96" s="30" t="s">
        <v>83</v>
      </c>
      <c r="V96" s="30" t="s">
        <v>84</v>
      </c>
      <c r="W96" s="34">
        <v>0.215</v>
      </c>
      <c r="X96" s="33">
        <v>35.72</v>
      </c>
      <c r="Y96" s="33">
        <v>0</v>
      </c>
      <c r="Z96" s="30" t="s">
        <v>591</v>
      </c>
    </row>
    <row r="97" spans="1:26" s="30" customFormat="1">
      <c r="A97" s="30" t="s">
        <v>424</v>
      </c>
      <c r="B97" s="30" t="s">
        <v>539</v>
      </c>
      <c r="C97" s="31">
        <v>1706194</v>
      </c>
      <c r="E97" s="30" t="s">
        <v>570</v>
      </c>
      <c r="F97" s="30" t="s">
        <v>157</v>
      </c>
      <c r="G97" s="30" t="s">
        <v>158</v>
      </c>
      <c r="H97" s="30" t="s">
        <v>471</v>
      </c>
      <c r="I97" s="30" t="s">
        <v>147</v>
      </c>
      <c r="J97" s="30" t="s">
        <v>162</v>
      </c>
      <c r="K97" s="30" t="s">
        <v>137</v>
      </c>
      <c r="L97" s="30" t="s">
        <v>446</v>
      </c>
      <c r="M97" s="30" t="s">
        <v>560</v>
      </c>
      <c r="N97" s="30" t="s">
        <v>159</v>
      </c>
      <c r="O97" s="31" t="s">
        <v>160</v>
      </c>
      <c r="P97" s="30" t="s">
        <v>73</v>
      </c>
      <c r="Q97" s="30" t="s">
        <v>75</v>
      </c>
      <c r="R97" s="32">
        <v>114.37</v>
      </c>
      <c r="S97" s="32">
        <f>R97*W97</f>
        <v>77.199750000000009</v>
      </c>
      <c r="T97" s="33">
        <v>114.37</v>
      </c>
      <c r="U97" s="30" t="s">
        <v>61</v>
      </c>
      <c r="V97" s="30" t="s">
        <v>62</v>
      </c>
      <c r="W97" s="34">
        <v>0.67500000000000004</v>
      </c>
      <c r="X97" s="33">
        <v>0</v>
      </c>
      <c r="Y97" s="33">
        <v>-77.2</v>
      </c>
      <c r="Z97" s="30" t="s">
        <v>591</v>
      </c>
    </row>
    <row r="98" spans="1:26" s="30" customFormat="1">
      <c r="A98" s="30" t="s">
        <v>435</v>
      </c>
      <c r="B98" s="30" t="e">
        <v>#N/A</v>
      </c>
      <c r="C98" s="31" t="e">
        <v>#N/A</v>
      </c>
      <c r="E98" s="30" t="e">
        <v>#N/A</v>
      </c>
      <c r="F98" s="30" t="s">
        <v>352</v>
      </c>
      <c r="G98" s="30" t="s">
        <v>353</v>
      </c>
      <c r="H98" s="30" t="s">
        <v>521</v>
      </c>
      <c r="I98" s="30" t="s">
        <v>172</v>
      </c>
      <c r="J98" s="30" t="s">
        <v>69</v>
      </c>
      <c r="K98" s="30" t="s">
        <v>137</v>
      </c>
      <c r="L98" s="30" t="s">
        <v>446</v>
      </c>
      <c r="M98" s="30" t="e">
        <v>#N/A</v>
      </c>
      <c r="N98" s="30" t="s">
        <v>69</v>
      </c>
      <c r="O98" s="31" t="s">
        <v>270</v>
      </c>
      <c r="P98" s="30" t="s">
        <v>73</v>
      </c>
      <c r="Q98" s="30" t="s">
        <v>75</v>
      </c>
      <c r="R98" s="32">
        <v>73.52</v>
      </c>
      <c r="S98" s="32">
        <f>R98*W98</f>
        <v>99.251999999999995</v>
      </c>
      <c r="T98" s="33">
        <v>661.68</v>
      </c>
      <c r="U98" s="30" t="s">
        <v>61</v>
      </c>
      <c r="V98" s="30" t="s">
        <v>76</v>
      </c>
      <c r="W98" s="34">
        <v>1.35</v>
      </c>
      <c r="X98" s="33">
        <v>893.27</v>
      </c>
      <c r="Y98" s="33">
        <v>893.27</v>
      </c>
      <c r="Z98" s="30" t="s">
        <v>591</v>
      </c>
    </row>
    <row r="99" spans="1:26" s="30" customFormat="1">
      <c r="A99" s="30" t="s">
        <v>420</v>
      </c>
      <c r="B99" s="30" t="s">
        <v>535</v>
      </c>
      <c r="C99" s="31">
        <v>17425766</v>
      </c>
      <c r="E99" s="30" t="s">
        <v>570</v>
      </c>
      <c r="F99" s="30" t="s">
        <v>102</v>
      </c>
      <c r="G99" s="30" t="s">
        <v>103</v>
      </c>
      <c r="H99" s="30" t="s">
        <v>461</v>
      </c>
      <c r="I99" s="30" t="s">
        <v>104</v>
      </c>
      <c r="J99" s="30" t="s">
        <v>69</v>
      </c>
      <c r="K99" s="30" t="s">
        <v>105</v>
      </c>
      <c r="L99" s="30" t="s">
        <v>441</v>
      </c>
      <c r="M99" s="30" t="s">
        <v>554</v>
      </c>
      <c r="N99" s="30" t="s">
        <v>82</v>
      </c>
      <c r="O99" s="31" t="s">
        <v>106</v>
      </c>
      <c r="P99" s="30" t="s">
        <v>73</v>
      </c>
      <c r="Q99" s="30" t="s">
        <v>75</v>
      </c>
      <c r="R99" s="32">
        <v>161.88999999999999</v>
      </c>
      <c r="S99" s="32">
        <f>R99*W99</f>
        <v>36.425249999999998</v>
      </c>
      <c r="T99" s="33">
        <v>127.91</v>
      </c>
      <c r="U99" s="30" t="s">
        <v>83</v>
      </c>
      <c r="V99" s="30" t="s">
        <v>84</v>
      </c>
      <c r="W99" s="34">
        <v>0.22500000000000001</v>
      </c>
      <c r="X99" s="33">
        <v>28.78</v>
      </c>
      <c r="Y99" s="33">
        <v>0</v>
      </c>
      <c r="Z99" s="30" t="s">
        <v>591</v>
      </c>
    </row>
  </sheetData>
  <sortState xmlns:xlrd2="http://schemas.microsoft.com/office/spreadsheetml/2017/richdata2" ref="A2:Z89">
    <sortCondition ref="M2:M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Loula Irene Cabel</cp:lastModifiedBy>
  <dcterms:created xsi:type="dcterms:W3CDTF">2026-07-31T11:54:59Z</dcterms:created>
  <dcterms:modified xsi:type="dcterms:W3CDTF">2026-08-04T20:16:54Z</dcterms:modified>
</cp:coreProperties>
</file>