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2026-04-16\"/>
    </mc:Choice>
  </mc:AlternateContent>
  <xr:revisionPtr revIDLastSave="0" documentId="13_ncr:1_{D3A1C995-5232-45F3-950B-6AB0D72FCA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ETAILS" sheetId="2" r:id="rId2"/>
    <sheet name="Sheet1" sheetId="3" r:id="rId3"/>
  </sheets>
  <definedNames>
    <definedName name="_xlnm._FilterDatabase" localSheetId="1" hidden="1">DETAILS!$A$1:$X$59</definedName>
    <definedName name="_xlnm._FilterDatabase" localSheetId="2" hidden="1">Sheet1!$A$1:$X$51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L2" i="3"/>
  <c r="L3" i="3"/>
  <c r="L6" i="3"/>
  <c r="L7" i="3"/>
  <c r="L9" i="3"/>
  <c r="L8" i="3"/>
  <c r="L10" i="3"/>
  <c r="L11" i="3"/>
  <c r="L15" i="3"/>
  <c r="L12" i="3"/>
  <c r="L14" i="3"/>
  <c r="L13" i="3"/>
  <c r="L16" i="3"/>
  <c r="L17" i="3"/>
  <c r="L18" i="3"/>
  <c r="L61" i="3"/>
  <c r="L22" i="3"/>
  <c r="L24" i="3"/>
  <c r="L20" i="3"/>
  <c r="L21" i="3"/>
  <c r="L26" i="3"/>
  <c r="L23" i="3"/>
  <c r="L19" i="3"/>
  <c r="L25" i="3"/>
  <c r="L27" i="3"/>
  <c r="L28" i="3"/>
  <c r="L29" i="3"/>
  <c r="L30" i="3"/>
  <c r="L31" i="3"/>
  <c r="L32" i="3"/>
  <c r="L33" i="3"/>
  <c r="L62" i="3"/>
  <c r="L35" i="3"/>
  <c r="L34" i="3"/>
  <c r="L37" i="3"/>
  <c r="L38" i="3"/>
  <c r="L36" i="3"/>
  <c r="L39" i="3"/>
  <c r="L40" i="3"/>
  <c r="L41" i="3"/>
  <c r="L44" i="3"/>
  <c r="L47" i="3"/>
  <c r="L43" i="3"/>
  <c r="L63" i="3"/>
  <c r="L42" i="3"/>
  <c r="L45" i="3"/>
  <c r="L46" i="3"/>
  <c r="L49" i="3"/>
  <c r="L48" i="3"/>
  <c r="L51" i="3"/>
  <c r="L50" i="3"/>
  <c r="L4" i="3"/>
  <c r="R13" i="3"/>
  <c r="R35" i="3"/>
  <c r="R51" i="3"/>
  <c r="R44" i="3"/>
  <c r="R42" i="3"/>
  <c r="R29" i="3"/>
  <c r="R32" i="3"/>
  <c r="R15" i="3"/>
  <c r="R12" i="3"/>
  <c r="R23" i="3"/>
  <c r="R55" i="3"/>
  <c r="R9" i="3"/>
  <c r="R8" i="3"/>
  <c r="R19" i="3"/>
  <c r="R11" i="3"/>
  <c r="R2" i="3"/>
  <c r="R3" i="3"/>
  <c r="R61" i="3"/>
  <c r="R22" i="3"/>
  <c r="R56" i="3"/>
  <c r="R57" i="3"/>
  <c r="R24" i="3"/>
  <c r="R47" i="3"/>
  <c r="R34" i="3"/>
  <c r="R17" i="3"/>
  <c r="R18" i="3"/>
  <c r="R10" i="3"/>
  <c r="R27" i="3"/>
  <c r="R7" i="3"/>
  <c r="R28" i="3"/>
  <c r="R26" i="3"/>
  <c r="R16" i="3"/>
  <c r="R49" i="3"/>
  <c r="R20" i="3"/>
  <c r="R30" i="3"/>
  <c r="R33" i="3"/>
  <c r="R62" i="3"/>
  <c r="R50" i="3"/>
  <c r="R21" i="3"/>
  <c r="R58" i="3"/>
  <c r="R59" i="3"/>
  <c r="R4" i="3"/>
  <c r="R5" i="3"/>
  <c r="R45" i="3"/>
  <c r="R6" i="3"/>
  <c r="R46" i="3"/>
  <c r="R48" i="3"/>
  <c r="R40" i="3"/>
  <c r="R39" i="3"/>
  <c r="R41" i="3"/>
  <c r="R38" i="3"/>
  <c r="R43" i="3"/>
  <c r="R63" i="3"/>
  <c r="R36" i="3"/>
  <c r="R25" i="3"/>
  <c r="R31" i="3"/>
  <c r="R37" i="3"/>
  <c r="R14" i="3"/>
</calcChain>
</file>

<file path=xl/sharedStrings.xml><?xml version="1.0" encoding="utf-8"?>
<sst xmlns="http://schemas.openxmlformats.org/spreadsheetml/2006/main" count="1837" uniqueCount="338">
  <si>
    <t>MUTUAL OF OMAHA</t>
  </si>
  <si>
    <t>SUMMARY COMPENSATION STATEMENT</t>
  </si>
  <si>
    <t>For Period Ending 04/14/2026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</si>
  <si>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</si>
  <si>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</si>
  <si>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</si>
  <si>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</si>
  <si>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</si>
  <si>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</si>
  <si>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</si>
  <si>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</si>
  <si>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</si>
  <si>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</si>
  <si>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</si>
  <si>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</si>
  <si>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</si>
  <si>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</si>
  <si>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</si>
  <si>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</si>
  <si>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</si>
  <si>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</si>
  <si>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</si>
  <si>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</si>
  <si>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</si>
  <si>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</si>
  <si>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</si>
  <si>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</si>
  <si>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</si>
  <si>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</si>
  <si>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</si>
  <si>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</si>
  <si>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</si>
  <si>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</si>
  <si>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</si>
  <si>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</si>
  <si>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</si>
  <si>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</si>
  <si>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</si>
  <si>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</si>
  <si>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</si>
  <si>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</si>
  <si>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</si>
  <si>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</si>
  <si>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</si>
  <si>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</si>
  <si>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</si>
  <si>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</si>
  <si>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</si>
  <si>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850902-97</t>
  </si>
  <si>
    <t>BERKLEY DONALD</t>
  </si>
  <si>
    <t>IL</t>
  </si>
  <si>
    <t>04/14/2026</t>
  </si>
  <si>
    <t>NM24HL</t>
  </si>
  <si>
    <t>11/01/2025</t>
  </si>
  <si>
    <t>05/01/2026</t>
  </si>
  <si>
    <t/>
  </si>
  <si>
    <t>M</t>
  </si>
  <si>
    <t>BSP</t>
  </si>
  <si>
    <t>F</t>
  </si>
  <si>
    <t>BFY PAYMENT</t>
  </si>
  <si>
    <t>529760-41</t>
  </si>
  <si>
    <t>BARKER ANNA</t>
  </si>
  <si>
    <t>04/08/2026</t>
  </si>
  <si>
    <t>05/08/2026</t>
  </si>
  <si>
    <t>AFF REPLACE</t>
  </si>
  <si>
    <t>GURU INSURANCE MARKETING, LLC</t>
  </si>
  <si>
    <t>752514-97</t>
  </si>
  <si>
    <t>MEGARO ROBERT</t>
  </si>
  <si>
    <t>04/10/2026</t>
  </si>
  <si>
    <t>06/10/2025</t>
  </si>
  <si>
    <t>05/10/2026</t>
  </si>
  <si>
    <t>UNITED WORLD</t>
  </si>
  <si>
    <t>851525-96</t>
  </si>
  <si>
    <t>PARSON KIRK</t>
  </si>
  <si>
    <t>OR</t>
  </si>
  <si>
    <t>WM25HL</t>
  </si>
  <si>
    <t>02/01/2024</t>
  </si>
  <si>
    <t>06/01/2026</t>
  </si>
  <si>
    <t>R</t>
  </si>
  <si>
    <t>RENEWAL PYMT</t>
  </si>
  <si>
    <t>UNITED</t>
  </si>
  <si>
    <t>821212-96</t>
  </si>
  <si>
    <t>DIMIDIO REGINA</t>
  </si>
  <si>
    <t>PA</t>
  </si>
  <si>
    <t>UM24HLV</t>
  </si>
  <si>
    <t>01/01/2024</t>
  </si>
  <si>
    <t>821308-96</t>
  </si>
  <si>
    <t>DIMIDIO LEONARD</t>
  </si>
  <si>
    <t>BU6495990</t>
  </si>
  <si>
    <t>ROESCH ZAK</t>
  </si>
  <si>
    <t>JVWL 1</t>
  </si>
  <si>
    <t>03/18/2026</t>
  </si>
  <si>
    <t>05/18/2026</t>
  </si>
  <si>
    <t>BU6550719</t>
  </si>
  <si>
    <t>BUSH VIVIANA</t>
  </si>
  <si>
    <t>FL</t>
  </si>
  <si>
    <t>04/13/2026</t>
  </si>
  <si>
    <t>TE15 1</t>
  </si>
  <si>
    <t>NEW COV ISS</t>
  </si>
  <si>
    <t>BU6562984</t>
  </si>
  <si>
    <t>CHRIST TANNER</t>
  </si>
  <si>
    <t>AZ</t>
  </si>
  <si>
    <t>IXEXP1</t>
  </si>
  <si>
    <t>04/25/2026</t>
  </si>
  <si>
    <t>CONV NEW BUS</t>
  </si>
  <si>
    <t>BU5428088</t>
  </si>
  <si>
    <t>GHADIALY NOORJEHAN</t>
  </si>
  <si>
    <t>FEPL 1</t>
  </si>
  <si>
    <t>07/14/2025</t>
  </si>
  <si>
    <t>05/14/2026</t>
  </si>
  <si>
    <t>BU6559850</t>
  </si>
  <si>
    <t>ZAGD MUNKHJARGAL</t>
  </si>
  <si>
    <t>BU6217774</t>
  </si>
  <si>
    <t>BUSBY CONSTANCE</t>
  </si>
  <si>
    <t>AL</t>
  </si>
  <si>
    <t>12/13/2025</t>
  </si>
  <si>
    <t>05/13/2026</t>
  </si>
  <si>
    <t>BU6436093</t>
  </si>
  <si>
    <t>EMMERT CATHERINE</t>
  </si>
  <si>
    <t>WY</t>
  </si>
  <si>
    <t>03/11/2026</t>
  </si>
  <si>
    <t>05/11/2026</t>
  </si>
  <si>
    <t>BU5350886</t>
  </si>
  <si>
    <t>DATTOLI STEPHANIE</t>
  </si>
  <si>
    <t>MD</t>
  </si>
  <si>
    <t>06/09/2025</t>
  </si>
  <si>
    <t>05/09/2026</t>
  </si>
  <si>
    <t>BU6543426</t>
  </si>
  <si>
    <t>SUNU CATHERINE</t>
  </si>
  <si>
    <t>TX</t>
  </si>
  <si>
    <t>BU5336528</t>
  </si>
  <si>
    <t>MIGLIO SALVATORE</t>
  </si>
  <si>
    <t>MI</t>
  </si>
  <si>
    <t>04/09/2026</t>
  </si>
  <si>
    <t>06/28/2025</t>
  </si>
  <si>
    <t>04/28/2026</t>
  </si>
  <si>
    <t>BFY REVERSAL</t>
  </si>
  <si>
    <t>BU5428116</t>
  </si>
  <si>
    <t>KHAN MUHAMMAD</t>
  </si>
  <si>
    <t>BU5592709</t>
  </si>
  <si>
    <t>RODRICKS KEVIN</t>
  </si>
  <si>
    <t>09/11/2025</t>
  </si>
  <si>
    <t>BU5501966</t>
  </si>
  <si>
    <t>FISHER KATHLEEN</t>
  </si>
  <si>
    <t>09/09/2025</t>
  </si>
  <si>
    <t>BU5595351</t>
  </si>
  <si>
    <t>THOMAS KATHLEEN</t>
  </si>
  <si>
    <t>09/12/2025</t>
  </si>
  <si>
    <t>05/12/2026</t>
  </si>
  <si>
    <t>BU5323945</t>
  </si>
  <si>
    <t>MATTHEWS WILLIAM</t>
  </si>
  <si>
    <t>NC</t>
  </si>
  <si>
    <t>06/01/2025</t>
  </si>
  <si>
    <t>BU5610346</t>
  </si>
  <si>
    <t>YOKOKAWA MASAHIRO</t>
  </si>
  <si>
    <t>10/15/2025</t>
  </si>
  <si>
    <t>04/15/2026</t>
  </si>
  <si>
    <t>BU6397071</t>
  </si>
  <si>
    <t>SHEHADE ALAA</t>
  </si>
  <si>
    <t>20GPT1</t>
  </si>
  <si>
    <t>03/17/2026</t>
  </si>
  <si>
    <t>05/17/2026</t>
  </si>
  <si>
    <t>BU5650906</t>
  </si>
  <si>
    <t>MOORE GARY</t>
  </si>
  <si>
    <t>KS</t>
  </si>
  <si>
    <t>10/10/2025</t>
  </si>
  <si>
    <t>BU6524472</t>
  </si>
  <si>
    <t>DAVIS PREDEST</t>
  </si>
  <si>
    <t>BU6389935</t>
  </si>
  <si>
    <t>ALCIDE RONAL</t>
  </si>
  <si>
    <t>03/06/2026</t>
  </si>
  <si>
    <t>04/06/2026</t>
  </si>
  <si>
    <t>NEW ISS PYMT</t>
  </si>
  <si>
    <t>BU5619694</t>
  </si>
  <si>
    <t>STEPHENS CAROL</t>
  </si>
  <si>
    <t>10/08/2025</t>
  </si>
  <si>
    <t>BU6472409</t>
  </si>
  <si>
    <t>MEETZE RHONDA</t>
  </si>
  <si>
    <t>SC</t>
  </si>
  <si>
    <t>BU6472411</t>
  </si>
  <si>
    <t>SERRANO WILLIAM</t>
  </si>
  <si>
    <t>04/04/2026</t>
  </si>
  <si>
    <t>05/04/2026</t>
  </si>
  <si>
    <t>BU6532936</t>
  </si>
  <si>
    <t>MCANDREW KEVIN</t>
  </si>
  <si>
    <t>OH</t>
  </si>
  <si>
    <t>FEPG 1</t>
  </si>
  <si>
    <t>04/03/2026</t>
  </si>
  <si>
    <t>05/03/2026</t>
  </si>
  <si>
    <t>BU6533068</t>
  </si>
  <si>
    <t>MCANDREW JAN</t>
  </si>
  <si>
    <t>BU6542970</t>
  </si>
  <si>
    <t>HERNANDEZ PILAR</t>
  </si>
  <si>
    <t>WI</t>
  </si>
  <si>
    <t>05/06/2026</t>
  </si>
  <si>
    <t>BU5485340</t>
  </si>
  <si>
    <t>RAMIREZ STEWART</t>
  </si>
  <si>
    <t>11/20/2025</t>
  </si>
  <si>
    <t>05/20/2026</t>
  </si>
  <si>
    <t>BU5338311</t>
  </si>
  <si>
    <t>WILL ROBERT</t>
  </si>
  <si>
    <t>08/11/2025</t>
  </si>
  <si>
    <t>BU6482285</t>
  </si>
  <si>
    <t>MORRISON BRADLEY</t>
  </si>
  <si>
    <t>03/12/2026</t>
  </si>
  <si>
    <t>BU6506211</t>
  </si>
  <si>
    <t>SCHULTZ PAUL</t>
  </si>
  <si>
    <t>04/01/2026</t>
  </si>
  <si>
    <t>BU6546450</t>
  </si>
  <si>
    <t>HARSHMAN DAVID</t>
  </si>
  <si>
    <t>BU6371178</t>
  </si>
  <si>
    <t>BUDJAV BATBILEG</t>
  </si>
  <si>
    <t>02/01/2026</t>
  </si>
  <si>
    <t>BU6438280</t>
  </si>
  <si>
    <t>WILSON FOWLER KAREN</t>
  </si>
  <si>
    <t>03/01/2026</t>
  </si>
  <si>
    <t>NEW ISS REV</t>
  </si>
  <si>
    <t>BU6553757</t>
  </si>
  <si>
    <t>SUDTELGTE STEVEN</t>
  </si>
  <si>
    <t>IA</t>
  </si>
  <si>
    <t>MUTUAL</t>
  </si>
  <si>
    <t>390478-41</t>
  </si>
  <si>
    <t>NOGER ERIC</t>
  </si>
  <si>
    <t>MM20HL</t>
  </si>
  <si>
    <t>01/01/2026</t>
  </si>
  <si>
    <t>768154-97</t>
  </si>
  <si>
    <t>WALLS DELOISE</t>
  </si>
  <si>
    <t>DNT5IL</t>
  </si>
  <si>
    <t>06/24/2025</t>
  </si>
  <si>
    <t>04/24/2026</t>
  </si>
  <si>
    <t>PREM ADJ DEC</t>
  </si>
  <si>
    <t>529532-41</t>
  </si>
  <si>
    <t>JONES TINA</t>
  </si>
  <si>
    <t>HI25DL</t>
  </si>
  <si>
    <t>529619-41</t>
  </si>
  <si>
    <t>COONS JOHN</t>
  </si>
  <si>
    <t>CP1UI</t>
  </si>
  <si>
    <t>413598-41</t>
  </si>
  <si>
    <t>TORRES JUAN</t>
  </si>
  <si>
    <t>DNT2IL</t>
  </si>
  <si>
    <t>12/14/2025</t>
  </si>
  <si>
    <t>533519-41</t>
  </si>
  <si>
    <t>DAGENS HENRY</t>
  </si>
  <si>
    <t>322331-41</t>
  </si>
  <si>
    <t>MERRICK DAVID</t>
  </si>
  <si>
    <t>353822-41</t>
  </si>
  <si>
    <t>KOSIAK CARRIE</t>
  </si>
  <si>
    <t>12/05/2025</t>
  </si>
  <si>
    <t>06/05/2026</t>
  </si>
  <si>
    <t>REG</t>
  </si>
  <si>
    <t>871900-96</t>
  </si>
  <si>
    <t>BIEBERICH DAVID</t>
  </si>
  <si>
    <t>MM25HL</t>
  </si>
  <si>
    <t>03/01/2024</t>
  </si>
  <si>
    <t>961571-96</t>
  </si>
  <si>
    <t>BIEBERICH JANE</t>
  </si>
  <si>
    <t>06/01/2024</t>
  </si>
  <si>
    <t>564587-97</t>
  </si>
  <si>
    <t>SEPSEY DAVID</t>
  </si>
  <si>
    <t>01/01/2025</t>
  </si>
  <si>
    <t>637501-97</t>
  </si>
  <si>
    <t>ALPIZAR DANIELA</t>
  </si>
  <si>
    <t>03/07/2025</t>
  </si>
  <si>
    <t>05/07/2026</t>
  </si>
  <si>
    <t>Agent</t>
  </si>
  <si>
    <t>Gregory Teipel</t>
  </si>
  <si>
    <t>Matthew Sherman</t>
  </si>
  <si>
    <t>Carol Foley</t>
  </si>
  <si>
    <t>Anne Marie Kozacheck</t>
  </si>
  <si>
    <t>Andrea Petrungaro</t>
  </si>
  <si>
    <t>Ryan Caltagirone</t>
  </si>
  <si>
    <t>Gary Portugal</t>
  </si>
  <si>
    <t>Nasandelger Zana</t>
  </si>
  <si>
    <t>Ronald Max</t>
  </si>
  <si>
    <t>Andrew Choi</t>
  </si>
  <si>
    <t>Jason Roller</t>
  </si>
  <si>
    <t>Victor Fuentes</t>
  </si>
  <si>
    <t>Taliah Ferguson</t>
  </si>
  <si>
    <t>Ronal Alcide</t>
  </si>
  <si>
    <t>Deborah Inskipt</t>
  </si>
  <si>
    <t>Adam Richter</t>
  </si>
  <si>
    <t>Ryan Shepard</t>
  </si>
  <si>
    <t>Stacey Portugal</t>
  </si>
  <si>
    <t>Brian Strohman</t>
  </si>
  <si>
    <t>Steven Brandt</t>
  </si>
  <si>
    <t>Christian Taugner</t>
  </si>
  <si>
    <t>Richard Yale</t>
  </si>
  <si>
    <t>Dale Walenga</t>
  </si>
  <si>
    <t>Medicare Supplement Plan G</t>
  </si>
  <si>
    <t>Children S - Whole Life</t>
  </si>
  <si>
    <t>Tle 20-20yr Guar</t>
  </si>
  <si>
    <t>Iul Express</t>
  </si>
  <si>
    <t>Living Promise - Level Benefit</t>
  </si>
  <si>
    <t>Term Life Express 10 15 20 30</t>
  </si>
  <si>
    <t>Term Life Answer 10 15 20 30</t>
  </si>
  <si>
    <t>Living Promise-graded</t>
  </si>
  <si>
    <t>Medicare Supplement Plan A</t>
  </si>
  <si>
    <t>Protection Plan (c) Dnt5i</t>
  </si>
  <si>
    <t>Hospital Indemnity</t>
  </si>
  <si>
    <t>Lump Sum (ca/spec Disease Indemnity)</t>
  </si>
  <si>
    <t>Preferred Plan (a) Dnt2i</t>
  </si>
  <si>
    <t>BOB Prem</t>
  </si>
  <si>
    <t>Med Supp IL/DE/TX/IN Ages 65-83</t>
  </si>
  <si>
    <t>Med Supp MD/NJ/TN/VA/WY Ages 65-83</t>
  </si>
  <si>
    <t>All Plans Expt Plans High Deductible F, High Deductible G, and Plan N</t>
  </si>
  <si>
    <t>OH All Plans Except F, G, and N NB, Internal &amp; External Replacements. Renewal</t>
  </si>
  <si>
    <t>FEX Level Ages 45-80</t>
  </si>
  <si>
    <t>Universal Life</t>
  </si>
  <si>
    <t>Term Life Express</t>
  </si>
  <si>
    <t>ACCUM UL TP</t>
  </si>
  <si>
    <t>2024 Term Life Express: IXEXP1 Term Life Conversion to IUL in years 6+ of term issue date</t>
  </si>
  <si>
    <t>IUL express</t>
  </si>
  <si>
    <t>Term Life Answers- 20 &amp; 30 year terms</t>
  </si>
  <si>
    <t>2024 Final Expense: Level Product Commission Ages 45-80</t>
  </si>
  <si>
    <t>Living Promise Graded</t>
  </si>
  <si>
    <t>IULE TP</t>
  </si>
  <si>
    <t>MD Plan A NB, Internal &amp; External Replace (Open Enrollment, Underwritten) Ages 65-80</t>
  </si>
  <si>
    <t>National Dental</t>
  </si>
  <si>
    <t>17425766OLD</t>
  </si>
  <si>
    <t>19278370old</t>
  </si>
  <si>
    <t>21561165AV9</t>
  </si>
  <si>
    <t>17528908N</t>
  </si>
  <si>
    <t>20220688AV9</t>
  </si>
  <si>
    <t>APL Product</t>
  </si>
  <si>
    <t>BOB Product</t>
  </si>
  <si>
    <t>Comm</t>
  </si>
  <si>
    <t>Processed</t>
  </si>
  <si>
    <t>Duplicate</t>
  </si>
  <si>
    <t>Hospital Indemnity CO, DC, FL, IN, KY, MI, ND, OH, SC, TN, UT, VA</t>
  </si>
  <si>
    <t>CHAS CI, MD, MA, NJ, NY, SD WA</t>
  </si>
  <si>
    <t>IL replacement Medicare Supplement Plan G</t>
  </si>
  <si>
    <t>8812322AV9</t>
  </si>
  <si>
    <t>16633294AV9</t>
  </si>
  <si>
    <t>NB</t>
  </si>
  <si>
    <t>AV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</si>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</sst>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4" fontId="1" fillId="3" borderId="0" xfId="0" applyNumberFormat="1" applyFont="1" applyFill="1"/>
    <xf numFmtId="165" fontId="1" fillId="3" borderId="0" xfId="0" applyNumberFormat="1" applyFont="1" applyFill="1"/>
    <xf numFmtId="0" fontId="2" fillId="0" borderId="0" xfId="0" applyFont="1" applyAlignment="1">
      <alignment horizontal="left" vertical="center"/>
    </xf>
    <xf numFmtId="2" fontId="1" fillId="0" borderId="0" xfId="0" applyNumberFormat="1" applyFont="1"/>
    <xf numFmtId="2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2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1" fillId="2" borderId="0" xfId="0" applyFont="1" applyFill="1" applyAlignment="1">
      <alignment horizontal="left"/>
    </xf>
    <xf numFmtId="2" fontId="1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4" fontId="1" fillId="5" borderId="0" xfId="0" applyNumberFormat="1" applyFont="1" applyFill="1" applyAlignment="1">
      <alignment horizontal="left"/>
    </xf>
    <xf numFmtId="10" fontId="1" fillId="5" borderId="0" xfId="0" applyNumberFormat="1" applyFont="1" applyFill="1" applyAlignment="1">
      <alignment horizontal="left"/>
    </xf>
    <xf numFmtId="165" fontId="1" fillId="5" borderId="0" xfId="0" applyNumberFormat="1" applyFont="1" applyFill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4" fillId="6" borderId="0" xfId="0" applyFont="1" applyFill="1"/>
    <xf numFmtId="0" fontId="4" fillId="6" borderId="0" xfId="0" applyFont="1" applyFill="1" applyAlignment="1">
      <alignment horizontal="left"/>
    </xf>
    <xf numFmtId="4" fontId="4" fillId="6" borderId="0" xfId="0" applyNumberFormat="1" applyFont="1" applyFill="1" applyAlignment="1">
      <alignment horizontal="left"/>
    </xf>
    <xf numFmtId="10" fontId="4" fillId="6" borderId="0" xfId="0" applyNumberFormat="1" applyFont="1" applyFill="1" applyAlignment="1">
      <alignment horizontal="left"/>
    </xf>
    <xf numFmtId="165" fontId="4" fillId="6" borderId="0" xfId="0" applyNumberFormat="1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4" fontId="1" fillId="6" borderId="0" xfId="0" applyNumberFormat="1" applyFont="1" applyFill="1" applyAlignment="1">
      <alignment horizontal="left"/>
    </xf>
    <xf numFmtId="10" fontId="1" fillId="6" borderId="0" xfId="0" applyNumberFormat="1" applyFont="1" applyFill="1" applyAlignment="1">
      <alignment horizontal="left"/>
    </xf>
    <xf numFmtId="165" fontId="1" fillId="6" borderId="0" xfId="0" applyNumberFormat="1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4" fontId="1" fillId="7" borderId="0" xfId="0" applyNumberFormat="1" applyFont="1" applyFill="1" applyAlignment="1">
      <alignment horizontal="left"/>
    </xf>
    <xf numFmtId="10" fontId="1" fillId="7" borderId="0" xfId="0" applyNumberFormat="1" applyFont="1" applyFill="1" applyAlignment="1">
      <alignment horizontal="left"/>
    </xf>
    <xf numFmtId="165" fontId="1" fillId="7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7"/>
  <sheetViews>
    <sheetView showGridLines="0" topLeftCell="A22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47" t="s">
        <v>0</v>
      </c>
      <c r="B2" s="48"/>
      <c r="C2" s="48"/>
    </row>
    <row r="3" spans="1:3" x14ac:dyDescent="0.2">
      <c r="A3" s="47" t="s">
        <v>1</v>
      </c>
      <c r="B3" s="48"/>
      <c r="C3" s="48"/>
    </row>
    <row r="4" spans="1:3" x14ac:dyDescent="0.2">
      <c r="A4" s="47" t="s">
        <v>2</v>
      </c>
      <c r="B4" s="48"/>
      <c r="C4" s="48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45" t="s">
        <v>5</v>
      </c>
      <c r="C12" s="46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172.83</v>
      </c>
      <c r="C19" s="7"/>
    </row>
    <row r="20" spans="1:3" x14ac:dyDescent="0.2">
      <c r="A20" s="2" t="s">
        <v>13</v>
      </c>
      <c r="B20" s="7">
        <v>67.489999999999995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7309.57</v>
      </c>
      <c r="C24" s="7"/>
    </row>
    <row r="25" spans="1:3" x14ac:dyDescent="0.2">
      <c r="A25" s="2" t="s">
        <v>13</v>
      </c>
      <c r="B25" s="7">
        <v>79.05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13</v>
      </c>
      <c r="B29" s="7">
        <v>29.19</v>
      </c>
      <c r="C29" s="7"/>
    </row>
    <row r="30" spans="1:3" x14ac:dyDescent="0.2">
      <c r="A30" s="2"/>
      <c r="B30" s="7"/>
      <c r="C30" s="7"/>
    </row>
    <row r="31" spans="1:3" x14ac:dyDescent="0.2">
      <c r="A31" s="2" t="s">
        <v>16</v>
      </c>
      <c r="B31" s="7"/>
      <c r="C31" s="7"/>
    </row>
    <row r="32" spans="1:3" x14ac:dyDescent="0.2">
      <c r="A32" s="2" t="s">
        <v>11</v>
      </c>
      <c r="B32" s="7"/>
      <c r="C32" s="7"/>
    </row>
    <row r="33" spans="1:3" x14ac:dyDescent="0.2">
      <c r="A33" s="2" t="s">
        <v>12</v>
      </c>
      <c r="B33" s="7">
        <v>125.98</v>
      </c>
      <c r="C33" s="7"/>
    </row>
    <row r="34" spans="1:3" x14ac:dyDescent="0.2">
      <c r="A34" s="2"/>
      <c r="B34" s="7"/>
      <c r="C34" s="7"/>
    </row>
    <row r="35" spans="1:3" x14ac:dyDescent="0.2">
      <c r="A35" s="2" t="s">
        <v>17</v>
      </c>
      <c r="B35" s="7"/>
      <c r="C35" s="7">
        <v>7784.11</v>
      </c>
    </row>
    <row r="36" spans="1:3" x14ac:dyDescent="0.2">
      <c r="A36" s="2"/>
      <c r="B36" s="7"/>
      <c r="C36" s="7"/>
    </row>
    <row r="37" spans="1:3" x14ac:dyDescent="0.2">
      <c r="A37" s="2" t="s">
        <v>18</v>
      </c>
      <c r="B37" s="7"/>
      <c r="C37" s="7"/>
    </row>
    <row r="38" spans="1:3" x14ac:dyDescent="0.2">
      <c r="A38" s="2"/>
      <c r="B38" s="7"/>
      <c r="C38" s="7"/>
    </row>
    <row r="39" spans="1:3" x14ac:dyDescent="0.2">
      <c r="A39" s="2" t="s">
        <v>10</v>
      </c>
      <c r="B39" s="7">
        <v>-240.32</v>
      </c>
      <c r="C39" s="7"/>
    </row>
    <row r="40" spans="1:3" x14ac:dyDescent="0.2">
      <c r="A40" s="2" t="s">
        <v>14</v>
      </c>
      <c r="B40" s="7">
        <v>-7388.62</v>
      </c>
      <c r="C40" s="7"/>
    </row>
    <row r="41" spans="1:3" x14ac:dyDescent="0.2">
      <c r="A41" s="2" t="s">
        <v>15</v>
      </c>
      <c r="B41" s="7">
        <v>-29.19</v>
      </c>
      <c r="C41" s="7"/>
    </row>
    <row r="42" spans="1:3" x14ac:dyDescent="0.2">
      <c r="A42" s="2" t="s">
        <v>16</v>
      </c>
      <c r="B42" s="7">
        <v>-125.98</v>
      </c>
      <c r="C42" s="7"/>
    </row>
    <row r="43" spans="1:3" x14ac:dyDescent="0.2">
      <c r="A43" s="2"/>
      <c r="B43" s="7"/>
      <c r="C43" s="7"/>
    </row>
    <row r="44" spans="1:3" x14ac:dyDescent="0.2">
      <c r="A44" s="2" t="s">
        <v>19</v>
      </c>
      <c r="B44" s="7"/>
      <c r="C44" s="7">
        <v>-7784.11</v>
      </c>
    </row>
    <row r="45" spans="1:3" x14ac:dyDescent="0.2">
      <c r="A45" s="2" t="s">
        <v>20</v>
      </c>
      <c r="B45" s="7"/>
      <c r="C45" s="7">
        <v>0</v>
      </c>
    </row>
    <row r="46" spans="1:3" x14ac:dyDescent="0.2">
      <c r="A46" s="2"/>
      <c r="B46" s="7"/>
      <c r="C46" s="7"/>
    </row>
    <row r="47" spans="1:3" x14ac:dyDescent="0.2">
      <c r="A47" s="4"/>
      <c r="B47" s="8"/>
      <c r="C47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9"/>
  <sheetViews>
    <sheetView tabSelected="1" topLeftCell="E1" workbookViewId="0">
      <pane ySplit="1" topLeftCell="A15" activePane="bottomLeft" state="frozen"/>
      <selection pane="bottomLeft" activeCell="P28" sqref="P28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37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</row>
    <row r="2" spans="1:24" x14ac:dyDescent="0.2">
      <c r="A2" s="1" t="s">
        <v>45</v>
      </c>
      <c r="B2" s="1" t="s">
        <v>46</v>
      </c>
      <c r="C2" s="1" t="s">
        <v>47</v>
      </c>
      <c r="D2" s="10">
        <v>684147</v>
      </c>
      <c r="E2" s="10" t="s">
        <v>60</v>
      </c>
      <c r="F2" s="10" t="s">
        <v>61</v>
      </c>
      <c r="G2" s="10" t="s">
        <v>50</v>
      </c>
      <c r="H2" s="10" t="s">
        <v>62</v>
      </c>
      <c r="I2" s="10" t="s">
        <v>52</v>
      </c>
      <c r="J2" s="10" t="s">
        <v>62</v>
      </c>
      <c r="K2" s="10" t="s">
        <v>63</v>
      </c>
      <c r="L2" s="10" t="s">
        <v>55</v>
      </c>
      <c r="M2" s="10" t="s">
        <v>56</v>
      </c>
      <c r="N2" s="10" t="s">
        <v>57</v>
      </c>
      <c r="O2" s="10">
        <v>1</v>
      </c>
      <c r="P2" s="10">
        <v>0</v>
      </c>
      <c r="Q2" s="34">
        <v>186.33</v>
      </c>
      <c r="R2" s="10" t="s">
        <v>58</v>
      </c>
      <c r="S2" s="10" t="s">
        <v>64</v>
      </c>
      <c r="T2" s="35">
        <v>1</v>
      </c>
      <c r="U2" s="36">
        <v>0.20699999999999999</v>
      </c>
      <c r="V2" s="34">
        <v>38.57</v>
      </c>
      <c r="W2" s="34">
        <v>0</v>
      </c>
      <c r="X2" s="10" t="s">
        <v>55</v>
      </c>
    </row>
    <row r="3" spans="1:24" x14ac:dyDescent="0.2">
      <c r="A3" s="1" t="s">
        <v>45</v>
      </c>
      <c r="B3" s="1" t="s">
        <v>46</v>
      </c>
      <c r="C3" s="1" t="s">
        <v>47</v>
      </c>
      <c r="D3" s="10">
        <v>893387</v>
      </c>
      <c r="E3" s="10" t="s">
        <v>48</v>
      </c>
      <c r="F3" s="10" t="s">
        <v>49</v>
      </c>
      <c r="G3" s="10" t="s">
        <v>50</v>
      </c>
      <c r="H3" s="10" t="s">
        <v>51</v>
      </c>
      <c r="I3" s="10" t="s">
        <v>52</v>
      </c>
      <c r="J3" s="10" t="s">
        <v>53</v>
      </c>
      <c r="K3" s="10" t="s">
        <v>54</v>
      </c>
      <c r="L3" s="10" t="s">
        <v>55</v>
      </c>
      <c r="M3" s="10" t="s">
        <v>56</v>
      </c>
      <c r="N3" s="10" t="s">
        <v>57</v>
      </c>
      <c r="O3" s="10">
        <v>1</v>
      </c>
      <c r="P3" s="10">
        <v>0</v>
      </c>
      <c r="Q3" s="34">
        <v>180.14</v>
      </c>
      <c r="R3" s="10" t="s">
        <v>58</v>
      </c>
      <c r="S3" s="10" t="s">
        <v>59</v>
      </c>
      <c r="T3" s="35">
        <v>1</v>
      </c>
      <c r="U3" s="36">
        <v>0.23</v>
      </c>
      <c r="V3" s="34">
        <v>41.43</v>
      </c>
      <c r="W3" s="34">
        <v>0</v>
      </c>
      <c r="X3" s="10" t="s">
        <v>55</v>
      </c>
    </row>
    <row r="4" spans="1:24" x14ac:dyDescent="0.2">
      <c r="A4" s="1" t="s">
        <v>80</v>
      </c>
      <c r="B4" s="1" t="s">
        <v>46</v>
      </c>
      <c r="C4" s="1" t="s">
        <v>47</v>
      </c>
      <c r="D4" s="10">
        <v>1075176</v>
      </c>
      <c r="E4" s="10" t="s">
        <v>210</v>
      </c>
      <c r="F4" s="10" t="s">
        <v>211</v>
      </c>
      <c r="G4" s="10" t="s">
        <v>50</v>
      </c>
      <c r="H4" s="10" t="s">
        <v>96</v>
      </c>
      <c r="I4" s="10" t="s">
        <v>102</v>
      </c>
      <c r="J4" s="10" t="s">
        <v>212</v>
      </c>
      <c r="K4" s="10" t="s">
        <v>54</v>
      </c>
      <c r="L4" s="10">
        <v>63</v>
      </c>
      <c r="M4" s="10" t="s">
        <v>56</v>
      </c>
      <c r="N4" s="10" t="s">
        <v>57</v>
      </c>
      <c r="O4" s="10">
        <v>1</v>
      </c>
      <c r="P4" s="10">
        <v>50</v>
      </c>
      <c r="Q4" s="34">
        <v>142.93</v>
      </c>
      <c r="R4" s="10" t="s">
        <v>58</v>
      </c>
      <c r="S4" s="10" t="s">
        <v>59</v>
      </c>
      <c r="T4" s="35">
        <v>1</v>
      </c>
      <c r="U4" s="36">
        <v>1.35</v>
      </c>
      <c r="V4" s="34">
        <v>0</v>
      </c>
      <c r="W4" s="34">
        <v>-192.96</v>
      </c>
      <c r="X4" s="10" t="s">
        <v>55</v>
      </c>
    </row>
    <row r="5" spans="1:24" x14ac:dyDescent="0.2">
      <c r="A5" s="1" t="s">
        <v>80</v>
      </c>
      <c r="B5" s="1" t="s">
        <v>46</v>
      </c>
      <c r="C5" s="1" t="s">
        <v>47</v>
      </c>
      <c r="D5" s="10">
        <v>893387</v>
      </c>
      <c r="E5" s="10" t="s">
        <v>112</v>
      </c>
      <c r="F5" s="10" t="s">
        <v>113</v>
      </c>
      <c r="G5" s="10" t="s">
        <v>114</v>
      </c>
      <c r="H5" s="10" t="s">
        <v>96</v>
      </c>
      <c r="I5" s="10" t="s">
        <v>102</v>
      </c>
      <c r="J5" s="10" t="s">
        <v>115</v>
      </c>
      <c r="K5" s="10" t="s">
        <v>116</v>
      </c>
      <c r="L5" s="10">
        <v>62</v>
      </c>
      <c r="M5" s="10" t="s">
        <v>56</v>
      </c>
      <c r="N5" s="10" t="s">
        <v>57</v>
      </c>
      <c r="O5" s="10">
        <v>1</v>
      </c>
      <c r="P5" s="10">
        <v>150</v>
      </c>
      <c r="Q5" s="34">
        <v>299.45999999999998</v>
      </c>
      <c r="R5" s="10" t="s">
        <v>58</v>
      </c>
      <c r="S5" s="10" t="s">
        <v>59</v>
      </c>
      <c r="T5" s="35">
        <v>1</v>
      </c>
      <c r="U5" s="36">
        <v>0.67500000000000004</v>
      </c>
      <c r="V5" s="34">
        <v>0</v>
      </c>
      <c r="W5" s="34">
        <v>-202.14</v>
      </c>
      <c r="X5" s="10" t="s">
        <v>55</v>
      </c>
    </row>
    <row r="6" spans="1:24" x14ac:dyDescent="0.2">
      <c r="A6" s="1" t="s">
        <v>80</v>
      </c>
      <c r="B6" s="1" t="s">
        <v>46</v>
      </c>
      <c r="C6" s="1" t="s">
        <v>47</v>
      </c>
      <c r="D6" s="10">
        <v>899216</v>
      </c>
      <c r="E6" s="10" t="s">
        <v>122</v>
      </c>
      <c r="F6" s="10" t="s">
        <v>123</v>
      </c>
      <c r="G6" s="10" t="s">
        <v>124</v>
      </c>
      <c r="H6" s="10" t="s">
        <v>68</v>
      </c>
      <c r="I6" s="10" t="s">
        <v>97</v>
      </c>
      <c r="J6" s="10" t="s">
        <v>125</v>
      </c>
      <c r="K6" s="10" t="s">
        <v>126</v>
      </c>
      <c r="L6" s="10">
        <v>61</v>
      </c>
      <c r="M6" s="10" t="s">
        <v>56</v>
      </c>
      <c r="N6" s="10" t="s">
        <v>57</v>
      </c>
      <c r="O6" s="10">
        <v>1</v>
      </c>
      <c r="P6" s="10">
        <v>50</v>
      </c>
      <c r="Q6" s="34">
        <v>76.180000000000007</v>
      </c>
      <c r="R6" s="10" t="s">
        <v>58</v>
      </c>
      <c r="S6" s="10" t="s">
        <v>59</v>
      </c>
      <c r="T6" s="35">
        <v>1</v>
      </c>
      <c r="U6" s="36">
        <v>1.5</v>
      </c>
      <c r="V6" s="34">
        <v>114.27</v>
      </c>
      <c r="W6" s="34">
        <v>0</v>
      </c>
      <c r="X6" s="10" t="s">
        <v>55</v>
      </c>
    </row>
    <row r="7" spans="1:24" x14ac:dyDescent="0.2">
      <c r="A7" s="1" t="s">
        <v>80</v>
      </c>
      <c r="B7" s="1" t="s">
        <v>46</v>
      </c>
      <c r="C7" s="1" t="s">
        <v>47</v>
      </c>
      <c r="D7" s="10">
        <v>893387</v>
      </c>
      <c r="E7" s="10" t="s">
        <v>117</v>
      </c>
      <c r="F7" s="10" t="s">
        <v>118</v>
      </c>
      <c r="G7" s="10" t="s">
        <v>119</v>
      </c>
      <c r="H7" s="10" t="s">
        <v>96</v>
      </c>
      <c r="I7" s="10" t="s">
        <v>102</v>
      </c>
      <c r="J7" s="10" t="s">
        <v>120</v>
      </c>
      <c r="K7" s="10" t="s">
        <v>121</v>
      </c>
      <c r="L7" s="10">
        <v>64</v>
      </c>
      <c r="M7" s="10" t="s">
        <v>56</v>
      </c>
      <c r="N7" s="10" t="s">
        <v>57</v>
      </c>
      <c r="O7" s="10">
        <v>1</v>
      </c>
      <c r="P7" s="10">
        <v>76</v>
      </c>
      <c r="Q7" s="34">
        <v>180.28</v>
      </c>
      <c r="R7" s="10" t="s">
        <v>58</v>
      </c>
      <c r="S7" s="10" t="s">
        <v>59</v>
      </c>
      <c r="T7" s="35">
        <v>1</v>
      </c>
      <c r="U7" s="36">
        <v>0.67500000000000004</v>
      </c>
      <c r="V7" s="34">
        <v>0</v>
      </c>
      <c r="W7" s="34">
        <v>-121.69</v>
      </c>
      <c r="X7" s="10" t="s">
        <v>55</v>
      </c>
    </row>
    <row r="8" spans="1:24" x14ac:dyDescent="0.2">
      <c r="A8" s="1" t="s">
        <v>80</v>
      </c>
      <c r="B8" s="1" t="s">
        <v>46</v>
      </c>
      <c r="C8" s="1" t="s">
        <v>47</v>
      </c>
      <c r="D8" s="10">
        <v>893214</v>
      </c>
      <c r="E8" s="10" t="s">
        <v>142</v>
      </c>
      <c r="F8" s="10" t="s">
        <v>143</v>
      </c>
      <c r="G8" s="10" t="s">
        <v>50</v>
      </c>
      <c r="H8" s="10" t="s">
        <v>68</v>
      </c>
      <c r="I8" s="10" t="s">
        <v>102</v>
      </c>
      <c r="J8" s="10" t="s">
        <v>144</v>
      </c>
      <c r="K8" s="10" t="s">
        <v>126</v>
      </c>
      <c r="L8" s="10">
        <v>68</v>
      </c>
      <c r="M8" s="10" t="s">
        <v>56</v>
      </c>
      <c r="N8" s="10" t="s">
        <v>57</v>
      </c>
      <c r="O8" s="10">
        <v>1</v>
      </c>
      <c r="P8" s="10">
        <v>50</v>
      </c>
      <c r="Q8" s="34">
        <v>153.93</v>
      </c>
      <c r="R8" s="10" t="s">
        <v>58</v>
      </c>
      <c r="S8" s="10" t="s">
        <v>59</v>
      </c>
      <c r="T8" s="35">
        <v>1</v>
      </c>
      <c r="U8" s="36">
        <v>1.35</v>
      </c>
      <c r="V8" s="34">
        <v>0</v>
      </c>
      <c r="W8" s="34">
        <v>-207.81</v>
      </c>
      <c r="X8" s="10" t="s">
        <v>55</v>
      </c>
    </row>
    <row r="9" spans="1:24" x14ac:dyDescent="0.2">
      <c r="A9" s="1" t="s">
        <v>80</v>
      </c>
      <c r="B9" s="1" t="s">
        <v>46</v>
      </c>
      <c r="C9" s="1" t="s">
        <v>47</v>
      </c>
      <c r="D9" s="10">
        <v>819525</v>
      </c>
      <c r="E9" s="10" t="s">
        <v>105</v>
      </c>
      <c r="F9" s="10" t="s">
        <v>106</v>
      </c>
      <c r="G9" s="10" t="s">
        <v>50</v>
      </c>
      <c r="H9" s="10" t="s">
        <v>51</v>
      </c>
      <c r="I9" s="10" t="s">
        <v>107</v>
      </c>
      <c r="J9" s="10" t="s">
        <v>108</v>
      </c>
      <c r="K9" s="10" t="s">
        <v>109</v>
      </c>
      <c r="L9" s="10">
        <v>63</v>
      </c>
      <c r="M9" s="10" t="s">
        <v>56</v>
      </c>
      <c r="N9" s="10" t="s">
        <v>57</v>
      </c>
      <c r="O9" s="10">
        <v>1</v>
      </c>
      <c r="P9" s="10">
        <v>15</v>
      </c>
      <c r="Q9" s="34">
        <v>54.98</v>
      </c>
      <c r="R9" s="10" t="s">
        <v>58</v>
      </c>
      <c r="S9" s="10" t="s">
        <v>59</v>
      </c>
      <c r="T9" s="35">
        <v>1</v>
      </c>
      <c r="U9" s="36">
        <v>1.35</v>
      </c>
      <c r="V9" s="34">
        <v>74.22</v>
      </c>
      <c r="W9" s="34">
        <v>0</v>
      </c>
      <c r="X9" s="10" t="s">
        <v>55</v>
      </c>
    </row>
    <row r="10" spans="1:24" s="54" customFormat="1" x14ac:dyDescent="0.2">
      <c r="A10" s="1" t="s">
        <v>80</v>
      </c>
      <c r="B10" s="1" t="s">
        <v>46</v>
      </c>
      <c r="C10" s="1" t="s">
        <v>47</v>
      </c>
      <c r="D10" s="10">
        <v>819525</v>
      </c>
      <c r="E10" s="10" t="s">
        <v>137</v>
      </c>
      <c r="F10" s="10" t="s">
        <v>138</v>
      </c>
      <c r="G10" s="10" t="s">
        <v>50</v>
      </c>
      <c r="H10" s="10" t="s">
        <v>51</v>
      </c>
      <c r="I10" s="10" t="s">
        <v>107</v>
      </c>
      <c r="J10" s="10" t="s">
        <v>108</v>
      </c>
      <c r="K10" s="10" t="s">
        <v>109</v>
      </c>
      <c r="L10" s="10">
        <v>64</v>
      </c>
      <c r="M10" s="10" t="s">
        <v>56</v>
      </c>
      <c r="N10" s="10" t="s">
        <v>57</v>
      </c>
      <c r="O10" s="10">
        <v>1</v>
      </c>
      <c r="P10" s="10">
        <v>12</v>
      </c>
      <c r="Q10" s="34">
        <v>63.65</v>
      </c>
      <c r="R10" s="10" t="s">
        <v>58</v>
      </c>
      <c r="S10" s="10" t="s">
        <v>59</v>
      </c>
      <c r="T10" s="35">
        <v>1</v>
      </c>
      <c r="U10" s="36">
        <v>1.35</v>
      </c>
      <c r="V10" s="34">
        <v>85.93</v>
      </c>
      <c r="W10" s="34">
        <v>0</v>
      </c>
      <c r="X10" s="10" t="s">
        <v>55</v>
      </c>
    </row>
    <row r="11" spans="1:24" x14ac:dyDescent="0.2">
      <c r="A11" s="1" t="s">
        <v>220</v>
      </c>
      <c r="B11" s="1" t="s">
        <v>46</v>
      </c>
      <c r="C11" s="1" t="s">
        <v>47</v>
      </c>
      <c r="D11" s="10">
        <v>513364</v>
      </c>
      <c r="E11" s="10" t="s">
        <v>245</v>
      </c>
      <c r="F11" s="10" t="s">
        <v>246</v>
      </c>
      <c r="G11" s="10" t="s">
        <v>50</v>
      </c>
      <c r="H11" s="10" t="s">
        <v>51</v>
      </c>
      <c r="I11" s="10" t="s">
        <v>227</v>
      </c>
      <c r="J11" s="10" t="s">
        <v>247</v>
      </c>
      <c r="K11" s="10" t="s">
        <v>248</v>
      </c>
      <c r="L11" s="10" t="s">
        <v>55</v>
      </c>
      <c r="M11" s="10" t="s">
        <v>56</v>
      </c>
      <c r="N11" s="10" t="s">
        <v>249</v>
      </c>
      <c r="O11" s="10">
        <v>1</v>
      </c>
      <c r="P11" s="10">
        <v>0</v>
      </c>
      <c r="Q11" s="34">
        <v>38.08</v>
      </c>
      <c r="R11" s="10" t="s">
        <v>58</v>
      </c>
      <c r="S11" s="10" t="s">
        <v>59</v>
      </c>
      <c r="T11" s="35">
        <v>1</v>
      </c>
      <c r="U11" s="36">
        <v>0.52</v>
      </c>
      <c r="V11" s="34">
        <v>19.8</v>
      </c>
      <c r="W11" s="34">
        <v>0</v>
      </c>
      <c r="X11" s="10" t="s">
        <v>55</v>
      </c>
    </row>
    <row r="12" spans="1:24" s="13" customFormat="1" x14ac:dyDescent="0.2">
      <c r="A12" s="1" t="s">
        <v>80</v>
      </c>
      <c r="B12" s="1" t="s">
        <v>46</v>
      </c>
      <c r="C12" s="1" t="s">
        <v>47</v>
      </c>
      <c r="D12" s="10">
        <v>893387</v>
      </c>
      <c r="E12" s="10" t="s">
        <v>149</v>
      </c>
      <c r="F12" s="10" t="s">
        <v>150</v>
      </c>
      <c r="G12" s="10" t="s">
        <v>151</v>
      </c>
      <c r="H12" s="10" t="s">
        <v>68</v>
      </c>
      <c r="I12" s="10" t="s">
        <v>102</v>
      </c>
      <c r="J12" s="10" t="s">
        <v>152</v>
      </c>
      <c r="K12" s="10" t="s">
        <v>54</v>
      </c>
      <c r="L12" s="10">
        <v>59</v>
      </c>
      <c r="M12" s="10" t="s">
        <v>56</v>
      </c>
      <c r="N12" s="10" t="s">
        <v>57</v>
      </c>
      <c r="O12" s="10">
        <v>1</v>
      </c>
      <c r="P12" s="10">
        <v>50</v>
      </c>
      <c r="Q12" s="34">
        <v>123.4</v>
      </c>
      <c r="R12" s="10" t="s">
        <v>58</v>
      </c>
      <c r="S12" s="10" t="s">
        <v>59</v>
      </c>
      <c r="T12" s="35">
        <v>1</v>
      </c>
      <c r="U12" s="36">
        <v>0.67500000000000004</v>
      </c>
      <c r="V12" s="34">
        <v>0.04</v>
      </c>
      <c r="W12" s="34">
        <v>-83.26</v>
      </c>
      <c r="X12" s="10" t="s">
        <v>55</v>
      </c>
    </row>
    <row r="13" spans="1:24" x14ac:dyDescent="0.2">
      <c r="A13" s="1" t="s">
        <v>80</v>
      </c>
      <c r="B13" s="1" t="s">
        <v>46</v>
      </c>
      <c r="C13" s="1" t="s">
        <v>47</v>
      </c>
      <c r="D13" s="10">
        <v>893387</v>
      </c>
      <c r="E13" s="10" t="s">
        <v>149</v>
      </c>
      <c r="F13" s="10" t="s">
        <v>150</v>
      </c>
      <c r="G13" s="10" t="s">
        <v>151</v>
      </c>
      <c r="H13" s="10" t="s">
        <v>51</v>
      </c>
      <c r="I13" s="10" t="s">
        <v>102</v>
      </c>
      <c r="J13" s="10" t="s">
        <v>152</v>
      </c>
      <c r="K13" s="10" t="s">
        <v>54</v>
      </c>
      <c r="L13" s="10">
        <v>59</v>
      </c>
      <c r="M13" s="10" t="s">
        <v>56</v>
      </c>
      <c r="N13" s="10" t="s">
        <v>57</v>
      </c>
      <c r="O13" s="10">
        <v>1</v>
      </c>
      <c r="P13" s="10">
        <v>50</v>
      </c>
      <c r="Q13" s="34">
        <v>123.4</v>
      </c>
      <c r="R13" s="10" t="s">
        <v>58</v>
      </c>
      <c r="S13" s="10" t="s">
        <v>59</v>
      </c>
      <c r="T13" s="35">
        <v>1</v>
      </c>
      <c r="U13" s="36">
        <v>0.67500000000000004</v>
      </c>
      <c r="V13" s="34">
        <v>83.3</v>
      </c>
      <c r="W13" s="34">
        <v>0</v>
      </c>
      <c r="X13" s="10" t="s">
        <v>55</v>
      </c>
    </row>
    <row r="14" spans="1:24" x14ac:dyDescent="0.2">
      <c r="A14" s="1" t="s">
        <v>45</v>
      </c>
      <c r="B14" s="1" t="s">
        <v>46</v>
      </c>
      <c r="C14" s="1" t="s">
        <v>65</v>
      </c>
      <c r="D14" s="10">
        <v>893387</v>
      </c>
      <c r="E14" s="10" t="s">
        <v>66</v>
      </c>
      <c r="F14" s="10" t="s">
        <v>67</v>
      </c>
      <c r="G14" s="10" t="s">
        <v>50</v>
      </c>
      <c r="H14" s="10" t="s">
        <v>68</v>
      </c>
      <c r="I14" s="10" t="s">
        <v>52</v>
      </c>
      <c r="J14" s="10" t="s">
        <v>69</v>
      </c>
      <c r="K14" s="10" t="s">
        <v>70</v>
      </c>
      <c r="L14" s="10" t="s">
        <v>55</v>
      </c>
      <c r="M14" s="10" t="s">
        <v>56</v>
      </c>
      <c r="N14" s="10" t="s">
        <v>57</v>
      </c>
      <c r="O14" s="10">
        <v>1</v>
      </c>
      <c r="P14" s="10">
        <v>0</v>
      </c>
      <c r="Q14" s="34">
        <v>199.91</v>
      </c>
      <c r="R14" s="10" t="s">
        <v>58</v>
      </c>
      <c r="S14" s="10" t="s">
        <v>59</v>
      </c>
      <c r="T14" s="35">
        <v>1</v>
      </c>
      <c r="U14" s="36">
        <v>0.23</v>
      </c>
      <c r="V14" s="34">
        <v>45.98</v>
      </c>
      <c r="W14" s="34">
        <v>0</v>
      </c>
      <c r="X14" s="10" t="s">
        <v>55</v>
      </c>
    </row>
    <row r="15" spans="1:24" x14ac:dyDescent="0.2">
      <c r="A15" s="1" t="s">
        <v>220</v>
      </c>
      <c r="B15" s="1" t="s">
        <v>46</v>
      </c>
      <c r="C15" s="1" t="s">
        <v>47</v>
      </c>
      <c r="D15" s="10">
        <v>513364</v>
      </c>
      <c r="E15" s="10" t="s">
        <v>243</v>
      </c>
      <c r="F15" s="10" t="s">
        <v>244</v>
      </c>
      <c r="G15" s="10" t="s">
        <v>50</v>
      </c>
      <c r="H15" s="10" t="s">
        <v>96</v>
      </c>
      <c r="I15" s="10" t="s">
        <v>227</v>
      </c>
      <c r="J15" s="10" t="s">
        <v>53</v>
      </c>
      <c r="K15" s="10" t="s">
        <v>54</v>
      </c>
      <c r="L15" s="10" t="s">
        <v>55</v>
      </c>
      <c r="M15" s="10" t="s">
        <v>56</v>
      </c>
      <c r="N15" s="10" t="s">
        <v>57</v>
      </c>
      <c r="O15" s="10">
        <v>1</v>
      </c>
      <c r="P15" s="10">
        <v>0</v>
      </c>
      <c r="Q15" s="34">
        <v>36.08</v>
      </c>
      <c r="R15" s="10" t="s">
        <v>58</v>
      </c>
      <c r="S15" s="10" t="s">
        <v>59</v>
      </c>
      <c r="T15" s="35">
        <v>1</v>
      </c>
      <c r="U15" s="36">
        <v>0.52</v>
      </c>
      <c r="V15" s="34">
        <v>18.760000000000002</v>
      </c>
      <c r="W15" s="34">
        <v>0</v>
      </c>
      <c r="X15" s="10" t="s">
        <v>55</v>
      </c>
    </row>
    <row r="16" spans="1:24" x14ac:dyDescent="0.2">
      <c r="A16" s="54" t="s">
        <v>80</v>
      </c>
      <c r="B16" s="54" t="s">
        <v>46</v>
      </c>
      <c r="C16" s="54" t="s">
        <v>47</v>
      </c>
      <c r="D16" s="55">
        <v>893387</v>
      </c>
      <c r="E16" s="55" t="s">
        <v>130</v>
      </c>
      <c r="F16" s="55" t="s">
        <v>131</v>
      </c>
      <c r="G16" s="55" t="s">
        <v>132</v>
      </c>
      <c r="H16" s="55" t="s">
        <v>51</v>
      </c>
      <c r="I16" s="55" t="s">
        <v>102</v>
      </c>
      <c r="J16" s="55" t="s">
        <v>134</v>
      </c>
      <c r="K16" s="55" t="s">
        <v>135</v>
      </c>
      <c r="L16" s="55">
        <v>53</v>
      </c>
      <c r="M16" s="55" t="s">
        <v>56</v>
      </c>
      <c r="N16" s="55" t="s">
        <v>57</v>
      </c>
      <c r="O16" s="55">
        <v>1</v>
      </c>
      <c r="P16" s="55">
        <v>200</v>
      </c>
      <c r="Q16" s="56">
        <v>309.85000000000002</v>
      </c>
      <c r="R16" s="55" t="s">
        <v>58</v>
      </c>
      <c r="S16" s="55" t="s">
        <v>59</v>
      </c>
      <c r="T16" s="57">
        <v>1</v>
      </c>
      <c r="U16" s="58">
        <v>0.67500000000000004</v>
      </c>
      <c r="V16" s="56">
        <v>0.01</v>
      </c>
      <c r="W16" s="56">
        <v>-209.14</v>
      </c>
      <c r="X16" s="55" t="s">
        <v>55</v>
      </c>
    </row>
    <row r="17" spans="1:24" x14ac:dyDescent="0.2">
      <c r="A17" s="1" t="s">
        <v>80</v>
      </c>
      <c r="B17" s="1" t="s">
        <v>46</v>
      </c>
      <c r="C17" s="1" t="s">
        <v>47</v>
      </c>
      <c r="D17" s="10">
        <v>1227344</v>
      </c>
      <c r="E17" s="10" t="s">
        <v>162</v>
      </c>
      <c r="F17" s="10" t="s">
        <v>163</v>
      </c>
      <c r="G17" s="10" t="s">
        <v>164</v>
      </c>
      <c r="H17" s="10" t="s">
        <v>96</v>
      </c>
      <c r="I17" s="10" t="s">
        <v>102</v>
      </c>
      <c r="J17" s="10" t="s">
        <v>165</v>
      </c>
      <c r="K17" s="10" t="s">
        <v>70</v>
      </c>
      <c r="L17" s="10">
        <v>55</v>
      </c>
      <c r="M17" s="10" t="s">
        <v>56</v>
      </c>
      <c r="N17" s="10" t="s">
        <v>57</v>
      </c>
      <c r="O17" s="10">
        <v>1</v>
      </c>
      <c r="P17" s="10">
        <v>50</v>
      </c>
      <c r="Q17" s="34">
        <v>90.66</v>
      </c>
      <c r="R17" s="10" t="s">
        <v>58</v>
      </c>
      <c r="S17" s="10" t="s">
        <v>59</v>
      </c>
      <c r="T17" s="35">
        <v>1</v>
      </c>
      <c r="U17" s="36">
        <v>1.35</v>
      </c>
      <c r="V17" s="34">
        <v>122.39</v>
      </c>
      <c r="W17" s="34">
        <v>0</v>
      </c>
      <c r="X17" s="10" t="s">
        <v>55</v>
      </c>
    </row>
    <row r="18" spans="1:24" x14ac:dyDescent="0.2">
      <c r="A18" s="1" t="s">
        <v>80</v>
      </c>
      <c r="B18" s="1" t="s">
        <v>46</v>
      </c>
      <c r="C18" s="1" t="s">
        <v>47</v>
      </c>
      <c r="D18" s="10">
        <v>910791</v>
      </c>
      <c r="E18" s="10" t="s">
        <v>202</v>
      </c>
      <c r="F18" s="10" t="s">
        <v>203</v>
      </c>
      <c r="G18" s="10" t="s">
        <v>185</v>
      </c>
      <c r="H18" s="10" t="s">
        <v>68</v>
      </c>
      <c r="I18" s="10" t="s">
        <v>97</v>
      </c>
      <c r="J18" s="10" t="s">
        <v>204</v>
      </c>
      <c r="K18" s="10" t="s">
        <v>148</v>
      </c>
      <c r="L18" s="10">
        <v>66</v>
      </c>
      <c r="M18" s="10" t="s">
        <v>56</v>
      </c>
      <c r="N18" s="10" t="s">
        <v>57</v>
      </c>
      <c r="O18" s="10">
        <v>1</v>
      </c>
      <c r="P18" s="10">
        <v>25</v>
      </c>
      <c r="Q18" s="34">
        <v>72.959999999999994</v>
      </c>
      <c r="R18" s="10" t="s">
        <v>58</v>
      </c>
      <c r="S18" s="10" t="s">
        <v>59</v>
      </c>
      <c r="T18" s="35">
        <v>1</v>
      </c>
      <c r="U18" s="36">
        <v>1.5</v>
      </c>
      <c r="V18" s="34">
        <v>0</v>
      </c>
      <c r="W18" s="34">
        <v>-109.44</v>
      </c>
      <c r="X18" s="10" t="s">
        <v>55</v>
      </c>
    </row>
    <row r="19" spans="1:24" x14ac:dyDescent="0.2">
      <c r="A19" s="1" t="s">
        <v>220</v>
      </c>
      <c r="B19" s="1" t="s">
        <v>46</v>
      </c>
      <c r="C19" s="1" t="s">
        <v>47</v>
      </c>
      <c r="D19" s="10">
        <v>899216</v>
      </c>
      <c r="E19" s="10" t="s">
        <v>221</v>
      </c>
      <c r="F19" s="10" t="s">
        <v>222</v>
      </c>
      <c r="G19" s="10" t="s">
        <v>124</v>
      </c>
      <c r="H19" s="10" t="s">
        <v>96</v>
      </c>
      <c r="I19" s="10" t="s">
        <v>223</v>
      </c>
      <c r="J19" s="10" t="s">
        <v>224</v>
      </c>
      <c r="K19" s="10" t="s">
        <v>54</v>
      </c>
      <c r="L19" s="10" t="s">
        <v>55</v>
      </c>
      <c r="M19" s="10" t="s">
        <v>56</v>
      </c>
      <c r="N19" s="10" t="s">
        <v>57</v>
      </c>
      <c r="O19" s="10">
        <v>1</v>
      </c>
      <c r="P19" s="10">
        <v>0</v>
      </c>
      <c r="Q19" s="34">
        <v>241.87</v>
      </c>
      <c r="R19" s="10" t="s">
        <v>58</v>
      </c>
      <c r="S19" s="10" t="s">
        <v>59</v>
      </c>
      <c r="T19" s="35">
        <v>1</v>
      </c>
      <c r="U19" s="36">
        <v>2.5000000000000001E-2</v>
      </c>
      <c r="V19" s="34">
        <v>6.05</v>
      </c>
      <c r="W19" s="34">
        <v>0</v>
      </c>
      <c r="X19" s="10" t="s">
        <v>55</v>
      </c>
    </row>
    <row r="20" spans="1:24" x14ac:dyDescent="0.2">
      <c r="A20" s="1" t="s">
        <v>80</v>
      </c>
      <c r="B20" s="1" t="s">
        <v>46</v>
      </c>
      <c r="C20" s="1" t="s">
        <v>47</v>
      </c>
      <c r="D20" s="10">
        <v>1164992</v>
      </c>
      <c r="E20" s="10" t="s">
        <v>195</v>
      </c>
      <c r="F20" s="10" t="s">
        <v>196</v>
      </c>
      <c r="G20" s="10" t="s">
        <v>50</v>
      </c>
      <c r="H20" s="10" t="s">
        <v>96</v>
      </c>
      <c r="I20" s="10" t="s">
        <v>159</v>
      </c>
      <c r="J20" s="10" t="s">
        <v>197</v>
      </c>
      <c r="K20" s="10" t="s">
        <v>198</v>
      </c>
      <c r="L20" s="10">
        <v>59</v>
      </c>
      <c r="M20" s="10" t="s">
        <v>56</v>
      </c>
      <c r="N20" s="10" t="s">
        <v>57</v>
      </c>
      <c r="O20" s="10">
        <v>1</v>
      </c>
      <c r="P20" s="10">
        <v>500</v>
      </c>
      <c r="Q20" s="34">
        <v>337.55</v>
      </c>
      <c r="R20" s="10" t="s">
        <v>58</v>
      </c>
      <c r="S20" s="10" t="s">
        <v>59</v>
      </c>
      <c r="T20" s="35">
        <v>1</v>
      </c>
      <c r="U20" s="36">
        <v>1.26</v>
      </c>
      <c r="V20" s="34">
        <v>425.31</v>
      </c>
      <c r="W20" s="34">
        <v>0</v>
      </c>
      <c r="X20" s="10" t="s">
        <v>55</v>
      </c>
    </row>
    <row r="21" spans="1:24" x14ac:dyDescent="0.2">
      <c r="A21" s="1" t="s">
        <v>80</v>
      </c>
      <c r="B21" s="1" t="s">
        <v>46</v>
      </c>
      <c r="C21" s="1" t="s">
        <v>47</v>
      </c>
      <c r="D21" s="10">
        <v>891882</v>
      </c>
      <c r="E21" s="10" t="s">
        <v>139</v>
      </c>
      <c r="F21" s="10" t="s">
        <v>140</v>
      </c>
      <c r="G21" s="10" t="s">
        <v>50</v>
      </c>
      <c r="H21" s="10" t="s">
        <v>51</v>
      </c>
      <c r="I21" s="10" t="s">
        <v>90</v>
      </c>
      <c r="J21" s="10" t="s">
        <v>141</v>
      </c>
      <c r="K21" s="10" t="s">
        <v>121</v>
      </c>
      <c r="L21" s="10">
        <v>17</v>
      </c>
      <c r="M21" s="10" t="s">
        <v>56</v>
      </c>
      <c r="N21" s="10" t="s">
        <v>57</v>
      </c>
      <c r="O21" s="10">
        <v>1</v>
      </c>
      <c r="P21" s="10">
        <v>50</v>
      </c>
      <c r="Q21" s="34">
        <v>34.75</v>
      </c>
      <c r="R21" s="10" t="s">
        <v>58</v>
      </c>
      <c r="S21" s="10" t="s">
        <v>59</v>
      </c>
      <c r="T21" s="35">
        <v>1</v>
      </c>
      <c r="U21" s="36">
        <v>1.1499999999999999</v>
      </c>
      <c r="V21" s="34">
        <v>0</v>
      </c>
      <c r="W21" s="34">
        <v>-39.96</v>
      </c>
      <c r="X21" s="10" t="s">
        <v>55</v>
      </c>
    </row>
    <row r="22" spans="1:24" x14ac:dyDescent="0.2">
      <c r="A22" s="1" t="s">
        <v>80</v>
      </c>
      <c r="B22" s="1" t="s">
        <v>46</v>
      </c>
      <c r="C22" s="1" t="s">
        <v>47</v>
      </c>
      <c r="D22" s="10">
        <v>613147</v>
      </c>
      <c r="E22" s="10" t="s">
        <v>88</v>
      </c>
      <c r="F22" s="10" t="s">
        <v>89</v>
      </c>
      <c r="G22" s="10" t="s">
        <v>50</v>
      </c>
      <c r="H22" s="10" t="s">
        <v>51</v>
      </c>
      <c r="I22" s="10" t="s">
        <v>90</v>
      </c>
      <c r="J22" s="10" t="s">
        <v>91</v>
      </c>
      <c r="K22" s="10" t="s">
        <v>92</v>
      </c>
      <c r="L22" s="10">
        <v>17</v>
      </c>
      <c r="M22" s="10" t="s">
        <v>56</v>
      </c>
      <c r="N22" s="10" t="s">
        <v>57</v>
      </c>
      <c r="O22" s="10">
        <v>1</v>
      </c>
      <c r="P22" s="10">
        <v>50</v>
      </c>
      <c r="Q22" s="34">
        <v>34.75</v>
      </c>
      <c r="R22" s="10" t="s">
        <v>58</v>
      </c>
      <c r="S22" s="10" t="s">
        <v>59</v>
      </c>
      <c r="T22" s="35">
        <v>1</v>
      </c>
      <c r="U22" s="36">
        <v>1.1499999999999999</v>
      </c>
      <c r="V22" s="34">
        <v>0</v>
      </c>
      <c r="W22" s="34">
        <v>-39.96</v>
      </c>
      <c r="X22" s="10" t="s">
        <v>55</v>
      </c>
    </row>
    <row r="23" spans="1:24" x14ac:dyDescent="0.2">
      <c r="A23" s="1" t="s">
        <v>80</v>
      </c>
      <c r="B23" s="1" t="s">
        <v>46</v>
      </c>
      <c r="C23" s="1" t="s">
        <v>47</v>
      </c>
      <c r="D23" s="10">
        <v>1169782</v>
      </c>
      <c r="E23" s="10" t="s">
        <v>157</v>
      </c>
      <c r="F23" s="10" t="s">
        <v>158</v>
      </c>
      <c r="G23" s="10" t="s">
        <v>50</v>
      </c>
      <c r="H23" s="10" t="s">
        <v>62</v>
      </c>
      <c r="I23" s="10" t="s">
        <v>159</v>
      </c>
      <c r="J23" s="10" t="s">
        <v>160</v>
      </c>
      <c r="K23" s="10" t="s">
        <v>161</v>
      </c>
      <c r="L23" s="10">
        <v>40</v>
      </c>
      <c r="M23" s="10" t="s">
        <v>56</v>
      </c>
      <c r="N23" s="10" t="s">
        <v>57</v>
      </c>
      <c r="O23" s="10">
        <v>1</v>
      </c>
      <c r="P23" s="10">
        <v>750</v>
      </c>
      <c r="Q23" s="34">
        <v>81.91</v>
      </c>
      <c r="R23" s="10" t="s">
        <v>58</v>
      </c>
      <c r="S23" s="10" t="s">
        <v>59</v>
      </c>
      <c r="T23" s="35">
        <v>1</v>
      </c>
      <c r="U23" s="36">
        <v>1.26</v>
      </c>
      <c r="V23" s="34">
        <v>0</v>
      </c>
      <c r="W23" s="34">
        <v>-103.21</v>
      </c>
      <c r="X23" s="10" t="s">
        <v>55</v>
      </c>
    </row>
    <row r="24" spans="1:24" x14ac:dyDescent="0.2">
      <c r="A24" s="1" t="s">
        <v>80</v>
      </c>
      <c r="B24" s="1" t="s">
        <v>46</v>
      </c>
      <c r="C24" s="1" t="s">
        <v>47</v>
      </c>
      <c r="D24" s="10">
        <v>815797</v>
      </c>
      <c r="E24" s="10" t="s">
        <v>173</v>
      </c>
      <c r="F24" s="10" t="s">
        <v>174</v>
      </c>
      <c r="G24" s="10" t="s">
        <v>83</v>
      </c>
      <c r="H24" s="10" t="s">
        <v>133</v>
      </c>
      <c r="I24" s="10" t="s">
        <v>107</v>
      </c>
      <c r="J24" s="10" t="s">
        <v>175</v>
      </c>
      <c r="K24" s="10" t="s">
        <v>63</v>
      </c>
      <c r="L24" s="10">
        <v>65</v>
      </c>
      <c r="M24" s="10" t="s">
        <v>56</v>
      </c>
      <c r="N24" s="10" t="s">
        <v>57</v>
      </c>
      <c r="O24" s="10">
        <v>1</v>
      </c>
      <c r="P24" s="10">
        <v>15</v>
      </c>
      <c r="Q24" s="34">
        <v>59.91</v>
      </c>
      <c r="R24" s="10" t="s">
        <v>58</v>
      </c>
      <c r="S24" s="10" t="s">
        <v>59</v>
      </c>
      <c r="T24" s="35">
        <v>1</v>
      </c>
      <c r="U24" s="36">
        <v>1.35</v>
      </c>
      <c r="V24" s="34">
        <v>0</v>
      </c>
      <c r="W24" s="34">
        <v>-80.88</v>
      </c>
      <c r="X24" s="10" t="s">
        <v>55</v>
      </c>
    </row>
    <row r="25" spans="1:24" x14ac:dyDescent="0.2">
      <c r="A25" s="1" t="s">
        <v>80</v>
      </c>
      <c r="B25" s="1" t="s">
        <v>46</v>
      </c>
      <c r="C25" s="1" t="s">
        <v>47</v>
      </c>
      <c r="D25" s="10">
        <v>893214</v>
      </c>
      <c r="E25" s="10" t="s">
        <v>145</v>
      </c>
      <c r="F25" s="10" t="s">
        <v>146</v>
      </c>
      <c r="G25" s="10" t="s">
        <v>50</v>
      </c>
      <c r="H25" s="10" t="s">
        <v>51</v>
      </c>
      <c r="I25" s="10" t="s">
        <v>102</v>
      </c>
      <c r="J25" s="10" t="s">
        <v>147</v>
      </c>
      <c r="K25" s="10" t="s">
        <v>148</v>
      </c>
      <c r="L25" s="10">
        <v>61</v>
      </c>
      <c r="M25" s="10" t="s">
        <v>56</v>
      </c>
      <c r="N25" s="10" t="s">
        <v>57</v>
      </c>
      <c r="O25" s="10">
        <v>1</v>
      </c>
      <c r="P25" s="10">
        <v>50</v>
      </c>
      <c r="Q25" s="34">
        <v>99.07</v>
      </c>
      <c r="R25" s="10" t="s">
        <v>58</v>
      </c>
      <c r="S25" s="10" t="s">
        <v>59</v>
      </c>
      <c r="T25" s="35">
        <v>1</v>
      </c>
      <c r="U25" s="36">
        <v>1.35</v>
      </c>
      <c r="V25" s="34">
        <v>0</v>
      </c>
      <c r="W25" s="34">
        <v>-133.74</v>
      </c>
      <c r="X25" s="10" t="s">
        <v>55</v>
      </c>
    </row>
    <row r="26" spans="1:24" x14ac:dyDescent="0.2">
      <c r="A26" s="1" t="s">
        <v>220</v>
      </c>
      <c r="B26" s="1" t="s">
        <v>46</v>
      </c>
      <c r="C26" s="1" t="s">
        <v>47</v>
      </c>
      <c r="D26" s="10">
        <v>1169782</v>
      </c>
      <c r="E26" s="10" t="s">
        <v>237</v>
      </c>
      <c r="F26" s="10" t="s">
        <v>238</v>
      </c>
      <c r="G26" s="10" t="s">
        <v>50</v>
      </c>
      <c r="H26" s="10" t="s">
        <v>51</v>
      </c>
      <c r="I26" s="10" t="s">
        <v>239</v>
      </c>
      <c r="J26" s="10" t="s">
        <v>240</v>
      </c>
      <c r="K26" s="10" t="s">
        <v>109</v>
      </c>
      <c r="L26" s="10" t="s">
        <v>55</v>
      </c>
      <c r="M26" s="10" t="s">
        <v>56</v>
      </c>
      <c r="N26" s="10" t="s">
        <v>57</v>
      </c>
      <c r="O26" s="10">
        <v>1</v>
      </c>
      <c r="P26" s="10">
        <v>0</v>
      </c>
      <c r="Q26" s="34">
        <v>79.28</v>
      </c>
      <c r="R26" s="10" t="s">
        <v>58</v>
      </c>
      <c r="S26" s="10" t="s">
        <v>59</v>
      </c>
      <c r="T26" s="35">
        <v>1</v>
      </c>
      <c r="U26" s="36">
        <v>0.52</v>
      </c>
      <c r="V26" s="34">
        <v>41.23</v>
      </c>
      <c r="W26" s="34">
        <v>0</v>
      </c>
      <c r="X26" s="10" t="s">
        <v>55</v>
      </c>
    </row>
    <row r="27" spans="1:24" x14ac:dyDescent="0.2">
      <c r="A27" s="1" t="s">
        <v>80</v>
      </c>
      <c r="B27" s="1" t="s">
        <v>46</v>
      </c>
      <c r="C27" s="1" t="s">
        <v>47</v>
      </c>
      <c r="D27" s="10">
        <v>910791</v>
      </c>
      <c r="E27" s="10" t="s">
        <v>199</v>
      </c>
      <c r="F27" s="10" t="s">
        <v>200</v>
      </c>
      <c r="G27" s="10" t="s">
        <v>185</v>
      </c>
      <c r="H27" s="10" t="s">
        <v>133</v>
      </c>
      <c r="I27" s="10" t="s">
        <v>102</v>
      </c>
      <c r="J27" s="10" t="s">
        <v>201</v>
      </c>
      <c r="K27" s="10" t="s">
        <v>121</v>
      </c>
      <c r="L27" s="10">
        <v>43</v>
      </c>
      <c r="M27" s="10" t="s">
        <v>56</v>
      </c>
      <c r="N27" s="10" t="s">
        <v>57</v>
      </c>
      <c r="O27" s="10">
        <v>1</v>
      </c>
      <c r="P27" s="10">
        <v>40</v>
      </c>
      <c r="Q27" s="34">
        <v>56.05</v>
      </c>
      <c r="R27" s="10" t="s">
        <v>58</v>
      </c>
      <c r="S27" s="10" t="s">
        <v>59</v>
      </c>
      <c r="T27" s="35">
        <v>1</v>
      </c>
      <c r="U27" s="36">
        <v>1.35</v>
      </c>
      <c r="V27" s="34">
        <v>0.02</v>
      </c>
      <c r="W27" s="34">
        <v>-75.650000000000006</v>
      </c>
      <c r="X27" s="10" t="s">
        <v>55</v>
      </c>
    </row>
    <row r="28" spans="1:24" x14ac:dyDescent="0.2">
      <c r="A28" s="1" t="s">
        <v>80</v>
      </c>
      <c r="B28" s="1" t="s">
        <v>46</v>
      </c>
      <c r="C28" s="1" t="s">
        <v>47</v>
      </c>
      <c r="D28" s="10">
        <v>893387</v>
      </c>
      <c r="E28" s="10" t="s">
        <v>153</v>
      </c>
      <c r="F28" s="10" t="s">
        <v>154</v>
      </c>
      <c r="G28" s="10" t="s">
        <v>50</v>
      </c>
      <c r="H28" s="10" t="s">
        <v>51</v>
      </c>
      <c r="I28" s="10" t="s">
        <v>102</v>
      </c>
      <c r="J28" s="10" t="s">
        <v>155</v>
      </c>
      <c r="K28" s="10" t="s">
        <v>156</v>
      </c>
      <c r="L28" s="10">
        <v>71</v>
      </c>
      <c r="M28" s="10" t="s">
        <v>56</v>
      </c>
      <c r="N28" s="10" t="s">
        <v>57</v>
      </c>
      <c r="O28" s="10">
        <v>1</v>
      </c>
      <c r="P28" s="10">
        <v>50</v>
      </c>
      <c r="Q28" s="34">
        <v>241.54</v>
      </c>
      <c r="R28" s="10" t="s">
        <v>58</v>
      </c>
      <c r="S28" s="10" t="s">
        <v>59</v>
      </c>
      <c r="T28" s="35">
        <v>1</v>
      </c>
      <c r="U28" s="36">
        <v>1.35</v>
      </c>
      <c r="V28" s="34">
        <v>282.56</v>
      </c>
      <c r="W28" s="34">
        <v>-43.52</v>
      </c>
      <c r="X28" s="10" t="s">
        <v>55</v>
      </c>
    </row>
    <row r="29" spans="1:24" s="40" customFormat="1" x14ac:dyDescent="0.2">
      <c r="A29" s="40" t="s">
        <v>80</v>
      </c>
      <c r="B29" s="40" t="s">
        <v>46</v>
      </c>
      <c r="C29" s="40" t="s">
        <v>47</v>
      </c>
      <c r="D29" s="41">
        <v>893387</v>
      </c>
      <c r="E29" s="41" t="s">
        <v>130</v>
      </c>
      <c r="F29" s="41" t="s">
        <v>131</v>
      </c>
      <c r="G29" s="41" t="s">
        <v>132</v>
      </c>
      <c r="H29" s="41" t="s">
        <v>133</v>
      </c>
      <c r="I29" s="41" t="s">
        <v>102</v>
      </c>
      <c r="J29" s="41" t="s">
        <v>134</v>
      </c>
      <c r="K29" s="41" t="s">
        <v>135</v>
      </c>
      <c r="L29" s="41">
        <v>53</v>
      </c>
      <c r="M29" s="41" t="s">
        <v>56</v>
      </c>
      <c r="N29" s="41" t="s">
        <v>57</v>
      </c>
      <c r="O29" s="41">
        <v>1</v>
      </c>
      <c r="P29" s="41">
        <v>200</v>
      </c>
      <c r="Q29" s="42">
        <v>-309.85000000000002</v>
      </c>
      <c r="R29" s="41" t="s">
        <v>58</v>
      </c>
      <c r="S29" s="41" t="s">
        <v>136</v>
      </c>
      <c r="T29" s="43">
        <v>1</v>
      </c>
      <c r="U29" s="44">
        <v>0.67500000000000004</v>
      </c>
      <c r="V29" s="42">
        <v>-0.01</v>
      </c>
      <c r="W29" s="42">
        <v>209.14</v>
      </c>
      <c r="X29" s="41" t="s">
        <v>55</v>
      </c>
    </row>
    <row r="30" spans="1:24" s="40" customFormat="1" x14ac:dyDescent="0.2">
      <c r="A30" s="40" t="s">
        <v>80</v>
      </c>
      <c r="B30" s="40" t="s">
        <v>46</v>
      </c>
      <c r="C30" s="40" t="s">
        <v>47</v>
      </c>
      <c r="D30" s="41">
        <v>893387</v>
      </c>
      <c r="E30" s="41" t="s">
        <v>130</v>
      </c>
      <c r="F30" s="41" t="s">
        <v>131</v>
      </c>
      <c r="G30" s="41" t="s">
        <v>132</v>
      </c>
      <c r="H30" s="41" t="s">
        <v>133</v>
      </c>
      <c r="I30" s="41" t="s">
        <v>102</v>
      </c>
      <c r="J30" s="41" t="s">
        <v>134</v>
      </c>
      <c r="K30" s="41" t="s">
        <v>135</v>
      </c>
      <c r="L30" s="41">
        <v>53</v>
      </c>
      <c r="M30" s="41" t="s">
        <v>56</v>
      </c>
      <c r="N30" s="41" t="s">
        <v>57</v>
      </c>
      <c r="O30" s="41">
        <v>1</v>
      </c>
      <c r="P30" s="41">
        <v>200</v>
      </c>
      <c r="Q30" s="42">
        <v>-309.85000000000002</v>
      </c>
      <c r="R30" s="41" t="s">
        <v>58</v>
      </c>
      <c r="S30" s="41" t="s">
        <v>136</v>
      </c>
      <c r="T30" s="43">
        <v>1</v>
      </c>
      <c r="U30" s="44">
        <v>0.67500000000000004</v>
      </c>
      <c r="V30" s="42">
        <v>-209.15</v>
      </c>
      <c r="W30" s="42">
        <v>0</v>
      </c>
      <c r="X30" s="41" t="s">
        <v>55</v>
      </c>
    </row>
    <row r="31" spans="1:24" s="40" customFormat="1" x14ac:dyDescent="0.2">
      <c r="A31" s="40" t="s">
        <v>80</v>
      </c>
      <c r="B31" s="40" t="s">
        <v>46</v>
      </c>
      <c r="C31" s="40" t="s">
        <v>47</v>
      </c>
      <c r="D31" s="41">
        <v>893387</v>
      </c>
      <c r="E31" s="41" t="s">
        <v>213</v>
      </c>
      <c r="F31" s="41" t="s">
        <v>214</v>
      </c>
      <c r="G31" s="41" t="s">
        <v>164</v>
      </c>
      <c r="H31" s="41" t="s">
        <v>68</v>
      </c>
      <c r="I31" s="41" t="s">
        <v>97</v>
      </c>
      <c r="J31" s="41" t="s">
        <v>215</v>
      </c>
      <c r="K31" s="41" t="s">
        <v>215</v>
      </c>
      <c r="L31" s="41">
        <v>58</v>
      </c>
      <c r="M31" s="41" t="s">
        <v>56</v>
      </c>
      <c r="N31" s="41" t="s">
        <v>57</v>
      </c>
      <c r="O31" s="41">
        <v>1</v>
      </c>
      <c r="P31" s="41">
        <v>200</v>
      </c>
      <c r="Q31" s="42">
        <v>-223.92</v>
      </c>
      <c r="R31" s="41" t="s">
        <v>58</v>
      </c>
      <c r="S31" s="41" t="s">
        <v>136</v>
      </c>
      <c r="T31" s="43">
        <v>1</v>
      </c>
      <c r="U31" s="44">
        <v>1.5</v>
      </c>
      <c r="V31" s="42">
        <v>0</v>
      </c>
      <c r="W31" s="42">
        <v>335.88</v>
      </c>
      <c r="X31" s="41" t="s">
        <v>55</v>
      </c>
    </row>
    <row r="32" spans="1:24" s="13" customFormat="1" x14ac:dyDescent="0.2">
      <c r="A32" s="13" t="s">
        <v>80</v>
      </c>
      <c r="B32" s="13" t="s">
        <v>46</v>
      </c>
      <c r="C32" s="13" t="s">
        <v>47</v>
      </c>
      <c r="D32" s="30">
        <v>1282681</v>
      </c>
      <c r="E32" s="30" t="s">
        <v>168</v>
      </c>
      <c r="F32" s="30" t="s">
        <v>169</v>
      </c>
      <c r="G32" s="30" t="s">
        <v>95</v>
      </c>
      <c r="H32" s="30" t="s">
        <v>133</v>
      </c>
      <c r="I32" s="30" t="s">
        <v>159</v>
      </c>
      <c r="J32" s="30" t="s">
        <v>170</v>
      </c>
      <c r="K32" s="30" t="s">
        <v>171</v>
      </c>
      <c r="L32" s="30">
        <v>30</v>
      </c>
      <c r="M32" s="30" t="s">
        <v>56</v>
      </c>
      <c r="N32" s="30" t="s">
        <v>57</v>
      </c>
      <c r="O32" s="30">
        <v>1</v>
      </c>
      <c r="P32" s="30">
        <v>1000</v>
      </c>
      <c r="Q32" s="37">
        <v>356.04</v>
      </c>
      <c r="R32" s="30" t="s">
        <v>58</v>
      </c>
      <c r="S32" s="30" t="s">
        <v>98</v>
      </c>
      <c r="T32" s="38">
        <v>1</v>
      </c>
      <c r="U32" s="39">
        <v>1.26</v>
      </c>
      <c r="V32" s="37">
        <v>448.65</v>
      </c>
      <c r="W32" s="37">
        <v>448.65</v>
      </c>
      <c r="X32" s="30" t="s">
        <v>55</v>
      </c>
    </row>
    <row r="33" spans="1:24" s="13" customFormat="1" x14ac:dyDescent="0.2">
      <c r="A33" s="13" t="s">
        <v>80</v>
      </c>
      <c r="B33" s="13" t="s">
        <v>46</v>
      </c>
      <c r="C33" s="13" t="s">
        <v>47</v>
      </c>
      <c r="D33" s="30">
        <v>1282681</v>
      </c>
      <c r="E33" s="30" t="s">
        <v>168</v>
      </c>
      <c r="F33" s="30" t="s">
        <v>169</v>
      </c>
      <c r="G33" s="30" t="s">
        <v>95</v>
      </c>
      <c r="H33" s="30" t="s">
        <v>51</v>
      </c>
      <c r="I33" s="30" t="s">
        <v>159</v>
      </c>
      <c r="J33" s="30" t="s">
        <v>170</v>
      </c>
      <c r="K33" s="30" t="s">
        <v>171</v>
      </c>
      <c r="L33" s="30">
        <v>30</v>
      </c>
      <c r="M33" s="30" t="s">
        <v>56</v>
      </c>
      <c r="N33" s="30" t="s">
        <v>57</v>
      </c>
      <c r="O33" s="30">
        <v>1</v>
      </c>
      <c r="P33" s="30">
        <v>1000</v>
      </c>
      <c r="Q33" s="37">
        <v>39.56</v>
      </c>
      <c r="R33" s="30" t="s">
        <v>58</v>
      </c>
      <c r="S33" s="30" t="s">
        <v>172</v>
      </c>
      <c r="T33" s="38">
        <v>1</v>
      </c>
      <c r="U33" s="39">
        <v>1.26</v>
      </c>
      <c r="V33" s="37">
        <v>0</v>
      </c>
      <c r="W33" s="37">
        <v>-49.85</v>
      </c>
      <c r="X33" s="30" t="s">
        <v>55</v>
      </c>
    </row>
    <row r="34" spans="1:24" s="59" customFormat="1" x14ac:dyDescent="0.2">
      <c r="A34" s="13" t="s">
        <v>80</v>
      </c>
      <c r="B34" s="13" t="s">
        <v>46</v>
      </c>
      <c r="C34" s="13" t="s">
        <v>47</v>
      </c>
      <c r="D34" s="30">
        <v>606680</v>
      </c>
      <c r="E34" s="30" t="s">
        <v>93</v>
      </c>
      <c r="F34" s="30" t="s">
        <v>94</v>
      </c>
      <c r="G34" s="30" t="s">
        <v>95</v>
      </c>
      <c r="H34" s="30" t="s">
        <v>96</v>
      </c>
      <c r="I34" s="30" t="s">
        <v>97</v>
      </c>
      <c r="J34" s="30" t="s">
        <v>96</v>
      </c>
      <c r="K34" s="30" t="s">
        <v>96</v>
      </c>
      <c r="L34" s="30">
        <v>53</v>
      </c>
      <c r="M34" s="30" t="s">
        <v>56</v>
      </c>
      <c r="N34" s="30" t="s">
        <v>57</v>
      </c>
      <c r="O34" s="30">
        <v>1</v>
      </c>
      <c r="P34" s="30">
        <v>120</v>
      </c>
      <c r="Q34" s="37">
        <v>882.36</v>
      </c>
      <c r="R34" s="30" t="s">
        <v>58</v>
      </c>
      <c r="S34" s="30" t="s">
        <v>98</v>
      </c>
      <c r="T34" s="38">
        <v>1</v>
      </c>
      <c r="U34" s="39">
        <v>1.5</v>
      </c>
      <c r="V34" s="37">
        <v>1323.54</v>
      </c>
      <c r="W34" s="37">
        <v>1323.54</v>
      </c>
      <c r="X34" s="30" t="s">
        <v>55</v>
      </c>
    </row>
    <row r="35" spans="1:24" s="13" customFormat="1" x14ac:dyDescent="0.2">
      <c r="A35" s="13" t="s">
        <v>80</v>
      </c>
      <c r="B35" s="13" t="s">
        <v>46</v>
      </c>
      <c r="C35" s="13" t="s">
        <v>47</v>
      </c>
      <c r="D35" s="30">
        <v>606680</v>
      </c>
      <c r="E35" s="30" t="s">
        <v>99</v>
      </c>
      <c r="F35" s="30" t="s">
        <v>100</v>
      </c>
      <c r="G35" s="30" t="s">
        <v>101</v>
      </c>
      <c r="H35" s="30" t="s">
        <v>68</v>
      </c>
      <c r="I35" s="30" t="s">
        <v>102</v>
      </c>
      <c r="J35" s="30" t="s">
        <v>103</v>
      </c>
      <c r="K35" s="30" t="s">
        <v>103</v>
      </c>
      <c r="L35" s="30">
        <v>28</v>
      </c>
      <c r="M35" s="30" t="s">
        <v>56</v>
      </c>
      <c r="N35" s="30" t="s">
        <v>57</v>
      </c>
      <c r="O35" s="30">
        <v>1</v>
      </c>
      <c r="P35" s="30">
        <v>93</v>
      </c>
      <c r="Q35" s="37">
        <v>423</v>
      </c>
      <c r="R35" s="30" t="s">
        <v>58</v>
      </c>
      <c r="S35" s="30" t="s">
        <v>104</v>
      </c>
      <c r="T35" s="38">
        <v>1</v>
      </c>
      <c r="U35" s="39">
        <v>0.67500000000000004</v>
      </c>
      <c r="V35" s="37">
        <v>285.52999999999997</v>
      </c>
      <c r="W35" s="37">
        <v>285.52999999999997</v>
      </c>
      <c r="X35" s="30" t="s">
        <v>55</v>
      </c>
    </row>
    <row r="36" spans="1:24" s="49" customFormat="1" x14ac:dyDescent="0.2">
      <c r="A36" s="13" t="s">
        <v>220</v>
      </c>
      <c r="B36" s="13" t="s">
        <v>46</v>
      </c>
      <c r="C36" s="13" t="s">
        <v>47</v>
      </c>
      <c r="D36" s="30">
        <v>910791</v>
      </c>
      <c r="E36" s="30" t="s">
        <v>234</v>
      </c>
      <c r="F36" s="30" t="s">
        <v>235</v>
      </c>
      <c r="G36" s="30" t="s">
        <v>185</v>
      </c>
      <c r="H36" s="30" t="s">
        <v>133</v>
      </c>
      <c r="I36" s="30" t="s">
        <v>236</v>
      </c>
      <c r="J36" s="30" t="s">
        <v>62</v>
      </c>
      <c r="K36" s="30" t="s">
        <v>63</v>
      </c>
      <c r="L36" s="30" t="s">
        <v>55</v>
      </c>
      <c r="M36" s="30" t="s">
        <v>56</v>
      </c>
      <c r="N36" s="30" t="s">
        <v>57</v>
      </c>
      <c r="O36" s="30">
        <v>1</v>
      </c>
      <c r="P36" s="30">
        <v>0</v>
      </c>
      <c r="Q36" s="37">
        <v>34.799999999999997</v>
      </c>
      <c r="R36" s="30" t="s">
        <v>58</v>
      </c>
      <c r="S36" s="30" t="s">
        <v>98</v>
      </c>
      <c r="T36" s="38">
        <v>1</v>
      </c>
      <c r="U36" s="39">
        <v>0.65</v>
      </c>
      <c r="V36" s="37">
        <v>22.62</v>
      </c>
      <c r="W36" s="37">
        <v>0</v>
      </c>
      <c r="X36" s="30" t="s">
        <v>55</v>
      </c>
    </row>
    <row r="37" spans="1:24" s="13" customFormat="1" x14ac:dyDescent="0.2">
      <c r="A37" s="13" t="s">
        <v>220</v>
      </c>
      <c r="B37" s="13" t="s">
        <v>46</v>
      </c>
      <c r="C37" s="13" t="s">
        <v>47</v>
      </c>
      <c r="D37" s="30">
        <v>892048</v>
      </c>
      <c r="E37" s="30" t="s">
        <v>241</v>
      </c>
      <c r="F37" s="30" t="s">
        <v>242</v>
      </c>
      <c r="G37" s="30" t="s">
        <v>50</v>
      </c>
      <c r="H37" s="30" t="s">
        <v>51</v>
      </c>
      <c r="I37" s="30" t="s">
        <v>239</v>
      </c>
      <c r="J37" s="30" t="s">
        <v>96</v>
      </c>
      <c r="K37" s="30" t="s">
        <v>116</v>
      </c>
      <c r="L37" s="30" t="s">
        <v>55</v>
      </c>
      <c r="M37" s="30" t="s">
        <v>56</v>
      </c>
      <c r="N37" s="30" t="s">
        <v>57</v>
      </c>
      <c r="O37" s="30">
        <v>1</v>
      </c>
      <c r="P37" s="30">
        <v>0</v>
      </c>
      <c r="Q37" s="37">
        <v>79.28</v>
      </c>
      <c r="R37" s="30" t="s">
        <v>58</v>
      </c>
      <c r="S37" s="30" t="s">
        <v>98</v>
      </c>
      <c r="T37" s="38">
        <v>1</v>
      </c>
      <c r="U37" s="39">
        <v>0.52</v>
      </c>
      <c r="V37" s="37">
        <v>41.23</v>
      </c>
      <c r="W37" s="37">
        <v>0</v>
      </c>
      <c r="X37" s="30" t="s">
        <v>55</v>
      </c>
    </row>
    <row r="38" spans="1:24" s="13" customFormat="1" x14ac:dyDescent="0.2">
      <c r="A38" s="49" t="s">
        <v>80</v>
      </c>
      <c r="B38" s="49" t="s">
        <v>46</v>
      </c>
      <c r="C38" s="49" t="s">
        <v>47</v>
      </c>
      <c r="D38" s="50">
        <v>1227344</v>
      </c>
      <c r="E38" s="50" t="s">
        <v>166</v>
      </c>
      <c r="F38" s="50" t="s">
        <v>167</v>
      </c>
      <c r="G38" s="50" t="s">
        <v>124</v>
      </c>
      <c r="H38" s="50" t="s">
        <v>68</v>
      </c>
      <c r="I38" s="50" t="s">
        <v>107</v>
      </c>
      <c r="J38" s="50" t="s">
        <v>68</v>
      </c>
      <c r="K38" s="50" t="s">
        <v>70</v>
      </c>
      <c r="L38" s="50">
        <v>76</v>
      </c>
      <c r="M38" s="50" t="s">
        <v>56</v>
      </c>
      <c r="N38" s="50" t="s">
        <v>57</v>
      </c>
      <c r="O38" s="50">
        <v>1</v>
      </c>
      <c r="P38" s="50">
        <v>25</v>
      </c>
      <c r="Q38" s="51">
        <v>2365.11</v>
      </c>
      <c r="R38" s="50" t="s">
        <v>58</v>
      </c>
      <c r="S38" s="50" t="s">
        <v>98</v>
      </c>
      <c r="T38" s="52">
        <v>1</v>
      </c>
      <c r="U38" s="53">
        <v>1.35</v>
      </c>
      <c r="V38" s="51">
        <v>2000</v>
      </c>
      <c r="W38" s="51">
        <v>2000</v>
      </c>
      <c r="X38" s="50" t="s">
        <v>55</v>
      </c>
    </row>
    <row r="39" spans="1:24" s="13" customFormat="1" x14ac:dyDescent="0.2">
      <c r="A39" s="13" t="s">
        <v>80</v>
      </c>
      <c r="B39" s="13" t="s">
        <v>46</v>
      </c>
      <c r="C39" s="13" t="s">
        <v>47</v>
      </c>
      <c r="D39" s="30">
        <v>910791</v>
      </c>
      <c r="E39" s="30" t="s">
        <v>208</v>
      </c>
      <c r="F39" s="30" t="s">
        <v>209</v>
      </c>
      <c r="G39" s="30" t="s">
        <v>185</v>
      </c>
      <c r="H39" s="30" t="s">
        <v>62</v>
      </c>
      <c r="I39" s="30" t="s">
        <v>186</v>
      </c>
      <c r="J39" s="30" t="s">
        <v>62</v>
      </c>
      <c r="K39" s="30" t="s">
        <v>63</v>
      </c>
      <c r="L39" s="30">
        <v>66</v>
      </c>
      <c r="M39" s="30" t="s">
        <v>56</v>
      </c>
      <c r="N39" s="30" t="s">
        <v>57</v>
      </c>
      <c r="O39" s="30">
        <v>1</v>
      </c>
      <c r="P39" s="30">
        <v>10</v>
      </c>
      <c r="Q39" s="37">
        <v>636.84</v>
      </c>
      <c r="R39" s="30" t="s">
        <v>58</v>
      </c>
      <c r="S39" s="30" t="s">
        <v>98</v>
      </c>
      <c r="T39" s="38">
        <v>1</v>
      </c>
      <c r="U39" s="39">
        <v>0.875</v>
      </c>
      <c r="V39" s="37">
        <v>557.28</v>
      </c>
      <c r="W39" s="37">
        <v>557.28</v>
      </c>
      <c r="X39" s="30" t="s">
        <v>55</v>
      </c>
    </row>
    <row r="40" spans="1:24" s="13" customFormat="1" x14ac:dyDescent="0.2">
      <c r="A40" s="13" t="s">
        <v>80</v>
      </c>
      <c r="B40" s="13" t="s">
        <v>46</v>
      </c>
      <c r="C40" s="13" t="s">
        <v>47</v>
      </c>
      <c r="D40" s="30">
        <v>910791</v>
      </c>
      <c r="E40" s="30" t="s">
        <v>208</v>
      </c>
      <c r="F40" s="30" t="s">
        <v>209</v>
      </c>
      <c r="G40" s="30" t="s">
        <v>185</v>
      </c>
      <c r="H40" s="30" t="s">
        <v>96</v>
      </c>
      <c r="I40" s="30" t="s">
        <v>186</v>
      </c>
      <c r="J40" s="30" t="s">
        <v>62</v>
      </c>
      <c r="K40" s="30" t="s">
        <v>63</v>
      </c>
      <c r="L40" s="30">
        <v>66</v>
      </c>
      <c r="M40" s="30" t="s">
        <v>56</v>
      </c>
      <c r="N40" s="30" t="s">
        <v>57</v>
      </c>
      <c r="O40" s="30">
        <v>1</v>
      </c>
      <c r="P40" s="30">
        <v>10</v>
      </c>
      <c r="Q40" s="37">
        <v>70.760000000000005</v>
      </c>
      <c r="R40" s="30" t="s">
        <v>58</v>
      </c>
      <c r="S40" s="30" t="s">
        <v>172</v>
      </c>
      <c r="T40" s="38">
        <v>1</v>
      </c>
      <c r="U40" s="39">
        <v>0.875</v>
      </c>
      <c r="V40" s="37">
        <v>0</v>
      </c>
      <c r="W40" s="37">
        <v>-61.92</v>
      </c>
      <c r="X40" s="30" t="s">
        <v>55</v>
      </c>
    </row>
    <row r="41" spans="1:24" s="13" customFormat="1" x14ac:dyDescent="0.2">
      <c r="A41" s="13" t="s">
        <v>80</v>
      </c>
      <c r="B41" s="13" t="s">
        <v>46</v>
      </c>
      <c r="C41" s="13" t="s">
        <v>47</v>
      </c>
      <c r="D41" s="30">
        <v>1095713</v>
      </c>
      <c r="E41" s="30" t="s">
        <v>191</v>
      </c>
      <c r="F41" s="30" t="s">
        <v>192</v>
      </c>
      <c r="G41" s="30" t="s">
        <v>193</v>
      </c>
      <c r="H41" s="30" t="s">
        <v>133</v>
      </c>
      <c r="I41" s="30" t="s">
        <v>107</v>
      </c>
      <c r="J41" s="30" t="s">
        <v>171</v>
      </c>
      <c r="K41" s="30" t="s">
        <v>194</v>
      </c>
      <c r="L41" s="30">
        <v>67</v>
      </c>
      <c r="M41" s="30" t="s">
        <v>56</v>
      </c>
      <c r="N41" s="30" t="s">
        <v>57</v>
      </c>
      <c r="O41" s="30">
        <v>1</v>
      </c>
      <c r="P41" s="30">
        <v>15</v>
      </c>
      <c r="Q41" s="37">
        <v>73.040000000000006</v>
      </c>
      <c r="R41" s="30" t="s">
        <v>58</v>
      </c>
      <c r="S41" s="30" t="s">
        <v>172</v>
      </c>
      <c r="T41" s="38">
        <v>1</v>
      </c>
      <c r="U41" s="39">
        <v>1.35</v>
      </c>
      <c r="V41" s="37">
        <v>0</v>
      </c>
      <c r="W41" s="37">
        <v>-98.6</v>
      </c>
      <c r="X41" s="30" t="s">
        <v>55</v>
      </c>
    </row>
    <row r="42" spans="1:24" s="13" customFormat="1" x14ac:dyDescent="0.2">
      <c r="A42" s="13" t="s">
        <v>220</v>
      </c>
      <c r="B42" s="13" t="s">
        <v>46</v>
      </c>
      <c r="C42" s="13" t="s">
        <v>47</v>
      </c>
      <c r="D42" s="30">
        <v>910791</v>
      </c>
      <c r="E42" s="30" t="s">
        <v>231</v>
      </c>
      <c r="F42" s="30" t="s">
        <v>232</v>
      </c>
      <c r="G42" s="30" t="s">
        <v>185</v>
      </c>
      <c r="H42" s="30" t="s">
        <v>62</v>
      </c>
      <c r="I42" s="30" t="s">
        <v>233</v>
      </c>
      <c r="J42" s="30" t="s">
        <v>62</v>
      </c>
      <c r="K42" s="30" t="s">
        <v>63</v>
      </c>
      <c r="L42" s="30" t="s">
        <v>55</v>
      </c>
      <c r="M42" s="30" t="s">
        <v>56</v>
      </c>
      <c r="N42" s="30" t="s">
        <v>57</v>
      </c>
      <c r="O42" s="30">
        <v>1</v>
      </c>
      <c r="P42" s="30">
        <v>0</v>
      </c>
      <c r="Q42" s="37">
        <v>70.97</v>
      </c>
      <c r="R42" s="30" t="s">
        <v>58</v>
      </c>
      <c r="S42" s="30" t="s">
        <v>98</v>
      </c>
      <c r="T42" s="38">
        <v>1</v>
      </c>
      <c r="U42" s="39">
        <v>0.56000000000000005</v>
      </c>
      <c r="V42" s="37">
        <v>39.74</v>
      </c>
      <c r="W42" s="37">
        <v>0</v>
      </c>
      <c r="X42" s="30" t="s">
        <v>55</v>
      </c>
    </row>
    <row r="43" spans="1:24" s="13" customFormat="1" x14ac:dyDescent="0.2">
      <c r="A43" s="13" t="s">
        <v>80</v>
      </c>
      <c r="B43" s="13" t="s">
        <v>46</v>
      </c>
      <c r="C43" s="13" t="s">
        <v>47</v>
      </c>
      <c r="D43" s="30">
        <v>818994</v>
      </c>
      <c r="E43" s="30" t="s">
        <v>189</v>
      </c>
      <c r="F43" s="30" t="s">
        <v>190</v>
      </c>
      <c r="G43" s="30" t="s">
        <v>185</v>
      </c>
      <c r="H43" s="30" t="s">
        <v>62</v>
      </c>
      <c r="I43" s="30" t="s">
        <v>107</v>
      </c>
      <c r="J43" s="30" t="s">
        <v>187</v>
      </c>
      <c r="K43" s="30" t="s">
        <v>188</v>
      </c>
      <c r="L43" s="30">
        <v>74</v>
      </c>
      <c r="M43" s="30" t="s">
        <v>56</v>
      </c>
      <c r="N43" s="30" t="s">
        <v>57</v>
      </c>
      <c r="O43" s="30">
        <v>1</v>
      </c>
      <c r="P43" s="30">
        <v>4</v>
      </c>
      <c r="Q43" s="37">
        <v>29.04</v>
      </c>
      <c r="R43" s="30" t="s">
        <v>58</v>
      </c>
      <c r="S43" s="30" t="s">
        <v>172</v>
      </c>
      <c r="T43" s="38">
        <v>1</v>
      </c>
      <c r="U43" s="39">
        <v>1.35</v>
      </c>
      <c r="V43" s="37">
        <v>0</v>
      </c>
      <c r="W43" s="37">
        <v>-39.200000000000003</v>
      </c>
      <c r="X43" s="30" t="s">
        <v>55</v>
      </c>
    </row>
    <row r="44" spans="1:24" s="13" customFormat="1" x14ac:dyDescent="0.2">
      <c r="A44" s="13" t="s">
        <v>80</v>
      </c>
      <c r="B44" s="13" t="s">
        <v>46</v>
      </c>
      <c r="C44" s="13" t="s">
        <v>47</v>
      </c>
      <c r="D44" s="30">
        <v>818994</v>
      </c>
      <c r="E44" s="30" t="s">
        <v>183</v>
      </c>
      <c r="F44" s="30" t="s">
        <v>184</v>
      </c>
      <c r="G44" s="30" t="s">
        <v>185</v>
      </c>
      <c r="H44" s="30" t="s">
        <v>62</v>
      </c>
      <c r="I44" s="30" t="s">
        <v>186</v>
      </c>
      <c r="J44" s="30" t="s">
        <v>187</v>
      </c>
      <c r="K44" s="30" t="s">
        <v>188</v>
      </c>
      <c r="L44" s="30">
        <v>75</v>
      </c>
      <c r="M44" s="30" t="s">
        <v>56</v>
      </c>
      <c r="N44" s="30" t="s">
        <v>57</v>
      </c>
      <c r="O44" s="30">
        <v>1</v>
      </c>
      <c r="P44" s="30">
        <v>4</v>
      </c>
      <c r="Q44" s="37">
        <v>45.92</v>
      </c>
      <c r="R44" s="30" t="s">
        <v>58</v>
      </c>
      <c r="S44" s="30" t="s">
        <v>172</v>
      </c>
      <c r="T44" s="38">
        <v>1</v>
      </c>
      <c r="U44" s="39">
        <v>0.875</v>
      </c>
      <c r="V44" s="37">
        <v>0</v>
      </c>
      <c r="W44" s="37">
        <v>-40.18</v>
      </c>
      <c r="X44" s="30" t="s">
        <v>55</v>
      </c>
    </row>
    <row r="45" spans="1:24" s="13" customFormat="1" x14ac:dyDescent="0.2">
      <c r="A45" s="13" t="s">
        <v>80</v>
      </c>
      <c r="B45" s="13" t="s">
        <v>46</v>
      </c>
      <c r="C45" s="13" t="s">
        <v>47</v>
      </c>
      <c r="D45" s="30">
        <v>816910</v>
      </c>
      <c r="E45" s="30" t="s">
        <v>176</v>
      </c>
      <c r="F45" s="30" t="s">
        <v>177</v>
      </c>
      <c r="G45" s="30" t="s">
        <v>178</v>
      </c>
      <c r="H45" s="30" t="s">
        <v>68</v>
      </c>
      <c r="I45" s="30" t="s">
        <v>102</v>
      </c>
      <c r="J45" s="30" t="s">
        <v>133</v>
      </c>
      <c r="K45" s="30" t="s">
        <v>126</v>
      </c>
      <c r="L45" s="30">
        <v>58</v>
      </c>
      <c r="M45" s="30" t="s">
        <v>56</v>
      </c>
      <c r="N45" s="30" t="s">
        <v>57</v>
      </c>
      <c r="O45" s="30">
        <v>1</v>
      </c>
      <c r="P45" s="30">
        <v>75</v>
      </c>
      <c r="Q45" s="37">
        <v>116.91</v>
      </c>
      <c r="R45" s="30" t="s">
        <v>58</v>
      </c>
      <c r="S45" s="30" t="s">
        <v>172</v>
      </c>
      <c r="T45" s="38">
        <v>1</v>
      </c>
      <c r="U45" s="39">
        <v>0.67500000000000004</v>
      </c>
      <c r="V45" s="37">
        <v>0</v>
      </c>
      <c r="W45" s="37">
        <v>-78.91</v>
      </c>
      <c r="X45" s="30" t="s">
        <v>55</v>
      </c>
    </row>
    <row r="46" spans="1:24" s="13" customFormat="1" x14ac:dyDescent="0.2">
      <c r="A46" s="13" t="s">
        <v>80</v>
      </c>
      <c r="B46" s="13" t="s">
        <v>46</v>
      </c>
      <c r="C46" s="13" t="s">
        <v>47</v>
      </c>
      <c r="D46" s="30">
        <v>910791</v>
      </c>
      <c r="E46" s="30" t="s">
        <v>205</v>
      </c>
      <c r="F46" s="30" t="s">
        <v>206</v>
      </c>
      <c r="G46" s="30" t="s">
        <v>185</v>
      </c>
      <c r="H46" s="30" t="s">
        <v>68</v>
      </c>
      <c r="I46" s="30" t="s">
        <v>97</v>
      </c>
      <c r="J46" s="30" t="s">
        <v>207</v>
      </c>
      <c r="K46" s="30" t="s">
        <v>54</v>
      </c>
      <c r="L46" s="30">
        <v>50</v>
      </c>
      <c r="M46" s="30" t="s">
        <v>56</v>
      </c>
      <c r="N46" s="30" t="s">
        <v>57</v>
      </c>
      <c r="O46" s="30">
        <v>1</v>
      </c>
      <c r="P46" s="30">
        <v>40</v>
      </c>
      <c r="Q46" s="37">
        <v>56.11</v>
      </c>
      <c r="R46" s="30" t="s">
        <v>58</v>
      </c>
      <c r="S46" s="30" t="s">
        <v>172</v>
      </c>
      <c r="T46" s="38">
        <v>1</v>
      </c>
      <c r="U46" s="39">
        <v>1.5</v>
      </c>
      <c r="V46" s="37">
        <v>0</v>
      </c>
      <c r="W46" s="37">
        <v>-84.17</v>
      </c>
      <c r="X46" s="30" t="s">
        <v>55</v>
      </c>
    </row>
    <row r="47" spans="1:24" s="13" customFormat="1" x14ac:dyDescent="0.2">
      <c r="A47" s="13" t="s">
        <v>80</v>
      </c>
      <c r="B47" s="13" t="s">
        <v>46</v>
      </c>
      <c r="C47" s="13" t="s">
        <v>47</v>
      </c>
      <c r="D47" s="30">
        <v>816910</v>
      </c>
      <c r="E47" s="30" t="s">
        <v>179</v>
      </c>
      <c r="F47" s="30" t="s">
        <v>180</v>
      </c>
      <c r="G47" s="30" t="s">
        <v>124</v>
      </c>
      <c r="H47" s="30" t="s">
        <v>133</v>
      </c>
      <c r="I47" s="30" t="s">
        <v>102</v>
      </c>
      <c r="J47" s="30" t="s">
        <v>181</v>
      </c>
      <c r="K47" s="30" t="s">
        <v>182</v>
      </c>
      <c r="L47" s="30">
        <v>62</v>
      </c>
      <c r="M47" s="30" t="s">
        <v>56</v>
      </c>
      <c r="N47" s="30" t="s">
        <v>57</v>
      </c>
      <c r="O47" s="30">
        <v>1</v>
      </c>
      <c r="P47" s="30">
        <v>30</v>
      </c>
      <c r="Q47" s="37">
        <v>86.28</v>
      </c>
      <c r="R47" s="30" t="s">
        <v>58</v>
      </c>
      <c r="S47" s="30" t="s">
        <v>172</v>
      </c>
      <c r="T47" s="38">
        <v>1</v>
      </c>
      <c r="U47" s="39">
        <v>0.67500000000000004</v>
      </c>
      <c r="V47" s="37">
        <v>0</v>
      </c>
      <c r="W47" s="37">
        <v>-58.24</v>
      </c>
      <c r="X47" s="30" t="s">
        <v>55</v>
      </c>
    </row>
    <row r="48" spans="1:24" s="13" customFormat="1" x14ac:dyDescent="0.2">
      <c r="A48" s="13" t="s">
        <v>80</v>
      </c>
      <c r="B48" s="13" t="s">
        <v>46</v>
      </c>
      <c r="C48" s="13" t="s">
        <v>47</v>
      </c>
      <c r="D48" s="30">
        <v>893387</v>
      </c>
      <c r="E48" s="30" t="s">
        <v>217</v>
      </c>
      <c r="F48" s="30" t="s">
        <v>218</v>
      </c>
      <c r="G48" s="30" t="s">
        <v>219</v>
      </c>
      <c r="H48" s="30" t="s">
        <v>133</v>
      </c>
      <c r="I48" s="30" t="s">
        <v>97</v>
      </c>
      <c r="J48" s="30" t="s">
        <v>135</v>
      </c>
      <c r="K48" s="30" t="s">
        <v>135</v>
      </c>
      <c r="L48" s="30">
        <v>63</v>
      </c>
      <c r="M48" s="30" t="s">
        <v>56</v>
      </c>
      <c r="N48" s="30" t="s">
        <v>57</v>
      </c>
      <c r="O48" s="30">
        <v>1</v>
      </c>
      <c r="P48" s="30">
        <v>150</v>
      </c>
      <c r="Q48" s="37">
        <v>2573.64</v>
      </c>
      <c r="R48" s="30" t="s">
        <v>58</v>
      </c>
      <c r="S48" s="30" t="s">
        <v>98</v>
      </c>
      <c r="T48" s="38">
        <v>1</v>
      </c>
      <c r="U48" s="39">
        <v>1.5</v>
      </c>
      <c r="V48" s="37">
        <v>2000</v>
      </c>
      <c r="W48" s="37">
        <v>2000</v>
      </c>
      <c r="X48" s="30" t="s">
        <v>55</v>
      </c>
    </row>
    <row r="49" spans="1:24" s="13" customFormat="1" x14ac:dyDescent="0.2">
      <c r="A49" s="13" t="s">
        <v>80</v>
      </c>
      <c r="B49" s="13" t="s">
        <v>46</v>
      </c>
      <c r="C49" s="13" t="s">
        <v>47</v>
      </c>
      <c r="D49" s="30">
        <v>606680</v>
      </c>
      <c r="E49" s="30" t="s">
        <v>127</v>
      </c>
      <c r="F49" s="30" t="s">
        <v>128</v>
      </c>
      <c r="G49" s="30" t="s">
        <v>129</v>
      </c>
      <c r="H49" s="30" t="s">
        <v>96</v>
      </c>
      <c r="I49" s="30" t="s">
        <v>97</v>
      </c>
      <c r="J49" s="30" t="s">
        <v>54</v>
      </c>
      <c r="K49" s="30" t="s">
        <v>54</v>
      </c>
      <c r="L49" s="30">
        <v>45</v>
      </c>
      <c r="M49" s="30" t="s">
        <v>56</v>
      </c>
      <c r="N49" s="30" t="s">
        <v>57</v>
      </c>
      <c r="O49" s="30">
        <v>1</v>
      </c>
      <c r="P49" s="30">
        <v>160</v>
      </c>
      <c r="Q49" s="37">
        <v>587.61</v>
      </c>
      <c r="R49" s="30" t="s">
        <v>58</v>
      </c>
      <c r="S49" s="30" t="s">
        <v>98</v>
      </c>
      <c r="T49" s="38">
        <v>1</v>
      </c>
      <c r="U49" s="39">
        <v>1.5</v>
      </c>
      <c r="V49" s="37">
        <v>881.46</v>
      </c>
      <c r="W49" s="37">
        <v>881.46</v>
      </c>
      <c r="X49" s="30" t="s">
        <v>55</v>
      </c>
    </row>
    <row r="50" spans="1:24" s="13" customFormat="1" x14ac:dyDescent="0.2">
      <c r="A50" s="59" t="s">
        <v>220</v>
      </c>
      <c r="B50" s="59" t="s">
        <v>46</v>
      </c>
      <c r="C50" s="59" t="s">
        <v>47</v>
      </c>
      <c r="D50" s="60">
        <v>938286</v>
      </c>
      <c r="E50" s="60" t="s">
        <v>225</v>
      </c>
      <c r="F50" s="60" t="s">
        <v>226</v>
      </c>
      <c r="G50" s="60" t="s">
        <v>129</v>
      </c>
      <c r="H50" s="60" t="s">
        <v>133</v>
      </c>
      <c r="I50" s="60" t="s">
        <v>227</v>
      </c>
      <c r="J50" s="60" t="s">
        <v>228</v>
      </c>
      <c r="K50" s="60" t="s">
        <v>229</v>
      </c>
      <c r="L50" s="60" t="s">
        <v>55</v>
      </c>
      <c r="M50" s="60" t="s">
        <v>56</v>
      </c>
      <c r="N50" s="60" t="s">
        <v>57</v>
      </c>
      <c r="O50" s="60">
        <v>1</v>
      </c>
      <c r="P50" s="60">
        <v>0</v>
      </c>
      <c r="Q50" s="61">
        <v>-31.93</v>
      </c>
      <c r="R50" s="60" t="s">
        <v>58</v>
      </c>
      <c r="S50" s="60" t="s">
        <v>230</v>
      </c>
      <c r="T50" s="62">
        <v>1</v>
      </c>
      <c r="U50" s="63">
        <v>0.52</v>
      </c>
      <c r="V50" s="61">
        <v>-16.600000000000001</v>
      </c>
      <c r="W50" s="61">
        <v>0</v>
      </c>
      <c r="X50" s="60" t="s">
        <v>55</v>
      </c>
    </row>
    <row r="51" spans="1:24" s="40" customFormat="1" x14ac:dyDescent="0.2">
      <c r="A51" s="40" t="s">
        <v>80</v>
      </c>
      <c r="B51" s="40" t="s">
        <v>46</v>
      </c>
      <c r="C51" s="40" t="s">
        <v>47</v>
      </c>
      <c r="D51" s="41">
        <v>893387</v>
      </c>
      <c r="E51" s="41" t="s">
        <v>213</v>
      </c>
      <c r="F51" s="41" t="s">
        <v>214</v>
      </c>
      <c r="G51" s="41" t="s">
        <v>164</v>
      </c>
      <c r="H51" s="41" t="s">
        <v>68</v>
      </c>
      <c r="I51" s="41" t="s">
        <v>97</v>
      </c>
      <c r="J51" s="41" t="s">
        <v>215</v>
      </c>
      <c r="K51" s="41" t="s">
        <v>215</v>
      </c>
      <c r="L51" s="41">
        <v>58</v>
      </c>
      <c r="M51" s="41" t="s">
        <v>56</v>
      </c>
      <c r="N51" s="41" t="s">
        <v>57</v>
      </c>
      <c r="O51" s="41">
        <v>1</v>
      </c>
      <c r="P51" s="41">
        <v>200</v>
      </c>
      <c r="Q51" s="42">
        <v>-2239.1999999999998</v>
      </c>
      <c r="R51" s="41" t="s">
        <v>58</v>
      </c>
      <c r="S51" s="41" t="s">
        <v>216</v>
      </c>
      <c r="T51" s="43">
        <v>1</v>
      </c>
      <c r="U51" s="44">
        <v>1.5</v>
      </c>
      <c r="V51" s="42">
        <v>-2000</v>
      </c>
      <c r="W51" s="42">
        <v>-1664.12</v>
      </c>
      <c r="X51" s="41" t="s">
        <v>55</v>
      </c>
    </row>
    <row r="52" spans="1:24" s="59" customFormat="1" x14ac:dyDescent="0.2">
      <c r="A52" s="59" t="s">
        <v>80</v>
      </c>
      <c r="B52" s="59" t="s">
        <v>46</v>
      </c>
      <c r="C52" s="59" t="s">
        <v>47</v>
      </c>
      <c r="D52" s="60">
        <v>1075176</v>
      </c>
      <c r="E52" s="60" t="s">
        <v>110</v>
      </c>
      <c r="F52" s="60" t="s">
        <v>111</v>
      </c>
      <c r="G52" s="60" t="s">
        <v>50</v>
      </c>
      <c r="H52" s="60" t="s">
        <v>96</v>
      </c>
      <c r="I52" s="60" t="s">
        <v>102</v>
      </c>
      <c r="J52" s="60" t="s">
        <v>96</v>
      </c>
      <c r="K52" s="60" t="s">
        <v>96</v>
      </c>
      <c r="L52" s="60">
        <v>65</v>
      </c>
      <c r="M52" s="60" t="s">
        <v>56</v>
      </c>
      <c r="N52" s="60" t="s">
        <v>57</v>
      </c>
      <c r="O52" s="60">
        <v>1</v>
      </c>
      <c r="P52" s="60">
        <v>25</v>
      </c>
      <c r="Q52" s="61">
        <v>617.94000000000005</v>
      </c>
      <c r="R52" s="60" t="s">
        <v>58</v>
      </c>
      <c r="S52" s="60" t="s">
        <v>98</v>
      </c>
      <c r="T52" s="62">
        <v>1</v>
      </c>
      <c r="U52" s="63">
        <v>1.35</v>
      </c>
      <c r="V52" s="61">
        <v>834.22</v>
      </c>
      <c r="W52" s="61">
        <v>834.22</v>
      </c>
      <c r="X52" s="60" t="s">
        <v>55</v>
      </c>
    </row>
    <row r="53" spans="1:24" x14ac:dyDescent="0.2">
      <c r="A53" s="1" t="s">
        <v>220</v>
      </c>
      <c r="B53" s="1" t="s">
        <v>46</v>
      </c>
      <c r="C53" s="1" t="s">
        <v>65</v>
      </c>
      <c r="D53" s="10">
        <v>513364</v>
      </c>
      <c r="E53" s="10" t="s">
        <v>260</v>
      </c>
      <c r="F53" s="10" t="s">
        <v>261</v>
      </c>
      <c r="G53" s="10" t="s">
        <v>50</v>
      </c>
      <c r="H53" s="10" t="s">
        <v>51</v>
      </c>
      <c r="I53" s="10" t="s">
        <v>227</v>
      </c>
      <c r="J53" s="10" t="s">
        <v>262</v>
      </c>
      <c r="K53" s="10" t="s">
        <v>263</v>
      </c>
      <c r="L53" s="10" t="s">
        <v>55</v>
      </c>
      <c r="M53" s="10" t="s">
        <v>56</v>
      </c>
      <c r="N53" s="10" t="s">
        <v>57</v>
      </c>
      <c r="O53" s="10">
        <v>1</v>
      </c>
      <c r="P53" s="10">
        <v>0</v>
      </c>
      <c r="Q53" s="34">
        <v>36.08</v>
      </c>
      <c r="R53" s="10" t="s">
        <v>78</v>
      </c>
      <c r="S53" s="10" t="s">
        <v>79</v>
      </c>
      <c r="T53" s="35">
        <v>1</v>
      </c>
      <c r="U53" s="36">
        <v>0.03</v>
      </c>
      <c r="V53" s="34">
        <v>1.08</v>
      </c>
      <c r="W53" s="34">
        <v>0</v>
      </c>
      <c r="X53" s="10" t="s">
        <v>55</v>
      </c>
    </row>
    <row r="54" spans="1:24" x14ac:dyDescent="0.2">
      <c r="A54" s="1" t="s">
        <v>220</v>
      </c>
      <c r="B54" s="1" t="s">
        <v>46</v>
      </c>
      <c r="C54" s="1" t="s">
        <v>65</v>
      </c>
      <c r="D54" s="10">
        <v>816910</v>
      </c>
      <c r="E54" s="10" t="s">
        <v>250</v>
      </c>
      <c r="F54" s="10" t="s">
        <v>251</v>
      </c>
      <c r="G54" s="10" t="s">
        <v>124</v>
      </c>
      <c r="H54" s="10" t="s">
        <v>96</v>
      </c>
      <c r="I54" s="10" t="s">
        <v>252</v>
      </c>
      <c r="J54" s="10" t="s">
        <v>253</v>
      </c>
      <c r="K54" s="10" t="s">
        <v>54</v>
      </c>
      <c r="L54" s="10" t="s">
        <v>55</v>
      </c>
      <c r="M54" s="10" t="s">
        <v>56</v>
      </c>
      <c r="N54" s="10" t="s">
        <v>57</v>
      </c>
      <c r="O54" s="10">
        <v>1</v>
      </c>
      <c r="P54" s="10">
        <v>0</v>
      </c>
      <c r="Q54" s="34">
        <v>151.93</v>
      </c>
      <c r="R54" s="10" t="s">
        <v>78</v>
      </c>
      <c r="S54" s="10" t="s">
        <v>79</v>
      </c>
      <c r="T54" s="35">
        <v>1</v>
      </c>
      <c r="U54" s="36">
        <v>0.23</v>
      </c>
      <c r="V54" s="34">
        <v>34.94</v>
      </c>
      <c r="W54" s="34">
        <v>0</v>
      </c>
      <c r="X54" s="10" t="s">
        <v>55</v>
      </c>
    </row>
    <row r="55" spans="1:24" x14ac:dyDescent="0.2">
      <c r="A55" s="1" t="s">
        <v>220</v>
      </c>
      <c r="B55" s="1" t="s">
        <v>46</v>
      </c>
      <c r="C55" s="1" t="s">
        <v>65</v>
      </c>
      <c r="D55" s="10">
        <v>816910</v>
      </c>
      <c r="E55" s="10" t="s">
        <v>254</v>
      </c>
      <c r="F55" s="10" t="s">
        <v>255</v>
      </c>
      <c r="G55" s="10" t="s">
        <v>124</v>
      </c>
      <c r="H55" s="10" t="s">
        <v>96</v>
      </c>
      <c r="I55" s="10" t="s">
        <v>252</v>
      </c>
      <c r="J55" s="10" t="s">
        <v>256</v>
      </c>
      <c r="K55" s="10" t="s">
        <v>54</v>
      </c>
      <c r="L55" s="10" t="s">
        <v>55</v>
      </c>
      <c r="M55" s="10" t="s">
        <v>56</v>
      </c>
      <c r="N55" s="10" t="s">
        <v>57</v>
      </c>
      <c r="O55" s="10">
        <v>1</v>
      </c>
      <c r="P55" s="10">
        <v>0</v>
      </c>
      <c r="Q55" s="34">
        <v>132.11000000000001</v>
      </c>
      <c r="R55" s="10" t="s">
        <v>78</v>
      </c>
      <c r="S55" s="10" t="s">
        <v>79</v>
      </c>
      <c r="T55" s="35">
        <v>1</v>
      </c>
      <c r="U55" s="36">
        <v>0.23</v>
      </c>
      <c r="V55" s="34">
        <v>30.39</v>
      </c>
      <c r="W55" s="34">
        <v>0</v>
      </c>
      <c r="X55" s="10" t="s">
        <v>55</v>
      </c>
    </row>
    <row r="56" spans="1:24" x14ac:dyDescent="0.2">
      <c r="A56" s="1" t="s">
        <v>80</v>
      </c>
      <c r="B56" s="1" t="s">
        <v>46</v>
      </c>
      <c r="C56" s="1" t="s">
        <v>65</v>
      </c>
      <c r="D56" s="10">
        <v>957310</v>
      </c>
      <c r="E56" s="10" t="s">
        <v>86</v>
      </c>
      <c r="F56" s="10" t="s">
        <v>87</v>
      </c>
      <c r="G56" s="10" t="s">
        <v>83</v>
      </c>
      <c r="H56" s="10" t="s">
        <v>68</v>
      </c>
      <c r="I56" s="10" t="s">
        <v>84</v>
      </c>
      <c r="J56" s="10" t="s">
        <v>85</v>
      </c>
      <c r="K56" s="10" t="s">
        <v>54</v>
      </c>
      <c r="L56" s="10" t="s">
        <v>55</v>
      </c>
      <c r="M56" s="10" t="s">
        <v>56</v>
      </c>
      <c r="N56" s="10" t="s">
        <v>57</v>
      </c>
      <c r="O56" s="10">
        <v>1</v>
      </c>
      <c r="P56" s="10">
        <v>0</v>
      </c>
      <c r="Q56" s="34">
        <v>229.97</v>
      </c>
      <c r="R56" s="10" t="s">
        <v>78</v>
      </c>
      <c r="S56" s="10" t="s">
        <v>79</v>
      </c>
      <c r="T56" s="35">
        <v>1</v>
      </c>
      <c r="U56" s="36">
        <v>0.215</v>
      </c>
      <c r="V56" s="34">
        <v>49.44</v>
      </c>
      <c r="W56" s="34">
        <v>0</v>
      </c>
      <c r="X56" s="10" t="s">
        <v>55</v>
      </c>
    </row>
    <row r="57" spans="1:24" x14ac:dyDescent="0.2">
      <c r="A57" s="1" t="s">
        <v>80</v>
      </c>
      <c r="B57" s="1" t="s">
        <v>46</v>
      </c>
      <c r="C57" s="1" t="s">
        <v>65</v>
      </c>
      <c r="D57" s="10">
        <v>957310</v>
      </c>
      <c r="E57" s="10" t="s">
        <v>81</v>
      </c>
      <c r="F57" s="10" t="s">
        <v>82</v>
      </c>
      <c r="G57" s="10" t="s">
        <v>83</v>
      </c>
      <c r="H57" s="10" t="s">
        <v>68</v>
      </c>
      <c r="I57" s="10" t="s">
        <v>84</v>
      </c>
      <c r="J57" s="10" t="s">
        <v>85</v>
      </c>
      <c r="K57" s="10" t="s">
        <v>54</v>
      </c>
      <c r="L57" s="10" t="s">
        <v>55</v>
      </c>
      <c r="M57" s="10" t="s">
        <v>56</v>
      </c>
      <c r="N57" s="10" t="s">
        <v>57</v>
      </c>
      <c r="O57" s="10">
        <v>1</v>
      </c>
      <c r="P57" s="10">
        <v>0</v>
      </c>
      <c r="Q57" s="34">
        <v>137.74</v>
      </c>
      <c r="R57" s="10" t="s">
        <v>78</v>
      </c>
      <c r="S57" s="10" t="s">
        <v>79</v>
      </c>
      <c r="T57" s="35">
        <v>1</v>
      </c>
      <c r="U57" s="36">
        <v>0.215</v>
      </c>
      <c r="V57" s="34">
        <v>29.61</v>
      </c>
      <c r="W57" s="34">
        <v>0</v>
      </c>
      <c r="X57" s="10" t="s">
        <v>55</v>
      </c>
    </row>
    <row r="58" spans="1:24" x14ac:dyDescent="0.2">
      <c r="A58" s="1" t="s">
        <v>71</v>
      </c>
      <c r="B58" s="1" t="s">
        <v>46</v>
      </c>
      <c r="C58" s="1" t="s">
        <v>65</v>
      </c>
      <c r="D58" s="10">
        <v>815390</v>
      </c>
      <c r="E58" s="10" t="s">
        <v>72</v>
      </c>
      <c r="F58" s="10" t="s">
        <v>73</v>
      </c>
      <c r="G58" s="10" t="s">
        <v>74</v>
      </c>
      <c r="H58" s="10" t="s">
        <v>68</v>
      </c>
      <c r="I58" s="10" t="s">
        <v>75</v>
      </c>
      <c r="J58" s="10" t="s">
        <v>76</v>
      </c>
      <c r="K58" s="10" t="s">
        <v>77</v>
      </c>
      <c r="L58" s="10" t="s">
        <v>55</v>
      </c>
      <c r="M58" s="10" t="s">
        <v>56</v>
      </c>
      <c r="N58" s="10" t="s">
        <v>57</v>
      </c>
      <c r="O58" s="10">
        <v>1</v>
      </c>
      <c r="P58" s="10">
        <v>0</v>
      </c>
      <c r="Q58" s="34">
        <v>157.77000000000001</v>
      </c>
      <c r="R58" s="10" t="s">
        <v>78</v>
      </c>
      <c r="S58" s="10" t="s">
        <v>79</v>
      </c>
      <c r="T58" s="35">
        <v>1</v>
      </c>
      <c r="U58" s="36">
        <v>0.185</v>
      </c>
      <c r="V58" s="34">
        <v>29.19</v>
      </c>
      <c r="W58" s="34">
        <v>0</v>
      </c>
      <c r="X58" s="10" t="s">
        <v>55</v>
      </c>
    </row>
    <row r="59" spans="1:24" x14ac:dyDescent="0.2">
      <c r="A59" s="1" t="s">
        <v>220</v>
      </c>
      <c r="B59" s="1" t="s">
        <v>46</v>
      </c>
      <c r="C59" s="1" t="s">
        <v>65</v>
      </c>
      <c r="D59" s="10">
        <v>513364</v>
      </c>
      <c r="E59" s="10" t="s">
        <v>257</v>
      </c>
      <c r="F59" s="10" t="s">
        <v>258</v>
      </c>
      <c r="G59" s="10" t="s">
        <v>50</v>
      </c>
      <c r="H59" s="10" t="s">
        <v>68</v>
      </c>
      <c r="I59" s="10" t="s">
        <v>227</v>
      </c>
      <c r="J59" s="10" t="s">
        <v>259</v>
      </c>
      <c r="K59" s="10" t="s">
        <v>54</v>
      </c>
      <c r="L59" s="10" t="s">
        <v>55</v>
      </c>
      <c r="M59" s="10" t="s">
        <v>56</v>
      </c>
      <c r="N59" s="10" t="s">
        <v>57</v>
      </c>
      <c r="O59" s="10">
        <v>1</v>
      </c>
      <c r="P59" s="10">
        <v>0</v>
      </c>
      <c r="Q59" s="34">
        <v>36.08</v>
      </c>
      <c r="R59" s="10" t="s">
        <v>78</v>
      </c>
      <c r="S59" s="10" t="s">
        <v>79</v>
      </c>
      <c r="T59" s="35">
        <v>1</v>
      </c>
      <c r="U59" s="36">
        <v>0.03</v>
      </c>
      <c r="V59" s="34">
        <v>1.08</v>
      </c>
      <c r="W59" s="34">
        <v>0</v>
      </c>
      <c r="X59" s="10" t="s">
        <v>55</v>
      </c>
    </row>
  </sheetData>
  <autoFilter ref="A1:X59" xr:uid="{00000000-0001-0000-0100-000000000000}">
    <sortState xmlns:xlrd2="http://schemas.microsoft.com/office/spreadsheetml/2017/richdata2" ref="A2:X59">
      <sortCondition ref="S1:S59"/>
    </sortState>
  </autoFilter>
  <sortState xmlns:xlrd2="http://schemas.microsoft.com/office/spreadsheetml/2017/richdata2" ref="A32:X52">
    <sortCondition ref="F32:F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2D30-D8D9-48F0-8EF0-EDEC28FF1D5E}">
  <dimension ref="A1:AG63"/>
  <sheetViews>
    <sheetView topLeftCell="B1" workbookViewId="0">
      <selection activeCell="C10" sqref="C10"/>
    </sheetView>
  </sheetViews>
  <sheetFormatPr defaultRowHeight="14.25" x14ac:dyDescent="0.2"/>
  <cols>
    <col min="1" max="1" width="22.7109375" style="1" bestFit="1" customWidth="1"/>
    <col min="2" max="2" width="14.7109375" style="10" bestFit="1" customWidth="1"/>
    <col min="3" max="3" width="14" style="1" customWidth="1"/>
    <col min="4" max="6" width="30" style="1" customWidth="1"/>
    <col min="7" max="7" width="13" style="1" customWidth="1"/>
    <col min="8" max="11" width="15" style="1" customWidth="1"/>
    <col min="12" max="12" width="6.42578125" style="1" customWidth="1"/>
    <col min="13" max="13" width="8.28515625" style="1" customWidth="1"/>
    <col min="14" max="14" width="9.5703125" style="1" customWidth="1"/>
    <col min="15" max="15" width="5.42578125" style="1" customWidth="1"/>
    <col min="16" max="16" width="5.140625" style="1" customWidth="1"/>
    <col min="17" max="17" width="11.7109375" style="1" bestFit="1" customWidth="1"/>
    <col min="18" max="18" width="9" style="1" customWidth="1"/>
    <col min="19" max="19" width="9.85546875" style="1" customWidth="1"/>
    <col min="20" max="20" width="4.85546875" style="1" customWidth="1"/>
    <col min="21" max="21" width="20" style="1" customWidth="1"/>
    <col min="22" max="22" width="9.42578125" style="1" customWidth="1"/>
    <col min="23" max="24" width="15" style="1" customWidth="1"/>
    <col min="25" max="16384" width="9.140625" style="1"/>
  </cols>
  <sheetData>
    <row r="1" spans="1:33" ht="30" customHeight="1" x14ac:dyDescent="0.2">
      <c r="A1" s="1" t="s">
        <v>264</v>
      </c>
      <c r="B1" s="20" t="s">
        <v>24</v>
      </c>
      <c r="C1" s="9" t="s">
        <v>25</v>
      </c>
      <c r="D1" s="9" t="s">
        <v>26</v>
      </c>
      <c r="E1" s="9" t="s">
        <v>324</v>
      </c>
      <c r="F1" s="9" t="s">
        <v>323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/>
      <c r="M1" s="9"/>
      <c r="N1" s="9"/>
      <c r="O1" s="9" t="s">
        <v>33</v>
      </c>
      <c r="P1" s="9" t="s">
        <v>35</v>
      </c>
      <c r="Q1" s="9" t="s">
        <v>301</v>
      </c>
      <c r="R1" s="9" t="s">
        <v>325</v>
      </c>
      <c r="S1" s="9" t="s">
        <v>37</v>
      </c>
      <c r="T1" s="9" t="s">
        <v>38</v>
      </c>
      <c r="U1" s="9" t="s">
        <v>39</v>
      </c>
      <c r="V1" s="9" t="s">
        <v>41</v>
      </c>
      <c r="W1" s="9" t="s">
        <v>42</v>
      </c>
      <c r="X1" s="9" t="s">
        <v>43</v>
      </c>
    </row>
    <row r="2" spans="1:33" s="23" customFormat="1" x14ac:dyDescent="0.2">
      <c r="A2" s="1" t="s">
        <v>280</v>
      </c>
      <c r="B2" s="10">
        <v>9079571</v>
      </c>
      <c r="C2" s="1" t="s">
        <v>250</v>
      </c>
      <c r="D2" s="1" t="s">
        <v>251</v>
      </c>
      <c r="E2" s="1" t="s">
        <v>288</v>
      </c>
      <c r="F2" s="1" t="s">
        <v>302</v>
      </c>
      <c r="G2" s="1" t="s">
        <v>124</v>
      </c>
      <c r="H2" s="1" t="s">
        <v>96</v>
      </c>
      <c r="I2" s="1" t="s">
        <v>252</v>
      </c>
      <c r="J2" s="1" t="s">
        <v>253</v>
      </c>
      <c r="K2" s="1" t="s">
        <v>54</v>
      </c>
      <c r="L2" s="1">
        <f>DATEDIF(J2,K2,"M")</f>
        <v>26</v>
      </c>
      <c r="M2" s="33" t="s">
        <v>335</v>
      </c>
      <c r="N2" s="33" t="s">
        <v>336</v>
      </c>
      <c r="O2" s="1" t="s">
        <v>56</v>
      </c>
      <c r="P2" s="1">
        <v>1</v>
      </c>
      <c r="Q2" s="1">
        <v>204.03</v>
      </c>
      <c r="R2" s="21">
        <f>Q2*V2</f>
        <v>46.926900000000003</v>
      </c>
      <c r="S2" s="11">
        <v>151.93</v>
      </c>
      <c r="T2" s="1" t="s">
        <v>78</v>
      </c>
      <c r="U2" s="1" t="s">
        <v>79</v>
      </c>
      <c r="V2" s="12">
        <v>0.23</v>
      </c>
      <c r="W2" s="11">
        <v>34.94</v>
      </c>
      <c r="X2" s="11">
        <v>0</v>
      </c>
      <c r="Y2" s="16"/>
      <c r="Z2" s="16"/>
      <c r="AA2" s="16"/>
      <c r="AB2" s="16"/>
      <c r="AC2" s="16"/>
      <c r="AD2" s="16"/>
      <c r="AE2" s="16"/>
      <c r="AF2" s="16"/>
      <c r="AG2" s="16"/>
    </row>
    <row r="3" spans="1:33" s="23" customFormat="1" x14ac:dyDescent="0.2">
      <c r="A3" s="1" t="s">
        <v>280</v>
      </c>
      <c r="B3" s="10">
        <v>9079571</v>
      </c>
      <c r="C3" s="1" t="s">
        <v>254</v>
      </c>
      <c r="D3" s="1" t="s">
        <v>255</v>
      </c>
      <c r="E3" s="1" t="s">
        <v>288</v>
      </c>
      <c r="F3" s="1" t="s">
        <v>302</v>
      </c>
      <c r="G3" s="1" t="s">
        <v>124</v>
      </c>
      <c r="H3" s="1" t="s">
        <v>96</v>
      </c>
      <c r="I3" s="1" t="s">
        <v>252</v>
      </c>
      <c r="J3" s="1" t="s">
        <v>256</v>
      </c>
      <c r="K3" s="1" t="s">
        <v>54</v>
      </c>
      <c r="L3" s="1">
        <f>DATEDIF(J3,K3,"M")</f>
        <v>23</v>
      </c>
      <c r="M3" s="33" t="s">
        <v>335</v>
      </c>
      <c r="N3" s="33" t="s">
        <v>336</v>
      </c>
      <c r="O3" s="1" t="s">
        <v>56</v>
      </c>
      <c r="P3" s="1">
        <v>1</v>
      </c>
      <c r="Q3" s="1">
        <v>147.96</v>
      </c>
      <c r="R3" s="21">
        <f>Q3*V3</f>
        <v>34.030800000000006</v>
      </c>
      <c r="S3" s="11">
        <v>132.11000000000001</v>
      </c>
      <c r="T3" s="1" t="s">
        <v>78</v>
      </c>
      <c r="U3" s="1" t="s">
        <v>79</v>
      </c>
      <c r="V3" s="12">
        <v>0.23</v>
      </c>
      <c r="W3" s="11">
        <v>30.39</v>
      </c>
      <c r="X3" s="11">
        <v>0</v>
      </c>
      <c r="Y3" s="16"/>
      <c r="Z3" s="16"/>
      <c r="AA3" s="16"/>
      <c r="AB3" s="16"/>
      <c r="AC3" s="16"/>
      <c r="AD3" s="16"/>
      <c r="AE3" s="16"/>
      <c r="AF3" s="16"/>
      <c r="AG3" s="16"/>
    </row>
    <row r="4" spans="1:33" s="23" customFormat="1" x14ac:dyDescent="0.2">
      <c r="A4" s="1" t="s">
        <v>280</v>
      </c>
      <c r="B4" s="10">
        <v>9079571</v>
      </c>
      <c r="C4" s="1" t="s">
        <v>176</v>
      </c>
      <c r="D4" s="1" t="s">
        <v>177</v>
      </c>
      <c r="E4" s="1" t="s">
        <v>291</v>
      </c>
      <c r="F4" s="1" t="s">
        <v>307</v>
      </c>
      <c r="G4" s="1" t="s">
        <v>178</v>
      </c>
      <c r="H4" s="1" t="s">
        <v>68</v>
      </c>
      <c r="I4" s="1" t="s">
        <v>102</v>
      </c>
      <c r="J4" s="1" t="s">
        <v>133</v>
      </c>
      <c r="K4" s="1" t="s">
        <v>126</v>
      </c>
      <c r="L4" s="1">
        <f>DATEDIF(J4,K4,"M")</f>
        <v>1</v>
      </c>
      <c r="M4" s="33" t="s">
        <v>335</v>
      </c>
      <c r="N4" s="33" t="s">
        <v>336</v>
      </c>
      <c r="O4" s="1" t="s">
        <v>56</v>
      </c>
      <c r="P4" s="1">
        <v>1</v>
      </c>
      <c r="Q4" s="1">
        <v>116.91</v>
      </c>
      <c r="R4" s="21">
        <f>Q4*V4</f>
        <v>78.91425000000001</v>
      </c>
      <c r="S4" s="11">
        <v>116.91</v>
      </c>
      <c r="T4" s="1" t="s">
        <v>58</v>
      </c>
      <c r="U4" s="1" t="s">
        <v>172</v>
      </c>
      <c r="V4" s="12">
        <v>0.67500000000000004</v>
      </c>
      <c r="W4" s="11">
        <v>0</v>
      </c>
      <c r="X4" s="11">
        <v>-78.91</v>
      </c>
      <c r="Y4" s="16"/>
      <c r="Z4" s="16"/>
      <c r="AA4" s="16"/>
      <c r="AB4" s="16"/>
      <c r="AC4" s="16"/>
      <c r="AD4" s="16"/>
      <c r="AE4" s="16"/>
      <c r="AF4" s="16"/>
      <c r="AG4" s="16"/>
    </row>
    <row r="5" spans="1:33" s="23" customFormat="1" x14ac:dyDescent="0.2">
      <c r="A5" s="1" t="s">
        <v>280</v>
      </c>
      <c r="B5" s="10">
        <v>9079571</v>
      </c>
      <c r="C5" s="1" t="s">
        <v>179</v>
      </c>
      <c r="D5" s="1" t="s">
        <v>180</v>
      </c>
      <c r="E5" s="1" t="s">
        <v>291</v>
      </c>
      <c r="F5" s="1" t="s">
        <v>307</v>
      </c>
      <c r="G5" s="1" t="s">
        <v>124</v>
      </c>
      <c r="H5" s="1" t="s">
        <v>133</v>
      </c>
      <c r="I5" s="1" t="s">
        <v>102</v>
      </c>
      <c r="J5" s="1" t="s">
        <v>181</v>
      </c>
      <c r="K5" s="1" t="s">
        <v>182</v>
      </c>
      <c r="L5" s="1">
        <f>DATEDIF(J5,K5,"M")</f>
        <v>1</v>
      </c>
      <c r="M5" s="33" t="s">
        <v>335</v>
      </c>
      <c r="N5" s="33" t="s">
        <v>336</v>
      </c>
      <c r="O5" s="1" t="s">
        <v>56</v>
      </c>
      <c r="P5" s="1">
        <v>1</v>
      </c>
      <c r="Q5" s="1">
        <v>86.28</v>
      </c>
      <c r="R5" s="21">
        <f>Q5*V5</f>
        <v>58.239000000000004</v>
      </c>
      <c r="S5" s="11">
        <v>86.28</v>
      </c>
      <c r="T5" s="1" t="s">
        <v>58</v>
      </c>
      <c r="U5" s="1" t="s">
        <v>172</v>
      </c>
      <c r="V5" s="12">
        <v>0.67500000000000004</v>
      </c>
      <c r="W5" s="11">
        <v>0</v>
      </c>
      <c r="X5" s="11">
        <v>-58.24</v>
      </c>
      <c r="Y5" s="16"/>
      <c r="Z5" s="16"/>
      <c r="AA5" s="16"/>
      <c r="AB5" s="16"/>
      <c r="AC5" s="16"/>
      <c r="AD5" s="16"/>
      <c r="AE5" s="16"/>
      <c r="AF5" s="16"/>
      <c r="AG5" s="16"/>
    </row>
    <row r="6" spans="1:33" s="13" customFormat="1" x14ac:dyDescent="0.2">
      <c r="A6" s="13" t="s">
        <v>269</v>
      </c>
      <c r="B6" s="30">
        <v>16912722</v>
      </c>
      <c r="C6" s="13" t="s">
        <v>88</v>
      </c>
      <c r="D6" s="13" t="s">
        <v>89</v>
      </c>
      <c r="E6" s="13" t="s">
        <v>289</v>
      </c>
      <c r="F6" s="13" t="s">
        <v>289</v>
      </c>
      <c r="G6" s="13" t="s">
        <v>50</v>
      </c>
      <c r="H6" s="13" t="s">
        <v>51</v>
      </c>
      <c r="I6" s="13" t="s">
        <v>90</v>
      </c>
      <c r="J6" s="13" t="s">
        <v>91</v>
      </c>
      <c r="K6" s="13" t="s">
        <v>92</v>
      </c>
      <c r="L6" s="13">
        <f>DATEDIF(J6,K6,"M")</f>
        <v>2</v>
      </c>
      <c r="M6" s="32" t="s">
        <v>335</v>
      </c>
      <c r="N6" s="32" t="s">
        <v>337</v>
      </c>
      <c r="O6" s="13" t="s">
        <v>56</v>
      </c>
      <c r="P6" s="13">
        <v>1</v>
      </c>
      <c r="Q6" s="13">
        <v>34.75</v>
      </c>
      <c r="R6" s="31">
        <f>Q6*V6</f>
        <v>39.962499999999999</v>
      </c>
      <c r="S6" s="14">
        <v>34.75</v>
      </c>
      <c r="T6" s="13" t="s">
        <v>58</v>
      </c>
      <c r="U6" s="13" t="s">
        <v>59</v>
      </c>
      <c r="V6" s="15">
        <v>1.1499999999999999</v>
      </c>
      <c r="W6" s="14">
        <v>0</v>
      </c>
      <c r="X6" s="14">
        <v>-39.96</v>
      </c>
      <c r="Y6" s="16"/>
      <c r="Z6" s="16"/>
      <c r="AA6" s="16"/>
      <c r="AB6" s="16"/>
      <c r="AC6" s="16"/>
      <c r="AD6" s="16"/>
      <c r="AE6" s="16"/>
      <c r="AF6" s="16"/>
      <c r="AG6" s="16"/>
    </row>
    <row r="7" spans="1:33" s="13" customFormat="1" x14ac:dyDescent="0.2">
      <c r="A7" s="13" t="s">
        <v>274</v>
      </c>
      <c r="B7" s="30">
        <v>7470776</v>
      </c>
      <c r="C7" s="13" t="s">
        <v>139</v>
      </c>
      <c r="D7" s="13" t="s">
        <v>140</v>
      </c>
      <c r="E7" s="13" t="s">
        <v>289</v>
      </c>
      <c r="F7" s="13" t="s">
        <v>309</v>
      </c>
      <c r="G7" s="13" t="s">
        <v>50</v>
      </c>
      <c r="H7" s="13" t="s">
        <v>51</v>
      </c>
      <c r="I7" s="13" t="s">
        <v>90</v>
      </c>
      <c r="J7" s="13" t="s">
        <v>141</v>
      </c>
      <c r="K7" s="13" t="s">
        <v>121</v>
      </c>
      <c r="L7" s="13">
        <f>DATEDIF(J7,K7,"M")</f>
        <v>8</v>
      </c>
      <c r="M7" s="32" t="s">
        <v>335</v>
      </c>
      <c r="N7" s="32" t="s">
        <v>337</v>
      </c>
      <c r="O7" s="13" t="s">
        <v>56</v>
      </c>
      <c r="P7" s="13">
        <v>1</v>
      </c>
      <c r="Q7" s="13">
        <v>34.75</v>
      </c>
      <c r="R7" s="31">
        <f>Q7*V7</f>
        <v>39.962499999999999</v>
      </c>
      <c r="S7" s="14">
        <v>34.75</v>
      </c>
      <c r="T7" s="13" t="s">
        <v>58</v>
      </c>
      <c r="U7" s="13" t="s">
        <v>59</v>
      </c>
      <c r="V7" s="15">
        <v>1.1499999999999999</v>
      </c>
      <c r="W7" s="14">
        <v>0</v>
      </c>
      <c r="X7" s="14">
        <v>-39.96</v>
      </c>
      <c r="Y7" s="16"/>
      <c r="Z7" s="16"/>
      <c r="AA7" s="16"/>
      <c r="AB7" s="16"/>
      <c r="AC7" s="16"/>
      <c r="AD7" s="16"/>
      <c r="AE7" s="16"/>
      <c r="AF7" s="16"/>
      <c r="AG7" s="16"/>
    </row>
    <row r="8" spans="1:33" s="16" customFormat="1" x14ac:dyDescent="0.2">
      <c r="A8" s="1" t="s">
        <v>268</v>
      </c>
      <c r="B8" s="10" t="s">
        <v>319</v>
      </c>
      <c r="C8" s="1" t="s">
        <v>86</v>
      </c>
      <c r="D8" s="1" t="s">
        <v>87</v>
      </c>
      <c r="E8" s="1" t="s">
        <v>288</v>
      </c>
      <c r="F8" s="1" t="s">
        <v>305</v>
      </c>
      <c r="G8" s="1" t="s">
        <v>83</v>
      </c>
      <c r="H8" s="1" t="s">
        <v>68</v>
      </c>
      <c r="I8" s="1" t="s">
        <v>84</v>
      </c>
      <c r="J8" s="1" t="s">
        <v>85</v>
      </c>
      <c r="K8" s="1" t="s">
        <v>54</v>
      </c>
      <c r="L8" s="1">
        <f>DATEDIF(J8,K8,"M")</f>
        <v>28</v>
      </c>
      <c r="M8" s="33" t="s">
        <v>335</v>
      </c>
      <c r="N8" s="33" t="s">
        <v>336</v>
      </c>
      <c r="O8" s="1" t="s">
        <v>56</v>
      </c>
      <c r="P8" s="1">
        <v>1</v>
      </c>
      <c r="Q8" s="1">
        <v>333.37</v>
      </c>
      <c r="R8" s="21">
        <f>Q8*V8</f>
        <v>71.674549999999996</v>
      </c>
      <c r="S8" s="11">
        <v>229.97</v>
      </c>
      <c r="T8" s="1" t="s">
        <v>78</v>
      </c>
      <c r="U8" s="1" t="s">
        <v>79</v>
      </c>
      <c r="V8" s="12">
        <v>0.215</v>
      </c>
      <c r="W8" s="11">
        <v>49.44</v>
      </c>
      <c r="X8" s="11">
        <v>0</v>
      </c>
    </row>
    <row r="9" spans="1:33" s="16" customFormat="1" x14ac:dyDescent="0.2">
      <c r="A9" s="1" t="s">
        <v>268</v>
      </c>
      <c r="B9" s="10" t="s">
        <v>319</v>
      </c>
      <c r="C9" s="1" t="s">
        <v>81</v>
      </c>
      <c r="D9" s="1" t="s">
        <v>82</v>
      </c>
      <c r="E9" s="1" t="s">
        <v>288</v>
      </c>
      <c r="F9" s="1" t="s">
        <v>305</v>
      </c>
      <c r="G9" s="1" t="s">
        <v>83</v>
      </c>
      <c r="H9" s="1" t="s">
        <v>68</v>
      </c>
      <c r="I9" s="1" t="s">
        <v>84</v>
      </c>
      <c r="J9" s="1" t="s">
        <v>85</v>
      </c>
      <c r="K9" s="1" t="s">
        <v>54</v>
      </c>
      <c r="L9" s="1">
        <f>DATEDIF(J9,K9,"M")</f>
        <v>28</v>
      </c>
      <c r="M9" s="33" t="s">
        <v>335</v>
      </c>
      <c r="N9" s="33" t="s">
        <v>336</v>
      </c>
      <c r="O9" s="1" t="s">
        <v>56</v>
      </c>
      <c r="P9" s="1">
        <v>1</v>
      </c>
      <c r="Q9" s="1">
        <v>183.59</v>
      </c>
      <c r="R9" s="21">
        <f>Q9*V9</f>
        <v>39.471850000000003</v>
      </c>
      <c r="S9" s="11">
        <v>137.74</v>
      </c>
      <c r="T9" s="1" t="s">
        <v>78</v>
      </c>
      <c r="U9" s="1" t="s">
        <v>79</v>
      </c>
      <c r="V9" s="12">
        <v>0.215</v>
      </c>
      <c r="W9" s="11">
        <v>29.61</v>
      </c>
      <c r="X9" s="11">
        <v>0</v>
      </c>
    </row>
    <row r="10" spans="1:33" s="13" customFormat="1" x14ac:dyDescent="0.2">
      <c r="A10" s="13" t="s">
        <v>283</v>
      </c>
      <c r="B10" s="30">
        <v>21104854</v>
      </c>
      <c r="C10" s="13" t="s">
        <v>195</v>
      </c>
      <c r="D10" s="13" t="s">
        <v>196</v>
      </c>
      <c r="E10" s="13" t="s">
        <v>294</v>
      </c>
      <c r="F10" s="13" t="s">
        <v>312</v>
      </c>
      <c r="G10" s="13" t="s">
        <v>50</v>
      </c>
      <c r="H10" s="13" t="s">
        <v>96</v>
      </c>
      <c r="I10" s="13" t="s">
        <v>159</v>
      </c>
      <c r="J10" s="13" t="s">
        <v>197</v>
      </c>
      <c r="K10" s="13" t="s">
        <v>198</v>
      </c>
      <c r="L10" s="13">
        <f>DATEDIF(J10,K10,"M")</f>
        <v>6</v>
      </c>
      <c r="M10" s="32" t="s">
        <v>335</v>
      </c>
      <c r="N10" s="32" t="s">
        <v>337</v>
      </c>
      <c r="O10" s="13" t="s">
        <v>56</v>
      </c>
      <c r="P10" s="13">
        <v>1</v>
      </c>
      <c r="Q10" s="13">
        <v>342.93</v>
      </c>
      <c r="R10" s="31">
        <f>Q10*V10</f>
        <v>432.09180000000003</v>
      </c>
      <c r="S10" s="14">
        <v>337.55</v>
      </c>
      <c r="T10" s="13" t="s">
        <v>58</v>
      </c>
      <c r="U10" s="13" t="s">
        <v>59</v>
      </c>
      <c r="V10" s="15">
        <v>1.26</v>
      </c>
      <c r="W10" s="14">
        <v>425.31</v>
      </c>
      <c r="X10" s="14">
        <v>0</v>
      </c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x14ac:dyDescent="0.2">
      <c r="A11" s="1" t="s">
        <v>267</v>
      </c>
      <c r="B11" s="10" t="s">
        <v>318</v>
      </c>
      <c r="C11" s="1" t="s">
        <v>72</v>
      </c>
      <c r="D11" s="1" t="s">
        <v>73</v>
      </c>
      <c r="E11" s="1" t="s">
        <v>288</v>
      </c>
      <c r="F11" s="1" t="s">
        <v>304</v>
      </c>
      <c r="G11" s="1" t="s">
        <v>74</v>
      </c>
      <c r="H11" s="1" t="s">
        <v>68</v>
      </c>
      <c r="I11" s="1" t="s">
        <v>75</v>
      </c>
      <c r="J11" s="1" t="s">
        <v>76</v>
      </c>
      <c r="K11" s="1" t="s">
        <v>77</v>
      </c>
      <c r="L11" s="1">
        <f>DATEDIF(J11,K11,"M")</f>
        <v>28</v>
      </c>
      <c r="M11" s="33" t="s">
        <v>335</v>
      </c>
      <c r="N11" s="33" t="s">
        <v>336</v>
      </c>
      <c r="O11" s="1" t="s">
        <v>56</v>
      </c>
      <c r="P11" s="1">
        <v>1</v>
      </c>
      <c r="Q11" s="1">
        <v>228.77</v>
      </c>
      <c r="R11" s="21">
        <f>Q11*V11</f>
        <v>42.322450000000003</v>
      </c>
      <c r="S11" s="11">
        <v>157.77000000000001</v>
      </c>
      <c r="T11" s="1" t="s">
        <v>78</v>
      </c>
      <c r="U11" s="1" t="s">
        <v>79</v>
      </c>
      <c r="V11" s="12">
        <v>0.185</v>
      </c>
      <c r="W11" s="11">
        <v>29.19</v>
      </c>
      <c r="X11" s="11">
        <v>0</v>
      </c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s="13" customFormat="1" x14ac:dyDescent="0.2">
      <c r="A12" s="13" t="s">
        <v>287</v>
      </c>
      <c r="B12" s="30">
        <v>8325282</v>
      </c>
      <c r="C12" s="13" t="s">
        <v>260</v>
      </c>
      <c r="D12" s="13" t="s">
        <v>261</v>
      </c>
      <c r="E12" s="13" t="s">
        <v>297</v>
      </c>
      <c r="F12" s="13" t="s">
        <v>317</v>
      </c>
      <c r="G12" s="13" t="s">
        <v>50</v>
      </c>
      <c r="H12" s="13" t="s">
        <v>51</v>
      </c>
      <c r="I12" s="13" t="s">
        <v>227</v>
      </c>
      <c r="J12" s="13" t="s">
        <v>262</v>
      </c>
      <c r="K12" s="13" t="s">
        <v>263</v>
      </c>
      <c r="L12" s="13">
        <f>DATEDIF(J12,K12,"M")</f>
        <v>14</v>
      </c>
      <c r="M12" s="32" t="s">
        <v>335</v>
      </c>
      <c r="N12" s="32" t="s">
        <v>336</v>
      </c>
      <c r="O12" s="13" t="s">
        <v>56</v>
      </c>
      <c r="P12" s="13">
        <v>1</v>
      </c>
      <c r="Q12" s="13">
        <v>36.08</v>
      </c>
      <c r="R12" s="31">
        <f>Q12*V12</f>
        <v>1.0823999999999998</v>
      </c>
      <c r="S12" s="14">
        <v>36.08</v>
      </c>
      <c r="T12" s="13" t="s">
        <v>78</v>
      </c>
      <c r="U12" s="13" t="s">
        <v>79</v>
      </c>
      <c r="V12" s="15">
        <v>0.03</v>
      </c>
      <c r="W12" s="14">
        <v>1.08</v>
      </c>
      <c r="X12" s="14">
        <v>0</v>
      </c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s="13" customFormat="1" x14ac:dyDescent="0.2">
      <c r="A13" s="13" t="s">
        <v>287</v>
      </c>
      <c r="B13" s="30">
        <v>8325282</v>
      </c>
      <c r="C13" s="13" t="s">
        <v>245</v>
      </c>
      <c r="D13" s="13" t="s">
        <v>246</v>
      </c>
      <c r="E13" s="13" t="s">
        <v>297</v>
      </c>
      <c r="F13" s="13" t="s">
        <v>317</v>
      </c>
      <c r="G13" s="13" t="s">
        <v>50</v>
      </c>
      <c r="H13" s="13" t="s">
        <v>51</v>
      </c>
      <c r="I13" s="13" t="s">
        <v>227</v>
      </c>
      <c r="J13" s="13" t="s">
        <v>247</v>
      </c>
      <c r="K13" s="13" t="s">
        <v>248</v>
      </c>
      <c r="L13" s="13">
        <f>DATEDIF(J13,K13,"M")</f>
        <v>6</v>
      </c>
      <c r="M13" s="32" t="s">
        <v>335</v>
      </c>
      <c r="N13" s="32" t="s">
        <v>337</v>
      </c>
      <c r="O13" s="13" t="s">
        <v>56</v>
      </c>
      <c r="P13" s="13">
        <v>1</v>
      </c>
      <c r="Q13" s="13">
        <v>38.08</v>
      </c>
      <c r="R13" s="31">
        <f>Q13*V13</f>
        <v>19.801600000000001</v>
      </c>
      <c r="S13" s="14">
        <v>38.08</v>
      </c>
      <c r="T13" s="13" t="s">
        <v>58</v>
      </c>
      <c r="U13" s="13" t="s">
        <v>59</v>
      </c>
      <c r="V13" s="15">
        <v>0.52</v>
      </c>
      <c r="W13" s="14">
        <v>19.8</v>
      </c>
      <c r="X13" s="14">
        <v>0</v>
      </c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s="16" customFormat="1" x14ac:dyDescent="0.2">
      <c r="A14" s="13" t="s">
        <v>287</v>
      </c>
      <c r="B14" s="30">
        <v>8325282</v>
      </c>
      <c r="C14" s="13" t="s">
        <v>243</v>
      </c>
      <c r="D14" s="13" t="s">
        <v>244</v>
      </c>
      <c r="E14" s="13" t="s">
        <v>297</v>
      </c>
      <c r="F14" s="13" t="s">
        <v>317</v>
      </c>
      <c r="G14" s="13" t="s">
        <v>50</v>
      </c>
      <c r="H14" s="13" t="s">
        <v>96</v>
      </c>
      <c r="I14" s="13" t="s">
        <v>227</v>
      </c>
      <c r="J14" s="13" t="s">
        <v>53</v>
      </c>
      <c r="K14" s="13" t="s">
        <v>54</v>
      </c>
      <c r="L14" s="13">
        <f>DATEDIF(J14,K14,"M")</f>
        <v>6</v>
      </c>
      <c r="M14" s="32" t="s">
        <v>335</v>
      </c>
      <c r="N14" s="32" t="s">
        <v>337</v>
      </c>
      <c r="O14" s="13" t="s">
        <v>56</v>
      </c>
      <c r="P14" s="13">
        <v>1</v>
      </c>
      <c r="Q14" s="13">
        <v>36.08</v>
      </c>
      <c r="R14" s="31">
        <f>Q14*V14</f>
        <v>18.761600000000001</v>
      </c>
      <c r="S14" s="14">
        <v>36.08</v>
      </c>
      <c r="T14" s="13" t="s">
        <v>58</v>
      </c>
      <c r="U14" s="13" t="s">
        <v>59</v>
      </c>
      <c r="V14" s="15">
        <v>0.52</v>
      </c>
      <c r="W14" s="14">
        <v>18.760000000000002</v>
      </c>
      <c r="X14" s="14">
        <v>0</v>
      </c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s="16" customFormat="1" x14ac:dyDescent="0.2">
      <c r="A15" s="13" t="s">
        <v>287</v>
      </c>
      <c r="B15" s="30">
        <v>8325282</v>
      </c>
      <c r="C15" s="13" t="s">
        <v>257</v>
      </c>
      <c r="D15" s="13" t="s">
        <v>258</v>
      </c>
      <c r="E15" s="13" t="s">
        <v>297</v>
      </c>
      <c r="F15" s="13" t="s">
        <v>317</v>
      </c>
      <c r="G15" s="13" t="s">
        <v>50</v>
      </c>
      <c r="H15" s="13" t="s">
        <v>68</v>
      </c>
      <c r="I15" s="13" t="s">
        <v>227</v>
      </c>
      <c r="J15" s="13" t="s">
        <v>259</v>
      </c>
      <c r="K15" s="13" t="s">
        <v>54</v>
      </c>
      <c r="L15" s="13">
        <f>DATEDIF(J15,K15,"M")</f>
        <v>16</v>
      </c>
      <c r="M15" s="32" t="s">
        <v>335</v>
      </c>
      <c r="N15" s="32" t="s">
        <v>336</v>
      </c>
      <c r="O15" s="13" t="s">
        <v>56</v>
      </c>
      <c r="P15" s="13">
        <v>1</v>
      </c>
      <c r="Q15" s="13">
        <v>36.08</v>
      </c>
      <c r="R15" s="31">
        <f>Q15*V15</f>
        <v>1.0823999999999998</v>
      </c>
      <c r="S15" s="14">
        <v>36.08</v>
      </c>
      <c r="T15" s="13" t="s">
        <v>78</v>
      </c>
      <c r="U15" s="13" t="s">
        <v>79</v>
      </c>
      <c r="V15" s="15">
        <v>0.03</v>
      </c>
      <c r="W15" s="14">
        <v>1.08</v>
      </c>
      <c r="X15" s="14">
        <v>0</v>
      </c>
      <c r="Y15" s="13"/>
      <c r="Z15" s="13"/>
      <c r="AA15" s="13"/>
      <c r="AB15" s="13"/>
      <c r="AC15" s="13"/>
      <c r="AD15" s="13"/>
      <c r="AE15" s="13"/>
      <c r="AF15" s="13"/>
      <c r="AG15" s="13"/>
    </row>
    <row r="16" spans="1:33" s="16" customFormat="1" x14ac:dyDescent="0.2">
      <c r="A16" s="1" t="s">
        <v>279</v>
      </c>
      <c r="B16" s="10" t="s">
        <v>321</v>
      </c>
      <c r="C16" s="1" t="s">
        <v>173</v>
      </c>
      <c r="D16" s="1" t="s">
        <v>174</v>
      </c>
      <c r="E16" s="1" t="s">
        <v>292</v>
      </c>
      <c r="F16" s="1" t="s">
        <v>313</v>
      </c>
      <c r="G16" s="1" t="s">
        <v>83</v>
      </c>
      <c r="H16" s="1" t="s">
        <v>133</v>
      </c>
      <c r="I16" s="1" t="s">
        <v>107</v>
      </c>
      <c r="J16" s="1" t="s">
        <v>175</v>
      </c>
      <c r="K16" s="1" t="s">
        <v>63</v>
      </c>
      <c r="L16" s="1">
        <f>DATEDIF(J16,K16,"M")</f>
        <v>7</v>
      </c>
      <c r="M16" s="33" t="s">
        <v>335</v>
      </c>
      <c r="N16" s="33" t="s">
        <v>336</v>
      </c>
      <c r="O16" s="1" t="s">
        <v>56</v>
      </c>
      <c r="P16" s="1">
        <v>1</v>
      </c>
      <c r="Q16" s="1">
        <v>59.91</v>
      </c>
      <c r="R16" s="21">
        <f>Q16*V16</f>
        <v>80.878500000000003</v>
      </c>
      <c r="S16" s="11">
        <v>59.91</v>
      </c>
      <c r="T16" s="1" t="s">
        <v>58</v>
      </c>
      <c r="U16" s="1" t="s">
        <v>59</v>
      </c>
      <c r="V16" s="12">
        <v>1.35</v>
      </c>
      <c r="W16" s="11">
        <v>0</v>
      </c>
      <c r="X16" s="11">
        <v>-80.88</v>
      </c>
      <c r="Y16" s="13"/>
      <c r="Z16" s="13"/>
      <c r="AA16" s="13"/>
      <c r="AB16" s="13"/>
      <c r="AC16" s="13"/>
      <c r="AD16" s="13"/>
      <c r="AE16" s="13"/>
      <c r="AF16" s="13"/>
      <c r="AG16" s="13"/>
    </row>
    <row r="17" spans="1:33" s="16" customFormat="1" x14ac:dyDescent="0.2">
      <c r="A17" s="1" t="s">
        <v>271</v>
      </c>
      <c r="B17" s="10">
        <v>9213293</v>
      </c>
      <c r="C17" s="1" t="s">
        <v>105</v>
      </c>
      <c r="D17" s="1" t="s">
        <v>106</v>
      </c>
      <c r="E17" s="1" t="s">
        <v>292</v>
      </c>
      <c r="F17" s="1" t="s">
        <v>306</v>
      </c>
      <c r="G17" s="1" t="s">
        <v>50</v>
      </c>
      <c r="H17" s="1" t="s">
        <v>51</v>
      </c>
      <c r="I17" s="1" t="s">
        <v>107</v>
      </c>
      <c r="J17" s="1" t="s">
        <v>108</v>
      </c>
      <c r="K17" s="1" t="s">
        <v>109</v>
      </c>
      <c r="L17" s="1">
        <f>DATEDIF(J17,K17,"M")</f>
        <v>10</v>
      </c>
      <c r="M17" s="33" t="s">
        <v>335</v>
      </c>
      <c r="N17" s="33" t="s">
        <v>336</v>
      </c>
      <c r="O17" s="1" t="s">
        <v>56</v>
      </c>
      <c r="P17" s="1">
        <v>1</v>
      </c>
      <c r="Q17" s="1">
        <v>54.98</v>
      </c>
      <c r="R17" s="21">
        <f>Q17*V17</f>
        <v>74.222999999999999</v>
      </c>
      <c r="S17" s="11">
        <v>54.98</v>
      </c>
      <c r="T17" s="1" t="s">
        <v>58</v>
      </c>
      <c r="U17" s="1" t="s">
        <v>59</v>
      </c>
      <c r="V17" s="12">
        <v>1.35</v>
      </c>
      <c r="W17" s="11">
        <v>74.22</v>
      </c>
      <c r="X17" s="11">
        <v>0</v>
      </c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s="16" customFormat="1" x14ac:dyDescent="0.2">
      <c r="A18" s="1" t="s">
        <v>271</v>
      </c>
      <c r="B18" s="10">
        <v>9213293</v>
      </c>
      <c r="C18" s="1" t="s">
        <v>137</v>
      </c>
      <c r="D18" s="1" t="s">
        <v>138</v>
      </c>
      <c r="E18" s="1" t="s">
        <v>292</v>
      </c>
      <c r="F18" s="1" t="s">
        <v>306</v>
      </c>
      <c r="G18" s="1" t="s">
        <v>50</v>
      </c>
      <c r="H18" s="1" t="s">
        <v>51</v>
      </c>
      <c r="I18" s="1" t="s">
        <v>107</v>
      </c>
      <c r="J18" s="1" t="s">
        <v>108</v>
      </c>
      <c r="K18" s="1" t="s">
        <v>109</v>
      </c>
      <c r="L18" s="1">
        <f>DATEDIF(J18,K18,"M")</f>
        <v>10</v>
      </c>
      <c r="M18" s="33" t="s">
        <v>335</v>
      </c>
      <c r="N18" s="33" t="s">
        <v>336</v>
      </c>
      <c r="O18" s="1" t="s">
        <v>56</v>
      </c>
      <c r="P18" s="1">
        <v>1</v>
      </c>
      <c r="Q18" s="1">
        <v>63.65</v>
      </c>
      <c r="R18" s="21">
        <f>Q18*V18</f>
        <v>85.927500000000009</v>
      </c>
      <c r="S18" s="11">
        <v>63.65</v>
      </c>
      <c r="T18" s="1" t="s">
        <v>58</v>
      </c>
      <c r="U18" s="1" t="s">
        <v>59</v>
      </c>
      <c r="V18" s="12">
        <v>1.35</v>
      </c>
      <c r="W18" s="11">
        <v>85.93</v>
      </c>
      <c r="X18" s="11">
        <v>0</v>
      </c>
      <c r="Y18" s="13"/>
      <c r="Z18" s="13"/>
      <c r="AA18" s="13"/>
      <c r="AB18" s="13"/>
      <c r="AC18" s="13"/>
      <c r="AD18" s="13"/>
      <c r="AE18" s="13"/>
      <c r="AF18" s="13"/>
      <c r="AG18" s="13"/>
    </row>
    <row r="19" spans="1:33" s="16" customFormat="1" x14ac:dyDescent="0.2">
      <c r="A19" s="1" t="s">
        <v>265</v>
      </c>
      <c r="B19" s="10">
        <v>8307933</v>
      </c>
      <c r="C19" s="1" t="s">
        <v>48</v>
      </c>
      <c r="D19" s="1" t="s">
        <v>49</v>
      </c>
      <c r="E19" s="1" t="s">
        <v>288</v>
      </c>
      <c r="F19" s="1" t="s">
        <v>302</v>
      </c>
      <c r="G19" s="1" t="s">
        <v>50</v>
      </c>
      <c r="H19" s="1" t="s">
        <v>51</v>
      </c>
      <c r="I19" s="1" t="s">
        <v>52</v>
      </c>
      <c r="J19" s="1" t="s">
        <v>53</v>
      </c>
      <c r="K19" s="1" t="s">
        <v>54</v>
      </c>
      <c r="L19" s="1">
        <f>DATEDIF(J19,K19,"M")</f>
        <v>6</v>
      </c>
      <c r="M19" s="33" t="s">
        <v>335</v>
      </c>
      <c r="N19" s="33" t="s">
        <v>336</v>
      </c>
      <c r="O19" s="1" t="s">
        <v>56</v>
      </c>
      <c r="P19" s="1">
        <v>1</v>
      </c>
      <c r="Q19" s="1">
        <v>180.14</v>
      </c>
      <c r="R19" s="21">
        <f>Q19*V19</f>
        <v>41.432200000000002</v>
      </c>
      <c r="S19" s="11">
        <v>180.14</v>
      </c>
      <c r="T19" s="1" t="s">
        <v>58</v>
      </c>
      <c r="U19" s="1" t="s">
        <v>59</v>
      </c>
      <c r="V19" s="12">
        <v>0.23</v>
      </c>
      <c r="W19" s="11">
        <v>41.43</v>
      </c>
      <c r="X19" s="11">
        <v>0</v>
      </c>
      <c r="Y19" s="13"/>
      <c r="Z19" s="13"/>
      <c r="AA19" s="13"/>
      <c r="AB19" s="13"/>
      <c r="AC19" s="13"/>
      <c r="AD19" s="13"/>
      <c r="AE19" s="13"/>
      <c r="AF19" s="13"/>
      <c r="AG19" s="13"/>
    </row>
    <row r="20" spans="1:33" s="16" customFormat="1" x14ac:dyDescent="0.2">
      <c r="A20" s="1" t="s">
        <v>265</v>
      </c>
      <c r="B20" s="10">
        <v>8307933</v>
      </c>
      <c r="C20" s="1" t="s">
        <v>112</v>
      </c>
      <c r="D20" s="1" t="s">
        <v>113</v>
      </c>
      <c r="E20" s="1" t="s">
        <v>291</v>
      </c>
      <c r="F20" s="1" t="s">
        <v>307</v>
      </c>
      <c r="G20" s="1" t="s">
        <v>114</v>
      </c>
      <c r="H20" s="1" t="s">
        <v>96</v>
      </c>
      <c r="I20" s="1" t="s">
        <v>102</v>
      </c>
      <c r="J20" s="1" t="s">
        <v>115</v>
      </c>
      <c r="K20" s="1" t="s">
        <v>116</v>
      </c>
      <c r="L20" s="1">
        <f>DATEDIF(J20,K20,"M")</f>
        <v>5</v>
      </c>
      <c r="M20" s="33" t="s">
        <v>335</v>
      </c>
      <c r="N20" s="33" t="s">
        <v>336</v>
      </c>
      <c r="O20" s="1" t="s">
        <v>56</v>
      </c>
      <c r="P20" s="1">
        <v>1</v>
      </c>
      <c r="Q20" s="1">
        <v>299.45999999999998</v>
      </c>
      <c r="R20" s="21">
        <f>Q20*V20</f>
        <v>202.13550000000001</v>
      </c>
      <c r="S20" s="11">
        <v>299.45999999999998</v>
      </c>
      <c r="T20" s="1" t="s">
        <v>58</v>
      </c>
      <c r="U20" s="1" t="s">
        <v>59</v>
      </c>
      <c r="V20" s="12">
        <v>0.67500000000000004</v>
      </c>
      <c r="W20" s="11">
        <v>0</v>
      </c>
      <c r="X20" s="11">
        <v>-202.14</v>
      </c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s="16" customFormat="1" x14ac:dyDescent="0.2">
      <c r="A21" s="1" t="s">
        <v>265</v>
      </c>
      <c r="B21" s="10">
        <v>8307933</v>
      </c>
      <c r="C21" s="1" t="s">
        <v>117</v>
      </c>
      <c r="D21" s="1" t="s">
        <v>118</v>
      </c>
      <c r="E21" s="1" t="s">
        <v>291</v>
      </c>
      <c r="F21" s="1" t="s">
        <v>307</v>
      </c>
      <c r="G21" s="1" t="s">
        <v>119</v>
      </c>
      <c r="H21" s="1" t="s">
        <v>96</v>
      </c>
      <c r="I21" s="1" t="s">
        <v>102</v>
      </c>
      <c r="J21" s="1" t="s">
        <v>120</v>
      </c>
      <c r="K21" s="1" t="s">
        <v>121</v>
      </c>
      <c r="L21" s="1">
        <f>DATEDIF(J21,K21,"M")</f>
        <v>2</v>
      </c>
      <c r="M21" s="33" t="s">
        <v>335</v>
      </c>
      <c r="N21" s="33" t="s">
        <v>336</v>
      </c>
      <c r="O21" s="1" t="s">
        <v>56</v>
      </c>
      <c r="P21" s="1">
        <v>1</v>
      </c>
      <c r="Q21" s="1">
        <v>180.28</v>
      </c>
      <c r="R21" s="21">
        <f>Q21*V21</f>
        <v>121.68900000000001</v>
      </c>
      <c r="S21" s="11">
        <v>180.28</v>
      </c>
      <c r="T21" s="1" t="s">
        <v>58</v>
      </c>
      <c r="U21" s="1" t="s">
        <v>59</v>
      </c>
      <c r="V21" s="12">
        <v>0.67500000000000004</v>
      </c>
      <c r="W21" s="11">
        <v>0</v>
      </c>
      <c r="X21" s="11">
        <v>-121.69</v>
      </c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s="16" customFormat="1" x14ac:dyDescent="0.2">
      <c r="A22" s="1" t="s">
        <v>265</v>
      </c>
      <c r="B22" s="10">
        <v>8307933</v>
      </c>
      <c r="C22" s="1" t="s">
        <v>149</v>
      </c>
      <c r="D22" s="1" t="s">
        <v>150</v>
      </c>
      <c r="E22" s="1" t="s">
        <v>291</v>
      </c>
      <c r="F22" s="1" t="s">
        <v>307</v>
      </c>
      <c r="G22" s="1" t="s">
        <v>151</v>
      </c>
      <c r="H22" s="1" t="s">
        <v>51</v>
      </c>
      <c r="I22" s="1" t="s">
        <v>102</v>
      </c>
      <c r="J22" s="1" t="s">
        <v>152</v>
      </c>
      <c r="K22" s="1" t="s">
        <v>54</v>
      </c>
      <c r="L22" s="1">
        <f>DATEDIF(J22,K22,"M")</f>
        <v>11</v>
      </c>
      <c r="M22" s="33" t="s">
        <v>335</v>
      </c>
      <c r="N22" s="33" t="s">
        <v>336</v>
      </c>
      <c r="O22" s="1" t="s">
        <v>56</v>
      </c>
      <c r="P22" s="1">
        <v>1</v>
      </c>
      <c r="Q22" s="1">
        <v>123.4</v>
      </c>
      <c r="R22" s="21">
        <f>Q22*V22</f>
        <v>83.295000000000016</v>
      </c>
      <c r="S22" s="11">
        <v>123.4</v>
      </c>
      <c r="T22" s="1" t="s">
        <v>58</v>
      </c>
      <c r="U22" s="1" t="s">
        <v>59</v>
      </c>
      <c r="V22" s="12">
        <v>0.67500000000000004</v>
      </c>
      <c r="W22" s="11">
        <v>83.3</v>
      </c>
      <c r="X22" s="11">
        <v>0</v>
      </c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s="16" customFormat="1" x14ac:dyDescent="0.2">
      <c r="A23" s="1" t="s">
        <v>265</v>
      </c>
      <c r="B23" s="10">
        <v>8307933</v>
      </c>
      <c r="C23" s="1" t="s">
        <v>66</v>
      </c>
      <c r="D23" s="1" t="s">
        <v>67</v>
      </c>
      <c r="E23" s="1" t="s">
        <v>288</v>
      </c>
      <c r="F23" s="1" t="s">
        <v>303</v>
      </c>
      <c r="G23" s="1" t="s">
        <v>50</v>
      </c>
      <c r="H23" s="1" t="s">
        <v>68</v>
      </c>
      <c r="I23" s="1" t="s">
        <v>52</v>
      </c>
      <c r="J23" s="1" t="s">
        <v>69</v>
      </c>
      <c r="K23" s="1" t="s">
        <v>70</v>
      </c>
      <c r="L23" s="1">
        <f>DATEDIF(J23,K23,"M")</f>
        <v>11</v>
      </c>
      <c r="M23" s="33" t="s">
        <v>335</v>
      </c>
      <c r="N23" s="33" t="s">
        <v>336</v>
      </c>
      <c r="O23" s="1" t="s">
        <v>56</v>
      </c>
      <c r="P23" s="1">
        <v>1</v>
      </c>
      <c r="Q23" s="1">
        <v>199.91</v>
      </c>
      <c r="R23" s="21">
        <f>Q23*V23</f>
        <v>45.979300000000002</v>
      </c>
      <c r="S23" s="11">
        <v>199.91</v>
      </c>
      <c r="T23" s="1" t="s">
        <v>58</v>
      </c>
      <c r="U23" s="1" t="s">
        <v>59</v>
      </c>
      <c r="V23" s="12">
        <v>0.23</v>
      </c>
      <c r="W23" s="11">
        <v>45.98</v>
      </c>
      <c r="X23" s="11">
        <v>0</v>
      </c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s="16" customFormat="1" x14ac:dyDescent="0.2">
      <c r="A24" s="1" t="s">
        <v>265</v>
      </c>
      <c r="B24" s="10">
        <v>8307933</v>
      </c>
      <c r="C24" s="1" t="s">
        <v>130</v>
      </c>
      <c r="D24" s="1" t="s">
        <v>131</v>
      </c>
      <c r="E24" s="1" t="s">
        <v>291</v>
      </c>
      <c r="F24" s="1" t="s">
        <v>307</v>
      </c>
      <c r="G24" s="1" t="s">
        <v>132</v>
      </c>
      <c r="H24" s="1" t="s">
        <v>51</v>
      </c>
      <c r="I24" s="1" t="s">
        <v>102</v>
      </c>
      <c r="J24" s="1" t="s">
        <v>134</v>
      </c>
      <c r="K24" s="1" t="s">
        <v>135</v>
      </c>
      <c r="L24" s="1">
        <f>DATEDIF(J24,K24,"M")</f>
        <v>10</v>
      </c>
      <c r="M24" s="33" t="s">
        <v>335</v>
      </c>
      <c r="N24" s="33" t="s">
        <v>336</v>
      </c>
      <c r="O24" s="1" t="s">
        <v>56</v>
      </c>
      <c r="P24" s="1">
        <v>1</v>
      </c>
      <c r="Q24" s="1">
        <v>309.85000000000002</v>
      </c>
      <c r="R24" s="21">
        <f>Q24*V24</f>
        <v>209.14875000000004</v>
      </c>
      <c r="S24" s="11">
        <v>309.85000000000002</v>
      </c>
      <c r="T24" s="1" t="s">
        <v>58</v>
      </c>
      <c r="U24" s="1" t="s">
        <v>59</v>
      </c>
      <c r="V24" s="12">
        <v>0.67500000000000004</v>
      </c>
      <c r="W24" s="11">
        <v>0.01</v>
      </c>
      <c r="X24" s="11">
        <v>-209.14</v>
      </c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s="16" customFormat="1" x14ac:dyDescent="0.2">
      <c r="A25" s="16" t="s">
        <v>265</v>
      </c>
      <c r="B25" s="17">
        <v>8307933</v>
      </c>
      <c r="C25" s="16" t="s">
        <v>217</v>
      </c>
      <c r="D25" s="16" t="s">
        <v>218</v>
      </c>
      <c r="E25" s="16" t="s">
        <v>293</v>
      </c>
      <c r="F25" s="16" t="s">
        <v>308</v>
      </c>
      <c r="G25" s="16" t="s">
        <v>219</v>
      </c>
      <c r="H25" s="16" t="s">
        <v>133</v>
      </c>
      <c r="I25" s="16" t="s">
        <v>97</v>
      </c>
      <c r="J25" s="16" t="s">
        <v>135</v>
      </c>
      <c r="K25" s="16" t="s">
        <v>135</v>
      </c>
      <c r="L25" s="16">
        <f>DATEDIF(J25,K25,"M")</f>
        <v>0</v>
      </c>
      <c r="M25" s="29" t="s">
        <v>335</v>
      </c>
      <c r="N25" s="29" t="s">
        <v>336</v>
      </c>
      <c r="O25" s="16" t="s">
        <v>56</v>
      </c>
      <c r="P25" s="16">
        <v>1</v>
      </c>
      <c r="Q25" s="16">
        <v>285.95999999999998</v>
      </c>
      <c r="R25" s="22">
        <f>Q25*V25</f>
        <v>428.93999999999994</v>
      </c>
      <c r="S25" s="18">
        <v>2573.64</v>
      </c>
      <c r="T25" s="16" t="s">
        <v>58</v>
      </c>
      <c r="U25" s="16" t="s">
        <v>98</v>
      </c>
      <c r="V25" s="19">
        <v>1.5</v>
      </c>
      <c r="W25" s="18">
        <v>2000</v>
      </c>
      <c r="X25" s="18">
        <v>2000</v>
      </c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s="16" customFormat="1" x14ac:dyDescent="0.2">
      <c r="A26" s="1" t="s">
        <v>265</v>
      </c>
      <c r="B26" s="10">
        <v>8307933</v>
      </c>
      <c r="C26" s="1" t="s">
        <v>153</v>
      </c>
      <c r="D26" s="1" t="s">
        <v>154</v>
      </c>
      <c r="E26" s="1" t="s">
        <v>291</v>
      </c>
      <c r="F26" s="1" t="s">
        <v>311</v>
      </c>
      <c r="G26" s="1" t="s">
        <v>50</v>
      </c>
      <c r="H26" s="1" t="s">
        <v>51</v>
      </c>
      <c r="I26" s="1" t="s">
        <v>102</v>
      </c>
      <c r="J26" s="1" t="s">
        <v>155</v>
      </c>
      <c r="K26" s="1" t="s">
        <v>156</v>
      </c>
      <c r="L26" s="1">
        <f>DATEDIF(J26,K26,"M")</f>
        <v>6</v>
      </c>
      <c r="M26" s="33" t="s">
        <v>335</v>
      </c>
      <c r="N26" s="33" t="s">
        <v>336</v>
      </c>
      <c r="O26" s="1" t="s">
        <v>56</v>
      </c>
      <c r="P26" s="1">
        <v>1</v>
      </c>
      <c r="Q26" s="1">
        <v>241.54</v>
      </c>
      <c r="R26" s="21">
        <f>Q26*V26</f>
        <v>326.07900000000001</v>
      </c>
      <c r="S26" s="11">
        <v>241.54</v>
      </c>
      <c r="T26" s="1" t="s">
        <v>58</v>
      </c>
      <c r="U26" s="1" t="s">
        <v>59</v>
      </c>
      <c r="V26" s="12">
        <v>1.35</v>
      </c>
      <c r="W26" s="11">
        <v>282.56</v>
      </c>
      <c r="X26" s="11">
        <v>-43.52</v>
      </c>
      <c r="Y26" s="1"/>
      <c r="Z26" s="1"/>
      <c r="AA26" s="1"/>
      <c r="AB26" s="1"/>
      <c r="AC26" s="1"/>
      <c r="AD26" s="1"/>
      <c r="AE26" s="1"/>
      <c r="AF26" s="1"/>
      <c r="AG26" s="1"/>
    </row>
    <row r="27" spans="1:33" s="16" customFormat="1" x14ac:dyDescent="0.2">
      <c r="A27" s="1" t="s">
        <v>275</v>
      </c>
      <c r="B27" s="10">
        <v>16228684</v>
      </c>
      <c r="C27" s="1" t="s">
        <v>142</v>
      </c>
      <c r="D27" s="1" t="s">
        <v>143</v>
      </c>
      <c r="E27" s="1" t="s">
        <v>291</v>
      </c>
      <c r="F27" s="1" t="s">
        <v>310</v>
      </c>
      <c r="G27" s="1" t="s">
        <v>50</v>
      </c>
      <c r="H27" s="1" t="s">
        <v>68</v>
      </c>
      <c r="I27" s="1" t="s">
        <v>102</v>
      </c>
      <c r="J27" s="1" t="s">
        <v>144</v>
      </c>
      <c r="K27" s="1" t="s">
        <v>126</v>
      </c>
      <c r="L27" s="1">
        <f>DATEDIF(J27,K27,"M")</f>
        <v>8</v>
      </c>
      <c r="M27" s="33" t="s">
        <v>335</v>
      </c>
      <c r="N27" s="33" t="s">
        <v>336</v>
      </c>
      <c r="O27" s="1" t="s">
        <v>56</v>
      </c>
      <c r="P27" s="1">
        <v>1</v>
      </c>
      <c r="Q27" s="1">
        <v>153.93</v>
      </c>
      <c r="R27" s="21">
        <f>Q27*V27</f>
        <v>207.80550000000002</v>
      </c>
      <c r="S27" s="11">
        <v>153.93</v>
      </c>
      <c r="T27" s="1" t="s">
        <v>58</v>
      </c>
      <c r="U27" s="1" t="s">
        <v>59</v>
      </c>
      <c r="V27" s="12">
        <v>1.35</v>
      </c>
      <c r="W27" s="11">
        <v>0</v>
      </c>
      <c r="X27" s="11">
        <v>-207.81</v>
      </c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">
      <c r="A28" s="1" t="s">
        <v>275</v>
      </c>
      <c r="B28" s="10">
        <v>16228684</v>
      </c>
      <c r="C28" s="1" t="s">
        <v>145</v>
      </c>
      <c r="D28" s="1" t="s">
        <v>146</v>
      </c>
      <c r="E28" s="1" t="s">
        <v>291</v>
      </c>
      <c r="F28" s="1" t="s">
        <v>310</v>
      </c>
      <c r="G28" s="1" t="s">
        <v>50</v>
      </c>
      <c r="H28" s="1" t="s">
        <v>51</v>
      </c>
      <c r="I28" s="1" t="s">
        <v>102</v>
      </c>
      <c r="J28" s="1" t="s">
        <v>147</v>
      </c>
      <c r="K28" s="1" t="s">
        <v>148</v>
      </c>
      <c r="L28" s="1">
        <f>DATEDIF(J28,K28,"M")</f>
        <v>8</v>
      </c>
      <c r="M28" s="33" t="s">
        <v>335</v>
      </c>
      <c r="N28" s="33" t="s">
        <v>336</v>
      </c>
      <c r="O28" s="1" t="s">
        <v>56</v>
      </c>
      <c r="P28" s="1">
        <v>1</v>
      </c>
      <c r="Q28" s="1">
        <v>99.07</v>
      </c>
      <c r="R28" s="21">
        <f>Q28*V28</f>
        <v>133.74449999999999</v>
      </c>
      <c r="S28" s="11">
        <v>99.07</v>
      </c>
      <c r="T28" s="1" t="s">
        <v>58</v>
      </c>
      <c r="U28" s="1" t="s">
        <v>59</v>
      </c>
      <c r="V28" s="12">
        <v>1.35</v>
      </c>
      <c r="W28" s="11">
        <v>0</v>
      </c>
      <c r="X28" s="11">
        <v>-133.74</v>
      </c>
    </row>
    <row r="29" spans="1:33" x14ac:dyDescent="0.2">
      <c r="A29" s="16" t="s">
        <v>266</v>
      </c>
      <c r="B29" s="28" t="s">
        <v>331</v>
      </c>
      <c r="C29" s="16" t="s">
        <v>60</v>
      </c>
      <c r="D29" s="16" t="s">
        <v>61</v>
      </c>
      <c r="E29" s="16" t="s">
        <v>288</v>
      </c>
      <c r="F29" s="16" t="s">
        <v>330</v>
      </c>
      <c r="G29" s="16" t="s">
        <v>50</v>
      </c>
      <c r="H29" s="16" t="s">
        <v>62</v>
      </c>
      <c r="I29" s="16" t="s">
        <v>52</v>
      </c>
      <c r="J29" s="16" t="s">
        <v>62</v>
      </c>
      <c r="K29" s="16" t="s">
        <v>63</v>
      </c>
      <c r="L29" s="16">
        <f>DATEDIF(J29,K29,"M")</f>
        <v>1</v>
      </c>
      <c r="M29" s="29" t="s">
        <v>333</v>
      </c>
      <c r="N29" s="29" t="s">
        <v>334</v>
      </c>
      <c r="O29" s="16" t="s">
        <v>56</v>
      </c>
      <c r="P29" s="16">
        <v>1</v>
      </c>
      <c r="Q29" s="16">
        <v>186.33</v>
      </c>
      <c r="R29" s="22">
        <f>Q29*V29</f>
        <v>38.570309999999999</v>
      </c>
      <c r="S29" s="18">
        <v>186.33</v>
      </c>
      <c r="T29" s="16" t="s">
        <v>58</v>
      </c>
      <c r="U29" s="16" t="s">
        <v>64</v>
      </c>
      <c r="V29" s="19">
        <v>0.20699999999999999</v>
      </c>
      <c r="W29" s="18">
        <v>38.57</v>
      </c>
      <c r="X29" s="18">
        <v>0</v>
      </c>
    </row>
    <row r="30" spans="1:33" s="13" customFormat="1" x14ac:dyDescent="0.2">
      <c r="A30" s="13" t="s">
        <v>272</v>
      </c>
      <c r="B30" s="30">
        <v>20220688</v>
      </c>
      <c r="C30" s="13" t="s">
        <v>210</v>
      </c>
      <c r="D30" s="13" t="s">
        <v>211</v>
      </c>
      <c r="E30" s="13" t="s">
        <v>291</v>
      </c>
      <c r="F30" s="13" t="s">
        <v>311</v>
      </c>
      <c r="G30" s="13" t="s">
        <v>50</v>
      </c>
      <c r="H30" s="13" t="s">
        <v>96</v>
      </c>
      <c r="I30" s="13" t="s">
        <v>102</v>
      </c>
      <c r="J30" s="13" t="s">
        <v>212</v>
      </c>
      <c r="K30" s="13" t="s">
        <v>54</v>
      </c>
      <c r="L30" s="13">
        <f>DATEDIF(J30,K30,"M")</f>
        <v>3</v>
      </c>
      <c r="M30" s="32" t="s">
        <v>335</v>
      </c>
      <c r="N30" s="32" t="s">
        <v>337</v>
      </c>
      <c r="O30" s="13" t="s">
        <v>56</v>
      </c>
      <c r="P30" s="13">
        <v>1</v>
      </c>
      <c r="Q30" s="13">
        <v>142.93</v>
      </c>
      <c r="R30" s="31">
        <f>Q30*V30</f>
        <v>192.95550000000003</v>
      </c>
      <c r="S30" s="14">
        <v>142.93</v>
      </c>
      <c r="T30" s="13" t="s">
        <v>58</v>
      </c>
      <c r="U30" s="13" t="s">
        <v>59</v>
      </c>
      <c r="V30" s="15">
        <v>1.35</v>
      </c>
      <c r="W30" s="14">
        <v>0</v>
      </c>
      <c r="X30" s="14">
        <v>-192.96</v>
      </c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">
      <c r="A31" s="16" t="s">
        <v>272</v>
      </c>
      <c r="B31" s="28" t="s">
        <v>322</v>
      </c>
      <c r="C31" s="16" t="s">
        <v>110</v>
      </c>
      <c r="D31" s="16" t="s">
        <v>111</v>
      </c>
      <c r="E31" s="16" t="s">
        <v>291</v>
      </c>
      <c r="F31" s="16" t="s">
        <v>311</v>
      </c>
      <c r="G31" s="16" t="s">
        <v>50</v>
      </c>
      <c r="H31" s="16" t="s">
        <v>96</v>
      </c>
      <c r="I31" s="16" t="s">
        <v>102</v>
      </c>
      <c r="J31" s="16" t="s">
        <v>96</v>
      </c>
      <c r="K31" s="16" t="s">
        <v>96</v>
      </c>
      <c r="L31" s="16">
        <f>DATEDIF(J31,K31,"M")</f>
        <v>0</v>
      </c>
      <c r="M31" s="29" t="s">
        <v>333</v>
      </c>
      <c r="N31" s="29" t="s">
        <v>334</v>
      </c>
      <c r="O31" s="16" t="s">
        <v>56</v>
      </c>
      <c r="P31" s="16">
        <v>1</v>
      </c>
      <c r="Q31" s="16">
        <v>68.66</v>
      </c>
      <c r="R31" s="22">
        <f>Q31*V31</f>
        <v>92.691000000000003</v>
      </c>
      <c r="S31" s="18">
        <v>617.94000000000005</v>
      </c>
      <c r="T31" s="16" t="s">
        <v>58</v>
      </c>
      <c r="U31" s="16" t="s">
        <v>98</v>
      </c>
      <c r="V31" s="19">
        <v>1.35</v>
      </c>
      <c r="W31" s="18">
        <v>834.22</v>
      </c>
      <c r="X31" s="18">
        <v>834.22</v>
      </c>
    </row>
    <row r="32" spans="1:33" x14ac:dyDescent="0.2">
      <c r="A32" s="16" t="s">
        <v>286</v>
      </c>
      <c r="B32" s="28" t="s">
        <v>332</v>
      </c>
      <c r="C32" s="16" t="s">
        <v>241</v>
      </c>
      <c r="D32" s="16" t="s">
        <v>242</v>
      </c>
      <c r="E32" s="16" t="s">
        <v>300</v>
      </c>
      <c r="F32" s="16" t="s">
        <v>317</v>
      </c>
      <c r="G32" s="16" t="s">
        <v>50</v>
      </c>
      <c r="H32" s="16" t="s">
        <v>51</v>
      </c>
      <c r="I32" s="16" t="s">
        <v>239</v>
      </c>
      <c r="J32" s="16" t="s">
        <v>96</v>
      </c>
      <c r="K32" s="16" t="s">
        <v>116</v>
      </c>
      <c r="L32" s="16">
        <f>DATEDIF(J32,K32,"M")</f>
        <v>1</v>
      </c>
      <c r="M32" s="29" t="s">
        <v>333</v>
      </c>
      <c r="N32" s="29" t="s">
        <v>334</v>
      </c>
      <c r="O32" s="16" t="s">
        <v>56</v>
      </c>
      <c r="P32" s="16">
        <v>1</v>
      </c>
      <c r="Q32" s="16">
        <v>79.28</v>
      </c>
      <c r="R32" s="22">
        <f>Q32*V32</f>
        <v>41.2256</v>
      </c>
      <c r="S32" s="18">
        <v>79.28</v>
      </c>
      <c r="T32" s="16" t="s">
        <v>58</v>
      </c>
      <c r="U32" s="16" t="s">
        <v>98</v>
      </c>
      <c r="V32" s="19">
        <v>0.52</v>
      </c>
      <c r="W32" s="18">
        <v>41.23</v>
      </c>
      <c r="X32" s="18">
        <v>0</v>
      </c>
    </row>
    <row r="33" spans="1:33" x14ac:dyDescent="0.2">
      <c r="A33" s="16" t="s">
        <v>278</v>
      </c>
      <c r="B33" s="17">
        <v>20703542</v>
      </c>
      <c r="C33" s="16" t="s">
        <v>168</v>
      </c>
      <c r="D33" s="16" t="s">
        <v>169</v>
      </c>
      <c r="E33" s="16" t="s">
        <v>294</v>
      </c>
      <c r="F33" s="16" t="s">
        <v>312</v>
      </c>
      <c r="G33" s="16" t="s">
        <v>95</v>
      </c>
      <c r="H33" s="16" t="s">
        <v>51</v>
      </c>
      <c r="I33" s="16" t="s">
        <v>159</v>
      </c>
      <c r="J33" s="16" t="s">
        <v>170</v>
      </c>
      <c r="K33" s="16" t="s">
        <v>171</v>
      </c>
      <c r="L33" s="16">
        <f>DATEDIF(J33,K33,"M")</f>
        <v>1</v>
      </c>
      <c r="M33" s="29" t="s">
        <v>335</v>
      </c>
      <c r="N33" s="29" t="s">
        <v>336</v>
      </c>
      <c r="O33" s="16" t="s">
        <v>56</v>
      </c>
      <c r="P33" s="16">
        <v>1</v>
      </c>
      <c r="Q33" s="16">
        <v>44.94</v>
      </c>
      <c r="R33" s="22">
        <f>Q33*V33</f>
        <v>56.624399999999994</v>
      </c>
      <c r="S33" s="18">
        <v>39.56</v>
      </c>
      <c r="T33" s="16" t="s">
        <v>58</v>
      </c>
      <c r="U33" s="16" t="s">
        <v>172</v>
      </c>
      <c r="V33" s="19">
        <v>1.26</v>
      </c>
      <c r="W33" s="18">
        <v>0</v>
      </c>
      <c r="X33" s="18">
        <v>-49.85</v>
      </c>
    </row>
    <row r="34" spans="1:33" s="16" customFormat="1" x14ac:dyDescent="0.2">
      <c r="A34" s="1" t="s">
        <v>273</v>
      </c>
      <c r="B34" s="10">
        <v>5442438</v>
      </c>
      <c r="C34" s="1" t="s">
        <v>122</v>
      </c>
      <c r="D34" s="1" t="s">
        <v>123</v>
      </c>
      <c r="E34" s="1" t="s">
        <v>293</v>
      </c>
      <c r="F34" s="1" t="s">
        <v>308</v>
      </c>
      <c r="G34" s="1" t="s">
        <v>124</v>
      </c>
      <c r="H34" s="1" t="s">
        <v>68</v>
      </c>
      <c r="I34" s="1" t="s">
        <v>97</v>
      </c>
      <c r="J34" s="1" t="s">
        <v>125</v>
      </c>
      <c r="K34" s="1" t="s">
        <v>126</v>
      </c>
      <c r="L34" s="1">
        <f>DATEDIF(J34,K34,"M")</f>
        <v>11</v>
      </c>
      <c r="M34" s="33" t="s">
        <v>335</v>
      </c>
      <c r="N34" s="33" t="s">
        <v>336</v>
      </c>
      <c r="O34" s="1" t="s">
        <v>56</v>
      </c>
      <c r="P34" s="1">
        <v>1</v>
      </c>
      <c r="Q34" s="1">
        <v>76.180000000000007</v>
      </c>
      <c r="R34" s="21">
        <f>Q34*V34</f>
        <v>114.27000000000001</v>
      </c>
      <c r="S34" s="11">
        <v>76.180000000000007</v>
      </c>
      <c r="T34" s="1" t="s">
        <v>58</v>
      </c>
      <c r="U34" s="1" t="s">
        <v>59</v>
      </c>
      <c r="V34" s="12">
        <v>1.5</v>
      </c>
      <c r="W34" s="11">
        <v>114.27</v>
      </c>
      <c r="X34" s="11">
        <v>0</v>
      </c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2">
      <c r="A35" s="1" t="s">
        <v>273</v>
      </c>
      <c r="B35" s="10">
        <v>5442438</v>
      </c>
      <c r="C35" s="1" t="s">
        <v>221</v>
      </c>
      <c r="D35" s="1" t="s">
        <v>222</v>
      </c>
      <c r="E35" s="1" t="s">
        <v>296</v>
      </c>
      <c r="F35" s="1" t="s">
        <v>316</v>
      </c>
      <c r="G35" s="1" t="s">
        <v>124</v>
      </c>
      <c r="H35" s="1" t="s">
        <v>96</v>
      </c>
      <c r="I35" s="1" t="s">
        <v>223</v>
      </c>
      <c r="J35" s="1" t="s">
        <v>224</v>
      </c>
      <c r="K35" s="1" t="s">
        <v>54</v>
      </c>
      <c r="L35" s="1">
        <f>DATEDIF(J35,K35,"M")</f>
        <v>4</v>
      </c>
      <c r="M35" s="33" t="s">
        <v>335</v>
      </c>
      <c r="N35" s="33" t="s">
        <v>336</v>
      </c>
      <c r="O35" s="1" t="s">
        <v>56</v>
      </c>
      <c r="P35" s="1">
        <v>1</v>
      </c>
      <c r="Q35" s="1">
        <v>241.87</v>
      </c>
      <c r="R35" s="21">
        <f>Q35*V35</f>
        <v>6.0467500000000003</v>
      </c>
      <c r="S35" s="11">
        <v>241.87</v>
      </c>
      <c r="T35" s="1" t="s">
        <v>58</v>
      </c>
      <c r="U35" s="1" t="s">
        <v>59</v>
      </c>
      <c r="V35" s="12">
        <v>2.5000000000000001E-2</v>
      </c>
      <c r="W35" s="11">
        <v>6.05</v>
      </c>
      <c r="X35" s="11">
        <v>0</v>
      </c>
    </row>
    <row r="36" spans="1:33" x14ac:dyDescent="0.2">
      <c r="A36" s="16" t="s">
        <v>270</v>
      </c>
      <c r="B36" s="17">
        <v>8977234</v>
      </c>
      <c r="C36" s="16" t="s">
        <v>93</v>
      </c>
      <c r="D36" s="16" t="s">
        <v>94</v>
      </c>
      <c r="E36" s="16" t="s">
        <v>290</v>
      </c>
      <c r="F36" s="16" t="s">
        <v>308</v>
      </c>
      <c r="G36" s="16" t="s">
        <v>95</v>
      </c>
      <c r="H36" s="16" t="s">
        <v>96</v>
      </c>
      <c r="I36" s="16" t="s">
        <v>97</v>
      </c>
      <c r="J36" s="16" t="s">
        <v>96</v>
      </c>
      <c r="K36" s="16" t="s">
        <v>96</v>
      </c>
      <c r="L36" s="16">
        <f>DATEDIF(J36,K36,"M")</f>
        <v>0</v>
      </c>
      <c r="M36" s="29" t="s">
        <v>335</v>
      </c>
      <c r="N36" s="29" t="s">
        <v>336</v>
      </c>
      <c r="O36" s="16" t="s">
        <v>56</v>
      </c>
      <c r="P36" s="16">
        <v>1</v>
      </c>
      <c r="Q36" s="16">
        <v>98.04</v>
      </c>
      <c r="R36" s="22">
        <f>Q36*V36</f>
        <v>147.06</v>
      </c>
      <c r="S36" s="18">
        <v>882.36</v>
      </c>
      <c r="T36" s="16" t="s">
        <v>58</v>
      </c>
      <c r="U36" s="16" t="s">
        <v>98</v>
      </c>
      <c r="V36" s="19">
        <v>1.5</v>
      </c>
      <c r="W36" s="18">
        <v>1323.54</v>
      </c>
      <c r="X36" s="18">
        <v>1323.54</v>
      </c>
    </row>
    <row r="37" spans="1:33" x14ac:dyDescent="0.2">
      <c r="A37" s="16" t="s">
        <v>270</v>
      </c>
      <c r="B37" s="17">
        <v>8977234</v>
      </c>
      <c r="C37" s="16" t="s">
        <v>99</v>
      </c>
      <c r="D37" s="16" t="s">
        <v>100</v>
      </c>
      <c r="E37" s="16" t="s">
        <v>291</v>
      </c>
      <c r="F37" s="16" t="s">
        <v>307</v>
      </c>
      <c r="G37" s="16" t="s">
        <v>101</v>
      </c>
      <c r="H37" s="16" t="s">
        <v>68</v>
      </c>
      <c r="I37" s="16" t="s">
        <v>102</v>
      </c>
      <c r="J37" s="16" t="s">
        <v>103</v>
      </c>
      <c r="K37" s="16" t="s">
        <v>103</v>
      </c>
      <c r="L37" s="16">
        <f>DATEDIF(J37,K37,"M")</f>
        <v>0</v>
      </c>
      <c r="M37" s="29" t="s">
        <v>335</v>
      </c>
      <c r="N37" s="29" t="s">
        <v>336</v>
      </c>
      <c r="O37" s="16" t="s">
        <v>56</v>
      </c>
      <c r="P37" s="16">
        <v>1</v>
      </c>
      <c r="Q37" s="16">
        <v>47</v>
      </c>
      <c r="R37" s="22">
        <f>Q37*V37</f>
        <v>31.725000000000001</v>
      </c>
      <c r="S37" s="18">
        <v>423</v>
      </c>
      <c r="T37" s="16" t="s">
        <v>58</v>
      </c>
      <c r="U37" s="16" t="s">
        <v>104</v>
      </c>
      <c r="V37" s="19">
        <v>0.67500000000000004</v>
      </c>
      <c r="W37" s="18">
        <v>285.52999999999997</v>
      </c>
      <c r="X37" s="18">
        <v>285.52999999999997</v>
      </c>
    </row>
    <row r="38" spans="1:33" s="13" customFormat="1" x14ac:dyDescent="0.2">
      <c r="A38" s="16" t="s">
        <v>270</v>
      </c>
      <c r="B38" s="17">
        <v>8977234</v>
      </c>
      <c r="C38" s="16" t="s">
        <v>127</v>
      </c>
      <c r="D38" s="16" t="s">
        <v>128</v>
      </c>
      <c r="E38" s="16" t="s">
        <v>293</v>
      </c>
      <c r="F38" s="16" t="s">
        <v>308</v>
      </c>
      <c r="G38" s="16" t="s">
        <v>129</v>
      </c>
      <c r="H38" s="16" t="s">
        <v>96</v>
      </c>
      <c r="I38" s="16" t="s">
        <v>97</v>
      </c>
      <c r="J38" s="16" t="s">
        <v>54</v>
      </c>
      <c r="K38" s="16" t="s">
        <v>54</v>
      </c>
      <c r="L38" s="16">
        <f>DATEDIF(J38,K38,"M")</f>
        <v>0</v>
      </c>
      <c r="M38" s="29" t="s">
        <v>335</v>
      </c>
      <c r="N38" s="29" t="s">
        <v>336</v>
      </c>
      <c r="O38" s="16" t="s">
        <v>56</v>
      </c>
      <c r="P38" s="16">
        <v>1</v>
      </c>
      <c r="Q38" s="16">
        <v>65.290000000000006</v>
      </c>
      <c r="R38" s="22">
        <f>Q38*V38</f>
        <v>97.935000000000002</v>
      </c>
      <c r="S38" s="18">
        <v>587.61</v>
      </c>
      <c r="T38" s="16" t="s">
        <v>58</v>
      </c>
      <c r="U38" s="16" t="s">
        <v>98</v>
      </c>
      <c r="V38" s="19">
        <v>1.5</v>
      </c>
      <c r="W38" s="18">
        <v>881.46</v>
      </c>
      <c r="X38" s="18">
        <v>881.46</v>
      </c>
      <c r="Y38" s="1"/>
      <c r="Z38" s="1"/>
      <c r="AA38" s="1"/>
      <c r="AB38" s="1"/>
      <c r="AC38" s="1"/>
      <c r="AD38" s="1"/>
      <c r="AE38" s="1"/>
      <c r="AF38" s="1"/>
      <c r="AG38" s="1"/>
    </row>
    <row r="39" spans="1:33" s="13" customFormat="1" x14ac:dyDescent="0.2">
      <c r="A39" s="1" t="s">
        <v>281</v>
      </c>
      <c r="B39" s="10">
        <v>16170994</v>
      </c>
      <c r="C39" s="1" t="s">
        <v>189</v>
      </c>
      <c r="D39" s="1" t="s">
        <v>190</v>
      </c>
      <c r="E39" s="1" t="s">
        <v>292</v>
      </c>
      <c r="F39" s="1" t="s">
        <v>315</v>
      </c>
      <c r="G39" s="1" t="s">
        <v>185</v>
      </c>
      <c r="H39" s="1" t="s">
        <v>62</v>
      </c>
      <c r="I39" s="1" t="s">
        <v>107</v>
      </c>
      <c r="J39" s="1" t="s">
        <v>187</v>
      </c>
      <c r="K39" s="1" t="s">
        <v>188</v>
      </c>
      <c r="L39" s="1">
        <f>DATEDIF(J39,K39,"M")</f>
        <v>1</v>
      </c>
      <c r="M39" s="33" t="s">
        <v>335</v>
      </c>
      <c r="N39" s="33" t="s">
        <v>336</v>
      </c>
      <c r="O39" s="1" t="s">
        <v>56</v>
      </c>
      <c r="P39" s="1">
        <v>1</v>
      </c>
      <c r="Q39" s="1">
        <v>29.04</v>
      </c>
      <c r="R39" s="21">
        <f>Q39*V39</f>
        <v>39.204000000000001</v>
      </c>
      <c r="S39" s="11">
        <v>29.04</v>
      </c>
      <c r="T39" s="1" t="s">
        <v>58</v>
      </c>
      <c r="U39" s="1" t="s">
        <v>172</v>
      </c>
      <c r="V39" s="12">
        <v>1.35</v>
      </c>
      <c r="W39" s="11">
        <v>0</v>
      </c>
      <c r="X39" s="11">
        <v>-39.200000000000003</v>
      </c>
      <c r="Y39" s="1"/>
      <c r="Z39" s="1"/>
      <c r="AA39" s="1"/>
      <c r="AB39" s="1"/>
      <c r="AC39" s="1"/>
      <c r="AD39" s="1"/>
      <c r="AE39" s="1"/>
      <c r="AF39" s="1"/>
      <c r="AG39" s="1"/>
    </row>
    <row r="40" spans="1:33" s="16" customFormat="1" x14ac:dyDescent="0.2">
      <c r="A40" s="1" t="s">
        <v>281</v>
      </c>
      <c r="B40" s="10">
        <v>16170994</v>
      </c>
      <c r="C40" s="1" t="s">
        <v>183</v>
      </c>
      <c r="D40" s="1" t="s">
        <v>184</v>
      </c>
      <c r="E40" s="1" t="s">
        <v>295</v>
      </c>
      <c r="F40" s="1" t="s">
        <v>314</v>
      </c>
      <c r="G40" s="1" t="s">
        <v>185</v>
      </c>
      <c r="H40" s="1" t="s">
        <v>62</v>
      </c>
      <c r="I40" s="1" t="s">
        <v>186</v>
      </c>
      <c r="J40" s="1" t="s">
        <v>187</v>
      </c>
      <c r="K40" s="1" t="s">
        <v>188</v>
      </c>
      <c r="L40" s="1">
        <f>DATEDIF(J40,K40,"M")</f>
        <v>1</v>
      </c>
      <c r="M40" s="33" t="s">
        <v>335</v>
      </c>
      <c r="N40" s="33" t="s">
        <v>336</v>
      </c>
      <c r="O40" s="1" t="s">
        <v>56</v>
      </c>
      <c r="P40" s="1">
        <v>1</v>
      </c>
      <c r="Q40" s="1">
        <v>45.92</v>
      </c>
      <c r="R40" s="21">
        <f>Q40*V40</f>
        <v>40.18</v>
      </c>
      <c r="S40" s="11">
        <v>45.92</v>
      </c>
      <c r="T40" s="1" t="s">
        <v>58</v>
      </c>
      <c r="U40" s="1" t="s">
        <v>172</v>
      </c>
      <c r="V40" s="12">
        <v>0.875</v>
      </c>
      <c r="W40" s="11">
        <v>0</v>
      </c>
      <c r="X40" s="11">
        <v>-40.18</v>
      </c>
      <c r="Y40" s="1"/>
      <c r="Z40" s="1"/>
      <c r="AA40" s="1"/>
      <c r="AB40" s="1"/>
      <c r="AC40" s="1"/>
      <c r="AD40" s="1"/>
      <c r="AE40" s="1"/>
      <c r="AF40" s="1"/>
      <c r="AG40" s="1"/>
    </row>
    <row r="41" spans="1:33" s="13" customFormat="1" x14ac:dyDescent="0.2">
      <c r="A41" s="13" t="s">
        <v>282</v>
      </c>
      <c r="B41" s="30">
        <v>19645587</v>
      </c>
      <c r="C41" s="13" t="s">
        <v>191</v>
      </c>
      <c r="D41" s="13" t="s">
        <v>192</v>
      </c>
      <c r="E41" s="13" t="s">
        <v>292</v>
      </c>
      <c r="F41" s="13" t="s">
        <v>315</v>
      </c>
      <c r="G41" s="13" t="s">
        <v>193</v>
      </c>
      <c r="H41" s="13" t="s">
        <v>133</v>
      </c>
      <c r="I41" s="13" t="s">
        <v>107</v>
      </c>
      <c r="J41" s="13" t="s">
        <v>171</v>
      </c>
      <c r="K41" s="13" t="s">
        <v>194</v>
      </c>
      <c r="L41" s="13">
        <f>DATEDIF(J41,K41,"M")</f>
        <v>1</v>
      </c>
      <c r="M41" s="32" t="s">
        <v>335</v>
      </c>
      <c r="N41" s="32" t="s">
        <v>337</v>
      </c>
      <c r="O41" s="13" t="s">
        <v>56</v>
      </c>
      <c r="P41" s="13">
        <v>1</v>
      </c>
      <c r="Q41" s="13">
        <v>73.040000000000006</v>
      </c>
      <c r="R41" s="31">
        <f>Q41*V41</f>
        <v>98.604000000000013</v>
      </c>
      <c r="S41" s="14">
        <v>73.040000000000006</v>
      </c>
      <c r="T41" s="13" t="s">
        <v>58</v>
      </c>
      <c r="U41" s="13" t="s">
        <v>172</v>
      </c>
      <c r="V41" s="15">
        <v>1.35</v>
      </c>
      <c r="W41" s="14">
        <v>0</v>
      </c>
      <c r="X41" s="14">
        <v>-98.6</v>
      </c>
      <c r="Y41" s="1"/>
      <c r="Z41" s="1"/>
      <c r="AA41" s="1"/>
      <c r="AB41" s="1"/>
      <c r="AC41" s="1"/>
      <c r="AD41" s="1"/>
      <c r="AE41" s="1"/>
      <c r="AF41" s="1"/>
      <c r="AG41" s="1"/>
    </row>
    <row r="42" spans="1:33" s="16" customFormat="1" x14ac:dyDescent="0.2">
      <c r="A42" s="16" t="s">
        <v>284</v>
      </c>
      <c r="B42" s="17">
        <v>19491313</v>
      </c>
      <c r="C42" s="16" t="s">
        <v>234</v>
      </c>
      <c r="D42" s="16" t="s">
        <v>235</v>
      </c>
      <c r="E42" s="16" t="s">
        <v>299</v>
      </c>
      <c r="F42" s="16" t="s">
        <v>329</v>
      </c>
      <c r="G42" s="16" t="s">
        <v>185</v>
      </c>
      <c r="H42" s="16" t="s">
        <v>133</v>
      </c>
      <c r="I42" s="16" t="s">
        <v>236</v>
      </c>
      <c r="J42" s="16" t="s">
        <v>62</v>
      </c>
      <c r="K42" s="16" t="s">
        <v>63</v>
      </c>
      <c r="L42" s="16">
        <f>DATEDIF(J42,K42,"M")</f>
        <v>1</v>
      </c>
      <c r="M42" s="29" t="s">
        <v>335</v>
      </c>
      <c r="N42" s="29" t="s">
        <v>336</v>
      </c>
      <c r="O42" s="16" t="s">
        <v>56</v>
      </c>
      <c r="P42" s="16">
        <v>1</v>
      </c>
      <c r="Q42" s="16">
        <v>34.799999999999997</v>
      </c>
      <c r="R42" s="22">
        <f>Q42*V42</f>
        <v>22.619999999999997</v>
      </c>
      <c r="S42" s="18">
        <v>34.799999999999997</v>
      </c>
      <c r="T42" s="16" t="s">
        <v>58</v>
      </c>
      <c r="U42" s="16" t="s">
        <v>98</v>
      </c>
      <c r="V42" s="19">
        <v>0.65</v>
      </c>
      <c r="W42" s="18">
        <v>22.62</v>
      </c>
      <c r="X42" s="18">
        <v>0</v>
      </c>
      <c r="Y42" s="1"/>
      <c r="Z42" s="1"/>
      <c r="AA42" s="1"/>
      <c r="AB42" s="1"/>
      <c r="AC42" s="1"/>
      <c r="AD42" s="1"/>
      <c r="AE42" s="1"/>
      <c r="AF42" s="1"/>
      <c r="AG42" s="1"/>
    </row>
    <row r="43" spans="1:33" s="16" customFormat="1" x14ac:dyDescent="0.2">
      <c r="A43" s="16" t="s">
        <v>284</v>
      </c>
      <c r="B43" s="17">
        <v>19491313</v>
      </c>
      <c r="C43" s="16" t="s">
        <v>208</v>
      </c>
      <c r="D43" s="16" t="s">
        <v>209</v>
      </c>
      <c r="E43" s="16" t="s">
        <v>295</v>
      </c>
      <c r="F43" s="16" t="s">
        <v>314</v>
      </c>
      <c r="G43" s="16" t="s">
        <v>185</v>
      </c>
      <c r="H43" s="16" t="s">
        <v>96</v>
      </c>
      <c r="I43" s="16" t="s">
        <v>186</v>
      </c>
      <c r="J43" s="16" t="s">
        <v>62</v>
      </c>
      <c r="K43" s="16" t="s">
        <v>63</v>
      </c>
      <c r="L43" s="16">
        <f>DATEDIF(J43,K43,"M")</f>
        <v>1</v>
      </c>
      <c r="M43" s="29" t="s">
        <v>335</v>
      </c>
      <c r="N43" s="29" t="s">
        <v>336</v>
      </c>
      <c r="O43" s="16" t="s">
        <v>56</v>
      </c>
      <c r="P43" s="16">
        <v>1</v>
      </c>
      <c r="Q43" s="16">
        <v>70.760000000000005</v>
      </c>
      <c r="R43" s="22">
        <f>Q43*V43</f>
        <v>61.915000000000006</v>
      </c>
      <c r="S43" s="18">
        <v>70.760000000000005</v>
      </c>
      <c r="T43" s="16" t="s">
        <v>58</v>
      </c>
      <c r="U43" s="16" t="s">
        <v>172</v>
      </c>
      <c r="V43" s="19">
        <v>0.875</v>
      </c>
      <c r="W43" s="18">
        <v>0</v>
      </c>
      <c r="X43" s="18">
        <v>-61.92</v>
      </c>
      <c r="Y43" s="1"/>
      <c r="Z43" s="1"/>
      <c r="AA43" s="1"/>
      <c r="AB43" s="1"/>
      <c r="AC43" s="1"/>
      <c r="AD43" s="1"/>
      <c r="AE43" s="1"/>
      <c r="AF43" s="1"/>
      <c r="AG43" s="1"/>
    </row>
    <row r="44" spans="1:33" s="16" customFormat="1" x14ac:dyDescent="0.2">
      <c r="A44" s="16" t="s">
        <v>284</v>
      </c>
      <c r="B44" s="17">
        <v>19491313</v>
      </c>
      <c r="C44" s="16" t="s">
        <v>231</v>
      </c>
      <c r="D44" s="16" t="s">
        <v>232</v>
      </c>
      <c r="E44" s="16" t="s">
        <v>298</v>
      </c>
      <c r="F44" s="16" t="s">
        <v>328</v>
      </c>
      <c r="G44" s="16" t="s">
        <v>185</v>
      </c>
      <c r="H44" s="16" t="s">
        <v>62</v>
      </c>
      <c r="I44" s="16" t="s">
        <v>233</v>
      </c>
      <c r="J44" s="16" t="s">
        <v>62</v>
      </c>
      <c r="K44" s="16" t="s">
        <v>63</v>
      </c>
      <c r="L44" s="16">
        <f>DATEDIF(J44,K44,"M")</f>
        <v>1</v>
      </c>
      <c r="M44" s="29" t="s">
        <v>335</v>
      </c>
      <c r="N44" s="29" t="s">
        <v>336</v>
      </c>
      <c r="O44" s="16" t="s">
        <v>56</v>
      </c>
      <c r="P44" s="16">
        <v>1</v>
      </c>
      <c r="Q44" s="16">
        <v>70.97</v>
      </c>
      <c r="R44" s="22">
        <f>Q44*V44</f>
        <v>39.743200000000002</v>
      </c>
      <c r="S44" s="18">
        <v>70.97</v>
      </c>
      <c r="T44" s="16" t="s">
        <v>58</v>
      </c>
      <c r="U44" s="16" t="s">
        <v>98</v>
      </c>
      <c r="V44" s="19">
        <v>0.56000000000000005</v>
      </c>
      <c r="W44" s="18">
        <v>39.74</v>
      </c>
      <c r="X44" s="18">
        <v>0</v>
      </c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2">
      <c r="A45" s="1" t="s">
        <v>284</v>
      </c>
      <c r="B45" s="10">
        <v>19491313</v>
      </c>
      <c r="C45" s="1" t="s">
        <v>202</v>
      </c>
      <c r="D45" s="1" t="s">
        <v>203</v>
      </c>
      <c r="E45" s="1" t="s">
        <v>293</v>
      </c>
      <c r="F45" s="1" t="s">
        <v>308</v>
      </c>
      <c r="G45" s="1" t="s">
        <v>185</v>
      </c>
      <c r="H45" s="1" t="s">
        <v>68</v>
      </c>
      <c r="I45" s="1" t="s">
        <v>97</v>
      </c>
      <c r="J45" s="1" t="s">
        <v>204</v>
      </c>
      <c r="K45" s="1" t="s">
        <v>148</v>
      </c>
      <c r="L45" s="1">
        <f>DATEDIF(J45,K45,"M")</f>
        <v>2</v>
      </c>
      <c r="M45" s="33" t="s">
        <v>335</v>
      </c>
      <c r="N45" s="33" t="s">
        <v>336</v>
      </c>
      <c r="O45" s="1" t="s">
        <v>56</v>
      </c>
      <c r="P45" s="1">
        <v>1</v>
      </c>
      <c r="Q45" s="1">
        <v>72.959999999999994</v>
      </c>
      <c r="R45" s="21">
        <f>Q45*V45</f>
        <v>109.44</v>
      </c>
      <c r="S45" s="11">
        <v>72.959999999999994</v>
      </c>
      <c r="T45" s="1" t="s">
        <v>58</v>
      </c>
      <c r="U45" s="1" t="s">
        <v>59</v>
      </c>
      <c r="V45" s="12">
        <v>1.5</v>
      </c>
      <c r="W45" s="11">
        <v>0</v>
      </c>
      <c r="X45" s="11">
        <v>-109.44</v>
      </c>
    </row>
    <row r="46" spans="1:33" s="16" customFormat="1" x14ac:dyDescent="0.2">
      <c r="A46" s="1" t="s">
        <v>284</v>
      </c>
      <c r="B46" s="10">
        <v>19491313</v>
      </c>
      <c r="C46" s="1" t="s">
        <v>205</v>
      </c>
      <c r="D46" s="1" t="s">
        <v>206</v>
      </c>
      <c r="E46" s="1" t="s">
        <v>293</v>
      </c>
      <c r="F46" s="1" t="s">
        <v>308</v>
      </c>
      <c r="G46" s="1" t="s">
        <v>185</v>
      </c>
      <c r="H46" s="1" t="s">
        <v>68</v>
      </c>
      <c r="I46" s="1" t="s">
        <v>97</v>
      </c>
      <c r="J46" s="1" t="s">
        <v>207</v>
      </c>
      <c r="K46" s="1" t="s">
        <v>54</v>
      </c>
      <c r="L46" s="1">
        <f>DATEDIF(J46,K46,"M")</f>
        <v>1</v>
      </c>
      <c r="M46" s="33" t="s">
        <v>335</v>
      </c>
      <c r="N46" s="33" t="s">
        <v>336</v>
      </c>
      <c r="O46" s="1" t="s">
        <v>56</v>
      </c>
      <c r="P46" s="1">
        <v>1</v>
      </c>
      <c r="Q46" s="1">
        <v>56.11</v>
      </c>
      <c r="R46" s="21">
        <f>Q46*V46</f>
        <v>84.164999999999992</v>
      </c>
      <c r="S46" s="11">
        <v>56.11</v>
      </c>
      <c r="T46" s="1" t="s">
        <v>58</v>
      </c>
      <c r="U46" s="1" t="s">
        <v>172</v>
      </c>
      <c r="V46" s="12">
        <v>1.5</v>
      </c>
      <c r="W46" s="11">
        <v>0</v>
      </c>
      <c r="X46" s="11">
        <v>-84.17</v>
      </c>
      <c r="Y46" s="1"/>
      <c r="Z46" s="1"/>
      <c r="AA46" s="1"/>
      <c r="AB46" s="1"/>
      <c r="AC46" s="1"/>
      <c r="AD46" s="1"/>
      <c r="AE46" s="1"/>
      <c r="AF46" s="1"/>
      <c r="AG46" s="1"/>
    </row>
    <row r="47" spans="1:33" s="16" customFormat="1" x14ac:dyDescent="0.2">
      <c r="A47" s="1" t="s">
        <v>284</v>
      </c>
      <c r="B47" s="10">
        <v>19491313</v>
      </c>
      <c r="C47" s="1" t="s">
        <v>199</v>
      </c>
      <c r="D47" s="1" t="s">
        <v>200</v>
      </c>
      <c r="E47" s="1" t="s">
        <v>291</v>
      </c>
      <c r="F47" s="1" t="s">
        <v>310</v>
      </c>
      <c r="G47" s="1" t="s">
        <v>185</v>
      </c>
      <c r="H47" s="1" t="s">
        <v>133</v>
      </c>
      <c r="I47" s="1" t="s">
        <v>102</v>
      </c>
      <c r="J47" s="1" t="s">
        <v>201</v>
      </c>
      <c r="K47" s="1" t="s">
        <v>121</v>
      </c>
      <c r="L47" s="1">
        <f>DATEDIF(J47,K47,"M")</f>
        <v>9</v>
      </c>
      <c r="M47" s="33" t="s">
        <v>335</v>
      </c>
      <c r="N47" s="33" t="s">
        <v>336</v>
      </c>
      <c r="O47" s="1" t="s">
        <v>56</v>
      </c>
      <c r="P47" s="1">
        <v>1</v>
      </c>
      <c r="Q47" s="1">
        <v>56.05</v>
      </c>
      <c r="R47" s="21">
        <f>Q47*V47</f>
        <v>75.667500000000004</v>
      </c>
      <c r="S47" s="11">
        <v>56.05</v>
      </c>
      <c r="T47" s="1" t="s">
        <v>58</v>
      </c>
      <c r="U47" s="1" t="s">
        <v>59</v>
      </c>
      <c r="V47" s="12">
        <v>1.35</v>
      </c>
      <c r="W47" s="11">
        <v>0.02</v>
      </c>
      <c r="X47" s="11">
        <v>-75.650000000000006</v>
      </c>
      <c r="Y47" s="1"/>
      <c r="Z47" s="1"/>
      <c r="AA47" s="1"/>
      <c r="AB47" s="1"/>
      <c r="AC47" s="1"/>
      <c r="AD47" s="1"/>
      <c r="AE47" s="1"/>
      <c r="AF47" s="1"/>
      <c r="AG47" s="1"/>
    </row>
    <row r="48" spans="1:33" s="13" customFormat="1" x14ac:dyDescent="0.2">
      <c r="A48" s="16" t="s">
        <v>277</v>
      </c>
      <c r="B48" s="28" t="s">
        <v>320</v>
      </c>
      <c r="C48" s="16" t="s">
        <v>166</v>
      </c>
      <c r="D48" s="16" t="s">
        <v>167</v>
      </c>
      <c r="E48" s="16" t="s">
        <v>292</v>
      </c>
      <c r="F48" s="16" t="s">
        <v>315</v>
      </c>
      <c r="G48" s="16" t="s">
        <v>124</v>
      </c>
      <c r="H48" s="16" t="s">
        <v>68</v>
      </c>
      <c r="I48" s="16" t="s">
        <v>107</v>
      </c>
      <c r="J48" s="16" t="s">
        <v>68</v>
      </c>
      <c r="K48" s="16" t="s">
        <v>70</v>
      </c>
      <c r="L48" s="16">
        <f>DATEDIF(J48,K48,"M")</f>
        <v>1</v>
      </c>
      <c r="M48" s="29" t="s">
        <v>333</v>
      </c>
      <c r="N48" s="29" t="s">
        <v>334</v>
      </c>
      <c r="O48" s="16" t="s">
        <v>56</v>
      </c>
      <c r="P48" s="16">
        <v>1</v>
      </c>
      <c r="Q48" s="16">
        <v>262.79000000000002</v>
      </c>
      <c r="R48" s="22">
        <f>Q48*V48</f>
        <v>354.76650000000006</v>
      </c>
      <c r="S48" s="18">
        <v>2365.11</v>
      </c>
      <c r="T48" s="16" t="s">
        <v>58</v>
      </c>
      <c r="U48" s="16" t="s">
        <v>98</v>
      </c>
      <c r="V48" s="19">
        <v>1.35</v>
      </c>
      <c r="W48" s="18">
        <v>2000</v>
      </c>
      <c r="X48" s="18">
        <v>2000</v>
      </c>
      <c r="Y48" s="1"/>
      <c r="Z48" s="1"/>
      <c r="AA48" s="1"/>
      <c r="AB48" s="1"/>
      <c r="AC48" s="1"/>
      <c r="AD48" s="1"/>
      <c r="AE48" s="1"/>
      <c r="AF48" s="1"/>
      <c r="AG48" s="1"/>
    </row>
    <row r="49" spans="1:33" s="16" customFormat="1" x14ac:dyDescent="0.2">
      <c r="A49" s="13" t="s">
        <v>277</v>
      </c>
      <c r="B49" s="30">
        <v>21561165</v>
      </c>
      <c r="C49" s="13" t="s">
        <v>162</v>
      </c>
      <c r="D49" s="13" t="s">
        <v>163</v>
      </c>
      <c r="E49" s="13" t="s">
        <v>291</v>
      </c>
      <c r="F49" s="13" t="s">
        <v>311</v>
      </c>
      <c r="G49" s="13" t="s">
        <v>164</v>
      </c>
      <c r="H49" s="13" t="s">
        <v>96</v>
      </c>
      <c r="I49" s="13" t="s">
        <v>102</v>
      </c>
      <c r="J49" s="13" t="s">
        <v>165</v>
      </c>
      <c r="K49" s="13" t="s">
        <v>70</v>
      </c>
      <c r="L49" s="13">
        <f>DATEDIF(J49,K49,"M")</f>
        <v>7</v>
      </c>
      <c r="M49" s="32" t="s">
        <v>335</v>
      </c>
      <c r="N49" s="32" t="s">
        <v>337</v>
      </c>
      <c r="O49" s="13" t="s">
        <v>56</v>
      </c>
      <c r="P49" s="13">
        <v>1</v>
      </c>
      <c r="Q49" s="13">
        <v>90.66</v>
      </c>
      <c r="R49" s="31">
        <f>Q49*V49</f>
        <v>122.39100000000001</v>
      </c>
      <c r="S49" s="14">
        <v>90.66</v>
      </c>
      <c r="T49" s="13" t="s">
        <v>58</v>
      </c>
      <c r="U49" s="13" t="s">
        <v>59</v>
      </c>
      <c r="V49" s="15">
        <v>1.35</v>
      </c>
      <c r="W49" s="14">
        <v>122.39</v>
      </c>
      <c r="X49" s="14">
        <v>0</v>
      </c>
      <c r="Y49" s="1"/>
      <c r="Z49" s="1"/>
      <c r="AA49" s="1"/>
      <c r="AB49" s="1"/>
      <c r="AC49" s="1"/>
      <c r="AD49" s="1"/>
      <c r="AE49" s="1"/>
      <c r="AF49" s="1"/>
      <c r="AG49" s="1"/>
    </row>
    <row r="50" spans="1:33" s="13" customFormat="1" x14ac:dyDescent="0.2">
      <c r="A50" s="13" t="s">
        <v>276</v>
      </c>
      <c r="B50" s="30">
        <v>21283956</v>
      </c>
      <c r="C50" s="13" t="s">
        <v>157</v>
      </c>
      <c r="D50" s="13" t="s">
        <v>158</v>
      </c>
      <c r="E50" s="13" t="s">
        <v>294</v>
      </c>
      <c r="F50" s="13" t="s">
        <v>312</v>
      </c>
      <c r="G50" s="13" t="s">
        <v>50</v>
      </c>
      <c r="H50" s="13" t="s">
        <v>62</v>
      </c>
      <c r="I50" s="13" t="s">
        <v>159</v>
      </c>
      <c r="J50" s="13" t="s">
        <v>160</v>
      </c>
      <c r="K50" s="13" t="s">
        <v>161</v>
      </c>
      <c r="L50" s="13">
        <f>DATEDIF(J50,K50,"M")</f>
        <v>2</v>
      </c>
      <c r="M50" s="32" t="s">
        <v>335</v>
      </c>
      <c r="N50" s="32" t="s">
        <v>337</v>
      </c>
      <c r="O50" s="13" t="s">
        <v>56</v>
      </c>
      <c r="P50" s="13">
        <v>1</v>
      </c>
      <c r="Q50" s="13">
        <v>87.29</v>
      </c>
      <c r="R50" s="31">
        <f>Q50*V50</f>
        <v>109.98540000000001</v>
      </c>
      <c r="S50" s="14">
        <v>81.91</v>
      </c>
      <c r="T50" s="13" t="s">
        <v>58</v>
      </c>
      <c r="U50" s="13" t="s">
        <v>59</v>
      </c>
      <c r="V50" s="15">
        <v>1.26</v>
      </c>
      <c r="W50" s="14">
        <v>0</v>
      </c>
      <c r="X50" s="14">
        <v>-103.21</v>
      </c>
      <c r="Y50" s="1"/>
      <c r="Z50" s="1"/>
      <c r="AA50" s="1"/>
      <c r="AB50" s="1"/>
      <c r="AC50" s="1"/>
      <c r="AD50" s="1"/>
      <c r="AE50" s="1"/>
      <c r="AF50" s="1"/>
      <c r="AG50" s="1"/>
    </row>
    <row r="51" spans="1:33" s="13" customFormat="1" x14ac:dyDescent="0.2">
      <c r="A51" s="13" t="s">
        <v>276</v>
      </c>
      <c r="B51" s="30">
        <v>21283956</v>
      </c>
      <c r="C51" s="13" t="s">
        <v>237</v>
      </c>
      <c r="D51" s="13" t="s">
        <v>238</v>
      </c>
      <c r="E51" s="13" t="s">
        <v>300</v>
      </c>
      <c r="F51" s="13" t="s">
        <v>317</v>
      </c>
      <c r="G51" s="13" t="s">
        <v>50</v>
      </c>
      <c r="H51" s="13" t="s">
        <v>51</v>
      </c>
      <c r="I51" s="13" t="s">
        <v>239</v>
      </c>
      <c r="J51" s="13" t="s">
        <v>240</v>
      </c>
      <c r="K51" s="13" t="s">
        <v>109</v>
      </c>
      <c r="L51" s="13">
        <f>DATEDIF(J51,K51,"M")</f>
        <v>5</v>
      </c>
      <c r="M51" s="32" t="s">
        <v>335</v>
      </c>
      <c r="N51" s="32" t="s">
        <v>337</v>
      </c>
      <c r="O51" s="13" t="s">
        <v>56</v>
      </c>
      <c r="P51" s="13">
        <v>1</v>
      </c>
      <c r="Q51" s="13">
        <v>79.28</v>
      </c>
      <c r="R51" s="31">
        <f>Q51*V51</f>
        <v>41.2256</v>
      </c>
      <c r="S51" s="14">
        <v>79.28</v>
      </c>
      <c r="T51" s="13" t="s">
        <v>58</v>
      </c>
      <c r="U51" s="13" t="s">
        <v>59</v>
      </c>
      <c r="V51" s="15">
        <v>0.52</v>
      </c>
      <c r="W51" s="14">
        <v>41.23</v>
      </c>
      <c r="X51" s="14">
        <v>0</v>
      </c>
      <c r="Y51" s="1"/>
      <c r="Z51" s="1"/>
      <c r="AA51" s="1"/>
      <c r="AB51" s="1"/>
      <c r="AC51" s="1"/>
      <c r="AD51" s="1"/>
      <c r="AE51" s="1"/>
      <c r="AF51" s="1"/>
      <c r="AG51" s="1"/>
    </row>
    <row r="55" spans="1:33" x14ac:dyDescent="0.2">
      <c r="A55" s="23" t="s">
        <v>285</v>
      </c>
      <c r="B55" s="24">
        <v>19681796</v>
      </c>
      <c r="C55" s="23" t="s">
        <v>225</v>
      </c>
      <c r="D55" s="23" t="s">
        <v>226</v>
      </c>
      <c r="E55" s="23" t="s">
        <v>297</v>
      </c>
      <c r="F55" s="23" t="s">
        <v>317</v>
      </c>
      <c r="G55" s="23" t="s">
        <v>129</v>
      </c>
      <c r="H55" s="23" t="s">
        <v>133</v>
      </c>
      <c r="I55" s="23" t="s">
        <v>227</v>
      </c>
      <c r="J55" s="23" t="s">
        <v>228</v>
      </c>
      <c r="K55" s="23" t="s">
        <v>229</v>
      </c>
      <c r="L55" s="23"/>
      <c r="M55" s="23"/>
      <c r="N55" s="23"/>
      <c r="O55" s="23" t="s">
        <v>56</v>
      </c>
      <c r="P55" s="23">
        <v>1</v>
      </c>
      <c r="Q55" s="23">
        <v>-31.93</v>
      </c>
      <c r="R55" s="25">
        <f>Q55*V55</f>
        <v>-16.6036</v>
      </c>
      <c r="S55" s="26">
        <v>-31.93</v>
      </c>
      <c r="T55" s="23" t="s">
        <v>58</v>
      </c>
      <c r="U55" s="23" t="s">
        <v>230</v>
      </c>
      <c r="V55" s="27">
        <v>0.52</v>
      </c>
      <c r="W55" s="26">
        <v>-16.600000000000001</v>
      </c>
      <c r="X55" s="26">
        <v>0</v>
      </c>
      <c r="Y55" s="23" t="s">
        <v>326</v>
      </c>
      <c r="Z55" s="23"/>
      <c r="AA55" s="23"/>
      <c r="AB55" s="23"/>
      <c r="AC55" s="23"/>
      <c r="AD55" s="23"/>
      <c r="AE55" s="23"/>
      <c r="AF55" s="23"/>
      <c r="AG55" s="23"/>
    </row>
    <row r="56" spans="1:33" x14ac:dyDescent="0.2">
      <c r="A56" s="23" t="s">
        <v>265</v>
      </c>
      <c r="B56" s="24">
        <v>8307933</v>
      </c>
      <c r="C56" s="23" t="s">
        <v>130</v>
      </c>
      <c r="D56" s="23" t="s">
        <v>131</v>
      </c>
      <c r="E56" s="23" t="s">
        <v>291</v>
      </c>
      <c r="F56" s="23" t="s">
        <v>307</v>
      </c>
      <c r="G56" s="23" t="s">
        <v>132</v>
      </c>
      <c r="H56" s="23" t="s">
        <v>133</v>
      </c>
      <c r="I56" s="23" t="s">
        <v>102</v>
      </c>
      <c r="J56" s="23" t="s">
        <v>134</v>
      </c>
      <c r="K56" s="23" t="s">
        <v>135</v>
      </c>
      <c r="L56" s="23"/>
      <c r="M56" s="23"/>
      <c r="N56" s="23"/>
      <c r="O56" s="23" t="s">
        <v>56</v>
      </c>
      <c r="P56" s="23">
        <v>1</v>
      </c>
      <c r="Q56" s="23">
        <v>-309.85000000000002</v>
      </c>
      <c r="R56" s="25">
        <f>Q56*V56</f>
        <v>-209.14875000000004</v>
      </c>
      <c r="S56" s="26">
        <v>-309.85000000000002</v>
      </c>
      <c r="T56" s="23" t="s">
        <v>58</v>
      </c>
      <c r="U56" s="23" t="s">
        <v>136</v>
      </c>
      <c r="V56" s="27">
        <v>0.67500000000000004</v>
      </c>
      <c r="W56" s="26">
        <v>-209.15</v>
      </c>
      <c r="X56" s="26">
        <v>0</v>
      </c>
      <c r="Y56" s="23" t="s">
        <v>326</v>
      </c>
      <c r="Z56" s="23"/>
      <c r="AA56" s="23"/>
      <c r="AB56" s="23"/>
      <c r="AC56" s="23"/>
      <c r="AD56" s="23"/>
      <c r="AE56" s="23"/>
      <c r="AF56" s="23"/>
      <c r="AG56" s="23"/>
    </row>
    <row r="57" spans="1:33" x14ac:dyDescent="0.2">
      <c r="A57" s="23" t="s">
        <v>265</v>
      </c>
      <c r="B57" s="24">
        <v>8307933</v>
      </c>
      <c r="C57" s="23" t="s">
        <v>130</v>
      </c>
      <c r="D57" s="23" t="s">
        <v>131</v>
      </c>
      <c r="E57" s="23" t="s">
        <v>291</v>
      </c>
      <c r="F57" s="23" t="s">
        <v>307</v>
      </c>
      <c r="G57" s="23" t="s">
        <v>132</v>
      </c>
      <c r="H57" s="23" t="s">
        <v>133</v>
      </c>
      <c r="I57" s="23" t="s">
        <v>102</v>
      </c>
      <c r="J57" s="23" t="s">
        <v>134</v>
      </c>
      <c r="K57" s="23" t="s">
        <v>135</v>
      </c>
      <c r="L57" s="23"/>
      <c r="M57" s="23"/>
      <c r="N57" s="23"/>
      <c r="O57" s="23" t="s">
        <v>56</v>
      </c>
      <c r="P57" s="23">
        <v>1</v>
      </c>
      <c r="Q57" s="23">
        <v>-309.85000000000002</v>
      </c>
      <c r="R57" s="25">
        <f>Q57*V57</f>
        <v>-209.14875000000004</v>
      </c>
      <c r="S57" s="26">
        <v>-309.85000000000002</v>
      </c>
      <c r="T57" s="23" t="s">
        <v>58</v>
      </c>
      <c r="U57" s="23" t="s">
        <v>136</v>
      </c>
      <c r="V57" s="27">
        <v>0.67500000000000004</v>
      </c>
      <c r="W57" s="26">
        <v>-0.01</v>
      </c>
      <c r="X57" s="26">
        <v>209.14</v>
      </c>
      <c r="Y57" s="23" t="s">
        <v>327</v>
      </c>
      <c r="Z57" s="23"/>
      <c r="AA57" s="23"/>
      <c r="AB57" s="23"/>
      <c r="AC57" s="23"/>
      <c r="AD57" s="23"/>
      <c r="AE57" s="23"/>
      <c r="AF57" s="23"/>
      <c r="AG57" s="23"/>
    </row>
    <row r="58" spans="1:33" s="16" customFormat="1" x14ac:dyDescent="0.2">
      <c r="A58" s="23" t="e">
        <v>#N/A</v>
      </c>
      <c r="B58" s="24">
        <v>8307933</v>
      </c>
      <c r="C58" s="23" t="s">
        <v>213</v>
      </c>
      <c r="D58" s="23" t="s">
        <v>214</v>
      </c>
      <c r="E58" s="23" t="e">
        <v>#N/A</v>
      </c>
      <c r="F58" s="23" t="s">
        <v>308</v>
      </c>
      <c r="G58" s="23" t="s">
        <v>164</v>
      </c>
      <c r="H58" s="23" t="s">
        <v>68</v>
      </c>
      <c r="I58" s="23" t="s">
        <v>97</v>
      </c>
      <c r="J58" s="23" t="s">
        <v>215</v>
      </c>
      <c r="K58" s="23" t="s">
        <v>215</v>
      </c>
      <c r="L58" s="23"/>
      <c r="M58" s="23"/>
      <c r="N58" s="23"/>
      <c r="O58" s="23" t="s">
        <v>56</v>
      </c>
      <c r="P58" s="23">
        <v>1</v>
      </c>
      <c r="Q58" s="23" t="e">
        <v>#N/A</v>
      </c>
      <c r="R58" s="25" t="e">
        <f>Q58*V58</f>
        <v>#N/A</v>
      </c>
      <c r="S58" s="26">
        <v>-2239.1999999999998</v>
      </c>
      <c r="T58" s="23" t="s">
        <v>58</v>
      </c>
      <c r="U58" s="23" t="s">
        <v>216</v>
      </c>
      <c r="V58" s="27">
        <v>1.5</v>
      </c>
      <c r="W58" s="26">
        <v>-2000</v>
      </c>
      <c r="X58" s="26">
        <v>-1664.12</v>
      </c>
      <c r="Y58" s="23" t="s">
        <v>327</v>
      </c>
      <c r="Z58" s="23"/>
      <c r="AA58" s="23"/>
      <c r="AB58" s="23"/>
      <c r="AC58" s="23"/>
      <c r="AD58" s="23"/>
      <c r="AE58" s="23"/>
      <c r="AF58" s="23"/>
      <c r="AG58" s="23"/>
    </row>
    <row r="59" spans="1:33" s="16" customFormat="1" x14ac:dyDescent="0.2">
      <c r="A59" s="23" t="e">
        <v>#N/A</v>
      </c>
      <c r="B59" s="24">
        <v>8307933</v>
      </c>
      <c r="C59" s="23" t="s">
        <v>213</v>
      </c>
      <c r="D59" s="23" t="s">
        <v>214</v>
      </c>
      <c r="E59" s="23" t="e">
        <v>#N/A</v>
      </c>
      <c r="F59" s="23" t="s">
        <v>308</v>
      </c>
      <c r="G59" s="23" t="s">
        <v>164</v>
      </c>
      <c r="H59" s="23" t="s">
        <v>68</v>
      </c>
      <c r="I59" s="23" t="s">
        <v>97</v>
      </c>
      <c r="J59" s="23" t="s">
        <v>215</v>
      </c>
      <c r="K59" s="23" t="s">
        <v>215</v>
      </c>
      <c r="L59" s="23"/>
      <c r="M59" s="23"/>
      <c r="N59" s="23"/>
      <c r="O59" s="23" t="s">
        <v>56</v>
      </c>
      <c r="P59" s="23">
        <v>1</v>
      </c>
      <c r="Q59" s="23">
        <v>-223.92</v>
      </c>
      <c r="R59" s="25">
        <f>Q59*V59</f>
        <v>-335.88</v>
      </c>
      <c r="S59" s="26">
        <v>-223.92</v>
      </c>
      <c r="T59" s="23" t="s">
        <v>58</v>
      </c>
      <c r="U59" s="23" t="s">
        <v>136</v>
      </c>
      <c r="V59" s="27">
        <v>1.5</v>
      </c>
      <c r="W59" s="26">
        <v>0</v>
      </c>
      <c r="X59" s="26">
        <v>335.88</v>
      </c>
      <c r="Y59" s="23" t="s">
        <v>326</v>
      </c>
      <c r="Z59" s="23"/>
      <c r="AA59" s="23"/>
      <c r="AB59" s="23"/>
      <c r="AC59" s="23"/>
      <c r="AD59" s="23"/>
      <c r="AE59" s="23"/>
      <c r="AF59" s="23"/>
      <c r="AG59" s="23"/>
    </row>
    <row r="61" spans="1:33" s="16" customFormat="1" x14ac:dyDescent="0.2">
      <c r="A61" s="1" t="s">
        <v>265</v>
      </c>
      <c r="B61" s="10">
        <v>8307933</v>
      </c>
      <c r="C61" s="1" t="s">
        <v>149</v>
      </c>
      <c r="D61" s="1" t="s">
        <v>150</v>
      </c>
      <c r="E61" s="1" t="s">
        <v>291</v>
      </c>
      <c r="F61" s="1" t="s">
        <v>307</v>
      </c>
      <c r="G61" s="1" t="s">
        <v>151</v>
      </c>
      <c r="H61" s="1" t="s">
        <v>68</v>
      </c>
      <c r="I61" s="1" t="s">
        <v>102</v>
      </c>
      <c r="J61" s="1" t="s">
        <v>152</v>
      </c>
      <c r="K61" s="1" t="s">
        <v>54</v>
      </c>
      <c r="L61" s="1">
        <f>DATEDIF(J61,K61,"M")</f>
        <v>11</v>
      </c>
      <c r="M61" s="33" t="s">
        <v>335</v>
      </c>
      <c r="N61" s="33" t="s">
        <v>336</v>
      </c>
      <c r="O61" s="1" t="s">
        <v>56</v>
      </c>
      <c r="P61" s="1">
        <v>1</v>
      </c>
      <c r="Q61" s="1">
        <v>123.4</v>
      </c>
      <c r="R61" s="21">
        <f>Q61*V61</f>
        <v>83.295000000000016</v>
      </c>
      <c r="S61" s="11">
        <v>123.4</v>
      </c>
      <c r="T61" s="1" t="s">
        <v>58</v>
      </c>
      <c r="U61" s="1" t="s">
        <v>59</v>
      </c>
      <c r="V61" s="12">
        <v>0.67500000000000004</v>
      </c>
      <c r="W61" s="11">
        <v>0.04</v>
      </c>
      <c r="X61" s="11">
        <v>-83.26</v>
      </c>
      <c r="Y61" s="33" t="s">
        <v>327</v>
      </c>
      <c r="Z61" s="1"/>
      <c r="AA61" s="1"/>
      <c r="AB61" s="1"/>
      <c r="AC61" s="1"/>
      <c r="AD61" s="1"/>
      <c r="AE61" s="1"/>
      <c r="AF61" s="1"/>
      <c r="AG61" s="1"/>
    </row>
    <row r="62" spans="1:33" s="16" customFormat="1" x14ac:dyDescent="0.2">
      <c r="A62" s="16" t="s">
        <v>278</v>
      </c>
      <c r="B62" s="17">
        <v>20703542</v>
      </c>
      <c r="C62" s="16" t="s">
        <v>168</v>
      </c>
      <c r="D62" s="16" t="s">
        <v>169</v>
      </c>
      <c r="E62" s="16" t="s">
        <v>294</v>
      </c>
      <c r="F62" s="16" t="s">
        <v>312</v>
      </c>
      <c r="G62" s="16" t="s">
        <v>95</v>
      </c>
      <c r="H62" s="16" t="s">
        <v>133</v>
      </c>
      <c r="I62" s="16" t="s">
        <v>159</v>
      </c>
      <c r="J62" s="16" t="s">
        <v>170</v>
      </c>
      <c r="K62" s="16" t="s">
        <v>171</v>
      </c>
      <c r="L62" s="16">
        <f>DATEDIF(J62,K62,"M")</f>
        <v>1</v>
      </c>
      <c r="M62" s="29" t="s">
        <v>335</v>
      </c>
      <c r="N62" s="29" t="s">
        <v>336</v>
      </c>
      <c r="O62" s="16" t="s">
        <v>56</v>
      </c>
      <c r="P62" s="16">
        <v>1</v>
      </c>
      <c r="Q62" s="16">
        <v>44.94</v>
      </c>
      <c r="R62" s="22">
        <f>Q62*V62</f>
        <v>56.624399999999994</v>
      </c>
      <c r="S62" s="18">
        <v>356.04</v>
      </c>
      <c r="T62" s="16" t="s">
        <v>58</v>
      </c>
      <c r="U62" s="16" t="s">
        <v>98</v>
      </c>
      <c r="V62" s="19">
        <v>1.26</v>
      </c>
      <c r="W62" s="18">
        <v>448.65</v>
      </c>
      <c r="X62" s="18">
        <v>448.65</v>
      </c>
      <c r="Y62" s="16" t="s">
        <v>327</v>
      </c>
    </row>
    <row r="63" spans="1:33" s="16" customFormat="1" x14ac:dyDescent="0.2">
      <c r="A63" s="16" t="s">
        <v>284</v>
      </c>
      <c r="B63" s="17">
        <v>19491313</v>
      </c>
      <c r="C63" s="16" t="s">
        <v>208</v>
      </c>
      <c r="D63" s="16" t="s">
        <v>209</v>
      </c>
      <c r="E63" s="16" t="s">
        <v>295</v>
      </c>
      <c r="F63" s="16" t="s">
        <v>314</v>
      </c>
      <c r="G63" s="16" t="s">
        <v>185</v>
      </c>
      <c r="H63" s="16" t="s">
        <v>62</v>
      </c>
      <c r="I63" s="16" t="s">
        <v>186</v>
      </c>
      <c r="J63" s="16" t="s">
        <v>62</v>
      </c>
      <c r="K63" s="16" t="s">
        <v>63</v>
      </c>
      <c r="L63" s="16">
        <f>DATEDIF(J63,K63,"M")</f>
        <v>1</v>
      </c>
      <c r="M63" s="29" t="s">
        <v>335</v>
      </c>
      <c r="N63" s="29" t="s">
        <v>336</v>
      </c>
      <c r="O63" s="16" t="s">
        <v>56</v>
      </c>
      <c r="P63" s="16">
        <v>1</v>
      </c>
      <c r="Q63" s="16">
        <v>70.760000000000005</v>
      </c>
      <c r="R63" s="22">
        <f>Q63*V63</f>
        <v>61.915000000000006</v>
      </c>
      <c r="S63" s="18">
        <v>636.84</v>
      </c>
      <c r="T63" s="16" t="s">
        <v>58</v>
      </c>
      <c r="U63" s="16" t="s">
        <v>98</v>
      </c>
      <c r="V63" s="19">
        <v>0.875</v>
      </c>
      <c r="W63" s="18">
        <v>557.28</v>
      </c>
      <c r="X63" s="18">
        <v>557.28</v>
      </c>
      <c r="Y63" s="16" t="s">
        <v>327</v>
      </c>
    </row>
  </sheetData>
  <autoFilter ref="A1:X51" xr:uid="{BCF92D30-D8D9-48F0-8EF0-EDEC28FF1D5E}">
    <sortState xmlns:xlrd2="http://schemas.microsoft.com/office/spreadsheetml/2017/richdata2" ref="A2:X51">
      <sortCondition ref="A1:A51"/>
    </sortState>
  </autoFilter>
  <sortState xmlns:xlrd2="http://schemas.microsoft.com/office/spreadsheetml/2017/richdata2" ref="A2:AG13">
    <sortCondition sortBy="cellColor" ref="A2:A13" dxfId="0"/>
    <sortCondition ref="M2:M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2026-04-17T07:37:10Z</dcterms:created>
  <dcterms:modified xsi:type="dcterms:W3CDTF">2026-04-20T20:37:54Z</dcterms:modified>
</cp:coreProperties>
</file>