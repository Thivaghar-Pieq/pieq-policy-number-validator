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2025\8-14-25\"/>
    </mc:Choice>
  </mc:AlternateContent>
  <xr:revisionPtr revIDLastSave="0" documentId="13_ncr:1_{4EC1436C-8D77-4FBB-AA52-BFC18258BDCF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SUMMARY" sheetId="1" r:id="rId1"/>
    <sheet name="DETAILS" sheetId="2" r:id="rId2"/>
    <sheet name="Sheet2" sheetId="4" r:id="rId3"/>
    <sheet name="clean sheet" sheetId="3" r:id="rId4"/>
  </sheets>
  <definedNames>
    <definedName name="_xlnm._FilterDatabase" localSheetId="3" hidden="1">'clean sheet'!$A$1:$X$80</definedName>
    <definedName name="_xlnm._FilterDatabase" localSheetId="1" hidden="1">DETAILS!$A$1:$W$79</definedName>
    <definedName name="_xlnm._FilterDatabase" localSheetId="2" hidden="1">Sheet2!$A$1:$S$78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4" l="1"/>
  <c r="K61" i="4"/>
  <c r="K63" i="4"/>
  <c r="K7" i="4"/>
  <c r="K8" i="4"/>
  <c r="K17" i="4"/>
  <c r="K64" i="4"/>
  <c r="K74" i="4"/>
  <c r="K15" i="4"/>
  <c r="K16" i="4"/>
  <c r="K59" i="4"/>
  <c r="K58" i="4"/>
  <c r="K43" i="4"/>
  <c r="K42" i="4"/>
  <c r="K60" i="4"/>
  <c r="K62" i="4"/>
  <c r="K44" i="4"/>
  <c r="K65" i="4"/>
  <c r="K12" i="4"/>
  <c r="K38" i="4"/>
  <c r="K23" i="4"/>
  <c r="K34" i="4"/>
  <c r="K33" i="4"/>
  <c r="K26" i="4"/>
  <c r="K29" i="4"/>
  <c r="K30" i="4"/>
  <c r="K45" i="4"/>
  <c r="K11" i="4"/>
  <c r="K4" i="4"/>
  <c r="K18" i="4"/>
  <c r="K37" i="4"/>
  <c r="K22" i="4"/>
  <c r="K50" i="4"/>
  <c r="K14" i="4"/>
  <c r="K27" i="4"/>
  <c r="K35" i="4"/>
  <c r="K28" i="4"/>
  <c r="K32" i="4"/>
  <c r="K68" i="4"/>
  <c r="K31" i="4"/>
  <c r="K57" i="4"/>
  <c r="K54" i="4"/>
  <c r="K56" i="4"/>
  <c r="K25" i="4"/>
  <c r="K24" i="4"/>
  <c r="K46" i="4"/>
  <c r="K36" i="4"/>
  <c r="K47" i="4"/>
  <c r="K49" i="4"/>
  <c r="K48" i="4"/>
  <c r="K21" i="4"/>
  <c r="K53" i="4"/>
  <c r="K19" i="4"/>
  <c r="K55" i="4"/>
  <c r="K13" i="4"/>
  <c r="K40" i="4"/>
  <c r="K70" i="4"/>
  <c r="K69" i="4"/>
  <c r="K20" i="4"/>
  <c r="K67" i="4"/>
  <c r="K66" i="4"/>
  <c r="K51" i="4"/>
  <c r="K71" i="4"/>
  <c r="K75" i="4"/>
  <c r="K52" i="4"/>
  <c r="K77" i="4"/>
  <c r="K41" i="4"/>
  <c r="K78" i="4"/>
  <c r="K76" i="4"/>
  <c r="K39" i="4"/>
  <c r="K72" i="4"/>
  <c r="K73" i="4"/>
  <c r="K10" i="4"/>
  <c r="K3" i="4"/>
  <c r="K2" i="4"/>
  <c r="K5" i="4"/>
  <c r="K9" i="4"/>
  <c r="S42" i="4"/>
  <c r="S60" i="4"/>
  <c r="S62" i="4"/>
  <c r="S44" i="4"/>
  <c r="S65" i="4"/>
  <c r="S12" i="4"/>
  <c r="S38" i="4"/>
  <c r="S23" i="4"/>
  <c r="S34" i="4"/>
  <c r="S33" i="4"/>
  <c r="S26" i="4"/>
  <c r="S29" i="4"/>
  <c r="S30" i="4"/>
  <c r="S45" i="4"/>
  <c r="S11" i="4"/>
  <c r="S4" i="4"/>
  <c r="S18" i="4"/>
  <c r="S37" i="4"/>
  <c r="S22" i="4"/>
  <c r="S50" i="4"/>
  <c r="S14" i="4"/>
  <c r="S27" i="4"/>
  <c r="S35" i="4"/>
  <c r="S28" i="4"/>
  <c r="S32" i="4"/>
  <c r="S68" i="4"/>
  <c r="S31" i="4"/>
  <c r="S57" i="4"/>
  <c r="S54" i="4"/>
  <c r="S56" i="4"/>
  <c r="S25" i="4"/>
  <c r="S24" i="4"/>
  <c r="S46" i="4"/>
  <c r="S36" i="4"/>
  <c r="S47" i="4"/>
  <c r="S49" i="4"/>
  <c r="S48" i="4"/>
  <c r="S21" i="4"/>
  <c r="S53" i="4"/>
  <c r="S19" i="4"/>
  <c r="S55" i="4"/>
  <c r="S13" i="4"/>
  <c r="S40" i="4"/>
  <c r="S70" i="4"/>
  <c r="S69" i="4"/>
  <c r="S20" i="4"/>
  <c r="S67" i="4"/>
  <c r="S66" i="4"/>
  <c r="S51" i="4"/>
  <c r="S71" i="4"/>
  <c r="S75" i="4"/>
  <c r="S52" i="4"/>
  <c r="S77" i="4"/>
  <c r="S41" i="4"/>
  <c r="S78" i="4"/>
  <c r="S76" i="4"/>
  <c r="S39" i="4"/>
  <c r="S72" i="4"/>
  <c r="S73" i="4"/>
  <c r="S10" i="4"/>
  <c r="S3" i="4"/>
  <c r="S2" i="4"/>
  <c r="S5" i="4"/>
  <c r="S9" i="4"/>
  <c r="S43" i="4"/>
  <c r="S61" i="4"/>
  <c r="S63" i="4"/>
  <c r="S7" i="4"/>
  <c r="S8" i="4"/>
  <c r="S17" i="4"/>
  <c r="S64" i="4"/>
  <c r="S74" i="4"/>
  <c r="S15" i="4"/>
  <c r="S16" i="4"/>
  <c r="S59" i="4"/>
  <c r="S58" i="4"/>
  <c r="S6" i="4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3" i="3"/>
  <c r="U74" i="3"/>
  <c r="U75" i="3"/>
  <c r="U76" i="3"/>
  <c r="U77" i="3"/>
  <c r="U78" i="3"/>
  <c r="U79" i="3"/>
  <c r="U80" i="3"/>
  <c r="U2" i="3"/>
  <c r="L68" i="3"/>
  <c r="L63" i="3"/>
  <c r="L62" i="3"/>
  <c r="L61" i="3"/>
  <c r="L60" i="3"/>
  <c r="L53" i="3"/>
  <c r="L59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80" i="3"/>
  <c r="L79" i="3"/>
  <c r="L57" i="3"/>
  <c r="L78" i="3"/>
  <c r="L77" i="3"/>
  <c r="L76" i="3"/>
  <c r="L56" i="3"/>
  <c r="L73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66" i="3"/>
  <c r="L55" i="3"/>
  <c r="L54" i="3"/>
  <c r="L71" i="3"/>
  <c r="L67" i="3"/>
  <c r="L58" i="3"/>
  <c r="L35" i="3"/>
  <c r="L75" i="3"/>
  <c r="L74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L70" i="3"/>
  <c r="L65" i="3"/>
  <c r="L64" i="3"/>
  <c r="L69" i="3"/>
  <c r="L21" i="2"/>
  <c r="L7" i="2"/>
  <c r="L16" i="2"/>
  <c r="L17" i="2"/>
  <c r="L8" i="2"/>
  <c r="L50" i="2"/>
  <c r="L55" i="2"/>
  <c r="L42" i="2"/>
  <c r="L63" i="2"/>
  <c r="L47" i="2"/>
  <c r="L41" i="2"/>
  <c r="L31" i="2"/>
  <c r="L13" i="2"/>
  <c r="L18" i="2"/>
  <c r="L19" i="2"/>
  <c r="L60" i="2"/>
  <c r="L6" i="2"/>
  <c r="L22" i="2"/>
  <c r="L23" i="2"/>
  <c r="L43" i="2"/>
  <c r="L44" i="2"/>
  <c r="L9" i="2"/>
  <c r="L10" i="2"/>
  <c r="L15" i="2"/>
  <c r="L11" i="2"/>
  <c r="L59" i="2"/>
  <c r="L61" i="2"/>
  <c r="L68" i="2"/>
  <c r="L72" i="2"/>
  <c r="L66" i="2"/>
  <c r="L65" i="2"/>
  <c r="L58" i="2"/>
  <c r="L57" i="2"/>
  <c r="L56" i="2"/>
  <c r="L45" i="2"/>
  <c r="L46" i="2"/>
  <c r="L38" i="2"/>
  <c r="L39" i="2"/>
  <c r="L34" i="2"/>
  <c r="L12" i="2"/>
  <c r="L70" i="2"/>
  <c r="L71" i="2"/>
  <c r="L67" i="2"/>
  <c r="L69" i="2"/>
  <c r="L62" i="2"/>
  <c r="L64" i="2"/>
  <c r="L74" i="2"/>
  <c r="L36" i="2"/>
  <c r="L40" i="2"/>
  <c r="L35" i="2"/>
  <c r="L37" i="2"/>
  <c r="L28" i="2"/>
  <c r="L79" i="2"/>
  <c r="L26" i="2"/>
  <c r="L4" i="2"/>
  <c r="L2" i="2"/>
  <c r="L27" i="2"/>
  <c r="L73" i="2"/>
  <c r="L76" i="2"/>
  <c r="L77" i="2"/>
  <c r="L48" i="2"/>
  <c r="L75" i="2"/>
  <c r="L32" i="2"/>
  <c r="L29" i="2"/>
  <c r="L78" i="2"/>
  <c r="L30" i="2"/>
  <c r="L25" i="2"/>
  <c r="L3" i="2"/>
  <c r="L49" i="2"/>
  <c r="L53" i="2"/>
  <c r="L54" i="2"/>
  <c r="L52" i="2"/>
  <c r="L51" i="2"/>
  <c r="L5" i="2"/>
  <c r="L24" i="2"/>
  <c r="L14" i="2"/>
  <c r="L33" i="2"/>
  <c r="L20" i="2"/>
</calcChain>
</file>

<file path=xl/sharedStrings.xml><?xml version="1.0" encoding="utf-8"?>
<sst xmlns="http://schemas.openxmlformats.org/spreadsheetml/2006/main" count="3233" uniqueCount="348">
  <si>
    <t>MUTUAL OF OMAHA</t>
  </si>
  <si>
    <t>SUMMARY COMPENSATION STATEMENT</t>
  </si>
  <si>
    <t>For Period Ending 08/12/2025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</si>
  <si>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</si>
  <si>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</si>
  <si>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</si>
  <si>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</si>
  <si>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</si>
  <si>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</si>
  <si>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</si>
  <si>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</si>
  <si>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</si>
  <si>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</si>
  <si>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</si>
  <si>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</si>
  <si>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UNITED WORLD</t>
  </si>
  <si>
    <t xml:space="preserve">              OMAHA INS CO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</si>
  <si>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</si>
  <si>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</si>
  <si>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</si>
  <si>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</si>
  <si>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</si>
  <si>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</si>
  <si>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</si>
  <si>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</si>
  <si>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Activity Date</t>
  </si>
  <si>
    <t>Plan Code</t>
  </si>
  <si>
    <t>Issue Date</t>
  </si>
  <si>
    <t>Paid To Date</t>
  </si>
  <si>
    <t>Age</t>
  </si>
  <si>
    <t>Mode</t>
  </si>
  <si>
    <t>Bill Type</t>
  </si>
  <si>
    <t>Face Amount (000)</t>
  </si>
  <si>
    <t>DUR</t>
  </si>
  <si>
    <t>Activity Type</t>
  </si>
  <si>
    <t>Adv Comm</t>
  </si>
  <si>
    <t>Comments</t>
  </si>
  <si>
    <t>OMAHA INS CO</t>
  </si>
  <si>
    <t>491264-97</t>
  </si>
  <si>
    <t>MCDOWELL DENNIS</t>
  </si>
  <si>
    <t>IL</t>
  </si>
  <si>
    <t>08/07/2025</t>
  </si>
  <si>
    <t>NM24HL</t>
  </si>
  <si>
    <t>12/01/2024</t>
  </si>
  <si>
    <t>09/01/2025</t>
  </si>
  <si>
    <t/>
  </si>
  <si>
    <t>M</t>
  </si>
  <si>
    <t>BSP</t>
  </si>
  <si>
    <t>F</t>
  </si>
  <si>
    <t>BFY PAYMENT</t>
  </si>
  <si>
    <t>492291-97</t>
  </si>
  <si>
    <t>NEWBERY PETER</t>
  </si>
  <si>
    <t>678198-97</t>
  </si>
  <si>
    <t>MOORE MAUREEN</t>
  </si>
  <si>
    <t>08/11/2025</t>
  </si>
  <si>
    <t>NM35HL</t>
  </si>
  <si>
    <t>05/01/2025</t>
  </si>
  <si>
    <t>10/01/2025</t>
  </si>
  <si>
    <t>REG</t>
  </si>
  <si>
    <t>500156-97</t>
  </si>
  <si>
    <t>KENNEDY MICHAEL</t>
  </si>
  <si>
    <t>01/01/2025</t>
  </si>
  <si>
    <t>500219-97</t>
  </si>
  <si>
    <t>KENNEDY CYNTHIA</t>
  </si>
  <si>
    <t>647995-97</t>
  </si>
  <si>
    <t>RICE PAMELA</t>
  </si>
  <si>
    <t>04/01/2025</t>
  </si>
  <si>
    <t>UNITED</t>
  </si>
  <si>
    <t>821212-96</t>
  </si>
  <si>
    <t>DIMIDIO REGINA</t>
  </si>
  <si>
    <t>PA</t>
  </si>
  <si>
    <t>UM24HLV</t>
  </si>
  <si>
    <t>01/01/2024</t>
  </si>
  <si>
    <t>R</t>
  </si>
  <si>
    <t>RENEWAL PYMT</t>
  </si>
  <si>
    <t>821308-96</t>
  </si>
  <si>
    <t>DIMIDIO LEONARD</t>
  </si>
  <si>
    <t>UNITED WORLD</t>
  </si>
  <si>
    <t>458537-97</t>
  </si>
  <si>
    <t>SEELEY JAMES</t>
  </si>
  <si>
    <t>NJ</t>
  </si>
  <si>
    <t>WM24FL</t>
  </si>
  <si>
    <t>BU4953637</t>
  </si>
  <si>
    <t>RAMSEY STEPHANIE</t>
  </si>
  <si>
    <t>TX</t>
  </si>
  <si>
    <t>08/12/2025</t>
  </si>
  <si>
    <t>E30301</t>
  </si>
  <si>
    <t>12/10/2024</t>
  </si>
  <si>
    <t>09/10/2025</t>
  </si>
  <si>
    <t>BU4957311</t>
  </si>
  <si>
    <t>MOORE STEPAHNIE</t>
  </si>
  <si>
    <t>AL</t>
  </si>
  <si>
    <t>12/11/2024</t>
  </si>
  <si>
    <t>09/11/2025</t>
  </si>
  <si>
    <t>BU5061204</t>
  </si>
  <si>
    <t>GRAVES WHITNEY</t>
  </si>
  <si>
    <t>02/10/2025</t>
  </si>
  <si>
    <t>BU5284060</t>
  </si>
  <si>
    <t>DAVIS HEATHER</t>
  </si>
  <si>
    <t>UT</t>
  </si>
  <si>
    <t>TE15 1</t>
  </si>
  <si>
    <t>06/06/2025</t>
  </si>
  <si>
    <t>09/06/2025</t>
  </si>
  <si>
    <t>BU5172750</t>
  </si>
  <si>
    <t>CARROLL SUSAN</t>
  </si>
  <si>
    <t>03/11/2025</t>
  </si>
  <si>
    <t>BU5007765</t>
  </si>
  <si>
    <t>GIBBONS JUSTIN</t>
  </si>
  <si>
    <t>CO</t>
  </si>
  <si>
    <t>08/08/2025</t>
  </si>
  <si>
    <t>E20201</t>
  </si>
  <si>
    <t>BU5007793</t>
  </si>
  <si>
    <t>BOFFERDING MIRANDA</t>
  </si>
  <si>
    <t>BU4927721</t>
  </si>
  <si>
    <t>PANTHER-BRUWER HESTER</t>
  </si>
  <si>
    <t>NC</t>
  </si>
  <si>
    <t>IXEXP1</t>
  </si>
  <si>
    <t>11/10/2024</t>
  </si>
  <si>
    <t>BU5219524</t>
  </si>
  <si>
    <t>COVACIU LAVINIA</t>
  </si>
  <si>
    <t>08/06/2025</t>
  </si>
  <si>
    <t>15GPT1</t>
  </si>
  <si>
    <t>BU4377381</t>
  </si>
  <si>
    <t>ARRICH DONNA</t>
  </si>
  <si>
    <t>MD</t>
  </si>
  <si>
    <t>FEPL 1</t>
  </si>
  <si>
    <t>11/05/2023</t>
  </si>
  <si>
    <t>09/05/2025</t>
  </si>
  <si>
    <t>BU4377430</t>
  </si>
  <si>
    <t>ARRICH MICHAEL</t>
  </si>
  <si>
    <t>BU4988414</t>
  </si>
  <si>
    <t>QUIGG PAMELA</t>
  </si>
  <si>
    <t>BU4990567</t>
  </si>
  <si>
    <t>MIJAILOVIC VERONA</t>
  </si>
  <si>
    <t>BU5169468</t>
  </si>
  <si>
    <t>GONZALEZ ANGEL</t>
  </si>
  <si>
    <t>03/10/2025</t>
  </si>
  <si>
    <t>BU5169532</t>
  </si>
  <si>
    <t>GONZALEZ LORENA</t>
  </si>
  <si>
    <t>BU5028450</t>
  </si>
  <si>
    <t>KONG DEBRA</t>
  </si>
  <si>
    <t>01/05/2025</t>
  </si>
  <si>
    <t>BU5146814</t>
  </si>
  <si>
    <t>SUFFERN SUZANNE</t>
  </si>
  <si>
    <t>03/01/2025</t>
  </si>
  <si>
    <t>BU4825110</t>
  </si>
  <si>
    <t>PRIETO SAUL</t>
  </si>
  <si>
    <t>NM</t>
  </si>
  <si>
    <t>09/10/2024</t>
  </si>
  <si>
    <t>BU4841867</t>
  </si>
  <si>
    <t>OSTERKAMP JOHN</t>
  </si>
  <si>
    <t>SD</t>
  </si>
  <si>
    <t>09/04/2024</t>
  </si>
  <si>
    <t>09/04/2025</t>
  </si>
  <si>
    <t>BU4875190</t>
  </si>
  <si>
    <t>SALINAS DIANE</t>
  </si>
  <si>
    <t>10/10/2024</t>
  </si>
  <si>
    <t>BU4899792</t>
  </si>
  <si>
    <t>ESTELLE MICHAEL</t>
  </si>
  <si>
    <t>10/07/2024</t>
  </si>
  <si>
    <t>09/07/2025</t>
  </si>
  <si>
    <t>BU4904076</t>
  </si>
  <si>
    <t>KOHL RICHARD</t>
  </si>
  <si>
    <t>BU4950726</t>
  </si>
  <si>
    <t>KONERTZ MICHAEL</t>
  </si>
  <si>
    <t>MO</t>
  </si>
  <si>
    <t>11/11/2024</t>
  </si>
  <si>
    <t>BU4956432</t>
  </si>
  <si>
    <t>MAWSON BOBBIE</t>
  </si>
  <si>
    <t>11/08/2024</t>
  </si>
  <si>
    <t>09/08/2025</t>
  </si>
  <si>
    <t>BU4960769</t>
  </si>
  <si>
    <t>RUCH MARY</t>
  </si>
  <si>
    <t>BU4975536</t>
  </si>
  <si>
    <t>MAGANA ANGELINA</t>
  </si>
  <si>
    <t>KS</t>
  </si>
  <si>
    <t>12/05/2024</t>
  </si>
  <si>
    <t>BU4998090</t>
  </si>
  <si>
    <t>STEEGE LUCIUS</t>
  </si>
  <si>
    <t>MT</t>
  </si>
  <si>
    <t>12/07/2024</t>
  </si>
  <si>
    <t>BU5009494</t>
  </si>
  <si>
    <t>GALLOWAY CRAIG</t>
  </si>
  <si>
    <t>12/12/2024</t>
  </si>
  <si>
    <t>09/12/2025</t>
  </si>
  <si>
    <t>BU5053838</t>
  </si>
  <si>
    <t>LASCELLES JEREMIAH</t>
  </si>
  <si>
    <t>02/05/2025</t>
  </si>
  <si>
    <t>BU5054688</t>
  </si>
  <si>
    <t>MUELLER JEREMY</t>
  </si>
  <si>
    <t>02/09/2025</t>
  </si>
  <si>
    <t>09/09/2025</t>
  </si>
  <si>
    <t>BU5229901</t>
  </si>
  <si>
    <t>WALDING TOMMY</t>
  </si>
  <si>
    <t>FEPG 1</t>
  </si>
  <si>
    <t>04/11/2025</t>
  </si>
  <si>
    <t>BU5150893</t>
  </si>
  <si>
    <t>ZANA MERGEN</t>
  </si>
  <si>
    <t>JVWL 1</t>
  </si>
  <si>
    <t>BU4947002</t>
  </si>
  <si>
    <t>KEMP SHELLY</t>
  </si>
  <si>
    <t>AR</t>
  </si>
  <si>
    <t>BU4947003</t>
  </si>
  <si>
    <t>KEMP JOSEPH</t>
  </si>
  <si>
    <t>BU4950433</t>
  </si>
  <si>
    <t>HERHUSKY KARINA</t>
  </si>
  <si>
    <t>11/07/2024</t>
  </si>
  <si>
    <t>BU4950526</t>
  </si>
  <si>
    <t>HINOJOSA NATHAN</t>
  </si>
  <si>
    <t>12/08/2024</t>
  </si>
  <si>
    <t>BU4952601</t>
  </si>
  <si>
    <t>STUTTS BILLY</t>
  </si>
  <si>
    <t>BU4952602</t>
  </si>
  <si>
    <t>STUTTS ASHLEY</t>
  </si>
  <si>
    <t>12/09/2024</t>
  </si>
  <si>
    <t>BU4953427</t>
  </si>
  <si>
    <t>RAMSEY MICHAEL</t>
  </si>
  <si>
    <t>BU5085406</t>
  </si>
  <si>
    <t>RAY JESSE</t>
  </si>
  <si>
    <t>02/26/2025</t>
  </si>
  <si>
    <t>08/26/2025</t>
  </si>
  <si>
    <t>BU5107219</t>
  </si>
  <si>
    <t>NOVICK ROBERT</t>
  </si>
  <si>
    <t>02/11/2025</t>
  </si>
  <si>
    <t>BU5168075</t>
  </si>
  <si>
    <t>HARTRY NATHAN</t>
  </si>
  <si>
    <t>04/10/2025</t>
  </si>
  <si>
    <t>BU5085343</t>
  </si>
  <si>
    <t>RAY CATHERINE</t>
  </si>
  <si>
    <t>BU5195712</t>
  </si>
  <si>
    <t>ADAMS STEPHANIE</t>
  </si>
  <si>
    <t>LAPSE</t>
  </si>
  <si>
    <t>BU5478695</t>
  </si>
  <si>
    <t>PRENDIVILLE-WELTER MAUREEN</t>
  </si>
  <si>
    <t>A</t>
  </si>
  <si>
    <t>NEW ISS PYMT</t>
  </si>
  <si>
    <t>BU5455987</t>
  </si>
  <si>
    <t>DAVIS LEO</t>
  </si>
  <si>
    <t>07/25/2025</t>
  </si>
  <si>
    <t>08/25/2025</t>
  </si>
  <si>
    <t>BU5460765</t>
  </si>
  <si>
    <t>DAVIS CRYSTAL</t>
  </si>
  <si>
    <t>08/01/2025</t>
  </si>
  <si>
    <t>NEW ISS REV</t>
  </si>
  <si>
    <t>RE/RE REPL</t>
  </si>
  <si>
    <t>BU5476019</t>
  </si>
  <si>
    <t>TOBIN DIANA</t>
  </si>
  <si>
    <t>IN</t>
  </si>
  <si>
    <t>08/15/2025</t>
  </si>
  <si>
    <t>NEW COV ISS</t>
  </si>
  <si>
    <t>BU5477279</t>
  </si>
  <si>
    <t>HARTMAN JERRY</t>
  </si>
  <si>
    <t>BU5487744</t>
  </si>
  <si>
    <t>CHESEBRO MAX</t>
  </si>
  <si>
    <t>NV</t>
  </si>
  <si>
    <t>BU4216513</t>
  </si>
  <si>
    <t>GEIBEL JOEL</t>
  </si>
  <si>
    <t>07/12/2023</t>
  </si>
  <si>
    <t>BU5491134</t>
  </si>
  <si>
    <t>BARTOLOME MIRTA</t>
  </si>
  <si>
    <t>BU5350886</t>
  </si>
  <si>
    <t>DATTOLI STEPHANIE</t>
  </si>
  <si>
    <t>06/09/2025</t>
  </si>
  <si>
    <t>BU5362304</t>
  </si>
  <si>
    <t>SCOTT MISTY</t>
  </si>
  <si>
    <t>06/18/2025</t>
  </si>
  <si>
    <t>08/18/2025</t>
  </si>
  <si>
    <t>BU5471174</t>
  </si>
  <si>
    <t>PFISTER HARRY</t>
  </si>
  <si>
    <t>BU5477819</t>
  </si>
  <si>
    <t>FLEMING TYRELLE</t>
  </si>
  <si>
    <t>MUTUAL</t>
  </si>
  <si>
    <t>811513-97</t>
  </si>
  <si>
    <t>WEISS KATHY</t>
  </si>
  <si>
    <t>DNT5IL</t>
  </si>
  <si>
    <t>809235-97</t>
  </si>
  <si>
    <t>OHANIAN KEVORK</t>
  </si>
  <si>
    <t>DNT2EL</t>
  </si>
  <si>
    <t>08/04/2025</t>
  </si>
  <si>
    <t>678580-96</t>
  </si>
  <si>
    <t>SACK DANIEL</t>
  </si>
  <si>
    <t>MM25HL</t>
  </si>
  <si>
    <t>10/01/2023</t>
  </si>
  <si>
    <t>871900-96</t>
  </si>
  <si>
    <t>BIEBERICH DAVID</t>
  </si>
  <si>
    <t>03/01/2024</t>
  </si>
  <si>
    <t>961571-96</t>
  </si>
  <si>
    <t>BIEBERICH JANE</t>
  </si>
  <si>
    <t>06/01/2024</t>
  </si>
  <si>
    <t>744470-97</t>
  </si>
  <si>
    <t>KEENE DEBRA</t>
  </si>
  <si>
    <t>DNT5EL</t>
  </si>
  <si>
    <t>06/01/2025</t>
  </si>
  <si>
    <t>PREM ADJ DEC</t>
  </si>
  <si>
    <t>485725-97</t>
  </si>
  <si>
    <t>CLOW THERESA</t>
  </si>
  <si>
    <t>564587-97</t>
  </si>
  <si>
    <t>SEPSEY DAVID</t>
  </si>
  <si>
    <t>693332-97</t>
  </si>
  <si>
    <t>LYON AUDREY</t>
  </si>
  <si>
    <t>MM35HL</t>
  </si>
  <si>
    <t>Policy Number</t>
  </si>
  <si>
    <t>Policyholder Name</t>
  </si>
  <si>
    <t>State</t>
  </si>
  <si>
    <t>Commission Rate</t>
  </si>
  <si>
    <t>Collected Premium</t>
  </si>
  <si>
    <t>Gross Commission</t>
  </si>
  <si>
    <t>Michael Dunavant</t>
  </si>
  <si>
    <t>Anne Marie Kozacheck</t>
  </si>
  <si>
    <t>Carol Foley</t>
  </si>
  <si>
    <t>Matthew Daugherty</t>
  </si>
  <si>
    <t>Thomas Pardue</t>
  </si>
  <si>
    <t>Joel Lee</t>
  </si>
  <si>
    <t>Ryan Caltagirone</t>
  </si>
  <si>
    <t>Andrea Petrungaro</t>
  </si>
  <si>
    <t>Thomas Kucan</t>
  </si>
  <si>
    <t>Adam Richter</t>
  </si>
  <si>
    <t>Gary Portugal</t>
  </si>
  <si>
    <t>Andrew Choi</t>
  </si>
  <si>
    <t>Frank Liskovec</t>
  </si>
  <si>
    <t>Gregory Teipel</t>
  </si>
  <si>
    <t>Nasandelger Zana</t>
  </si>
  <si>
    <t>Jason Roller</t>
  </si>
  <si>
    <t>Jason Hoffmann</t>
  </si>
  <si>
    <t>Ronald Max</t>
  </si>
  <si>
    <t>Dale Walenga</t>
  </si>
  <si>
    <t>Chad Bender</t>
  </si>
  <si>
    <t>TALIAH FERGUSON</t>
  </si>
  <si>
    <t>CHAD YALE</t>
  </si>
  <si>
    <t>MONTHS</t>
  </si>
  <si>
    <t>AV1</t>
  </si>
  <si>
    <t>AV</t>
  </si>
  <si>
    <t>AE</t>
  </si>
  <si>
    <t>commissions</t>
  </si>
  <si>
    <t>21561165AV9</t>
  </si>
  <si>
    <t>product</t>
  </si>
  <si>
    <t>PA MedSupp</t>
  </si>
  <si>
    <t>2024 Final Expense: Level Product Commission Ages 45-80</t>
  </si>
  <si>
    <t>OH All Plans Except F, G, and N NB, Internal &amp; External Replacements. Renewal</t>
  </si>
  <si>
    <t>Med Supp IL/DE/TX Ages 65-83</t>
  </si>
  <si>
    <t>MD HD F,G,N</t>
  </si>
  <si>
    <t>National Dental</t>
  </si>
  <si>
    <t>Universal Life</t>
  </si>
  <si>
    <t>Living Promise Graded</t>
  </si>
  <si>
    <t>ACCUM UL TP</t>
  </si>
  <si>
    <t>Term Life Answers 15 Year Term</t>
  </si>
  <si>
    <t>FEX Level Ages 45-80</t>
  </si>
  <si>
    <t>Term Life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</si>
</sst>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 \ \ \ \ \ \ \ \ \ \ \ \ \ \ \ \ \ \ "/>
  </numFmts>
  <fonts count="4" x14ac:knownFonts="1">
    <font>
      <sz val="11"/>
      <name val="Calibri"/>
    </font>
    <font>
      <sz val="11"/>
      <name val="Arial"/>
      <family val="2"/>
    </font>
    <font>
      <b/>
      <sz val="11"/>
      <name val="Arial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4" fontId="1" fillId="2" borderId="0" xfId="0" applyNumberFormat="1" applyFont="1" applyFill="1"/>
    <xf numFmtId="9" fontId="2" fillId="0" borderId="0" xfId="1" applyFont="1" applyAlignment="1">
      <alignment horizontal="center" vertical="center"/>
    </xf>
    <xf numFmtId="9" fontId="1" fillId="2" borderId="0" xfId="1" applyFont="1" applyFill="1"/>
    <xf numFmtId="9" fontId="1" fillId="0" borderId="0" xfId="1" applyFont="1"/>
    <xf numFmtId="9" fontId="1" fillId="0" borderId="0" xfId="1" applyFont="1" applyFill="1"/>
    <xf numFmtId="0" fontId="1" fillId="3" borderId="0" xfId="0" applyFont="1" applyFill="1"/>
    <xf numFmtId="0" fontId="1" fillId="3" borderId="0" xfId="0" applyFont="1" applyFill="1" applyAlignment="1">
      <alignment horizontal="left"/>
    </xf>
    <xf numFmtId="4" fontId="1" fillId="3" borderId="0" xfId="0" applyNumberFormat="1" applyFont="1" applyFill="1"/>
    <xf numFmtId="9" fontId="1" fillId="3" borderId="0" xfId="1" applyFont="1" applyFill="1"/>
    <xf numFmtId="2" fontId="1" fillId="2" borderId="0" xfId="1" applyNumberFormat="1" applyFont="1" applyFill="1"/>
    <xf numFmtId="2" fontId="1" fillId="0" borderId="0" xfId="1" applyNumberFormat="1" applyFont="1" applyFill="1"/>
    <xf numFmtId="2" fontId="1" fillId="3" borderId="0" xfId="1" applyNumberFormat="1" applyFont="1" applyFill="1"/>
    <xf numFmtId="0" fontId="1" fillId="4" borderId="0" xfId="0" applyFont="1" applyFill="1"/>
    <xf numFmtId="0" fontId="1" fillId="4" borderId="0" xfId="0" applyFont="1" applyFill="1" applyAlignment="1">
      <alignment horizontal="left"/>
    </xf>
    <xf numFmtId="4" fontId="1" fillId="4" borderId="0" xfId="0" applyNumberFormat="1" applyFont="1" applyFill="1"/>
    <xf numFmtId="9" fontId="1" fillId="4" borderId="0" xfId="1" applyFont="1" applyFill="1"/>
    <xf numFmtId="2" fontId="1" fillId="4" borderId="0" xfId="1" applyNumberFormat="1" applyFont="1" applyFill="1"/>
    <xf numFmtId="14" fontId="1" fillId="2" borderId="0" xfId="0" applyNumberFormat="1" applyFont="1" applyFill="1"/>
    <xf numFmtId="0" fontId="1" fillId="5" borderId="0" xfId="0" applyFont="1" applyFill="1"/>
    <xf numFmtId="4" fontId="1" fillId="5" borderId="0" xfId="0" applyNumberFormat="1" applyFont="1" applyFill="1"/>
    <xf numFmtId="9" fontId="1" fillId="5" borderId="0" xfId="1" applyFont="1" applyFill="1"/>
    <xf numFmtId="0" fontId="1" fillId="6" borderId="0" xfId="0" applyFont="1" applyFill="1"/>
    <xf numFmtId="4" fontId="1" fillId="6" borderId="0" xfId="0" applyNumberFormat="1" applyFont="1" applyFill="1"/>
    <xf numFmtId="9" fontId="1" fillId="6" borderId="0" xfId="1" applyFont="1" applyFill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</cellXfs>
  <cellStyles count="2">
    <cellStyle name="Normal" xfId="0" builtinId="0"/>
    <cellStyle name="Percent" xfId="1" builtinId="5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5"/>
  <sheetViews>
    <sheetView showGridLines="0" workbookViewId="0">
      <selection activeCell="Z1" sqref="Z1"/>
    </sheetView>
  </sheetViews>
  <sheetFormatPr defaultRowHeight="14.25" x14ac:dyDescent="0.2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 x14ac:dyDescent="0.2">
      <c r="A2" s="40" t="s">
        <v>0</v>
      </c>
      <c r="B2" s="41"/>
      <c r="C2" s="41"/>
    </row>
    <row r="3" spans="1:3" x14ac:dyDescent="0.2">
      <c r="A3" s="40" t="s">
        <v>1</v>
      </c>
      <c r="B3" s="41"/>
      <c r="C3" s="41"/>
    </row>
    <row r="4" spans="1:3" x14ac:dyDescent="0.2">
      <c r="A4" s="40" t="s">
        <v>2</v>
      </c>
      <c r="B4" s="41"/>
      <c r="C4" s="41"/>
    </row>
    <row r="7" spans="1:3" x14ac:dyDescent="0.2">
      <c r="A7" s="1" t="s">
        <v>3</v>
      </c>
    </row>
    <row r="10" spans="1:3" x14ac:dyDescent="0.2">
      <c r="A10" s="1" t="s">
        <v>4</v>
      </c>
    </row>
    <row r="12" spans="1:3" x14ac:dyDescent="0.2">
      <c r="A12" s="3"/>
      <c r="B12" s="38" t="s">
        <v>5</v>
      </c>
      <c r="C12" s="39"/>
    </row>
    <row r="13" spans="1:3" x14ac:dyDescent="0.2">
      <c r="A13" s="4"/>
      <c r="B13" s="5" t="s">
        <v>6</v>
      </c>
      <c r="C13" s="5" t="s">
        <v>7</v>
      </c>
    </row>
    <row r="14" spans="1:3" x14ac:dyDescent="0.2">
      <c r="A14" s="3" t="s">
        <v>8</v>
      </c>
      <c r="B14" s="6"/>
      <c r="C14" s="6">
        <v>0</v>
      </c>
    </row>
    <row r="15" spans="1:3" x14ac:dyDescent="0.2">
      <c r="A15" s="2" t="s">
        <v>9</v>
      </c>
      <c r="B15" s="7"/>
      <c r="C15" s="7"/>
    </row>
    <row r="16" spans="1:3" x14ac:dyDescent="0.2">
      <c r="A16" s="2"/>
      <c r="B16" s="7"/>
      <c r="C16" s="7"/>
    </row>
    <row r="17" spans="1:3" x14ac:dyDescent="0.2">
      <c r="A17" s="2" t="s">
        <v>10</v>
      </c>
      <c r="B17" s="7"/>
      <c r="C17" s="7"/>
    </row>
    <row r="18" spans="1:3" x14ac:dyDescent="0.2">
      <c r="A18" s="2" t="s">
        <v>11</v>
      </c>
      <c r="B18" s="7"/>
      <c r="C18" s="7"/>
    </row>
    <row r="19" spans="1:3" x14ac:dyDescent="0.2">
      <c r="A19" s="2" t="s">
        <v>12</v>
      </c>
      <c r="B19" s="7">
        <v>78.55</v>
      </c>
      <c r="C19" s="7"/>
    </row>
    <row r="20" spans="1:3" x14ac:dyDescent="0.2">
      <c r="A20" s="2" t="s">
        <v>13</v>
      </c>
      <c r="B20" s="7">
        <v>105.04</v>
      </c>
      <c r="C20" s="7"/>
    </row>
    <row r="21" spans="1:3" x14ac:dyDescent="0.2">
      <c r="A21" s="2"/>
      <c r="B21" s="7"/>
      <c r="C21" s="7"/>
    </row>
    <row r="22" spans="1:3" x14ac:dyDescent="0.2">
      <c r="A22" s="2" t="s">
        <v>14</v>
      </c>
      <c r="B22" s="7"/>
      <c r="C22" s="7"/>
    </row>
    <row r="23" spans="1:3" x14ac:dyDescent="0.2">
      <c r="A23" s="2" t="s">
        <v>11</v>
      </c>
      <c r="B23" s="7"/>
      <c r="C23" s="7"/>
    </row>
    <row r="24" spans="1:3" x14ac:dyDescent="0.2">
      <c r="A24" s="2" t="s">
        <v>12</v>
      </c>
      <c r="B24" s="7">
        <v>16723.37</v>
      </c>
      <c r="C24" s="7"/>
    </row>
    <row r="25" spans="1:3" x14ac:dyDescent="0.2">
      <c r="A25" s="2" t="s">
        <v>13</v>
      </c>
      <c r="B25" s="7">
        <v>108.68</v>
      </c>
      <c r="C25" s="7"/>
    </row>
    <row r="26" spans="1:3" x14ac:dyDescent="0.2">
      <c r="A26" s="2"/>
      <c r="B26" s="7"/>
      <c r="C26" s="7"/>
    </row>
    <row r="27" spans="1:3" x14ac:dyDescent="0.2">
      <c r="A27" s="2" t="s">
        <v>15</v>
      </c>
      <c r="B27" s="7"/>
      <c r="C27" s="7"/>
    </row>
    <row r="28" spans="1:3" x14ac:dyDescent="0.2">
      <c r="A28" s="2" t="s">
        <v>11</v>
      </c>
      <c r="B28" s="7"/>
      <c r="C28" s="7"/>
    </row>
    <row r="29" spans="1:3" x14ac:dyDescent="0.2">
      <c r="A29" s="2" t="s">
        <v>12</v>
      </c>
      <c r="B29" s="7">
        <v>0</v>
      </c>
      <c r="C29" s="7"/>
    </row>
    <row r="30" spans="1:3" x14ac:dyDescent="0.2">
      <c r="A30" s="2"/>
      <c r="B30" s="7"/>
      <c r="C30" s="7"/>
    </row>
    <row r="31" spans="1:3" x14ac:dyDescent="0.2">
      <c r="A31" s="2" t="s">
        <v>16</v>
      </c>
      <c r="B31" s="7"/>
      <c r="C31" s="7"/>
    </row>
    <row r="32" spans="1:3" x14ac:dyDescent="0.2">
      <c r="A32" s="2" t="s">
        <v>11</v>
      </c>
      <c r="B32" s="7"/>
      <c r="C32" s="7"/>
    </row>
    <row r="33" spans="1:3" x14ac:dyDescent="0.2">
      <c r="A33" s="2" t="s">
        <v>12</v>
      </c>
      <c r="B33" s="7">
        <v>0</v>
      </c>
      <c r="C33" s="7"/>
    </row>
    <row r="34" spans="1:3" x14ac:dyDescent="0.2">
      <c r="A34" s="2"/>
      <c r="B34" s="7"/>
      <c r="C34" s="7"/>
    </row>
    <row r="35" spans="1:3" x14ac:dyDescent="0.2">
      <c r="A35" s="2" t="s">
        <v>17</v>
      </c>
      <c r="B35" s="7"/>
      <c r="C35" s="7">
        <v>17015.64</v>
      </c>
    </row>
    <row r="36" spans="1:3" x14ac:dyDescent="0.2">
      <c r="A36" s="2"/>
      <c r="B36" s="7"/>
      <c r="C36" s="7"/>
    </row>
    <row r="37" spans="1:3" x14ac:dyDescent="0.2">
      <c r="A37" s="2" t="s">
        <v>18</v>
      </c>
      <c r="B37" s="7"/>
      <c r="C37" s="7"/>
    </row>
    <row r="38" spans="1:3" x14ac:dyDescent="0.2">
      <c r="A38" s="2"/>
      <c r="B38" s="7"/>
      <c r="C38" s="7"/>
    </row>
    <row r="39" spans="1:3" x14ac:dyDescent="0.2">
      <c r="A39" s="2" t="s">
        <v>10</v>
      </c>
      <c r="B39" s="7">
        <v>-183.59</v>
      </c>
      <c r="C39" s="7"/>
    </row>
    <row r="40" spans="1:3" x14ac:dyDescent="0.2">
      <c r="A40" s="2" t="s">
        <v>14</v>
      </c>
      <c r="B40" s="7">
        <v>-16832.05</v>
      </c>
      <c r="C40" s="7"/>
    </row>
    <row r="41" spans="1:3" x14ac:dyDescent="0.2">
      <c r="A41" s="2"/>
      <c r="B41" s="7"/>
      <c r="C41" s="7"/>
    </row>
    <row r="42" spans="1:3" x14ac:dyDescent="0.2">
      <c r="A42" s="2" t="s">
        <v>19</v>
      </c>
      <c r="B42" s="7"/>
      <c r="C42" s="7">
        <v>-17015.64</v>
      </c>
    </row>
    <row r="43" spans="1:3" x14ac:dyDescent="0.2">
      <c r="A43" s="2" t="s">
        <v>20</v>
      </c>
      <c r="B43" s="7"/>
      <c r="C43" s="7">
        <v>0</v>
      </c>
    </row>
    <row r="44" spans="1:3" x14ac:dyDescent="0.2">
      <c r="A44" s="2"/>
      <c r="B44" s="7"/>
      <c r="C44" s="7"/>
    </row>
    <row r="45" spans="1:3" x14ac:dyDescent="0.2">
      <c r="A45" s="4"/>
      <c r="B45" s="8"/>
      <c r="C45" s="8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9"/>
  <sheetViews>
    <sheetView zoomScale="110" zoomScaleNormal="110" workbookViewId="0">
      <pane ySplit="1" topLeftCell="A2" activePane="bottomLeft" state="frozen"/>
      <selection pane="bottomLeft" activeCell="C24" sqref="C24"/>
    </sheetView>
  </sheetViews>
  <sheetFormatPr defaultRowHeight="14.25" x14ac:dyDescent="0.2"/>
  <cols>
    <col min="1" max="2" width="18" style="1" customWidth="1"/>
    <col min="3" max="3" width="45" style="1" customWidth="1"/>
    <col min="4" max="4" width="14" style="1" customWidth="1"/>
    <col min="5" max="5" width="30" style="1" customWidth="1"/>
    <col min="6" max="6" width="35.5703125" style="1" bestFit="1" customWidth="1"/>
    <col min="7" max="11" width="15" style="1" customWidth="1"/>
    <col min="12" max="12" width="10.5703125" style="1" bestFit="1" customWidth="1"/>
    <col min="13" max="13" width="10" style="1" customWidth="1"/>
    <col min="14" max="14" width="12" style="1" customWidth="1"/>
    <col min="15" max="15" width="9" style="1" customWidth="1"/>
    <col min="16" max="16" width="18" style="1" customWidth="1"/>
    <col min="17" max="17" width="20.42578125" style="1" bestFit="1" customWidth="1"/>
    <col min="18" max="18" width="20" style="1" customWidth="1"/>
    <col min="19" max="19" width="17.85546875" style="1" bestFit="1" customWidth="1"/>
    <col min="20" max="20" width="24.85546875" style="1" bestFit="1" customWidth="1"/>
    <col min="21" max="21" width="22.140625" style="1" customWidth="1"/>
    <col min="22" max="22" width="12.140625" style="1" bestFit="1" customWidth="1"/>
    <col min="23" max="23" width="9.140625" style="1" customWidth="1"/>
    <col min="24" max="16384" width="9.140625" style="1"/>
  </cols>
  <sheetData>
    <row r="1" spans="1:23" ht="30" customHeight="1" x14ac:dyDescent="0.2">
      <c r="A1" s="9" t="s">
        <v>21</v>
      </c>
      <c r="B1" s="9" t="s">
        <v>22</v>
      </c>
      <c r="C1" s="9" t="s">
        <v>23</v>
      </c>
      <c r="D1" s="9" t="s">
        <v>24</v>
      </c>
      <c r="E1" s="9" t="s">
        <v>301</v>
      </c>
      <c r="F1" s="9" t="s">
        <v>302</v>
      </c>
      <c r="G1" s="9" t="s">
        <v>303</v>
      </c>
      <c r="H1" s="9" t="s">
        <v>25</v>
      </c>
      <c r="I1" s="9" t="s">
        <v>26</v>
      </c>
      <c r="J1" s="9" t="s">
        <v>27</v>
      </c>
      <c r="K1" s="9" t="s">
        <v>28</v>
      </c>
      <c r="L1" s="9" t="s">
        <v>329</v>
      </c>
      <c r="M1" s="9" t="s">
        <v>29</v>
      </c>
      <c r="N1" s="9" t="s">
        <v>30</v>
      </c>
      <c r="O1" s="9" t="s">
        <v>31</v>
      </c>
      <c r="P1" s="9" t="s">
        <v>32</v>
      </c>
      <c r="Q1" s="9" t="s">
        <v>305</v>
      </c>
      <c r="R1" s="9" t="s">
        <v>33</v>
      </c>
      <c r="S1" s="9" t="s">
        <v>34</v>
      </c>
      <c r="T1" s="15" t="s">
        <v>304</v>
      </c>
      <c r="U1" s="9" t="s">
        <v>306</v>
      </c>
      <c r="V1" s="9" t="s">
        <v>35</v>
      </c>
      <c r="W1" s="9" t="s">
        <v>36</v>
      </c>
    </row>
    <row r="2" spans="1:23" x14ac:dyDescent="0.2">
      <c r="A2" s="12" t="s">
        <v>67</v>
      </c>
      <c r="B2" s="12">
        <v>371819</v>
      </c>
      <c r="C2" s="12" t="s">
        <v>311</v>
      </c>
      <c r="D2" s="12">
        <v>257168</v>
      </c>
      <c r="E2" s="12" t="s">
        <v>240</v>
      </c>
      <c r="F2" s="12" t="s">
        <v>241</v>
      </c>
      <c r="G2" s="12" t="s">
        <v>84</v>
      </c>
      <c r="H2" s="12" t="s">
        <v>41</v>
      </c>
      <c r="I2" s="12" t="s">
        <v>116</v>
      </c>
      <c r="J2" s="12" t="s">
        <v>242</v>
      </c>
      <c r="K2" s="12" t="s">
        <v>44</v>
      </c>
      <c r="L2" s="12">
        <f t="shared" ref="L2:L33" si="0">DATEDIF(J2,K2,"M")</f>
        <v>1</v>
      </c>
      <c r="M2" s="13">
        <v>50</v>
      </c>
      <c r="N2" s="12" t="s">
        <v>46</v>
      </c>
      <c r="O2" s="12" t="s">
        <v>47</v>
      </c>
      <c r="P2" s="12">
        <v>250</v>
      </c>
      <c r="Q2" s="14">
        <v>-2546.5</v>
      </c>
      <c r="R2" s="12" t="s">
        <v>48</v>
      </c>
      <c r="S2" s="12" t="s">
        <v>243</v>
      </c>
      <c r="T2" s="16">
        <v>1.35</v>
      </c>
      <c r="U2" s="14">
        <v>-2000</v>
      </c>
      <c r="V2" s="14">
        <v>-1656.22</v>
      </c>
      <c r="W2" s="12" t="s">
        <v>45</v>
      </c>
    </row>
    <row r="3" spans="1:23" x14ac:dyDescent="0.2">
      <c r="A3" s="12" t="s">
        <v>67</v>
      </c>
      <c r="B3" s="12">
        <v>21561165</v>
      </c>
      <c r="C3" s="12" t="s">
        <v>327</v>
      </c>
      <c r="D3" s="12">
        <v>1227344</v>
      </c>
      <c r="E3" s="12" t="s">
        <v>269</v>
      </c>
      <c r="F3" s="12" t="s">
        <v>270</v>
      </c>
      <c r="G3" s="12" t="s">
        <v>124</v>
      </c>
      <c r="H3" s="12" t="s">
        <v>85</v>
      </c>
      <c r="I3" s="12" t="s">
        <v>86</v>
      </c>
      <c r="J3" s="12" t="s">
        <v>41</v>
      </c>
      <c r="K3" s="12" t="s">
        <v>160</v>
      </c>
      <c r="L3" s="12">
        <f t="shared" si="0"/>
        <v>1</v>
      </c>
      <c r="M3" s="13">
        <v>37</v>
      </c>
      <c r="N3" s="12" t="s">
        <v>46</v>
      </c>
      <c r="O3" s="12" t="s">
        <v>47</v>
      </c>
      <c r="P3" s="12">
        <v>42</v>
      </c>
      <c r="Q3" s="14">
        <v>19.690000000000001</v>
      </c>
      <c r="R3" s="12" t="s">
        <v>48</v>
      </c>
      <c r="S3" s="12" t="s">
        <v>235</v>
      </c>
      <c r="T3" s="16">
        <v>1.5</v>
      </c>
      <c r="U3" s="14">
        <v>0</v>
      </c>
      <c r="V3" s="14">
        <v>-29.54</v>
      </c>
      <c r="W3" s="12" t="s">
        <v>45</v>
      </c>
    </row>
    <row r="4" spans="1:23" x14ac:dyDescent="0.2">
      <c r="A4" s="12" t="s">
        <v>67</v>
      </c>
      <c r="B4" s="12">
        <v>371819</v>
      </c>
      <c r="C4" s="12" t="s">
        <v>311</v>
      </c>
      <c r="D4" s="12">
        <v>257168</v>
      </c>
      <c r="E4" s="12" t="s">
        <v>240</v>
      </c>
      <c r="F4" s="12" t="s">
        <v>241</v>
      </c>
      <c r="G4" s="12" t="s">
        <v>84</v>
      </c>
      <c r="H4" s="12" t="s">
        <v>120</v>
      </c>
      <c r="I4" s="12" t="s">
        <v>116</v>
      </c>
      <c r="J4" s="12" t="s">
        <v>242</v>
      </c>
      <c r="K4" s="12" t="s">
        <v>44</v>
      </c>
      <c r="L4" s="12">
        <f t="shared" si="0"/>
        <v>1</v>
      </c>
      <c r="M4" s="13">
        <v>50</v>
      </c>
      <c r="N4" s="12" t="s">
        <v>46</v>
      </c>
      <c r="O4" s="12" t="s">
        <v>47</v>
      </c>
      <c r="P4" s="12">
        <v>250</v>
      </c>
      <c r="Q4" s="14">
        <v>254.65</v>
      </c>
      <c r="R4" s="12" t="s">
        <v>48</v>
      </c>
      <c r="S4" s="12" t="s">
        <v>235</v>
      </c>
      <c r="T4" s="16">
        <v>1.35</v>
      </c>
      <c r="U4" s="14">
        <v>0</v>
      </c>
      <c r="V4" s="14">
        <v>-343.78</v>
      </c>
      <c r="W4" s="12" t="s">
        <v>45</v>
      </c>
    </row>
    <row r="5" spans="1:23" x14ac:dyDescent="0.2">
      <c r="A5" s="12" t="s">
        <v>271</v>
      </c>
      <c r="B5" s="12">
        <v>371819</v>
      </c>
      <c r="C5" s="12" t="s">
        <v>311</v>
      </c>
      <c r="D5" s="12">
        <v>257168</v>
      </c>
      <c r="E5" s="12" t="s">
        <v>289</v>
      </c>
      <c r="F5" s="12" t="s">
        <v>290</v>
      </c>
      <c r="G5" s="12" t="s">
        <v>84</v>
      </c>
      <c r="H5" s="12" t="s">
        <v>54</v>
      </c>
      <c r="I5" s="12" t="s">
        <v>291</v>
      </c>
      <c r="J5" s="12" t="s">
        <v>292</v>
      </c>
      <c r="K5" s="12" t="s">
        <v>242</v>
      </c>
      <c r="L5" s="12">
        <f t="shared" si="0"/>
        <v>2</v>
      </c>
      <c r="M5" s="13" t="s">
        <v>45</v>
      </c>
      <c r="N5" s="12" t="s">
        <v>46</v>
      </c>
      <c r="O5" s="12" t="s">
        <v>47</v>
      </c>
      <c r="P5" s="12">
        <v>0</v>
      </c>
      <c r="Q5" s="14">
        <v>-39.04</v>
      </c>
      <c r="R5" s="12" t="s">
        <v>48</v>
      </c>
      <c r="S5" s="12" t="s">
        <v>293</v>
      </c>
      <c r="T5" s="16">
        <v>0.52</v>
      </c>
      <c r="U5" s="14">
        <v>0</v>
      </c>
      <c r="V5" s="14">
        <v>20.3</v>
      </c>
      <c r="W5" s="12" t="s">
        <v>45</v>
      </c>
    </row>
    <row r="6" spans="1:23" s="12" customFormat="1" x14ac:dyDescent="0.2">
      <c r="A6" s="12" t="s">
        <v>67</v>
      </c>
      <c r="B6" s="12">
        <v>16912722</v>
      </c>
      <c r="C6" s="12" t="s">
        <v>314</v>
      </c>
      <c r="D6" s="12">
        <v>613147</v>
      </c>
      <c r="E6" s="12" t="s">
        <v>118</v>
      </c>
      <c r="F6" s="12" t="s">
        <v>119</v>
      </c>
      <c r="G6" s="12" t="s">
        <v>40</v>
      </c>
      <c r="H6" s="12" t="s">
        <v>120</v>
      </c>
      <c r="I6" s="12" t="s">
        <v>121</v>
      </c>
      <c r="J6" s="12" t="s">
        <v>56</v>
      </c>
      <c r="K6" s="12" t="s">
        <v>44</v>
      </c>
      <c r="L6" s="12">
        <f t="shared" si="0"/>
        <v>4</v>
      </c>
      <c r="M6" s="13">
        <v>41</v>
      </c>
      <c r="N6" s="12" t="s">
        <v>46</v>
      </c>
      <c r="O6" s="12" t="s">
        <v>47</v>
      </c>
      <c r="P6" s="12">
        <v>1000</v>
      </c>
      <c r="Q6" s="14">
        <v>42.14</v>
      </c>
      <c r="R6" s="12" t="s">
        <v>48</v>
      </c>
      <c r="S6" s="12" t="s">
        <v>49</v>
      </c>
      <c r="T6" s="16">
        <v>1.1399999999999999</v>
      </c>
      <c r="U6" s="14">
        <v>0</v>
      </c>
      <c r="V6" s="14">
        <v>-48.04</v>
      </c>
      <c r="W6" s="12" t="s">
        <v>45</v>
      </c>
    </row>
    <row r="7" spans="1:23" s="12" customFormat="1" x14ac:dyDescent="0.2">
      <c r="A7" s="12" t="s">
        <v>37</v>
      </c>
      <c r="B7" s="12">
        <v>18828278</v>
      </c>
      <c r="C7" s="12" t="s">
        <v>307</v>
      </c>
      <c r="D7" s="12">
        <v>1174646</v>
      </c>
      <c r="E7" s="12" t="s">
        <v>52</v>
      </c>
      <c r="F7" s="12" t="s">
        <v>53</v>
      </c>
      <c r="G7" s="12" t="s">
        <v>40</v>
      </c>
      <c r="H7" s="12" t="s">
        <v>54</v>
      </c>
      <c r="I7" s="12" t="s">
        <v>55</v>
      </c>
      <c r="J7" s="12" t="s">
        <v>56</v>
      </c>
      <c r="K7" s="12" t="s">
        <v>57</v>
      </c>
      <c r="L7" s="12">
        <f t="shared" si="0"/>
        <v>5</v>
      </c>
      <c r="M7" s="13" t="s">
        <v>45</v>
      </c>
      <c r="N7" s="12" t="s">
        <v>46</v>
      </c>
      <c r="O7" s="12" t="s">
        <v>58</v>
      </c>
      <c r="P7" s="12">
        <v>0</v>
      </c>
      <c r="Q7" s="14">
        <v>144.74</v>
      </c>
      <c r="R7" s="12" t="s">
        <v>48</v>
      </c>
      <c r="S7" s="12" t="s">
        <v>49</v>
      </c>
      <c r="T7" s="16">
        <v>0.27</v>
      </c>
      <c r="U7" s="14">
        <v>0</v>
      </c>
      <c r="V7" s="14">
        <v>-39.08</v>
      </c>
      <c r="W7" s="12" t="s">
        <v>45</v>
      </c>
    </row>
    <row r="8" spans="1:23" s="12" customFormat="1" x14ac:dyDescent="0.2">
      <c r="A8" s="12" t="s">
        <v>37</v>
      </c>
      <c r="B8" s="12">
        <v>18828278</v>
      </c>
      <c r="C8" s="12" t="s">
        <v>307</v>
      </c>
      <c r="D8" s="12">
        <v>1174646</v>
      </c>
      <c r="E8" s="12" t="s">
        <v>64</v>
      </c>
      <c r="F8" s="12" t="s">
        <v>65</v>
      </c>
      <c r="G8" s="12" t="s">
        <v>40</v>
      </c>
      <c r="H8" s="12" t="s">
        <v>54</v>
      </c>
      <c r="I8" s="12" t="s">
        <v>42</v>
      </c>
      <c r="J8" s="12" t="s">
        <v>66</v>
      </c>
      <c r="K8" s="12" t="s">
        <v>44</v>
      </c>
      <c r="L8" s="12">
        <f t="shared" si="0"/>
        <v>5</v>
      </c>
      <c r="M8" s="13" t="s">
        <v>45</v>
      </c>
      <c r="N8" s="12" t="s">
        <v>46</v>
      </c>
      <c r="O8" s="12" t="s">
        <v>47</v>
      </c>
      <c r="P8" s="12">
        <v>0</v>
      </c>
      <c r="Q8" s="14">
        <v>129.38999999999999</v>
      </c>
      <c r="R8" s="12" t="s">
        <v>48</v>
      </c>
      <c r="S8" s="12" t="s">
        <v>49</v>
      </c>
      <c r="T8" s="16">
        <v>0.23</v>
      </c>
      <c r="U8" s="14">
        <v>0</v>
      </c>
      <c r="V8" s="14">
        <v>-29.76</v>
      </c>
      <c r="W8" s="12" t="s">
        <v>45</v>
      </c>
    </row>
    <row r="9" spans="1:23" x14ac:dyDescent="0.2">
      <c r="A9" s="12" t="s">
        <v>67</v>
      </c>
      <c r="B9" s="12">
        <v>7470776</v>
      </c>
      <c r="C9" s="12" t="s">
        <v>318</v>
      </c>
      <c r="D9" s="12">
        <v>891882</v>
      </c>
      <c r="E9" s="12" t="s">
        <v>134</v>
      </c>
      <c r="F9" s="12" t="s">
        <v>135</v>
      </c>
      <c r="G9" s="12" t="s">
        <v>40</v>
      </c>
      <c r="H9" s="12" t="s">
        <v>85</v>
      </c>
      <c r="I9" s="12" t="s">
        <v>110</v>
      </c>
      <c r="J9" s="12" t="s">
        <v>136</v>
      </c>
      <c r="K9" s="12" t="s">
        <v>88</v>
      </c>
      <c r="L9" s="12">
        <f t="shared" si="0"/>
        <v>6</v>
      </c>
      <c r="M9" s="13">
        <v>45</v>
      </c>
      <c r="N9" s="12" t="s">
        <v>46</v>
      </c>
      <c r="O9" s="12" t="s">
        <v>47</v>
      </c>
      <c r="P9" s="12">
        <v>300</v>
      </c>
      <c r="Q9" s="14">
        <v>152.19</v>
      </c>
      <c r="R9" s="12" t="s">
        <v>48</v>
      </c>
      <c r="S9" s="12" t="s">
        <v>49</v>
      </c>
      <c r="T9" s="16">
        <v>1.5</v>
      </c>
      <c r="U9" s="14">
        <v>0</v>
      </c>
      <c r="V9" s="14">
        <v>-228.29</v>
      </c>
      <c r="W9" s="12" t="s">
        <v>45</v>
      </c>
    </row>
    <row r="10" spans="1:23" x14ac:dyDescent="0.2">
      <c r="A10" s="12" t="s">
        <v>67</v>
      </c>
      <c r="B10" s="12">
        <v>7470776</v>
      </c>
      <c r="C10" s="12" t="s">
        <v>318</v>
      </c>
      <c r="D10" s="12">
        <v>891882</v>
      </c>
      <c r="E10" s="12" t="s">
        <v>137</v>
      </c>
      <c r="F10" s="12" t="s">
        <v>138</v>
      </c>
      <c r="G10" s="12" t="s">
        <v>40</v>
      </c>
      <c r="H10" s="12" t="s">
        <v>85</v>
      </c>
      <c r="I10" s="12" t="s">
        <v>110</v>
      </c>
      <c r="J10" s="12" t="s">
        <v>136</v>
      </c>
      <c r="K10" s="12" t="s">
        <v>88</v>
      </c>
      <c r="L10" s="12">
        <f t="shared" si="0"/>
        <v>6</v>
      </c>
      <c r="M10" s="13">
        <v>45</v>
      </c>
      <c r="N10" s="12" t="s">
        <v>46</v>
      </c>
      <c r="O10" s="12" t="s">
        <v>47</v>
      </c>
      <c r="P10" s="12">
        <v>300</v>
      </c>
      <c r="Q10" s="14">
        <v>143.11000000000001</v>
      </c>
      <c r="R10" s="12" t="s">
        <v>48</v>
      </c>
      <c r="S10" s="12" t="s">
        <v>49</v>
      </c>
      <c r="T10" s="16">
        <v>1.5</v>
      </c>
      <c r="U10" s="14">
        <v>0</v>
      </c>
      <c r="V10" s="14">
        <v>-214.67</v>
      </c>
      <c r="W10" s="12" t="s">
        <v>45</v>
      </c>
    </row>
    <row r="11" spans="1:23" x14ac:dyDescent="0.2">
      <c r="A11" s="12" t="s">
        <v>67</v>
      </c>
      <c r="B11" s="12">
        <v>8814784</v>
      </c>
      <c r="C11" s="12" t="s">
        <v>319</v>
      </c>
      <c r="D11" s="12">
        <v>892054</v>
      </c>
      <c r="E11" s="12" t="s">
        <v>142</v>
      </c>
      <c r="F11" s="12" t="s">
        <v>143</v>
      </c>
      <c r="G11" s="12" t="s">
        <v>40</v>
      </c>
      <c r="H11" s="12" t="s">
        <v>120</v>
      </c>
      <c r="I11" s="12" t="s">
        <v>125</v>
      </c>
      <c r="J11" s="12" t="s">
        <v>144</v>
      </c>
      <c r="K11" s="12" t="s">
        <v>44</v>
      </c>
      <c r="L11" s="12">
        <f t="shared" si="0"/>
        <v>6</v>
      </c>
      <c r="M11" s="13">
        <v>67</v>
      </c>
      <c r="N11" s="12" t="s">
        <v>46</v>
      </c>
      <c r="O11" s="12" t="s">
        <v>47</v>
      </c>
      <c r="P11" s="12">
        <v>12</v>
      </c>
      <c r="Q11" s="14">
        <v>55</v>
      </c>
      <c r="R11" s="12" t="s">
        <v>48</v>
      </c>
      <c r="S11" s="12" t="s">
        <v>49</v>
      </c>
      <c r="T11" s="16">
        <v>1.35</v>
      </c>
      <c r="U11" s="14">
        <v>0</v>
      </c>
      <c r="V11" s="14">
        <v>-74.25</v>
      </c>
      <c r="W11" s="12" t="s">
        <v>45</v>
      </c>
    </row>
    <row r="12" spans="1:23" s="12" customFormat="1" x14ac:dyDescent="0.2">
      <c r="A12" s="12" t="s">
        <v>67</v>
      </c>
      <c r="B12" s="12">
        <v>20220688</v>
      </c>
      <c r="C12" s="12" t="s">
        <v>321</v>
      </c>
      <c r="D12" s="12">
        <v>1075176</v>
      </c>
      <c r="E12" s="12" t="s">
        <v>196</v>
      </c>
      <c r="F12" s="12" t="s">
        <v>197</v>
      </c>
      <c r="G12" s="12" t="s">
        <v>40</v>
      </c>
      <c r="H12" s="12" t="s">
        <v>120</v>
      </c>
      <c r="I12" s="12" t="s">
        <v>198</v>
      </c>
      <c r="J12" s="12" t="s">
        <v>144</v>
      </c>
      <c r="K12" s="12" t="s">
        <v>44</v>
      </c>
      <c r="L12" s="12">
        <f t="shared" si="0"/>
        <v>6</v>
      </c>
      <c r="M12" s="13">
        <v>4</v>
      </c>
      <c r="N12" s="12" t="s">
        <v>46</v>
      </c>
      <c r="O12" s="12" t="s">
        <v>47</v>
      </c>
      <c r="P12" s="12">
        <v>50</v>
      </c>
      <c r="Q12" s="14">
        <v>19.04</v>
      </c>
      <c r="R12" s="12" t="s">
        <v>48</v>
      </c>
      <c r="S12" s="12" t="s">
        <v>49</v>
      </c>
      <c r="T12" s="16">
        <v>1.1499999999999999</v>
      </c>
      <c r="U12" s="14">
        <v>0</v>
      </c>
      <c r="V12" s="14">
        <v>-21.9</v>
      </c>
      <c r="W12" s="12" t="s">
        <v>45</v>
      </c>
    </row>
    <row r="13" spans="1:23" s="12" customFormat="1" x14ac:dyDescent="0.2">
      <c r="A13" s="12" t="s">
        <v>67</v>
      </c>
      <c r="B13" s="12">
        <v>371819</v>
      </c>
      <c r="C13" s="12" t="s">
        <v>311</v>
      </c>
      <c r="D13" s="12">
        <v>257168</v>
      </c>
      <c r="E13" s="12" t="s">
        <v>103</v>
      </c>
      <c r="F13" s="12" t="s">
        <v>104</v>
      </c>
      <c r="G13" s="12" t="s">
        <v>84</v>
      </c>
      <c r="H13" s="12" t="s">
        <v>85</v>
      </c>
      <c r="I13" s="12" t="s">
        <v>100</v>
      </c>
      <c r="J13" s="12" t="s">
        <v>105</v>
      </c>
      <c r="K13" s="12" t="s">
        <v>93</v>
      </c>
      <c r="L13" s="12">
        <f t="shared" si="0"/>
        <v>6</v>
      </c>
      <c r="M13" s="13">
        <v>36</v>
      </c>
      <c r="N13" s="12" t="s">
        <v>46</v>
      </c>
      <c r="O13" s="12" t="s">
        <v>47</v>
      </c>
      <c r="P13" s="12">
        <v>300</v>
      </c>
      <c r="Q13" s="14">
        <v>65.42</v>
      </c>
      <c r="R13" s="12" t="s">
        <v>48</v>
      </c>
      <c r="S13" s="12" t="s">
        <v>49</v>
      </c>
      <c r="T13" s="16">
        <v>1.5</v>
      </c>
      <c r="U13" s="14">
        <v>0</v>
      </c>
      <c r="V13" s="14">
        <v>-98.13</v>
      </c>
      <c r="W13" s="12" t="s">
        <v>45</v>
      </c>
    </row>
    <row r="14" spans="1:23" s="12" customFormat="1" x14ac:dyDescent="0.2">
      <c r="A14" s="12" t="s">
        <v>271</v>
      </c>
      <c r="B14" s="12">
        <v>8325282</v>
      </c>
      <c r="C14" s="12" t="s">
        <v>325</v>
      </c>
      <c r="D14" s="12">
        <v>513364</v>
      </c>
      <c r="E14" s="12" t="s">
        <v>296</v>
      </c>
      <c r="F14" s="12" t="s">
        <v>297</v>
      </c>
      <c r="G14" s="12" t="s">
        <v>40</v>
      </c>
      <c r="H14" s="12" t="s">
        <v>109</v>
      </c>
      <c r="I14" s="12" t="s">
        <v>274</v>
      </c>
      <c r="J14" s="12" t="s">
        <v>61</v>
      </c>
      <c r="K14" s="12" t="s">
        <v>44</v>
      </c>
      <c r="L14" s="12">
        <f t="shared" si="0"/>
        <v>8</v>
      </c>
      <c r="M14" s="13" t="s">
        <v>45</v>
      </c>
      <c r="N14" s="12" t="s">
        <v>46</v>
      </c>
      <c r="O14" s="12" t="s">
        <v>47</v>
      </c>
      <c r="P14" s="12">
        <v>0</v>
      </c>
      <c r="Q14" s="14">
        <v>34.36</v>
      </c>
      <c r="R14" s="12" t="s">
        <v>48</v>
      </c>
      <c r="S14" s="12" t="s">
        <v>49</v>
      </c>
      <c r="T14" s="16">
        <v>0.52</v>
      </c>
      <c r="U14" s="14">
        <v>0</v>
      </c>
      <c r="V14" s="14">
        <v>-17.87</v>
      </c>
      <c r="W14" s="12" t="s">
        <v>45</v>
      </c>
    </row>
    <row r="15" spans="1:23" s="12" customFormat="1" x14ac:dyDescent="0.2">
      <c r="A15" s="12" t="s">
        <v>67</v>
      </c>
      <c r="B15" s="12">
        <v>8814784</v>
      </c>
      <c r="C15" s="12" t="s">
        <v>319</v>
      </c>
      <c r="D15" s="12">
        <v>892054</v>
      </c>
      <c r="E15" s="12" t="s">
        <v>139</v>
      </c>
      <c r="F15" s="12" t="s">
        <v>140</v>
      </c>
      <c r="G15" s="12" t="s">
        <v>40</v>
      </c>
      <c r="H15" s="12" t="s">
        <v>120</v>
      </c>
      <c r="I15" s="12" t="s">
        <v>125</v>
      </c>
      <c r="J15" s="12" t="s">
        <v>141</v>
      </c>
      <c r="K15" s="12" t="s">
        <v>127</v>
      </c>
      <c r="L15" s="12">
        <f t="shared" si="0"/>
        <v>8</v>
      </c>
      <c r="M15" s="13">
        <v>63</v>
      </c>
      <c r="N15" s="12" t="s">
        <v>46</v>
      </c>
      <c r="O15" s="12" t="s">
        <v>47</v>
      </c>
      <c r="P15" s="12">
        <v>50</v>
      </c>
      <c r="Q15" s="14">
        <v>175.78</v>
      </c>
      <c r="R15" s="12" t="s">
        <v>48</v>
      </c>
      <c r="S15" s="12" t="s">
        <v>49</v>
      </c>
      <c r="T15" s="16">
        <v>1.35</v>
      </c>
      <c r="U15" s="14">
        <v>0</v>
      </c>
      <c r="V15" s="14">
        <v>-237.3</v>
      </c>
      <c r="W15" s="12" t="s">
        <v>45</v>
      </c>
    </row>
    <row r="16" spans="1:23" s="12" customFormat="1" x14ac:dyDescent="0.2">
      <c r="A16" s="12" t="s">
        <v>37</v>
      </c>
      <c r="B16" s="12">
        <v>18828278</v>
      </c>
      <c r="C16" s="12" t="s">
        <v>307</v>
      </c>
      <c r="D16" s="12">
        <v>1174646</v>
      </c>
      <c r="E16" s="12" t="s">
        <v>59</v>
      </c>
      <c r="F16" s="12" t="s">
        <v>60</v>
      </c>
      <c r="G16" s="12" t="s">
        <v>40</v>
      </c>
      <c r="H16" s="12" t="s">
        <v>41</v>
      </c>
      <c r="I16" s="12" t="s">
        <v>42</v>
      </c>
      <c r="J16" s="12" t="s">
        <v>61</v>
      </c>
      <c r="K16" s="12" t="s">
        <v>44</v>
      </c>
      <c r="L16" s="12">
        <f t="shared" si="0"/>
        <v>8</v>
      </c>
      <c r="M16" s="13" t="s">
        <v>45</v>
      </c>
      <c r="N16" s="12" t="s">
        <v>46</v>
      </c>
      <c r="O16" s="12" t="s">
        <v>47</v>
      </c>
      <c r="P16" s="12">
        <v>0</v>
      </c>
      <c r="Q16" s="14">
        <v>136.01</v>
      </c>
      <c r="R16" s="12" t="s">
        <v>48</v>
      </c>
      <c r="S16" s="12" t="s">
        <v>49</v>
      </c>
      <c r="T16" s="16">
        <v>0.23</v>
      </c>
      <c r="U16" s="14">
        <v>0</v>
      </c>
      <c r="V16" s="14">
        <v>-31.28</v>
      </c>
      <c r="W16" s="12" t="s">
        <v>45</v>
      </c>
    </row>
    <row r="17" spans="1:23" s="12" customFormat="1" x14ac:dyDescent="0.2">
      <c r="A17" s="12" t="s">
        <v>37</v>
      </c>
      <c r="B17" s="12">
        <v>18828278</v>
      </c>
      <c r="C17" s="12" t="s">
        <v>307</v>
      </c>
      <c r="D17" s="12">
        <v>1174646</v>
      </c>
      <c r="E17" s="12" t="s">
        <v>62</v>
      </c>
      <c r="F17" s="12" t="s">
        <v>63</v>
      </c>
      <c r="G17" s="12" t="s">
        <v>40</v>
      </c>
      <c r="H17" s="12" t="s">
        <v>41</v>
      </c>
      <c r="I17" s="12" t="s">
        <v>42</v>
      </c>
      <c r="J17" s="12" t="s">
        <v>61</v>
      </c>
      <c r="K17" s="12" t="s">
        <v>44</v>
      </c>
      <c r="L17" s="12">
        <f t="shared" si="0"/>
        <v>8</v>
      </c>
      <c r="M17" s="13" t="s">
        <v>45</v>
      </c>
      <c r="N17" s="12" t="s">
        <v>46</v>
      </c>
      <c r="O17" s="12" t="s">
        <v>47</v>
      </c>
      <c r="P17" s="12">
        <v>0</v>
      </c>
      <c r="Q17" s="14">
        <v>118.19</v>
      </c>
      <c r="R17" s="12" t="s">
        <v>48</v>
      </c>
      <c r="S17" s="12" t="s">
        <v>49</v>
      </c>
      <c r="T17" s="16">
        <v>0.23</v>
      </c>
      <c r="U17" s="14">
        <v>0</v>
      </c>
      <c r="V17" s="14">
        <v>-27.18</v>
      </c>
      <c r="W17" s="12" t="s">
        <v>45</v>
      </c>
    </row>
    <row r="18" spans="1:23" x14ac:dyDescent="0.2">
      <c r="A18" s="12" t="s">
        <v>67</v>
      </c>
      <c r="B18" s="12">
        <v>6634327</v>
      </c>
      <c r="C18" s="12" t="s">
        <v>312</v>
      </c>
      <c r="D18" s="12">
        <v>505582</v>
      </c>
      <c r="E18" s="12" t="s">
        <v>106</v>
      </c>
      <c r="F18" s="12" t="s">
        <v>107</v>
      </c>
      <c r="G18" s="12" t="s">
        <v>108</v>
      </c>
      <c r="H18" s="12" t="s">
        <v>109</v>
      </c>
      <c r="I18" s="12" t="s">
        <v>110</v>
      </c>
      <c r="J18" s="12" t="s">
        <v>87</v>
      </c>
      <c r="K18" s="12" t="s">
        <v>88</v>
      </c>
      <c r="L18" s="12">
        <f t="shared" si="0"/>
        <v>9</v>
      </c>
      <c r="M18" s="13">
        <v>32</v>
      </c>
      <c r="N18" s="12" t="s">
        <v>46</v>
      </c>
      <c r="O18" s="12" t="s">
        <v>47</v>
      </c>
      <c r="P18" s="12">
        <v>250</v>
      </c>
      <c r="Q18" s="14">
        <v>51.84</v>
      </c>
      <c r="R18" s="12" t="s">
        <v>48</v>
      </c>
      <c r="S18" s="12" t="s">
        <v>49</v>
      </c>
      <c r="T18" s="16">
        <v>1.5</v>
      </c>
      <c r="U18" s="14">
        <v>0</v>
      </c>
      <c r="V18" s="14">
        <v>-77.760000000000005</v>
      </c>
      <c r="W18" s="12" t="s">
        <v>45</v>
      </c>
    </row>
    <row r="19" spans="1:23" x14ac:dyDescent="0.2">
      <c r="A19" s="12" t="s">
        <v>67</v>
      </c>
      <c r="B19" s="12">
        <v>6634327</v>
      </c>
      <c r="C19" s="12" t="s">
        <v>312</v>
      </c>
      <c r="D19" s="12">
        <v>505582</v>
      </c>
      <c r="E19" s="12" t="s">
        <v>111</v>
      </c>
      <c r="F19" s="12" t="s">
        <v>112</v>
      </c>
      <c r="G19" s="12" t="s">
        <v>108</v>
      </c>
      <c r="H19" s="12" t="s">
        <v>109</v>
      </c>
      <c r="I19" s="12" t="s">
        <v>110</v>
      </c>
      <c r="J19" s="12" t="s">
        <v>87</v>
      </c>
      <c r="K19" s="12" t="s">
        <v>88</v>
      </c>
      <c r="L19" s="12">
        <f t="shared" si="0"/>
        <v>9</v>
      </c>
      <c r="M19" s="13">
        <v>31</v>
      </c>
      <c r="N19" s="12" t="s">
        <v>46</v>
      </c>
      <c r="O19" s="12" t="s">
        <v>47</v>
      </c>
      <c r="P19" s="12">
        <v>25</v>
      </c>
      <c r="Q19" s="14">
        <v>9.5</v>
      </c>
      <c r="R19" s="12" t="s">
        <v>48</v>
      </c>
      <c r="S19" s="12" t="s">
        <v>49</v>
      </c>
      <c r="T19" s="16">
        <v>1.5</v>
      </c>
      <c r="U19" s="14">
        <v>0</v>
      </c>
      <c r="V19" s="14">
        <v>-14.25</v>
      </c>
      <c r="W19" s="12" t="s">
        <v>45</v>
      </c>
    </row>
    <row r="20" spans="1:23" x14ac:dyDescent="0.2">
      <c r="A20" s="12" t="s">
        <v>37</v>
      </c>
      <c r="B20" s="12">
        <v>18828278</v>
      </c>
      <c r="C20" s="12" t="s">
        <v>307</v>
      </c>
      <c r="D20" s="12">
        <v>1174646</v>
      </c>
      <c r="E20" s="12" t="s">
        <v>38</v>
      </c>
      <c r="F20" s="12" t="s">
        <v>39</v>
      </c>
      <c r="G20" s="12" t="s">
        <v>40</v>
      </c>
      <c r="H20" s="12" t="s">
        <v>41</v>
      </c>
      <c r="I20" s="12" t="s">
        <v>42</v>
      </c>
      <c r="J20" s="12" t="s">
        <v>43</v>
      </c>
      <c r="K20" s="12" t="s">
        <v>44</v>
      </c>
      <c r="L20" s="12">
        <f t="shared" si="0"/>
        <v>9</v>
      </c>
      <c r="M20" s="13" t="s">
        <v>45</v>
      </c>
      <c r="N20" s="12" t="s">
        <v>46</v>
      </c>
      <c r="O20" s="12" t="s">
        <v>47</v>
      </c>
      <c r="P20" s="12">
        <v>0</v>
      </c>
      <c r="Q20" s="14">
        <v>165.45</v>
      </c>
      <c r="R20" s="12" t="s">
        <v>48</v>
      </c>
      <c r="S20" s="12" t="s">
        <v>49</v>
      </c>
      <c r="T20" s="16">
        <v>0.23</v>
      </c>
      <c r="U20" s="14">
        <v>0</v>
      </c>
      <c r="V20" s="14">
        <v>-38.049999999999997</v>
      </c>
      <c r="W20" s="12" t="s">
        <v>45</v>
      </c>
    </row>
    <row r="21" spans="1:23" x14ac:dyDescent="0.2">
      <c r="A21" s="12" t="s">
        <v>37</v>
      </c>
      <c r="B21" s="12">
        <v>18828278</v>
      </c>
      <c r="C21" s="12" t="s">
        <v>307</v>
      </c>
      <c r="D21" s="12">
        <v>1174646</v>
      </c>
      <c r="E21" s="12" t="s">
        <v>50</v>
      </c>
      <c r="F21" s="12" t="s">
        <v>51</v>
      </c>
      <c r="G21" s="12" t="s">
        <v>40</v>
      </c>
      <c r="H21" s="12" t="s">
        <v>41</v>
      </c>
      <c r="I21" s="12" t="s">
        <v>42</v>
      </c>
      <c r="J21" s="12" t="s">
        <v>43</v>
      </c>
      <c r="K21" s="12" t="s">
        <v>44</v>
      </c>
      <c r="L21" s="12">
        <f t="shared" si="0"/>
        <v>9</v>
      </c>
      <c r="M21" s="13" t="s">
        <v>45</v>
      </c>
      <c r="N21" s="12" t="s">
        <v>46</v>
      </c>
      <c r="O21" s="12" t="s">
        <v>47</v>
      </c>
      <c r="P21" s="12">
        <v>0</v>
      </c>
      <c r="Q21" s="14">
        <v>166.67</v>
      </c>
      <c r="R21" s="12" t="s">
        <v>48</v>
      </c>
      <c r="S21" s="12" t="s">
        <v>49</v>
      </c>
      <c r="T21" s="16">
        <v>0.23</v>
      </c>
      <c r="U21" s="14">
        <v>0</v>
      </c>
      <c r="V21" s="14">
        <v>-38.33</v>
      </c>
      <c r="W21" s="12" t="s">
        <v>45</v>
      </c>
    </row>
    <row r="22" spans="1:23" x14ac:dyDescent="0.2">
      <c r="A22" s="12" t="s">
        <v>67</v>
      </c>
      <c r="B22" s="12">
        <v>16202925</v>
      </c>
      <c r="C22" s="12" t="s">
        <v>315</v>
      </c>
      <c r="D22" s="12">
        <v>814837</v>
      </c>
      <c r="E22" s="12" t="s">
        <v>122</v>
      </c>
      <c r="F22" s="12" t="s">
        <v>123</v>
      </c>
      <c r="G22" s="12" t="s">
        <v>124</v>
      </c>
      <c r="H22" s="12" t="s">
        <v>120</v>
      </c>
      <c r="I22" s="12" t="s">
        <v>125</v>
      </c>
      <c r="J22" s="12" t="s">
        <v>126</v>
      </c>
      <c r="K22" s="12" t="s">
        <v>127</v>
      </c>
      <c r="L22" s="12">
        <f t="shared" si="0"/>
        <v>22</v>
      </c>
      <c r="M22" s="13">
        <v>54</v>
      </c>
      <c r="N22" s="12" t="s">
        <v>46</v>
      </c>
      <c r="O22" s="12" t="s">
        <v>47</v>
      </c>
      <c r="P22" s="12">
        <v>50</v>
      </c>
      <c r="Q22" s="14">
        <v>122.6</v>
      </c>
      <c r="R22" s="12" t="s">
        <v>73</v>
      </c>
      <c r="S22" s="12" t="s">
        <v>74</v>
      </c>
      <c r="T22" s="16">
        <v>7.0000000000000007E-2</v>
      </c>
      <c r="U22" s="14">
        <v>8.58</v>
      </c>
      <c r="V22" s="14">
        <v>0</v>
      </c>
      <c r="W22" s="12" t="s">
        <v>45</v>
      </c>
    </row>
    <row r="23" spans="1:23" x14ac:dyDescent="0.2">
      <c r="A23" s="12" t="s">
        <v>67</v>
      </c>
      <c r="B23" s="12">
        <v>16202925</v>
      </c>
      <c r="C23" s="12" t="s">
        <v>315</v>
      </c>
      <c r="D23" s="12">
        <v>814837</v>
      </c>
      <c r="E23" s="12" t="s">
        <v>128</v>
      </c>
      <c r="F23" s="12" t="s">
        <v>129</v>
      </c>
      <c r="G23" s="12" t="s">
        <v>124</v>
      </c>
      <c r="H23" s="12" t="s">
        <v>120</v>
      </c>
      <c r="I23" s="12" t="s">
        <v>125</v>
      </c>
      <c r="J23" s="12" t="s">
        <v>126</v>
      </c>
      <c r="K23" s="12" t="s">
        <v>127</v>
      </c>
      <c r="L23" s="12">
        <f t="shared" si="0"/>
        <v>22</v>
      </c>
      <c r="M23" s="13">
        <v>52</v>
      </c>
      <c r="N23" s="12" t="s">
        <v>46</v>
      </c>
      <c r="O23" s="12" t="s">
        <v>47</v>
      </c>
      <c r="P23" s="12">
        <v>50</v>
      </c>
      <c r="Q23" s="14">
        <v>191.04</v>
      </c>
      <c r="R23" s="12" t="s">
        <v>73</v>
      </c>
      <c r="S23" s="12" t="s">
        <v>74</v>
      </c>
      <c r="T23" s="16">
        <v>7.0000000000000007E-2</v>
      </c>
      <c r="U23" s="14">
        <v>13.37</v>
      </c>
      <c r="V23" s="14">
        <v>0</v>
      </c>
      <c r="W23" s="12" t="s">
        <v>45</v>
      </c>
    </row>
    <row r="24" spans="1:23" x14ac:dyDescent="0.2">
      <c r="A24" s="12" t="s">
        <v>271</v>
      </c>
      <c r="B24" s="12">
        <v>8325282</v>
      </c>
      <c r="C24" s="12" t="s">
        <v>325</v>
      </c>
      <c r="D24" s="12">
        <v>513364</v>
      </c>
      <c r="E24" s="12" t="s">
        <v>294</v>
      </c>
      <c r="F24" s="12" t="s">
        <v>295</v>
      </c>
      <c r="G24" s="12" t="s">
        <v>40</v>
      </c>
      <c r="H24" s="12" t="s">
        <v>41</v>
      </c>
      <c r="I24" s="12" t="s">
        <v>274</v>
      </c>
      <c r="J24" s="12" t="s">
        <v>206</v>
      </c>
      <c r="K24" s="12" t="s">
        <v>160</v>
      </c>
      <c r="L24" s="12">
        <f t="shared" si="0"/>
        <v>10</v>
      </c>
      <c r="M24" s="13" t="s">
        <v>45</v>
      </c>
      <c r="N24" s="12" t="s">
        <v>46</v>
      </c>
      <c r="O24" s="12" t="s">
        <v>47</v>
      </c>
      <c r="P24" s="12">
        <v>0</v>
      </c>
      <c r="Q24" s="14">
        <v>34.36</v>
      </c>
      <c r="R24" s="12" t="s">
        <v>48</v>
      </c>
      <c r="S24" s="12" t="s">
        <v>49</v>
      </c>
      <c r="T24" s="16">
        <v>0.52</v>
      </c>
      <c r="U24" s="14">
        <v>17.87</v>
      </c>
      <c r="V24" s="14">
        <v>0</v>
      </c>
      <c r="W24" s="12" t="s">
        <v>45</v>
      </c>
    </row>
    <row r="25" spans="1:23" x14ac:dyDescent="0.2">
      <c r="A25" s="12" t="s">
        <v>67</v>
      </c>
      <c r="B25" s="12">
        <v>21561165</v>
      </c>
      <c r="C25" s="12" t="s">
        <v>327</v>
      </c>
      <c r="D25" s="12">
        <v>1227344</v>
      </c>
      <c r="E25" s="12" t="s">
        <v>269</v>
      </c>
      <c r="F25" s="12" t="s">
        <v>270</v>
      </c>
      <c r="G25" s="12" t="s">
        <v>124</v>
      </c>
      <c r="H25" s="12" t="s">
        <v>41</v>
      </c>
      <c r="I25" s="12" t="s">
        <v>86</v>
      </c>
      <c r="J25" s="12" t="s">
        <v>41</v>
      </c>
      <c r="K25" s="12" t="s">
        <v>160</v>
      </c>
      <c r="L25" s="12">
        <f t="shared" si="0"/>
        <v>1</v>
      </c>
      <c r="M25" s="13">
        <v>37</v>
      </c>
      <c r="N25" s="12" t="s">
        <v>46</v>
      </c>
      <c r="O25" s="12" t="s">
        <v>47</v>
      </c>
      <c r="P25" s="12">
        <v>42</v>
      </c>
      <c r="Q25" s="14">
        <v>177.21</v>
      </c>
      <c r="R25" s="12" t="s">
        <v>48</v>
      </c>
      <c r="S25" s="12" t="s">
        <v>249</v>
      </c>
      <c r="T25" s="16">
        <v>1.5</v>
      </c>
      <c r="U25" s="14">
        <v>265.86</v>
      </c>
      <c r="V25" s="14">
        <v>265.86</v>
      </c>
      <c r="W25" s="12" t="s">
        <v>45</v>
      </c>
    </row>
    <row r="26" spans="1:23" x14ac:dyDescent="0.2">
      <c r="A26" s="12" t="s">
        <v>67</v>
      </c>
      <c r="B26" s="12">
        <v>371819</v>
      </c>
      <c r="C26" s="12" t="s">
        <v>311</v>
      </c>
      <c r="D26" s="12">
        <v>257168</v>
      </c>
      <c r="E26" s="12" t="s">
        <v>236</v>
      </c>
      <c r="F26" s="12" t="s">
        <v>237</v>
      </c>
      <c r="G26" s="12" t="s">
        <v>179</v>
      </c>
      <c r="H26" s="12" t="s">
        <v>85</v>
      </c>
      <c r="I26" s="12" t="s">
        <v>100</v>
      </c>
      <c r="J26" s="12" t="s">
        <v>238</v>
      </c>
      <c r="K26" s="12" t="s">
        <v>239</v>
      </c>
      <c r="L26" s="12">
        <f t="shared" si="0"/>
        <v>1</v>
      </c>
      <c r="M26" s="13">
        <v>36</v>
      </c>
      <c r="N26" s="12" t="s">
        <v>46</v>
      </c>
      <c r="O26" s="12" t="s">
        <v>47</v>
      </c>
      <c r="P26" s="12">
        <v>250</v>
      </c>
      <c r="Q26" s="14">
        <v>510.66</v>
      </c>
      <c r="R26" s="12" t="s">
        <v>48</v>
      </c>
      <c r="S26" s="12" t="s">
        <v>235</v>
      </c>
      <c r="T26" s="16">
        <v>1.5</v>
      </c>
      <c r="U26" s="14">
        <v>765.99</v>
      </c>
      <c r="V26" s="14">
        <v>680.88</v>
      </c>
      <c r="W26" s="12" t="s">
        <v>45</v>
      </c>
    </row>
    <row r="27" spans="1:23" x14ac:dyDescent="0.2">
      <c r="A27" s="12" t="s">
        <v>67</v>
      </c>
      <c r="B27" s="12">
        <v>371819</v>
      </c>
      <c r="C27" s="12" t="s">
        <v>311</v>
      </c>
      <c r="D27" s="12">
        <v>257168</v>
      </c>
      <c r="E27" s="12" t="s">
        <v>240</v>
      </c>
      <c r="F27" s="12" t="s">
        <v>241</v>
      </c>
      <c r="G27" s="12" t="s">
        <v>84</v>
      </c>
      <c r="H27" s="12" t="s">
        <v>85</v>
      </c>
      <c r="I27" s="12" t="s">
        <v>116</v>
      </c>
      <c r="J27" s="12" t="s">
        <v>242</v>
      </c>
      <c r="K27" s="12" t="s">
        <v>44</v>
      </c>
      <c r="L27" s="12">
        <f t="shared" si="0"/>
        <v>1</v>
      </c>
      <c r="M27" s="13">
        <v>50</v>
      </c>
      <c r="N27" s="12" t="s">
        <v>46</v>
      </c>
      <c r="O27" s="12" t="s">
        <v>47</v>
      </c>
      <c r="P27" s="12">
        <v>250</v>
      </c>
      <c r="Q27" s="14">
        <v>2291.85</v>
      </c>
      <c r="R27" s="12" t="s">
        <v>48</v>
      </c>
      <c r="S27" s="12" t="s">
        <v>244</v>
      </c>
      <c r="T27" s="16">
        <v>1.35</v>
      </c>
      <c r="U27" s="14">
        <v>2000</v>
      </c>
      <c r="V27" s="14">
        <v>2000</v>
      </c>
      <c r="W27" s="12" t="s">
        <v>45</v>
      </c>
    </row>
    <row r="28" spans="1:23" x14ac:dyDescent="0.2">
      <c r="A28" s="1" t="s">
        <v>67</v>
      </c>
      <c r="B28" s="1">
        <v>8307933</v>
      </c>
      <c r="C28" s="1" t="s">
        <v>320</v>
      </c>
      <c r="D28" s="1">
        <v>893387</v>
      </c>
      <c r="E28" s="1" t="s">
        <v>229</v>
      </c>
      <c r="F28" s="1" t="s">
        <v>230</v>
      </c>
      <c r="G28" s="1" t="s">
        <v>40</v>
      </c>
      <c r="H28" s="1" t="s">
        <v>120</v>
      </c>
      <c r="I28" s="1" t="s">
        <v>100</v>
      </c>
      <c r="J28" s="1" t="s">
        <v>66</v>
      </c>
      <c r="K28" s="1" t="s">
        <v>56</v>
      </c>
      <c r="L28" s="1">
        <f t="shared" si="0"/>
        <v>1</v>
      </c>
      <c r="M28" s="10">
        <v>64</v>
      </c>
      <c r="N28" s="1" t="s">
        <v>46</v>
      </c>
      <c r="O28" s="1" t="s">
        <v>47</v>
      </c>
      <c r="P28" s="1">
        <v>100</v>
      </c>
      <c r="Q28" s="11">
        <v>0</v>
      </c>
      <c r="R28" s="1" t="s">
        <v>48</v>
      </c>
      <c r="S28" s="1" t="s">
        <v>231</v>
      </c>
      <c r="T28" s="17">
        <v>0</v>
      </c>
      <c r="U28" s="11">
        <v>-1696.82</v>
      </c>
      <c r="V28" s="11">
        <v>-1696.82</v>
      </c>
      <c r="W28" s="1" t="s">
        <v>45</v>
      </c>
    </row>
    <row r="29" spans="1:23" x14ac:dyDescent="0.2">
      <c r="A29" s="1" t="s">
        <v>67</v>
      </c>
      <c r="B29" s="1">
        <v>1706194</v>
      </c>
      <c r="C29" s="1" t="s">
        <v>310</v>
      </c>
      <c r="D29" s="1">
        <v>1099222</v>
      </c>
      <c r="E29" s="1" t="s">
        <v>263</v>
      </c>
      <c r="F29" s="1" t="s">
        <v>264</v>
      </c>
      <c r="G29" s="1" t="s">
        <v>84</v>
      </c>
      <c r="H29" s="1" t="s">
        <v>85</v>
      </c>
      <c r="I29" s="1" t="s">
        <v>110</v>
      </c>
      <c r="J29" s="1" t="s">
        <v>265</v>
      </c>
      <c r="K29" s="1" t="s">
        <v>266</v>
      </c>
      <c r="L29" s="1">
        <f t="shared" si="0"/>
        <v>2</v>
      </c>
      <c r="M29" s="10">
        <v>45</v>
      </c>
      <c r="N29" s="1" t="s">
        <v>46</v>
      </c>
      <c r="O29" s="1" t="s">
        <v>47</v>
      </c>
      <c r="P29" s="1">
        <v>250</v>
      </c>
      <c r="Q29" s="11">
        <v>0</v>
      </c>
      <c r="R29" s="1" t="s">
        <v>48</v>
      </c>
      <c r="S29" s="1" t="s">
        <v>231</v>
      </c>
      <c r="T29" s="17">
        <v>0</v>
      </c>
      <c r="U29" s="11">
        <v>-1276.42</v>
      </c>
      <c r="V29" s="11">
        <v>-1276.42</v>
      </c>
      <c r="W29" s="1" t="s">
        <v>45</v>
      </c>
    </row>
    <row r="30" spans="1:23" x14ac:dyDescent="0.2">
      <c r="A30" s="1" t="s">
        <v>67</v>
      </c>
      <c r="B30" s="1">
        <v>1706194</v>
      </c>
      <c r="C30" s="1" t="s">
        <v>310</v>
      </c>
      <c r="D30" s="1">
        <v>1099222</v>
      </c>
      <c r="E30" s="1" t="s">
        <v>267</v>
      </c>
      <c r="F30" s="1" t="s">
        <v>268</v>
      </c>
      <c r="G30" s="1" t="s">
        <v>108</v>
      </c>
      <c r="H30" s="1" t="s">
        <v>54</v>
      </c>
      <c r="I30" s="1" t="s">
        <v>100</v>
      </c>
      <c r="J30" s="1" t="s">
        <v>120</v>
      </c>
      <c r="K30" s="1" t="s">
        <v>102</v>
      </c>
      <c r="L30" s="1">
        <f t="shared" si="0"/>
        <v>1</v>
      </c>
      <c r="M30" s="10">
        <v>51</v>
      </c>
      <c r="N30" s="1" t="s">
        <v>46</v>
      </c>
      <c r="O30" s="1" t="s">
        <v>47</v>
      </c>
      <c r="P30" s="1">
        <v>250</v>
      </c>
      <c r="Q30" s="11">
        <v>179.11</v>
      </c>
      <c r="R30" s="1" t="s">
        <v>48</v>
      </c>
      <c r="S30" s="1" t="s">
        <v>235</v>
      </c>
      <c r="T30" s="17">
        <v>1.5</v>
      </c>
      <c r="U30" s="11">
        <v>0</v>
      </c>
      <c r="V30" s="11">
        <v>-268.67</v>
      </c>
      <c r="W30" s="1" t="s">
        <v>45</v>
      </c>
    </row>
    <row r="31" spans="1:23" x14ac:dyDescent="0.2">
      <c r="A31" s="1" t="s">
        <v>67</v>
      </c>
      <c r="B31" s="1">
        <v>1706194</v>
      </c>
      <c r="C31" s="1" t="s">
        <v>310</v>
      </c>
      <c r="D31" s="1">
        <v>1099222</v>
      </c>
      <c r="E31" s="1" t="s">
        <v>97</v>
      </c>
      <c r="F31" s="1" t="s">
        <v>98</v>
      </c>
      <c r="G31" s="1" t="s">
        <v>99</v>
      </c>
      <c r="H31" s="1" t="s">
        <v>41</v>
      </c>
      <c r="I31" s="1" t="s">
        <v>100</v>
      </c>
      <c r="J31" s="1" t="s">
        <v>101</v>
      </c>
      <c r="K31" s="1" t="s">
        <v>102</v>
      </c>
      <c r="L31" s="1">
        <f t="shared" si="0"/>
        <v>3</v>
      </c>
      <c r="M31" s="10">
        <v>61</v>
      </c>
      <c r="N31" s="1" t="s">
        <v>46</v>
      </c>
      <c r="O31" s="1" t="s">
        <v>47</v>
      </c>
      <c r="P31" s="1">
        <v>65</v>
      </c>
      <c r="Q31" s="11">
        <v>97.44</v>
      </c>
      <c r="R31" s="1" t="s">
        <v>48</v>
      </c>
      <c r="S31" s="1" t="s">
        <v>49</v>
      </c>
      <c r="T31" s="17">
        <v>1.5</v>
      </c>
      <c r="U31" s="11">
        <v>0</v>
      </c>
      <c r="V31" s="11">
        <v>-146.16</v>
      </c>
      <c r="W31" s="1" t="s">
        <v>45</v>
      </c>
    </row>
    <row r="32" spans="1:23" x14ac:dyDescent="0.2">
      <c r="A32" s="1" t="s">
        <v>67</v>
      </c>
      <c r="B32" s="1">
        <v>5442438</v>
      </c>
      <c r="C32" s="1" t="s">
        <v>324</v>
      </c>
      <c r="D32" s="1">
        <v>899216</v>
      </c>
      <c r="E32" s="1" t="s">
        <v>260</v>
      </c>
      <c r="F32" s="1" t="s">
        <v>261</v>
      </c>
      <c r="G32" s="1" t="s">
        <v>124</v>
      </c>
      <c r="H32" s="1" t="s">
        <v>85</v>
      </c>
      <c r="I32" s="1" t="s">
        <v>100</v>
      </c>
      <c r="J32" s="1" t="s">
        <v>262</v>
      </c>
      <c r="K32" s="1" t="s">
        <v>191</v>
      </c>
      <c r="L32" s="1">
        <f t="shared" si="0"/>
        <v>3</v>
      </c>
      <c r="M32" s="10">
        <v>61</v>
      </c>
      <c r="N32" s="1" t="s">
        <v>46</v>
      </c>
      <c r="O32" s="1" t="s">
        <v>47</v>
      </c>
      <c r="P32" s="1">
        <v>50</v>
      </c>
      <c r="Q32" s="11">
        <v>76.180000000000007</v>
      </c>
      <c r="R32" s="1" t="s">
        <v>48</v>
      </c>
      <c r="S32" s="1" t="s">
        <v>49</v>
      </c>
      <c r="T32" s="17">
        <v>1.5</v>
      </c>
      <c r="U32" s="11">
        <v>0</v>
      </c>
      <c r="V32" s="11">
        <v>-114.27</v>
      </c>
      <c r="W32" s="1" t="s">
        <v>45</v>
      </c>
    </row>
    <row r="33" spans="1:23" x14ac:dyDescent="0.2">
      <c r="A33" s="1" t="s">
        <v>271</v>
      </c>
      <c r="B33" s="1">
        <v>18598357</v>
      </c>
      <c r="C33" s="1" t="s">
        <v>326</v>
      </c>
      <c r="D33" s="1">
        <v>806149</v>
      </c>
      <c r="E33" s="1" t="s">
        <v>298</v>
      </c>
      <c r="F33" s="1" t="s">
        <v>299</v>
      </c>
      <c r="G33" s="1" t="s">
        <v>124</v>
      </c>
      <c r="H33" s="1" t="s">
        <v>120</v>
      </c>
      <c r="I33" s="1" t="s">
        <v>300</v>
      </c>
      <c r="J33" s="1" t="s">
        <v>56</v>
      </c>
      <c r="K33" s="1" t="s">
        <v>44</v>
      </c>
      <c r="L33" s="1">
        <f t="shared" si="0"/>
        <v>4</v>
      </c>
      <c r="M33" s="10" t="s">
        <v>45</v>
      </c>
      <c r="N33" s="1" t="s">
        <v>46</v>
      </c>
      <c r="O33" s="1" t="s">
        <v>47</v>
      </c>
      <c r="P33" s="1">
        <v>0</v>
      </c>
      <c r="Q33" s="11">
        <v>104.8</v>
      </c>
      <c r="R33" s="1" t="s">
        <v>48</v>
      </c>
      <c r="S33" s="1" t="s">
        <v>49</v>
      </c>
      <c r="T33" s="17">
        <v>2.5000000000000001E-2</v>
      </c>
      <c r="U33" s="11">
        <v>0</v>
      </c>
      <c r="V33" s="11">
        <v>-2.62</v>
      </c>
      <c r="W33" s="1" t="s">
        <v>45</v>
      </c>
    </row>
    <row r="34" spans="1:23" x14ac:dyDescent="0.2">
      <c r="A34" s="1" t="s">
        <v>67</v>
      </c>
      <c r="B34" s="1">
        <v>8307933</v>
      </c>
      <c r="C34" s="1" t="s">
        <v>320</v>
      </c>
      <c r="D34" s="1">
        <v>893387</v>
      </c>
      <c r="E34" s="1" t="s">
        <v>192</v>
      </c>
      <c r="F34" s="1" t="s">
        <v>193</v>
      </c>
      <c r="G34" s="1" t="s">
        <v>84</v>
      </c>
      <c r="H34" s="1" t="s">
        <v>85</v>
      </c>
      <c r="I34" s="1" t="s">
        <v>194</v>
      </c>
      <c r="J34" s="1" t="s">
        <v>195</v>
      </c>
      <c r="K34" s="1" t="s">
        <v>93</v>
      </c>
      <c r="L34" s="1">
        <f t="shared" ref="L34:L65" si="1">DATEDIF(J34,K34,"M")</f>
        <v>5</v>
      </c>
      <c r="M34" s="10">
        <v>70</v>
      </c>
      <c r="N34" s="1" t="s">
        <v>46</v>
      </c>
      <c r="O34" s="1" t="s">
        <v>47</v>
      </c>
      <c r="P34" s="1">
        <v>12</v>
      </c>
      <c r="Q34" s="11">
        <v>103.81</v>
      </c>
      <c r="R34" s="1" t="s">
        <v>48</v>
      </c>
      <c r="S34" s="1" t="s">
        <v>49</v>
      </c>
      <c r="T34" s="17">
        <v>0.875</v>
      </c>
      <c r="U34" s="11">
        <v>0</v>
      </c>
      <c r="V34" s="11">
        <v>-90.83</v>
      </c>
      <c r="W34" s="1" t="s">
        <v>45</v>
      </c>
    </row>
    <row r="35" spans="1:23" x14ac:dyDescent="0.2">
      <c r="A35" s="1" t="s">
        <v>67</v>
      </c>
      <c r="B35" s="1">
        <v>8307933</v>
      </c>
      <c r="C35" s="1" t="s">
        <v>320</v>
      </c>
      <c r="D35" s="1">
        <v>893387</v>
      </c>
      <c r="E35" s="1" t="s">
        <v>224</v>
      </c>
      <c r="F35" s="1" t="s">
        <v>225</v>
      </c>
      <c r="G35" s="1" t="s">
        <v>40</v>
      </c>
      <c r="H35" s="1" t="s">
        <v>85</v>
      </c>
      <c r="I35" s="1" t="s">
        <v>116</v>
      </c>
      <c r="J35" s="1" t="s">
        <v>226</v>
      </c>
      <c r="K35" s="1" t="s">
        <v>88</v>
      </c>
      <c r="L35" s="1">
        <f t="shared" si="1"/>
        <v>5</v>
      </c>
      <c r="M35" s="10">
        <v>65</v>
      </c>
      <c r="N35" s="1" t="s">
        <v>46</v>
      </c>
      <c r="O35" s="1" t="s">
        <v>47</v>
      </c>
      <c r="P35" s="1">
        <v>60</v>
      </c>
      <c r="Q35" s="11">
        <v>197.58</v>
      </c>
      <c r="R35" s="1" t="s">
        <v>48</v>
      </c>
      <c r="S35" s="1" t="s">
        <v>49</v>
      </c>
      <c r="T35" s="17">
        <v>0.67500000000000004</v>
      </c>
      <c r="U35" s="11">
        <v>0</v>
      </c>
      <c r="V35" s="11">
        <v>-133.37</v>
      </c>
      <c r="W35" s="1" t="s">
        <v>45</v>
      </c>
    </row>
    <row r="36" spans="1:23" x14ac:dyDescent="0.2">
      <c r="A36" s="1" t="s">
        <v>67</v>
      </c>
      <c r="B36" s="1">
        <v>8307933</v>
      </c>
      <c r="C36" s="1" t="s">
        <v>320</v>
      </c>
      <c r="D36" s="1">
        <v>893387</v>
      </c>
      <c r="E36" s="1" t="s">
        <v>217</v>
      </c>
      <c r="F36" s="1" t="s">
        <v>218</v>
      </c>
      <c r="G36" s="1" t="s">
        <v>91</v>
      </c>
      <c r="H36" s="1" t="s">
        <v>85</v>
      </c>
      <c r="I36" s="1" t="s">
        <v>100</v>
      </c>
      <c r="J36" s="1" t="s">
        <v>219</v>
      </c>
      <c r="K36" s="1" t="s">
        <v>220</v>
      </c>
      <c r="L36" s="1">
        <f t="shared" si="1"/>
        <v>6</v>
      </c>
      <c r="M36" s="10">
        <v>32</v>
      </c>
      <c r="N36" s="1" t="s">
        <v>46</v>
      </c>
      <c r="O36" s="1" t="s">
        <v>47</v>
      </c>
      <c r="P36" s="1">
        <v>200</v>
      </c>
      <c r="Q36" s="11">
        <v>67.64</v>
      </c>
      <c r="R36" s="1" t="s">
        <v>48</v>
      </c>
      <c r="S36" s="1" t="s">
        <v>49</v>
      </c>
      <c r="T36" s="17">
        <v>1.5</v>
      </c>
      <c r="U36" s="11">
        <v>0</v>
      </c>
      <c r="V36" s="11">
        <v>-101.46</v>
      </c>
      <c r="W36" s="1" t="s">
        <v>45</v>
      </c>
    </row>
    <row r="37" spans="1:23" x14ac:dyDescent="0.2">
      <c r="A37" s="1" t="s">
        <v>67</v>
      </c>
      <c r="B37" s="1">
        <v>8307933</v>
      </c>
      <c r="C37" s="1" t="s">
        <v>320</v>
      </c>
      <c r="D37" s="1">
        <v>893387</v>
      </c>
      <c r="E37" s="1" t="s">
        <v>227</v>
      </c>
      <c r="F37" s="1" t="s">
        <v>228</v>
      </c>
      <c r="G37" s="1" t="s">
        <v>91</v>
      </c>
      <c r="H37" s="1" t="s">
        <v>85</v>
      </c>
      <c r="I37" s="1" t="s">
        <v>100</v>
      </c>
      <c r="J37" s="1" t="s">
        <v>219</v>
      </c>
      <c r="K37" s="1" t="s">
        <v>220</v>
      </c>
      <c r="L37" s="1">
        <f t="shared" si="1"/>
        <v>6</v>
      </c>
      <c r="M37" s="10">
        <v>26</v>
      </c>
      <c r="N37" s="1" t="s">
        <v>46</v>
      </c>
      <c r="O37" s="1" t="s">
        <v>47</v>
      </c>
      <c r="P37" s="1">
        <v>200</v>
      </c>
      <c r="Q37" s="11">
        <v>31.51</v>
      </c>
      <c r="R37" s="1" t="s">
        <v>48</v>
      </c>
      <c r="S37" s="1" t="s">
        <v>49</v>
      </c>
      <c r="T37" s="17">
        <v>1.5</v>
      </c>
      <c r="U37" s="11">
        <v>0</v>
      </c>
      <c r="V37" s="11">
        <v>-47.27</v>
      </c>
      <c r="W37" s="1" t="s">
        <v>45</v>
      </c>
    </row>
    <row r="38" spans="1:23" x14ac:dyDescent="0.2">
      <c r="A38" s="1" t="s">
        <v>67</v>
      </c>
      <c r="B38" s="1">
        <v>8307933</v>
      </c>
      <c r="C38" s="1" t="s">
        <v>320</v>
      </c>
      <c r="D38" s="1">
        <v>893387</v>
      </c>
      <c r="E38" s="1" t="s">
        <v>185</v>
      </c>
      <c r="F38" s="1" t="s">
        <v>186</v>
      </c>
      <c r="G38" s="1" t="s">
        <v>40</v>
      </c>
      <c r="H38" s="1" t="s">
        <v>120</v>
      </c>
      <c r="I38" s="1" t="s">
        <v>100</v>
      </c>
      <c r="J38" s="1" t="s">
        <v>187</v>
      </c>
      <c r="K38" s="1" t="s">
        <v>127</v>
      </c>
      <c r="L38" s="1">
        <f t="shared" si="1"/>
        <v>7</v>
      </c>
      <c r="M38" s="10">
        <v>32</v>
      </c>
      <c r="N38" s="1" t="s">
        <v>46</v>
      </c>
      <c r="O38" s="1" t="s">
        <v>47</v>
      </c>
      <c r="P38" s="1">
        <v>300</v>
      </c>
      <c r="Q38" s="11">
        <v>55.8</v>
      </c>
      <c r="R38" s="1" t="s">
        <v>48</v>
      </c>
      <c r="S38" s="1" t="s">
        <v>49</v>
      </c>
      <c r="T38" s="17">
        <v>1.5</v>
      </c>
      <c r="U38" s="11">
        <v>0</v>
      </c>
      <c r="V38" s="11">
        <v>-83.7</v>
      </c>
      <c r="W38" s="1" t="s">
        <v>45</v>
      </c>
    </row>
    <row r="39" spans="1:23" x14ac:dyDescent="0.2">
      <c r="A39" s="1" t="s">
        <v>67</v>
      </c>
      <c r="B39" s="1">
        <v>8307933</v>
      </c>
      <c r="C39" s="1" t="s">
        <v>320</v>
      </c>
      <c r="D39" s="1">
        <v>893387</v>
      </c>
      <c r="E39" s="1" t="s">
        <v>188</v>
      </c>
      <c r="F39" s="1" t="s">
        <v>189</v>
      </c>
      <c r="G39" s="1" t="s">
        <v>40</v>
      </c>
      <c r="H39" s="1" t="s">
        <v>85</v>
      </c>
      <c r="I39" s="1" t="s">
        <v>100</v>
      </c>
      <c r="J39" s="1" t="s">
        <v>190</v>
      </c>
      <c r="K39" s="1" t="s">
        <v>191</v>
      </c>
      <c r="L39" s="1">
        <f t="shared" si="1"/>
        <v>7</v>
      </c>
      <c r="M39" s="10">
        <v>35</v>
      </c>
      <c r="N39" s="1" t="s">
        <v>46</v>
      </c>
      <c r="O39" s="1" t="s">
        <v>47</v>
      </c>
      <c r="P39" s="1">
        <v>300</v>
      </c>
      <c r="Q39" s="11">
        <v>63.28</v>
      </c>
      <c r="R39" s="1" t="s">
        <v>48</v>
      </c>
      <c r="S39" s="1" t="s">
        <v>49</v>
      </c>
      <c r="T39" s="17">
        <v>1.5</v>
      </c>
      <c r="U39" s="11">
        <v>0</v>
      </c>
      <c r="V39" s="11">
        <v>-94.92</v>
      </c>
      <c r="W39" s="1" t="s">
        <v>45</v>
      </c>
    </row>
    <row r="40" spans="1:23" x14ac:dyDescent="0.2">
      <c r="A40" s="1" t="s">
        <v>67</v>
      </c>
      <c r="B40" s="1">
        <v>8307933</v>
      </c>
      <c r="C40" s="1" t="s">
        <v>320</v>
      </c>
      <c r="D40" s="1">
        <v>893387</v>
      </c>
      <c r="E40" s="1" t="s">
        <v>221</v>
      </c>
      <c r="F40" s="1" t="s">
        <v>222</v>
      </c>
      <c r="G40" s="1" t="s">
        <v>70</v>
      </c>
      <c r="H40" s="1" t="s">
        <v>85</v>
      </c>
      <c r="I40" s="1" t="s">
        <v>100</v>
      </c>
      <c r="J40" s="1" t="s">
        <v>223</v>
      </c>
      <c r="K40" s="1" t="s">
        <v>93</v>
      </c>
      <c r="L40" s="1">
        <f t="shared" si="1"/>
        <v>7</v>
      </c>
      <c r="M40" s="10">
        <v>60</v>
      </c>
      <c r="N40" s="1" t="s">
        <v>46</v>
      </c>
      <c r="O40" s="1" t="s">
        <v>47</v>
      </c>
      <c r="P40" s="1">
        <v>75</v>
      </c>
      <c r="Q40" s="11">
        <v>105.13</v>
      </c>
      <c r="R40" s="1" t="s">
        <v>48</v>
      </c>
      <c r="S40" s="1" t="s">
        <v>49</v>
      </c>
      <c r="T40" s="17">
        <v>1.5</v>
      </c>
      <c r="U40" s="11">
        <v>0</v>
      </c>
      <c r="V40" s="11">
        <v>-157.69999999999999</v>
      </c>
      <c r="W40" s="1" t="s">
        <v>45</v>
      </c>
    </row>
    <row r="41" spans="1:23" x14ac:dyDescent="0.2">
      <c r="A41" s="1" t="s">
        <v>67</v>
      </c>
      <c r="B41" s="1">
        <v>1706194</v>
      </c>
      <c r="C41" s="1" t="s">
        <v>310</v>
      </c>
      <c r="D41" s="1">
        <v>1099222</v>
      </c>
      <c r="E41" s="1" t="s">
        <v>94</v>
      </c>
      <c r="F41" s="1" t="s">
        <v>95</v>
      </c>
      <c r="G41" s="1" t="s">
        <v>84</v>
      </c>
      <c r="H41" s="1" t="s">
        <v>85</v>
      </c>
      <c r="I41" s="1" t="s">
        <v>86</v>
      </c>
      <c r="J41" s="1" t="s">
        <v>96</v>
      </c>
      <c r="K41" s="1" t="s">
        <v>88</v>
      </c>
      <c r="L41" s="1">
        <f t="shared" si="1"/>
        <v>7</v>
      </c>
      <c r="M41" s="10">
        <v>38</v>
      </c>
      <c r="N41" s="1" t="s">
        <v>46</v>
      </c>
      <c r="O41" s="1" t="s">
        <v>47</v>
      </c>
      <c r="P41" s="1">
        <v>300</v>
      </c>
      <c r="Q41" s="11">
        <v>109.47</v>
      </c>
      <c r="R41" s="1" t="s">
        <v>48</v>
      </c>
      <c r="S41" s="1" t="s">
        <v>49</v>
      </c>
      <c r="T41" s="17">
        <v>1.5</v>
      </c>
      <c r="U41" s="11">
        <v>0</v>
      </c>
      <c r="V41" s="11">
        <v>-164.21</v>
      </c>
      <c r="W41" s="1" t="s">
        <v>45</v>
      </c>
    </row>
    <row r="42" spans="1:23" s="12" customFormat="1" x14ac:dyDescent="0.2">
      <c r="A42" s="1" t="s">
        <v>77</v>
      </c>
      <c r="B42" s="1">
        <v>17425766</v>
      </c>
      <c r="C42" s="1" t="s">
        <v>309</v>
      </c>
      <c r="D42" s="1">
        <v>815390</v>
      </c>
      <c r="E42" s="1" t="s">
        <v>78</v>
      </c>
      <c r="F42" s="1" t="s">
        <v>79</v>
      </c>
      <c r="G42" s="1" t="s">
        <v>80</v>
      </c>
      <c r="H42" s="1" t="s">
        <v>41</v>
      </c>
      <c r="I42" s="1" t="s">
        <v>81</v>
      </c>
      <c r="J42" s="1" t="s">
        <v>61</v>
      </c>
      <c r="K42" s="1" t="s">
        <v>44</v>
      </c>
      <c r="L42" s="1">
        <f t="shared" si="1"/>
        <v>8</v>
      </c>
      <c r="M42" s="10" t="s">
        <v>45</v>
      </c>
      <c r="N42" s="1" t="s">
        <v>46</v>
      </c>
      <c r="O42" s="1" t="s">
        <v>47</v>
      </c>
      <c r="P42" s="1">
        <v>0</v>
      </c>
      <c r="Q42" s="11">
        <v>240.03</v>
      </c>
      <c r="R42" s="1" t="s">
        <v>48</v>
      </c>
      <c r="S42" s="1" t="s">
        <v>49</v>
      </c>
      <c r="T42" s="17">
        <v>0.23</v>
      </c>
      <c r="U42" s="11">
        <v>0</v>
      </c>
      <c r="V42" s="11">
        <v>-55.21</v>
      </c>
      <c r="W42" s="1" t="s">
        <v>45</v>
      </c>
    </row>
    <row r="43" spans="1:23" s="12" customFormat="1" x14ac:dyDescent="0.2">
      <c r="A43" s="1" t="s">
        <v>67</v>
      </c>
      <c r="B43" s="1">
        <v>9079571</v>
      </c>
      <c r="C43" s="1" t="s">
        <v>316</v>
      </c>
      <c r="D43" s="1">
        <v>816910</v>
      </c>
      <c r="E43" s="1" t="s">
        <v>130</v>
      </c>
      <c r="F43" s="1" t="s">
        <v>131</v>
      </c>
      <c r="G43" s="1" t="s">
        <v>124</v>
      </c>
      <c r="H43" s="1" t="s">
        <v>120</v>
      </c>
      <c r="I43" s="1" t="s">
        <v>110</v>
      </c>
      <c r="J43" s="1" t="s">
        <v>43</v>
      </c>
      <c r="K43" s="1" t="s">
        <v>44</v>
      </c>
      <c r="L43" s="1">
        <f t="shared" si="1"/>
        <v>9</v>
      </c>
      <c r="M43" s="10">
        <v>60</v>
      </c>
      <c r="N43" s="1" t="s">
        <v>46</v>
      </c>
      <c r="O43" s="1" t="s">
        <v>47</v>
      </c>
      <c r="P43" s="1">
        <v>40</v>
      </c>
      <c r="Q43" s="11">
        <v>82.81</v>
      </c>
      <c r="R43" s="1" t="s">
        <v>48</v>
      </c>
      <c r="S43" s="1" t="s">
        <v>49</v>
      </c>
      <c r="T43" s="17">
        <v>1.5</v>
      </c>
      <c r="U43" s="11">
        <v>0</v>
      </c>
      <c r="V43" s="11">
        <v>-124.22</v>
      </c>
      <c r="W43" s="1" t="s">
        <v>45</v>
      </c>
    </row>
    <row r="44" spans="1:23" x14ac:dyDescent="0.2">
      <c r="A44" s="1" t="s">
        <v>67</v>
      </c>
      <c r="B44" s="1">
        <v>9213293</v>
      </c>
      <c r="C44" s="1" t="s">
        <v>317</v>
      </c>
      <c r="D44" s="1">
        <v>819525</v>
      </c>
      <c r="E44" s="1" t="s">
        <v>132</v>
      </c>
      <c r="F44" s="1" t="s">
        <v>133</v>
      </c>
      <c r="G44" s="1" t="s">
        <v>40</v>
      </c>
      <c r="H44" s="1" t="s">
        <v>41</v>
      </c>
      <c r="I44" s="1" t="s">
        <v>125</v>
      </c>
      <c r="J44" s="1" t="s">
        <v>43</v>
      </c>
      <c r="K44" s="1" t="s">
        <v>44</v>
      </c>
      <c r="L44" s="1">
        <f t="shared" si="1"/>
        <v>9</v>
      </c>
      <c r="M44" s="10">
        <v>76</v>
      </c>
      <c r="N44" s="1" t="s">
        <v>46</v>
      </c>
      <c r="O44" s="1" t="s">
        <v>47</v>
      </c>
      <c r="P44" s="1">
        <v>15</v>
      </c>
      <c r="Q44" s="11">
        <v>115.77</v>
      </c>
      <c r="R44" s="1" t="s">
        <v>48</v>
      </c>
      <c r="S44" s="1" t="s">
        <v>49</v>
      </c>
      <c r="T44" s="17">
        <v>1.35</v>
      </c>
      <c r="U44" s="11">
        <v>0</v>
      </c>
      <c r="V44" s="11">
        <v>-156.29</v>
      </c>
      <c r="W44" s="1" t="s">
        <v>45</v>
      </c>
    </row>
    <row r="45" spans="1:23" x14ac:dyDescent="0.2">
      <c r="A45" s="1" t="s">
        <v>67</v>
      </c>
      <c r="B45" s="1">
        <v>8307933</v>
      </c>
      <c r="C45" s="1" t="s">
        <v>320</v>
      </c>
      <c r="D45" s="1">
        <v>893387</v>
      </c>
      <c r="E45" s="1" t="s">
        <v>177</v>
      </c>
      <c r="F45" s="1" t="s">
        <v>178</v>
      </c>
      <c r="G45" s="1" t="s">
        <v>179</v>
      </c>
      <c r="H45" s="1" t="s">
        <v>109</v>
      </c>
      <c r="I45" s="1" t="s">
        <v>100</v>
      </c>
      <c r="J45" s="1" t="s">
        <v>180</v>
      </c>
      <c r="K45" s="1" t="s">
        <v>160</v>
      </c>
      <c r="L45" s="1">
        <f t="shared" si="1"/>
        <v>9</v>
      </c>
      <c r="M45" s="10">
        <v>50</v>
      </c>
      <c r="N45" s="1" t="s">
        <v>46</v>
      </c>
      <c r="O45" s="1" t="s">
        <v>47</v>
      </c>
      <c r="P45" s="1">
        <v>75</v>
      </c>
      <c r="Q45" s="11">
        <v>52.93</v>
      </c>
      <c r="R45" s="1" t="s">
        <v>48</v>
      </c>
      <c r="S45" s="1" t="s">
        <v>49</v>
      </c>
      <c r="T45" s="17">
        <v>1.5</v>
      </c>
      <c r="U45" s="11">
        <v>0</v>
      </c>
      <c r="V45" s="11">
        <v>-79.400000000000006</v>
      </c>
      <c r="W45" s="1" t="s">
        <v>45</v>
      </c>
    </row>
    <row r="46" spans="1:23" x14ac:dyDescent="0.2">
      <c r="A46" s="1" t="s">
        <v>67</v>
      </c>
      <c r="B46" s="1">
        <v>8307933</v>
      </c>
      <c r="C46" s="1" t="s">
        <v>320</v>
      </c>
      <c r="D46" s="1">
        <v>893387</v>
      </c>
      <c r="E46" s="1" t="s">
        <v>181</v>
      </c>
      <c r="F46" s="1" t="s">
        <v>182</v>
      </c>
      <c r="G46" s="1" t="s">
        <v>115</v>
      </c>
      <c r="H46" s="1" t="s">
        <v>85</v>
      </c>
      <c r="I46" s="1" t="s">
        <v>100</v>
      </c>
      <c r="J46" s="1" t="s">
        <v>183</v>
      </c>
      <c r="K46" s="1" t="s">
        <v>184</v>
      </c>
      <c r="L46" s="1">
        <f t="shared" si="1"/>
        <v>9</v>
      </c>
      <c r="M46" s="10">
        <v>56</v>
      </c>
      <c r="N46" s="1" t="s">
        <v>46</v>
      </c>
      <c r="O46" s="1" t="s">
        <v>47</v>
      </c>
      <c r="P46" s="1">
        <v>50</v>
      </c>
      <c r="Q46" s="11">
        <v>101.24</v>
      </c>
      <c r="R46" s="1" t="s">
        <v>48</v>
      </c>
      <c r="S46" s="1" t="s">
        <v>49</v>
      </c>
      <c r="T46" s="17">
        <v>1.5</v>
      </c>
      <c r="U46" s="11">
        <v>0</v>
      </c>
      <c r="V46" s="11">
        <v>-151.86000000000001</v>
      </c>
      <c r="W46" s="1" t="s">
        <v>45</v>
      </c>
    </row>
    <row r="47" spans="1:23" x14ac:dyDescent="0.2">
      <c r="A47" s="1" t="s">
        <v>67</v>
      </c>
      <c r="B47" s="1">
        <v>1706194</v>
      </c>
      <c r="C47" s="1" t="s">
        <v>310</v>
      </c>
      <c r="D47" s="1">
        <v>1099222</v>
      </c>
      <c r="E47" s="1" t="s">
        <v>89</v>
      </c>
      <c r="F47" s="1" t="s">
        <v>90</v>
      </c>
      <c r="G47" s="1" t="s">
        <v>91</v>
      </c>
      <c r="H47" s="1" t="s">
        <v>85</v>
      </c>
      <c r="I47" s="1" t="s">
        <v>86</v>
      </c>
      <c r="J47" s="1" t="s">
        <v>92</v>
      </c>
      <c r="K47" s="1" t="s">
        <v>93</v>
      </c>
      <c r="L47" s="1">
        <f t="shared" si="1"/>
        <v>9</v>
      </c>
      <c r="M47" s="10">
        <v>30</v>
      </c>
      <c r="N47" s="1" t="s">
        <v>46</v>
      </c>
      <c r="O47" s="1" t="s">
        <v>47</v>
      </c>
      <c r="P47" s="1">
        <v>300</v>
      </c>
      <c r="Q47" s="11">
        <v>96.48</v>
      </c>
      <c r="R47" s="1" t="s">
        <v>48</v>
      </c>
      <c r="S47" s="1" t="s">
        <v>49</v>
      </c>
      <c r="T47" s="17">
        <v>1.5</v>
      </c>
      <c r="U47" s="11">
        <v>0</v>
      </c>
      <c r="V47" s="11">
        <v>-144.72</v>
      </c>
      <c r="W47" s="1" t="s">
        <v>45</v>
      </c>
    </row>
    <row r="48" spans="1:23" x14ac:dyDescent="0.2">
      <c r="A48" s="1" t="s">
        <v>67</v>
      </c>
      <c r="B48" s="1">
        <v>15278437</v>
      </c>
      <c r="C48" s="1" t="s">
        <v>323</v>
      </c>
      <c r="D48" s="1">
        <v>648177</v>
      </c>
      <c r="E48" s="1" t="s">
        <v>255</v>
      </c>
      <c r="F48" s="1" t="s">
        <v>256</v>
      </c>
      <c r="G48" s="1" t="s">
        <v>70</v>
      </c>
      <c r="H48" s="1" t="s">
        <v>120</v>
      </c>
      <c r="I48" s="1" t="s">
        <v>125</v>
      </c>
      <c r="J48" s="1" t="s">
        <v>257</v>
      </c>
      <c r="K48" s="1" t="s">
        <v>184</v>
      </c>
      <c r="L48" s="1">
        <f t="shared" si="1"/>
        <v>26</v>
      </c>
      <c r="M48" s="10">
        <v>65</v>
      </c>
      <c r="N48" s="1" t="s">
        <v>46</v>
      </c>
      <c r="O48" s="1" t="s">
        <v>47</v>
      </c>
      <c r="P48" s="1">
        <v>20</v>
      </c>
      <c r="Q48" s="11">
        <v>109.75</v>
      </c>
      <c r="R48" s="1" t="s">
        <v>73</v>
      </c>
      <c r="S48" s="1" t="s">
        <v>74</v>
      </c>
      <c r="T48" s="17">
        <v>7.0000000000000007E-2</v>
      </c>
      <c r="U48" s="11">
        <v>7.68</v>
      </c>
      <c r="V48" s="11">
        <v>0</v>
      </c>
      <c r="W48" s="1" t="s">
        <v>45</v>
      </c>
    </row>
    <row r="49" spans="1:23" x14ac:dyDescent="0.2">
      <c r="A49" s="1" t="s">
        <v>271</v>
      </c>
      <c r="B49" s="1">
        <v>20003537</v>
      </c>
      <c r="C49" s="1" t="s">
        <v>328</v>
      </c>
      <c r="D49" s="1">
        <v>986021</v>
      </c>
      <c r="E49" s="1" t="s">
        <v>272</v>
      </c>
      <c r="F49" s="1" t="s">
        <v>273</v>
      </c>
      <c r="G49" s="1" t="s">
        <v>40</v>
      </c>
      <c r="H49" s="1" t="s">
        <v>54</v>
      </c>
      <c r="I49" s="1" t="s">
        <v>274</v>
      </c>
      <c r="J49" s="1" t="s">
        <v>44</v>
      </c>
      <c r="K49" s="1" t="s">
        <v>57</v>
      </c>
      <c r="L49" s="1">
        <f t="shared" si="1"/>
        <v>1</v>
      </c>
      <c r="M49" s="10" t="s">
        <v>45</v>
      </c>
      <c r="N49" s="1" t="s">
        <v>46</v>
      </c>
      <c r="O49" s="1" t="s">
        <v>47</v>
      </c>
      <c r="P49" s="1">
        <v>0</v>
      </c>
      <c r="Q49" s="11">
        <v>44.36</v>
      </c>
      <c r="R49" s="1" t="s">
        <v>48</v>
      </c>
      <c r="S49" s="1" t="s">
        <v>249</v>
      </c>
      <c r="T49" s="17">
        <v>0.52</v>
      </c>
      <c r="U49" s="11">
        <v>23.07</v>
      </c>
      <c r="V49" s="11">
        <v>0</v>
      </c>
      <c r="W49" s="1" t="s">
        <v>45</v>
      </c>
    </row>
    <row r="50" spans="1:23" x14ac:dyDescent="0.2">
      <c r="A50" s="1" t="s">
        <v>67</v>
      </c>
      <c r="B50" s="1">
        <v>19278370</v>
      </c>
      <c r="C50" s="1" t="s">
        <v>308</v>
      </c>
      <c r="D50" s="1">
        <v>957310</v>
      </c>
      <c r="E50" s="1" t="s">
        <v>68</v>
      </c>
      <c r="F50" s="1" t="s">
        <v>69</v>
      </c>
      <c r="G50" s="1" t="s">
        <v>70</v>
      </c>
      <c r="H50" s="1" t="s">
        <v>54</v>
      </c>
      <c r="I50" s="1" t="s">
        <v>71</v>
      </c>
      <c r="J50" s="1" t="s">
        <v>72</v>
      </c>
      <c r="K50" s="1" t="s">
        <v>44</v>
      </c>
      <c r="L50" s="1">
        <f t="shared" si="1"/>
        <v>20</v>
      </c>
      <c r="M50" s="10" t="s">
        <v>45</v>
      </c>
      <c r="N50" s="1" t="s">
        <v>46</v>
      </c>
      <c r="O50" s="1" t="s">
        <v>47</v>
      </c>
      <c r="P50" s="1">
        <v>0</v>
      </c>
      <c r="Q50" s="11">
        <v>137.74</v>
      </c>
      <c r="R50" s="1" t="s">
        <v>73</v>
      </c>
      <c r="S50" s="1" t="s">
        <v>74</v>
      </c>
      <c r="T50" s="17">
        <v>0.215</v>
      </c>
      <c r="U50" s="11">
        <v>29.61</v>
      </c>
      <c r="V50" s="11">
        <v>0</v>
      </c>
      <c r="W50" s="1" t="s">
        <v>45</v>
      </c>
    </row>
    <row r="51" spans="1:23" x14ac:dyDescent="0.2">
      <c r="A51" s="1" t="s">
        <v>271</v>
      </c>
      <c r="B51" s="1">
        <v>9079571</v>
      </c>
      <c r="C51" s="1" t="s">
        <v>316</v>
      </c>
      <c r="D51" s="1">
        <v>816910</v>
      </c>
      <c r="E51" s="1" t="s">
        <v>286</v>
      </c>
      <c r="F51" s="1" t="s">
        <v>287</v>
      </c>
      <c r="G51" s="1" t="s">
        <v>124</v>
      </c>
      <c r="H51" s="1" t="s">
        <v>54</v>
      </c>
      <c r="I51" s="1" t="s">
        <v>281</v>
      </c>
      <c r="J51" s="1" t="s">
        <v>288</v>
      </c>
      <c r="K51" s="1" t="s">
        <v>44</v>
      </c>
      <c r="L51" s="1">
        <f t="shared" si="1"/>
        <v>15</v>
      </c>
      <c r="M51" s="10" t="s">
        <v>45</v>
      </c>
      <c r="N51" s="1" t="s">
        <v>46</v>
      </c>
      <c r="O51" s="1" t="s">
        <v>47</v>
      </c>
      <c r="P51" s="1">
        <v>0</v>
      </c>
      <c r="Q51" s="11">
        <v>132.11000000000001</v>
      </c>
      <c r="R51" s="1" t="s">
        <v>73</v>
      </c>
      <c r="S51" s="1" t="s">
        <v>74</v>
      </c>
      <c r="T51" s="17">
        <v>0.23</v>
      </c>
      <c r="U51" s="11">
        <v>30.39</v>
      </c>
      <c r="V51" s="11">
        <v>0</v>
      </c>
      <c r="W51" s="1" t="s">
        <v>45</v>
      </c>
    </row>
    <row r="52" spans="1:23" x14ac:dyDescent="0.2">
      <c r="A52" s="1" t="s">
        <v>271</v>
      </c>
      <c r="B52" s="1">
        <v>9079571</v>
      </c>
      <c r="C52" s="1" t="s">
        <v>316</v>
      </c>
      <c r="D52" s="1">
        <v>816910</v>
      </c>
      <c r="E52" s="1" t="s">
        <v>283</v>
      </c>
      <c r="F52" s="1" t="s">
        <v>284</v>
      </c>
      <c r="G52" s="1" t="s">
        <v>124</v>
      </c>
      <c r="H52" s="1" t="s">
        <v>54</v>
      </c>
      <c r="I52" s="1" t="s">
        <v>281</v>
      </c>
      <c r="J52" s="1" t="s">
        <v>285</v>
      </c>
      <c r="K52" s="1" t="s">
        <v>44</v>
      </c>
      <c r="L52" s="1">
        <f t="shared" si="1"/>
        <v>18</v>
      </c>
      <c r="M52" s="10" t="s">
        <v>45</v>
      </c>
      <c r="N52" s="1" t="s">
        <v>46</v>
      </c>
      <c r="O52" s="1" t="s">
        <v>47</v>
      </c>
      <c r="P52" s="1">
        <v>0</v>
      </c>
      <c r="Q52" s="11">
        <v>151.93</v>
      </c>
      <c r="R52" s="1" t="s">
        <v>73</v>
      </c>
      <c r="S52" s="1" t="s">
        <v>74</v>
      </c>
      <c r="T52" s="17">
        <v>0.23</v>
      </c>
      <c r="U52" s="11">
        <v>34.94</v>
      </c>
      <c r="V52" s="11">
        <v>0</v>
      </c>
      <c r="W52" s="1" t="s">
        <v>45</v>
      </c>
    </row>
    <row r="53" spans="1:23" x14ac:dyDescent="0.2">
      <c r="A53" s="1" t="s">
        <v>271</v>
      </c>
      <c r="B53" s="1">
        <v>16228684</v>
      </c>
      <c r="C53" s="1" t="s">
        <v>322</v>
      </c>
      <c r="D53" s="1">
        <v>893214</v>
      </c>
      <c r="E53" s="1" t="s">
        <v>275</v>
      </c>
      <c r="F53" s="1" t="s">
        <v>276</v>
      </c>
      <c r="G53" s="1" t="s">
        <v>40</v>
      </c>
      <c r="H53" s="1" t="s">
        <v>120</v>
      </c>
      <c r="I53" s="1" t="s">
        <v>277</v>
      </c>
      <c r="J53" s="1" t="s">
        <v>278</v>
      </c>
      <c r="K53" s="1" t="s">
        <v>153</v>
      </c>
      <c r="L53" s="1">
        <f t="shared" si="1"/>
        <v>1</v>
      </c>
      <c r="M53" s="10" t="s">
        <v>45</v>
      </c>
      <c r="N53" s="1" t="s">
        <v>46</v>
      </c>
      <c r="O53" s="1" t="s">
        <v>47</v>
      </c>
      <c r="P53" s="1">
        <v>0</v>
      </c>
      <c r="Q53" s="11">
        <v>72.33</v>
      </c>
      <c r="R53" s="1" t="s">
        <v>48</v>
      </c>
      <c r="S53" s="1" t="s">
        <v>249</v>
      </c>
      <c r="T53" s="17">
        <v>0.52</v>
      </c>
      <c r="U53" s="11">
        <v>37.61</v>
      </c>
      <c r="V53" s="11">
        <v>0</v>
      </c>
      <c r="W53" s="1" t="s">
        <v>45</v>
      </c>
    </row>
    <row r="54" spans="1:23" x14ac:dyDescent="0.2">
      <c r="A54" s="1" t="s">
        <v>271</v>
      </c>
      <c r="B54" s="1">
        <v>9079571</v>
      </c>
      <c r="C54" s="1" t="s">
        <v>316</v>
      </c>
      <c r="D54" s="1">
        <v>816910</v>
      </c>
      <c r="E54" s="1" t="s">
        <v>279</v>
      </c>
      <c r="F54" s="1" t="s">
        <v>280</v>
      </c>
      <c r="G54" s="1" t="s">
        <v>124</v>
      </c>
      <c r="H54" s="1" t="s">
        <v>54</v>
      </c>
      <c r="I54" s="1" t="s">
        <v>281</v>
      </c>
      <c r="J54" s="1" t="s">
        <v>282</v>
      </c>
      <c r="K54" s="1" t="s">
        <v>44</v>
      </c>
      <c r="L54" s="1">
        <f t="shared" si="1"/>
        <v>23</v>
      </c>
      <c r="M54" s="10" t="s">
        <v>45</v>
      </c>
      <c r="N54" s="1" t="s">
        <v>46</v>
      </c>
      <c r="O54" s="1" t="s">
        <v>47</v>
      </c>
      <c r="P54" s="1">
        <v>0</v>
      </c>
      <c r="Q54" s="11">
        <v>172.65</v>
      </c>
      <c r="R54" s="1" t="s">
        <v>73</v>
      </c>
      <c r="S54" s="1" t="s">
        <v>74</v>
      </c>
      <c r="T54" s="17">
        <v>0.23</v>
      </c>
      <c r="U54" s="11">
        <v>39.71</v>
      </c>
      <c r="V54" s="11">
        <v>0</v>
      </c>
      <c r="W54" s="1" t="s">
        <v>45</v>
      </c>
    </row>
    <row r="55" spans="1:23" x14ac:dyDescent="0.2">
      <c r="A55" s="1" t="s">
        <v>67</v>
      </c>
      <c r="B55" s="1">
        <v>19278370</v>
      </c>
      <c r="C55" s="1" t="s">
        <v>308</v>
      </c>
      <c r="D55" s="1">
        <v>957310</v>
      </c>
      <c r="E55" s="1" t="s">
        <v>75</v>
      </c>
      <c r="F55" s="1" t="s">
        <v>76</v>
      </c>
      <c r="G55" s="1" t="s">
        <v>70</v>
      </c>
      <c r="H55" s="1" t="s">
        <v>54</v>
      </c>
      <c r="I55" s="1" t="s">
        <v>71</v>
      </c>
      <c r="J55" s="1" t="s">
        <v>72</v>
      </c>
      <c r="K55" s="1" t="s">
        <v>44</v>
      </c>
      <c r="L55" s="1">
        <f t="shared" si="1"/>
        <v>20</v>
      </c>
      <c r="M55" s="10" t="s">
        <v>45</v>
      </c>
      <c r="N55" s="1" t="s">
        <v>46</v>
      </c>
      <c r="O55" s="1" t="s">
        <v>47</v>
      </c>
      <c r="P55" s="1">
        <v>0</v>
      </c>
      <c r="Q55" s="11">
        <v>229.97</v>
      </c>
      <c r="R55" s="1" t="s">
        <v>73</v>
      </c>
      <c r="S55" s="1" t="s">
        <v>74</v>
      </c>
      <c r="T55" s="17">
        <v>0.215</v>
      </c>
      <c r="U55" s="11">
        <v>49.44</v>
      </c>
      <c r="V55" s="11">
        <v>0</v>
      </c>
      <c r="W55" s="1" t="s">
        <v>45</v>
      </c>
    </row>
    <row r="56" spans="1:23" x14ac:dyDescent="0.2">
      <c r="A56" s="1" t="s">
        <v>67</v>
      </c>
      <c r="B56" s="1">
        <v>8307933</v>
      </c>
      <c r="C56" s="1" t="s">
        <v>320</v>
      </c>
      <c r="D56" s="1">
        <v>893387</v>
      </c>
      <c r="E56" s="1" t="s">
        <v>173</v>
      </c>
      <c r="F56" s="1" t="s">
        <v>174</v>
      </c>
      <c r="G56" s="1" t="s">
        <v>175</v>
      </c>
      <c r="H56" s="1" t="s">
        <v>120</v>
      </c>
      <c r="I56" s="1" t="s">
        <v>116</v>
      </c>
      <c r="J56" s="1" t="s">
        <v>176</v>
      </c>
      <c r="K56" s="1" t="s">
        <v>127</v>
      </c>
      <c r="L56" s="1">
        <f t="shared" si="1"/>
        <v>9</v>
      </c>
      <c r="M56" s="10">
        <v>61</v>
      </c>
      <c r="N56" s="1" t="s">
        <v>46</v>
      </c>
      <c r="O56" s="1" t="s">
        <v>47</v>
      </c>
      <c r="P56" s="1">
        <v>90</v>
      </c>
      <c r="Q56" s="11">
        <v>171.54</v>
      </c>
      <c r="R56" s="1" t="s">
        <v>48</v>
      </c>
      <c r="S56" s="1" t="s">
        <v>49</v>
      </c>
      <c r="T56" s="17">
        <v>1.35</v>
      </c>
      <c r="U56" s="11">
        <v>84.22</v>
      </c>
      <c r="V56" s="11">
        <v>-147.36000000000001</v>
      </c>
      <c r="W56" s="1" t="s">
        <v>45</v>
      </c>
    </row>
    <row r="57" spans="1:23" x14ac:dyDescent="0.2">
      <c r="A57" s="1" t="s">
        <v>67</v>
      </c>
      <c r="B57" s="1">
        <v>8307933</v>
      </c>
      <c r="C57" s="1" t="s">
        <v>320</v>
      </c>
      <c r="D57" s="1">
        <v>893387</v>
      </c>
      <c r="E57" s="1" t="s">
        <v>171</v>
      </c>
      <c r="F57" s="1" t="s">
        <v>172</v>
      </c>
      <c r="G57" s="1" t="s">
        <v>70</v>
      </c>
      <c r="H57" s="1" t="s">
        <v>85</v>
      </c>
      <c r="I57" s="1" t="s">
        <v>116</v>
      </c>
      <c r="J57" s="1" t="s">
        <v>166</v>
      </c>
      <c r="K57" s="1" t="s">
        <v>93</v>
      </c>
      <c r="L57" s="1">
        <f t="shared" si="1"/>
        <v>10</v>
      </c>
      <c r="M57" s="10">
        <v>65</v>
      </c>
      <c r="N57" s="1" t="s">
        <v>46</v>
      </c>
      <c r="O57" s="1" t="s">
        <v>47</v>
      </c>
      <c r="P57" s="1">
        <v>25</v>
      </c>
      <c r="Q57" s="11">
        <v>66.09</v>
      </c>
      <c r="R57" s="1" t="s">
        <v>48</v>
      </c>
      <c r="S57" s="1" t="s">
        <v>49</v>
      </c>
      <c r="T57" s="17">
        <v>1.35</v>
      </c>
      <c r="U57" s="11">
        <v>89.21</v>
      </c>
      <c r="V57" s="11">
        <v>-0.01</v>
      </c>
      <c r="W57" s="1" t="s">
        <v>45</v>
      </c>
    </row>
    <row r="58" spans="1:23" s="12" customFormat="1" x14ac:dyDescent="0.2">
      <c r="A58" s="1" t="s">
        <v>67</v>
      </c>
      <c r="B58" s="1">
        <v>8307933</v>
      </c>
      <c r="C58" s="1" t="s">
        <v>320</v>
      </c>
      <c r="D58" s="1">
        <v>893387</v>
      </c>
      <c r="E58" s="1" t="s">
        <v>167</v>
      </c>
      <c r="F58" s="1" t="s">
        <v>168</v>
      </c>
      <c r="G58" s="1" t="s">
        <v>84</v>
      </c>
      <c r="H58" s="1" t="s">
        <v>54</v>
      </c>
      <c r="I58" s="1" t="s">
        <v>100</v>
      </c>
      <c r="J58" s="1" t="s">
        <v>169</v>
      </c>
      <c r="K58" s="1" t="s">
        <v>170</v>
      </c>
      <c r="L58" s="1">
        <f t="shared" si="1"/>
        <v>10</v>
      </c>
      <c r="M58" s="10">
        <v>59</v>
      </c>
      <c r="N58" s="1" t="s">
        <v>46</v>
      </c>
      <c r="O58" s="1" t="s">
        <v>47</v>
      </c>
      <c r="P58" s="1">
        <v>50</v>
      </c>
      <c r="Q58" s="11">
        <v>63.41</v>
      </c>
      <c r="R58" s="1" t="s">
        <v>48</v>
      </c>
      <c r="S58" s="1" t="s">
        <v>49</v>
      </c>
      <c r="T58" s="17">
        <v>1.5</v>
      </c>
      <c r="U58" s="11">
        <v>95.12</v>
      </c>
      <c r="V58" s="11">
        <v>0</v>
      </c>
      <c r="W58" s="1" t="s">
        <v>45</v>
      </c>
    </row>
    <row r="59" spans="1:23" s="12" customFormat="1" x14ac:dyDescent="0.2">
      <c r="A59" s="1" t="s">
        <v>67</v>
      </c>
      <c r="B59" s="1">
        <v>8307933</v>
      </c>
      <c r="C59" s="1" t="s">
        <v>320</v>
      </c>
      <c r="D59" s="1">
        <v>893387</v>
      </c>
      <c r="E59" s="1" t="s">
        <v>145</v>
      </c>
      <c r="F59" s="1" t="s">
        <v>146</v>
      </c>
      <c r="G59" s="1" t="s">
        <v>147</v>
      </c>
      <c r="H59" s="1" t="s">
        <v>54</v>
      </c>
      <c r="I59" s="1" t="s">
        <v>116</v>
      </c>
      <c r="J59" s="1" t="s">
        <v>148</v>
      </c>
      <c r="K59" s="1" t="s">
        <v>88</v>
      </c>
      <c r="L59" s="1">
        <f t="shared" si="1"/>
        <v>12</v>
      </c>
      <c r="M59" s="10">
        <v>67</v>
      </c>
      <c r="N59" s="1" t="s">
        <v>46</v>
      </c>
      <c r="O59" s="1" t="s">
        <v>47</v>
      </c>
      <c r="P59" s="1">
        <v>50</v>
      </c>
      <c r="Q59" s="11">
        <v>172.71</v>
      </c>
      <c r="R59" s="1" t="s">
        <v>48</v>
      </c>
      <c r="S59" s="1" t="s">
        <v>49</v>
      </c>
      <c r="T59" s="17">
        <v>0.67500000000000004</v>
      </c>
      <c r="U59" s="11">
        <v>116.58</v>
      </c>
      <c r="V59" s="11">
        <v>0</v>
      </c>
      <c r="W59" s="1" t="s">
        <v>45</v>
      </c>
    </row>
    <row r="60" spans="1:23" s="12" customFormat="1" x14ac:dyDescent="0.2">
      <c r="A60" s="1" t="s">
        <v>67</v>
      </c>
      <c r="B60" s="1">
        <v>8977234</v>
      </c>
      <c r="C60" s="1" t="s">
        <v>313</v>
      </c>
      <c r="D60" s="1">
        <v>606680</v>
      </c>
      <c r="E60" s="1" t="s">
        <v>113</v>
      </c>
      <c r="F60" s="1" t="s">
        <v>114</v>
      </c>
      <c r="G60" s="1" t="s">
        <v>115</v>
      </c>
      <c r="H60" s="1" t="s">
        <v>85</v>
      </c>
      <c r="I60" s="1" t="s">
        <v>116</v>
      </c>
      <c r="J60" s="1" t="s">
        <v>117</v>
      </c>
      <c r="K60" s="1" t="s">
        <v>88</v>
      </c>
      <c r="L60" s="1">
        <f t="shared" si="1"/>
        <v>10</v>
      </c>
      <c r="M60" s="10">
        <v>59</v>
      </c>
      <c r="N60" s="1" t="s">
        <v>46</v>
      </c>
      <c r="O60" s="1" t="s">
        <v>47</v>
      </c>
      <c r="P60" s="1">
        <v>110</v>
      </c>
      <c r="Q60" s="11">
        <v>178.25</v>
      </c>
      <c r="R60" s="1" t="s">
        <v>48</v>
      </c>
      <c r="S60" s="1" t="s">
        <v>49</v>
      </c>
      <c r="T60" s="17">
        <v>0.67500000000000004</v>
      </c>
      <c r="U60" s="11">
        <v>120.32</v>
      </c>
      <c r="V60" s="11">
        <v>0</v>
      </c>
      <c r="W60" s="1" t="s">
        <v>45</v>
      </c>
    </row>
    <row r="61" spans="1:23" s="12" customFormat="1" x14ac:dyDescent="0.2">
      <c r="A61" s="1" t="s">
        <v>67</v>
      </c>
      <c r="B61" s="1">
        <v>8307933</v>
      </c>
      <c r="C61" s="1" t="s">
        <v>320</v>
      </c>
      <c r="D61" s="1">
        <v>893387</v>
      </c>
      <c r="E61" s="1" t="s">
        <v>149</v>
      </c>
      <c r="F61" s="1" t="s">
        <v>150</v>
      </c>
      <c r="G61" s="1" t="s">
        <v>151</v>
      </c>
      <c r="H61" s="1" t="s">
        <v>120</v>
      </c>
      <c r="I61" s="1" t="s">
        <v>100</v>
      </c>
      <c r="J61" s="1" t="s">
        <v>152</v>
      </c>
      <c r="K61" s="1" t="s">
        <v>153</v>
      </c>
      <c r="L61" s="1">
        <f t="shared" si="1"/>
        <v>12</v>
      </c>
      <c r="M61" s="10">
        <v>64</v>
      </c>
      <c r="N61" s="1" t="s">
        <v>46</v>
      </c>
      <c r="O61" s="1" t="s">
        <v>47</v>
      </c>
      <c r="P61" s="1">
        <v>60</v>
      </c>
      <c r="Q61" s="11">
        <v>128.63999999999999</v>
      </c>
      <c r="R61" s="1" t="s">
        <v>48</v>
      </c>
      <c r="S61" s="1" t="s">
        <v>49</v>
      </c>
      <c r="T61" s="17">
        <v>1.5</v>
      </c>
      <c r="U61" s="11">
        <v>192.96</v>
      </c>
      <c r="V61" s="11">
        <v>0</v>
      </c>
      <c r="W61" s="1" t="s">
        <v>45</v>
      </c>
    </row>
    <row r="62" spans="1:23" s="12" customFormat="1" x14ac:dyDescent="0.2">
      <c r="A62" s="1" t="s">
        <v>67</v>
      </c>
      <c r="B62" s="1">
        <v>1706194</v>
      </c>
      <c r="C62" s="1" t="s">
        <v>310</v>
      </c>
      <c r="D62" s="1">
        <v>1099222</v>
      </c>
      <c r="E62" s="1" t="s">
        <v>210</v>
      </c>
      <c r="F62" s="1" t="s">
        <v>211</v>
      </c>
      <c r="G62" s="1" t="s">
        <v>91</v>
      </c>
      <c r="H62" s="1" t="s">
        <v>85</v>
      </c>
      <c r="I62" s="1" t="s">
        <v>110</v>
      </c>
      <c r="J62" s="1" t="s">
        <v>117</v>
      </c>
      <c r="K62" s="1" t="s">
        <v>88</v>
      </c>
      <c r="L62" s="1">
        <f t="shared" si="1"/>
        <v>10</v>
      </c>
      <c r="M62" s="10">
        <v>45</v>
      </c>
      <c r="N62" s="1" t="s">
        <v>46</v>
      </c>
      <c r="O62" s="1" t="s">
        <v>47</v>
      </c>
      <c r="P62" s="1">
        <v>300</v>
      </c>
      <c r="Q62" s="11">
        <v>152.19</v>
      </c>
      <c r="R62" s="1" t="s">
        <v>48</v>
      </c>
      <c r="S62" s="1" t="s">
        <v>49</v>
      </c>
      <c r="T62" s="17">
        <v>1.5</v>
      </c>
      <c r="U62" s="11">
        <v>228.29</v>
      </c>
      <c r="V62" s="11">
        <v>0</v>
      </c>
      <c r="W62" s="1" t="s">
        <v>45</v>
      </c>
    </row>
    <row r="63" spans="1:23" s="12" customFormat="1" x14ac:dyDescent="0.2">
      <c r="A63" s="1" t="s">
        <v>67</v>
      </c>
      <c r="B63" s="1">
        <v>1706194</v>
      </c>
      <c r="C63" s="1" t="s">
        <v>310</v>
      </c>
      <c r="D63" s="1">
        <v>1099222</v>
      </c>
      <c r="E63" s="1" t="s">
        <v>82</v>
      </c>
      <c r="F63" s="1" t="s">
        <v>83</v>
      </c>
      <c r="G63" s="1" t="s">
        <v>84</v>
      </c>
      <c r="H63" s="1" t="s">
        <v>85</v>
      </c>
      <c r="I63" s="1" t="s">
        <v>86</v>
      </c>
      <c r="J63" s="1" t="s">
        <v>87</v>
      </c>
      <c r="K63" s="1" t="s">
        <v>88</v>
      </c>
      <c r="L63" s="1">
        <f t="shared" si="1"/>
        <v>9</v>
      </c>
      <c r="M63" s="10">
        <v>43</v>
      </c>
      <c r="N63" s="1" t="s">
        <v>46</v>
      </c>
      <c r="O63" s="1" t="s">
        <v>47</v>
      </c>
      <c r="P63" s="1">
        <v>300</v>
      </c>
      <c r="Q63" s="11">
        <v>165.54</v>
      </c>
      <c r="R63" s="1" t="s">
        <v>48</v>
      </c>
      <c r="S63" s="1" t="s">
        <v>49</v>
      </c>
      <c r="T63" s="17">
        <v>1.5</v>
      </c>
      <c r="U63" s="11">
        <v>234.79</v>
      </c>
      <c r="V63" s="11">
        <v>-13.52</v>
      </c>
      <c r="W63" s="1" t="s">
        <v>45</v>
      </c>
    </row>
    <row r="64" spans="1:23" s="12" customFormat="1" x14ac:dyDescent="0.2">
      <c r="A64" s="1" t="s">
        <v>67</v>
      </c>
      <c r="B64" s="1">
        <v>1706194</v>
      </c>
      <c r="C64" s="1" t="s">
        <v>310</v>
      </c>
      <c r="D64" s="1">
        <v>1099222</v>
      </c>
      <c r="E64" s="1" t="s">
        <v>212</v>
      </c>
      <c r="F64" s="1" t="s">
        <v>213</v>
      </c>
      <c r="G64" s="1" t="s">
        <v>91</v>
      </c>
      <c r="H64" s="1" t="s">
        <v>85</v>
      </c>
      <c r="I64" s="1" t="s">
        <v>86</v>
      </c>
      <c r="J64" s="1" t="s">
        <v>214</v>
      </c>
      <c r="K64" s="1" t="s">
        <v>191</v>
      </c>
      <c r="L64" s="1">
        <f t="shared" si="1"/>
        <v>9</v>
      </c>
      <c r="M64" s="10">
        <v>43</v>
      </c>
      <c r="N64" s="1" t="s">
        <v>46</v>
      </c>
      <c r="O64" s="1" t="s">
        <v>47</v>
      </c>
      <c r="P64" s="1">
        <v>300</v>
      </c>
      <c r="Q64" s="11">
        <v>165.54</v>
      </c>
      <c r="R64" s="1" t="s">
        <v>48</v>
      </c>
      <c r="S64" s="1" t="s">
        <v>49</v>
      </c>
      <c r="T64" s="17">
        <v>1.5</v>
      </c>
      <c r="U64" s="11">
        <v>234.79</v>
      </c>
      <c r="V64" s="11">
        <v>-13.52</v>
      </c>
      <c r="W64" s="1" t="s">
        <v>45</v>
      </c>
    </row>
    <row r="65" spans="1:23" x14ac:dyDescent="0.2">
      <c r="A65" s="1" t="s">
        <v>67</v>
      </c>
      <c r="B65" s="1">
        <v>8307933</v>
      </c>
      <c r="C65" s="1" t="s">
        <v>320</v>
      </c>
      <c r="D65" s="1">
        <v>893387</v>
      </c>
      <c r="E65" s="1" t="s">
        <v>163</v>
      </c>
      <c r="F65" s="1" t="s">
        <v>164</v>
      </c>
      <c r="G65" s="1" t="s">
        <v>165</v>
      </c>
      <c r="H65" s="1" t="s">
        <v>85</v>
      </c>
      <c r="I65" s="1" t="s">
        <v>100</v>
      </c>
      <c r="J65" s="1" t="s">
        <v>166</v>
      </c>
      <c r="K65" s="1" t="s">
        <v>93</v>
      </c>
      <c r="L65" s="1">
        <f t="shared" si="1"/>
        <v>10</v>
      </c>
      <c r="M65" s="10">
        <v>56</v>
      </c>
      <c r="N65" s="1" t="s">
        <v>46</v>
      </c>
      <c r="O65" s="1" t="s">
        <v>47</v>
      </c>
      <c r="P65" s="1">
        <v>150</v>
      </c>
      <c r="Q65" s="11">
        <v>157.66</v>
      </c>
      <c r="R65" s="1" t="s">
        <v>48</v>
      </c>
      <c r="S65" s="1" t="s">
        <v>49</v>
      </c>
      <c r="T65" s="17">
        <v>1.5</v>
      </c>
      <c r="U65" s="11">
        <v>236.49</v>
      </c>
      <c r="V65" s="11">
        <v>0</v>
      </c>
      <c r="W65" s="1" t="s">
        <v>45</v>
      </c>
    </row>
    <row r="66" spans="1:23" x14ac:dyDescent="0.2">
      <c r="A66" s="1" t="s">
        <v>67</v>
      </c>
      <c r="B66" s="1">
        <v>8307933</v>
      </c>
      <c r="C66" s="1" t="s">
        <v>320</v>
      </c>
      <c r="D66" s="1">
        <v>893387</v>
      </c>
      <c r="E66" s="1" t="s">
        <v>161</v>
      </c>
      <c r="F66" s="1" t="s">
        <v>162</v>
      </c>
      <c r="G66" s="1" t="s">
        <v>40</v>
      </c>
      <c r="H66" s="1" t="s">
        <v>85</v>
      </c>
      <c r="I66" s="1" t="s">
        <v>116</v>
      </c>
      <c r="J66" s="1" t="s">
        <v>156</v>
      </c>
      <c r="K66" s="1" t="s">
        <v>88</v>
      </c>
      <c r="L66" s="1">
        <f t="shared" ref="L66:L97" si="2">DATEDIF(J66,K66,"M")</f>
        <v>11</v>
      </c>
      <c r="M66" s="10">
        <v>70</v>
      </c>
      <c r="N66" s="1" t="s">
        <v>46</v>
      </c>
      <c r="O66" s="1" t="s">
        <v>47</v>
      </c>
      <c r="P66" s="1">
        <v>45</v>
      </c>
      <c r="Q66" s="11">
        <v>194.98</v>
      </c>
      <c r="R66" s="1" t="s">
        <v>48</v>
      </c>
      <c r="S66" s="1" t="s">
        <v>49</v>
      </c>
      <c r="T66" s="17">
        <v>1.35</v>
      </c>
      <c r="U66" s="11">
        <v>263.22000000000003</v>
      </c>
      <c r="V66" s="11">
        <v>0</v>
      </c>
      <c r="W66" s="1" t="s">
        <v>45</v>
      </c>
    </row>
    <row r="67" spans="1:23" x14ac:dyDescent="0.2">
      <c r="A67" s="1" t="s">
        <v>67</v>
      </c>
      <c r="B67" s="1">
        <v>1706194</v>
      </c>
      <c r="C67" s="1" t="s">
        <v>310</v>
      </c>
      <c r="D67" s="1">
        <v>1099222</v>
      </c>
      <c r="E67" s="1" t="s">
        <v>204</v>
      </c>
      <c r="F67" s="1" t="s">
        <v>205</v>
      </c>
      <c r="G67" s="1" t="s">
        <v>115</v>
      </c>
      <c r="H67" s="1" t="s">
        <v>109</v>
      </c>
      <c r="I67" s="1" t="s">
        <v>86</v>
      </c>
      <c r="J67" s="1" t="s">
        <v>206</v>
      </c>
      <c r="K67" s="1" t="s">
        <v>160</v>
      </c>
      <c r="L67" s="1">
        <f t="shared" si="2"/>
        <v>10</v>
      </c>
      <c r="M67" s="10">
        <v>45</v>
      </c>
      <c r="N67" s="1" t="s">
        <v>46</v>
      </c>
      <c r="O67" s="1" t="s">
        <v>47</v>
      </c>
      <c r="P67" s="1">
        <v>300</v>
      </c>
      <c r="Q67" s="11">
        <v>196.51</v>
      </c>
      <c r="R67" s="1" t="s">
        <v>48</v>
      </c>
      <c r="S67" s="1" t="s">
        <v>49</v>
      </c>
      <c r="T67" s="17">
        <v>1.5</v>
      </c>
      <c r="U67" s="11">
        <v>294.77</v>
      </c>
      <c r="V67" s="11">
        <v>0</v>
      </c>
      <c r="W67" s="1" t="s">
        <v>45</v>
      </c>
    </row>
    <row r="68" spans="1:23" x14ac:dyDescent="0.2">
      <c r="A68" s="1" t="s">
        <v>67</v>
      </c>
      <c r="B68" s="1">
        <v>8307933</v>
      </c>
      <c r="C68" s="1" t="s">
        <v>320</v>
      </c>
      <c r="D68" s="1">
        <v>893387</v>
      </c>
      <c r="E68" s="1" t="s">
        <v>154</v>
      </c>
      <c r="F68" s="1" t="s">
        <v>155</v>
      </c>
      <c r="G68" s="1" t="s">
        <v>84</v>
      </c>
      <c r="H68" s="1" t="s">
        <v>85</v>
      </c>
      <c r="I68" s="1" t="s">
        <v>116</v>
      </c>
      <c r="J68" s="1" t="s">
        <v>156</v>
      </c>
      <c r="K68" s="1" t="s">
        <v>88</v>
      </c>
      <c r="L68" s="1">
        <f t="shared" si="2"/>
        <v>11</v>
      </c>
      <c r="M68" s="10">
        <v>59</v>
      </c>
      <c r="N68" s="1" t="s">
        <v>46</v>
      </c>
      <c r="O68" s="1" t="s">
        <v>47</v>
      </c>
      <c r="P68" s="1">
        <v>140</v>
      </c>
      <c r="Q68" s="11">
        <v>226.87</v>
      </c>
      <c r="R68" s="1" t="s">
        <v>48</v>
      </c>
      <c r="S68" s="1" t="s">
        <v>49</v>
      </c>
      <c r="T68" s="17">
        <v>1.35</v>
      </c>
      <c r="U68" s="11">
        <v>306.27</v>
      </c>
      <c r="V68" s="11">
        <v>0</v>
      </c>
      <c r="W68" s="1" t="s">
        <v>45</v>
      </c>
    </row>
    <row r="69" spans="1:23" x14ac:dyDescent="0.2">
      <c r="A69" s="1" t="s">
        <v>67</v>
      </c>
      <c r="B69" s="1">
        <v>1706194</v>
      </c>
      <c r="C69" s="1" t="s">
        <v>310</v>
      </c>
      <c r="D69" s="1">
        <v>1099222</v>
      </c>
      <c r="E69" s="1" t="s">
        <v>207</v>
      </c>
      <c r="F69" s="1" t="s">
        <v>208</v>
      </c>
      <c r="G69" s="1" t="s">
        <v>84</v>
      </c>
      <c r="H69" s="1" t="s">
        <v>54</v>
      </c>
      <c r="I69" s="1" t="s">
        <v>110</v>
      </c>
      <c r="J69" s="1" t="s">
        <v>209</v>
      </c>
      <c r="K69" s="1" t="s">
        <v>170</v>
      </c>
      <c r="L69" s="1">
        <f t="shared" si="2"/>
        <v>9</v>
      </c>
      <c r="M69" s="10">
        <v>51</v>
      </c>
      <c r="N69" s="1" t="s">
        <v>46</v>
      </c>
      <c r="O69" s="1" t="s">
        <v>47</v>
      </c>
      <c r="P69" s="1">
        <v>250</v>
      </c>
      <c r="Q69" s="11">
        <v>237.19</v>
      </c>
      <c r="R69" s="1" t="s">
        <v>48</v>
      </c>
      <c r="S69" s="1" t="s">
        <v>49</v>
      </c>
      <c r="T69" s="17">
        <v>1.5</v>
      </c>
      <c r="U69" s="11">
        <v>355.79</v>
      </c>
      <c r="V69" s="11">
        <v>0</v>
      </c>
      <c r="W69" s="1" t="s">
        <v>45</v>
      </c>
    </row>
    <row r="70" spans="1:23" x14ac:dyDescent="0.2">
      <c r="A70" s="1" t="s">
        <v>67</v>
      </c>
      <c r="B70" s="1">
        <v>1706194</v>
      </c>
      <c r="C70" s="1" t="s">
        <v>310</v>
      </c>
      <c r="D70" s="1">
        <v>1099222</v>
      </c>
      <c r="E70" s="1" t="s">
        <v>199</v>
      </c>
      <c r="F70" s="1" t="s">
        <v>200</v>
      </c>
      <c r="G70" s="1" t="s">
        <v>201</v>
      </c>
      <c r="H70" s="1" t="s">
        <v>120</v>
      </c>
      <c r="I70" s="1" t="s">
        <v>110</v>
      </c>
      <c r="J70" s="1" t="s">
        <v>176</v>
      </c>
      <c r="K70" s="1" t="s">
        <v>127</v>
      </c>
      <c r="L70" s="1">
        <f t="shared" si="2"/>
        <v>9</v>
      </c>
      <c r="M70" s="10">
        <v>56</v>
      </c>
      <c r="N70" s="1" t="s">
        <v>46</v>
      </c>
      <c r="O70" s="1" t="s">
        <v>47</v>
      </c>
      <c r="P70" s="1">
        <v>250</v>
      </c>
      <c r="Q70" s="11">
        <v>304.16000000000003</v>
      </c>
      <c r="R70" s="1" t="s">
        <v>48</v>
      </c>
      <c r="S70" s="1" t="s">
        <v>49</v>
      </c>
      <c r="T70" s="17">
        <v>1.5</v>
      </c>
      <c r="U70" s="11">
        <v>456.24</v>
      </c>
      <c r="V70" s="11">
        <v>0</v>
      </c>
      <c r="W70" s="1" t="s">
        <v>45</v>
      </c>
    </row>
    <row r="71" spans="1:23" x14ac:dyDescent="0.2">
      <c r="A71" s="1" t="s">
        <v>67</v>
      </c>
      <c r="B71" s="1">
        <v>1706194</v>
      </c>
      <c r="C71" s="1" t="s">
        <v>310</v>
      </c>
      <c r="D71" s="1">
        <v>1099222</v>
      </c>
      <c r="E71" s="1" t="s">
        <v>202</v>
      </c>
      <c r="F71" s="1" t="s">
        <v>203</v>
      </c>
      <c r="G71" s="1" t="s">
        <v>201</v>
      </c>
      <c r="H71" s="1" t="s">
        <v>120</v>
      </c>
      <c r="I71" s="1" t="s">
        <v>100</v>
      </c>
      <c r="J71" s="1" t="s">
        <v>176</v>
      </c>
      <c r="K71" s="1" t="s">
        <v>127</v>
      </c>
      <c r="L71" s="1">
        <f t="shared" si="2"/>
        <v>9</v>
      </c>
      <c r="M71" s="10">
        <v>60</v>
      </c>
      <c r="N71" s="1" t="s">
        <v>46</v>
      </c>
      <c r="O71" s="1" t="s">
        <v>47</v>
      </c>
      <c r="P71" s="1">
        <v>250</v>
      </c>
      <c r="Q71" s="11">
        <v>337.98</v>
      </c>
      <c r="R71" s="1" t="s">
        <v>48</v>
      </c>
      <c r="S71" s="1" t="s">
        <v>49</v>
      </c>
      <c r="T71" s="17">
        <v>1.5</v>
      </c>
      <c r="U71" s="11">
        <v>506.97</v>
      </c>
      <c r="V71" s="11">
        <v>0</v>
      </c>
      <c r="W71" s="1" t="s">
        <v>45</v>
      </c>
    </row>
    <row r="72" spans="1:23" s="12" customFormat="1" x14ac:dyDescent="0.2">
      <c r="A72" s="1" t="s">
        <v>67</v>
      </c>
      <c r="B72" s="1">
        <v>8307933</v>
      </c>
      <c r="C72" s="1" t="s">
        <v>320</v>
      </c>
      <c r="D72" s="1">
        <v>893387</v>
      </c>
      <c r="E72" s="1" t="s">
        <v>157</v>
      </c>
      <c r="F72" s="1" t="s">
        <v>158</v>
      </c>
      <c r="G72" s="1" t="s">
        <v>40</v>
      </c>
      <c r="H72" s="1" t="s">
        <v>109</v>
      </c>
      <c r="I72" s="1" t="s">
        <v>116</v>
      </c>
      <c r="J72" s="1" t="s">
        <v>159</v>
      </c>
      <c r="K72" s="1" t="s">
        <v>160</v>
      </c>
      <c r="L72" s="1">
        <f t="shared" si="2"/>
        <v>11</v>
      </c>
      <c r="M72" s="10">
        <v>62</v>
      </c>
      <c r="N72" s="1" t="s">
        <v>46</v>
      </c>
      <c r="O72" s="1" t="s">
        <v>47</v>
      </c>
      <c r="P72" s="1">
        <v>150</v>
      </c>
      <c r="Q72" s="11">
        <v>388.74</v>
      </c>
      <c r="R72" s="1" t="s">
        <v>48</v>
      </c>
      <c r="S72" s="1" t="s">
        <v>49</v>
      </c>
      <c r="T72" s="17">
        <v>1.35</v>
      </c>
      <c r="U72" s="11">
        <v>524.79999999999995</v>
      </c>
      <c r="V72" s="11">
        <v>0</v>
      </c>
      <c r="W72" s="1" t="s">
        <v>45</v>
      </c>
    </row>
    <row r="73" spans="1:23" s="12" customFormat="1" x14ac:dyDescent="0.2">
      <c r="A73" s="1" t="s">
        <v>67</v>
      </c>
      <c r="B73" s="1">
        <v>8977234</v>
      </c>
      <c r="C73" s="1" t="s">
        <v>313</v>
      </c>
      <c r="D73" s="1">
        <v>606680</v>
      </c>
      <c r="E73" s="1" t="s">
        <v>245</v>
      </c>
      <c r="F73" s="1" t="s">
        <v>246</v>
      </c>
      <c r="G73" s="1" t="s">
        <v>247</v>
      </c>
      <c r="H73" s="1" t="s">
        <v>120</v>
      </c>
      <c r="I73" s="1" t="s">
        <v>100</v>
      </c>
      <c r="J73" s="1" t="s">
        <v>248</v>
      </c>
      <c r="K73" s="1" t="s">
        <v>248</v>
      </c>
      <c r="L73" s="1">
        <f t="shared" si="2"/>
        <v>0</v>
      </c>
      <c r="M73" s="10">
        <v>63</v>
      </c>
      <c r="N73" s="1" t="s">
        <v>46</v>
      </c>
      <c r="O73" s="1" t="s">
        <v>47</v>
      </c>
      <c r="P73" s="1">
        <v>30</v>
      </c>
      <c r="Q73" s="11">
        <v>529.65</v>
      </c>
      <c r="R73" s="1" t="s">
        <v>48</v>
      </c>
      <c r="S73" s="1" t="s">
        <v>249</v>
      </c>
      <c r="T73" s="17">
        <v>1.5</v>
      </c>
      <c r="U73" s="11">
        <v>794.52</v>
      </c>
      <c r="V73" s="11">
        <v>794.52</v>
      </c>
      <c r="W73" s="1" t="s">
        <v>45</v>
      </c>
    </row>
    <row r="74" spans="1:23" s="12" customFormat="1" x14ac:dyDescent="0.2">
      <c r="A74" s="1" t="s">
        <v>67</v>
      </c>
      <c r="B74" s="1">
        <v>1706194</v>
      </c>
      <c r="C74" s="1" t="s">
        <v>310</v>
      </c>
      <c r="D74" s="1">
        <v>1099222</v>
      </c>
      <c r="E74" s="1" t="s">
        <v>215</v>
      </c>
      <c r="F74" s="1" t="s">
        <v>216</v>
      </c>
      <c r="G74" s="1" t="s">
        <v>84</v>
      </c>
      <c r="H74" s="1" t="s">
        <v>85</v>
      </c>
      <c r="I74" s="1" t="s">
        <v>110</v>
      </c>
      <c r="J74" s="1" t="s">
        <v>87</v>
      </c>
      <c r="K74" s="1" t="s">
        <v>88</v>
      </c>
      <c r="L74" s="1">
        <f t="shared" si="2"/>
        <v>9</v>
      </c>
      <c r="M74" s="10">
        <v>55</v>
      </c>
      <c r="N74" s="1" t="s">
        <v>46</v>
      </c>
      <c r="O74" s="1" t="s">
        <v>47</v>
      </c>
      <c r="P74" s="1">
        <v>250</v>
      </c>
      <c r="Q74" s="11">
        <v>555.14</v>
      </c>
      <c r="R74" s="1" t="s">
        <v>48</v>
      </c>
      <c r="S74" s="1" t="s">
        <v>49</v>
      </c>
      <c r="T74" s="17">
        <v>1.5</v>
      </c>
      <c r="U74" s="11">
        <v>832.71</v>
      </c>
      <c r="V74" s="11">
        <v>0</v>
      </c>
      <c r="W74" s="1" t="s">
        <v>45</v>
      </c>
    </row>
    <row r="75" spans="1:23" s="12" customFormat="1" x14ac:dyDescent="0.2">
      <c r="A75" s="1" t="s">
        <v>67</v>
      </c>
      <c r="B75" s="1">
        <v>8307933</v>
      </c>
      <c r="C75" s="1" t="s">
        <v>320</v>
      </c>
      <c r="D75" s="1">
        <v>893387</v>
      </c>
      <c r="E75" s="1" t="s">
        <v>258</v>
      </c>
      <c r="F75" s="1" t="s">
        <v>259</v>
      </c>
      <c r="G75" s="1" t="s">
        <v>40</v>
      </c>
      <c r="H75" s="1" t="s">
        <v>54</v>
      </c>
      <c r="I75" s="1" t="s">
        <v>100</v>
      </c>
      <c r="J75" s="1" t="s">
        <v>44</v>
      </c>
      <c r="K75" s="1" t="s">
        <v>44</v>
      </c>
      <c r="L75" s="1">
        <f t="shared" si="2"/>
        <v>0</v>
      </c>
      <c r="M75" s="10">
        <v>60</v>
      </c>
      <c r="N75" s="1" t="s">
        <v>46</v>
      </c>
      <c r="O75" s="1" t="s">
        <v>47</v>
      </c>
      <c r="P75" s="1">
        <v>150</v>
      </c>
      <c r="Q75" s="11">
        <v>1709.73</v>
      </c>
      <c r="R75" s="1" t="s">
        <v>48</v>
      </c>
      <c r="S75" s="1" t="s">
        <v>249</v>
      </c>
      <c r="T75" s="17">
        <v>1.5</v>
      </c>
      <c r="U75" s="11">
        <v>2000</v>
      </c>
      <c r="V75" s="11">
        <v>2000</v>
      </c>
      <c r="W75" s="1" t="s">
        <v>45</v>
      </c>
    </row>
    <row r="76" spans="1:23" s="12" customFormat="1" x14ac:dyDescent="0.2">
      <c r="A76" s="1" t="s">
        <v>67</v>
      </c>
      <c r="B76" s="1">
        <v>8977234</v>
      </c>
      <c r="C76" s="1" t="s">
        <v>313</v>
      </c>
      <c r="D76" s="1">
        <v>606680</v>
      </c>
      <c r="E76" s="1" t="s">
        <v>250</v>
      </c>
      <c r="F76" s="1" t="s">
        <v>251</v>
      </c>
      <c r="G76" s="1" t="s">
        <v>247</v>
      </c>
      <c r="H76" s="1" t="s">
        <v>41</v>
      </c>
      <c r="I76" s="1" t="s">
        <v>100</v>
      </c>
      <c r="J76" s="1" t="s">
        <v>44</v>
      </c>
      <c r="K76" s="1" t="s">
        <v>44</v>
      </c>
      <c r="L76" s="1">
        <f t="shared" si="2"/>
        <v>0</v>
      </c>
      <c r="M76" s="10">
        <v>63</v>
      </c>
      <c r="N76" s="1" t="s">
        <v>46</v>
      </c>
      <c r="O76" s="1" t="s">
        <v>47</v>
      </c>
      <c r="P76" s="1">
        <v>80</v>
      </c>
      <c r="Q76" s="11">
        <v>1395</v>
      </c>
      <c r="R76" s="1" t="s">
        <v>48</v>
      </c>
      <c r="S76" s="1" t="s">
        <v>249</v>
      </c>
      <c r="T76" s="17">
        <v>1.5</v>
      </c>
      <c r="U76" s="11">
        <v>2000</v>
      </c>
      <c r="V76" s="11">
        <v>2000</v>
      </c>
      <c r="W76" s="1" t="s">
        <v>45</v>
      </c>
    </row>
    <row r="77" spans="1:23" s="12" customFormat="1" x14ac:dyDescent="0.2">
      <c r="A77" s="1" t="s">
        <v>67</v>
      </c>
      <c r="B77" s="1">
        <v>8977234</v>
      </c>
      <c r="C77" s="1" t="s">
        <v>313</v>
      </c>
      <c r="D77" s="1">
        <v>606680</v>
      </c>
      <c r="E77" s="1" t="s">
        <v>252</v>
      </c>
      <c r="F77" s="1" t="s">
        <v>253</v>
      </c>
      <c r="G77" s="1" t="s">
        <v>254</v>
      </c>
      <c r="H77" s="1" t="s">
        <v>109</v>
      </c>
      <c r="I77" s="1" t="s">
        <v>100</v>
      </c>
      <c r="J77" s="1" t="s">
        <v>44</v>
      </c>
      <c r="K77" s="1" t="s">
        <v>44</v>
      </c>
      <c r="L77" s="1">
        <f t="shared" si="2"/>
        <v>0</v>
      </c>
      <c r="M77" s="10">
        <v>65</v>
      </c>
      <c r="N77" s="1" t="s">
        <v>46</v>
      </c>
      <c r="O77" s="1" t="s">
        <v>47</v>
      </c>
      <c r="P77" s="1">
        <v>100</v>
      </c>
      <c r="Q77" s="11">
        <v>2064.15</v>
      </c>
      <c r="R77" s="1" t="s">
        <v>48</v>
      </c>
      <c r="S77" s="1" t="s">
        <v>249</v>
      </c>
      <c r="T77" s="17">
        <v>1.5</v>
      </c>
      <c r="U77" s="11">
        <v>2000</v>
      </c>
      <c r="V77" s="11">
        <v>2000</v>
      </c>
      <c r="W77" s="1" t="s">
        <v>45</v>
      </c>
    </row>
    <row r="78" spans="1:23" x14ac:dyDescent="0.2">
      <c r="A78" s="1" t="s">
        <v>67</v>
      </c>
      <c r="B78" s="1">
        <v>1706194</v>
      </c>
      <c r="C78" s="1" t="s">
        <v>310</v>
      </c>
      <c r="D78" s="1">
        <v>1099222</v>
      </c>
      <c r="E78" s="1" t="s">
        <v>267</v>
      </c>
      <c r="F78" s="1" t="s">
        <v>268</v>
      </c>
      <c r="G78" s="1" t="s">
        <v>108</v>
      </c>
      <c r="H78" s="1" t="s">
        <v>120</v>
      </c>
      <c r="I78" s="1" t="s">
        <v>100</v>
      </c>
      <c r="J78" s="1" t="s">
        <v>120</v>
      </c>
      <c r="K78" s="1" t="s">
        <v>102</v>
      </c>
      <c r="L78" s="1">
        <f t="shared" si="2"/>
        <v>1</v>
      </c>
      <c r="M78" s="10">
        <v>51</v>
      </c>
      <c r="N78" s="1" t="s">
        <v>46</v>
      </c>
      <c r="O78" s="1" t="s">
        <v>47</v>
      </c>
      <c r="P78" s="1">
        <v>250</v>
      </c>
      <c r="Q78" s="11">
        <v>1611.99</v>
      </c>
      <c r="R78" s="1" t="s">
        <v>48</v>
      </c>
      <c r="S78" s="1" t="s">
        <v>249</v>
      </c>
      <c r="T78" s="17">
        <v>1.5</v>
      </c>
      <c r="U78" s="11">
        <v>2000</v>
      </c>
      <c r="V78" s="11">
        <v>2000</v>
      </c>
      <c r="W78" s="1" t="s">
        <v>45</v>
      </c>
    </row>
    <row r="79" spans="1:23" x14ac:dyDescent="0.2">
      <c r="A79" s="1" t="s">
        <v>67</v>
      </c>
      <c r="B79" s="1">
        <v>16228684</v>
      </c>
      <c r="C79" s="1" t="s">
        <v>322</v>
      </c>
      <c r="D79" s="1">
        <v>893214</v>
      </c>
      <c r="E79" s="1" t="s">
        <v>232</v>
      </c>
      <c r="F79" s="1" t="s">
        <v>233</v>
      </c>
      <c r="G79" s="1" t="s">
        <v>40</v>
      </c>
      <c r="H79" s="1" t="s">
        <v>41</v>
      </c>
      <c r="I79" s="1" t="s">
        <v>116</v>
      </c>
      <c r="J79" s="1" t="s">
        <v>41</v>
      </c>
      <c r="K79" s="1" t="s">
        <v>160</v>
      </c>
      <c r="L79" s="1">
        <f t="shared" si="2"/>
        <v>1</v>
      </c>
      <c r="M79" s="10">
        <v>62</v>
      </c>
      <c r="N79" s="1" t="s">
        <v>234</v>
      </c>
      <c r="O79" s="1" t="s">
        <v>58</v>
      </c>
      <c r="P79" s="1">
        <v>150</v>
      </c>
      <c r="Q79" s="11">
        <v>3479.04</v>
      </c>
      <c r="R79" s="1" t="s">
        <v>48</v>
      </c>
      <c r="S79" s="1" t="s">
        <v>235</v>
      </c>
      <c r="T79" s="17">
        <v>1.35</v>
      </c>
      <c r="U79" s="11">
        <v>4696.7</v>
      </c>
      <c r="V79" s="11">
        <v>0</v>
      </c>
      <c r="W79" s="1" t="s">
        <v>45</v>
      </c>
    </row>
  </sheetData>
  <sortState xmlns:xlrd2="http://schemas.microsoft.com/office/spreadsheetml/2017/richdata2" ref="A2:W79">
    <sortCondition sortBy="cellColor" ref="L2:L79" dxfId="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2507-9505-4D1E-B8BF-FADC220D8015}">
  <dimension ref="A1:S78"/>
  <sheetViews>
    <sheetView tabSelected="1" workbookViewId="0">
      <pane ySplit="1" topLeftCell="A2" activePane="bottomLeft" state="frozen"/>
      <selection activeCell="D1" sqref="D1"/>
      <selection pane="bottomLeft" activeCell="C12" sqref="C12"/>
    </sheetView>
  </sheetViews>
  <sheetFormatPr defaultRowHeight="14.25" x14ac:dyDescent="0.2"/>
  <cols>
    <col min="1" max="1" width="18" style="1" customWidth="1"/>
    <col min="2" max="2" width="22.28515625" style="1" customWidth="1"/>
    <col min="3" max="3" width="17" style="1" customWidth="1"/>
    <col min="4" max="4" width="25.7109375" style="1" customWidth="1"/>
    <col min="5" max="5" width="35.5703125" style="1" customWidth="1"/>
    <col min="6" max="6" width="6.7109375" style="1" customWidth="1"/>
    <col min="7" max="7" width="15" style="1" customWidth="1"/>
    <col min="8" max="8" width="10.42578125" style="1" customWidth="1"/>
    <col min="9" max="10" width="15" style="1" customWidth="1"/>
    <col min="11" max="11" width="5.5703125" style="1" customWidth="1"/>
    <col min="12" max="12" width="11.140625" style="1" customWidth="1"/>
    <col min="13" max="13" width="6.140625" style="1" customWidth="1"/>
    <col min="14" max="14" width="13" style="1" customWidth="1"/>
    <col min="15" max="15" width="7.85546875" style="1" customWidth="1"/>
    <col min="16" max="16" width="9.28515625" style="1" customWidth="1"/>
    <col min="17" max="17" width="12.140625" style="1" bestFit="1" customWidth="1"/>
    <col min="18" max="18" width="7.5703125" style="1" customWidth="1"/>
    <col min="19" max="16384" width="9.140625" style="1"/>
  </cols>
  <sheetData>
    <row r="1" spans="1:19" ht="30" customHeight="1" x14ac:dyDescent="0.2">
      <c r="A1" s="9" t="s">
        <v>22</v>
      </c>
      <c r="B1" s="9" t="s">
        <v>23</v>
      </c>
      <c r="C1" s="9" t="s">
        <v>301</v>
      </c>
      <c r="D1" s="9" t="s">
        <v>302</v>
      </c>
      <c r="E1" s="9" t="s">
        <v>335</v>
      </c>
      <c r="F1" s="9" t="s">
        <v>303</v>
      </c>
      <c r="G1" s="9" t="s">
        <v>25</v>
      </c>
      <c r="H1" s="9" t="s">
        <v>26</v>
      </c>
      <c r="I1" s="9" t="s">
        <v>27</v>
      </c>
      <c r="J1" s="9" t="s">
        <v>28</v>
      </c>
      <c r="K1" s="9" t="s">
        <v>329</v>
      </c>
      <c r="L1" s="9" t="s">
        <v>305</v>
      </c>
      <c r="M1" s="9" t="s">
        <v>33</v>
      </c>
      <c r="N1" s="9" t="s">
        <v>34</v>
      </c>
      <c r="O1" s="15" t="s">
        <v>304</v>
      </c>
      <c r="P1" s="9" t="s">
        <v>306</v>
      </c>
      <c r="Q1" s="9" t="s">
        <v>35</v>
      </c>
      <c r="R1" s="9" t="s">
        <v>36</v>
      </c>
    </row>
    <row r="2" spans="1:19" x14ac:dyDescent="0.2">
      <c r="A2" s="1">
        <v>9079571</v>
      </c>
      <c r="B2" s="1" t="s">
        <v>316</v>
      </c>
      <c r="C2" s="1" t="s">
        <v>283</v>
      </c>
      <c r="D2" s="1" t="s">
        <v>284</v>
      </c>
      <c r="E2" s="1" t="s">
        <v>339</v>
      </c>
      <c r="F2" s="1" t="s">
        <v>124</v>
      </c>
      <c r="G2" s="1" t="s">
        <v>54</v>
      </c>
      <c r="H2" s="1" t="s">
        <v>281</v>
      </c>
      <c r="I2" s="1" t="s">
        <v>285</v>
      </c>
      <c r="J2" s="1" t="s">
        <v>44</v>
      </c>
      <c r="K2" s="1">
        <f>DATEDIF(I2,J2,"M")</f>
        <v>18</v>
      </c>
      <c r="L2" s="11">
        <v>151.93</v>
      </c>
      <c r="M2" s="1" t="s">
        <v>73</v>
      </c>
      <c r="N2" s="1" t="s">
        <v>74</v>
      </c>
      <c r="O2" s="17">
        <v>0.23</v>
      </c>
      <c r="P2" s="11">
        <v>34.94</v>
      </c>
      <c r="Q2" s="11">
        <v>0</v>
      </c>
      <c r="R2" s="1" t="s">
        <v>332</v>
      </c>
      <c r="S2" s="1">
        <f>SUM(L2*O2)</f>
        <v>34.943900000000006</v>
      </c>
    </row>
    <row r="3" spans="1:19" x14ac:dyDescent="0.2">
      <c r="A3" s="1">
        <v>9079571</v>
      </c>
      <c r="B3" s="1" t="s">
        <v>316</v>
      </c>
      <c r="C3" s="1" t="s">
        <v>286</v>
      </c>
      <c r="D3" s="1" t="s">
        <v>287</v>
      </c>
      <c r="E3" s="1" t="s">
        <v>339</v>
      </c>
      <c r="F3" s="1" t="s">
        <v>124</v>
      </c>
      <c r="G3" s="1" t="s">
        <v>54</v>
      </c>
      <c r="H3" s="1" t="s">
        <v>281</v>
      </c>
      <c r="I3" s="1" t="s">
        <v>288</v>
      </c>
      <c r="J3" s="1" t="s">
        <v>44</v>
      </c>
      <c r="K3" s="1">
        <f>DATEDIF(I3,J3,"M")</f>
        <v>15</v>
      </c>
      <c r="L3" s="11">
        <v>132.11000000000001</v>
      </c>
      <c r="M3" s="1" t="s">
        <v>73</v>
      </c>
      <c r="N3" s="1" t="s">
        <v>74</v>
      </c>
      <c r="O3" s="17">
        <v>0.23</v>
      </c>
      <c r="P3" s="11">
        <v>30.39</v>
      </c>
      <c r="Q3" s="11">
        <v>0</v>
      </c>
      <c r="R3" s="1" t="s">
        <v>332</v>
      </c>
      <c r="S3" s="1">
        <f>SUM(L3*O3)</f>
        <v>30.385300000000004</v>
      </c>
    </row>
    <row r="4" spans="1:19" x14ac:dyDescent="0.2">
      <c r="A4" s="1">
        <v>9079571</v>
      </c>
      <c r="B4" s="1" t="s">
        <v>316</v>
      </c>
      <c r="C4" s="1" t="s">
        <v>130</v>
      </c>
      <c r="D4" s="1" t="s">
        <v>131</v>
      </c>
      <c r="E4" s="1" t="s">
        <v>347</v>
      </c>
      <c r="F4" s="1" t="s">
        <v>124</v>
      </c>
      <c r="G4" s="1" t="s">
        <v>120</v>
      </c>
      <c r="H4" s="1" t="s">
        <v>110</v>
      </c>
      <c r="I4" s="1" t="s">
        <v>43</v>
      </c>
      <c r="J4" s="1" t="s">
        <v>44</v>
      </c>
      <c r="K4" s="1">
        <f>DATEDIF(I4,J4,"M")</f>
        <v>9</v>
      </c>
      <c r="L4" s="11">
        <v>82.81</v>
      </c>
      <c r="M4" s="1" t="s">
        <v>48</v>
      </c>
      <c r="N4" s="1" t="s">
        <v>49</v>
      </c>
      <c r="O4" s="17">
        <v>1.5</v>
      </c>
      <c r="P4" s="11">
        <v>0</v>
      </c>
      <c r="Q4" s="11">
        <v>-124.22</v>
      </c>
      <c r="R4" s="1" t="s">
        <v>332</v>
      </c>
      <c r="S4" s="1">
        <f>SUM(L4*O4)</f>
        <v>124.215</v>
      </c>
    </row>
    <row r="5" spans="1:19" x14ac:dyDescent="0.2">
      <c r="A5" s="1">
        <v>9079571</v>
      </c>
      <c r="B5" s="1" t="s">
        <v>316</v>
      </c>
      <c r="C5" s="1" t="s">
        <v>279</v>
      </c>
      <c r="D5" s="1" t="s">
        <v>280</v>
      </c>
      <c r="E5" s="1" t="s">
        <v>339</v>
      </c>
      <c r="F5" s="1" t="s">
        <v>124</v>
      </c>
      <c r="G5" s="1" t="s">
        <v>54</v>
      </c>
      <c r="H5" s="1" t="s">
        <v>281</v>
      </c>
      <c r="I5" s="1" t="s">
        <v>282</v>
      </c>
      <c r="J5" s="1" t="s">
        <v>44</v>
      </c>
      <c r="K5" s="1">
        <f>DATEDIF(I5,J5,"M")</f>
        <v>23</v>
      </c>
      <c r="L5" s="11">
        <v>172.65</v>
      </c>
      <c r="M5" s="1" t="s">
        <v>73</v>
      </c>
      <c r="N5" s="1" t="s">
        <v>74</v>
      </c>
      <c r="O5" s="17">
        <v>0.23</v>
      </c>
      <c r="P5" s="11">
        <v>39.71</v>
      </c>
      <c r="Q5" s="11">
        <v>0</v>
      </c>
      <c r="R5" s="1" t="s">
        <v>332</v>
      </c>
      <c r="S5" s="1">
        <f>SUM(L5*O5)</f>
        <v>39.709500000000006</v>
      </c>
    </row>
    <row r="6" spans="1:19" x14ac:dyDescent="0.2">
      <c r="A6" s="12">
        <v>16912722</v>
      </c>
      <c r="B6" s="12" t="s">
        <v>314</v>
      </c>
      <c r="C6" s="12" t="s">
        <v>118</v>
      </c>
      <c r="D6" s="12" t="s">
        <v>119</v>
      </c>
      <c r="E6" s="12" t="s">
        <v>345</v>
      </c>
      <c r="F6" s="12" t="s">
        <v>40</v>
      </c>
      <c r="G6" s="12" t="s">
        <v>120</v>
      </c>
      <c r="H6" s="12" t="s">
        <v>121</v>
      </c>
      <c r="I6" s="12" t="s">
        <v>56</v>
      </c>
      <c r="J6" s="12" t="s">
        <v>44</v>
      </c>
      <c r="K6" s="12">
        <f>DATEDIF(I6,J6,"M")</f>
        <v>4</v>
      </c>
      <c r="L6" s="14">
        <v>42.14</v>
      </c>
      <c r="M6" s="12" t="s">
        <v>48</v>
      </c>
      <c r="N6" s="12" t="s">
        <v>49</v>
      </c>
      <c r="O6" s="16">
        <v>1.1399999999999999</v>
      </c>
      <c r="P6" s="14">
        <v>0</v>
      </c>
      <c r="Q6" s="14">
        <v>-48.04</v>
      </c>
      <c r="R6" s="1" t="s">
        <v>330</v>
      </c>
      <c r="S6" s="1">
        <f>SUM(L6*O6)</f>
        <v>48.0396</v>
      </c>
    </row>
    <row r="7" spans="1:19" x14ac:dyDescent="0.2">
      <c r="A7" s="12">
        <v>7470776</v>
      </c>
      <c r="B7" s="12" t="s">
        <v>318</v>
      </c>
      <c r="C7" s="12" t="s">
        <v>134</v>
      </c>
      <c r="D7" s="12" t="s">
        <v>135</v>
      </c>
      <c r="E7" s="12" t="s">
        <v>347</v>
      </c>
      <c r="F7" s="12" t="s">
        <v>40</v>
      </c>
      <c r="G7" s="12" t="s">
        <v>85</v>
      </c>
      <c r="H7" s="12" t="s">
        <v>110</v>
      </c>
      <c r="I7" s="12" t="s">
        <v>136</v>
      </c>
      <c r="J7" s="12" t="s">
        <v>88</v>
      </c>
      <c r="K7" s="12">
        <f>DATEDIF(I7,J7,"M")</f>
        <v>6</v>
      </c>
      <c r="L7" s="14">
        <v>152.19</v>
      </c>
      <c r="M7" s="12" t="s">
        <v>48</v>
      </c>
      <c r="N7" s="12" t="s">
        <v>49</v>
      </c>
      <c r="O7" s="16">
        <v>1.5</v>
      </c>
      <c r="P7" s="14">
        <v>0</v>
      </c>
      <c r="Q7" s="14">
        <v>-228.29</v>
      </c>
      <c r="R7" s="1" t="s">
        <v>330</v>
      </c>
      <c r="S7" s="1">
        <f>SUM(L7*O7)</f>
        <v>228.285</v>
      </c>
    </row>
    <row r="8" spans="1:19" x14ac:dyDescent="0.2">
      <c r="A8" s="12">
        <v>7470776</v>
      </c>
      <c r="B8" s="12" t="s">
        <v>318</v>
      </c>
      <c r="C8" s="12" t="s">
        <v>137</v>
      </c>
      <c r="D8" s="12" t="s">
        <v>138</v>
      </c>
      <c r="E8" s="12" t="s">
        <v>347</v>
      </c>
      <c r="F8" s="12" t="s">
        <v>40</v>
      </c>
      <c r="G8" s="12" t="s">
        <v>85</v>
      </c>
      <c r="H8" s="12" t="s">
        <v>110</v>
      </c>
      <c r="I8" s="12" t="s">
        <v>136</v>
      </c>
      <c r="J8" s="12" t="s">
        <v>88</v>
      </c>
      <c r="K8" s="12">
        <f>DATEDIF(I8,J8,"M")</f>
        <v>6</v>
      </c>
      <c r="L8" s="14">
        <v>143.11000000000001</v>
      </c>
      <c r="M8" s="12" t="s">
        <v>48</v>
      </c>
      <c r="N8" s="12" t="s">
        <v>49</v>
      </c>
      <c r="O8" s="16">
        <v>1.5</v>
      </c>
      <c r="P8" s="14">
        <v>0</v>
      </c>
      <c r="Q8" s="14">
        <v>-214.67</v>
      </c>
      <c r="R8" s="1" t="s">
        <v>330</v>
      </c>
      <c r="S8" s="1">
        <f>SUM(L8*O8)</f>
        <v>214.66500000000002</v>
      </c>
    </row>
    <row r="9" spans="1:19" x14ac:dyDescent="0.2">
      <c r="A9" s="1">
        <v>19278370</v>
      </c>
      <c r="B9" s="1" t="s">
        <v>308</v>
      </c>
      <c r="C9" s="1" t="s">
        <v>75</v>
      </c>
      <c r="D9" s="1" t="s">
        <v>76</v>
      </c>
      <c r="E9" s="1" t="s">
        <v>338</v>
      </c>
      <c r="F9" s="1" t="s">
        <v>70</v>
      </c>
      <c r="G9" s="1" t="s">
        <v>54</v>
      </c>
      <c r="H9" s="1" t="s">
        <v>71</v>
      </c>
      <c r="I9" s="1" t="s">
        <v>72</v>
      </c>
      <c r="J9" s="1" t="s">
        <v>44</v>
      </c>
      <c r="K9" s="1">
        <f>DATEDIF(I9,J9,"M")</f>
        <v>20</v>
      </c>
      <c r="L9" s="11">
        <v>229.97</v>
      </c>
      <c r="M9" s="1" t="s">
        <v>73</v>
      </c>
      <c r="N9" s="1" t="s">
        <v>74</v>
      </c>
      <c r="O9" s="17">
        <v>0.215</v>
      </c>
      <c r="P9" s="11">
        <v>49.44</v>
      </c>
      <c r="Q9" s="11">
        <v>0</v>
      </c>
      <c r="R9" s="1" t="s">
        <v>332</v>
      </c>
      <c r="S9" s="1">
        <f>SUM(L9*O9)</f>
        <v>49.443550000000002</v>
      </c>
    </row>
    <row r="10" spans="1:19" x14ac:dyDescent="0.2">
      <c r="A10" s="1">
        <v>19278370</v>
      </c>
      <c r="B10" s="1" t="s">
        <v>308</v>
      </c>
      <c r="C10" s="1" t="s">
        <v>68</v>
      </c>
      <c r="D10" s="1" t="s">
        <v>69</v>
      </c>
      <c r="E10" s="1" t="s">
        <v>338</v>
      </c>
      <c r="F10" s="1" t="s">
        <v>70</v>
      </c>
      <c r="G10" s="1" t="s">
        <v>54</v>
      </c>
      <c r="H10" s="1" t="s">
        <v>71</v>
      </c>
      <c r="I10" s="1" t="s">
        <v>72</v>
      </c>
      <c r="J10" s="1" t="s">
        <v>44</v>
      </c>
      <c r="K10" s="1">
        <f>DATEDIF(I10,J10,"M")</f>
        <v>20</v>
      </c>
      <c r="L10" s="11">
        <v>137.74</v>
      </c>
      <c r="M10" s="1" t="s">
        <v>73</v>
      </c>
      <c r="N10" s="1" t="s">
        <v>74</v>
      </c>
      <c r="O10" s="17">
        <v>0.215</v>
      </c>
      <c r="P10" s="11">
        <v>29.61</v>
      </c>
      <c r="Q10" s="11">
        <v>0</v>
      </c>
      <c r="R10" s="1" t="s">
        <v>332</v>
      </c>
      <c r="S10" s="1">
        <f>SUM(L10*O10)</f>
        <v>29.614100000000001</v>
      </c>
    </row>
    <row r="11" spans="1:19" x14ac:dyDescent="0.2">
      <c r="A11" s="1">
        <v>17425766</v>
      </c>
      <c r="B11" s="1" t="s">
        <v>309</v>
      </c>
      <c r="C11" s="1" t="s">
        <v>78</v>
      </c>
      <c r="D11" s="1" t="s">
        <v>79</v>
      </c>
      <c r="E11" s="1" t="s">
        <v>339</v>
      </c>
      <c r="F11" s="1" t="s">
        <v>80</v>
      </c>
      <c r="G11" s="1" t="s">
        <v>41</v>
      </c>
      <c r="H11" s="1" t="s">
        <v>81</v>
      </c>
      <c r="I11" s="1" t="s">
        <v>61</v>
      </c>
      <c r="J11" s="1" t="s">
        <v>44</v>
      </c>
      <c r="K11" s="1">
        <f>DATEDIF(I11,J11,"M")</f>
        <v>8</v>
      </c>
      <c r="L11" s="11">
        <v>240.03</v>
      </c>
      <c r="M11" s="1" t="s">
        <v>48</v>
      </c>
      <c r="N11" s="1" t="s">
        <v>49</v>
      </c>
      <c r="O11" s="17">
        <v>0.23</v>
      </c>
      <c r="P11" s="11">
        <v>0</v>
      </c>
      <c r="Q11" s="11">
        <v>-55.21</v>
      </c>
      <c r="R11" s="1" t="s">
        <v>332</v>
      </c>
      <c r="S11" s="1">
        <f>SUM(L11*O11)</f>
        <v>55.206900000000005</v>
      </c>
    </row>
    <row r="12" spans="1:19" x14ac:dyDescent="0.2">
      <c r="A12" s="1">
        <v>18598357</v>
      </c>
      <c r="B12" s="1" t="s">
        <v>326</v>
      </c>
      <c r="C12" s="1" t="s">
        <v>298</v>
      </c>
      <c r="D12" s="1" t="s">
        <v>299</v>
      </c>
      <c r="E12" s="1" t="s">
        <v>336</v>
      </c>
      <c r="F12" s="1" t="s">
        <v>124</v>
      </c>
      <c r="G12" s="1" t="s">
        <v>120</v>
      </c>
      <c r="H12" s="1" t="s">
        <v>300</v>
      </c>
      <c r="I12" s="1" t="s">
        <v>56</v>
      </c>
      <c r="J12" s="1" t="s">
        <v>44</v>
      </c>
      <c r="K12" s="1">
        <f>DATEDIF(I12,J12,"M")</f>
        <v>4</v>
      </c>
      <c r="L12" s="11">
        <v>104.8</v>
      </c>
      <c r="M12" s="1" t="s">
        <v>48</v>
      </c>
      <c r="N12" s="1" t="s">
        <v>49</v>
      </c>
      <c r="O12" s="17">
        <v>2.5000000000000001E-2</v>
      </c>
      <c r="P12" s="11">
        <v>0</v>
      </c>
      <c r="Q12" s="11">
        <v>-2.62</v>
      </c>
      <c r="R12" s="1" t="s">
        <v>332</v>
      </c>
      <c r="S12" s="1">
        <f>SUM(L12*O12)</f>
        <v>2.62</v>
      </c>
    </row>
    <row r="13" spans="1:19" x14ac:dyDescent="0.2">
      <c r="A13" s="1">
        <v>20003537</v>
      </c>
      <c r="B13" s="1" t="s">
        <v>328</v>
      </c>
      <c r="C13" s="1" t="s">
        <v>272</v>
      </c>
      <c r="D13" s="1" t="s">
        <v>273</v>
      </c>
      <c r="E13" s="1" t="s">
        <v>341</v>
      </c>
      <c r="F13" s="1" t="s">
        <v>40</v>
      </c>
      <c r="G13" s="1" t="s">
        <v>54</v>
      </c>
      <c r="H13" s="1" t="s">
        <v>274</v>
      </c>
      <c r="I13" s="1" t="s">
        <v>44</v>
      </c>
      <c r="J13" s="1" t="s">
        <v>57</v>
      </c>
      <c r="K13" s="1">
        <f>DATEDIF(I13,J13,"M")</f>
        <v>1</v>
      </c>
      <c r="L13" s="11">
        <v>44.36</v>
      </c>
      <c r="M13" s="1" t="s">
        <v>48</v>
      </c>
      <c r="N13" s="1" t="s">
        <v>249</v>
      </c>
      <c r="O13" s="17">
        <v>0.52</v>
      </c>
      <c r="P13" s="11">
        <v>23.07</v>
      </c>
      <c r="Q13" s="11">
        <v>0</v>
      </c>
      <c r="R13" s="1" t="s">
        <v>332</v>
      </c>
      <c r="S13" s="1">
        <f>SUM(L13*O13)</f>
        <v>23.0672</v>
      </c>
    </row>
    <row r="14" spans="1:19" x14ac:dyDescent="0.2">
      <c r="A14" s="1">
        <v>8325282</v>
      </c>
      <c r="B14" s="1" t="s">
        <v>325</v>
      </c>
      <c r="C14" s="1" t="s">
        <v>294</v>
      </c>
      <c r="D14" s="1" t="s">
        <v>295</v>
      </c>
      <c r="E14" s="1" t="s">
        <v>341</v>
      </c>
      <c r="F14" s="1" t="s">
        <v>40</v>
      </c>
      <c r="G14" s="1" t="s">
        <v>41</v>
      </c>
      <c r="H14" s="1" t="s">
        <v>274</v>
      </c>
      <c r="I14" s="1" t="s">
        <v>206</v>
      </c>
      <c r="J14" s="1" t="s">
        <v>160</v>
      </c>
      <c r="K14" s="1">
        <f>DATEDIF(I14,J14,"M")</f>
        <v>10</v>
      </c>
      <c r="L14" s="11">
        <v>34.36</v>
      </c>
      <c r="M14" s="1" t="s">
        <v>48</v>
      </c>
      <c r="N14" s="1" t="s">
        <v>49</v>
      </c>
      <c r="O14" s="18">
        <v>0.52</v>
      </c>
      <c r="P14" s="11">
        <v>17.87</v>
      </c>
      <c r="Q14" s="11">
        <v>0</v>
      </c>
      <c r="R14" s="1" t="s">
        <v>332</v>
      </c>
      <c r="S14" s="1">
        <f>SUM(L14*O14)</f>
        <v>17.8672</v>
      </c>
    </row>
    <row r="15" spans="1:19" x14ac:dyDescent="0.2">
      <c r="A15" s="12">
        <v>8325282</v>
      </c>
      <c r="B15" s="12" t="s">
        <v>325</v>
      </c>
      <c r="C15" s="12" t="s">
        <v>296</v>
      </c>
      <c r="D15" s="12" t="s">
        <v>297</v>
      </c>
      <c r="E15" s="12" t="s">
        <v>341</v>
      </c>
      <c r="F15" s="12" t="s">
        <v>40</v>
      </c>
      <c r="G15" s="12" t="s">
        <v>109</v>
      </c>
      <c r="H15" s="12" t="s">
        <v>274</v>
      </c>
      <c r="I15" s="12" t="s">
        <v>61</v>
      </c>
      <c r="J15" s="12" t="s">
        <v>44</v>
      </c>
      <c r="K15" s="12">
        <f>DATEDIF(I15,J15,"M")</f>
        <v>8</v>
      </c>
      <c r="L15" s="14">
        <v>34.36</v>
      </c>
      <c r="M15" s="12" t="s">
        <v>48</v>
      </c>
      <c r="N15" s="12" t="s">
        <v>49</v>
      </c>
      <c r="O15" s="16">
        <v>0.52</v>
      </c>
      <c r="P15" s="14">
        <v>0</v>
      </c>
      <c r="Q15" s="14">
        <v>-17.87</v>
      </c>
      <c r="R15" s="1" t="s">
        <v>330</v>
      </c>
      <c r="S15" s="1">
        <f>SUM(L15*O15)</f>
        <v>17.8672</v>
      </c>
    </row>
    <row r="16" spans="1:19" x14ac:dyDescent="0.2">
      <c r="A16" s="12">
        <v>8814784</v>
      </c>
      <c r="B16" s="12" t="s">
        <v>319</v>
      </c>
      <c r="C16" s="12" t="s">
        <v>139</v>
      </c>
      <c r="D16" s="12" t="s">
        <v>140</v>
      </c>
      <c r="E16" s="12" t="s">
        <v>346</v>
      </c>
      <c r="F16" s="12" t="s">
        <v>40</v>
      </c>
      <c r="G16" s="12" t="s">
        <v>120</v>
      </c>
      <c r="H16" s="12" t="s">
        <v>125</v>
      </c>
      <c r="I16" s="31">
        <v>45662</v>
      </c>
      <c r="J16" s="12" t="s">
        <v>127</v>
      </c>
      <c r="K16" s="12">
        <f>DATEDIF(I16,J16,"M")</f>
        <v>8</v>
      </c>
      <c r="L16" s="14">
        <v>175.78</v>
      </c>
      <c r="M16" s="12" t="s">
        <v>48</v>
      </c>
      <c r="N16" s="12" t="s">
        <v>49</v>
      </c>
      <c r="O16" s="16">
        <v>1.35</v>
      </c>
      <c r="P16" s="14">
        <v>0</v>
      </c>
      <c r="Q16" s="14">
        <v>-237.3</v>
      </c>
      <c r="R16" s="1" t="s">
        <v>330</v>
      </c>
      <c r="S16" s="1">
        <f>SUM(L16*O16)</f>
        <v>237.30300000000003</v>
      </c>
    </row>
    <row r="17" spans="1:19" x14ac:dyDescent="0.2">
      <c r="A17" s="12">
        <v>8814784</v>
      </c>
      <c r="B17" s="12" t="s">
        <v>319</v>
      </c>
      <c r="C17" s="12" t="s">
        <v>142</v>
      </c>
      <c r="D17" s="12" t="s">
        <v>143</v>
      </c>
      <c r="E17" s="12" t="s">
        <v>346</v>
      </c>
      <c r="F17" s="12" t="s">
        <v>40</v>
      </c>
      <c r="G17" s="12" t="s">
        <v>120</v>
      </c>
      <c r="H17" s="12" t="s">
        <v>125</v>
      </c>
      <c r="I17" s="12" t="s">
        <v>144</v>
      </c>
      <c r="J17" s="12" t="s">
        <v>44</v>
      </c>
      <c r="K17" s="12">
        <f>DATEDIF(I17,J17,"M")</f>
        <v>6</v>
      </c>
      <c r="L17" s="14">
        <v>55</v>
      </c>
      <c r="M17" s="12" t="s">
        <v>48</v>
      </c>
      <c r="N17" s="12" t="s">
        <v>49</v>
      </c>
      <c r="O17" s="16">
        <v>1.35</v>
      </c>
      <c r="P17" s="14">
        <v>0</v>
      </c>
      <c r="Q17" s="14">
        <v>-74.25</v>
      </c>
      <c r="R17" s="1" t="s">
        <v>330</v>
      </c>
      <c r="S17" s="1">
        <f>SUM(L17*O17)</f>
        <v>74.25</v>
      </c>
    </row>
    <row r="18" spans="1:19" x14ac:dyDescent="0.2">
      <c r="A18" s="1">
        <v>9213293</v>
      </c>
      <c r="B18" s="1" t="s">
        <v>317</v>
      </c>
      <c r="C18" s="1" t="s">
        <v>132</v>
      </c>
      <c r="D18" s="1" t="s">
        <v>133</v>
      </c>
      <c r="E18" s="1" t="s">
        <v>346</v>
      </c>
      <c r="F18" s="1" t="s">
        <v>40</v>
      </c>
      <c r="G18" s="1" t="s">
        <v>41</v>
      </c>
      <c r="H18" s="1" t="s">
        <v>125</v>
      </c>
      <c r="I18" s="1" t="s">
        <v>43</v>
      </c>
      <c r="J18" s="1" t="s">
        <v>44</v>
      </c>
      <c r="K18" s="1">
        <f>DATEDIF(I18,J18,"M")</f>
        <v>9</v>
      </c>
      <c r="L18" s="11">
        <v>115.77</v>
      </c>
      <c r="M18" s="1" t="s">
        <v>48</v>
      </c>
      <c r="N18" s="1" t="s">
        <v>49</v>
      </c>
      <c r="O18" s="17">
        <v>1.35</v>
      </c>
      <c r="P18" s="11">
        <v>0</v>
      </c>
      <c r="Q18" s="11">
        <v>-156.29</v>
      </c>
      <c r="R18" s="1" t="s">
        <v>332</v>
      </c>
      <c r="S18" s="1">
        <f>SUM(L18*O18)</f>
        <v>156.2895</v>
      </c>
    </row>
    <row r="19" spans="1:19" x14ac:dyDescent="0.2">
      <c r="A19" s="19">
        <v>8307933</v>
      </c>
      <c r="B19" s="19" t="s">
        <v>320</v>
      </c>
      <c r="C19" s="19" t="s">
        <v>229</v>
      </c>
      <c r="D19" s="19" t="s">
        <v>230</v>
      </c>
      <c r="E19" s="19" t="s">
        <v>347</v>
      </c>
      <c r="F19" s="19" t="s">
        <v>40</v>
      </c>
      <c r="G19" s="19" t="s">
        <v>120</v>
      </c>
      <c r="H19" s="19" t="s">
        <v>100</v>
      </c>
      <c r="I19" s="19" t="s">
        <v>66</v>
      </c>
      <c r="J19" s="19" t="s">
        <v>56</v>
      </c>
      <c r="K19" s="19">
        <f>DATEDIF(I19,J19,"M")</f>
        <v>1</v>
      </c>
      <c r="L19" s="21">
        <v>-202.12</v>
      </c>
      <c r="M19" s="19" t="s">
        <v>48</v>
      </c>
      <c r="N19" s="19" t="s">
        <v>231</v>
      </c>
      <c r="O19" s="22">
        <v>1.5</v>
      </c>
      <c r="P19" s="21">
        <v>-308.18</v>
      </c>
      <c r="Q19" s="21">
        <v>-308.18</v>
      </c>
      <c r="R19" s="19" t="s">
        <v>332</v>
      </c>
      <c r="S19" s="19">
        <f>SUM(L19*O19)</f>
        <v>-303.18</v>
      </c>
    </row>
    <row r="20" spans="1:19" x14ac:dyDescent="0.2">
      <c r="A20" s="32">
        <v>8307933</v>
      </c>
      <c r="B20" s="32" t="s">
        <v>320</v>
      </c>
      <c r="C20" s="32" t="s">
        <v>258</v>
      </c>
      <c r="D20" s="32" t="s">
        <v>259</v>
      </c>
      <c r="E20" s="32" t="s">
        <v>347</v>
      </c>
      <c r="F20" s="32" t="s">
        <v>40</v>
      </c>
      <c r="G20" s="32" t="s">
        <v>54</v>
      </c>
      <c r="H20" s="32" t="s">
        <v>100</v>
      </c>
      <c r="I20" s="32" t="s">
        <v>44</v>
      </c>
      <c r="J20" s="32" t="s">
        <v>44</v>
      </c>
      <c r="K20" s="32">
        <f>DATEDIF(I20,J20,"M")</f>
        <v>0</v>
      </c>
      <c r="L20" s="33">
        <v>189.97</v>
      </c>
      <c r="M20" s="32"/>
      <c r="N20" s="32" t="s">
        <v>249</v>
      </c>
      <c r="O20" s="34">
        <v>1.5</v>
      </c>
      <c r="P20" s="33">
        <v>2000</v>
      </c>
      <c r="Q20" s="33">
        <v>2000</v>
      </c>
      <c r="R20" s="32" t="s">
        <v>332</v>
      </c>
      <c r="S20" s="32">
        <f>SUM(L20*O20)</f>
        <v>284.95499999999998</v>
      </c>
    </row>
    <row r="21" spans="1:19" x14ac:dyDescent="0.2">
      <c r="A21" s="1">
        <v>8307933</v>
      </c>
      <c r="B21" s="1" t="s">
        <v>320</v>
      </c>
      <c r="C21" s="1" t="s">
        <v>157</v>
      </c>
      <c r="D21" s="1" t="s">
        <v>158</v>
      </c>
      <c r="E21" s="1" t="s">
        <v>346</v>
      </c>
      <c r="F21" s="1" t="s">
        <v>40</v>
      </c>
      <c r="G21" s="1" t="s">
        <v>109</v>
      </c>
      <c r="H21" s="1" t="s">
        <v>116</v>
      </c>
      <c r="I21" s="1" t="s">
        <v>159</v>
      </c>
      <c r="J21" s="1" t="s">
        <v>160</v>
      </c>
      <c r="K21" s="1">
        <f>DATEDIF(I21,J21,"M")</f>
        <v>11</v>
      </c>
      <c r="L21" s="11">
        <v>388.74</v>
      </c>
      <c r="M21" s="1" t="s">
        <v>48</v>
      </c>
      <c r="N21" s="1" t="s">
        <v>49</v>
      </c>
      <c r="O21" s="17">
        <v>1.35</v>
      </c>
      <c r="P21" s="11">
        <v>524.79999999999995</v>
      </c>
      <c r="Q21" s="11">
        <v>0</v>
      </c>
      <c r="R21" s="1" t="s">
        <v>332</v>
      </c>
      <c r="S21" s="1">
        <f>SUM(L21*O21)</f>
        <v>524.79900000000009</v>
      </c>
    </row>
    <row r="22" spans="1:19" x14ac:dyDescent="0.2">
      <c r="A22" s="1">
        <v>8307933</v>
      </c>
      <c r="B22" s="1" t="s">
        <v>320</v>
      </c>
      <c r="C22" s="1" t="s">
        <v>181</v>
      </c>
      <c r="D22" s="1" t="s">
        <v>182</v>
      </c>
      <c r="E22" s="1" t="s">
        <v>347</v>
      </c>
      <c r="F22" s="1" t="s">
        <v>115</v>
      </c>
      <c r="G22" s="1" t="s">
        <v>85</v>
      </c>
      <c r="H22" s="1" t="s">
        <v>100</v>
      </c>
      <c r="I22" s="1" t="s">
        <v>183</v>
      </c>
      <c r="J22" s="1" t="s">
        <v>184</v>
      </c>
      <c r="K22" s="1">
        <f>DATEDIF(I22,J22,"M")</f>
        <v>9</v>
      </c>
      <c r="L22" s="11">
        <v>101.24</v>
      </c>
      <c r="M22" s="1" t="s">
        <v>48</v>
      </c>
      <c r="N22" s="1" t="s">
        <v>49</v>
      </c>
      <c r="O22" s="17">
        <v>1.5</v>
      </c>
      <c r="P22" s="11">
        <v>0</v>
      </c>
      <c r="Q22" s="11">
        <v>-151.86000000000001</v>
      </c>
      <c r="R22" s="1" t="s">
        <v>332</v>
      </c>
      <c r="S22" s="1">
        <f>SUM(L22*O22)</f>
        <v>151.85999999999999</v>
      </c>
    </row>
    <row r="23" spans="1:19" x14ac:dyDescent="0.2">
      <c r="A23" s="1">
        <v>8307933</v>
      </c>
      <c r="B23" s="1" t="s">
        <v>320</v>
      </c>
      <c r="C23" s="1" t="s">
        <v>224</v>
      </c>
      <c r="D23" s="1" t="s">
        <v>225</v>
      </c>
      <c r="E23" s="1" t="s">
        <v>342</v>
      </c>
      <c r="F23" s="1" t="s">
        <v>40</v>
      </c>
      <c r="G23" s="1" t="s">
        <v>85</v>
      </c>
      <c r="H23" s="1" t="s">
        <v>116</v>
      </c>
      <c r="I23" s="1" t="s">
        <v>226</v>
      </c>
      <c r="J23" s="1" t="s">
        <v>88</v>
      </c>
      <c r="K23" s="1">
        <f>DATEDIF(I23,J23,"M")</f>
        <v>5</v>
      </c>
      <c r="L23" s="11">
        <v>197.58</v>
      </c>
      <c r="M23" s="1" t="s">
        <v>48</v>
      </c>
      <c r="N23" s="1" t="s">
        <v>49</v>
      </c>
      <c r="O23" s="17">
        <v>0.67500000000000004</v>
      </c>
      <c r="P23" s="11">
        <v>0</v>
      </c>
      <c r="Q23" s="11">
        <v>-133.37</v>
      </c>
      <c r="R23" s="1" t="s">
        <v>332</v>
      </c>
      <c r="S23" s="1">
        <f>SUM(L23*O23)</f>
        <v>133.36650000000003</v>
      </c>
    </row>
    <row r="24" spans="1:19" x14ac:dyDescent="0.2">
      <c r="A24" s="1">
        <v>8307933</v>
      </c>
      <c r="B24" s="1" t="s">
        <v>320</v>
      </c>
      <c r="C24" s="1" t="s">
        <v>161</v>
      </c>
      <c r="D24" s="1" t="s">
        <v>162</v>
      </c>
      <c r="E24" s="1" t="s">
        <v>346</v>
      </c>
      <c r="F24" s="1" t="s">
        <v>40</v>
      </c>
      <c r="G24" s="1" t="s">
        <v>85</v>
      </c>
      <c r="H24" s="1" t="s">
        <v>116</v>
      </c>
      <c r="I24" s="1" t="s">
        <v>156</v>
      </c>
      <c r="J24" s="1" t="s">
        <v>88</v>
      </c>
      <c r="K24" s="1">
        <f>DATEDIF(I24,J24,"M")</f>
        <v>11</v>
      </c>
      <c r="L24" s="11">
        <v>194.98</v>
      </c>
      <c r="M24" s="1" t="s">
        <v>48</v>
      </c>
      <c r="N24" s="1" t="s">
        <v>49</v>
      </c>
      <c r="O24" s="17">
        <v>1.35</v>
      </c>
      <c r="P24" s="11">
        <v>263.22000000000003</v>
      </c>
      <c r="Q24" s="11">
        <v>0</v>
      </c>
      <c r="R24" s="1" t="s">
        <v>332</v>
      </c>
      <c r="S24" s="1">
        <f>SUM(L24*O24)</f>
        <v>263.22300000000001</v>
      </c>
    </row>
    <row r="25" spans="1:19" x14ac:dyDescent="0.2">
      <c r="A25" s="1">
        <v>8307933</v>
      </c>
      <c r="B25" s="1" t="s">
        <v>320</v>
      </c>
      <c r="C25" s="1" t="s">
        <v>163</v>
      </c>
      <c r="D25" s="1" t="s">
        <v>164</v>
      </c>
      <c r="E25" s="1" t="s">
        <v>347</v>
      </c>
      <c r="F25" s="1" t="s">
        <v>165</v>
      </c>
      <c r="G25" s="1" t="s">
        <v>85</v>
      </c>
      <c r="H25" s="1" t="s">
        <v>100</v>
      </c>
      <c r="I25" s="1" t="s">
        <v>166</v>
      </c>
      <c r="J25" s="1" t="s">
        <v>93</v>
      </c>
      <c r="K25" s="1">
        <f>DATEDIF(I25,J25,"M")</f>
        <v>10</v>
      </c>
      <c r="L25" s="11">
        <v>157.66</v>
      </c>
      <c r="M25" s="1" t="s">
        <v>48</v>
      </c>
      <c r="N25" s="1" t="s">
        <v>49</v>
      </c>
      <c r="O25" s="17">
        <v>1.5</v>
      </c>
      <c r="P25" s="11">
        <v>236.49</v>
      </c>
      <c r="Q25" s="11">
        <v>0</v>
      </c>
      <c r="R25" s="1" t="s">
        <v>332</v>
      </c>
      <c r="S25" s="1">
        <f>SUM(L25*O25)</f>
        <v>236.49</v>
      </c>
    </row>
    <row r="26" spans="1:19" x14ac:dyDescent="0.2">
      <c r="A26" s="1">
        <v>8307933</v>
      </c>
      <c r="B26" s="1" t="s">
        <v>320</v>
      </c>
      <c r="C26" s="1" t="s">
        <v>185</v>
      </c>
      <c r="D26" s="1" t="s">
        <v>186</v>
      </c>
      <c r="E26" s="1" t="s">
        <v>347</v>
      </c>
      <c r="F26" s="1" t="s">
        <v>40</v>
      </c>
      <c r="G26" s="1" t="s">
        <v>120</v>
      </c>
      <c r="H26" s="1" t="s">
        <v>100</v>
      </c>
      <c r="I26" s="1" t="s">
        <v>187</v>
      </c>
      <c r="J26" s="1" t="s">
        <v>127</v>
      </c>
      <c r="K26" s="1">
        <f>DATEDIF(I26,J26,"M")</f>
        <v>7</v>
      </c>
      <c r="L26" s="11">
        <v>55.8</v>
      </c>
      <c r="M26" s="1" t="s">
        <v>48</v>
      </c>
      <c r="N26" s="1" t="s">
        <v>49</v>
      </c>
      <c r="O26" s="17">
        <v>1.5</v>
      </c>
      <c r="P26" s="11">
        <v>0</v>
      </c>
      <c r="Q26" s="11">
        <v>-83.7</v>
      </c>
      <c r="R26" s="1" t="s">
        <v>332</v>
      </c>
      <c r="S26" s="1">
        <f>SUM(L26*O26)</f>
        <v>83.699999999999989</v>
      </c>
    </row>
    <row r="27" spans="1:19" x14ac:dyDescent="0.2">
      <c r="A27" s="1">
        <v>8307933</v>
      </c>
      <c r="B27" s="1" t="s">
        <v>320</v>
      </c>
      <c r="C27" s="1" t="s">
        <v>173</v>
      </c>
      <c r="D27" s="1" t="s">
        <v>174</v>
      </c>
      <c r="E27" s="1" t="s">
        <v>346</v>
      </c>
      <c r="F27" s="1" t="s">
        <v>175</v>
      </c>
      <c r="G27" s="1" t="s">
        <v>120</v>
      </c>
      <c r="H27" s="1" t="s">
        <v>116</v>
      </c>
      <c r="I27" s="1" t="s">
        <v>176</v>
      </c>
      <c r="J27" s="1" t="s">
        <v>127</v>
      </c>
      <c r="K27" s="1">
        <f>DATEDIF(I27,J27,"M")</f>
        <v>9</v>
      </c>
      <c r="L27" s="11">
        <v>171.54</v>
      </c>
      <c r="M27" s="1" t="s">
        <v>48</v>
      </c>
      <c r="N27" s="1" t="s">
        <v>49</v>
      </c>
      <c r="O27" s="17">
        <v>1.35</v>
      </c>
      <c r="P27" s="11">
        <v>84.22</v>
      </c>
      <c r="Q27" s="11">
        <v>-147.36000000000001</v>
      </c>
      <c r="R27" s="1" t="s">
        <v>332</v>
      </c>
      <c r="S27" s="1">
        <f>SUM(L27*O27)</f>
        <v>231.57900000000001</v>
      </c>
    </row>
    <row r="28" spans="1:19" x14ac:dyDescent="0.2">
      <c r="A28" s="1">
        <v>8307933</v>
      </c>
      <c r="B28" s="1" t="s">
        <v>320</v>
      </c>
      <c r="C28" s="1" t="s">
        <v>167</v>
      </c>
      <c r="D28" s="1" t="s">
        <v>168</v>
      </c>
      <c r="E28" s="1" t="s">
        <v>347</v>
      </c>
      <c r="F28" s="1" t="s">
        <v>84</v>
      </c>
      <c r="G28" s="1" t="s">
        <v>54</v>
      </c>
      <c r="H28" s="1" t="s">
        <v>100</v>
      </c>
      <c r="I28" s="1" t="s">
        <v>169</v>
      </c>
      <c r="J28" s="1" t="s">
        <v>170</v>
      </c>
      <c r="K28" s="1">
        <f>DATEDIF(I28,J28,"M")</f>
        <v>10</v>
      </c>
      <c r="L28" s="11">
        <v>63.41</v>
      </c>
      <c r="M28" s="1" t="s">
        <v>48</v>
      </c>
      <c r="N28" s="1" t="s">
        <v>49</v>
      </c>
      <c r="O28" s="17">
        <v>1.5</v>
      </c>
      <c r="P28" s="11">
        <v>95.12</v>
      </c>
      <c r="Q28" s="11">
        <v>0</v>
      </c>
      <c r="R28" s="1" t="s">
        <v>332</v>
      </c>
      <c r="S28" s="1">
        <f>SUM(L28*O28)</f>
        <v>95.114999999999995</v>
      </c>
    </row>
    <row r="29" spans="1:19" x14ac:dyDescent="0.2">
      <c r="A29" s="1">
        <v>8307933</v>
      </c>
      <c r="B29" s="1" t="s">
        <v>320</v>
      </c>
      <c r="C29" s="1" t="s">
        <v>188</v>
      </c>
      <c r="D29" s="1" t="s">
        <v>189</v>
      </c>
      <c r="E29" s="1" t="s">
        <v>347</v>
      </c>
      <c r="F29" s="1" t="s">
        <v>40</v>
      </c>
      <c r="G29" s="1" t="s">
        <v>85</v>
      </c>
      <c r="H29" s="1" t="s">
        <v>100</v>
      </c>
      <c r="I29" s="1" t="s">
        <v>190</v>
      </c>
      <c r="J29" s="1" t="s">
        <v>191</v>
      </c>
      <c r="K29" s="1">
        <f>DATEDIF(I29,J29,"M")</f>
        <v>7</v>
      </c>
      <c r="L29" s="11">
        <v>63.28</v>
      </c>
      <c r="M29" s="1" t="s">
        <v>48</v>
      </c>
      <c r="N29" s="1" t="s">
        <v>49</v>
      </c>
      <c r="O29" s="17">
        <v>1.5</v>
      </c>
      <c r="P29" s="11">
        <v>0</v>
      </c>
      <c r="Q29" s="11">
        <v>-94.92</v>
      </c>
      <c r="R29" s="1" t="s">
        <v>332</v>
      </c>
      <c r="S29" s="1">
        <f>SUM(L29*O29)</f>
        <v>94.92</v>
      </c>
    </row>
    <row r="30" spans="1:19" x14ac:dyDescent="0.2">
      <c r="A30" s="1">
        <v>8307933</v>
      </c>
      <c r="B30" s="1" t="s">
        <v>320</v>
      </c>
      <c r="C30" s="1" t="s">
        <v>221</v>
      </c>
      <c r="D30" s="1" t="s">
        <v>222</v>
      </c>
      <c r="E30" s="1" t="s">
        <v>347</v>
      </c>
      <c r="F30" s="1" t="s">
        <v>70</v>
      </c>
      <c r="G30" s="1" t="s">
        <v>85</v>
      </c>
      <c r="H30" s="1" t="s">
        <v>100</v>
      </c>
      <c r="I30" s="1" t="s">
        <v>223</v>
      </c>
      <c r="J30" s="1" t="s">
        <v>93</v>
      </c>
      <c r="K30" s="1">
        <f>DATEDIF(I30,J30,"M")</f>
        <v>7</v>
      </c>
      <c r="L30" s="11">
        <v>105.13</v>
      </c>
      <c r="M30" s="1" t="s">
        <v>48</v>
      </c>
      <c r="N30" s="1" t="s">
        <v>49</v>
      </c>
      <c r="O30" s="17">
        <v>1.5</v>
      </c>
      <c r="P30" s="11">
        <v>0</v>
      </c>
      <c r="Q30" s="11">
        <v>-157.69999999999999</v>
      </c>
      <c r="R30" s="1" t="s">
        <v>332</v>
      </c>
      <c r="S30" s="1">
        <f>SUM(L30*O30)</f>
        <v>157.69499999999999</v>
      </c>
    </row>
    <row r="31" spans="1:19" x14ac:dyDescent="0.2">
      <c r="A31" s="1">
        <v>8307933</v>
      </c>
      <c r="B31" s="1" t="s">
        <v>320</v>
      </c>
      <c r="C31" s="1" t="s">
        <v>149</v>
      </c>
      <c r="D31" s="1" t="s">
        <v>150</v>
      </c>
      <c r="E31" s="1" t="s">
        <v>347</v>
      </c>
      <c r="F31" s="1" t="s">
        <v>151</v>
      </c>
      <c r="G31" s="1" t="s">
        <v>120</v>
      </c>
      <c r="H31" s="1" t="s">
        <v>100</v>
      </c>
      <c r="I31" s="1" t="s">
        <v>152</v>
      </c>
      <c r="J31" s="1" t="s">
        <v>153</v>
      </c>
      <c r="K31" s="1">
        <f>DATEDIF(I31,J31,"M")</f>
        <v>12</v>
      </c>
      <c r="L31" s="11">
        <v>128.63999999999999</v>
      </c>
      <c r="M31" s="1" t="s">
        <v>48</v>
      </c>
      <c r="N31" s="1" t="s">
        <v>49</v>
      </c>
      <c r="O31" s="17">
        <v>1.5</v>
      </c>
      <c r="P31" s="11">
        <v>192.96</v>
      </c>
      <c r="Q31" s="11">
        <v>0</v>
      </c>
      <c r="R31" s="1" t="s">
        <v>332</v>
      </c>
      <c r="S31" s="1">
        <f>SUM(L31*O31)</f>
        <v>192.95999999999998</v>
      </c>
    </row>
    <row r="32" spans="1:19" x14ac:dyDescent="0.2">
      <c r="A32" s="1">
        <v>8307933</v>
      </c>
      <c r="B32" s="1" t="s">
        <v>320</v>
      </c>
      <c r="C32" s="1" t="s">
        <v>145</v>
      </c>
      <c r="D32" s="1" t="s">
        <v>146</v>
      </c>
      <c r="E32" s="1" t="s">
        <v>342</v>
      </c>
      <c r="F32" s="1" t="s">
        <v>147</v>
      </c>
      <c r="G32" s="1" t="s">
        <v>54</v>
      </c>
      <c r="H32" s="1" t="s">
        <v>116</v>
      </c>
      <c r="I32" s="1" t="s">
        <v>148</v>
      </c>
      <c r="J32" s="1" t="s">
        <v>88</v>
      </c>
      <c r="K32" s="1">
        <f>DATEDIF(I32,J32,"M")</f>
        <v>12</v>
      </c>
      <c r="L32" s="11">
        <v>172.71</v>
      </c>
      <c r="M32" s="1" t="s">
        <v>48</v>
      </c>
      <c r="N32" s="1" t="s">
        <v>49</v>
      </c>
      <c r="O32" s="17">
        <v>0.67500000000000004</v>
      </c>
      <c r="P32" s="11">
        <v>116.58</v>
      </c>
      <c r="Q32" s="11">
        <v>0</v>
      </c>
      <c r="R32" s="1" t="s">
        <v>332</v>
      </c>
      <c r="S32" s="1">
        <f>SUM(L32*O32)</f>
        <v>116.57925000000002</v>
      </c>
    </row>
    <row r="33" spans="1:19" x14ac:dyDescent="0.2">
      <c r="A33" s="1">
        <v>8307933</v>
      </c>
      <c r="B33" s="1" t="s">
        <v>320</v>
      </c>
      <c r="C33" s="1" t="s">
        <v>227</v>
      </c>
      <c r="D33" s="1" t="s">
        <v>228</v>
      </c>
      <c r="E33" s="1" t="s">
        <v>347</v>
      </c>
      <c r="F33" s="1" t="s">
        <v>91</v>
      </c>
      <c r="G33" s="1" t="s">
        <v>85</v>
      </c>
      <c r="H33" s="1" t="s">
        <v>100</v>
      </c>
      <c r="I33" s="1" t="s">
        <v>219</v>
      </c>
      <c r="J33" s="1" t="s">
        <v>220</v>
      </c>
      <c r="K33" s="1">
        <f>DATEDIF(I33,J33,"M")</f>
        <v>6</v>
      </c>
      <c r="L33" s="11">
        <v>31.51</v>
      </c>
      <c r="M33" s="1" t="s">
        <v>48</v>
      </c>
      <c r="N33" s="1" t="s">
        <v>49</v>
      </c>
      <c r="O33" s="17">
        <v>1.5</v>
      </c>
      <c r="P33" s="11">
        <v>0</v>
      </c>
      <c r="Q33" s="11">
        <v>-47.27</v>
      </c>
      <c r="R33" s="1" t="s">
        <v>332</v>
      </c>
      <c r="S33" s="1">
        <f>SUM(L33*O33)</f>
        <v>47.265000000000001</v>
      </c>
    </row>
    <row r="34" spans="1:19" x14ac:dyDescent="0.2">
      <c r="A34" s="1">
        <v>8307933</v>
      </c>
      <c r="B34" s="1" t="s">
        <v>320</v>
      </c>
      <c r="C34" s="1" t="s">
        <v>217</v>
      </c>
      <c r="D34" s="1" t="s">
        <v>218</v>
      </c>
      <c r="E34" s="1" t="s">
        <v>347</v>
      </c>
      <c r="F34" s="1" t="s">
        <v>91</v>
      </c>
      <c r="G34" s="1" t="s">
        <v>85</v>
      </c>
      <c r="H34" s="1" t="s">
        <v>100</v>
      </c>
      <c r="I34" s="1" t="s">
        <v>219</v>
      </c>
      <c r="J34" s="1" t="s">
        <v>220</v>
      </c>
      <c r="K34" s="1">
        <f>DATEDIF(I34,J34,"M")</f>
        <v>6</v>
      </c>
      <c r="L34" s="11">
        <v>67.64</v>
      </c>
      <c r="M34" s="1" t="s">
        <v>48</v>
      </c>
      <c r="N34" s="1" t="s">
        <v>49</v>
      </c>
      <c r="O34" s="17">
        <v>1.5</v>
      </c>
      <c r="P34" s="11">
        <v>0</v>
      </c>
      <c r="Q34" s="11">
        <v>-101.46</v>
      </c>
      <c r="R34" s="1" t="s">
        <v>332</v>
      </c>
      <c r="S34" s="1">
        <f>SUM(L34*O34)</f>
        <v>101.46000000000001</v>
      </c>
    </row>
    <row r="35" spans="1:19" x14ac:dyDescent="0.2">
      <c r="A35" s="1">
        <v>8307933</v>
      </c>
      <c r="B35" s="1" t="s">
        <v>320</v>
      </c>
      <c r="C35" s="1" t="s">
        <v>171</v>
      </c>
      <c r="D35" s="1" t="s">
        <v>172</v>
      </c>
      <c r="E35" s="1" t="s">
        <v>346</v>
      </c>
      <c r="F35" s="1" t="s">
        <v>70</v>
      </c>
      <c r="G35" s="1" t="s">
        <v>85</v>
      </c>
      <c r="H35" s="1" t="s">
        <v>116</v>
      </c>
      <c r="I35" s="1" t="s">
        <v>166</v>
      </c>
      <c r="J35" s="1" t="s">
        <v>93</v>
      </c>
      <c r="K35" s="1">
        <f>DATEDIF(I35,J35,"M")</f>
        <v>10</v>
      </c>
      <c r="L35" s="11">
        <v>66.09</v>
      </c>
      <c r="M35" s="1" t="s">
        <v>48</v>
      </c>
      <c r="N35" s="1" t="s">
        <v>49</v>
      </c>
      <c r="O35" s="17">
        <v>1.35</v>
      </c>
      <c r="P35" s="11">
        <v>89.21</v>
      </c>
      <c r="Q35" s="11">
        <v>-0.01</v>
      </c>
      <c r="R35" s="1" t="s">
        <v>332</v>
      </c>
      <c r="S35" s="1">
        <f>SUM(L35*O35)</f>
        <v>89.221500000000006</v>
      </c>
    </row>
    <row r="36" spans="1:19" x14ac:dyDescent="0.2">
      <c r="A36" s="1">
        <v>8307933</v>
      </c>
      <c r="B36" s="1" t="s">
        <v>320</v>
      </c>
      <c r="C36" s="1" t="s">
        <v>154</v>
      </c>
      <c r="D36" s="1" t="s">
        <v>155</v>
      </c>
      <c r="E36" s="1" t="s">
        <v>346</v>
      </c>
      <c r="F36" s="1" t="s">
        <v>84</v>
      </c>
      <c r="G36" s="1" t="s">
        <v>85</v>
      </c>
      <c r="H36" s="1" t="s">
        <v>116</v>
      </c>
      <c r="I36" s="1" t="s">
        <v>156</v>
      </c>
      <c r="J36" s="1" t="s">
        <v>88</v>
      </c>
      <c r="K36" s="1">
        <f>DATEDIF(I36,J36,"M")</f>
        <v>11</v>
      </c>
      <c r="L36" s="11">
        <v>226.87</v>
      </c>
      <c r="M36" s="1" t="s">
        <v>48</v>
      </c>
      <c r="N36" s="1" t="s">
        <v>49</v>
      </c>
      <c r="O36" s="17">
        <v>1.35</v>
      </c>
      <c r="P36" s="11">
        <v>306.27</v>
      </c>
      <c r="Q36" s="11">
        <v>0</v>
      </c>
      <c r="R36" s="1" t="s">
        <v>332</v>
      </c>
      <c r="S36" s="1">
        <f>SUM(L36*O36)</f>
        <v>306.27450000000005</v>
      </c>
    </row>
    <row r="37" spans="1:19" x14ac:dyDescent="0.2">
      <c r="A37" s="1">
        <v>8307933</v>
      </c>
      <c r="B37" s="1" t="s">
        <v>320</v>
      </c>
      <c r="C37" s="1" t="s">
        <v>177</v>
      </c>
      <c r="D37" s="1" t="s">
        <v>178</v>
      </c>
      <c r="E37" s="1" t="s">
        <v>347</v>
      </c>
      <c r="F37" s="1" t="s">
        <v>179</v>
      </c>
      <c r="G37" s="1" t="s">
        <v>109</v>
      </c>
      <c r="H37" s="1" t="s">
        <v>100</v>
      </c>
      <c r="I37" s="1" t="s">
        <v>180</v>
      </c>
      <c r="J37" s="1" t="s">
        <v>160</v>
      </c>
      <c r="K37" s="1">
        <f>DATEDIF(I37,J37,"M")</f>
        <v>9</v>
      </c>
      <c r="L37" s="11">
        <v>52.93</v>
      </c>
      <c r="M37" s="1" t="s">
        <v>48</v>
      </c>
      <c r="N37" s="1" t="s">
        <v>49</v>
      </c>
      <c r="O37" s="17">
        <v>1.5</v>
      </c>
      <c r="P37" s="11">
        <v>0</v>
      </c>
      <c r="Q37" s="11">
        <v>-79.400000000000006</v>
      </c>
      <c r="R37" s="1" t="s">
        <v>332</v>
      </c>
      <c r="S37" s="1">
        <f>SUM(L37*O37)</f>
        <v>79.394999999999996</v>
      </c>
    </row>
    <row r="38" spans="1:19" x14ac:dyDescent="0.2">
      <c r="A38" s="1">
        <v>8307933</v>
      </c>
      <c r="B38" s="1" t="s">
        <v>320</v>
      </c>
      <c r="C38" s="1" t="s">
        <v>192</v>
      </c>
      <c r="D38" s="1" t="s">
        <v>193</v>
      </c>
      <c r="E38" s="1" t="s">
        <v>343</v>
      </c>
      <c r="F38" s="1" t="s">
        <v>84</v>
      </c>
      <c r="G38" s="1" t="s">
        <v>85</v>
      </c>
      <c r="H38" s="1" t="s">
        <v>194</v>
      </c>
      <c r="I38" s="1" t="s">
        <v>195</v>
      </c>
      <c r="J38" s="1" t="s">
        <v>93</v>
      </c>
      <c r="K38" s="1">
        <f>DATEDIF(I38,J38,"M")</f>
        <v>5</v>
      </c>
      <c r="L38" s="11">
        <v>103.81</v>
      </c>
      <c r="M38" s="1" t="s">
        <v>48</v>
      </c>
      <c r="N38" s="1" t="s">
        <v>49</v>
      </c>
      <c r="O38" s="17">
        <v>0.875</v>
      </c>
      <c r="P38" s="11">
        <v>0</v>
      </c>
      <c r="Q38" s="11">
        <v>-90.83</v>
      </c>
      <c r="R38" s="1" t="s">
        <v>332</v>
      </c>
      <c r="S38" s="1">
        <f>SUM(L38*O38)</f>
        <v>90.833750000000009</v>
      </c>
    </row>
    <row r="39" spans="1:19" x14ac:dyDescent="0.2">
      <c r="A39" s="1">
        <v>15278437</v>
      </c>
      <c r="B39" s="1" t="s">
        <v>323</v>
      </c>
      <c r="C39" s="1" t="s">
        <v>255</v>
      </c>
      <c r="D39" s="1" t="s">
        <v>256</v>
      </c>
      <c r="E39" s="1" t="s">
        <v>337</v>
      </c>
      <c r="F39" s="1" t="s">
        <v>70</v>
      </c>
      <c r="G39" s="1" t="s">
        <v>120</v>
      </c>
      <c r="H39" s="1" t="s">
        <v>125</v>
      </c>
      <c r="I39" s="1" t="s">
        <v>257</v>
      </c>
      <c r="J39" s="1" t="s">
        <v>184</v>
      </c>
      <c r="K39" s="1">
        <f>DATEDIF(I39,J39,"M")</f>
        <v>26</v>
      </c>
      <c r="L39" s="11">
        <v>109.75</v>
      </c>
      <c r="M39" s="1" t="s">
        <v>73</v>
      </c>
      <c r="N39" s="1" t="s">
        <v>74</v>
      </c>
      <c r="O39" s="17">
        <v>7.0000000000000007E-2</v>
      </c>
      <c r="P39" s="11">
        <v>7.68</v>
      </c>
      <c r="Q39" s="11">
        <v>0</v>
      </c>
      <c r="R39" s="1" t="s">
        <v>332</v>
      </c>
      <c r="S39" s="1">
        <f>SUM(L39*O39)</f>
        <v>7.682500000000001</v>
      </c>
    </row>
    <row r="40" spans="1:19" x14ac:dyDescent="0.2">
      <c r="A40" s="1">
        <v>16228684</v>
      </c>
      <c r="B40" s="1" t="s">
        <v>322</v>
      </c>
      <c r="C40" s="1" t="s">
        <v>275</v>
      </c>
      <c r="D40" s="1" t="s">
        <v>276</v>
      </c>
      <c r="E40" s="1" t="s">
        <v>341</v>
      </c>
      <c r="F40" s="1" t="s">
        <v>40</v>
      </c>
      <c r="G40" s="1" t="s">
        <v>120</v>
      </c>
      <c r="H40" s="1" t="s">
        <v>277</v>
      </c>
      <c r="I40" s="1" t="s">
        <v>278</v>
      </c>
      <c r="J40" s="1" t="s">
        <v>153</v>
      </c>
      <c r="K40" s="1">
        <f>DATEDIF(I40,J40,"M")</f>
        <v>1</v>
      </c>
      <c r="L40" s="11">
        <v>72.33</v>
      </c>
      <c r="M40" s="1" t="s">
        <v>48</v>
      </c>
      <c r="N40" s="1" t="s">
        <v>249</v>
      </c>
      <c r="O40" s="17">
        <v>0.52</v>
      </c>
      <c r="P40" s="11">
        <v>37.61</v>
      </c>
      <c r="Q40" s="11">
        <v>0</v>
      </c>
      <c r="R40" s="1" t="s">
        <v>332</v>
      </c>
      <c r="S40" s="1">
        <f>SUM(L40*O40)</f>
        <v>37.611600000000003</v>
      </c>
    </row>
    <row r="41" spans="1:19" x14ac:dyDescent="0.2">
      <c r="A41" s="1">
        <v>16228684</v>
      </c>
      <c r="B41" s="1" t="s">
        <v>322</v>
      </c>
      <c r="C41" s="1" t="s">
        <v>232</v>
      </c>
      <c r="D41" s="1" t="s">
        <v>233</v>
      </c>
      <c r="E41" s="1" t="s">
        <v>346</v>
      </c>
      <c r="F41" s="1" t="s">
        <v>40</v>
      </c>
      <c r="G41" s="1" t="s">
        <v>41</v>
      </c>
      <c r="H41" s="1" t="s">
        <v>116</v>
      </c>
      <c r="I41" s="1" t="s">
        <v>41</v>
      </c>
      <c r="J41" s="1" t="s">
        <v>160</v>
      </c>
      <c r="K41" s="1">
        <f>DATEDIF(I41,J41,"M")</f>
        <v>1</v>
      </c>
      <c r="L41" s="11">
        <v>386.56</v>
      </c>
      <c r="N41" s="1" t="s">
        <v>235</v>
      </c>
      <c r="O41" s="17">
        <v>1.35</v>
      </c>
      <c r="P41" s="11">
        <v>4696.7</v>
      </c>
      <c r="Q41" s="11">
        <v>0</v>
      </c>
      <c r="R41" s="1" t="s">
        <v>332</v>
      </c>
      <c r="S41" s="1">
        <f>SUM(L41*O41)</f>
        <v>521.85599999999999</v>
      </c>
    </row>
    <row r="42" spans="1:19" x14ac:dyDescent="0.2">
      <c r="A42" s="1">
        <v>6634327</v>
      </c>
      <c r="B42" s="1" t="s">
        <v>312</v>
      </c>
      <c r="C42" s="1" t="s">
        <v>111</v>
      </c>
      <c r="D42" s="1" t="s">
        <v>112</v>
      </c>
      <c r="E42" s="1" t="s">
        <v>347</v>
      </c>
      <c r="F42" s="1" t="s">
        <v>108</v>
      </c>
      <c r="G42" s="1" t="s">
        <v>109</v>
      </c>
      <c r="H42" s="1" t="s">
        <v>110</v>
      </c>
      <c r="I42" s="1" t="s">
        <v>87</v>
      </c>
      <c r="J42" s="1" t="s">
        <v>88</v>
      </c>
      <c r="K42" s="1">
        <f>DATEDIF(I42,J42,"M")</f>
        <v>9</v>
      </c>
      <c r="L42" s="11">
        <v>9.5</v>
      </c>
      <c r="M42" s="1" t="s">
        <v>48</v>
      </c>
      <c r="N42" s="1" t="s">
        <v>49</v>
      </c>
      <c r="O42" s="18">
        <v>1.5</v>
      </c>
      <c r="P42" s="11">
        <v>0</v>
      </c>
      <c r="Q42" s="11">
        <v>-14.25</v>
      </c>
      <c r="R42" s="1" t="s">
        <v>332</v>
      </c>
      <c r="S42" s="1">
        <f>SUM(L42*O42)</f>
        <v>14.25</v>
      </c>
    </row>
    <row r="43" spans="1:19" x14ac:dyDescent="0.2">
      <c r="A43" s="1">
        <v>6634327</v>
      </c>
      <c r="B43" s="1" t="s">
        <v>312</v>
      </c>
      <c r="C43" s="1" t="s">
        <v>106</v>
      </c>
      <c r="D43" s="1" t="s">
        <v>107</v>
      </c>
      <c r="E43" s="1" t="s">
        <v>347</v>
      </c>
      <c r="F43" s="1" t="s">
        <v>108</v>
      </c>
      <c r="G43" s="1" t="s">
        <v>109</v>
      </c>
      <c r="H43" s="1" t="s">
        <v>110</v>
      </c>
      <c r="I43" s="1" t="s">
        <v>87</v>
      </c>
      <c r="J43" s="1" t="s">
        <v>88</v>
      </c>
      <c r="K43" s="1">
        <f>DATEDIF(I43,J43,"M")</f>
        <v>9</v>
      </c>
      <c r="L43" s="11">
        <v>51.84</v>
      </c>
      <c r="M43" s="1" t="s">
        <v>48</v>
      </c>
      <c r="N43" s="1" t="s">
        <v>49</v>
      </c>
      <c r="O43" s="18">
        <v>1.5</v>
      </c>
      <c r="P43" s="11">
        <v>0</v>
      </c>
      <c r="Q43" s="11">
        <v>-77.760000000000005</v>
      </c>
      <c r="R43" s="1" t="s">
        <v>332</v>
      </c>
      <c r="S43" s="1">
        <f>SUM(L43*O43)</f>
        <v>77.760000000000005</v>
      </c>
    </row>
    <row r="44" spans="1:19" x14ac:dyDescent="0.2">
      <c r="A44" s="1">
        <v>1706194</v>
      </c>
      <c r="B44" s="1" t="s">
        <v>310</v>
      </c>
      <c r="C44" s="1" t="s">
        <v>97</v>
      </c>
      <c r="D44" s="1" t="s">
        <v>98</v>
      </c>
      <c r="E44" s="1" t="s">
        <v>347</v>
      </c>
      <c r="F44" s="1" t="s">
        <v>99</v>
      </c>
      <c r="G44" s="1" t="s">
        <v>41</v>
      </c>
      <c r="H44" s="1" t="s">
        <v>100</v>
      </c>
      <c r="I44" s="1" t="s">
        <v>101</v>
      </c>
      <c r="J44" s="1" t="s">
        <v>102</v>
      </c>
      <c r="K44" s="1">
        <f>DATEDIF(I44,J44,"M")</f>
        <v>3</v>
      </c>
      <c r="L44" s="11">
        <v>97.44</v>
      </c>
      <c r="M44" s="1" t="s">
        <v>48</v>
      </c>
      <c r="N44" s="1" t="s">
        <v>49</v>
      </c>
      <c r="O44" s="17">
        <v>1.5</v>
      </c>
      <c r="P44" s="11">
        <v>0</v>
      </c>
      <c r="Q44" s="11">
        <v>-146.16</v>
      </c>
      <c r="R44" s="1" t="s">
        <v>332</v>
      </c>
      <c r="S44" s="1">
        <f>SUM(L44*O44)</f>
        <v>146.16</v>
      </c>
    </row>
    <row r="45" spans="1:19" x14ac:dyDescent="0.2">
      <c r="A45" s="1">
        <v>1706194</v>
      </c>
      <c r="B45" s="1" t="s">
        <v>310</v>
      </c>
      <c r="C45" s="1" t="s">
        <v>94</v>
      </c>
      <c r="D45" s="1" t="s">
        <v>95</v>
      </c>
      <c r="E45" s="1" t="s">
        <v>347</v>
      </c>
      <c r="F45" s="1" t="s">
        <v>84</v>
      </c>
      <c r="G45" s="1" t="s">
        <v>85</v>
      </c>
      <c r="H45" s="1" t="s">
        <v>86</v>
      </c>
      <c r="I45" s="1" t="s">
        <v>96</v>
      </c>
      <c r="J45" s="1" t="s">
        <v>88</v>
      </c>
      <c r="K45" s="1">
        <f>DATEDIF(I45,J45,"M")</f>
        <v>7</v>
      </c>
      <c r="L45" s="11">
        <v>109.47</v>
      </c>
      <c r="M45" s="1" t="s">
        <v>48</v>
      </c>
      <c r="N45" s="1" t="s">
        <v>49</v>
      </c>
      <c r="O45" s="17">
        <v>1.5</v>
      </c>
      <c r="P45" s="11">
        <v>0</v>
      </c>
      <c r="Q45" s="11">
        <v>-164.21</v>
      </c>
      <c r="R45" s="1" t="s">
        <v>332</v>
      </c>
      <c r="S45" s="1">
        <f>SUM(L45*O45)</f>
        <v>164.20499999999998</v>
      </c>
    </row>
    <row r="46" spans="1:19" x14ac:dyDescent="0.2">
      <c r="A46" s="1">
        <v>1706194</v>
      </c>
      <c r="B46" s="1" t="s">
        <v>310</v>
      </c>
      <c r="C46" s="1" t="s">
        <v>204</v>
      </c>
      <c r="D46" s="1" t="s">
        <v>205</v>
      </c>
      <c r="E46" s="1" t="s">
        <v>347</v>
      </c>
      <c r="F46" s="1" t="s">
        <v>115</v>
      </c>
      <c r="G46" s="1" t="s">
        <v>109</v>
      </c>
      <c r="H46" s="1" t="s">
        <v>86</v>
      </c>
      <c r="I46" s="1" t="s">
        <v>206</v>
      </c>
      <c r="J46" s="1" t="s">
        <v>160</v>
      </c>
      <c r="K46" s="1">
        <f>DATEDIF(I46,J46,"M")</f>
        <v>10</v>
      </c>
      <c r="L46" s="11">
        <v>196.51</v>
      </c>
      <c r="M46" s="1" t="s">
        <v>48</v>
      </c>
      <c r="N46" s="1" t="s">
        <v>49</v>
      </c>
      <c r="O46" s="17">
        <v>1.5</v>
      </c>
      <c r="P46" s="11">
        <v>294.77</v>
      </c>
      <c r="Q46" s="11">
        <v>0</v>
      </c>
      <c r="R46" s="1" t="s">
        <v>332</v>
      </c>
      <c r="S46" s="1">
        <f>SUM(L46*O46)</f>
        <v>294.76499999999999</v>
      </c>
    </row>
    <row r="47" spans="1:19" x14ac:dyDescent="0.2">
      <c r="A47" s="1">
        <v>1706194</v>
      </c>
      <c r="B47" s="1" t="s">
        <v>310</v>
      </c>
      <c r="C47" s="1" t="s">
        <v>207</v>
      </c>
      <c r="D47" s="1" t="s">
        <v>208</v>
      </c>
      <c r="E47" s="1" t="s">
        <v>347</v>
      </c>
      <c r="F47" s="1" t="s">
        <v>84</v>
      </c>
      <c r="G47" s="1" t="s">
        <v>54</v>
      </c>
      <c r="H47" s="1" t="s">
        <v>110</v>
      </c>
      <c r="I47" s="1" t="s">
        <v>209</v>
      </c>
      <c r="J47" s="1" t="s">
        <v>170</v>
      </c>
      <c r="K47" s="1">
        <f>DATEDIF(I47,J47,"M")</f>
        <v>9</v>
      </c>
      <c r="L47" s="11">
        <v>237.19</v>
      </c>
      <c r="M47" s="1" t="s">
        <v>48</v>
      </c>
      <c r="N47" s="1" t="s">
        <v>49</v>
      </c>
      <c r="O47" s="17">
        <v>1.5</v>
      </c>
      <c r="P47" s="11">
        <v>355.79</v>
      </c>
      <c r="Q47" s="11">
        <v>0</v>
      </c>
      <c r="R47" s="1" t="s">
        <v>332</v>
      </c>
      <c r="S47" s="1">
        <f>SUM(L47*O47)</f>
        <v>355.78499999999997</v>
      </c>
    </row>
    <row r="48" spans="1:19" x14ac:dyDescent="0.2">
      <c r="A48" s="1">
        <v>1706194</v>
      </c>
      <c r="B48" s="1" t="s">
        <v>310</v>
      </c>
      <c r="C48" s="1" t="s">
        <v>202</v>
      </c>
      <c r="D48" s="1" t="s">
        <v>203</v>
      </c>
      <c r="E48" s="1" t="s">
        <v>347</v>
      </c>
      <c r="F48" s="1" t="s">
        <v>201</v>
      </c>
      <c r="G48" s="1" t="s">
        <v>120</v>
      </c>
      <c r="H48" s="1" t="s">
        <v>100</v>
      </c>
      <c r="I48" s="1" t="s">
        <v>176</v>
      </c>
      <c r="J48" s="1" t="s">
        <v>127</v>
      </c>
      <c r="K48" s="1">
        <f>DATEDIF(I48,J48,"M")</f>
        <v>9</v>
      </c>
      <c r="L48" s="11">
        <v>337.98</v>
      </c>
      <c r="M48" s="1" t="s">
        <v>48</v>
      </c>
      <c r="N48" s="1" t="s">
        <v>49</v>
      </c>
      <c r="O48" s="17">
        <v>1.5</v>
      </c>
      <c r="P48" s="11">
        <v>506.97</v>
      </c>
      <c r="Q48" s="11">
        <v>0</v>
      </c>
      <c r="R48" s="1" t="s">
        <v>332</v>
      </c>
      <c r="S48" s="1">
        <f>SUM(L48*O48)</f>
        <v>506.97</v>
      </c>
    </row>
    <row r="49" spans="1:19" x14ac:dyDescent="0.2">
      <c r="A49" s="1">
        <v>1706194</v>
      </c>
      <c r="B49" s="1" t="s">
        <v>310</v>
      </c>
      <c r="C49" s="1" t="s">
        <v>199</v>
      </c>
      <c r="D49" s="1" t="s">
        <v>200</v>
      </c>
      <c r="E49" s="1" t="s">
        <v>347</v>
      </c>
      <c r="F49" s="1" t="s">
        <v>201</v>
      </c>
      <c r="G49" s="1" t="s">
        <v>120</v>
      </c>
      <c r="H49" s="1" t="s">
        <v>110</v>
      </c>
      <c r="I49" s="1" t="s">
        <v>176</v>
      </c>
      <c r="J49" s="1" t="s">
        <v>127</v>
      </c>
      <c r="K49" s="1">
        <f>DATEDIF(I49,J49,"M")</f>
        <v>9</v>
      </c>
      <c r="L49" s="11">
        <v>304.16000000000003</v>
      </c>
      <c r="M49" s="1" t="s">
        <v>48</v>
      </c>
      <c r="N49" s="1" t="s">
        <v>49</v>
      </c>
      <c r="O49" s="17">
        <v>1.5</v>
      </c>
      <c r="P49" s="11">
        <v>456.24</v>
      </c>
      <c r="Q49" s="11">
        <v>0</v>
      </c>
      <c r="R49" s="1" t="s">
        <v>332</v>
      </c>
      <c r="S49" s="1">
        <f>SUM(L49*O49)</f>
        <v>456.24</v>
      </c>
    </row>
    <row r="50" spans="1:19" x14ac:dyDescent="0.2">
      <c r="A50" s="1">
        <v>1706194</v>
      </c>
      <c r="B50" s="1" t="s">
        <v>310</v>
      </c>
      <c r="C50" s="1" t="s">
        <v>89</v>
      </c>
      <c r="D50" s="1" t="s">
        <v>90</v>
      </c>
      <c r="E50" s="1" t="s">
        <v>347</v>
      </c>
      <c r="F50" s="1" t="s">
        <v>91</v>
      </c>
      <c r="G50" s="1" t="s">
        <v>85</v>
      </c>
      <c r="H50" s="1" t="s">
        <v>86</v>
      </c>
      <c r="I50" s="1" t="s">
        <v>92</v>
      </c>
      <c r="J50" s="1" t="s">
        <v>93</v>
      </c>
      <c r="K50" s="1">
        <f>DATEDIF(I50,J50,"M")</f>
        <v>9</v>
      </c>
      <c r="L50" s="11">
        <v>96.48</v>
      </c>
      <c r="M50" s="1" t="s">
        <v>48</v>
      </c>
      <c r="N50" s="1" t="s">
        <v>49</v>
      </c>
      <c r="O50" s="17">
        <v>1.5</v>
      </c>
      <c r="P50" s="11">
        <v>0</v>
      </c>
      <c r="Q50" s="11">
        <v>-144.72</v>
      </c>
      <c r="R50" s="1" t="s">
        <v>332</v>
      </c>
      <c r="S50" s="1">
        <f>SUM(L50*O50)</f>
        <v>144.72</v>
      </c>
    </row>
    <row r="51" spans="1:19" x14ac:dyDescent="0.2">
      <c r="A51" s="32">
        <v>1706194</v>
      </c>
      <c r="B51" s="32" t="s">
        <v>310</v>
      </c>
      <c r="C51" s="32" t="s">
        <v>267</v>
      </c>
      <c r="D51" s="32" t="s">
        <v>268</v>
      </c>
      <c r="E51" s="32" t="s">
        <v>347</v>
      </c>
      <c r="F51" s="32" t="s">
        <v>108</v>
      </c>
      <c r="G51" s="32" t="s">
        <v>120</v>
      </c>
      <c r="H51" s="32" t="s">
        <v>100</v>
      </c>
      <c r="I51" s="32" t="s">
        <v>120</v>
      </c>
      <c r="J51" s="32" t="s">
        <v>102</v>
      </c>
      <c r="K51" s="32">
        <f>DATEDIF(I51,J51,"M")</f>
        <v>1</v>
      </c>
      <c r="L51" s="33">
        <v>179.11</v>
      </c>
      <c r="M51" s="32"/>
      <c r="N51" s="32" t="s">
        <v>249</v>
      </c>
      <c r="O51" s="34">
        <v>1.5</v>
      </c>
      <c r="P51" s="33">
        <v>2000</v>
      </c>
      <c r="Q51" s="33">
        <v>2000</v>
      </c>
      <c r="R51" s="32" t="s">
        <v>332</v>
      </c>
      <c r="S51" s="32">
        <f>SUM(L51*O51)</f>
        <v>268.66500000000002</v>
      </c>
    </row>
    <row r="52" spans="1:19" x14ac:dyDescent="0.2">
      <c r="A52" s="1">
        <v>1706194</v>
      </c>
      <c r="B52" s="1" t="s">
        <v>310</v>
      </c>
      <c r="C52" s="1" t="s">
        <v>267</v>
      </c>
      <c r="D52" s="1" t="s">
        <v>268</v>
      </c>
      <c r="E52" s="1" t="s">
        <v>347</v>
      </c>
      <c r="F52" s="1" t="s">
        <v>108</v>
      </c>
      <c r="G52" s="1" t="s">
        <v>54</v>
      </c>
      <c r="H52" s="1" t="s">
        <v>100</v>
      </c>
      <c r="I52" s="1" t="s">
        <v>120</v>
      </c>
      <c r="J52" s="1" t="s">
        <v>102</v>
      </c>
      <c r="K52" s="1">
        <f>DATEDIF(I52,J52,"M")</f>
        <v>1</v>
      </c>
      <c r="L52" s="11">
        <v>179.11</v>
      </c>
      <c r="M52" s="1" t="s">
        <v>48</v>
      </c>
      <c r="N52" s="1" t="s">
        <v>235</v>
      </c>
      <c r="O52" s="17">
        <v>1.5</v>
      </c>
      <c r="P52" s="11">
        <v>0</v>
      </c>
      <c r="Q52" s="11">
        <v>-268.67</v>
      </c>
      <c r="R52" s="1" t="s">
        <v>332</v>
      </c>
      <c r="S52" s="1">
        <f>SUM(L52*O52)</f>
        <v>268.66500000000002</v>
      </c>
    </row>
    <row r="53" spans="1:19" x14ac:dyDescent="0.2">
      <c r="A53" s="1">
        <v>1706194</v>
      </c>
      <c r="B53" s="1" t="s">
        <v>310</v>
      </c>
      <c r="C53" s="1" t="s">
        <v>215</v>
      </c>
      <c r="D53" s="1" t="s">
        <v>216</v>
      </c>
      <c r="E53" s="1" t="s">
        <v>347</v>
      </c>
      <c r="F53" s="1" t="s">
        <v>84</v>
      </c>
      <c r="G53" s="1" t="s">
        <v>85</v>
      </c>
      <c r="H53" s="1" t="s">
        <v>110</v>
      </c>
      <c r="I53" s="1" t="s">
        <v>87</v>
      </c>
      <c r="J53" s="1" t="s">
        <v>88</v>
      </c>
      <c r="K53" s="1">
        <f>DATEDIF(I53,J53,"M")</f>
        <v>9</v>
      </c>
      <c r="L53" s="11">
        <v>555.14</v>
      </c>
      <c r="M53" s="1" t="s">
        <v>48</v>
      </c>
      <c r="N53" s="1" t="s">
        <v>49</v>
      </c>
      <c r="O53" s="17">
        <v>1.5</v>
      </c>
      <c r="P53" s="11">
        <v>832.71</v>
      </c>
      <c r="Q53" s="11">
        <v>0</v>
      </c>
      <c r="R53" s="1" t="s">
        <v>332</v>
      </c>
      <c r="S53" s="1">
        <f>SUM(L53*O53)</f>
        <v>832.71</v>
      </c>
    </row>
    <row r="54" spans="1:19" s="19" customFormat="1" x14ac:dyDescent="0.2">
      <c r="A54" s="1">
        <v>1706194</v>
      </c>
      <c r="B54" s="1" t="s">
        <v>310</v>
      </c>
      <c r="C54" s="1" t="s">
        <v>82</v>
      </c>
      <c r="D54" s="1" t="s">
        <v>83</v>
      </c>
      <c r="E54" s="1" t="s">
        <v>347</v>
      </c>
      <c r="F54" s="1" t="s">
        <v>84</v>
      </c>
      <c r="G54" s="1" t="s">
        <v>85</v>
      </c>
      <c r="H54" s="1" t="s">
        <v>86</v>
      </c>
      <c r="I54" s="1" t="s">
        <v>87</v>
      </c>
      <c r="J54" s="1" t="s">
        <v>88</v>
      </c>
      <c r="K54" s="1">
        <f>DATEDIF(I54,J54,"M")</f>
        <v>9</v>
      </c>
      <c r="L54" s="11">
        <v>165.54</v>
      </c>
      <c r="M54" s="1" t="s">
        <v>48</v>
      </c>
      <c r="N54" s="1" t="s">
        <v>49</v>
      </c>
      <c r="O54" s="17">
        <v>1.5</v>
      </c>
      <c r="P54" s="11">
        <v>234.79</v>
      </c>
      <c r="Q54" s="11">
        <v>-13.52</v>
      </c>
      <c r="R54" s="1" t="s">
        <v>332</v>
      </c>
      <c r="S54" s="1">
        <f>SUM(L54*O54)</f>
        <v>248.31</v>
      </c>
    </row>
    <row r="55" spans="1:19" s="19" customFormat="1" x14ac:dyDescent="0.2">
      <c r="A55" s="19">
        <v>1706194</v>
      </c>
      <c r="B55" s="19" t="s">
        <v>310</v>
      </c>
      <c r="C55" s="19" t="s">
        <v>263</v>
      </c>
      <c r="D55" s="19" t="s">
        <v>264</v>
      </c>
      <c r="E55" s="19" t="s">
        <v>347</v>
      </c>
      <c r="F55" s="19" t="s">
        <v>84</v>
      </c>
      <c r="G55" s="19" t="s">
        <v>85</v>
      </c>
      <c r="H55" s="19" t="s">
        <v>110</v>
      </c>
      <c r="I55" s="19" t="s">
        <v>265</v>
      </c>
      <c r="J55" s="19" t="s">
        <v>266</v>
      </c>
      <c r="K55" s="19">
        <f>DATEDIF(I55,J55,"M")</f>
        <v>2</v>
      </c>
      <c r="L55" s="21">
        <v>-241.19</v>
      </c>
      <c r="M55" s="19" t="s">
        <v>48</v>
      </c>
      <c r="N55" s="19" t="s">
        <v>231</v>
      </c>
      <c r="O55" s="22">
        <v>1.5</v>
      </c>
      <c r="P55" s="21">
        <v>-361.91</v>
      </c>
      <c r="Q55" s="21">
        <v>-361.79</v>
      </c>
      <c r="R55" s="19" t="s">
        <v>332</v>
      </c>
      <c r="S55" s="19">
        <f>SUM(L55*O55)</f>
        <v>-361.78499999999997</v>
      </c>
    </row>
    <row r="56" spans="1:19" x14ac:dyDescent="0.2">
      <c r="A56" s="1">
        <v>1706194</v>
      </c>
      <c r="B56" s="1" t="s">
        <v>310</v>
      </c>
      <c r="C56" s="1" t="s">
        <v>212</v>
      </c>
      <c r="D56" s="1" t="s">
        <v>213</v>
      </c>
      <c r="E56" s="1" t="s">
        <v>347</v>
      </c>
      <c r="F56" s="1" t="s">
        <v>91</v>
      </c>
      <c r="G56" s="1" t="s">
        <v>85</v>
      </c>
      <c r="H56" s="1" t="s">
        <v>86</v>
      </c>
      <c r="I56" s="1" t="s">
        <v>214</v>
      </c>
      <c r="J56" s="1" t="s">
        <v>191</v>
      </c>
      <c r="K56" s="1">
        <f>DATEDIF(I56,J56,"M")</f>
        <v>9</v>
      </c>
      <c r="L56" s="11">
        <v>165.54</v>
      </c>
      <c r="M56" s="1" t="s">
        <v>48</v>
      </c>
      <c r="N56" s="1" t="s">
        <v>49</v>
      </c>
      <c r="O56" s="17">
        <v>1.5</v>
      </c>
      <c r="P56" s="11">
        <v>234.79</v>
      </c>
      <c r="Q56" s="11">
        <v>-13.52</v>
      </c>
      <c r="R56" s="1" t="s">
        <v>332</v>
      </c>
      <c r="S56" s="1">
        <f>SUM(L56*O56)</f>
        <v>248.31</v>
      </c>
    </row>
    <row r="57" spans="1:19" x14ac:dyDescent="0.2">
      <c r="A57" s="1">
        <v>1706194</v>
      </c>
      <c r="B57" s="1" t="s">
        <v>310</v>
      </c>
      <c r="C57" s="1" t="s">
        <v>210</v>
      </c>
      <c r="D57" s="1" t="s">
        <v>211</v>
      </c>
      <c r="E57" s="1" t="s">
        <v>347</v>
      </c>
      <c r="F57" s="1" t="s">
        <v>91</v>
      </c>
      <c r="G57" s="1" t="s">
        <v>85</v>
      </c>
      <c r="H57" s="1" t="s">
        <v>110</v>
      </c>
      <c r="I57" s="1" t="s">
        <v>117</v>
      </c>
      <c r="J57" s="1" t="s">
        <v>88</v>
      </c>
      <c r="K57" s="1">
        <f>DATEDIF(I57,J57,"M")</f>
        <v>10</v>
      </c>
      <c r="L57" s="11">
        <v>152.19</v>
      </c>
      <c r="M57" s="1" t="s">
        <v>48</v>
      </c>
      <c r="N57" s="1" t="s">
        <v>49</v>
      </c>
      <c r="O57" s="17">
        <v>1.5</v>
      </c>
      <c r="P57" s="11">
        <v>228.29</v>
      </c>
      <c r="Q57" s="11">
        <v>0</v>
      </c>
      <c r="R57" s="1" t="s">
        <v>332</v>
      </c>
      <c r="S57" s="1">
        <f>SUM(L57*O57)</f>
        <v>228.285</v>
      </c>
    </row>
    <row r="58" spans="1:19" x14ac:dyDescent="0.2">
      <c r="A58" s="12">
        <v>18828278</v>
      </c>
      <c r="B58" s="12" t="s">
        <v>307</v>
      </c>
      <c r="C58" s="12" t="s">
        <v>62</v>
      </c>
      <c r="D58" s="12" t="s">
        <v>63</v>
      </c>
      <c r="E58" s="12" t="s">
        <v>339</v>
      </c>
      <c r="F58" s="12" t="s">
        <v>40</v>
      </c>
      <c r="G58" s="12" t="s">
        <v>41</v>
      </c>
      <c r="H58" s="12" t="s">
        <v>42</v>
      </c>
      <c r="I58" s="12" t="s">
        <v>61</v>
      </c>
      <c r="J58" s="12" t="s">
        <v>44</v>
      </c>
      <c r="K58" s="12">
        <f>DATEDIF(I58,J58,"M")</f>
        <v>8</v>
      </c>
      <c r="L58" s="14">
        <v>118.19</v>
      </c>
      <c r="M58" s="12" t="s">
        <v>48</v>
      </c>
      <c r="N58" s="12" t="s">
        <v>49</v>
      </c>
      <c r="O58" s="16">
        <v>0.23</v>
      </c>
      <c r="P58" s="14">
        <v>0</v>
      </c>
      <c r="Q58" s="14">
        <v>-27.18</v>
      </c>
      <c r="R58" s="1" t="s">
        <v>330</v>
      </c>
      <c r="S58" s="1">
        <f>SUM(L58*O58)</f>
        <v>27.183700000000002</v>
      </c>
    </row>
    <row r="59" spans="1:19" x14ac:dyDescent="0.2">
      <c r="A59" s="12">
        <v>18828278</v>
      </c>
      <c r="B59" s="12" t="s">
        <v>307</v>
      </c>
      <c r="C59" s="12" t="s">
        <v>59</v>
      </c>
      <c r="D59" s="12" t="s">
        <v>60</v>
      </c>
      <c r="E59" s="12" t="s">
        <v>339</v>
      </c>
      <c r="F59" s="12" t="s">
        <v>40</v>
      </c>
      <c r="G59" s="12" t="s">
        <v>41</v>
      </c>
      <c r="H59" s="12" t="s">
        <v>42</v>
      </c>
      <c r="I59" s="12" t="s">
        <v>61</v>
      </c>
      <c r="J59" s="12" t="s">
        <v>44</v>
      </c>
      <c r="K59" s="12">
        <f>DATEDIF(I59,J59,"M")</f>
        <v>8</v>
      </c>
      <c r="L59" s="14">
        <v>136.01</v>
      </c>
      <c r="M59" s="12" t="s">
        <v>48</v>
      </c>
      <c r="N59" s="12" t="s">
        <v>49</v>
      </c>
      <c r="O59" s="16">
        <v>0.23</v>
      </c>
      <c r="P59" s="14">
        <v>0</v>
      </c>
      <c r="Q59" s="14">
        <v>-31.28</v>
      </c>
      <c r="R59" s="1" t="s">
        <v>330</v>
      </c>
      <c r="S59" s="1">
        <f>SUM(L59*O59)</f>
        <v>31.282299999999999</v>
      </c>
    </row>
    <row r="60" spans="1:19" s="32" customFormat="1" x14ac:dyDescent="0.2">
      <c r="A60" s="1">
        <v>18828278</v>
      </c>
      <c r="B60" s="1" t="s">
        <v>307</v>
      </c>
      <c r="C60" s="1" t="s">
        <v>38</v>
      </c>
      <c r="D60" s="1" t="s">
        <v>39</v>
      </c>
      <c r="E60" s="1" t="s">
        <v>339</v>
      </c>
      <c r="F60" s="1" t="s">
        <v>40</v>
      </c>
      <c r="G60" s="1" t="s">
        <v>41</v>
      </c>
      <c r="H60" s="1" t="s">
        <v>42</v>
      </c>
      <c r="I60" s="1" t="s">
        <v>43</v>
      </c>
      <c r="J60" s="1" t="s">
        <v>44</v>
      </c>
      <c r="K60" s="1">
        <f>DATEDIF(I60,J60,"M")</f>
        <v>9</v>
      </c>
      <c r="L60" s="11">
        <v>165.45</v>
      </c>
      <c r="M60" s="1" t="s">
        <v>48</v>
      </c>
      <c r="N60" s="1" t="s">
        <v>49</v>
      </c>
      <c r="O60" s="18">
        <v>0.23</v>
      </c>
      <c r="P60" s="11">
        <v>0</v>
      </c>
      <c r="Q60" s="11">
        <v>-38.049999999999997</v>
      </c>
      <c r="R60" s="1" t="s">
        <v>332</v>
      </c>
      <c r="S60" s="1">
        <f>SUM(L60*O60)</f>
        <v>38.0535</v>
      </c>
    </row>
    <row r="61" spans="1:19" s="32" customFormat="1" x14ac:dyDescent="0.2">
      <c r="A61" s="12">
        <v>18828278</v>
      </c>
      <c r="B61" s="12" t="s">
        <v>307</v>
      </c>
      <c r="C61" s="12" t="s">
        <v>52</v>
      </c>
      <c r="D61" s="12" t="s">
        <v>53</v>
      </c>
      <c r="E61" s="12" t="s">
        <v>340</v>
      </c>
      <c r="F61" s="12" t="s">
        <v>40</v>
      </c>
      <c r="G61" s="12" t="s">
        <v>54</v>
      </c>
      <c r="H61" s="12" t="s">
        <v>55</v>
      </c>
      <c r="I61" s="12" t="s">
        <v>56</v>
      </c>
      <c r="J61" s="12" t="s">
        <v>57</v>
      </c>
      <c r="K61" s="12">
        <f>DATEDIF(I61,J61,"M")</f>
        <v>5</v>
      </c>
      <c r="L61" s="14">
        <v>144.74</v>
      </c>
      <c r="M61" s="12" t="s">
        <v>48</v>
      </c>
      <c r="N61" s="12" t="s">
        <v>49</v>
      </c>
      <c r="O61" s="16">
        <v>0.27</v>
      </c>
      <c r="P61" s="14">
        <v>0</v>
      </c>
      <c r="Q61" s="14">
        <v>-39.08</v>
      </c>
      <c r="R61" s="1" t="s">
        <v>330</v>
      </c>
      <c r="S61" s="1">
        <f>SUM(L61*O61)</f>
        <v>39.079800000000006</v>
      </c>
    </row>
    <row r="62" spans="1:19" s="32" customFormat="1" x14ac:dyDescent="0.2">
      <c r="A62" s="1">
        <v>18828278</v>
      </c>
      <c r="B62" s="1" t="s">
        <v>307</v>
      </c>
      <c r="C62" s="1" t="s">
        <v>50</v>
      </c>
      <c r="D62" s="1" t="s">
        <v>51</v>
      </c>
      <c r="E62" s="1" t="s">
        <v>339</v>
      </c>
      <c r="F62" s="1" t="s">
        <v>40</v>
      </c>
      <c r="G62" s="1" t="s">
        <v>41</v>
      </c>
      <c r="H62" s="1" t="s">
        <v>42</v>
      </c>
      <c r="I62" s="1" t="s">
        <v>43</v>
      </c>
      <c r="J62" s="1" t="s">
        <v>44</v>
      </c>
      <c r="K62" s="1">
        <f>DATEDIF(I62,J62,"M")</f>
        <v>9</v>
      </c>
      <c r="L62" s="11">
        <v>166.67</v>
      </c>
      <c r="M62" s="1" t="s">
        <v>48</v>
      </c>
      <c r="N62" s="1" t="s">
        <v>49</v>
      </c>
      <c r="O62" s="18">
        <v>0.23</v>
      </c>
      <c r="P62" s="11">
        <v>0</v>
      </c>
      <c r="Q62" s="11">
        <v>-38.33</v>
      </c>
      <c r="R62" s="1" t="s">
        <v>332</v>
      </c>
      <c r="S62" s="1">
        <f>SUM(L62*O62)</f>
        <v>38.334099999999999</v>
      </c>
    </row>
    <row r="63" spans="1:19" s="32" customFormat="1" x14ac:dyDescent="0.2">
      <c r="A63" s="12">
        <v>18828278</v>
      </c>
      <c r="B63" s="12" t="s">
        <v>307</v>
      </c>
      <c r="C63" s="12" t="s">
        <v>64</v>
      </c>
      <c r="D63" s="12" t="s">
        <v>65</v>
      </c>
      <c r="E63" s="12" t="s">
        <v>339</v>
      </c>
      <c r="F63" s="12" t="s">
        <v>40</v>
      </c>
      <c r="G63" s="12" t="s">
        <v>54</v>
      </c>
      <c r="H63" s="12" t="s">
        <v>42</v>
      </c>
      <c r="I63" s="12" t="s">
        <v>66</v>
      </c>
      <c r="J63" s="12" t="s">
        <v>44</v>
      </c>
      <c r="K63" s="12">
        <f>DATEDIF(I63,J63,"M")</f>
        <v>5</v>
      </c>
      <c r="L63" s="14">
        <v>129.38999999999999</v>
      </c>
      <c r="M63" s="12" t="s">
        <v>48</v>
      </c>
      <c r="N63" s="12" t="s">
        <v>49</v>
      </c>
      <c r="O63" s="16">
        <v>0.23</v>
      </c>
      <c r="P63" s="14">
        <v>0</v>
      </c>
      <c r="Q63" s="14">
        <v>-29.76</v>
      </c>
      <c r="R63" s="1" t="s">
        <v>330</v>
      </c>
      <c r="S63" s="1">
        <f>SUM(L63*O63)</f>
        <v>29.759699999999999</v>
      </c>
    </row>
    <row r="64" spans="1:19" x14ac:dyDescent="0.2">
      <c r="A64" s="12">
        <v>20220688</v>
      </c>
      <c r="B64" s="12" t="s">
        <v>321</v>
      </c>
      <c r="C64" s="12" t="s">
        <v>196</v>
      </c>
      <c r="D64" s="12" t="s">
        <v>197</v>
      </c>
      <c r="E64" s="12" t="s">
        <v>344</v>
      </c>
      <c r="F64" s="12" t="s">
        <v>40</v>
      </c>
      <c r="G64" s="12" t="s">
        <v>120</v>
      </c>
      <c r="H64" s="12" t="s">
        <v>198</v>
      </c>
      <c r="I64" s="12" t="s">
        <v>144</v>
      </c>
      <c r="J64" s="12" t="s">
        <v>44</v>
      </c>
      <c r="K64" s="12">
        <f>DATEDIF(I64,J64,"M")</f>
        <v>6</v>
      </c>
      <c r="L64" s="14">
        <v>19.04</v>
      </c>
      <c r="M64" s="12" t="s">
        <v>48</v>
      </c>
      <c r="N64" s="12" t="s">
        <v>49</v>
      </c>
      <c r="O64" s="16">
        <v>1.1499999999999999</v>
      </c>
      <c r="P64" s="14">
        <v>0</v>
      </c>
      <c r="Q64" s="14">
        <v>-21.9</v>
      </c>
      <c r="R64" s="1" t="s">
        <v>330</v>
      </c>
      <c r="S64" s="1">
        <f>SUM(L64*O64)</f>
        <v>21.895999999999997</v>
      </c>
    </row>
    <row r="65" spans="1:19" x14ac:dyDescent="0.2">
      <c r="A65" s="1">
        <v>5442438</v>
      </c>
      <c r="B65" s="1" t="s">
        <v>324</v>
      </c>
      <c r="C65" s="1" t="s">
        <v>260</v>
      </c>
      <c r="D65" s="1" t="s">
        <v>261</v>
      </c>
      <c r="E65" s="1" t="s">
        <v>347</v>
      </c>
      <c r="F65" s="1" t="s">
        <v>124</v>
      </c>
      <c r="G65" s="1" t="s">
        <v>85</v>
      </c>
      <c r="H65" s="1" t="s">
        <v>100</v>
      </c>
      <c r="I65" s="1" t="s">
        <v>262</v>
      </c>
      <c r="J65" s="1" t="s">
        <v>191</v>
      </c>
      <c r="K65" s="1">
        <f>DATEDIF(I65,J65,"M")</f>
        <v>3</v>
      </c>
      <c r="L65" s="11">
        <v>76.180000000000007</v>
      </c>
      <c r="M65" s="1" t="s">
        <v>48</v>
      </c>
      <c r="N65" s="1" t="s">
        <v>49</v>
      </c>
      <c r="O65" s="17">
        <v>1.5</v>
      </c>
      <c r="P65" s="11">
        <v>0</v>
      </c>
      <c r="Q65" s="11">
        <v>-114.27</v>
      </c>
      <c r="R65" s="1" t="s">
        <v>332</v>
      </c>
      <c r="S65" s="1">
        <f>SUM(L65*O65)</f>
        <v>114.27000000000001</v>
      </c>
    </row>
    <row r="66" spans="1:19" x14ac:dyDescent="0.2">
      <c r="A66" s="32">
        <v>8977234</v>
      </c>
      <c r="B66" s="32" t="s">
        <v>313</v>
      </c>
      <c r="C66" s="32" t="s">
        <v>252</v>
      </c>
      <c r="D66" s="32" t="s">
        <v>253</v>
      </c>
      <c r="E66" s="32" t="s">
        <v>347</v>
      </c>
      <c r="F66" s="32" t="s">
        <v>254</v>
      </c>
      <c r="G66" s="32" t="s">
        <v>109</v>
      </c>
      <c r="H66" s="32" t="s">
        <v>100</v>
      </c>
      <c r="I66" s="32" t="s">
        <v>44</v>
      </c>
      <c r="J66" s="32" t="s">
        <v>44</v>
      </c>
      <c r="K66" s="32">
        <f>DATEDIF(I66,J66,"M")</f>
        <v>0</v>
      </c>
      <c r="L66" s="33">
        <v>229.35000000000002</v>
      </c>
      <c r="M66" s="32"/>
      <c r="N66" s="32" t="s">
        <v>249</v>
      </c>
      <c r="O66" s="34">
        <v>1.5</v>
      </c>
      <c r="P66" s="33">
        <v>2000</v>
      </c>
      <c r="Q66" s="33">
        <v>2000</v>
      </c>
      <c r="R66" s="32" t="s">
        <v>332</v>
      </c>
      <c r="S66" s="32">
        <f>SUM(L66*O66)</f>
        <v>344.02500000000003</v>
      </c>
    </row>
    <row r="67" spans="1:19" x14ac:dyDescent="0.2">
      <c r="A67" s="32">
        <v>8977234</v>
      </c>
      <c r="B67" s="32" t="s">
        <v>313</v>
      </c>
      <c r="C67" s="32" t="s">
        <v>250</v>
      </c>
      <c r="D67" s="32" t="s">
        <v>251</v>
      </c>
      <c r="E67" s="32" t="s">
        <v>347</v>
      </c>
      <c r="F67" s="32" t="s">
        <v>247</v>
      </c>
      <c r="G67" s="32" t="s">
        <v>41</v>
      </c>
      <c r="H67" s="32" t="s">
        <v>100</v>
      </c>
      <c r="I67" s="32" t="s">
        <v>44</v>
      </c>
      <c r="J67" s="32" t="s">
        <v>44</v>
      </c>
      <c r="K67" s="32">
        <f>DATEDIF(I67,J67,"M")</f>
        <v>0</v>
      </c>
      <c r="L67" s="33">
        <v>155</v>
      </c>
      <c r="M67" s="32"/>
      <c r="N67" s="32" t="s">
        <v>249</v>
      </c>
      <c r="O67" s="34">
        <v>1.5</v>
      </c>
      <c r="P67" s="33">
        <v>2000</v>
      </c>
      <c r="Q67" s="33">
        <v>2000</v>
      </c>
      <c r="R67" s="32" t="s">
        <v>332</v>
      </c>
      <c r="S67" s="32">
        <f>SUM(L67*O67)</f>
        <v>232.5</v>
      </c>
    </row>
    <row r="68" spans="1:19" x14ac:dyDescent="0.2">
      <c r="A68" s="1">
        <v>8977234</v>
      </c>
      <c r="B68" s="1" t="s">
        <v>313</v>
      </c>
      <c r="C68" s="1" t="s">
        <v>113</v>
      </c>
      <c r="D68" s="1" t="s">
        <v>114</v>
      </c>
      <c r="E68" s="1" t="s">
        <v>342</v>
      </c>
      <c r="F68" s="1" t="s">
        <v>115</v>
      </c>
      <c r="G68" s="1" t="s">
        <v>85</v>
      </c>
      <c r="H68" s="1" t="s">
        <v>116</v>
      </c>
      <c r="I68" s="1" t="s">
        <v>117</v>
      </c>
      <c r="J68" s="1" t="s">
        <v>88</v>
      </c>
      <c r="K68" s="1">
        <f>DATEDIF(I68,J68,"M")</f>
        <v>10</v>
      </c>
      <c r="L68" s="11">
        <v>178.25</v>
      </c>
      <c r="M68" s="1" t="s">
        <v>48</v>
      </c>
      <c r="N68" s="1" t="s">
        <v>49</v>
      </c>
      <c r="O68" s="17">
        <v>0.67500000000000004</v>
      </c>
      <c r="P68" s="11">
        <v>120.32</v>
      </c>
      <c r="Q68" s="11">
        <v>0</v>
      </c>
      <c r="R68" s="1" t="s">
        <v>332</v>
      </c>
      <c r="S68" s="1">
        <f>SUM(L68*O68)</f>
        <v>120.31875000000001</v>
      </c>
    </row>
    <row r="69" spans="1:19" x14ac:dyDescent="0.2">
      <c r="A69" s="1">
        <v>8977234</v>
      </c>
      <c r="B69" s="1" t="s">
        <v>313</v>
      </c>
      <c r="C69" s="1" t="s">
        <v>245</v>
      </c>
      <c r="D69" s="1" t="s">
        <v>246</v>
      </c>
      <c r="E69" s="1" t="s">
        <v>347</v>
      </c>
      <c r="F69" s="1" t="s">
        <v>247</v>
      </c>
      <c r="G69" s="1" t="s">
        <v>120</v>
      </c>
      <c r="H69" s="1" t="s">
        <v>100</v>
      </c>
      <c r="I69" s="1" t="s">
        <v>248</v>
      </c>
      <c r="J69" s="1" t="s">
        <v>248</v>
      </c>
      <c r="K69" s="1">
        <f>DATEDIF(I69,J69,"M")</f>
        <v>0</v>
      </c>
      <c r="L69" s="11">
        <v>529.65</v>
      </c>
      <c r="M69" s="1" t="s">
        <v>48</v>
      </c>
      <c r="N69" s="1" t="s">
        <v>249</v>
      </c>
      <c r="O69" s="17">
        <v>1.5</v>
      </c>
      <c r="P69" s="11">
        <v>794.52</v>
      </c>
      <c r="Q69" s="11">
        <v>794.52</v>
      </c>
      <c r="R69" s="1" t="s">
        <v>332</v>
      </c>
      <c r="S69" s="1">
        <f>SUM(L69*O69)</f>
        <v>794.47499999999991</v>
      </c>
    </row>
    <row r="70" spans="1:19" s="32" customFormat="1" x14ac:dyDescent="0.2">
      <c r="A70" s="12" t="s">
        <v>334</v>
      </c>
      <c r="B70" s="12" t="s">
        <v>327</v>
      </c>
      <c r="C70" s="12" t="s">
        <v>269</v>
      </c>
      <c r="D70" s="12" t="s">
        <v>270</v>
      </c>
      <c r="E70" s="12" t="s">
        <v>347</v>
      </c>
      <c r="F70" s="12" t="s">
        <v>124</v>
      </c>
      <c r="G70" s="12" t="s">
        <v>41</v>
      </c>
      <c r="H70" s="12" t="s">
        <v>86</v>
      </c>
      <c r="I70" s="12" t="s">
        <v>41</v>
      </c>
      <c r="J70" s="12" t="s">
        <v>160</v>
      </c>
      <c r="K70" s="12">
        <f>DATEDIF(I70,J70,"M")</f>
        <v>1</v>
      </c>
      <c r="L70" s="14">
        <v>177.21</v>
      </c>
      <c r="M70" s="12" t="s">
        <v>48</v>
      </c>
      <c r="N70" s="12" t="s">
        <v>249</v>
      </c>
      <c r="O70" s="16">
        <v>1.5</v>
      </c>
      <c r="P70" s="14">
        <v>265.86</v>
      </c>
      <c r="Q70" s="14">
        <v>265.86</v>
      </c>
      <c r="R70" s="1" t="s">
        <v>331</v>
      </c>
      <c r="S70" s="1">
        <f>SUM(L70*O70)</f>
        <v>265.815</v>
      </c>
    </row>
    <row r="71" spans="1:19" x14ac:dyDescent="0.2">
      <c r="A71" s="12">
        <v>21561165</v>
      </c>
      <c r="B71" s="12" t="s">
        <v>327</v>
      </c>
      <c r="C71" s="12" t="s">
        <v>269</v>
      </c>
      <c r="D71" s="12" t="s">
        <v>270</v>
      </c>
      <c r="E71" s="12" t="s">
        <v>347</v>
      </c>
      <c r="F71" s="12" t="s">
        <v>124</v>
      </c>
      <c r="G71" s="12" t="s">
        <v>85</v>
      </c>
      <c r="H71" s="12" t="s">
        <v>86</v>
      </c>
      <c r="I71" s="12" t="s">
        <v>41</v>
      </c>
      <c r="J71" s="12" t="s">
        <v>160</v>
      </c>
      <c r="K71" s="12">
        <f>DATEDIF(I71,J71,"M")</f>
        <v>1</v>
      </c>
      <c r="L71" s="14">
        <v>19.690000000000001</v>
      </c>
      <c r="M71" s="12" t="s">
        <v>48</v>
      </c>
      <c r="N71" s="12" t="s">
        <v>235</v>
      </c>
      <c r="O71" s="16">
        <v>1.5</v>
      </c>
      <c r="P71" s="14">
        <v>0</v>
      </c>
      <c r="Q71" s="14">
        <v>-29.54</v>
      </c>
      <c r="R71" s="1" t="s">
        <v>330</v>
      </c>
      <c r="S71" s="1">
        <f>SUM(L71*O71)</f>
        <v>29.535000000000004</v>
      </c>
    </row>
    <row r="72" spans="1:19" x14ac:dyDescent="0.2">
      <c r="A72" s="1">
        <v>16202925</v>
      </c>
      <c r="B72" s="1" t="s">
        <v>315</v>
      </c>
      <c r="C72" s="1" t="s">
        <v>122</v>
      </c>
      <c r="D72" s="1" t="s">
        <v>123</v>
      </c>
      <c r="E72" s="1" t="s">
        <v>337</v>
      </c>
      <c r="F72" s="1" t="s">
        <v>124</v>
      </c>
      <c r="G72" s="1" t="s">
        <v>120</v>
      </c>
      <c r="H72" s="1" t="s">
        <v>125</v>
      </c>
      <c r="I72" s="1" t="s">
        <v>126</v>
      </c>
      <c r="J72" s="1" t="s">
        <v>127</v>
      </c>
      <c r="K72" s="1">
        <f>DATEDIF(I72,J72,"M")</f>
        <v>22</v>
      </c>
      <c r="L72" s="11">
        <v>122.6</v>
      </c>
      <c r="M72" s="1" t="s">
        <v>73</v>
      </c>
      <c r="N72" s="1" t="s">
        <v>74</v>
      </c>
      <c r="O72" s="18">
        <v>7.0000000000000007E-2</v>
      </c>
      <c r="P72" s="11">
        <v>8.58</v>
      </c>
      <c r="Q72" s="11">
        <v>0</v>
      </c>
      <c r="R72" s="1" t="s">
        <v>332</v>
      </c>
      <c r="S72" s="1">
        <f>SUM(L72*O72)</f>
        <v>8.5820000000000007</v>
      </c>
    </row>
    <row r="73" spans="1:19" x14ac:dyDescent="0.2">
      <c r="A73" s="1">
        <v>16202925</v>
      </c>
      <c r="B73" s="1" t="s">
        <v>315</v>
      </c>
      <c r="C73" s="1" t="s">
        <v>128</v>
      </c>
      <c r="D73" s="1" t="s">
        <v>129</v>
      </c>
      <c r="E73" s="1" t="s">
        <v>337</v>
      </c>
      <c r="F73" s="1" t="s">
        <v>124</v>
      </c>
      <c r="G73" s="1" t="s">
        <v>120</v>
      </c>
      <c r="H73" s="1" t="s">
        <v>125</v>
      </c>
      <c r="I73" s="1" t="s">
        <v>126</v>
      </c>
      <c r="J73" s="1" t="s">
        <v>127</v>
      </c>
      <c r="K73" s="1">
        <f>DATEDIF(I73,J73,"M")</f>
        <v>22</v>
      </c>
      <c r="L73" s="11">
        <v>191.04</v>
      </c>
      <c r="M73" s="1" t="s">
        <v>73</v>
      </c>
      <c r="N73" s="1" t="s">
        <v>74</v>
      </c>
      <c r="O73" s="18">
        <v>7.0000000000000007E-2</v>
      </c>
      <c r="P73" s="11">
        <v>13.37</v>
      </c>
      <c r="Q73" s="11">
        <v>0</v>
      </c>
      <c r="R73" s="1" t="s">
        <v>332</v>
      </c>
      <c r="S73" s="1">
        <f>SUM(L73*O73)</f>
        <v>13.372800000000002</v>
      </c>
    </row>
    <row r="74" spans="1:19" x14ac:dyDescent="0.2">
      <c r="A74" s="12">
        <v>371819</v>
      </c>
      <c r="B74" s="12" t="s">
        <v>311</v>
      </c>
      <c r="C74" s="12" t="s">
        <v>103</v>
      </c>
      <c r="D74" s="12" t="s">
        <v>104</v>
      </c>
      <c r="E74" s="12" t="s">
        <v>347</v>
      </c>
      <c r="F74" s="12" t="s">
        <v>84</v>
      </c>
      <c r="G74" s="12" t="s">
        <v>85</v>
      </c>
      <c r="H74" s="12" t="s">
        <v>100</v>
      </c>
      <c r="I74" s="12" t="s">
        <v>105</v>
      </c>
      <c r="J74" s="12" t="s">
        <v>93</v>
      </c>
      <c r="K74" s="12">
        <f>DATEDIF(I74,J74,"M")</f>
        <v>6</v>
      </c>
      <c r="L74" s="14">
        <v>65.42</v>
      </c>
      <c r="M74" s="12" t="s">
        <v>48</v>
      </c>
      <c r="N74" s="12" t="s">
        <v>49</v>
      </c>
      <c r="O74" s="16">
        <v>1.5</v>
      </c>
      <c r="P74" s="14">
        <v>0</v>
      </c>
      <c r="Q74" s="14">
        <v>-98.13</v>
      </c>
      <c r="R74" s="1" t="s">
        <v>330</v>
      </c>
      <c r="S74" s="1">
        <f>SUM(L74*O74)</f>
        <v>98.13</v>
      </c>
    </row>
    <row r="75" spans="1:19" x14ac:dyDescent="0.2">
      <c r="A75" s="35">
        <v>371819</v>
      </c>
      <c r="B75" s="35" t="s">
        <v>311</v>
      </c>
      <c r="C75" s="35" t="s">
        <v>240</v>
      </c>
      <c r="D75" s="35" t="s">
        <v>241</v>
      </c>
      <c r="E75" s="35" t="s">
        <v>346</v>
      </c>
      <c r="F75" s="35" t="s">
        <v>84</v>
      </c>
      <c r="G75" s="35" t="s">
        <v>120</v>
      </c>
      <c r="H75" s="35" t="s">
        <v>116</v>
      </c>
      <c r="I75" s="35" t="s">
        <v>242</v>
      </c>
      <c r="J75" s="35" t="s">
        <v>44</v>
      </c>
      <c r="K75" s="35">
        <f>DATEDIF(I75,J75,"M")</f>
        <v>1</v>
      </c>
      <c r="L75" s="36">
        <v>254.65</v>
      </c>
      <c r="M75" s="35" t="s">
        <v>48</v>
      </c>
      <c r="N75" s="35" t="s">
        <v>235</v>
      </c>
      <c r="O75" s="37">
        <v>1.35</v>
      </c>
      <c r="P75" s="36">
        <v>0</v>
      </c>
      <c r="Q75" s="36">
        <v>-343.78</v>
      </c>
      <c r="R75" s="35" t="s">
        <v>330</v>
      </c>
      <c r="S75" s="35">
        <f>SUM(L75*O75)</f>
        <v>343.77750000000003</v>
      </c>
    </row>
    <row r="76" spans="1:19" x14ac:dyDescent="0.2">
      <c r="A76" s="35">
        <v>371819</v>
      </c>
      <c r="B76" s="35" t="s">
        <v>311</v>
      </c>
      <c r="C76" s="35" t="s">
        <v>240</v>
      </c>
      <c r="D76" s="35" t="s">
        <v>241</v>
      </c>
      <c r="E76" s="35" t="s">
        <v>346</v>
      </c>
      <c r="F76" s="35" t="s">
        <v>84</v>
      </c>
      <c r="G76" s="35" t="s">
        <v>85</v>
      </c>
      <c r="H76" s="35" t="s">
        <v>116</v>
      </c>
      <c r="I76" s="35" t="s">
        <v>242</v>
      </c>
      <c r="J76" s="35" t="s">
        <v>44</v>
      </c>
      <c r="K76" s="35">
        <f>DATEDIF(I76,J76,"M")</f>
        <v>1</v>
      </c>
      <c r="L76" s="36">
        <v>254.64999999999998</v>
      </c>
      <c r="M76" s="35"/>
      <c r="N76" s="35" t="s">
        <v>244</v>
      </c>
      <c r="O76" s="37">
        <v>1.35</v>
      </c>
      <c r="P76" s="36">
        <v>2000</v>
      </c>
      <c r="Q76" s="36">
        <v>2000</v>
      </c>
      <c r="R76" s="35" t="s">
        <v>332</v>
      </c>
      <c r="S76" s="35">
        <f>SUM(L76*O76)</f>
        <v>343.77749999999997</v>
      </c>
    </row>
    <row r="77" spans="1:19" x14ac:dyDescent="0.2">
      <c r="A77" s="12">
        <v>371819</v>
      </c>
      <c r="B77" s="12" t="s">
        <v>311</v>
      </c>
      <c r="C77" s="12" t="s">
        <v>236</v>
      </c>
      <c r="D77" s="12" t="s">
        <v>237</v>
      </c>
      <c r="E77" s="12" t="s">
        <v>347</v>
      </c>
      <c r="F77" s="12" t="s">
        <v>179</v>
      </c>
      <c r="G77" s="12" t="s">
        <v>85</v>
      </c>
      <c r="H77" s="12" t="s">
        <v>100</v>
      </c>
      <c r="I77" s="12" t="s">
        <v>238</v>
      </c>
      <c r="J77" s="12" t="s">
        <v>239</v>
      </c>
      <c r="K77" s="12">
        <f>DATEDIF(I77,J77,"M")</f>
        <v>1</v>
      </c>
      <c r="L77" s="14">
        <v>510.66</v>
      </c>
      <c r="M77" s="12" t="s">
        <v>48</v>
      </c>
      <c r="N77" s="12" t="s">
        <v>235</v>
      </c>
      <c r="O77" s="16">
        <v>1.5</v>
      </c>
      <c r="P77" s="14">
        <v>765.99</v>
      </c>
      <c r="Q77" s="14">
        <v>680.88</v>
      </c>
      <c r="R77" s="1" t="s">
        <v>330</v>
      </c>
      <c r="S77" s="1">
        <f>SUM(L77*O77)</f>
        <v>765.99</v>
      </c>
    </row>
    <row r="78" spans="1:19" x14ac:dyDescent="0.2">
      <c r="A78" s="12">
        <v>371819</v>
      </c>
      <c r="B78" s="12" t="s">
        <v>311</v>
      </c>
      <c r="C78" s="12" t="s">
        <v>289</v>
      </c>
      <c r="D78" s="12" t="s">
        <v>290</v>
      </c>
      <c r="E78" s="12" t="s">
        <v>341</v>
      </c>
      <c r="F78" s="12" t="s">
        <v>84</v>
      </c>
      <c r="G78" s="12" t="s">
        <v>54</v>
      </c>
      <c r="H78" s="12" t="s">
        <v>291</v>
      </c>
      <c r="I78" s="12" t="s">
        <v>292</v>
      </c>
      <c r="J78" s="12" t="s">
        <v>242</v>
      </c>
      <c r="K78" s="12">
        <f>DATEDIF(I78,J78,"M")</f>
        <v>2</v>
      </c>
      <c r="L78" s="14">
        <v>-39.04</v>
      </c>
      <c r="M78" s="12" t="s">
        <v>48</v>
      </c>
      <c r="N78" s="12" t="s">
        <v>293</v>
      </c>
      <c r="O78" s="16">
        <v>0.52</v>
      </c>
      <c r="P78" s="14">
        <v>0</v>
      </c>
      <c r="Q78" s="14">
        <v>20.3</v>
      </c>
      <c r="R78" s="1" t="s">
        <v>332</v>
      </c>
      <c r="S78" s="1">
        <f>SUM(L78*O78)</f>
        <v>-20.300799999999999</v>
      </c>
    </row>
  </sheetData>
  <sortState xmlns:xlrd2="http://schemas.microsoft.com/office/spreadsheetml/2017/richdata2" ref="A2:R78">
    <sortCondition ref="N2:N7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2B51E-58E9-4610-949A-5107767D24A1}">
  <dimension ref="A1:X80"/>
  <sheetViews>
    <sheetView topLeftCell="I43" workbookViewId="0">
      <selection activeCell="S73" sqref="S73"/>
    </sheetView>
  </sheetViews>
  <sheetFormatPr defaultRowHeight="14.25" x14ac:dyDescent="0.2"/>
  <cols>
    <col min="1" max="2" width="18" style="1" customWidth="1"/>
    <col min="3" max="3" width="45" style="1" customWidth="1"/>
    <col min="4" max="4" width="14" style="1" customWidth="1"/>
    <col min="5" max="5" width="30" style="1" customWidth="1"/>
    <col min="6" max="6" width="35.5703125" style="1" bestFit="1" customWidth="1"/>
    <col min="7" max="11" width="15" style="1" customWidth="1"/>
    <col min="12" max="12" width="10.5703125" style="1" bestFit="1" customWidth="1"/>
    <col min="13" max="13" width="10" style="1" customWidth="1"/>
    <col min="14" max="14" width="12" style="1" customWidth="1"/>
    <col min="15" max="15" width="9" style="1" customWidth="1"/>
    <col min="16" max="16" width="18" style="1" customWidth="1"/>
    <col min="17" max="17" width="20.42578125" style="1" bestFit="1" customWidth="1"/>
    <col min="18" max="18" width="20" style="1" customWidth="1"/>
    <col min="19" max="19" width="17.85546875" style="1" bestFit="1" customWidth="1"/>
    <col min="20" max="20" width="24.85546875" style="1" bestFit="1" customWidth="1"/>
    <col min="21" max="21" width="24.85546875" style="1" customWidth="1"/>
    <col min="22" max="22" width="22.140625" style="1" customWidth="1"/>
    <col min="23" max="23" width="19.140625" style="1" customWidth="1"/>
    <col min="24" max="24" width="13.5703125" style="1" customWidth="1"/>
    <col min="25" max="16384" width="9.140625" style="1"/>
  </cols>
  <sheetData>
    <row r="1" spans="1:24" ht="30" customHeight="1" x14ac:dyDescent="0.2">
      <c r="A1" s="9" t="s">
        <v>21</v>
      </c>
      <c r="B1" s="9" t="s">
        <v>22</v>
      </c>
      <c r="C1" s="9" t="s">
        <v>23</v>
      </c>
      <c r="D1" s="9" t="s">
        <v>24</v>
      </c>
      <c r="E1" s="9" t="s">
        <v>301</v>
      </c>
      <c r="F1" s="9" t="s">
        <v>302</v>
      </c>
      <c r="G1" s="9" t="s">
        <v>303</v>
      </c>
      <c r="H1" s="9" t="s">
        <v>25</v>
      </c>
      <c r="I1" s="9" t="s">
        <v>26</v>
      </c>
      <c r="J1" s="9" t="s">
        <v>27</v>
      </c>
      <c r="K1" s="9" t="s">
        <v>28</v>
      </c>
      <c r="L1" s="9" t="s">
        <v>329</v>
      </c>
      <c r="M1" s="9" t="s">
        <v>29</v>
      </c>
      <c r="N1" s="9" t="s">
        <v>30</v>
      </c>
      <c r="O1" s="9" t="s">
        <v>31</v>
      </c>
      <c r="P1" s="9" t="s">
        <v>32</v>
      </c>
      <c r="Q1" s="9" t="s">
        <v>305</v>
      </c>
      <c r="R1" s="9" t="s">
        <v>33</v>
      </c>
      <c r="S1" s="9" t="s">
        <v>34</v>
      </c>
      <c r="T1" s="15" t="s">
        <v>304</v>
      </c>
      <c r="U1" s="15" t="s">
        <v>333</v>
      </c>
      <c r="V1" s="9" t="s">
        <v>306</v>
      </c>
      <c r="W1" s="9" t="s">
        <v>35</v>
      </c>
      <c r="X1" s="9" t="s">
        <v>36</v>
      </c>
    </row>
    <row r="2" spans="1:24" x14ac:dyDescent="0.2">
      <c r="A2" s="12" t="s">
        <v>67</v>
      </c>
      <c r="B2" s="12">
        <v>16912722</v>
      </c>
      <c r="C2" s="12" t="s">
        <v>314</v>
      </c>
      <c r="D2" s="12">
        <v>613147</v>
      </c>
      <c r="E2" s="12" t="s">
        <v>118</v>
      </c>
      <c r="F2" s="12" t="s">
        <v>119</v>
      </c>
      <c r="G2" s="12" t="s">
        <v>40</v>
      </c>
      <c r="H2" s="12" t="s">
        <v>120</v>
      </c>
      <c r="I2" s="12" t="s">
        <v>121</v>
      </c>
      <c r="J2" s="12" t="s">
        <v>56</v>
      </c>
      <c r="K2" s="12" t="s">
        <v>44</v>
      </c>
      <c r="L2" s="12">
        <f t="shared" ref="L2:L33" si="0">DATEDIF(J2,K2,"M")</f>
        <v>4</v>
      </c>
      <c r="M2" s="13">
        <v>41</v>
      </c>
      <c r="N2" s="12" t="s">
        <v>46</v>
      </c>
      <c r="O2" s="12" t="s">
        <v>47</v>
      </c>
      <c r="P2" s="12">
        <v>1000</v>
      </c>
      <c r="Q2" s="14">
        <v>42.14</v>
      </c>
      <c r="R2" s="12" t="s">
        <v>48</v>
      </c>
      <c r="S2" s="12" t="s">
        <v>49</v>
      </c>
      <c r="T2" s="16">
        <v>1.1399999999999999</v>
      </c>
      <c r="U2" s="23">
        <f>SUM(Q2*T2)</f>
        <v>48.0396</v>
      </c>
      <c r="V2" s="14">
        <v>48.04</v>
      </c>
      <c r="W2" s="14">
        <v>-48.04</v>
      </c>
      <c r="X2" s="12" t="s">
        <v>45</v>
      </c>
    </row>
    <row r="3" spans="1:24" x14ac:dyDescent="0.2">
      <c r="A3" s="12" t="s">
        <v>37</v>
      </c>
      <c r="B3" s="12">
        <v>18828278</v>
      </c>
      <c r="C3" s="12" t="s">
        <v>307</v>
      </c>
      <c r="D3" s="12">
        <v>1174646</v>
      </c>
      <c r="E3" s="12" t="s">
        <v>52</v>
      </c>
      <c r="F3" s="12" t="s">
        <v>53</v>
      </c>
      <c r="G3" s="12" t="s">
        <v>40</v>
      </c>
      <c r="H3" s="12" t="s">
        <v>54</v>
      </c>
      <c r="I3" s="12" t="s">
        <v>55</v>
      </c>
      <c r="J3" s="12" t="s">
        <v>56</v>
      </c>
      <c r="K3" s="12" t="s">
        <v>57</v>
      </c>
      <c r="L3" s="12">
        <f t="shared" si="0"/>
        <v>5</v>
      </c>
      <c r="M3" s="13" t="s">
        <v>45</v>
      </c>
      <c r="N3" s="12" t="s">
        <v>46</v>
      </c>
      <c r="O3" s="12" t="s">
        <v>58</v>
      </c>
      <c r="P3" s="12">
        <v>0</v>
      </c>
      <c r="Q3" s="14">
        <v>144.74</v>
      </c>
      <c r="R3" s="12" t="s">
        <v>48</v>
      </c>
      <c r="S3" s="12" t="s">
        <v>49</v>
      </c>
      <c r="T3" s="16">
        <v>0.27</v>
      </c>
      <c r="U3" s="23">
        <f t="shared" ref="U3:U66" si="1">SUM(Q3*T3)</f>
        <v>39.079800000000006</v>
      </c>
      <c r="V3" s="14">
        <v>39.08</v>
      </c>
      <c r="W3" s="14">
        <v>-39.08</v>
      </c>
      <c r="X3" s="12" t="s">
        <v>45</v>
      </c>
    </row>
    <row r="4" spans="1:24" x14ac:dyDescent="0.2">
      <c r="A4" s="12" t="s">
        <v>37</v>
      </c>
      <c r="B4" s="12">
        <v>18828278</v>
      </c>
      <c r="C4" s="12" t="s">
        <v>307</v>
      </c>
      <c r="D4" s="12">
        <v>1174646</v>
      </c>
      <c r="E4" s="12" t="s">
        <v>64</v>
      </c>
      <c r="F4" s="12" t="s">
        <v>65</v>
      </c>
      <c r="G4" s="12" t="s">
        <v>40</v>
      </c>
      <c r="H4" s="12" t="s">
        <v>54</v>
      </c>
      <c r="I4" s="12" t="s">
        <v>42</v>
      </c>
      <c r="J4" s="12" t="s">
        <v>66</v>
      </c>
      <c r="K4" s="12" t="s">
        <v>44</v>
      </c>
      <c r="L4" s="12">
        <f t="shared" si="0"/>
        <v>5</v>
      </c>
      <c r="M4" s="13" t="s">
        <v>45</v>
      </c>
      <c r="N4" s="12" t="s">
        <v>46</v>
      </c>
      <c r="O4" s="12" t="s">
        <v>47</v>
      </c>
      <c r="P4" s="12">
        <v>0</v>
      </c>
      <c r="Q4" s="14">
        <v>129.38999999999999</v>
      </c>
      <c r="R4" s="12" t="s">
        <v>48</v>
      </c>
      <c r="S4" s="12" t="s">
        <v>49</v>
      </c>
      <c r="T4" s="16">
        <v>0.23</v>
      </c>
      <c r="U4" s="23">
        <f t="shared" si="1"/>
        <v>29.759699999999999</v>
      </c>
      <c r="V4" s="14">
        <v>29.76</v>
      </c>
      <c r="W4" s="14">
        <v>-29.76</v>
      </c>
      <c r="X4" s="12" t="s">
        <v>45</v>
      </c>
    </row>
    <row r="5" spans="1:24" x14ac:dyDescent="0.2">
      <c r="A5" s="12" t="s">
        <v>67</v>
      </c>
      <c r="B5" s="12">
        <v>7470776</v>
      </c>
      <c r="C5" s="12" t="s">
        <v>318</v>
      </c>
      <c r="D5" s="12">
        <v>891882</v>
      </c>
      <c r="E5" s="12" t="s">
        <v>134</v>
      </c>
      <c r="F5" s="12" t="s">
        <v>135</v>
      </c>
      <c r="G5" s="12" t="s">
        <v>40</v>
      </c>
      <c r="H5" s="12" t="s">
        <v>85</v>
      </c>
      <c r="I5" s="12" t="s">
        <v>110</v>
      </c>
      <c r="J5" s="12" t="s">
        <v>136</v>
      </c>
      <c r="K5" s="12" t="s">
        <v>88</v>
      </c>
      <c r="L5" s="12">
        <f t="shared" si="0"/>
        <v>6</v>
      </c>
      <c r="M5" s="13">
        <v>45</v>
      </c>
      <c r="N5" s="12" t="s">
        <v>46</v>
      </c>
      <c r="O5" s="12" t="s">
        <v>47</v>
      </c>
      <c r="P5" s="12">
        <v>300</v>
      </c>
      <c r="Q5" s="14">
        <v>152.19</v>
      </c>
      <c r="R5" s="12" t="s">
        <v>48</v>
      </c>
      <c r="S5" s="12" t="s">
        <v>49</v>
      </c>
      <c r="T5" s="16">
        <v>1.5</v>
      </c>
      <c r="U5" s="23">
        <f t="shared" si="1"/>
        <v>228.285</v>
      </c>
      <c r="V5" s="14">
        <v>228.29</v>
      </c>
      <c r="W5" s="14">
        <v>-228.29</v>
      </c>
      <c r="X5" s="12" t="s">
        <v>45</v>
      </c>
    </row>
    <row r="6" spans="1:24" x14ac:dyDescent="0.2">
      <c r="A6" s="12" t="s">
        <v>67</v>
      </c>
      <c r="B6" s="12">
        <v>7470776</v>
      </c>
      <c r="C6" s="12" t="s">
        <v>318</v>
      </c>
      <c r="D6" s="12">
        <v>891882</v>
      </c>
      <c r="E6" s="12" t="s">
        <v>137</v>
      </c>
      <c r="F6" s="12" t="s">
        <v>138</v>
      </c>
      <c r="G6" s="12" t="s">
        <v>40</v>
      </c>
      <c r="H6" s="12" t="s">
        <v>85</v>
      </c>
      <c r="I6" s="12" t="s">
        <v>110</v>
      </c>
      <c r="J6" s="12" t="s">
        <v>136</v>
      </c>
      <c r="K6" s="12" t="s">
        <v>88</v>
      </c>
      <c r="L6" s="12">
        <f t="shared" si="0"/>
        <v>6</v>
      </c>
      <c r="M6" s="13">
        <v>45</v>
      </c>
      <c r="N6" s="12" t="s">
        <v>46</v>
      </c>
      <c r="O6" s="12" t="s">
        <v>47</v>
      </c>
      <c r="P6" s="12">
        <v>300</v>
      </c>
      <c r="Q6" s="14">
        <v>143.11000000000001</v>
      </c>
      <c r="R6" s="12" t="s">
        <v>48</v>
      </c>
      <c r="S6" s="12" t="s">
        <v>49</v>
      </c>
      <c r="T6" s="16">
        <v>1.5</v>
      </c>
      <c r="U6" s="23">
        <f t="shared" si="1"/>
        <v>214.66500000000002</v>
      </c>
      <c r="V6" s="14">
        <v>214.67</v>
      </c>
      <c r="W6" s="14">
        <v>-214.67</v>
      </c>
      <c r="X6" s="12" t="s">
        <v>45</v>
      </c>
    </row>
    <row r="7" spans="1:24" x14ac:dyDescent="0.2">
      <c r="A7" s="12" t="s">
        <v>67</v>
      </c>
      <c r="B7" s="12">
        <v>8814784</v>
      </c>
      <c r="C7" s="12" t="s">
        <v>319</v>
      </c>
      <c r="D7" s="12">
        <v>892054</v>
      </c>
      <c r="E7" s="12" t="s">
        <v>142</v>
      </c>
      <c r="F7" s="12" t="s">
        <v>143</v>
      </c>
      <c r="G7" s="12" t="s">
        <v>40</v>
      </c>
      <c r="H7" s="12" t="s">
        <v>120</v>
      </c>
      <c r="I7" s="12" t="s">
        <v>125</v>
      </c>
      <c r="J7" s="12" t="s">
        <v>144</v>
      </c>
      <c r="K7" s="12" t="s">
        <v>44</v>
      </c>
      <c r="L7" s="12">
        <f t="shared" si="0"/>
        <v>6</v>
      </c>
      <c r="M7" s="13">
        <v>67</v>
      </c>
      <c r="N7" s="12" t="s">
        <v>46</v>
      </c>
      <c r="O7" s="12" t="s">
        <v>47</v>
      </c>
      <c r="P7" s="12">
        <v>12</v>
      </c>
      <c r="Q7" s="14">
        <v>55</v>
      </c>
      <c r="R7" s="12" t="s">
        <v>48</v>
      </c>
      <c r="S7" s="12" t="s">
        <v>49</v>
      </c>
      <c r="T7" s="16">
        <v>1.35</v>
      </c>
      <c r="U7" s="23">
        <f t="shared" si="1"/>
        <v>74.25</v>
      </c>
      <c r="V7" s="14">
        <v>74.25</v>
      </c>
      <c r="W7" s="14">
        <v>-74.25</v>
      </c>
      <c r="X7" s="12" t="s">
        <v>45</v>
      </c>
    </row>
    <row r="8" spans="1:24" x14ac:dyDescent="0.2">
      <c r="A8" s="12" t="s">
        <v>67</v>
      </c>
      <c r="B8" s="12">
        <v>20220688</v>
      </c>
      <c r="C8" s="12" t="s">
        <v>321</v>
      </c>
      <c r="D8" s="12">
        <v>1075176</v>
      </c>
      <c r="E8" s="12" t="s">
        <v>196</v>
      </c>
      <c r="F8" s="12" t="s">
        <v>197</v>
      </c>
      <c r="G8" s="12" t="s">
        <v>40</v>
      </c>
      <c r="H8" s="12" t="s">
        <v>120</v>
      </c>
      <c r="I8" s="12" t="s">
        <v>198</v>
      </c>
      <c r="J8" s="12" t="s">
        <v>144</v>
      </c>
      <c r="K8" s="12" t="s">
        <v>44</v>
      </c>
      <c r="L8" s="12">
        <f t="shared" si="0"/>
        <v>6</v>
      </c>
      <c r="M8" s="13">
        <v>4</v>
      </c>
      <c r="N8" s="12" t="s">
        <v>46</v>
      </c>
      <c r="O8" s="12" t="s">
        <v>47</v>
      </c>
      <c r="P8" s="12">
        <v>50</v>
      </c>
      <c r="Q8" s="14">
        <v>19.04</v>
      </c>
      <c r="R8" s="12" t="s">
        <v>48</v>
      </c>
      <c r="S8" s="12" t="s">
        <v>49</v>
      </c>
      <c r="T8" s="16">
        <v>1.1499999999999999</v>
      </c>
      <c r="U8" s="23">
        <f t="shared" si="1"/>
        <v>21.895999999999997</v>
      </c>
      <c r="V8" s="14">
        <v>21.9</v>
      </c>
      <c r="W8" s="14">
        <v>-21.9</v>
      </c>
      <c r="X8" s="12" t="s">
        <v>45</v>
      </c>
    </row>
    <row r="9" spans="1:24" x14ac:dyDescent="0.2">
      <c r="A9" s="12" t="s">
        <v>67</v>
      </c>
      <c r="B9" s="12">
        <v>371819</v>
      </c>
      <c r="C9" s="12" t="s">
        <v>311</v>
      </c>
      <c r="D9" s="12">
        <v>257168</v>
      </c>
      <c r="E9" s="12" t="s">
        <v>103</v>
      </c>
      <c r="F9" s="12" t="s">
        <v>104</v>
      </c>
      <c r="G9" s="12" t="s">
        <v>84</v>
      </c>
      <c r="H9" s="12" t="s">
        <v>85</v>
      </c>
      <c r="I9" s="12" t="s">
        <v>100</v>
      </c>
      <c r="J9" s="12" t="s">
        <v>105</v>
      </c>
      <c r="K9" s="12" t="s">
        <v>93</v>
      </c>
      <c r="L9" s="12">
        <f t="shared" si="0"/>
        <v>6</v>
      </c>
      <c r="M9" s="13">
        <v>36</v>
      </c>
      <c r="N9" s="12" t="s">
        <v>46</v>
      </c>
      <c r="O9" s="12" t="s">
        <v>47</v>
      </c>
      <c r="P9" s="12">
        <v>300</v>
      </c>
      <c r="Q9" s="14">
        <v>65.42</v>
      </c>
      <c r="R9" s="12" t="s">
        <v>48</v>
      </c>
      <c r="S9" s="12" t="s">
        <v>49</v>
      </c>
      <c r="T9" s="16">
        <v>1.5</v>
      </c>
      <c r="U9" s="23">
        <f t="shared" si="1"/>
        <v>98.13</v>
      </c>
      <c r="V9" s="14">
        <v>98.13</v>
      </c>
      <c r="W9" s="14">
        <v>-98.13</v>
      </c>
      <c r="X9" s="12" t="s">
        <v>45</v>
      </c>
    </row>
    <row r="10" spans="1:24" x14ac:dyDescent="0.2">
      <c r="A10" s="12" t="s">
        <v>271</v>
      </c>
      <c r="B10" s="12">
        <v>8325282</v>
      </c>
      <c r="C10" s="12" t="s">
        <v>325</v>
      </c>
      <c r="D10" s="12">
        <v>513364</v>
      </c>
      <c r="E10" s="12" t="s">
        <v>296</v>
      </c>
      <c r="F10" s="12" t="s">
        <v>297</v>
      </c>
      <c r="G10" s="12" t="s">
        <v>40</v>
      </c>
      <c r="H10" s="12" t="s">
        <v>109</v>
      </c>
      <c r="I10" s="12" t="s">
        <v>274</v>
      </c>
      <c r="J10" s="12" t="s">
        <v>61</v>
      </c>
      <c r="K10" s="12" t="s">
        <v>44</v>
      </c>
      <c r="L10" s="12">
        <f t="shared" si="0"/>
        <v>8</v>
      </c>
      <c r="M10" s="13" t="s">
        <v>45</v>
      </c>
      <c r="N10" s="12" t="s">
        <v>46</v>
      </c>
      <c r="O10" s="12" t="s">
        <v>47</v>
      </c>
      <c r="P10" s="12">
        <v>0</v>
      </c>
      <c r="Q10" s="14">
        <v>34.36</v>
      </c>
      <c r="R10" s="12" t="s">
        <v>48</v>
      </c>
      <c r="S10" s="12" t="s">
        <v>49</v>
      </c>
      <c r="T10" s="16">
        <v>0.52</v>
      </c>
      <c r="U10" s="23">
        <f t="shared" si="1"/>
        <v>17.8672</v>
      </c>
      <c r="V10" s="14">
        <v>17.87</v>
      </c>
      <c r="W10" s="14">
        <v>-17.87</v>
      </c>
      <c r="X10" s="12" t="s">
        <v>45</v>
      </c>
    </row>
    <row r="11" spans="1:24" x14ac:dyDescent="0.2">
      <c r="A11" s="12" t="s">
        <v>67</v>
      </c>
      <c r="B11" s="12">
        <v>8814784</v>
      </c>
      <c r="C11" s="12" t="s">
        <v>319</v>
      </c>
      <c r="D11" s="12">
        <v>892054</v>
      </c>
      <c r="E11" s="12" t="s">
        <v>139</v>
      </c>
      <c r="F11" s="12" t="s">
        <v>140</v>
      </c>
      <c r="G11" s="12" t="s">
        <v>40</v>
      </c>
      <c r="H11" s="12" t="s">
        <v>120</v>
      </c>
      <c r="I11" s="12" t="s">
        <v>125</v>
      </c>
      <c r="J11" s="12" t="s">
        <v>141</v>
      </c>
      <c r="K11" s="12" t="s">
        <v>127</v>
      </c>
      <c r="L11" s="12">
        <f t="shared" si="0"/>
        <v>8</v>
      </c>
      <c r="M11" s="13">
        <v>63</v>
      </c>
      <c r="N11" s="12" t="s">
        <v>46</v>
      </c>
      <c r="O11" s="12" t="s">
        <v>47</v>
      </c>
      <c r="P11" s="12">
        <v>50</v>
      </c>
      <c r="Q11" s="14">
        <v>175.78</v>
      </c>
      <c r="R11" s="12" t="s">
        <v>48</v>
      </c>
      <c r="S11" s="12" t="s">
        <v>49</v>
      </c>
      <c r="T11" s="16">
        <v>1.35</v>
      </c>
      <c r="U11" s="23">
        <f t="shared" si="1"/>
        <v>237.30300000000003</v>
      </c>
      <c r="V11" s="14">
        <v>237.3</v>
      </c>
      <c r="W11" s="14">
        <v>-237.3</v>
      </c>
      <c r="X11" s="12" t="s">
        <v>45</v>
      </c>
    </row>
    <row r="12" spans="1:24" x14ac:dyDescent="0.2">
      <c r="A12" s="12" t="s">
        <v>37</v>
      </c>
      <c r="B12" s="12">
        <v>18828278</v>
      </c>
      <c r="C12" s="12" t="s">
        <v>307</v>
      </c>
      <c r="D12" s="12">
        <v>1174646</v>
      </c>
      <c r="E12" s="12" t="s">
        <v>59</v>
      </c>
      <c r="F12" s="12" t="s">
        <v>60</v>
      </c>
      <c r="G12" s="12" t="s">
        <v>40</v>
      </c>
      <c r="H12" s="12" t="s">
        <v>41</v>
      </c>
      <c r="I12" s="12" t="s">
        <v>42</v>
      </c>
      <c r="J12" s="12" t="s">
        <v>61</v>
      </c>
      <c r="K12" s="12" t="s">
        <v>44</v>
      </c>
      <c r="L12" s="12">
        <f t="shared" si="0"/>
        <v>8</v>
      </c>
      <c r="M12" s="13" t="s">
        <v>45</v>
      </c>
      <c r="N12" s="12" t="s">
        <v>46</v>
      </c>
      <c r="O12" s="12" t="s">
        <v>47</v>
      </c>
      <c r="P12" s="12">
        <v>0</v>
      </c>
      <c r="Q12" s="14">
        <v>136.01</v>
      </c>
      <c r="R12" s="12" t="s">
        <v>48</v>
      </c>
      <c r="S12" s="12" t="s">
        <v>49</v>
      </c>
      <c r="T12" s="16">
        <v>0.23</v>
      </c>
      <c r="U12" s="23">
        <f t="shared" si="1"/>
        <v>31.282299999999999</v>
      </c>
      <c r="V12" s="14">
        <v>31.28</v>
      </c>
      <c r="W12" s="14">
        <v>-31.28</v>
      </c>
      <c r="X12" s="12" t="s">
        <v>45</v>
      </c>
    </row>
    <row r="13" spans="1:24" x14ac:dyDescent="0.2">
      <c r="A13" s="12" t="s">
        <v>37</v>
      </c>
      <c r="B13" s="12">
        <v>18828278</v>
      </c>
      <c r="C13" s="12" t="s">
        <v>307</v>
      </c>
      <c r="D13" s="12">
        <v>1174646</v>
      </c>
      <c r="E13" s="12" t="s">
        <v>62</v>
      </c>
      <c r="F13" s="12" t="s">
        <v>63</v>
      </c>
      <c r="G13" s="12" t="s">
        <v>40</v>
      </c>
      <c r="H13" s="12" t="s">
        <v>41</v>
      </c>
      <c r="I13" s="12" t="s">
        <v>42</v>
      </c>
      <c r="J13" s="12" t="s">
        <v>61</v>
      </c>
      <c r="K13" s="12" t="s">
        <v>44</v>
      </c>
      <c r="L13" s="12">
        <f t="shared" si="0"/>
        <v>8</v>
      </c>
      <c r="M13" s="13" t="s">
        <v>45</v>
      </c>
      <c r="N13" s="12" t="s">
        <v>46</v>
      </c>
      <c r="O13" s="12" t="s">
        <v>47</v>
      </c>
      <c r="P13" s="12">
        <v>0</v>
      </c>
      <c r="Q13" s="14">
        <v>118.19</v>
      </c>
      <c r="R13" s="12" t="s">
        <v>48</v>
      </c>
      <c r="S13" s="12" t="s">
        <v>49</v>
      </c>
      <c r="T13" s="16">
        <v>0.23</v>
      </c>
      <c r="U13" s="23">
        <f t="shared" si="1"/>
        <v>27.183700000000002</v>
      </c>
      <c r="V13" s="14">
        <v>27.18</v>
      </c>
      <c r="W13" s="14">
        <v>-27.18</v>
      </c>
      <c r="X13" s="12" t="s">
        <v>45</v>
      </c>
    </row>
    <row r="14" spans="1:24" x14ac:dyDescent="0.2">
      <c r="A14" s="12" t="s">
        <v>67</v>
      </c>
      <c r="B14" s="12">
        <v>6634327</v>
      </c>
      <c r="C14" s="12" t="s">
        <v>312</v>
      </c>
      <c r="D14" s="12">
        <v>505582</v>
      </c>
      <c r="E14" s="12" t="s">
        <v>106</v>
      </c>
      <c r="F14" s="12" t="s">
        <v>107</v>
      </c>
      <c r="G14" s="12" t="s">
        <v>108</v>
      </c>
      <c r="H14" s="12" t="s">
        <v>109</v>
      </c>
      <c r="I14" s="12" t="s">
        <v>110</v>
      </c>
      <c r="J14" s="12" t="s">
        <v>87</v>
      </c>
      <c r="K14" s="12" t="s">
        <v>88</v>
      </c>
      <c r="L14" s="12">
        <f t="shared" si="0"/>
        <v>9</v>
      </c>
      <c r="M14" s="13">
        <v>32</v>
      </c>
      <c r="N14" s="12" t="s">
        <v>46</v>
      </c>
      <c r="O14" s="12" t="s">
        <v>47</v>
      </c>
      <c r="P14" s="12">
        <v>250</v>
      </c>
      <c r="Q14" s="14">
        <v>51.84</v>
      </c>
      <c r="R14" s="12" t="s">
        <v>48</v>
      </c>
      <c r="S14" s="12" t="s">
        <v>49</v>
      </c>
      <c r="T14" s="16">
        <v>1.5</v>
      </c>
      <c r="U14" s="23">
        <f t="shared" si="1"/>
        <v>77.760000000000005</v>
      </c>
      <c r="V14" s="14">
        <v>77.760000000000005</v>
      </c>
      <c r="W14" s="14">
        <v>-77.760000000000005</v>
      </c>
      <c r="X14" s="12" t="s">
        <v>45</v>
      </c>
    </row>
    <row r="15" spans="1:24" x14ac:dyDescent="0.2">
      <c r="A15" s="12" t="s">
        <v>67</v>
      </c>
      <c r="B15" s="12">
        <v>6634327</v>
      </c>
      <c r="C15" s="12" t="s">
        <v>312</v>
      </c>
      <c r="D15" s="12">
        <v>505582</v>
      </c>
      <c r="E15" s="12" t="s">
        <v>111</v>
      </c>
      <c r="F15" s="12" t="s">
        <v>112</v>
      </c>
      <c r="G15" s="12" t="s">
        <v>108</v>
      </c>
      <c r="H15" s="12" t="s">
        <v>109</v>
      </c>
      <c r="I15" s="12" t="s">
        <v>110</v>
      </c>
      <c r="J15" s="12" t="s">
        <v>87</v>
      </c>
      <c r="K15" s="12" t="s">
        <v>88</v>
      </c>
      <c r="L15" s="12">
        <f t="shared" si="0"/>
        <v>9</v>
      </c>
      <c r="M15" s="13">
        <v>31</v>
      </c>
      <c r="N15" s="12" t="s">
        <v>46</v>
      </c>
      <c r="O15" s="12" t="s">
        <v>47</v>
      </c>
      <c r="P15" s="12">
        <v>25</v>
      </c>
      <c r="Q15" s="14">
        <v>9.5</v>
      </c>
      <c r="R15" s="12" t="s">
        <v>48</v>
      </c>
      <c r="S15" s="12" t="s">
        <v>49</v>
      </c>
      <c r="T15" s="16">
        <v>1.5</v>
      </c>
      <c r="U15" s="23">
        <f t="shared" si="1"/>
        <v>14.25</v>
      </c>
      <c r="V15" s="14">
        <v>14.25</v>
      </c>
      <c r="W15" s="14">
        <v>-14.25</v>
      </c>
      <c r="X15" s="12" t="s">
        <v>45</v>
      </c>
    </row>
    <row r="16" spans="1:24" x14ac:dyDescent="0.2">
      <c r="A16" s="12" t="s">
        <v>37</v>
      </c>
      <c r="B16" s="12">
        <v>18828278</v>
      </c>
      <c r="C16" s="12" t="s">
        <v>307</v>
      </c>
      <c r="D16" s="12">
        <v>1174646</v>
      </c>
      <c r="E16" s="12" t="s">
        <v>38</v>
      </c>
      <c r="F16" s="12" t="s">
        <v>39</v>
      </c>
      <c r="G16" s="12" t="s">
        <v>40</v>
      </c>
      <c r="H16" s="12" t="s">
        <v>41</v>
      </c>
      <c r="I16" s="12" t="s">
        <v>42</v>
      </c>
      <c r="J16" s="12" t="s">
        <v>43</v>
      </c>
      <c r="K16" s="12" t="s">
        <v>44</v>
      </c>
      <c r="L16" s="12">
        <f t="shared" si="0"/>
        <v>9</v>
      </c>
      <c r="M16" s="13" t="s">
        <v>45</v>
      </c>
      <c r="N16" s="12" t="s">
        <v>46</v>
      </c>
      <c r="O16" s="12" t="s">
        <v>47</v>
      </c>
      <c r="P16" s="12">
        <v>0</v>
      </c>
      <c r="Q16" s="14">
        <v>165.45</v>
      </c>
      <c r="R16" s="12" t="s">
        <v>48</v>
      </c>
      <c r="S16" s="12" t="s">
        <v>49</v>
      </c>
      <c r="T16" s="16">
        <v>0.23</v>
      </c>
      <c r="U16" s="23">
        <f t="shared" si="1"/>
        <v>38.0535</v>
      </c>
      <c r="V16" s="14">
        <v>38.049999999999997</v>
      </c>
      <c r="W16" s="14">
        <v>-38.049999999999997</v>
      </c>
      <c r="X16" s="12" t="s">
        <v>45</v>
      </c>
    </row>
    <row r="17" spans="1:24" x14ac:dyDescent="0.2">
      <c r="A17" s="12" t="s">
        <v>37</v>
      </c>
      <c r="B17" s="12">
        <v>18828278</v>
      </c>
      <c r="C17" s="12" t="s">
        <v>307</v>
      </c>
      <c r="D17" s="12">
        <v>1174646</v>
      </c>
      <c r="E17" s="12" t="s">
        <v>50</v>
      </c>
      <c r="F17" s="12" t="s">
        <v>51</v>
      </c>
      <c r="G17" s="12" t="s">
        <v>40</v>
      </c>
      <c r="H17" s="12" t="s">
        <v>41</v>
      </c>
      <c r="I17" s="12" t="s">
        <v>42</v>
      </c>
      <c r="J17" s="12" t="s">
        <v>43</v>
      </c>
      <c r="K17" s="12" t="s">
        <v>44</v>
      </c>
      <c r="L17" s="12">
        <f t="shared" si="0"/>
        <v>9</v>
      </c>
      <c r="M17" s="13" t="s">
        <v>45</v>
      </c>
      <c r="N17" s="12" t="s">
        <v>46</v>
      </c>
      <c r="O17" s="12" t="s">
        <v>47</v>
      </c>
      <c r="P17" s="12">
        <v>0</v>
      </c>
      <c r="Q17" s="14">
        <v>166.67</v>
      </c>
      <c r="R17" s="12" t="s">
        <v>48</v>
      </c>
      <c r="S17" s="12" t="s">
        <v>49</v>
      </c>
      <c r="T17" s="16">
        <v>0.23</v>
      </c>
      <c r="U17" s="23">
        <f t="shared" si="1"/>
        <v>38.334099999999999</v>
      </c>
      <c r="V17" s="14">
        <v>38.33</v>
      </c>
      <c r="W17" s="14">
        <v>-38.33</v>
      </c>
      <c r="X17" s="12" t="s">
        <v>45</v>
      </c>
    </row>
    <row r="18" spans="1:24" x14ac:dyDescent="0.2">
      <c r="A18" s="1" t="s">
        <v>67</v>
      </c>
      <c r="B18" s="1">
        <v>1706194</v>
      </c>
      <c r="C18" s="1" t="s">
        <v>310</v>
      </c>
      <c r="D18" s="1">
        <v>1099222</v>
      </c>
      <c r="E18" s="1" t="s">
        <v>97</v>
      </c>
      <c r="F18" s="1" t="s">
        <v>98</v>
      </c>
      <c r="G18" s="1" t="s">
        <v>99</v>
      </c>
      <c r="H18" s="1" t="s">
        <v>41</v>
      </c>
      <c r="I18" s="1" t="s">
        <v>100</v>
      </c>
      <c r="J18" s="1" t="s">
        <v>101</v>
      </c>
      <c r="K18" s="1" t="s">
        <v>102</v>
      </c>
      <c r="L18" s="1">
        <f t="shared" si="0"/>
        <v>3</v>
      </c>
      <c r="M18" s="10">
        <v>61</v>
      </c>
      <c r="N18" s="1" t="s">
        <v>46</v>
      </c>
      <c r="O18" s="1" t="s">
        <v>47</v>
      </c>
      <c r="P18" s="1">
        <v>65</v>
      </c>
      <c r="Q18" s="11">
        <v>97.44</v>
      </c>
      <c r="R18" s="1" t="s">
        <v>48</v>
      </c>
      <c r="S18" s="1" t="s">
        <v>49</v>
      </c>
      <c r="T18" s="17">
        <v>1.5</v>
      </c>
      <c r="U18" s="24">
        <f t="shared" si="1"/>
        <v>146.16</v>
      </c>
      <c r="V18" s="11">
        <v>146.16</v>
      </c>
      <c r="W18" s="11">
        <v>-146.16</v>
      </c>
      <c r="X18" s="1" t="s">
        <v>45</v>
      </c>
    </row>
    <row r="19" spans="1:24" x14ac:dyDescent="0.2">
      <c r="A19" s="1" t="s">
        <v>67</v>
      </c>
      <c r="B19" s="1">
        <v>5442438</v>
      </c>
      <c r="C19" s="1" t="s">
        <v>324</v>
      </c>
      <c r="D19" s="1">
        <v>899216</v>
      </c>
      <c r="E19" s="1" t="s">
        <v>260</v>
      </c>
      <c r="F19" s="1" t="s">
        <v>261</v>
      </c>
      <c r="G19" s="1" t="s">
        <v>124</v>
      </c>
      <c r="H19" s="1" t="s">
        <v>85</v>
      </c>
      <c r="I19" s="1" t="s">
        <v>100</v>
      </c>
      <c r="J19" s="1" t="s">
        <v>262</v>
      </c>
      <c r="K19" s="1" t="s">
        <v>191</v>
      </c>
      <c r="L19" s="1">
        <f t="shared" si="0"/>
        <v>3</v>
      </c>
      <c r="M19" s="10">
        <v>61</v>
      </c>
      <c r="N19" s="1" t="s">
        <v>46</v>
      </c>
      <c r="O19" s="1" t="s">
        <v>47</v>
      </c>
      <c r="P19" s="1">
        <v>50</v>
      </c>
      <c r="Q19" s="11">
        <v>76.180000000000007</v>
      </c>
      <c r="R19" s="1" t="s">
        <v>48</v>
      </c>
      <c r="S19" s="1" t="s">
        <v>49</v>
      </c>
      <c r="T19" s="17">
        <v>1.5</v>
      </c>
      <c r="U19" s="24">
        <f t="shared" si="1"/>
        <v>114.27000000000001</v>
      </c>
      <c r="V19" s="11">
        <v>114.27</v>
      </c>
      <c r="W19" s="11">
        <v>-114.27</v>
      </c>
      <c r="X19" s="1" t="s">
        <v>45</v>
      </c>
    </row>
    <row r="20" spans="1:24" x14ac:dyDescent="0.2">
      <c r="A20" s="1" t="s">
        <v>271</v>
      </c>
      <c r="B20" s="1">
        <v>18598357</v>
      </c>
      <c r="C20" s="1" t="s">
        <v>326</v>
      </c>
      <c r="D20" s="1">
        <v>806149</v>
      </c>
      <c r="E20" s="1" t="s">
        <v>298</v>
      </c>
      <c r="F20" s="1" t="s">
        <v>299</v>
      </c>
      <c r="G20" s="1" t="s">
        <v>124</v>
      </c>
      <c r="H20" s="1" t="s">
        <v>120</v>
      </c>
      <c r="I20" s="1" t="s">
        <v>300</v>
      </c>
      <c r="J20" s="1" t="s">
        <v>56</v>
      </c>
      <c r="K20" s="1" t="s">
        <v>44</v>
      </c>
      <c r="L20" s="1">
        <f t="shared" si="0"/>
        <v>4</v>
      </c>
      <c r="M20" s="10" t="s">
        <v>45</v>
      </c>
      <c r="N20" s="1" t="s">
        <v>46</v>
      </c>
      <c r="O20" s="1" t="s">
        <v>47</v>
      </c>
      <c r="P20" s="1">
        <v>0</v>
      </c>
      <c r="Q20" s="11">
        <v>104.8</v>
      </c>
      <c r="R20" s="1" t="s">
        <v>48</v>
      </c>
      <c r="S20" s="1" t="s">
        <v>49</v>
      </c>
      <c r="T20" s="17">
        <v>2.5000000000000001E-2</v>
      </c>
      <c r="U20" s="24">
        <f t="shared" si="1"/>
        <v>2.62</v>
      </c>
      <c r="V20" s="11">
        <v>2.62</v>
      </c>
      <c r="W20" s="11">
        <v>-2.62</v>
      </c>
      <c r="X20" s="1" t="s">
        <v>45</v>
      </c>
    </row>
    <row r="21" spans="1:24" x14ac:dyDescent="0.2">
      <c r="A21" s="1" t="s">
        <v>67</v>
      </c>
      <c r="B21" s="1">
        <v>8307933</v>
      </c>
      <c r="C21" s="1" t="s">
        <v>320</v>
      </c>
      <c r="D21" s="1">
        <v>893387</v>
      </c>
      <c r="E21" s="1" t="s">
        <v>192</v>
      </c>
      <c r="F21" s="1" t="s">
        <v>193</v>
      </c>
      <c r="G21" s="1" t="s">
        <v>84</v>
      </c>
      <c r="H21" s="1" t="s">
        <v>85</v>
      </c>
      <c r="I21" s="1" t="s">
        <v>194</v>
      </c>
      <c r="J21" s="1" t="s">
        <v>195</v>
      </c>
      <c r="K21" s="1" t="s">
        <v>93</v>
      </c>
      <c r="L21" s="1">
        <f t="shared" si="0"/>
        <v>5</v>
      </c>
      <c r="M21" s="10">
        <v>70</v>
      </c>
      <c r="N21" s="1" t="s">
        <v>46</v>
      </c>
      <c r="O21" s="1" t="s">
        <v>47</v>
      </c>
      <c r="P21" s="1">
        <v>12</v>
      </c>
      <c r="Q21" s="11">
        <v>103.81</v>
      </c>
      <c r="R21" s="1" t="s">
        <v>48</v>
      </c>
      <c r="S21" s="1" t="s">
        <v>49</v>
      </c>
      <c r="T21" s="17">
        <v>0.875</v>
      </c>
      <c r="U21" s="24">
        <f t="shared" si="1"/>
        <v>90.833750000000009</v>
      </c>
      <c r="V21" s="11">
        <v>90.83</v>
      </c>
      <c r="W21" s="11">
        <v>-90.83</v>
      </c>
      <c r="X21" s="1" t="s">
        <v>45</v>
      </c>
    </row>
    <row r="22" spans="1:24" x14ac:dyDescent="0.2">
      <c r="A22" s="1" t="s">
        <v>67</v>
      </c>
      <c r="B22" s="1">
        <v>8307933</v>
      </c>
      <c r="C22" s="1" t="s">
        <v>320</v>
      </c>
      <c r="D22" s="1">
        <v>893387</v>
      </c>
      <c r="E22" s="1" t="s">
        <v>224</v>
      </c>
      <c r="F22" s="1" t="s">
        <v>225</v>
      </c>
      <c r="G22" s="1" t="s">
        <v>40</v>
      </c>
      <c r="H22" s="1" t="s">
        <v>85</v>
      </c>
      <c r="I22" s="1" t="s">
        <v>116</v>
      </c>
      <c r="J22" s="1" t="s">
        <v>226</v>
      </c>
      <c r="K22" s="1" t="s">
        <v>88</v>
      </c>
      <c r="L22" s="1">
        <f t="shared" si="0"/>
        <v>5</v>
      </c>
      <c r="M22" s="10">
        <v>65</v>
      </c>
      <c r="N22" s="1" t="s">
        <v>46</v>
      </c>
      <c r="O22" s="1" t="s">
        <v>47</v>
      </c>
      <c r="P22" s="1">
        <v>60</v>
      </c>
      <c r="Q22" s="11">
        <v>197.58</v>
      </c>
      <c r="R22" s="1" t="s">
        <v>48</v>
      </c>
      <c r="S22" s="1" t="s">
        <v>49</v>
      </c>
      <c r="T22" s="17">
        <v>0.67500000000000004</v>
      </c>
      <c r="U22" s="24">
        <f t="shared" si="1"/>
        <v>133.36650000000003</v>
      </c>
      <c r="V22" s="11">
        <v>133.37</v>
      </c>
      <c r="W22" s="11">
        <v>-133.37</v>
      </c>
      <c r="X22" s="1" t="s">
        <v>45</v>
      </c>
    </row>
    <row r="23" spans="1:24" x14ac:dyDescent="0.2">
      <c r="A23" s="1" t="s">
        <v>67</v>
      </c>
      <c r="B23" s="1">
        <v>8307933</v>
      </c>
      <c r="C23" s="1" t="s">
        <v>320</v>
      </c>
      <c r="D23" s="1">
        <v>893387</v>
      </c>
      <c r="E23" s="1" t="s">
        <v>217</v>
      </c>
      <c r="F23" s="1" t="s">
        <v>218</v>
      </c>
      <c r="G23" s="1" t="s">
        <v>91</v>
      </c>
      <c r="H23" s="1" t="s">
        <v>85</v>
      </c>
      <c r="I23" s="1" t="s">
        <v>100</v>
      </c>
      <c r="J23" s="1" t="s">
        <v>219</v>
      </c>
      <c r="K23" s="1" t="s">
        <v>220</v>
      </c>
      <c r="L23" s="1">
        <f t="shared" si="0"/>
        <v>6</v>
      </c>
      <c r="M23" s="10">
        <v>32</v>
      </c>
      <c r="N23" s="1" t="s">
        <v>46</v>
      </c>
      <c r="O23" s="1" t="s">
        <v>47</v>
      </c>
      <c r="P23" s="1">
        <v>200</v>
      </c>
      <c r="Q23" s="11">
        <v>67.64</v>
      </c>
      <c r="R23" s="1" t="s">
        <v>48</v>
      </c>
      <c r="S23" s="1" t="s">
        <v>49</v>
      </c>
      <c r="T23" s="17">
        <v>1.5</v>
      </c>
      <c r="U23" s="24">
        <f t="shared" si="1"/>
        <v>101.46000000000001</v>
      </c>
      <c r="V23" s="11">
        <v>101.46</v>
      </c>
      <c r="W23" s="11">
        <v>-101.46</v>
      </c>
      <c r="X23" s="1" t="s">
        <v>45</v>
      </c>
    </row>
    <row r="24" spans="1:24" x14ac:dyDescent="0.2">
      <c r="A24" s="1" t="s">
        <v>67</v>
      </c>
      <c r="B24" s="1">
        <v>8307933</v>
      </c>
      <c r="C24" s="1" t="s">
        <v>320</v>
      </c>
      <c r="D24" s="1">
        <v>893387</v>
      </c>
      <c r="E24" s="1" t="s">
        <v>227</v>
      </c>
      <c r="F24" s="1" t="s">
        <v>228</v>
      </c>
      <c r="G24" s="1" t="s">
        <v>91</v>
      </c>
      <c r="H24" s="1" t="s">
        <v>85</v>
      </c>
      <c r="I24" s="1" t="s">
        <v>100</v>
      </c>
      <c r="J24" s="1" t="s">
        <v>219</v>
      </c>
      <c r="K24" s="1" t="s">
        <v>220</v>
      </c>
      <c r="L24" s="1">
        <f t="shared" si="0"/>
        <v>6</v>
      </c>
      <c r="M24" s="10">
        <v>26</v>
      </c>
      <c r="N24" s="1" t="s">
        <v>46</v>
      </c>
      <c r="O24" s="1" t="s">
        <v>47</v>
      </c>
      <c r="P24" s="1">
        <v>200</v>
      </c>
      <c r="Q24" s="11">
        <v>31.51</v>
      </c>
      <c r="R24" s="1" t="s">
        <v>48</v>
      </c>
      <c r="S24" s="1" t="s">
        <v>49</v>
      </c>
      <c r="T24" s="17">
        <v>1.5</v>
      </c>
      <c r="U24" s="24">
        <f t="shared" si="1"/>
        <v>47.265000000000001</v>
      </c>
      <c r="V24" s="11">
        <v>47.27</v>
      </c>
      <c r="W24" s="11">
        <v>-47.27</v>
      </c>
      <c r="X24" s="1" t="s">
        <v>45</v>
      </c>
    </row>
    <row r="25" spans="1:24" x14ac:dyDescent="0.2">
      <c r="A25" s="1" t="s">
        <v>67</v>
      </c>
      <c r="B25" s="1">
        <v>8307933</v>
      </c>
      <c r="C25" s="1" t="s">
        <v>320</v>
      </c>
      <c r="D25" s="1">
        <v>893387</v>
      </c>
      <c r="E25" s="1" t="s">
        <v>185</v>
      </c>
      <c r="F25" s="1" t="s">
        <v>186</v>
      </c>
      <c r="G25" s="1" t="s">
        <v>40</v>
      </c>
      <c r="H25" s="1" t="s">
        <v>120</v>
      </c>
      <c r="I25" s="1" t="s">
        <v>100</v>
      </c>
      <c r="J25" s="1" t="s">
        <v>187</v>
      </c>
      <c r="K25" s="1" t="s">
        <v>127</v>
      </c>
      <c r="L25" s="1">
        <f t="shared" si="0"/>
        <v>7</v>
      </c>
      <c r="M25" s="10">
        <v>32</v>
      </c>
      <c r="N25" s="1" t="s">
        <v>46</v>
      </c>
      <c r="O25" s="1" t="s">
        <v>47</v>
      </c>
      <c r="P25" s="1">
        <v>300</v>
      </c>
      <c r="Q25" s="11">
        <v>55.8</v>
      </c>
      <c r="R25" s="1" t="s">
        <v>48</v>
      </c>
      <c r="S25" s="1" t="s">
        <v>49</v>
      </c>
      <c r="T25" s="17">
        <v>1.5</v>
      </c>
      <c r="U25" s="24">
        <f t="shared" si="1"/>
        <v>83.699999999999989</v>
      </c>
      <c r="V25" s="11">
        <v>83.7</v>
      </c>
      <c r="W25" s="11">
        <v>-83.7</v>
      </c>
      <c r="X25" s="1" t="s">
        <v>45</v>
      </c>
    </row>
    <row r="26" spans="1:24" x14ac:dyDescent="0.2">
      <c r="A26" s="1" t="s">
        <v>67</v>
      </c>
      <c r="B26" s="1">
        <v>8307933</v>
      </c>
      <c r="C26" s="1" t="s">
        <v>320</v>
      </c>
      <c r="D26" s="1">
        <v>893387</v>
      </c>
      <c r="E26" s="1" t="s">
        <v>188</v>
      </c>
      <c r="F26" s="1" t="s">
        <v>189</v>
      </c>
      <c r="G26" s="1" t="s">
        <v>40</v>
      </c>
      <c r="H26" s="1" t="s">
        <v>85</v>
      </c>
      <c r="I26" s="1" t="s">
        <v>100</v>
      </c>
      <c r="J26" s="1" t="s">
        <v>190</v>
      </c>
      <c r="K26" s="1" t="s">
        <v>191</v>
      </c>
      <c r="L26" s="1">
        <f t="shared" si="0"/>
        <v>7</v>
      </c>
      <c r="M26" s="10">
        <v>35</v>
      </c>
      <c r="N26" s="1" t="s">
        <v>46</v>
      </c>
      <c r="O26" s="1" t="s">
        <v>47</v>
      </c>
      <c r="P26" s="1">
        <v>300</v>
      </c>
      <c r="Q26" s="11">
        <v>63.28</v>
      </c>
      <c r="R26" s="1" t="s">
        <v>48</v>
      </c>
      <c r="S26" s="1" t="s">
        <v>49</v>
      </c>
      <c r="T26" s="17">
        <v>1.5</v>
      </c>
      <c r="U26" s="24">
        <f t="shared" si="1"/>
        <v>94.92</v>
      </c>
      <c r="V26" s="11">
        <v>94.92</v>
      </c>
      <c r="W26" s="11">
        <v>-94.92</v>
      </c>
      <c r="X26" s="1" t="s">
        <v>45</v>
      </c>
    </row>
    <row r="27" spans="1:24" x14ac:dyDescent="0.2">
      <c r="A27" s="1" t="s">
        <v>67</v>
      </c>
      <c r="B27" s="1">
        <v>8307933</v>
      </c>
      <c r="C27" s="1" t="s">
        <v>320</v>
      </c>
      <c r="D27" s="1">
        <v>893387</v>
      </c>
      <c r="E27" s="1" t="s">
        <v>221</v>
      </c>
      <c r="F27" s="1" t="s">
        <v>222</v>
      </c>
      <c r="G27" s="1" t="s">
        <v>70</v>
      </c>
      <c r="H27" s="1" t="s">
        <v>85</v>
      </c>
      <c r="I27" s="1" t="s">
        <v>100</v>
      </c>
      <c r="J27" s="1" t="s">
        <v>223</v>
      </c>
      <c r="K27" s="1" t="s">
        <v>93</v>
      </c>
      <c r="L27" s="1">
        <f t="shared" si="0"/>
        <v>7</v>
      </c>
      <c r="M27" s="10">
        <v>60</v>
      </c>
      <c r="N27" s="1" t="s">
        <v>46</v>
      </c>
      <c r="O27" s="1" t="s">
        <v>47</v>
      </c>
      <c r="P27" s="1">
        <v>75</v>
      </c>
      <c r="Q27" s="11">
        <v>105.13</v>
      </c>
      <c r="R27" s="1" t="s">
        <v>48</v>
      </c>
      <c r="S27" s="1" t="s">
        <v>49</v>
      </c>
      <c r="T27" s="17">
        <v>1.5</v>
      </c>
      <c r="U27" s="24">
        <f t="shared" si="1"/>
        <v>157.69499999999999</v>
      </c>
      <c r="V27" s="11">
        <v>157.69999999999999</v>
      </c>
      <c r="W27" s="11">
        <v>-157.69999999999999</v>
      </c>
      <c r="X27" s="1" t="s">
        <v>45</v>
      </c>
    </row>
    <row r="28" spans="1:24" x14ac:dyDescent="0.2">
      <c r="A28" s="1" t="s">
        <v>67</v>
      </c>
      <c r="B28" s="1">
        <v>1706194</v>
      </c>
      <c r="C28" s="1" t="s">
        <v>310</v>
      </c>
      <c r="D28" s="1">
        <v>1099222</v>
      </c>
      <c r="E28" s="1" t="s">
        <v>94</v>
      </c>
      <c r="F28" s="1" t="s">
        <v>95</v>
      </c>
      <c r="G28" s="1" t="s">
        <v>84</v>
      </c>
      <c r="H28" s="1" t="s">
        <v>85</v>
      </c>
      <c r="I28" s="1" t="s">
        <v>86</v>
      </c>
      <c r="J28" s="1" t="s">
        <v>96</v>
      </c>
      <c r="K28" s="1" t="s">
        <v>88</v>
      </c>
      <c r="L28" s="1">
        <f t="shared" si="0"/>
        <v>7</v>
      </c>
      <c r="M28" s="10">
        <v>38</v>
      </c>
      <c r="N28" s="1" t="s">
        <v>46</v>
      </c>
      <c r="O28" s="1" t="s">
        <v>47</v>
      </c>
      <c r="P28" s="1">
        <v>300</v>
      </c>
      <c r="Q28" s="11">
        <v>109.47</v>
      </c>
      <c r="R28" s="1" t="s">
        <v>48</v>
      </c>
      <c r="S28" s="1" t="s">
        <v>49</v>
      </c>
      <c r="T28" s="17">
        <v>1.5</v>
      </c>
      <c r="U28" s="24">
        <f t="shared" si="1"/>
        <v>164.20499999999998</v>
      </c>
      <c r="V28" s="11">
        <v>164.21</v>
      </c>
      <c r="W28" s="11">
        <v>-164.21</v>
      </c>
      <c r="X28" s="1" t="s">
        <v>45</v>
      </c>
    </row>
    <row r="29" spans="1:24" x14ac:dyDescent="0.2">
      <c r="A29" s="1" t="s">
        <v>77</v>
      </c>
      <c r="B29" s="1">
        <v>17425766</v>
      </c>
      <c r="C29" s="1" t="s">
        <v>309</v>
      </c>
      <c r="D29" s="1">
        <v>815390</v>
      </c>
      <c r="E29" s="1" t="s">
        <v>78</v>
      </c>
      <c r="F29" s="1" t="s">
        <v>79</v>
      </c>
      <c r="G29" s="1" t="s">
        <v>80</v>
      </c>
      <c r="H29" s="1" t="s">
        <v>41</v>
      </c>
      <c r="I29" s="1" t="s">
        <v>81</v>
      </c>
      <c r="J29" s="1" t="s">
        <v>61</v>
      </c>
      <c r="K29" s="1" t="s">
        <v>44</v>
      </c>
      <c r="L29" s="1">
        <f t="shared" si="0"/>
        <v>8</v>
      </c>
      <c r="M29" s="10" t="s">
        <v>45</v>
      </c>
      <c r="N29" s="1" t="s">
        <v>46</v>
      </c>
      <c r="O29" s="1" t="s">
        <v>47</v>
      </c>
      <c r="P29" s="1">
        <v>0</v>
      </c>
      <c r="Q29" s="11">
        <v>240.03</v>
      </c>
      <c r="R29" s="1" t="s">
        <v>48</v>
      </c>
      <c r="S29" s="1" t="s">
        <v>49</v>
      </c>
      <c r="T29" s="17">
        <v>0.23</v>
      </c>
      <c r="U29" s="24">
        <f t="shared" si="1"/>
        <v>55.206900000000005</v>
      </c>
      <c r="V29" s="11">
        <v>55.21</v>
      </c>
      <c r="W29" s="11">
        <v>-55.21</v>
      </c>
      <c r="X29" s="1" t="s">
        <v>45</v>
      </c>
    </row>
    <row r="30" spans="1:24" x14ac:dyDescent="0.2">
      <c r="A30" s="1" t="s">
        <v>67</v>
      </c>
      <c r="B30" s="1">
        <v>9079571</v>
      </c>
      <c r="C30" s="1" t="s">
        <v>316</v>
      </c>
      <c r="D30" s="1">
        <v>816910</v>
      </c>
      <c r="E30" s="1" t="s">
        <v>130</v>
      </c>
      <c r="F30" s="1" t="s">
        <v>131</v>
      </c>
      <c r="G30" s="1" t="s">
        <v>124</v>
      </c>
      <c r="H30" s="1" t="s">
        <v>120</v>
      </c>
      <c r="I30" s="1" t="s">
        <v>110</v>
      </c>
      <c r="J30" s="1" t="s">
        <v>43</v>
      </c>
      <c r="K30" s="1" t="s">
        <v>44</v>
      </c>
      <c r="L30" s="1">
        <f t="shared" si="0"/>
        <v>9</v>
      </c>
      <c r="M30" s="10">
        <v>60</v>
      </c>
      <c r="N30" s="1" t="s">
        <v>46</v>
      </c>
      <c r="O30" s="1" t="s">
        <v>47</v>
      </c>
      <c r="P30" s="1">
        <v>40</v>
      </c>
      <c r="Q30" s="11">
        <v>82.81</v>
      </c>
      <c r="R30" s="1" t="s">
        <v>48</v>
      </c>
      <c r="S30" s="1" t="s">
        <v>49</v>
      </c>
      <c r="T30" s="17">
        <v>1.5</v>
      </c>
      <c r="U30" s="24">
        <f t="shared" si="1"/>
        <v>124.215</v>
      </c>
      <c r="V30" s="11">
        <v>124.22</v>
      </c>
      <c r="W30" s="11">
        <v>-124.22</v>
      </c>
      <c r="X30" s="1" t="s">
        <v>45</v>
      </c>
    </row>
    <row r="31" spans="1:24" x14ac:dyDescent="0.2">
      <c r="A31" s="1" t="s">
        <v>67</v>
      </c>
      <c r="B31" s="1">
        <v>9213293</v>
      </c>
      <c r="C31" s="1" t="s">
        <v>317</v>
      </c>
      <c r="D31" s="1">
        <v>819525</v>
      </c>
      <c r="E31" s="1" t="s">
        <v>132</v>
      </c>
      <c r="F31" s="1" t="s">
        <v>133</v>
      </c>
      <c r="G31" s="1" t="s">
        <v>40</v>
      </c>
      <c r="H31" s="1" t="s">
        <v>41</v>
      </c>
      <c r="I31" s="1" t="s">
        <v>125</v>
      </c>
      <c r="J31" s="1" t="s">
        <v>43</v>
      </c>
      <c r="K31" s="1" t="s">
        <v>44</v>
      </c>
      <c r="L31" s="1">
        <f t="shared" si="0"/>
        <v>9</v>
      </c>
      <c r="M31" s="10">
        <v>76</v>
      </c>
      <c r="N31" s="1" t="s">
        <v>46</v>
      </c>
      <c r="O31" s="1" t="s">
        <v>47</v>
      </c>
      <c r="P31" s="1">
        <v>15</v>
      </c>
      <c r="Q31" s="11">
        <v>115.77</v>
      </c>
      <c r="R31" s="1" t="s">
        <v>48</v>
      </c>
      <c r="S31" s="1" t="s">
        <v>49</v>
      </c>
      <c r="T31" s="17">
        <v>1.35</v>
      </c>
      <c r="U31" s="24">
        <f t="shared" si="1"/>
        <v>156.2895</v>
      </c>
      <c r="V31" s="11">
        <v>156.29</v>
      </c>
      <c r="W31" s="11">
        <v>-156.29</v>
      </c>
      <c r="X31" s="1" t="s">
        <v>45</v>
      </c>
    </row>
    <row r="32" spans="1:24" x14ac:dyDescent="0.2">
      <c r="A32" s="1" t="s">
        <v>67</v>
      </c>
      <c r="B32" s="1">
        <v>8307933</v>
      </c>
      <c r="C32" s="1" t="s">
        <v>320</v>
      </c>
      <c r="D32" s="1">
        <v>893387</v>
      </c>
      <c r="E32" s="1" t="s">
        <v>177</v>
      </c>
      <c r="F32" s="1" t="s">
        <v>178</v>
      </c>
      <c r="G32" s="1" t="s">
        <v>179</v>
      </c>
      <c r="H32" s="1" t="s">
        <v>109</v>
      </c>
      <c r="I32" s="1" t="s">
        <v>100</v>
      </c>
      <c r="J32" s="1" t="s">
        <v>180</v>
      </c>
      <c r="K32" s="1" t="s">
        <v>160</v>
      </c>
      <c r="L32" s="1">
        <f t="shared" si="0"/>
        <v>9</v>
      </c>
      <c r="M32" s="10">
        <v>50</v>
      </c>
      <c r="N32" s="1" t="s">
        <v>46</v>
      </c>
      <c r="O32" s="1" t="s">
        <v>47</v>
      </c>
      <c r="P32" s="1">
        <v>75</v>
      </c>
      <c r="Q32" s="11">
        <v>52.93</v>
      </c>
      <c r="R32" s="1" t="s">
        <v>48</v>
      </c>
      <c r="S32" s="1" t="s">
        <v>49</v>
      </c>
      <c r="T32" s="17">
        <v>1.5</v>
      </c>
      <c r="U32" s="24">
        <f t="shared" si="1"/>
        <v>79.394999999999996</v>
      </c>
      <c r="V32" s="11">
        <v>79.400000000000006</v>
      </c>
      <c r="W32" s="11">
        <v>-79.400000000000006</v>
      </c>
      <c r="X32" s="1" t="s">
        <v>45</v>
      </c>
    </row>
    <row r="33" spans="1:24" x14ac:dyDescent="0.2">
      <c r="A33" s="1" t="s">
        <v>67</v>
      </c>
      <c r="B33" s="1">
        <v>8307933</v>
      </c>
      <c r="C33" s="1" t="s">
        <v>320</v>
      </c>
      <c r="D33" s="1">
        <v>893387</v>
      </c>
      <c r="E33" s="1" t="s">
        <v>181</v>
      </c>
      <c r="F33" s="1" t="s">
        <v>182</v>
      </c>
      <c r="G33" s="1" t="s">
        <v>115</v>
      </c>
      <c r="H33" s="1" t="s">
        <v>85</v>
      </c>
      <c r="I33" s="1" t="s">
        <v>100</v>
      </c>
      <c r="J33" s="1" t="s">
        <v>183</v>
      </c>
      <c r="K33" s="1" t="s">
        <v>184</v>
      </c>
      <c r="L33" s="1">
        <f t="shared" si="0"/>
        <v>9</v>
      </c>
      <c r="M33" s="10">
        <v>56</v>
      </c>
      <c r="N33" s="1" t="s">
        <v>46</v>
      </c>
      <c r="O33" s="1" t="s">
        <v>47</v>
      </c>
      <c r="P33" s="1">
        <v>50</v>
      </c>
      <c r="Q33" s="11">
        <v>101.24</v>
      </c>
      <c r="R33" s="1" t="s">
        <v>48</v>
      </c>
      <c r="S33" s="1" t="s">
        <v>49</v>
      </c>
      <c r="T33" s="17">
        <v>1.5</v>
      </c>
      <c r="U33" s="24">
        <f t="shared" si="1"/>
        <v>151.85999999999999</v>
      </c>
      <c r="V33" s="11">
        <v>151.86000000000001</v>
      </c>
      <c r="W33" s="11">
        <v>-151.86000000000001</v>
      </c>
      <c r="X33" s="1" t="s">
        <v>45</v>
      </c>
    </row>
    <row r="34" spans="1:24" x14ac:dyDescent="0.2">
      <c r="A34" s="1" t="s">
        <v>67</v>
      </c>
      <c r="B34" s="1">
        <v>1706194</v>
      </c>
      <c r="C34" s="1" t="s">
        <v>310</v>
      </c>
      <c r="D34" s="1">
        <v>1099222</v>
      </c>
      <c r="E34" s="1" t="s">
        <v>89</v>
      </c>
      <c r="F34" s="1" t="s">
        <v>90</v>
      </c>
      <c r="G34" s="1" t="s">
        <v>91</v>
      </c>
      <c r="H34" s="1" t="s">
        <v>85</v>
      </c>
      <c r="I34" s="1" t="s">
        <v>86</v>
      </c>
      <c r="J34" s="1" t="s">
        <v>92</v>
      </c>
      <c r="K34" s="1" t="s">
        <v>93</v>
      </c>
      <c r="L34" s="1">
        <f t="shared" ref="L34:L65" si="2">DATEDIF(J34,K34,"M")</f>
        <v>9</v>
      </c>
      <c r="M34" s="10">
        <v>30</v>
      </c>
      <c r="N34" s="1" t="s">
        <v>46</v>
      </c>
      <c r="O34" s="1" t="s">
        <v>47</v>
      </c>
      <c r="P34" s="1">
        <v>300</v>
      </c>
      <c r="Q34" s="11">
        <v>96.48</v>
      </c>
      <c r="R34" s="1" t="s">
        <v>48</v>
      </c>
      <c r="S34" s="1" t="s">
        <v>49</v>
      </c>
      <c r="T34" s="17">
        <v>1.5</v>
      </c>
      <c r="U34" s="24">
        <f t="shared" si="1"/>
        <v>144.72</v>
      </c>
      <c r="V34" s="11">
        <v>144.72</v>
      </c>
      <c r="W34" s="11">
        <v>-144.72</v>
      </c>
      <c r="X34" s="1" t="s">
        <v>45</v>
      </c>
    </row>
    <row r="35" spans="1:24" x14ac:dyDescent="0.2">
      <c r="A35" s="12" t="s">
        <v>271</v>
      </c>
      <c r="B35" s="12">
        <v>8325282</v>
      </c>
      <c r="C35" s="12" t="s">
        <v>325</v>
      </c>
      <c r="D35" s="12">
        <v>513364</v>
      </c>
      <c r="E35" s="12" t="s">
        <v>294</v>
      </c>
      <c r="F35" s="12" t="s">
        <v>295</v>
      </c>
      <c r="G35" s="12" t="s">
        <v>40</v>
      </c>
      <c r="H35" s="12" t="s">
        <v>41</v>
      </c>
      <c r="I35" s="12" t="s">
        <v>274</v>
      </c>
      <c r="J35" s="12" t="s">
        <v>206</v>
      </c>
      <c r="K35" s="12" t="s">
        <v>160</v>
      </c>
      <c r="L35" s="12">
        <f t="shared" si="2"/>
        <v>10</v>
      </c>
      <c r="M35" s="13" t="s">
        <v>45</v>
      </c>
      <c r="N35" s="12" t="s">
        <v>46</v>
      </c>
      <c r="O35" s="12" t="s">
        <v>47</v>
      </c>
      <c r="P35" s="12">
        <v>0</v>
      </c>
      <c r="Q35" s="14">
        <v>34.36</v>
      </c>
      <c r="R35" s="12" t="s">
        <v>48</v>
      </c>
      <c r="S35" s="12" t="s">
        <v>49</v>
      </c>
      <c r="T35" s="16">
        <v>0.52</v>
      </c>
      <c r="U35" s="23">
        <f t="shared" si="1"/>
        <v>17.8672</v>
      </c>
      <c r="V35" s="14">
        <v>17.87</v>
      </c>
      <c r="W35" s="14">
        <v>0</v>
      </c>
      <c r="X35" s="12" t="s">
        <v>45</v>
      </c>
    </row>
    <row r="36" spans="1:24" x14ac:dyDescent="0.2">
      <c r="A36" s="26" t="s">
        <v>67</v>
      </c>
      <c r="B36" s="26">
        <v>8307933</v>
      </c>
      <c r="C36" s="26" t="s">
        <v>320</v>
      </c>
      <c r="D36" s="26">
        <v>893387</v>
      </c>
      <c r="E36" s="26" t="s">
        <v>173</v>
      </c>
      <c r="F36" s="26" t="s">
        <v>174</v>
      </c>
      <c r="G36" s="26" t="s">
        <v>175</v>
      </c>
      <c r="H36" s="26" t="s">
        <v>120</v>
      </c>
      <c r="I36" s="26" t="s">
        <v>116</v>
      </c>
      <c r="J36" s="26" t="s">
        <v>176</v>
      </c>
      <c r="K36" s="26" t="s">
        <v>127</v>
      </c>
      <c r="L36" s="26">
        <f t="shared" si="2"/>
        <v>9</v>
      </c>
      <c r="M36" s="27">
        <v>61</v>
      </c>
      <c r="N36" s="26" t="s">
        <v>46</v>
      </c>
      <c r="O36" s="26" t="s">
        <v>47</v>
      </c>
      <c r="P36" s="26">
        <v>90</v>
      </c>
      <c r="Q36" s="28">
        <v>171.54</v>
      </c>
      <c r="R36" s="26" t="s">
        <v>48</v>
      </c>
      <c r="S36" s="26" t="s">
        <v>49</v>
      </c>
      <c r="T36" s="29">
        <v>1.35</v>
      </c>
      <c r="U36" s="30">
        <f t="shared" si="1"/>
        <v>231.57900000000001</v>
      </c>
      <c r="V36" s="28">
        <v>84.22</v>
      </c>
      <c r="W36" s="28">
        <v>-147.36000000000001</v>
      </c>
      <c r="X36" s="26" t="s">
        <v>45</v>
      </c>
    </row>
    <row r="37" spans="1:24" x14ac:dyDescent="0.2">
      <c r="A37" s="1" t="s">
        <v>67</v>
      </c>
      <c r="B37" s="1">
        <v>8307933</v>
      </c>
      <c r="C37" s="1" t="s">
        <v>320</v>
      </c>
      <c r="D37" s="1">
        <v>893387</v>
      </c>
      <c r="E37" s="1" t="s">
        <v>171</v>
      </c>
      <c r="F37" s="1" t="s">
        <v>172</v>
      </c>
      <c r="G37" s="1" t="s">
        <v>70</v>
      </c>
      <c r="H37" s="1" t="s">
        <v>85</v>
      </c>
      <c r="I37" s="1" t="s">
        <v>116</v>
      </c>
      <c r="J37" s="1" t="s">
        <v>166</v>
      </c>
      <c r="K37" s="1" t="s">
        <v>93</v>
      </c>
      <c r="L37" s="1">
        <f t="shared" si="2"/>
        <v>10</v>
      </c>
      <c r="M37" s="10">
        <v>65</v>
      </c>
      <c r="N37" s="1" t="s">
        <v>46</v>
      </c>
      <c r="O37" s="1" t="s">
        <v>47</v>
      </c>
      <c r="P37" s="1">
        <v>25</v>
      </c>
      <c r="Q37" s="11">
        <v>66.09</v>
      </c>
      <c r="R37" s="1" t="s">
        <v>48</v>
      </c>
      <c r="S37" s="1" t="s">
        <v>49</v>
      </c>
      <c r="T37" s="17">
        <v>1.35</v>
      </c>
      <c r="U37" s="24">
        <f t="shared" si="1"/>
        <v>89.221500000000006</v>
      </c>
      <c r="V37" s="11">
        <v>89.21</v>
      </c>
      <c r="W37" s="11">
        <v>-0.01</v>
      </c>
      <c r="X37" s="1" t="s">
        <v>45</v>
      </c>
    </row>
    <row r="38" spans="1:24" x14ac:dyDescent="0.2">
      <c r="A38" s="1" t="s">
        <v>67</v>
      </c>
      <c r="B38" s="1">
        <v>8307933</v>
      </c>
      <c r="C38" s="1" t="s">
        <v>320</v>
      </c>
      <c r="D38" s="1">
        <v>893387</v>
      </c>
      <c r="E38" s="1" t="s">
        <v>167</v>
      </c>
      <c r="F38" s="1" t="s">
        <v>168</v>
      </c>
      <c r="G38" s="1" t="s">
        <v>84</v>
      </c>
      <c r="H38" s="1" t="s">
        <v>54</v>
      </c>
      <c r="I38" s="1" t="s">
        <v>100</v>
      </c>
      <c r="J38" s="1" t="s">
        <v>169</v>
      </c>
      <c r="K38" s="1" t="s">
        <v>170</v>
      </c>
      <c r="L38" s="1">
        <f t="shared" si="2"/>
        <v>10</v>
      </c>
      <c r="M38" s="10">
        <v>59</v>
      </c>
      <c r="N38" s="1" t="s">
        <v>46</v>
      </c>
      <c r="O38" s="1" t="s">
        <v>47</v>
      </c>
      <c r="P38" s="1">
        <v>50</v>
      </c>
      <c r="Q38" s="11">
        <v>63.41</v>
      </c>
      <c r="R38" s="1" t="s">
        <v>48</v>
      </c>
      <c r="S38" s="1" t="s">
        <v>49</v>
      </c>
      <c r="T38" s="17">
        <v>1.5</v>
      </c>
      <c r="U38" s="24">
        <f t="shared" si="1"/>
        <v>95.114999999999995</v>
      </c>
      <c r="V38" s="11">
        <v>95.12</v>
      </c>
      <c r="W38" s="11">
        <v>0</v>
      </c>
      <c r="X38" s="1" t="s">
        <v>45</v>
      </c>
    </row>
    <row r="39" spans="1:24" x14ac:dyDescent="0.2">
      <c r="A39" s="1" t="s">
        <v>67</v>
      </c>
      <c r="B39" s="1">
        <v>8307933</v>
      </c>
      <c r="C39" s="1" t="s">
        <v>320</v>
      </c>
      <c r="D39" s="1">
        <v>893387</v>
      </c>
      <c r="E39" s="1" t="s">
        <v>145</v>
      </c>
      <c r="F39" s="1" t="s">
        <v>146</v>
      </c>
      <c r="G39" s="1" t="s">
        <v>147</v>
      </c>
      <c r="H39" s="1" t="s">
        <v>54</v>
      </c>
      <c r="I39" s="1" t="s">
        <v>116</v>
      </c>
      <c r="J39" s="1" t="s">
        <v>148</v>
      </c>
      <c r="K39" s="1" t="s">
        <v>88</v>
      </c>
      <c r="L39" s="1">
        <f t="shared" si="2"/>
        <v>12</v>
      </c>
      <c r="M39" s="10">
        <v>67</v>
      </c>
      <c r="N39" s="1" t="s">
        <v>46</v>
      </c>
      <c r="O39" s="1" t="s">
        <v>47</v>
      </c>
      <c r="P39" s="1">
        <v>50</v>
      </c>
      <c r="Q39" s="11">
        <v>172.71</v>
      </c>
      <c r="R39" s="1" t="s">
        <v>48</v>
      </c>
      <c r="S39" s="1" t="s">
        <v>49</v>
      </c>
      <c r="T39" s="17">
        <v>0.67500000000000004</v>
      </c>
      <c r="U39" s="24">
        <f t="shared" si="1"/>
        <v>116.57925000000002</v>
      </c>
      <c r="V39" s="11">
        <v>116.58</v>
      </c>
      <c r="W39" s="11">
        <v>0</v>
      </c>
      <c r="X39" s="1" t="s">
        <v>45</v>
      </c>
    </row>
    <row r="40" spans="1:24" x14ac:dyDescent="0.2">
      <c r="A40" s="1" t="s">
        <v>67</v>
      </c>
      <c r="B40" s="1">
        <v>8977234</v>
      </c>
      <c r="C40" s="1" t="s">
        <v>313</v>
      </c>
      <c r="D40" s="1">
        <v>606680</v>
      </c>
      <c r="E40" s="1" t="s">
        <v>113</v>
      </c>
      <c r="F40" s="1" t="s">
        <v>114</v>
      </c>
      <c r="G40" s="1" t="s">
        <v>115</v>
      </c>
      <c r="H40" s="1" t="s">
        <v>85</v>
      </c>
      <c r="I40" s="1" t="s">
        <v>116</v>
      </c>
      <c r="J40" s="1" t="s">
        <v>117</v>
      </c>
      <c r="K40" s="1" t="s">
        <v>88</v>
      </c>
      <c r="L40" s="1">
        <f t="shared" si="2"/>
        <v>10</v>
      </c>
      <c r="M40" s="10">
        <v>59</v>
      </c>
      <c r="N40" s="1" t="s">
        <v>46</v>
      </c>
      <c r="O40" s="1" t="s">
        <v>47</v>
      </c>
      <c r="P40" s="1">
        <v>110</v>
      </c>
      <c r="Q40" s="11">
        <v>178.25</v>
      </c>
      <c r="R40" s="1" t="s">
        <v>48</v>
      </c>
      <c r="S40" s="1" t="s">
        <v>49</v>
      </c>
      <c r="T40" s="17">
        <v>0.67500000000000004</v>
      </c>
      <c r="U40" s="24">
        <f t="shared" si="1"/>
        <v>120.31875000000001</v>
      </c>
      <c r="V40" s="11">
        <v>120.32</v>
      </c>
      <c r="W40" s="11">
        <v>0</v>
      </c>
      <c r="X40" s="1" t="s">
        <v>45</v>
      </c>
    </row>
    <row r="41" spans="1:24" x14ac:dyDescent="0.2">
      <c r="A41" s="1" t="s">
        <v>67</v>
      </c>
      <c r="B41" s="1">
        <v>8307933</v>
      </c>
      <c r="C41" s="1" t="s">
        <v>320</v>
      </c>
      <c r="D41" s="1">
        <v>893387</v>
      </c>
      <c r="E41" s="1" t="s">
        <v>149</v>
      </c>
      <c r="F41" s="1" t="s">
        <v>150</v>
      </c>
      <c r="G41" s="1" t="s">
        <v>151</v>
      </c>
      <c r="H41" s="1" t="s">
        <v>120</v>
      </c>
      <c r="I41" s="1" t="s">
        <v>100</v>
      </c>
      <c r="J41" s="1" t="s">
        <v>152</v>
      </c>
      <c r="K41" s="1" t="s">
        <v>153</v>
      </c>
      <c r="L41" s="1">
        <f t="shared" si="2"/>
        <v>12</v>
      </c>
      <c r="M41" s="10">
        <v>64</v>
      </c>
      <c r="N41" s="1" t="s">
        <v>46</v>
      </c>
      <c r="O41" s="1" t="s">
        <v>47</v>
      </c>
      <c r="P41" s="1">
        <v>60</v>
      </c>
      <c r="Q41" s="11">
        <v>128.63999999999999</v>
      </c>
      <c r="R41" s="1" t="s">
        <v>48</v>
      </c>
      <c r="S41" s="1" t="s">
        <v>49</v>
      </c>
      <c r="T41" s="17">
        <v>1.5</v>
      </c>
      <c r="U41" s="24">
        <f t="shared" si="1"/>
        <v>192.95999999999998</v>
      </c>
      <c r="V41" s="11">
        <v>192.96</v>
      </c>
      <c r="W41" s="11">
        <v>0</v>
      </c>
      <c r="X41" s="1" t="s">
        <v>45</v>
      </c>
    </row>
    <row r="42" spans="1:24" x14ac:dyDescent="0.2">
      <c r="A42" s="1" t="s">
        <v>67</v>
      </c>
      <c r="B42" s="1">
        <v>1706194</v>
      </c>
      <c r="C42" s="1" t="s">
        <v>310</v>
      </c>
      <c r="D42" s="1">
        <v>1099222</v>
      </c>
      <c r="E42" s="1" t="s">
        <v>210</v>
      </c>
      <c r="F42" s="1" t="s">
        <v>211</v>
      </c>
      <c r="G42" s="1" t="s">
        <v>91</v>
      </c>
      <c r="H42" s="1" t="s">
        <v>85</v>
      </c>
      <c r="I42" s="1" t="s">
        <v>110</v>
      </c>
      <c r="J42" s="1" t="s">
        <v>117</v>
      </c>
      <c r="K42" s="1" t="s">
        <v>88</v>
      </c>
      <c r="L42" s="1">
        <f t="shared" si="2"/>
        <v>10</v>
      </c>
      <c r="M42" s="10">
        <v>45</v>
      </c>
      <c r="N42" s="1" t="s">
        <v>46</v>
      </c>
      <c r="O42" s="1" t="s">
        <v>47</v>
      </c>
      <c r="P42" s="1">
        <v>300</v>
      </c>
      <c r="Q42" s="11">
        <v>152.19</v>
      </c>
      <c r="R42" s="1" t="s">
        <v>48</v>
      </c>
      <c r="S42" s="1" t="s">
        <v>49</v>
      </c>
      <c r="T42" s="17">
        <v>1.5</v>
      </c>
      <c r="U42" s="24">
        <f t="shared" si="1"/>
        <v>228.285</v>
      </c>
      <c r="V42" s="11">
        <v>228.29</v>
      </c>
      <c r="W42" s="11">
        <v>0</v>
      </c>
      <c r="X42" s="1" t="s">
        <v>45</v>
      </c>
    </row>
    <row r="43" spans="1:24" x14ac:dyDescent="0.2">
      <c r="A43" s="26" t="s">
        <v>67</v>
      </c>
      <c r="B43" s="26">
        <v>1706194</v>
      </c>
      <c r="C43" s="26" t="s">
        <v>310</v>
      </c>
      <c r="D43" s="26">
        <v>1099222</v>
      </c>
      <c r="E43" s="26" t="s">
        <v>82</v>
      </c>
      <c r="F43" s="26" t="s">
        <v>83</v>
      </c>
      <c r="G43" s="26" t="s">
        <v>84</v>
      </c>
      <c r="H43" s="26" t="s">
        <v>85</v>
      </c>
      <c r="I43" s="26" t="s">
        <v>86</v>
      </c>
      <c r="J43" s="26" t="s">
        <v>87</v>
      </c>
      <c r="K43" s="26" t="s">
        <v>88</v>
      </c>
      <c r="L43" s="26">
        <f t="shared" si="2"/>
        <v>9</v>
      </c>
      <c r="M43" s="27">
        <v>43</v>
      </c>
      <c r="N43" s="26" t="s">
        <v>46</v>
      </c>
      <c r="O43" s="26" t="s">
        <v>47</v>
      </c>
      <c r="P43" s="26">
        <v>300</v>
      </c>
      <c r="Q43" s="28">
        <v>165.54</v>
      </c>
      <c r="R43" s="26" t="s">
        <v>48</v>
      </c>
      <c r="S43" s="26" t="s">
        <v>49</v>
      </c>
      <c r="T43" s="29">
        <v>1.5</v>
      </c>
      <c r="U43" s="30">
        <f t="shared" si="1"/>
        <v>248.31</v>
      </c>
      <c r="V43" s="28">
        <v>234.79</v>
      </c>
      <c r="W43" s="28">
        <v>-13.52</v>
      </c>
      <c r="X43" s="26" t="s">
        <v>45</v>
      </c>
    </row>
    <row r="44" spans="1:24" x14ac:dyDescent="0.2">
      <c r="A44" s="26" t="s">
        <v>67</v>
      </c>
      <c r="B44" s="26">
        <v>1706194</v>
      </c>
      <c r="C44" s="26" t="s">
        <v>310</v>
      </c>
      <c r="D44" s="26">
        <v>1099222</v>
      </c>
      <c r="E44" s="26" t="s">
        <v>212</v>
      </c>
      <c r="F44" s="26" t="s">
        <v>213</v>
      </c>
      <c r="G44" s="26" t="s">
        <v>91</v>
      </c>
      <c r="H44" s="26" t="s">
        <v>85</v>
      </c>
      <c r="I44" s="26" t="s">
        <v>86</v>
      </c>
      <c r="J44" s="26" t="s">
        <v>214</v>
      </c>
      <c r="K44" s="26" t="s">
        <v>191</v>
      </c>
      <c r="L44" s="26">
        <f t="shared" si="2"/>
        <v>9</v>
      </c>
      <c r="M44" s="27">
        <v>43</v>
      </c>
      <c r="N44" s="26" t="s">
        <v>46</v>
      </c>
      <c r="O44" s="26" t="s">
        <v>47</v>
      </c>
      <c r="P44" s="26">
        <v>300</v>
      </c>
      <c r="Q44" s="28">
        <v>165.54</v>
      </c>
      <c r="R44" s="26" t="s">
        <v>48</v>
      </c>
      <c r="S44" s="26" t="s">
        <v>49</v>
      </c>
      <c r="T44" s="29">
        <v>1.5</v>
      </c>
      <c r="U44" s="30">
        <f t="shared" si="1"/>
        <v>248.31</v>
      </c>
      <c r="V44" s="28">
        <v>234.79</v>
      </c>
      <c r="W44" s="28">
        <v>-13.52</v>
      </c>
      <c r="X44" s="26" t="s">
        <v>45</v>
      </c>
    </row>
    <row r="45" spans="1:24" x14ac:dyDescent="0.2">
      <c r="A45" s="1" t="s">
        <v>67</v>
      </c>
      <c r="B45" s="1">
        <v>8307933</v>
      </c>
      <c r="C45" s="1" t="s">
        <v>320</v>
      </c>
      <c r="D45" s="1">
        <v>893387</v>
      </c>
      <c r="E45" s="1" t="s">
        <v>163</v>
      </c>
      <c r="F45" s="1" t="s">
        <v>164</v>
      </c>
      <c r="G45" s="1" t="s">
        <v>165</v>
      </c>
      <c r="H45" s="1" t="s">
        <v>85</v>
      </c>
      <c r="I45" s="1" t="s">
        <v>100</v>
      </c>
      <c r="J45" s="1" t="s">
        <v>166</v>
      </c>
      <c r="K45" s="1" t="s">
        <v>93</v>
      </c>
      <c r="L45" s="1">
        <f t="shared" si="2"/>
        <v>10</v>
      </c>
      <c r="M45" s="10">
        <v>56</v>
      </c>
      <c r="N45" s="1" t="s">
        <v>46</v>
      </c>
      <c r="O45" s="1" t="s">
        <v>47</v>
      </c>
      <c r="P45" s="1">
        <v>150</v>
      </c>
      <c r="Q45" s="11">
        <v>157.66</v>
      </c>
      <c r="R45" s="1" t="s">
        <v>48</v>
      </c>
      <c r="S45" s="1" t="s">
        <v>49</v>
      </c>
      <c r="T45" s="17">
        <v>1.5</v>
      </c>
      <c r="U45" s="24">
        <f t="shared" si="1"/>
        <v>236.49</v>
      </c>
      <c r="V45" s="11">
        <v>236.49</v>
      </c>
      <c r="W45" s="11">
        <v>0</v>
      </c>
      <c r="X45" s="1" t="s">
        <v>45</v>
      </c>
    </row>
    <row r="46" spans="1:24" x14ac:dyDescent="0.2">
      <c r="A46" s="1" t="s">
        <v>67</v>
      </c>
      <c r="B46" s="1">
        <v>8307933</v>
      </c>
      <c r="C46" s="1" t="s">
        <v>320</v>
      </c>
      <c r="D46" s="1">
        <v>893387</v>
      </c>
      <c r="E46" s="1" t="s">
        <v>161</v>
      </c>
      <c r="F46" s="1" t="s">
        <v>162</v>
      </c>
      <c r="G46" s="1" t="s">
        <v>40</v>
      </c>
      <c r="H46" s="1" t="s">
        <v>85</v>
      </c>
      <c r="I46" s="1" t="s">
        <v>116</v>
      </c>
      <c r="J46" s="1" t="s">
        <v>156</v>
      </c>
      <c r="K46" s="1" t="s">
        <v>88</v>
      </c>
      <c r="L46" s="1">
        <f t="shared" si="2"/>
        <v>11</v>
      </c>
      <c r="M46" s="10">
        <v>70</v>
      </c>
      <c r="N46" s="1" t="s">
        <v>46</v>
      </c>
      <c r="O46" s="1" t="s">
        <v>47</v>
      </c>
      <c r="P46" s="1">
        <v>45</v>
      </c>
      <c r="Q46" s="11">
        <v>194.98</v>
      </c>
      <c r="R46" s="1" t="s">
        <v>48</v>
      </c>
      <c r="S46" s="1" t="s">
        <v>49</v>
      </c>
      <c r="T46" s="17">
        <v>1.35</v>
      </c>
      <c r="U46" s="24">
        <f t="shared" si="1"/>
        <v>263.22300000000001</v>
      </c>
      <c r="V46" s="11">
        <v>263.22000000000003</v>
      </c>
      <c r="W46" s="11">
        <v>0</v>
      </c>
      <c r="X46" s="1" t="s">
        <v>45</v>
      </c>
    </row>
    <row r="47" spans="1:24" x14ac:dyDescent="0.2">
      <c r="A47" s="1" t="s">
        <v>67</v>
      </c>
      <c r="B47" s="1">
        <v>1706194</v>
      </c>
      <c r="C47" s="1" t="s">
        <v>310</v>
      </c>
      <c r="D47" s="1">
        <v>1099222</v>
      </c>
      <c r="E47" s="1" t="s">
        <v>204</v>
      </c>
      <c r="F47" s="1" t="s">
        <v>205</v>
      </c>
      <c r="G47" s="1" t="s">
        <v>115</v>
      </c>
      <c r="H47" s="1" t="s">
        <v>109</v>
      </c>
      <c r="I47" s="1" t="s">
        <v>86</v>
      </c>
      <c r="J47" s="1" t="s">
        <v>206</v>
      </c>
      <c r="K47" s="1" t="s">
        <v>160</v>
      </c>
      <c r="L47" s="1">
        <f t="shared" si="2"/>
        <v>10</v>
      </c>
      <c r="M47" s="10">
        <v>45</v>
      </c>
      <c r="N47" s="1" t="s">
        <v>46</v>
      </c>
      <c r="O47" s="1" t="s">
        <v>47</v>
      </c>
      <c r="P47" s="1">
        <v>300</v>
      </c>
      <c r="Q47" s="11">
        <v>196.51</v>
      </c>
      <c r="R47" s="1" t="s">
        <v>48</v>
      </c>
      <c r="S47" s="1" t="s">
        <v>49</v>
      </c>
      <c r="T47" s="17">
        <v>1.5</v>
      </c>
      <c r="U47" s="24">
        <f t="shared" si="1"/>
        <v>294.76499999999999</v>
      </c>
      <c r="V47" s="11">
        <v>294.77</v>
      </c>
      <c r="W47" s="11">
        <v>0</v>
      </c>
      <c r="X47" s="1" t="s">
        <v>45</v>
      </c>
    </row>
    <row r="48" spans="1:24" x14ac:dyDescent="0.2">
      <c r="A48" s="1" t="s">
        <v>67</v>
      </c>
      <c r="B48" s="1">
        <v>8307933</v>
      </c>
      <c r="C48" s="1" t="s">
        <v>320</v>
      </c>
      <c r="D48" s="1">
        <v>893387</v>
      </c>
      <c r="E48" s="1" t="s">
        <v>154</v>
      </c>
      <c r="F48" s="1" t="s">
        <v>155</v>
      </c>
      <c r="G48" s="1" t="s">
        <v>84</v>
      </c>
      <c r="H48" s="1" t="s">
        <v>85</v>
      </c>
      <c r="I48" s="1" t="s">
        <v>116</v>
      </c>
      <c r="J48" s="1" t="s">
        <v>156</v>
      </c>
      <c r="K48" s="1" t="s">
        <v>88</v>
      </c>
      <c r="L48" s="1">
        <f t="shared" si="2"/>
        <v>11</v>
      </c>
      <c r="M48" s="10">
        <v>59</v>
      </c>
      <c r="N48" s="1" t="s">
        <v>46</v>
      </c>
      <c r="O48" s="1" t="s">
        <v>47</v>
      </c>
      <c r="P48" s="1">
        <v>140</v>
      </c>
      <c r="Q48" s="11">
        <v>226.87</v>
      </c>
      <c r="R48" s="1" t="s">
        <v>48</v>
      </c>
      <c r="S48" s="1" t="s">
        <v>49</v>
      </c>
      <c r="T48" s="17">
        <v>1.35</v>
      </c>
      <c r="U48" s="24">
        <f t="shared" si="1"/>
        <v>306.27450000000005</v>
      </c>
      <c r="V48" s="11">
        <v>306.27</v>
      </c>
      <c r="W48" s="11">
        <v>0</v>
      </c>
      <c r="X48" s="1" t="s">
        <v>45</v>
      </c>
    </row>
    <row r="49" spans="1:24" x14ac:dyDescent="0.2">
      <c r="A49" s="1" t="s">
        <v>67</v>
      </c>
      <c r="B49" s="1">
        <v>1706194</v>
      </c>
      <c r="C49" s="1" t="s">
        <v>310</v>
      </c>
      <c r="D49" s="1">
        <v>1099222</v>
      </c>
      <c r="E49" s="1" t="s">
        <v>207</v>
      </c>
      <c r="F49" s="1" t="s">
        <v>208</v>
      </c>
      <c r="G49" s="1" t="s">
        <v>84</v>
      </c>
      <c r="H49" s="1" t="s">
        <v>54</v>
      </c>
      <c r="I49" s="1" t="s">
        <v>110</v>
      </c>
      <c r="J49" s="1" t="s">
        <v>209</v>
      </c>
      <c r="K49" s="1" t="s">
        <v>170</v>
      </c>
      <c r="L49" s="1">
        <f t="shared" si="2"/>
        <v>9</v>
      </c>
      <c r="M49" s="10">
        <v>51</v>
      </c>
      <c r="N49" s="1" t="s">
        <v>46</v>
      </c>
      <c r="O49" s="1" t="s">
        <v>47</v>
      </c>
      <c r="P49" s="1">
        <v>250</v>
      </c>
      <c r="Q49" s="11">
        <v>237.19</v>
      </c>
      <c r="R49" s="1" t="s">
        <v>48</v>
      </c>
      <c r="S49" s="1" t="s">
        <v>49</v>
      </c>
      <c r="T49" s="17">
        <v>1.5</v>
      </c>
      <c r="U49" s="24">
        <f t="shared" si="1"/>
        <v>355.78499999999997</v>
      </c>
      <c r="V49" s="11">
        <v>355.79</v>
      </c>
      <c r="W49" s="11">
        <v>0</v>
      </c>
      <c r="X49" s="1" t="s">
        <v>45</v>
      </c>
    </row>
    <row r="50" spans="1:24" x14ac:dyDescent="0.2">
      <c r="A50" s="1" t="s">
        <v>67</v>
      </c>
      <c r="B50" s="1">
        <v>1706194</v>
      </c>
      <c r="C50" s="1" t="s">
        <v>310</v>
      </c>
      <c r="D50" s="1">
        <v>1099222</v>
      </c>
      <c r="E50" s="1" t="s">
        <v>199</v>
      </c>
      <c r="F50" s="1" t="s">
        <v>200</v>
      </c>
      <c r="G50" s="1" t="s">
        <v>201</v>
      </c>
      <c r="H50" s="1" t="s">
        <v>120</v>
      </c>
      <c r="I50" s="1" t="s">
        <v>110</v>
      </c>
      <c r="J50" s="1" t="s">
        <v>176</v>
      </c>
      <c r="K50" s="1" t="s">
        <v>127</v>
      </c>
      <c r="L50" s="1">
        <f t="shared" si="2"/>
        <v>9</v>
      </c>
      <c r="M50" s="10">
        <v>56</v>
      </c>
      <c r="N50" s="1" t="s">
        <v>46</v>
      </c>
      <c r="O50" s="1" t="s">
        <v>47</v>
      </c>
      <c r="P50" s="1">
        <v>250</v>
      </c>
      <c r="Q50" s="11">
        <v>304.16000000000003</v>
      </c>
      <c r="R50" s="1" t="s">
        <v>48</v>
      </c>
      <c r="S50" s="1" t="s">
        <v>49</v>
      </c>
      <c r="T50" s="17">
        <v>1.5</v>
      </c>
      <c r="U50" s="24">
        <f t="shared" si="1"/>
        <v>456.24</v>
      </c>
      <c r="V50" s="11">
        <v>456.24</v>
      </c>
      <c r="W50" s="11">
        <v>0</v>
      </c>
      <c r="X50" s="1" t="s">
        <v>45</v>
      </c>
    </row>
    <row r="51" spans="1:24" x14ac:dyDescent="0.2">
      <c r="A51" s="1" t="s">
        <v>67</v>
      </c>
      <c r="B51" s="1">
        <v>1706194</v>
      </c>
      <c r="C51" s="1" t="s">
        <v>310</v>
      </c>
      <c r="D51" s="1">
        <v>1099222</v>
      </c>
      <c r="E51" s="1" t="s">
        <v>202</v>
      </c>
      <c r="F51" s="1" t="s">
        <v>203</v>
      </c>
      <c r="G51" s="1" t="s">
        <v>201</v>
      </c>
      <c r="H51" s="1" t="s">
        <v>120</v>
      </c>
      <c r="I51" s="1" t="s">
        <v>100</v>
      </c>
      <c r="J51" s="1" t="s">
        <v>176</v>
      </c>
      <c r="K51" s="1" t="s">
        <v>127</v>
      </c>
      <c r="L51" s="1">
        <f t="shared" si="2"/>
        <v>9</v>
      </c>
      <c r="M51" s="10">
        <v>60</v>
      </c>
      <c r="N51" s="1" t="s">
        <v>46</v>
      </c>
      <c r="O51" s="1" t="s">
        <v>47</v>
      </c>
      <c r="P51" s="1">
        <v>250</v>
      </c>
      <c r="Q51" s="11">
        <v>337.98</v>
      </c>
      <c r="R51" s="1" t="s">
        <v>48</v>
      </c>
      <c r="S51" s="1" t="s">
        <v>49</v>
      </c>
      <c r="T51" s="17">
        <v>1.5</v>
      </c>
      <c r="U51" s="24">
        <f t="shared" si="1"/>
        <v>506.97</v>
      </c>
      <c r="V51" s="11">
        <v>506.97</v>
      </c>
      <c r="W51" s="11">
        <v>0</v>
      </c>
      <c r="X51" s="1" t="s">
        <v>45</v>
      </c>
    </row>
    <row r="52" spans="1:24" x14ac:dyDescent="0.2">
      <c r="A52" s="1" t="s">
        <v>67</v>
      </c>
      <c r="B52" s="1">
        <v>8307933</v>
      </c>
      <c r="C52" s="1" t="s">
        <v>320</v>
      </c>
      <c r="D52" s="1">
        <v>893387</v>
      </c>
      <c r="E52" s="1" t="s">
        <v>157</v>
      </c>
      <c r="F52" s="1" t="s">
        <v>158</v>
      </c>
      <c r="G52" s="1" t="s">
        <v>40</v>
      </c>
      <c r="H52" s="1" t="s">
        <v>109</v>
      </c>
      <c r="I52" s="1" t="s">
        <v>116</v>
      </c>
      <c r="J52" s="1" t="s">
        <v>159</v>
      </c>
      <c r="K52" s="1" t="s">
        <v>160</v>
      </c>
      <c r="L52" s="1">
        <f t="shared" si="2"/>
        <v>11</v>
      </c>
      <c r="M52" s="10">
        <v>62</v>
      </c>
      <c r="N52" s="1" t="s">
        <v>46</v>
      </c>
      <c r="O52" s="1" t="s">
        <v>47</v>
      </c>
      <c r="P52" s="1">
        <v>150</v>
      </c>
      <c r="Q52" s="11">
        <v>388.74</v>
      </c>
      <c r="R52" s="1" t="s">
        <v>48</v>
      </c>
      <c r="S52" s="1" t="s">
        <v>49</v>
      </c>
      <c r="T52" s="17">
        <v>1.35</v>
      </c>
      <c r="U52" s="24">
        <f t="shared" si="1"/>
        <v>524.79900000000009</v>
      </c>
      <c r="V52" s="11">
        <v>524.79999999999995</v>
      </c>
      <c r="W52" s="11">
        <v>0</v>
      </c>
      <c r="X52" s="1" t="s">
        <v>45</v>
      </c>
    </row>
    <row r="53" spans="1:24" x14ac:dyDescent="0.2">
      <c r="A53" s="1" t="s">
        <v>67</v>
      </c>
      <c r="B53" s="1">
        <v>1706194</v>
      </c>
      <c r="C53" s="1" t="s">
        <v>310</v>
      </c>
      <c r="D53" s="1">
        <v>1099222</v>
      </c>
      <c r="E53" s="1" t="s">
        <v>215</v>
      </c>
      <c r="F53" s="1" t="s">
        <v>216</v>
      </c>
      <c r="G53" s="1" t="s">
        <v>84</v>
      </c>
      <c r="H53" s="1" t="s">
        <v>85</v>
      </c>
      <c r="I53" s="1" t="s">
        <v>110</v>
      </c>
      <c r="J53" s="1" t="s">
        <v>87</v>
      </c>
      <c r="K53" s="1" t="s">
        <v>88</v>
      </c>
      <c r="L53" s="1">
        <f t="shared" si="2"/>
        <v>9</v>
      </c>
      <c r="M53" s="10">
        <v>55</v>
      </c>
      <c r="N53" s="1" t="s">
        <v>46</v>
      </c>
      <c r="O53" s="1" t="s">
        <v>47</v>
      </c>
      <c r="P53" s="1">
        <v>250</v>
      </c>
      <c r="Q53" s="11">
        <v>555.14</v>
      </c>
      <c r="R53" s="1" t="s">
        <v>48</v>
      </c>
      <c r="S53" s="1" t="s">
        <v>49</v>
      </c>
      <c r="T53" s="17">
        <v>1.5</v>
      </c>
      <c r="U53" s="24">
        <f t="shared" si="1"/>
        <v>832.71</v>
      </c>
      <c r="V53" s="11">
        <v>832.71</v>
      </c>
      <c r="W53" s="11">
        <v>0</v>
      </c>
      <c r="X53" s="1" t="s">
        <v>45</v>
      </c>
    </row>
    <row r="54" spans="1:24" x14ac:dyDescent="0.2">
      <c r="A54" s="19" t="s">
        <v>67</v>
      </c>
      <c r="B54" s="19">
        <v>8307933</v>
      </c>
      <c r="C54" s="19" t="s">
        <v>320</v>
      </c>
      <c r="D54" s="19">
        <v>893387</v>
      </c>
      <c r="E54" s="19" t="s">
        <v>229</v>
      </c>
      <c r="F54" s="19" t="s">
        <v>230</v>
      </c>
      <c r="G54" s="19" t="s">
        <v>40</v>
      </c>
      <c r="H54" s="19" t="s">
        <v>120</v>
      </c>
      <c r="I54" s="19" t="s">
        <v>100</v>
      </c>
      <c r="J54" s="19" t="s">
        <v>66</v>
      </c>
      <c r="K54" s="19" t="s">
        <v>56</v>
      </c>
      <c r="L54" s="19">
        <f t="shared" si="2"/>
        <v>1</v>
      </c>
      <c r="M54" s="20">
        <v>64</v>
      </c>
      <c r="N54" s="19" t="s">
        <v>46</v>
      </c>
      <c r="O54" s="19" t="s">
        <v>47</v>
      </c>
      <c r="P54" s="19">
        <v>100</v>
      </c>
      <c r="Q54" s="21">
        <v>0</v>
      </c>
      <c r="R54" s="19" t="s">
        <v>48</v>
      </c>
      <c r="S54" s="19" t="s">
        <v>231</v>
      </c>
      <c r="T54" s="22">
        <v>0</v>
      </c>
      <c r="U54" s="25">
        <f t="shared" si="1"/>
        <v>0</v>
      </c>
      <c r="V54" s="21">
        <v>-1696.82</v>
      </c>
      <c r="W54" s="21">
        <v>-1696.82</v>
      </c>
      <c r="X54" s="19" t="s">
        <v>45</v>
      </c>
    </row>
    <row r="55" spans="1:24" x14ac:dyDescent="0.2">
      <c r="A55" s="19" t="s">
        <v>67</v>
      </c>
      <c r="B55" s="19">
        <v>1706194</v>
      </c>
      <c r="C55" s="19" t="s">
        <v>310</v>
      </c>
      <c r="D55" s="19">
        <v>1099222</v>
      </c>
      <c r="E55" s="19" t="s">
        <v>263</v>
      </c>
      <c r="F55" s="19" t="s">
        <v>264</v>
      </c>
      <c r="G55" s="19" t="s">
        <v>84</v>
      </c>
      <c r="H55" s="19" t="s">
        <v>85</v>
      </c>
      <c r="I55" s="19" t="s">
        <v>110</v>
      </c>
      <c r="J55" s="19" t="s">
        <v>265</v>
      </c>
      <c r="K55" s="19" t="s">
        <v>266</v>
      </c>
      <c r="L55" s="19">
        <f t="shared" si="2"/>
        <v>2</v>
      </c>
      <c r="M55" s="20">
        <v>45</v>
      </c>
      <c r="N55" s="19" t="s">
        <v>46</v>
      </c>
      <c r="O55" s="19" t="s">
        <v>47</v>
      </c>
      <c r="P55" s="19">
        <v>250</v>
      </c>
      <c r="Q55" s="21">
        <v>0</v>
      </c>
      <c r="R55" s="19" t="s">
        <v>48</v>
      </c>
      <c r="S55" s="19" t="s">
        <v>231</v>
      </c>
      <c r="T55" s="22">
        <v>0</v>
      </c>
      <c r="U55" s="25">
        <f t="shared" si="1"/>
        <v>0</v>
      </c>
      <c r="V55" s="21">
        <v>-1276.42</v>
      </c>
      <c r="W55" s="21">
        <v>-1276.42</v>
      </c>
      <c r="X55" s="19" t="s">
        <v>45</v>
      </c>
    </row>
    <row r="56" spans="1:24" x14ac:dyDescent="0.2">
      <c r="A56" s="1" t="s">
        <v>271</v>
      </c>
      <c r="B56" s="1">
        <v>20003537</v>
      </c>
      <c r="C56" s="1" t="s">
        <v>328</v>
      </c>
      <c r="D56" s="1">
        <v>986021</v>
      </c>
      <c r="E56" s="1" t="s">
        <v>272</v>
      </c>
      <c r="F56" s="1" t="s">
        <v>273</v>
      </c>
      <c r="G56" s="1" t="s">
        <v>40</v>
      </c>
      <c r="H56" s="1" t="s">
        <v>54</v>
      </c>
      <c r="I56" s="1" t="s">
        <v>274</v>
      </c>
      <c r="J56" s="1" t="s">
        <v>44</v>
      </c>
      <c r="K56" s="1" t="s">
        <v>57</v>
      </c>
      <c r="L56" s="1">
        <f t="shared" si="2"/>
        <v>1</v>
      </c>
      <c r="M56" s="10" t="s">
        <v>45</v>
      </c>
      <c r="N56" s="1" t="s">
        <v>46</v>
      </c>
      <c r="O56" s="1" t="s">
        <v>47</v>
      </c>
      <c r="P56" s="1">
        <v>0</v>
      </c>
      <c r="Q56" s="11">
        <v>44.36</v>
      </c>
      <c r="R56" s="1" t="s">
        <v>48</v>
      </c>
      <c r="S56" s="1" t="s">
        <v>249</v>
      </c>
      <c r="T56" s="17">
        <v>0.52</v>
      </c>
      <c r="U56" s="24">
        <f t="shared" si="1"/>
        <v>23.0672</v>
      </c>
      <c r="V56" s="11">
        <v>23.07</v>
      </c>
      <c r="W56" s="11">
        <v>0</v>
      </c>
      <c r="X56" s="1" t="s">
        <v>45</v>
      </c>
    </row>
    <row r="57" spans="1:24" x14ac:dyDescent="0.2">
      <c r="A57" s="1" t="s">
        <v>271</v>
      </c>
      <c r="B57" s="1">
        <v>16228684</v>
      </c>
      <c r="C57" s="1" t="s">
        <v>322</v>
      </c>
      <c r="D57" s="1">
        <v>893214</v>
      </c>
      <c r="E57" s="1" t="s">
        <v>275</v>
      </c>
      <c r="F57" s="1" t="s">
        <v>276</v>
      </c>
      <c r="G57" s="1" t="s">
        <v>40</v>
      </c>
      <c r="H57" s="1" t="s">
        <v>120</v>
      </c>
      <c r="I57" s="1" t="s">
        <v>277</v>
      </c>
      <c r="J57" s="1" t="s">
        <v>278</v>
      </c>
      <c r="K57" s="1" t="s">
        <v>153</v>
      </c>
      <c r="L57" s="1">
        <f t="shared" si="2"/>
        <v>1</v>
      </c>
      <c r="M57" s="10" t="s">
        <v>45</v>
      </c>
      <c r="N57" s="1" t="s">
        <v>46</v>
      </c>
      <c r="O57" s="1" t="s">
        <v>47</v>
      </c>
      <c r="P57" s="1">
        <v>0</v>
      </c>
      <c r="Q57" s="11">
        <v>72.33</v>
      </c>
      <c r="R57" s="1" t="s">
        <v>48</v>
      </c>
      <c r="S57" s="1" t="s">
        <v>249</v>
      </c>
      <c r="T57" s="17">
        <v>0.52</v>
      </c>
      <c r="U57" s="24">
        <f t="shared" si="1"/>
        <v>37.611600000000003</v>
      </c>
      <c r="V57" s="11">
        <v>37.61</v>
      </c>
      <c r="W57" s="11">
        <v>0</v>
      </c>
      <c r="X57" s="1" t="s">
        <v>45</v>
      </c>
    </row>
    <row r="58" spans="1:24" x14ac:dyDescent="0.2">
      <c r="A58" s="12" t="s">
        <v>67</v>
      </c>
      <c r="B58" s="12">
        <v>21561165</v>
      </c>
      <c r="C58" s="12" t="s">
        <v>327</v>
      </c>
      <c r="D58" s="12">
        <v>1227344</v>
      </c>
      <c r="E58" s="12" t="s">
        <v>269</v>
      </c>
      <c r="F58" s="12" t="s">
        <v>270</v>
      </c>
      <c r="G58" s="12" t="s">
        <v>124</v>
      </c>
      <c r="H58" s="12" t="s">
        <v>41</v>
      </c>
      <c r="I58" s="12" t="s">
        <v>86</v>
      </c>
      <c r="J58" s="12" t="s">
        <v>41</v>
      </c>
      <c r="K58" s="12" t="s">
        <v>160</v>
      </c>
      <c r="L58" s="12">
        <f t="shared" si="2"/>
        <v>1</v>
      </c>
      <c r="M58" s="13">
        <v>37</v>
      </c>
      <c r="N58" s="12" t="s">
        <v>46</v>
      </c>
      <c r="O58" s="12" t="s">
        <v>47</v>
      </c>
      <c r="P58" s="12">
        <v>42</v>
      </c>
      <c r="Q58" s="14">
        <v>177.21</v>
      </c>
      <c r="R58" s="12" t="s">
        <v>48</v>
      </c>
      <c r="S58" s="12" t="s">
        <v>249</v>
      </c>
      <c r="T58" s="16">
        <v>1.5</v>
      </c>
      <c r="U58" s="23">
        <f t="shared" si="1"/>
        <v>265.815</v>
      </c>
      <c r="V58" s="14">
        <v>265.86</v>
      </c>
      <c r="W58" s="14">
        <v>265.86</v>
      </c>
      <c r="X58" s="12" t="s">
        <v>45</v>
      </c>
    </row>
    <row r="59" spans="1:24" x14ac:dyDescent="0.2">
      <c r="A59" s="1" t="s">
        <v>67</v>
      </c>
      <c r="B59" s="1">
        <v>8977234</v>
      </c>
      <c r="C59" s="1" t="s">
        <v>313</v>
      </c>
      <c r="D59" s="1">
        <v>606680</v>
      </c>
      <c r="E59" s="1" t="s">
        <v>245</v>
      </c>
      <c r="F59" s="1" t="s">
        <v>246</v>
      </c>
      <c r="G59" s="1" t="s">
        <v>247</v>
      </c>
      <c r="H59" s="1" t="s">
        <v>120</v>
      </c>
      <c r="I59" s="1" t="s">
        <v>100</v>
      </c>
      <c r="J59" s="1" t="s">
        <v>248</v>
      </c>
      <c r="K59" s="1" t="s">
        <v>248</v>
      </c>
      <c r="L59" s="1">
        <f t="shared" si="2"/>
        <v>0</v>
      </c>
      <c r="M59" s="10">
        <v>63</v>
      </c>
      <c r="N59" s="1" t="s">
        <v>46</v>
      </c>
      <c r="O59" s="1" t="s">
        <v>47</v>
      </c>
      <c r="P59" s="1">
        <v>30</v>
      </c>
      <c r="Q59" s="11">
        <v>529.65</v>
      </c>
      <c r="R59" s="1" t="s">
        <v>48</v>
      </c>
      <c r="S59" s="1" t="s">
        <v>249</v>
      </c>
      <c r="T59" s="17">
        <v>1.5</v>
      </c>
      <c r="U59" s="24">
        <f t="shared" si="1"/>
        <v>794.47499999999991</v>
      </c>
      <c r="V59" s="11">
        <v>794.52</v>
      </c>
      <c r="W59" s="11">
        <v>794.52</v>
      </c>
      <c r="X59" s="1" t="s">
        <v>45</v>
      </c>
    </row>
    <row r="60" spans="1:24" x14ac:dyDescent="0.2">
      <c r="A60" s="1" t="s">
        <v>67</v>
      </c>
      <c r="B60" s="1">
        <v>8307933</v>
      </c>
      <c r="C60" s="1" t="s">
        <v>320</v>
      </c>
      <c r="D60" s="1">
        <v>893387</v>
      </c>
      <c r="E60" s="1" t="s">
        <v>258</v>
      </c>
      <c r="F60" s="1" t="s">
        <v>259</v>
      </c>
      <c r="G60" s="1" t="s">
        <v>40</v>
      </c>
      <c r="H60" s="1" t="s">
        <v>54</v>
      </c>
      <c r="I60" s="1" t="s">
        <v>100</v>
      </c>
      <c r="J60" s="1" t="s">
        <v>44</v>
      </c>
      <c r="K60" s="1" t="s">
        <v>44</v>
      </c>
      <c r="L60" s="1">
        <f t="shared" si="2"/>
        <v>0</v>
      </c>
      <c r="M60" s="10">
        <v>60</v>
      </c>
      <c r="N60" s="1" t="s">
        <v>46</v>
      </c>
      <c r="O60" s="1" t="s">
        <v>47</v>
      </c>
      <c r="P60" s="1">
        <v>150</v>
      </c>
      <c r="Q60" s="11">
        <v>1709.73</v>
      </c>
      <c r="R60" s="1" t="s">
        <v>48</v>
      </c>
      <c r="S60" s="1" t="s">
        <v>249</v>
      </c>
      <c r="T60" s="17">
        <v>1.5</v>
      </c>
      <c r="U60" s="24">
        <f t="shared" si="1"/>
        <v>2564.5950000000003</v>
      </c>
      <c r="V60" s="11">
        <v>2000</v>
      </c>
      <c r="W60" s="11">
        <v>2000</v>
      </c>
      <c r="X60" s="1" t="s">
        <v>45</v>
      </c>
    </row>
    <row r="61" spans="1:24" x14ac:dyDescent="0.2">
      <c r="A61" s="1" t="s">
        <v>67</v>
      </c>
      <c r="B61" s="1">
        <v>8977234</v>
      </c>
      <c r="C61" s="1" t="s">
        <v>313</v>
      </c>
      <c r="D61" s="1">
        <v>606680</v>
      </c>
      <c r="E61" s="1" t="s">
        <v>250</v>
      </c>
      <c r="F61" s="1" t="s">
        <v>251</v>
      </c>
      <c r="G61" s="1" t="s">
        <v>247</v>
      </c>
      <c r="H61" s="1" t="s">
        <v>41</v>
      </c>
      <c r="I61" s="1" t="s">
        <v>100</v>
      </c>
      <c r="J61" s="1" t="s">
        <v>44</v>
      </c>
      <c r="K61" s="1" t="s">
        <v>44</v>
      </c>
      <c r="L61" s="1">
        <f t="shared" si="2"/>
        <v>0</v>
      </c>
      <c r="M61" s="10">
        <v>63</v>
      </c>
      <c r="N61" s="1" t="s">
        <v>46</v>
      </c>
      <c r="O61" s="1" t="s">
        <v>47</v>
      </c>
      <c r="P61" s="1">
        <v>80</v>
      </c>
      <c r="Q61" s="11">
        <v>1395</v>
      </c>
      <c r="R61" s="1" t="s">
        <v>48</v>
      </c>
      <c r="S61" s="1" t="s">
        <v>249</v>
      </c>
      <c r="T61" s="17">
        <v>1.5</v>
      </c>
      <c r="U61" s="24">
        <f t="shared" si="1"/>
        <v>2092.5</v>
      </c>
      <c r="V61" s="11">
        <v>2000</v>
      </c>
      <c r="W61" s="11">
        <v>2000</v>
      </c>
      <c r="X61" s="1" t="s">
        <v>45</v>
      </c>
    </row>
    <row r="62" spans="1:24" x14ac:dyDescent="0.2">
      <c r="A62" s="1" t="s">
        <v>67</v>
      </c>
      <c r="B62" s="1">
        <v>8977234</v>
      </c>
      <c r="C62" s="1" t="s">
        <v>313</v>
      </c>
      <c r="D62" s="1">
        <v>606680</v>
      </c>
      <c r="E62" s="1" t="s">
        <v>252</v>
      </c>
      <c r="F62" s="1" t="s">
        <v>253</v>
      </c>
      <c r="G62" s="1" t="s">
        <v>254</v>
      </c>
      <c r="H62" s="1" t="s">
        <v>109</v>
      </c>
      <c r="I62" s="1" t="s">
        <v>100</v>
      </c>
      <c r="J62" s="1" t="s">
        <v>44</v>
      </c>
      <c r="K62" s="1" t="s">
        <v>44</v>
      </c>
      <c r="L62" s="1">
        <f t="shared" si="2"/>
        <v>0</v>
      </c>
      <c r="M62" s="10">
        <v>65</v>
      </c>
      <c r="N62" s="1" t="s">
        <v>46</v>
      </c>
      <c r="O62" s="1" t="s">
        <v>47</v>
      </c>
      <c r="P62" s="1">
        <v>100</v>
      </c>
      <c r="Q62" s="11">
        <v>2064.15</v>
      </c>
      <c r="R62" s="1" t="s">
        <v>48</v>
      </c>
      <c r="S62" s="1" t="s">
        <v>249</v>
      </c>
      <c r="T62" s="17">
        <v>1.5</v>
      </c>
      <c r="U62" s="24">
        <f t="shared" si="1"/>
        <v>3096.2250000000004</v>
      </c>
      <c r="V62" s="11">
        <v>2000</v>
      </c>
      <c r="W62" s="11">
        <v>2000</v>
      </c>
      <c r="X62" s="1" t="s">
        <v>45</v>
      </c>
    </row>
    <row r="63" spans="1:24" x14ac:dyDescent="0.2">
      <c r="A63" s="1" t="s">
        <v>67</v>
      </c>
      <c r="B63" s="1">
        <v>1706194</v>
      </c>
      <c r="C63" s="1" t="s">
        <v>310</v>
      </c>
      <c r="D63" s="1">
        <v>1099222</v>
      </c>
      <c r="E63" s="1" t="s">
        <v>267</v>
      </c>
      <c r="F63" s="1" t="s">
        <v>268</v>
      </c>
      <c r="G63" s="1" t="s">
        <v>108</v>
      </c>
      <c r="H63" s="1" t="s">
        <v>120</v>
      </c>
      <c r="I63" s="1" t="s">
        <v>100</v>
      </c>
      <c r="J63" s="1" t="s">
        <v>120</v>
      </c>
      <c r="K63" s="1" t="s">
        <v>102</v>
      </c>
      <c r="L63" s="1">
        <f t="shared" si="2"/>
        <v>1</v>
      </c>
      <c r="M63" s="10">
        <v>51</v>
      </c>
      <c r="N63" s="1" t="s">
        <v>46</v>
      </c>
      <c r="O63" s="1" t="s">
        <v>47</v>
      </c>
      <c r="P63" s="1">
        <v>250</v>
      </c>
      <c r="Q63" s="11">
        <v>1611.99</v>
      </c>
      <c r="R63" s="1" t="s">
        <v>48</v>
      </c>
      <c r="S63" s="1" t="s">
        <v>249</v>
      </c>
      <c r="T63" s="17">
        <v>1.5</v>
      </c>
      <c r="U63" s="24">
        <f t="shared" si="1"/>
        <v>2417.9850000000001</v>
      </c>
      <c r="V63" s="11">
        <v>2000</v>
      </c>
      <c r="W63" s="11">
        <v>2000</v>
      </c>
      <c r="X63" s="1" t="s">
        <v>45</v>
      </c>
    </row>
    <row r="64" spans="1:24" x14ac:dyDescent="0.2">
      <c r="A64" s="12" t="s">
        <v>67</v>
      </c>
      <c r="B64" s="12">
        <v>21561165</v>
      </c>
      <c r="C64" s="12" t="s">
        <v>327</v>
      </c>
      <c r="D64" s="12">
        <v>1227344</v>
      </c>
      <c r="E64" s="12" t="s">
        <v>269</v>
      </c>
      <c r="F64" s="12" t="s">
        <v>270</v>
      </c>
      <c r="G64" s="12" t="s">
        <v>124</v>
      </c>
      <c r="H64" s="12" t="s">
        <v>85</v>
      </c>
      <c r="I64" s="12" t="s">
        <v>86</v>
      </c>
      <c r="J64" s="12" t="s">
        <v>41</v>
      </c>
      <c r="K64" s="12" t="s">
        <v>160</v>
      </c>
      <c r="L64" s="12">
        <f t="shared" si="2"/>
        <v>1</v>
      </c>
      <c r="M64" s="13">
        <v>37</v>
      </c>
      <c r="N64" s="12" t="s">
        <v>46</v>
      </c>
      <c r="O64" s="12" t="s">
        <v>47</v>
      </c>
      <c r="P64" s="12">
        <v>42</v>
      </c>
      <c r="Q64" s="14">
        <v>19.690000000000001</v>
      </c>
      <c r="R64" s="12" t="s">
        <v>48</v>
      </c>
      <c r="S64" s="12" t="s">
        <v>235</v>
      </c>
      <c r="T64" s="16">
        <v>1.5</v>
      </c>
      <c r="U64" s="23">
        <f t="shared" si="1"/>
        <v>29.535000000000004</v>
      </c>
      <c r="V64" s="14">
        <v>29.54</v>
      </c>
      <c r="W64" s="14">
        <v>-29.54</v>
      </c>
      <c r="X64" s="12" t="s">
        <v>45</v>
      </c>
    </row>
    <row r="65" spans="1:24" x14ac:dyDescent="0.2">
      <c r="A65" s="12" t="s">
        <v>67</v>
      </c>
      <c r="B65" s="12">
        <v>371819</v>
      </c>
      <c r="C65" s="12" t="s">
        <v>311</v>
      </c>
      <c r="D65" s="12">
        <v>257168</v>
      </c>
      <c r="E65" s="12" t="s">
        <v>240</v>
      </c>
      <c r="F65" s="12" t="s">
        <v>241</v>
      </c>
      <c r="G65" s="12" t="s">
        <v>84</v>
      </c>
      <c r="H65" s="12" t="s">
        <v>120</v>
      </c>
      <c r="I65" s="12" t="s">
        <v>116</v>
      </c>
      <c r="J65" s="12" t="s">
        <v>242</v>
      </c>
      <c r="K65" s="12" t="s">
        <v>44</v>
      </c>
      <c r="L65" s="12">
        <f t="shared" si="2"/>
        <v>1</v>
      </c>
      <c r="M65" s="13">
        <v>50</v>
      </c>
      <c r="N65" s="12" t="s">
        <v>46</v>
      </c>
      <c r="O65" s="12" t="s">
        <v>47</v>
      </c>
      <c r="P65" s="12">
        <v>250</v>
      </c>
      <c r="Q65" s="14">
        <v>254.65</v>
      </c>
      <c r="R65" s="12" t="s">
        <v>48</v>
      </c>
      <c r="S65" s="12" t="s">
        <v>235</v>
      </c>
      <c r="T65" s="16">
        <v>1.35</v>
      </c>
      <c r="U65" s="23">
        <f t="shared" si="1"/>
        <v>343.77750000000003</v>
      </c>
      <c r="V65" s="14">
        <v>343.78</v>
      </c>
      <c r="W65" s="14">
        <v>-343.78</v>
      </c>
      <c r="X65" s="12" t="s">
        <v>45</v>
      </c>
    </row>
    <row r="66" spans="1:24" x14ac:dyDescent="0.2">
      <c r="A66" s="1" t="s">
        <v>67</v>
      </c>
      <c r="B66" s="1">
        <v>1706194</v>
      </c>
      <c r="C66" s="1" t="s">
        <v>310</v>
      </c>
      <c r="D66" s="1">
        <v>1099222</v>
      </c>
      <c r="E66" s="1" t="s">
        <v>267</v>
      </c>
      <c r="F66" s="1" t="s">
        <v>268</v>
      </c>
      <c r="G66" s="1" t="s">
        <v>108</v>
      </c>
      <c r="H66" s="1" t="s">
        <v>54</v>
      </c>
      <c r="I66" s="1" t="s">
        <v>100</v>
      </c>
      <c r="J66" s="1" t="s">
        <v>120</v>
      </c>
      <c r="K66" s="1" t="s">
        <v>102</v>
      </c>
      <c r="L66" s="1">
        <f t="shared" ref="L66:L97" si="3">DATEDIF(J66,K66,"M")</f>
        <v>1</v>
      </c>
      <c r="M66" s="10">
        <v>51</v>
      </c>
      <c r="N66" s="1" t="s">
        <v>46</v>
      </c>
      <c r="O66" s="1" t="s">
        <v>47</v>
      </c>
      <c r="P66" s="1">
        <v>250</v>
      </c>
      <c r="Q66" s="11">
        <v>179.11</v>
      </c>
      <c r="R66" s="1" t="s">
        <v>48</v>
      </c>
      <c r="S66" s="1" t="s">
        <v>235</v>
      </c>
      <c r="T66" s="17">
        <v>1.5</v>
      </c>
      <c r="U66" s="24">
        <f t="shared" si="1"/>
        <v>268.66500000000002</v>
      </c>
      <c r="V66" s="11">
        <v>268.67</v>
      </c>
      <c r="W66" s="11">
        <v>-268.67</v>
      </c>
      <c r="X66" s="1" t="s">
        <v>45</v>
      </c>
    </row>
    <row r="67" spans="1:24" x14ac:dyDescent="0.2">
      <c r="A67" s="12" t="s">
        <v>67</v>
      </c>
      <c r="B67" s="12">
        <v>371819</v>
      </c>
      <c r="C67" s="12" t="s">
        <v>311</v>
      </c>
      <c r="D67" s="12">
        <v>257168</v>
      </c>
      <c r="E67" s="12" t="s">
        <v>236</v>
      </c>
      <c r="F67" s="12" t="s">
        <v>237</v>
      </c>
      <c r="G67" s="12" t="s">
        <v>179</v>
      </c>
      <c r="H67" s="12" t="s">
        <v>85</v>
      </c>
      <c r="I67" s="12" t="s">
        <v>100</v>
      </c>
      <c r="J67" s="12" t="s">
        <v>238</v>
      </c>
      <c r="K67" s="12" t="s">
        <v>239</v>
      </c>
      <c r="L67" s="12">
        <f t="shared" si="3"/>
        <v>1</v>
      </c>
      <c r="M67" s="13">
        <v>36</v>
      </c>
      <c r="N67" s="12" t="s">
        <v>46</v>
      </c>
      <c r="O67" s="12" t="s">
        <v>47</v>
      </c>
      <c r="P67" s="12">
        <v>250</v>
      </c>
      <c r="Q67" s="14">
        <v>510.66</v>
      </c>
      <c r="R67" s="12" t="s">
        <v>48</v>
      </c>
      <c r="S67" s="12" t="s">
        <v>235</v>
      </c>
      <c r="T67" s="16">
        <v>1.5</v>
      </c>
      <c r="U67" s="23">
        <f t="shared" ref="U67:U71" si="4">SUM(Q67*T67)</f>
        <v>765.99</v>
      </c>
      <c r="V67" s="14">
        <v>765.99</v>
      </c>
      <c r="W67" s="14">
        <v>680.88</v>
      </c>
      <c r="X67" s="12" t="s">
        <v>45</v>
      </c>
    </row>
    <row r="68" spans="1:24" x14ac:dyDescent="0.2">
      <c r="A68" s="1" t="s">
        <v>67</v>
      </c>
      <c r="B68" s="1">
        <v>16228684</v>
      </c>
      <c r="C68" s="1" t="s">
        <v>322</v>
      </c>
      <c r="D68" s="1">
        <v>893214</v>
      </c>
      <c r="E68" s="1" t="s">
        <v>232</v>
      </c>
      <c r="F68" s="1" t="s">
        <v>233</v>
      </c>
      <c r="G68" s="1" t="s">
        <v>40</v>
      </c>
      <c r="H68" s="1" t="s">
        <v>41</v>
      </c>
      <c r="I68" s="1" t="s">
        <v>116</v>
      </c>
      <c r="J68" s="1" t="s">
        <v>41</v>
      </c>
      <c r="K68" s="1" t="s">
        <v>160</v>
      </c>
      <c r="L68" s="1">
        <f t="shared" si="3"/>
        <v>1</v>
      </c>
      <c r="M68" s="10">
        <v>62</v>
      </c>
      <c r="N68" s="1" t="s">
        <v>234</v>
      </c>
      <c r="O68" s="1" t="s">
        <v>58</v>
      </c>
      <c r="P68" s="1">
        <v>150</v>
      </c>
      <c r="Q68" s="11">
        <v>3479.04</v>
      </c>
      <c r="R68" s="1" t="s">
        <v>48</v>
      </c>
      <c r="S68" s="1" t="s">
        <v>235</v>
      </c>
      <c r="T68" s="17">
        <v>1.35</v>
      </c>
      <c r="U68" s="24">
        <f t="shared" si="4"/>
        <v>4696.7040000000006</v>
      </c>
      <c r="V68" s="11">
        <v>4696.7</v>
      </c>
      <c r="W68" s="11">
        <v>0</v>
      </c>
      <c r="X68" s="1" t="s">
        <v>45</v>
      </c>
    </row>
    <row r="69" spans="1:24" x14ac:dyDescent="0.2">
      <c r="A69" s="19" t="s">
        <v>67</v>
      </c>
      <c r="B69" s="19">
        <v>371819</v>
      </c>
      <c r="C69" s="19" t="s">
        <v>311</v>
      </c>
      <c r="D69" s="19">
        <v>257168</v>
      </c>
      <c r="E69" s="19" t="s">
        <v>240</v>
      </c>
      <c r="F69" s="19" t="s">
        <v>241</v>
      </c>
      <c r="G69" s="19" t="s">
        <v>84</v>
      </c>
      <c r="H69" s="19" t="s">
        <v>41</v>
      </c>
      <c r="I69" s="19" t="s">
        <v>116</v>
      </c>
      <c r="J69" s="19" t="s">
        <v>242</v>
      </c>
      <c r="K69" s="19" t="s">
        <v>44</v>
      </c>
      <c r="L69" s="19">
        <f t="shared" si="3"/>
        <v>1</v>
      </c>
      <c r="M69" s="20">
        <v>50</v>
      </c>
      <c r="N69" s="19" t="s">
        <v>46</v>
      </c>
      <c r="O69" s="19" t="s">
        <v>47</v>
      </c>
      <c r="P69" s="19">
        <v>250</v>
      </c>
      <c r="Q69" s="21">
        <v>-2546.5</v>
      </c>
      <c r="R69" s="19" t="s">
        <v>48</v>
      </c>
      <c r="S69" s="19" t="s">
        <v>243</v>
      </c>
      <c r="T69" s="22">
        <v>1.35</v>
      </c>
      <c r="U69" s="25">
        <f t="shared" si="4"/>
        <v>-3437.7750000000001</v>
      </c>
      <c r="V69" s="21">
        <v>-2000</v>
      </c>
      <c r="W69" s="21">
        <v>-1656.22</v>
      </c>
      <c r="X69" s="19" t="s">
        <v>45</v>
      </c>
    </row>
    <row r="70" spans="1:24" x14ac:dyDescent="0.2">
      <c r="A70" s="12" t="s">
        <v>271</v>
      </c>
      <c r="B70" s="12">
        <v>371819</v>
      </c>
      <c r="C70" s="12" t="s">
        <v>311</v>
      </c>
      <c r="D70" s="12">
        <v>257168</v>
      </c>
      <c r="E70" s="12" t="s">
        <v>289</v>
      </c>
      <c r="F70" s="12" t="s">
        <v>290</v>
      </c>
      <c r="G70" s="12" t="s">
        <v>84</v>
      </c>
      <c r="H70" s="12" t="s">
        <v>54</v>
      </c>
      <c r="I70" s="12" t="s">
        <v>291</v>
      </c>
      <c r="J70" s="12" t="s">
        <v>292</v>
      </c>
      <c r="K70" s="12" t="s">
        <v>242</v>
      </c>
      <c r="L70" s="12">
        <f t="shared" si="3"/>
        <v>2</v>
      </c>
      <c r="M70" s="13" t="s">
        <v>45</v>
      </c>
      <c r="N70" s="12" t="s">
        <v>46</v>
      </c>
      <c r="O70" s="12" t="s">
        <v>47</v>
      </c>
      <c r="P70" s="12">
        <v>0</v>
      </c>
      <c r="Q70" s="14">
        <v>-39.04</v>
      </c>
      <c r="R70" s="12" t="s">
        <v>48</v>
      </c>
      <c r="S70" s="12" t="s">
        <v>293</v>
      </c>
      <c r="T70" s="16">
        <v>0.52</v>
      </c>
      <c r="U70" s="23">
        <f t="shared" si="4"/>
        <v>-20.300799999999999</v>
      </c>
      <c r="V70" s="14">
        <v>20.3</v>
      </c>
      <c r="W70" s="14">
        <v>20.3</v>
      </c>
      <c r="X70" s="12" t="s">
        <v>45</v>
      </c>
    </row>
    <row r="71" spans="1:24" x14ac:dyDescent="0.2">
      <c r="A71" s="12" t="s">
        <v>67</v>
      </c>
      <c r="B71" s="12">
        <v>371819</v>
      </c>
      <c r="C71" s="12" t="s">
        <v>311</v>
      </c>
      <c r="D71" s="12">
        <v>257168</v>
      </c>
      <c r="E71" s="12" t="s">
        <v>240</v>
      </c>
      <c r="F71" s="12" t="s">
        <v>241</v>
      </c>
      <c r="G71" s="12" t="s">
        <v>84</v>
      </c>
      <c r="H71" s="12" t="s">
        <v>85</v>
      </c>
      <c r="I71" s="12" t="s">
        <v>116</v>
      </c>
      <c r="J71" s="12" t="s">
        <v>242</v>
      </c>
      <c r="K71" s="12" t="s">
        <v>44</v>
      </c>
      <c r="L71" s="12">
        <f t="shared" si="3"/>
        <v>1</v>
      </c>
      <c r="M71" s="13">
        <v>50</v>
      </c>
      <c r="N71" s="12" t="s">
        <v>46</v>
      </c>
      <c r="O71" s="12" t="s">
        <v>47</v>
      </c>
      <c r="P71" s="12">
        <v>250</v>
      </c>
      <c r="Q71" s="14">
        <v>2291.85</v>
      </c>
      <c r="R71" s="12" t="s">
        <v>48</v>
      </c>
      <c r="S71" s="12" t="s">
        <v>244</v>
      </c>
      <c r="T71" s="16">
        <v>1.35</v>
      </c>
      <c r="U71" s="23">
        <f t="shared" si="4"/>
        <v>3093.9974999999999</v>
      </c>
      <c r="V71" s="14">
        <v>2000</v>
      </c>
      <c r="W71" s="14">
        <v>2000</v>
      </c>
      <c r="X71" s="12" t="s">
        <v>45</v>
      </c>
    </row>
    <row r="73" spans="1:24" x14ac:dyDescent="0.2">
      <c r="A73" s="1" t="s">
        <v>67</v>
      </c>
      <c r="B73" s="1">
        <v>15278437</v>
      </c>
      <c r="C73" s="1" t="s">
        <v>323</v>
      </c>
      <c r="D73" s="1">
        <v>648177</v>
      </c>
      <c r="E73" s="1" t="s">
        <v>255</v>
      </c>
      <c r="F73" s="1" t="s">
        <v>256</v>
      </c>
      <c r="G73" s="1" t="s">
        <v>70</v>
      </c>
      <c r="H73" s="1" t="s">
        <v>120</v>
      </c>
      <c r="I73" s="1" t="s">
        <v>125</v>
      </c>
      <c r="J73" s="1" t="s">
        <v>257</v>
      </c>
      <c r="K73" s="1" t="s">
        <v>184</v>
      </c>
      <c r="L73" s="1">
        <f t="shared" ref="L73:L80" si="5">DATEDIF(J73,K73,"M")</f>
        <v>26</v>
      </c>
      <c r="M73" s="10">
        <v>65</v>
      </c>
      <c r="N73" s="1" t="s">
        <v>46</v>
      </c>
      <c r="O73" s="1" t="s">
        <v>47</v>
      </c>
      <c r="P73" s="1">
        <v>20</v>
      </c>
      <c r="Q73" s="11">
        <v>109.75</v>
      </c>
      <c r="R73" s="1" t="s">
        <v>73</v>
      </c>
      <c r="S73" s="1" t="s">
        <v>74</v>
      </c>
      <c r="T73" s="18">
        <v>7.0000000000000007E-2</v>
      </c>
      <c r="U73" s="24">
        <f t="shared" ref="U73:U80" si="6">SUM(Q73*T73)</f>
        <v>7.682500000000001</v>
      </c>
      <c r="V73" s="11">
        <v>7.68</v>
      </c>
      <c r="W73" s="11">
        <v>0</v>
      </c>
      <c r="X73" s="1" t="s">
        <v>45</v>
      </c>
    </row>
    <row r="74" spans="1:24" x14ac:dyDescent="0.2">
      <c r="A74" s="1" t="s">
        <v>67</v>
      </c>
      <c r="B74" s="1">
        <v>16202925</v>
      </c>
      <c r="C74" s="1" t="s">
        <v>315</v>
      </c>
      <c r="D74" s="1">
        <v>814837</v>
      </c>
      <c r="E74" s="1" t="s">
        <v>122</v>
      </c>
      <c r="F74" s="1" t="s">
        <v>123</v>
      </c>
      <c r="G74" s="1" t="s">
        <v>124</v>
      </c>
      <c r="H74" s="1" t="s">
        <v>120</v>
      </c>
      <c r="I74" s="1" t="s">
        <v>125</v>
      </c>
      <c r="J74" s="1" t="s">
        <v>126</v>
      </c>
      <c r="K74" s="1" t="s">
        <v>127</v>
      </c>
      <c r="L74" s="1">
        <f t="shared" si="5"/>
        <v>22</v>
      </c>
      <c r="M74" s="10">
        <v>54</v>
      </c>
      <c r="N74" s="1" t="s">
        <v>46</v>
      </c>
      <c r="O74" s="1" t="s">
        <v>47</v>
      </c>
      <c r="P74" s="1">
        <v>50</v>
      </c>
      <c r="Q74" s="11">
        <v>122.6</v>
      </c>
      <c r="R74" s="1" t="s">
        <v>73</v>
      </c>
      <c r="S74" s="1" t="s">
        <v>74</v>
      </c>
      <c r="T74" s="18">
        <v>7.0000000000000007E-2</v>
      </c>
      <c r="U74" s="24">
        <f t="shared" si="6"/>
        <v>8.5820000000000007</v>
      </c>
      <c r="V74" s="11">
        <v>8.58</v>
      </c>
      <c r="W74" s="11">
        <v>0</v>
      </c>
      <c r="X74" s="1" t="s">
        <v>45</v>
      </c>
    </row>
    <row r="75" spans="1:24" x14ac:dyDescent="0.2">
      <c r="A75" s="1" t="s">
        <v>67</v>
      </c>
      <c r="B75" s="1">
        <v>16202925</v>
      </c>
      <c r="C75" s="1" t="s">
        <v>315</v>
      </c>
      <c r="D75" s="1">
        <v>814837</v>
      </c>
      <c r="E75" s="1" t="s">
        <v>128</v>
      </c>
      <c r="F75" s="1" t="s">
        <v>129</v>
      </c>
      <c r="G75" s="1" t="s">
        <v>124</v>
      </c>
      <c r="H75" s="1" t="s">
        <v>120</v>
      </c>
      <c r="I75" s="1" t="s">
        <v>125</v>
      </c>
      <c r="J75" s="1" t="s">
        <v>126</v>
      </c>
      <c r="K75" s="1" t="s">
        <v>127</v>
      </c>
      <c r="L75" s="1">
        <f t="shared" si="5"/>
        <v>22</v>
      </c>
      <c r="M75" s="10">
        <v>52</v>
      </c>
      <c r="N75" s="1" t="s">
        <v>46</v>
      </c>
      <c r="O75" s="1" t="s">
        <v>47</v>
      </c>
      <c r="P75" s="1">
        <v>50</v>
      </c>
      <c r="Q75" s="11">
        <v>191.04</v>
      </c>
      <c r="R75" s="1" t="s">
        <v>73</v>
      </c>
      <c r="S75" s="1" t="s">
        <v>74</v>
      </c>
      <c r="T75" s="18">
        <v>7.0000000000000007E-2</v>
      </c>
      <c r="U75" s="24">
        <f t="shared" si="6"/>
        <v>13.372800000000002</v>
      </c>
      <c r="V75" s="11">
        <v>13.37</v>
      </c>
      <c r="W75" s="11">
        <v>0</v>
      </c>
      <c r="X75" s="1" t="s">
        <v>45</v>
      </c>
    </row>
    <row r="76" spans="1:24" x14ac:dyDescent="0.2">
      <c r="A76" s="1" t="s">
        <v>67</v>
      </c>
      <c r="B76" s="1">
        <v>19278370</v>
      </c>
      <c r="C76" s="1" t="s">
        <v>308</v>
      </c>
      <c r="D76" s="1">
        <v>957310</v>
      </c>
      <c r="E76" s="1" t="s">
        <v>68</v>
      </c>
      <c r="F76" s="1" t="s">
        <v>69</v>
      </c>
      <c r="G76" s="1" t="s">
        <v>70</v>
      </c>
      <c r="H76" s="1" t="s">
        <v>54</v>
      </c>
      <c r="I76" s="1" t="s">
        <v>71</v>
      </c>
      <c r="J76" s="1" t="s">
        <v>72</v>
      </c>
      <c r="K76" s="1" t="s">
        <v>44</v>
      </c>
      <c r="L76" s="1">
        <f t="shared" si="5"/>
        <v>20</v>
      </c>
      <c r="M76" s="10" t="s">
        <v>45</v>
      </c>
      <c r="N76" s="1" t="s">
        <v>46</v>
      </c>
      <c r="O76" s="1" t="s">
        <v>47</v>
      </c>
      <c r="P76" s="1">
        <v>0</v>
      </c>
      <c r="Q76" s="11">
        <v>137.74</v>
      </c>
      <c r="R76" s="1" t="s">
        <v>73</v>
      </c>
      <c r="S76" s="1" t="s">
        <v>74</v>
      </c>
      <c r="T76" s="18">
        <v>0.215</v>
      </c>
      <c r="U76" s="24">
        <f t="shared" si="6"/>
        <v>29.614100000000001</v>
      </c>
      <c r="V76" s="11">
        <v>29.61</v>
      </c>
      <c r="W76" s="11">
        <v>0</v>
      </c>
      <c r="X76" s="1" t="s">
        <v>45</v>
      </c>
    </row>
    <row r="77" spans="1:24" x14ac:dyDescent="0.2">
      <c r="A77" s="1" t="s">
        <v>271</v>
      </c>
      <c r="B77" s="1">
        <v>9079571</v>
      </c>
      <c r="C77" s="1" t="s">
        <v>316</v>
      </c>
      <c r="D77" s="1">
        <v>816910</v>
      </c>
      <c r="E77" s="1" t="s">
        <v>286</v>
      </c>
      <c r="F77" s="1" t="s">
        <v>287</v>
      </c>
      <c r="G77" s="1" t="s">
        <v>124</v>
      </c>
      <c r="H77" s="1" t="s">
        <v>54</v>
      </c>
      <c r="I77" s="1" t="s">
        <v>281</v>
      </c>
      <c r="J77" s="1" t="s">
        <v>288</v>
      </c>
      <c r="K77" s="1" t="s">
        <v>44</v>
      </c>
      <c r="L77" s="1">
        <f t="shared" si="5"/>
        <v>15</v>
      </c>
      <c r="M77" s="10" t="s">
        <v>45</v>
      </c>
      <c r="N77" s="1" t="s">
        <v>46</v>
      </c>
      <c r="O77" s="1" t="s">
        <v>47</v>
      </c>
      <c r="P77" s="1">
        <v>0</v>
      </c>
      <c r="Q77" s="11">
        <v>132.11000000000001</v>
      </c>
      <c r="R77" s="1" t="s">
        <v>73</v>
      </c>
      <c r="S77" s="1" t="s">
        <v>74</v>
      </c>
      <c r="T77" s="18">
        <v>0.23</v>
      </c>
      <c r="U77" s="24">
        <f t="shared" si="6"/>
        <v>30.385300000000004</v>
      </c>
      <c r="V77" s="11">
        <v>30.39</v>
      </c>
      <c r="W77" s="11">
        <v>0</v>
      </c>
      <c r="X77" s="1" t="s">
        <v>45</v>
      </c>
    </row>
    <row r="78" spans="1:24" x14ac:dyDescent="0.2">
      <c r="A78" s="1" t="s">
        <v>271</v>
      </c>
      <c r="B78" s="1">
        <v>9079571</v>
      </c>
      <c r="C78" s="1" t="s">
        <v>316</v>
      </c>
      <c r="D78" s="1">
        <v>816910</v>
      </c>
      <c r="E78" s="1" t="s">
        <v>283</v>
      </c>
      <c r="F78" s="1" t="s">
        <v>284</v>
      </c>
      <c r="G78" s="1" t="s">
        <v>124</v>
      </c>
      <c r="H78" s="1" t="s">
        <v>54</v>
      </c>
      <c r="I78" s="1" t="s">
        <v>281</v>
      </c>
      <c r="J78" s="1" t="s">
        <v>285</v>
      </c>
      <c r="K78" s="1" t="s">
        <v>44</v>
      </c>
      <c r="L78" s="1">
        <f t="shared" si="5"/>
        <v>18</v>
      </c>
      <c r="M78" s="10" t="s">
        <v>45</v>
      </c>
      <c r="N78" s="1" t="s">
        <v>46</v>
      </c>
      <c r="O78" s="1" t="s">
        <v>47</v>
      </c>
      <c r="P78" s="1">
        <v>0</v>
      </c>
      <c r="Q78" s="11">
        <v>151.93</v>
      </c>
      <c r="R78" s="1" t="s">
        <v>73</v>
      </c>
      <c r="S78" s="1" t="s">
        <v>74</v>
      </c>
      <c r="T78" s="18">
        <v>0.23</v>
      </c>
      <c r="U78" s="24">
        <f t="shared" si="6"/>
        <v>34.943900000000006</v>
      </c>
      <c r="V78" s="11">
        <v>34.94</v>
      </c>
      <c r="W78" s="11">
        <v>0</v>
      </c>
      <c r="X78" s="1" t="s">
        <v>45</v>
      </c>
    </row>
    <row r="79" spans="1:24" x14ac:dyDescent="0.2">
      <c r="A79" s="1" t="s">
        <v>271</v>
      </c>
      <c r="B79" s="1">
        <v>9079571</v>
      </c>
      <c r="C79" s="1" t="s">
        <v>316</v>
      </c>
      <c r="D79" s="1">
        <v>816910</v>
      </c>
      <c r="E79" s="1" t="s">
        <v>279</v>
      </c>
      <c r="F79" s="1" t="s">
        <v>280</v>
      </c>
      <c r="G79" s="1" t="s">
        <v>124</v>
      </c>
      <c r="H79" s="1" t="s">
        <v>54</v>
      </c>
      <c r="I79" s="1" t="s">
        <v>281</v>
      </c>
      <c r="J79" s="1" t="s">
        <v>282</v>
      </c>
      <c r="K79" s="1" t="s">
        <v>44</v>
      </c>
      <c r="L79" s="1">
        <f t="shared" si="5"/>
        <v>23</v>
      </c>
      <c r="M79" s="10" t="s">
        <v>45</v>
      </c>
      <c r="N79" s="1" t="s">
        <v>46</v>
      </c>
      <c r="O79" s="1" t="s">
        <v>47</v>
      </c>
      <c r="P79" s="1">
        <v>0</v>
      </c>
      <c r="Q79" s="11">
        <v>172.65</v>
      </c>
      <c r="R79" s="1" t="s">
        <v>73</v>
      </c>
      <c r="S79" s="1" t="s">
        <v>74</v>
      </c>
      <c r="T79" s="18">
        <v>0.23</v>
      </c>
      <c r="U79" s="24">
        <f t="shared" si="6"/>
        <v>39.709500000000006</v>
      </c>
      <c r="V79" s="11">
        <v>39.71</v>
      </c>
      <c r="W79" s="11">
        <v>0</v>
      </c>
      <c r="X79" s="1" t="s">
        <v>45</v>
      </c>
    </row>
    <row r="80" spans="1:24" x14ac:dyDescent="0.2">
      <c r="A80" s="1" t="s">
        <v>67</v>
      </c>
      <c r="B80" s="1">
        <v>19278370</v>
      </c>
      <c r="C80" s="1" t="s">
        <v>308</v>
      </c>
      <c r="D80" s="1">
        <v>957310</v>
      </c>
      <c r="E80" s="1" t="s">
        <v>75</v>
      </c>
      <c r="F80" s="1" t="s">
        <v>76</v>
      </c>
      <c r="G80" s="1" t="s">
        <v>70</v>
      </c>
      <c r="H80" s="1" t="s">
        <v>54</v>
      </c>
      <c r="I80" s="1" t="s">
        <v>71</v>
      </c>
      <c r="J80" s="1" t="s">
        <v>72</v>
      </c>
      <c r="K80" s="1" t="s">
        <v>44</v>
      </c>
      <c r="L80" s="1">
        <f t="shared" si="5"/>
        <v>20</v>
      </c>
      <c r="M80" s="10" t="s">
        <v>45</v>
      </c>
      <c r="N80" s="1" t="s">
        <v>46</v>
      </c>
      <c r="O80" s="1" t="s">
        <v>47</v>
      </c>
      <c r="P80" s="1">
        <v>0</v>
      </c>
      <c r="Q80" s="11">
        <v>229.97</v>
      </c>
      <c r="R80" s="1" t="s">
        <v>73</v>
      </c>
      <c r="S80" s="1" t="s">
        <v>74</v>
      </c>
      <c r="T80" s="18">
        <v>0.215</v>
      </c>
      <c r="U80" s="24">
        <f t="shared" si="6"/>
        <v>49.443550000000002</v>
      </c>
      <c r="V80" s="11">
        <v>49.44</v>
      </c>
      <c r="W80" s="11">
        <v>0</v>
      </c>
      <c r="X80" s="1" t="s">
        <v>45</v>
      </c>
    </row>
  </sheetData>
  <autoFilter ref="A1:X79" xr:uid="{ADE2B51E-58E9-4610-949A-5107767D24A1}">
    <sortState xmlns:xlrd2="http://schemas.microsoft.com/office/spreadsheetml/2017/richdata2" ref="A2:X79">
      <sortCondition ref="S1:S7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DETAILS</vt:lpstr>
      <vt:lpstr>Sheet2</vt:lpstr>
      <vt:lpstr>clean sheet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Janki Patel</cp:lastModifiedBy>
  <dcterms:created xsi:type="dcterms:W3CDTF">2025-08-15T00:13:47Z</dcterms:created>
  <dcterms:modified xsi:type="dcterms:W3CDTF">2025-08-21T14:12:55Z</dcterms:modified>
</cp:coreProperties>
</file>