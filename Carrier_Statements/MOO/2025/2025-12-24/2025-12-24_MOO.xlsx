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2-24-25\"/>
    </mc:Choice>
  </mc:AlternateContent>
  <xr:revisionPtr revIDLastSave="0" documentId="13_ncr:1_{3C3A7FFA-01C9-42A4-B824-270C93CD295B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sheet'!$A$1:$V$38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3" l="1"/>
  <c r="V24" i="3"/>
  <c r="V22" i="3"/>
  <c r="V28" i="3"/>
  <c r="V30" i="3"/>
  <c r="V29" i="3"/>
  <c r="V27" i="3"/>
  <c r="V21" i="3"/>
  <c r="V26" i="3"/>
  <c r="V25" i="3"/>
  <c r="V2" i="3"/>
  <c r="V3" i="3"/>
  <c r="V10" i="3"/>
  <c r="V34" i="3"/>
  <c r="V11" i="3"/>
  <c r="V37" i="3"/>
  <c r="V14" i="3"/>
  <c r="V15" i="3"/>
  <c r="V36" i="3"/>
  <c r="V17" i="3"/>
  <c r="V18" i="3"/>
  <c r="V19" i="3"/>
  <c r="V20" i="3"/>
  <c r="V4" i="3"/>
  <c r="V12" i="3"/>
  <c r="V35" i="3"/>
  <c r="V13" i="3"/>
  <c r="V38" i="3"/>
  <c r="V16" i="3"/>
  <c r="V31" i="3"/>
  <c r="V6" i="3"/>
  <c r="V33" i="3"/>
  <c r="V8" i="3"/>
  <c r="V9" i="3"/>
  <c r="V5" i="3"/>
  <c r="V32" i="3"/>
  <c r="V7" i="3"/>
</calcChain>
</file>

<file path=xl/sharedStrings.xml><?xml version="1.0" encoding="utf-8"?>
<sst xmlns="http://schemas.openxmlformats.org/spreadsheetml/2006/main" count="1243" uniqueCount="257">
  <si>
    <t>MUTUAL OF OMAHA</t>
  </si>
  <si>
    <t>SUMMARY COMPENSATION STATEMENT</t>
  </si>
  <si>
    <t>For Period Ending 12/22/2025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</si>
  <si>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</si>
  <si>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</si>
  <si>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</si>
  <si>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</si>
  <si>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</si>
  <si>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</si>
  <si>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</si>
  <si>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</si>
  <si>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</si>
  <si>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</si>
  <si>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</si>
  <si>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</si>
  <si>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</si>
  <si>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</si>
  <si>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</si>
  <si>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</si>
  <si>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</si>
  <si>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</si>
  <si>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</si>
  <si>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</si>
  <si>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</si>
  <si>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</si>
  <si>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</si>
  <si>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</si>
  <si>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</si>
  <si>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</si>
  <si>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</si>
  <si>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</si>
  <si>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</si>
  <si>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</si>
  <si>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</si>
  <si>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</si>
  <si>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</si>
  <si>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</si>
  <si>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</si>
  <si>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</si>
  <si>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</si>
  <si>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</si>
  <si>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</si>
  <si>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</si>
  <si>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</si>
  <si>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</si>
  <si>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</si>
  <si>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</si>
  <si>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0513364</t>
  </si>
  <si>
    <t>626270-97</t>
  </si>
  <si>
    <t>ETTINGER LYNN</t>
  </si>
  <si>
    <t>IL</t>
  </si>
  <si>
    <t>12/18/2025</t>
  </si>
  <si>
    <t>NM24HL</t>
  </si>
  <si>
    <t>04/01/2025</t>
  </si>
  <si>
    <t>01/01/2026</t>
  </si>
  <si>
    <t/>
  </si>
  <si>
    <t>M</t>
  </si>
  <si>
    <t>BSP</t>
  </si>
  <si>
    <t>001</t>
  </si>
  <si>
    <t>F</t>
  </si>
  <si>
    <t>BFY PAYMENT</t>
  </si>
  <si>
    <t>100.0%</t>
  </si>
  <si>
    <t>1174646</t>
  </si>
  <si>
    <t>603047-97</t>
  </si>
  <si>
    <t>CASHEN ROBYN</t>
  </si>
  <si>
    <t>12/17/2025</t>
  </si>
  <si>
    <t>03/01/2025</t>
  </si>
  <si>
    <t>600435-97</t>
  </si>
  <si>
    <t>JOHNSON WILLIAM</t>
  </si>
  <si>
    <t>590925-97</t>
  </si>
  <si>
    <t>VENTIMIGLIA ROXANNE</t>
  </si>
  <si>
    <t>544949-97</t>
  </si>
  <si>
    <t>TOLBERT MARGARET</t>
  </si>
  <si>
    <t>02/01/2025</t>
  </si>
  <si>
    <t>502942-97</t>
  </si>
  <si>
    <t>HANDLEY MARSHA</t>
  </si>
  <si>
    <t>01/01/2025</t>
  </si>
  <si>
    <t>473139-97</t>
  </si>
  <si>
    <t>MCBRIDE SHIRLEY</t>
  </si>
  <si>
    <t>12/22/2025</t>
  </si>
  <si>
    <t>629715-97</t>
  </si>
  <si>
    <t>BAUMHARDT JEAN</t>
  </si>
  <si>
    <t>624106-97</t>
  </si>
  <si>
    <t>JOHNSON REBECCA</t>
  </si>
  <si>
    <t>614242-97</t>
  </si>
  <si>
    <t>BROWN PENNY</t>
  </si>
  <si>
    <t>603087-97</t>
  </si>
  <si>
    <t>CASHEN CHRISTOPHER</t>
  </si>
  <si>
    <t>UNITED</t>
  </si>
  <si>
    <t>0957310</t>
  </si>
  <si>
    <t>878137-96</t>
  </si>
  <si>
    <t>ZONCA LORILEE</t>
  </si>
  <si>
    <t>PA</t>
  </si>
  <si>
    <t>UM35HLV</t>
  </si>
  <si>
    <t>03/01/2024</t>
  </si>
  <si>
    <t>04/01/2026</t>
  </si>
  <si>
    <t>Q</t>
  </si>
  <si>
    <t>REG</t>
  </si>
  <si>
    <t>003</t>
  </si>
  <si>
    <t>R</t>
  </si>
  <si>
    <t>RENEWAL PYMT</t>
  </si>
  <si>
    <t>HEARTLAND FINANCIAL GROUP LLC</t>
  </si>
  <si>
    <t>0815797</t>
  </si>
  <si>
    <t>BU6205379</t>
  </si>
  <si>
    <t>KETTER LISA</t>
  </si>
  <si>
    <t>IXEXP1</t>
  </si>
  <si>
    <t>11/10/2025</t>
  </si>
  <si>
    <t>01/10/2026</t>
  </si>
  <si>
    <t>NEW ISS PYMT</t>
  </si>
  <si>
    <t>0606680</t>
  </si>
  <si>
    <t>BU6235224</t>
  </si>
  <si>
    <t>BROMUND AMATA</t>
  </si>
  <si>
    <t>NC</t>
  </si>
  <si>
    <t>12/15/2025</t>
  </si>
  <si>
    <t>01/15/2026</t>
  </si>
  <si>
    <t>0257168</t>
  </si>
  <si>
    <t>BU6176789</t>
  </si>
  <si>
    <t>TWO BABIES AMOS</t>
  </si>
  <si>
    <t>OK</t>
  </si>
  <si>
    <t>FEPL 1</t>
  </si>
  <si>
    <t>11/01/2025</t>
  </si>
  <si>
    <t>12/01/2025</t>
  </si>
  <si>
    <t>BFY REVERSAL</t>
  </si>
  <si>
    <t>0893387</t>
  </si>
  <si>
    <t>BU6294054</t>
  </si>
  <si>
    <t>AHOLT STEVE</t>
  </si>
  <si>
    <t>12/24/2025</t>
  </si>
  <si>
    <t>CONV NEW BUS</t>
  </si>
  <si>
    <t>BU5653756</t>
  </si>
  <si>
    <t>SCADUTO JACQUELINE</t>
  </si>
  <si>
    <t>FL</t>
  </si>
  <si>
    <t>12/19/2025</t>
  </si>
  <si>
    <t>10/22/2025</t>
  </si>
  <si>
    <t>01/22/2026</t>
  </si>
  <si>
    <t>1196651</t>
  </si>
  <si>
    <t>BU5371034</t>
  </si>
  <si>
    <t>PEARSON DEBORAH</t>
  </si>
  <si>
    <t>MD</t>
  </si>
  <si>
    <t>06/20/2025</t>
  </si>
  <si>
    <t>01/20/2026</t>
  </si>
  <si>
    <t>1099222</t>
  </si>
  <si>
    <t>BU6294052</t>
  </si>
  <si>
    <t>YRAMATEGUI EMILIA</t>
  </si>
  <si>
    <t>01/02/2026</t>
  </si>
  <si>
    <t>BU6289711</t>
  </si>
  <si>
    <t>CROSSETT DEANNA</t>
  </si>
  <si>
    <t>BU6216990</t>
  </si>
  <si>
    <t>MCGHEE GAIL</t>
  </si>
  <si>
    <t>TX</t>
  </si>
  <si>
    <t>TE15 1</t>
  </si>
  <si>
    <t>01/17/2026</t>
  </si>
  <si>
    <t>BU6216469</t>
  </si>
  <si>
    <t>SESTER MEGAN</t>
  </si>
  <si>
    <t>OR</t>
  </si>
  <si>
    <t>E30301</t>
  </si>
  <si>
    <t>BU5507630</t>
  </si>
  <si>
    <t>LONGVILLE RICHARD</t>
  </si>
  <si>
    <t>SD</t>
  </si>
  <si>
    <t>09/01/2025</t>
  </si>
  <si>
    <t>LAPSE</t>
  </si>
  <si>
    <t>BU5507525</t>
  </si>
  <si>
    <t>LONGVILLE VERNA</t>
  </si>
  <si>
    <t>INNOVATIVE FINANCIAL PARTNERS LLC</t>
  </si>
  <si>
    <t>0815390</t>
  </si>
  <si>
    <t>BU4893860</t>
  </si>
  <si>
    <t>REID-KAPLAN MAZILYN</t>
  </si>
  <si>
    <t>10/03/2024</t>
  </si>
  <si>
    <t>04/03/2026</t>
  </si>
  <si>
    <t>0819525</t>
  </si>
  <si>
    <t>BU5062572</t>
  </si>
  <si>
    <t>MARSHALL JOHNNIETTE</t>
  </si>
  <si>
    <t>01/15/2025</t>
  </si>
  <si>
    <t>BU5059669</t>
  </si>
  <si>
    <t>SAKO HIROYO</t>
  </si>
  <si>
    <t>01/17/2025</t>
  </si>
  <si>
    <t>BU5062646</t>
  </si>
  <si>
    <t>MARSHALL FREDDIE</t>
  </si>
  <si>
    <t>01/24/2025</t>
  </si>
  <si>
    <t>01/24/2026</t>
  </si>
  <si>
    <t>1093959</t>
  </si>
  <si>
    <t>BU4854427</t>
  </si>
  <si>
    <t>CURCIO KIMBERLY</t>
  </si>
  <si>
    <t>09/18/2024</t>
  </si>
  <si>
    <t>01/18/2026</t>
  </si>
  <si>
    <t>BU5305630</t>
  </si>
  <si>
    <t>QUESADA DIANA</t>
  </si>
  <si>
    <t>06/17/2025</t>
  </si>
  <si>
    <t>MUTUAL</t>
  </si>
  <si>
    <t>0892048</t>
  </si>
  <si>
    <t>428514-41</t>
  </si>
  <si>
    <t>THOMPSON DEBORAH</t>
  </si>
  <si>
    <t>DNT5IL</t>
  </si>
  <si>
    <t>02/01/2026</t>
  </si>
  <si>
    <t>NEW COV ISS</t>
  </si>
  <si>
    <t>353822-41</t>
  </si>
  <si>
    <t>KOSIAK CARRIE</t>
  </si>
  <si>
    <t>12/05/2025</t>
  </si>
  <si>
    <t>02/05/2026</t>
  </si>
  <si>
    <t>400120-97</t>
  </si>
  <si>
    <t>INNES ELIZABETH</t>
  </si>
  <si>
    <t>DNT2IL</t>
  </si>
  <si>
    <t>08/20/2024</t>
  </si>
  <si>
    <t>650330-97</t>
  </si>
  <si>
    <t>MCCALL YOLANDA</t>
  </si>
  <si>
    <t>03/19/2025</t>
  </si>
  <si>
    <t>01/19/2026</t>
  </si>
  <si>
    <t>650319-97</t>
  </si>
  <si>
    <t>MCCALL HUGH</t>
  </si>
  <si>
    <t>0938286</t>
  </si>
  <si>
    <t>660202-97</t>
  </si>
  <si>
    <t>FINN PATTY</t>
  </si>
  <si>
    <t>03/28/2025</t>
  </si>
  <si>
    <t>01/28/2026</t>
  </si>
  <si>
    <t>400134-97</t>
  </si>
  <si>
    <t>INNES MICHAEL</t>
  </si>
  <si>
    <t>agent name</t>
  </si>
  <si>
    <t>Med Supp IL/DE/TX/IN Ages 65-83</t>
  </si>
  <si>
    <t>Medicare Supp- PA Plans High Deductible F,G,&amp;N 65+</t>
  </si>
  <si>
    <t>Universal Life</t>
  </si>
  <si>
    <t>2024 Final Expense: Level Product Commission Ages 45-80</t>
  </si>
  <si>
    <t>2024 Term Life Express: IXEXP1 Term Life Conversion to IUL in years 6+ of term issue date</t>
  </si>
  <si>
    <t>Term Life Express</t>
  </si>
  <si>
    <t>FEX Level Ages 45-80</t>
  </si>
  <si>
    <t>Medicare Supp- AR High Deductible Plan F&amp;G&amp;Plan N Age 65-74</t>
  </si>
  <si>
    <t>National Dental</t>
  </si>
  <si>
    <t>products</t>
  </si>
  <si>
    <t>Dale Walenga</t>
  </si>
  <si>
    <t>Michael Dunavant</t>
  </si>
  <si>
    <t>Anne Marie Kozacheck</t>
  </si>
  <si>
    <t>Deborah Inskipt</t>
  </si>
  <si>
    <t>Ryan Caltagirone</t>
  </si>
  <si>
    <t>Thomas Pardue</t>
  </si>
  <si>
    <t>Gregory Teipel</t>
  </si>
  <si>
    <t>Shawn Gastelo</t>
  </si>
  <si>
    <t>Matthew Daugherty</t>
  </si>
  <si>
    <t>Carol Foley</t>
  </si>
  <si>
    <t>Gary Portugal</t>
  </si>
  <si>
    <t>Timothy Powers</t>
  </si>
  <si>
    <t>Richard Yale</t>
  </si>
  <si>
    <t>Christian Taugner</t>
  </si>
  <si>
    <t>Medicare Supplement Plan G</t>
  </si>
  <si>
    <t>Medicare Supplement Plan N</t>
  </si>
  <si>
    <t>Iul Express</t>
  </si>
  <si>
    <t xml:space="preserve">Living Promise - Level  Benefit         </t>
  </si>
  <si>
    <t>Term Life Express 10 15 20 30</t>
  </si>
  <si>
    <t xml:space="preserve">Protection  Plan (c) Dnt5i              </t>
  </si>
  <si>
    <t xml:space="preserve">Preferred Plan (a) Dnt2i                </t>
  </si>
  <si>
    <t>mlb premium</t>
  </si>
  <si>
    <t>mlb comm</t>
  </si>
  <si>
    <t>poduct</t>
  </si>
  <si>
    <t>IUL express</t>
  </si>
  <si>
    <t>paycode</t>
  </si>
  <si>
    <t>AV</t>
  </si>
  <si>
    <t>AV1</t>
  </si>
  <si>
    <t>AE</t>
  </si>
  <si>
    <t>17528908N</t>
  </si>
  <si>
    <t>16633294AV9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</si>
</sst>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2"/>
  <sheetViews>
    <sheetView showGridLines="0" topLeftCell="A10" workbookViewId="0">
      <selection activeCell="Z1" sqref="Z1"/>
    </sheetView>
  </sheetViews>
  <sheetFormatPr defaultColWidth="9.140625"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112.55</v>
      </c>
      <c r="C19" s="8"/>
    </row>
    <row r="20" spans="1:3" x14ac:dyDescent="0.2">
      <c r="A20" s="2" t="s">
        <v>13</v>
      </c>
      <c r="B20" s="8">
        <v>3.46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3324.1</v>
      </c>
      <c r="C24" s="8"/>
    </row>
    <row r="25" spans="1:3" x14ac:dyDescent="0.2">
      <c r="A25" s="2" t="s">
        <v>13</v>
      </c>
      <c r="B25" s="8">
        <v>77.400000000000006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264.14999999999998</v>
      </c>
      <c r="C29" s="8"/>
    </row>
    <row r="30" spans="1:3" x14ac:dyDescent="0.2">
      <c r="A30" s="2"/>
      <c r="B30" s="8"/>
      <c r="C30" s="8"/>
    </row>
    <row r="31" spans="1:3" x14ac:dyDescent="0.2">
      <c r="A31" s="2" t="s">
        <v>16</v>
      </c>
      <c r="B31" s="8"/>
      <c r="C31" s="8">
        <v>3781.66</v>
      </c>
    </row>
    <row r="32" spans="1:3" x14ac:dyDescent="0.2">
      <c r="A32" s="2"/>
      <c r="B32" s="8"/>
      <c r="C32" s="8"/>
    </row>
    <row r="33" spans="1:3" x14ac:dyDescent="0.2">
      <c r="A33" s="2" t="s">
        <v>17</v>
      </c>
      <c r="B33" s="8"/>
      <c r="C33" s="8"/>
    </row>
    <row r="34" spans="1:3" x14ac:dyDescent="0.2">
      <c r="A34" s="2"/>
      <c r="B34" s="8"/>
      <c r="C34" s="8"/>
    </row>
    <row r="35" spans="1:3" x14ac:dyDescent="0.2">
      <c r="A35" s="2" t="s">
        <v>10</v>
      </c>
      <c r="B35" s="8">
        <v>-116.01</v>
      </c>
      <c r="C35" s="8"/>
    </row>
    <row r="36" spans="1:3" x14ac:dyDescent="0.2">
      <c r="A36" s="2" t="s">
        <v>14</v>
      </c>
      <c r="B36" s="8">
        <v>-3401.5</v>
      </c>
      <c r="C36" s="8"/>
    </row>
    <row r="37" spans="1:3" x14ac:dyDescent="0.2">
      <c r="A37" s="2" t="s">
        <v>15</v>
      </c>
      <c r="B37" s="8">
        <v>-264.14999999999998</v>
      </c>
      <c r="C37" s="8"/>
    </row>
    <row r="38" spans="1:3" x14ac:dyDescent="0.2">
      <c r="A38" s="2"/>
      <c r="B38" s="8"/>
      <c r="C38" s="8"/>
    </row>
    <row r="39" spans="1:3" x14ac:dyDescent="0.2">
      <c r="A39" s="2" t="s">
        <v>18</v>
      </c>
      <c r="B39" s="8"/>
      <c r="C39" s="8">
        <v>-3781.66</v>
      </c>
    </row>
    <row r="40" spans="1:3" x14ac:dyDescent="0.2">
      <c r="A40" s="2" t="s">
        <v>19</v>
      </c>
      <c r="B40" s="8"/>
      <c r="C40" s="8">
        <v>0</v>
      </c>
    </row>
    <row r="41" spans="1:3" x14ac:dyDescent="0.2">
      <c r="A41" s="2"/>
      <c r="B41" s="8"/>
      <c r="C41" s="8"/>
    </row>
    <row r="42" spans="1:3" x14ac:dyDescent="0.2">
      <c r="A42" s="4"/>
      <c r="B42" s="9"/>
      <c r="C42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157.13999999999999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0</v>
      </c>
      <c r="W2" s="12">
        <v>-36.14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46</v>
      </c>
      <c r="D3" s="1" t="s">
        <v>62</v>
      </c>
      <c r="E3" s="1" t="s">
        <v>63</v>
      </c>
      <c r="F3" s="1" t="s">
        <v>64</v>
      </c>
      <c r="G3" s="1" t="s">
        <v>50</v>
      </c>
      <c r="H3" s="1" t="s">
        <v>65</v>
      </c>
      <c r="I3" s="1" t="s">
        <v>52</v>
      </c>
      <c r="J3" s="1" t="s">
        <v>66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116.03</v>
      </c>
      <c r="R3" s="1" t="s">
        <v>59</v>
      </c>
      <c r="S3" s="1" t="s">
        <v>60</v>
      </c>
      <c r="T3" s="6" t="s">
        <v>61</v>
      </c>
      <c r="U3" s="13">
        <v>0.23</v>
      </c>
      <c r="V3" s="12">
        <v>26.69</v>
      </c>
      <c r="W3" s="12">
        <v>0</v>
      </c>
      <c r="X3" s="1" t="s">
        <v>55</v>
      </c>
    </row>
    <row r="4" spans="1:24" x14ac:dyDescent="0.2">
      <c r="A4" s="1" t="s">
        <v>44</v>
      </c>
      <c r="B4" s="1" t="s">
        <v>45</v>
      </c>
      <c r="C4" s="1" t="s">
        <v>46</v>
      </c>
      <c r="D4" s="1" t="s">
        <v>62</v>
      </c>
      <c r="E4" s="1" t="s">
        <v>67</v>
      </c>
      <c r="F4" s="1" t="s">
        <v>68</v>
      </c>
      <c r="G4" s="1" t="s">
        <v>50</v>
      </c>
      <c r="H4" s="1" t="s">
        <v>65</v>
      </c>
      <c r="I4" s="1" t="s">
        <v>52</v>
      </c>
      <c r="J4" s="1" t="s">
        <v>66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128.66999999999999</v>
      </c>
      <c r="R4" s="1" t="s">
        <v>59</v>
      </c>
      <c r="S4" s="1" t="s">
        <v>60</v>
      </c>
      <c r="T4" s="6" t="s">
        <v>61</v>
      </c>
      <c r="U4" s="13">
        <v>0.23</v>
      </c>
      <c r="V4" s="12">
        <v>29.59</v>
      </c>
      <c r="W4" s="12">
        <v>0</v>
      </c>
      <c r="X4" s="1" t="s">
        <v>55</v>
      </c>
    </row>
    <row r="5" spans="1:24" x14ac:dyDescent="0.2">
      <c r="A5" s="1" t="s">
        <v>44</v>
      </c>
      <c r="B5" s="1" t="s">
        <v>45</v>
      </c>
      <c r="C5" s="1" t="s">
        <v>46</v>
      </c>
      <c r="D5" s="1" t="s">
        <v>62</v>
      </c>
      <c r="E5" s="1" t="s">
        <v>69</v>
      </c>
      <c r="F5" s="1" t="s">
        <v>70</v>
      </c>
      <c r="G5" s="1" t="s">
        <v>50</v>
      </c>
      <c r="H5" s="1" t="s">
        <v>65</v>
      </c>
      <c r="I5" s="1" t="s">
        <v>52</v>
      </c>
      <c r="J5" s="1" t="s">
        <v>66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113.86</v>
      </c>
      <c r="R5" s="1" t="s">
        <v>59</v>
      </c>
      <c r="S5" s="1" t="s">
        <v>60</v>
      </c>
      <c r="T5" s="6" t="s">
        <v>61</v>
      </c>
      <c r="U5" s="13">
        <v>0.23</v>
      </c>
      <c r="V5" s="12">
        <v>26.19</v>
      </c>
      <c r="W5" s="12">
        <v>0</v>
      </c>
      <c r="X5" s="1" t="s">
        <v>55</v>
      </c>
    </row>
    <row r="6" spans="1:24" x14ac:dyDescent="0.2">
      <c r="A6" s="1" t="s">
        <v>44</v>
      </c>
      <c r="B6" s="1" t="s">
        <v>45</v>
      </c>
      <c r="C6" s="1" t="s">
        <v>46</v>
      </c>
      <c r="D6" s="1" t="s">
        <v>62</v>
      </c>
      <c r="E6" s="1" t="s">
        <v>71</v>
      </c>
      <c r="F6" s="1" t="s">
        <v>72</v>
      </c>
      <c r="G6" s="1" t="s">
        <v>50</v>
      </c>
      <c r="H6" s="1" t="s">
        <v>51</v>
      </c>
      <c r="I6" s="1" t="s">
        <v>52</v>
      </c>
      <c r="J6" s="1" t="s">
        <v>73</v>
      </c>
      <c r="K6" s="1" t="s">
        <v>54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113.86</v>
      </c>
      <c r="R6" s="1" t="s">
        <v>59</v>
      </c>
      <c r="S6" s="1" t="s">
        <v>60</v>
      </c>
      <c r="T6" s="6" t="s">
        <v>61</v>
      </c>
      <c r="U6" s="13">
        <v>0.23</v>
      </c>
      <c r="V6" s="12">
        <v>26.19</v>
      </c>
      <c r="W6" s="12">
        <v>0</v>
      </c>
      <c r="X6" s="1" t="s">
        <v>55</v>
      </c>
    </row>
    <row r="7" spans="1:24" x14ac:dyDescent="0.2">
      <c r="A7" s="1" t="s">
        <v>44</v>
      </c>
      <c r="B7" s="1" t="s">
        <v>45</v>
      </c>
      <c r="C7" s="1" t="s">
        <v>46</v>
      </c>
      <c r="D7" s="1" t="s">
        <v>62</v>
      </c>
      <c r="E7" s="1" t="s">
        <v>74</v>
      </c>
      <c r="F7" s="1" t="s">
        <v>75</v>
      </c>
      <c r="G7" s="1" t="s">
        <v>50</v>
      </c>
      <c r="H7" s="1" t="s">
        <v>65</v>
      </c>
      <c r="I7" s="1" t="s">
        <v>52</v>
      </c>
      <c r="J7" s="1" t="s">
        <v>76</v>
      </c>
      <c r="K7" s="1" t="s">
        <v>54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151.24</v>
      </c>
      <c r="R7" s="1" t="s">
        <v>59</v>
      </c>
      <c r="S7" s="1" t="s">
        <v>60</v>
      </c>
      <c r="T7" s="6" t="s">
        <v>61</v>
      </c>
      <c r="U7" s="13">
        <v>0.23</v>
      </c>
      <c r="V7" s="12">
        <v>34.79</v>
      </c>
      <c r="W7" s="12">
        <v>0</v>
      </c>
      <c r="X7" s="1" t="s">
        <v>55</v>
      </c>
    </row>
    <row r="8" spans="1:24" x14ac:dyDescent="0.2">
      <c r="A8" s="1" t="s">
        <v>44</v>
      </c>
      <c r="B8" s="1" t="s">
        <v>45</v>
      </c>
      <c r="C8" s="1" t="s">
        <v>46</v>
      </c>
      <c r="D8" s="1" t="s">
        <v>62</v>
      </c>
      <c r="E8" s="1" t="s">
        <v>77</v>
      </c>
      <c r="F8" s="1" t="s">
        <v>78</v>
      </c>
      <c r="G8" s="1" t="s">
        <v>50</v>
      </c>
      <c r="H8" s="1" t="s">
        <v>79</v>
      </c>
      <c r="I8" s="1" t="s">
        <v>52</v>
      </c>
      <c r="J8" s="1" t="s">
        <v>76</v>
      </c>
      <c r="K8" s="1" t="s">
        <v>54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129.38999999999999</v>
      </c>
      <c r="R8" s="1" t="s">
        <v>59</v>
      </c>
      <c r="S8" s="1" t="s">
        <v>60</v>
      </c>
      <c r="T8" s="6" t="s">
        <v>61</v>
      </c>
      <c r="U8" s="13">
        <v>0.23</v>
      </c>
      <c r="V8" s="12">
        <v>29.76</v>
      </c>
      <c r="W8" s="12">
        <v>0</v>
      </c>
      <c r="X8" s="1" t="s">
        <v>55</v>
      </c>
    </row>
    <row r="9" spans="1:24" x14ac:dyDescent="0.2">
      <c r="A9" s="1" t="s">
        <v>44</v>
      </c>
      <c r="B9" s="1" t="s">
        <v>45</v>
      </c>
      <c r="C9" s="1" t="s">
        <v>46</v>
      </c>
      <c r="D9" s="1" t="s">
        <v>62</v>
      </c>
      <c r="E9" s="1" t="s">
        <v>80</v>
      </c>
      <c r="F9" s="1" t="s">
        <v>81</v>
      </c>
      <c r="G9" s="1" t="s">
        <v>50</v>
      </c>
      <c r="H9" s="1" t="s">
        <v>65</v>
      </c>
      <c r="I9" s="1" t="s">
        <v>52</v>
      </c>
      <c r="J9" s="1" t="s">
        <v>66</v>
      </c>
      <c r="K9" s="1" t="s">
        <v>54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137.34</v>
      </c>
      <c r="R9" s="1" t="s">
        <v>59</v>
      </c>
      <c r="S9" s="1" t="s">
        <v>60</v>
      </c>
      <c r="T9" s="6" t="s">
        <v>61</v>
      </c>
      <c r="U9" s="13">
        <v>0.23</v>
      </c>
      <c r="V9" s="12">
        <v>31.59</v>
      </c>
      <c r="W9" s="12">
        <v>0</v>
      </c>
      <c r="X9" s="1" t="s">
        <v>55</v>
      </c>
    </row>
    <row r="10" spans="1:24" x14ac:dyDescent="0.2">
      <c r="A10" s="1" t="s">
        <v>44</v>
      </c>
      <c r="B10" s="1" t="s">
        <v>45</v>
      </c>
      <c r="C10" s="1" t="s">
        <v>46</v>
      </c>
      <c r="D10" s="1" t="s">
        <v>62</v>
      </c>
      <c r="E10" s="1" t="s">
        <v>82</v>
      </c>
      <c r="F10" s="1" t="s">
        <v>83</v>
      </c>
      <c r="G10" s="1" t="s">
        <v>50</v>
      </c>
      <c r="H10" s="1" t="s">
        <v>65</v>
      </c>
      <c r="I10" s="1" t="s">
        <v>52</v>
      </c>
      <c r="J10" s="1" t="s">
        <v>53</v>
      </c>
      <c r="K10" s="1" t="s">
        <v>54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113.86</v>
      </c>
      <c r="R10" s="1" t="s">
        <v>59</v>
      </c>
      <c r="S10" s="1" t="s">
        <v>60</v>
      </c>
      <c r="T10" s="6" t="s">
        <v>61</v>
      </c>
      <c r="U10" s="13">
        <v>0.23</v>
      </c>
      <c r="V10" s="12">
        <v>0</v>
      </c>
      <c r="W10" s="12">
        <v>-26.19</v>
      </c>
      <c r="X10" s="1" t="s">
        <v>55</v>
      </c>
    </row>
    <row r="11" spans="1:24" x14ac:dyDescent="0.2">
      <c r="A11" s="1" t="s">
        <v>44</v>
      </c>
      <c r="B11" s="1" t="s">
        <v>45</v>
      </c>
      <c r="C11" s="1" t="s">
        <v>46</v>
      </c>
      <c r="D11" s="1" t="s">
        <v>62</v>
      </c>
      <c r="E11" s="1" t="s">
        <v>84</v>
      </c>
      <c r="F11" s="1" t="s">
        <v>85</v>
      </c>
      <c r="G11" s="1" t="s">
        <v>50</v>
      </c>
      <c r="H11" s="1" t="s">
        <v>65</v>
      </c>
      <c r="I11" s="1" t="s">
        <v>52</v>
      </c>
      <c r="J11" s="1" t="s">
        <v>66</v>
      </c>
      <c r="K11" s="1" t="s">
        <v>54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129.38999999999999</v>
      </c>
      <c r="R11" s="1" t="s">
        <v>59</v>
      </c>
      <c r="S11" s="1" t="s">
        <v>60</v>
      </c>
      <c r="T11" s="6" t="s">
        <v>61</v>
      </c>
      <c r="U11" s="13">
        <v>0.23</v>
      </c>
      <c r="V11" s="12">
        <v>29.76</v>
      </c>
      <c r="W11" s="12">
        <v>0</v>
      </c>
      <c r="X11" s="1" t="s">
        <v>55</v>
      </c>
    </row>
    <row r="12" spans="1:24" x14ac:dyDescent="0.2">
      <c r="A12" s="1" t="s">
        <v>44</v>
      </c>
      <c r="B12" s="1" t="s">
        <v>45</v>
      </c>
      <c r="C12" s="1" t="s">
        <v>46</v>
      </c>
      <c r="D12" s="1" t="s">
        <v>62</v>
      </c>
      <c r="E12" s="1" t="s">
        <v>86</v>
      </c>
      <c r="F12" s="1" t="s">
        <v>87</v>
      </c>
      <c r="G12" s="1" t="s">
        <v>50</v>
      </c>
      <c r="H12" s="1" t="s">
        <v>65</v>
      </c>
      <c r="I12" s="1" t="s">
        <v>52</v>
      </c>
      <c r="J12" s="1" t="s">
        <v>66</v>
      </c>
      <c r="K12" s="1" t="s">
        <v>54</v>
      </c>
      <c r="L12" s="11" t="s">
        <v>55</v>
      </c>
      <c r="M12" s="1" t="s">
        <v>56</v>
      </c>
      <c r="N12" s="1" t="s">
        <v>57</v>
      </c>
      <c r="O12" s="1" t="s">
        <v>58</v>
      </c>
      <c r="P12" s="1">
        <v>0</v>
      </c>
      <c r="Q12" s="12">
        <v>128.66999999999999</v>
      </c>
      <c r="R12" s="1" t="s">
        <v>59</v>
      </c>
      <c r="S12" s="1" t="s">
        <v>60</v>
      </c>
      <c r="T12" s="6" t="s">
        <v>61</v>
      </c>
      <c r="U12" s="13">
        <v>0.23</v>
      </c>
      <c r="V12" s="12">
        <v>29.59</v>
      </c>
      <c r="W12" s="12">
        <v>0</v>
      </c>
      <c r="X12" s="1" t="s">
        <v>55</v>
      </c>
    </row>
    <row r="13" spans="1:24" x14ac:dyDescent="0.2">
      <c r="A13" s="1" t="s">
        <v>88</v>
      </c>
      <c r="B13" s="1" t="s">
        <v>45</v>
      </c>
      <c r="C13" s="1" t="s">
        <v>46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79</v>
      </c>
      <c r="I13" s="1" t="s">
        <v>93</v>
      </c>
      <c r="J13" s="1" t="s">
        <v>94</v>
      </c>
      <c r="K13" s="1" t="s">
        <v>95</v>
      </c>
      <c r="L13" s="11" t="s">
        <v>55</v>
      </c>
      <c r="M13" s="1" t="s">
        <v>96</v>
      </c>
      <c r="N13" s="1" t="s">
        <v>97</v>
      </c>
      <c r="O13" s="1" t="s">
        <v>98</v>
      </c>
      <c r="P13" s="1">
        <v>0</v>
      </c>
      <c r="Q13" s="12">
        <v>73.430000000000007</v>
      </c>
      <c r="R13" s="1" t="s">
        <v>99</v>
      </c>
      <c r="S13" s="1" t="s">
        <v>100</v>
      </c>
      <c r="T13" s="6" t="s">
        <v>61</v>
      </c>
      <c r="U13" s="13">
        <v>0.255</v>
      </c>
      <c r="V13" s="12">
        <v>18.72</v>
      </c>
      <c r="W13" s="12">
        <v>0</v>
      </c>
      <c r="X13" s="1" t="s">
        <v>55</v>
      </c>
    </row>
    <row r="14" spans="1:24" x14ac:dyDescent="0.2">
      <c r="A14" s="1" t="s">
        <v>88</v>
      </c>
      <c r="B14" s="1" t="s">
        <v>45</v>
      </c>
      <c r="C14" s="1" t="s">
        <v>46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79</v>
      </c>
      <c r="I14" s="1" t="s">
        <v>93</v>
      </c>
      <c r="J14" s="1" t="s">
        <v>94</v>
      </c>
      <c r="K14" s="1" t="s">
        <v>95</v>
      </c>
      <c r="L14" s="11" t="s">
        <v>55</v>
      </c>
      <c r="M14" s="1" t="s">
        <v>96</v>
      </c>
      <c r="N14" s="1" t="s">
        <v>97</v>
      </c>
      <c r="O14" s="1" t="s">
        <v>98</v>
      </c>
      <c r="P14" s="1">
        <v>0</v>
      </c>
      <c r="Q14" s="12">
        <v>146.86000000000001</v>
      </c>
      <c r="R14" s="1" t="s">
        <v>99</v>
      </c>
      <c r="S14" s="1" t="s">
        <v>100</v>
      </c>
      <c r="T14" s="6" t="s">
        <v>61</v>
      </c>
      <c r="U14" s="13">
        <v>0.255</v>
      </c>
      <c r="V14" s="12">
        <v>37.44</v>
      </c>
      <c r="W14" s="12">
        <v>0</v>
      </c>
      <c r="X14" s="1" t="s">
        <v>55</v>
      </c>
    </row>
    <row r="15" spans="1:24" x14ac:dyDescent="0.2">
      <c r="A15" s="1" t="s">
        <v>88</v>
      </c>
      <c r="B15" s="1" t="s">
        <v>45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92</v>
      </c>
      <c r="H15" s="1" t="s">
        <v>51</v>
      </c>
      <c r="I15" s="1" t="s">
        <v>105</v>
      </c>
      <c r="J15" s="1" t="s">
        <v>106</v>
      </c>
      <c r="K15" s="1" t="s">
        <v>107</v>
      </c>
      <c r="L15" s="11">
        <v>57</v>
      </c>
      <c r="M15" s="1" t="s">
        <v>56</v>
      </c>
      <c r="N15" s="1" t="s">
        <v>57</v>
      </c>
      <c r="O15" s="1" t="s">
        <v>58</v>
      </c>
      <c r="P15" s="1">
        <v>100</v>
      </c>
      <c r="Q15" s="12">
        <v>144.24</v>
      </c>
      <c r="R15" s="1" t="s">
        <v>59</v>
      </c>
      <c r="S15" s="1" t="s">
        <v>108</v>
      </c>
      <c r="T15" s="6" t="s">
        <v>61</v>
      </c>
      <c r="U15" s="13">
        <v>1.35</v>
      </c>
      <c r="V15" s="12">
        <v>0</v>
      </c>
      <c r="W15" s="12">
        <v>-194.72</v>
      </c>
      <c r="X15" s="1" t="s">
        <v>55</v>
      </c>
    </row>
    <row r="16" spans="1:24" x14ac:dyDescent="0.2">
      <c r="A16" s="1" t="s">
        <v>88</v>
      </c>
      <c r="B16" s="1" t="s">
        <v>45</v>
      </c>
      <c r="C16" s="1" t="s">
        <v>101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51</v>
      </c>
      <c r="I16" s="1" t="s">
        <v>105</v>
      </c>
      <c r="J16" s="1" t="s">
        <v>113</v>
      </c>
      <c r="K16" s="1" t="s">
        <v>114</v>
      </c>
      <c r="L16" s="11">
        <v>58</v>
      </c>
      <c r="M16" s="1" t="s">
        <v>56</v>
      </c>
      <c r="N16" s="1" t="s">
        <v>57</v>
      </c>
      <c r="O16" s="1" t="s">
        <v>58</v>
      </c>
      <c r="P16" s="1">
        <v>100</v>
      </c>
      <c r="Q16" s="12">
        <v>153.03</v>
      </c>
      <c r="R16" s="1" t="s">
        <v>59</v>
      </c>
      <c r="S16" s="1" t="s">
        <v>108</v>
      </c>
      <c r="T16" s="6" t="s">
        <v>61</v>
      </c>
      <c r="U16" s="13">
        <v>0.67500000000000004</v>
      </c>
      <c r="V16" s="12">
        <v>0</v>
      </c>
      <c r="W16" s="12">
        <v>-103.3</v>
      </c>
      <c r="X16" s="1" t="s">
        <v>55</v>
      </c>
    </row>
    <row r="17" spans="1:24" x14ac:dyDescent="0.2">
      <c r="A17" s="1" t="s">
        <v>88</v>
      </c>
      <c r="B17" s="1" t="s">
        <v>45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92</v>
      </c>
      <c r="H17" s="1" t="s">
        <v>79</v>
      </c>
      <c r="I17" s="1" t="s">
        <v>105</v>
      </c>
      <c r="J17" s="1" t="s">
        <v>106</v>
      </c>
      <c r="K17" s="1" t="s">
        <v>107</v>
      </c>
      <c r="L17" s="11">
        <v>57</v>
      </c>
      <c r="M17" s="1" t="s">
        <v>56</v>
      </c>
      <c r="N17" s="1" t="s">
        <v>57</v>
      </c>
      <c r="O17" s="1" t="s">
        <v>58</v>
      </c>
      <c r="P17" s="1">
        <v>100</v>
      </c>
      <c r="Q17" s="12">
        <v>144.24</v>
      </c>
      <c r="R17" s="1" t="s">
        <v>59</v>
      </c>
      <c r="S17" s="1" t="s">
        <v>60</v>
      </c>
      <c r="T17" s="6" t="s">
        <v>61</v>
      </c>
      <c r="U17" s="13">
        <v>1.35</v>
      </c>
      <c r="V17" s="12">
        <v>0</v>
      </c>
      <c r="W17" s="12">
        <v>-194.72</v>
      </c>
      <c r="X17" s="1" t="s">
        <v>55</v>
      </c>
    </row>
    <row r="18" spans="1:24" x14ac:dyDescent="0.2">
      <c r="A18" s="1" t="s">
        <v>88</v>
      </c>
      <c r="B18" s="1" t="s">
        <v>45</v>
      </c>
      <c r="C18" s="1" t="s">
        <v>101</v>
      </c>
      <c r="D18" s="1" t="s">
        <v>115</v>
      </c>
      <c r="E18" s="1" t="s">
        <v>116</v>
      </c>
      <c r="F18" s="1" t="s">
        <v>117</v>
      </c>
      <c r="G18" s="1" t="s">
        <v>118</v>
      </c>
      <c r="H18" s="1" t="s">
        <v>65</v>
      </c>
      <c r="I18" s="1" t="s">
        <v>119</v>
      </c>
      <c r="J18" s="1" t="s">
        <v>120</v>
      </c>
      <c r="K18" s="1" t="s">
        <v>121</v>
      </c>
      <c r="L18" s="11">
        <v>66</v>
      </c>
      <c r="M18" s="1" t="s">
        <v>56</v>
      </c>
      <c r="N18" s="1" t="s">
        <v>57</v>
      </c>
      <c r="O18" s="1" t="s">
        <v>58</v>
      </c>
      <c r="P18" s="1">
        <v>5</v>
      </c>
      <c r="Q18" s="12">
        <v>-31.53</v>
      </c>
      <c r="R18" s="1" t="s">
        <v>59</v>
      </c>
      <c r="S18" s="1" t="s">
        <v>122</v>
      </c>
      <c r="T18" s="6" t="s">
        <v>61</v>
      </c>
      <c r="U18" s="13">
        <v>1.35</v>
      </c>
      <c r="V18" s="12">
        <v>0</v>
      </c>
      <c r="W18" s="12">
        <v>42.57</v>
      </c>
      <c r="X18" s="1" t="s">
        <v>55</v>
      </c>
    </row>
    <row r="19" spans="1:24" x14ac:dyDescent="0.2">
      <c r="A19" s="1" t="s">
        <v>88</v>
      </c>
      <c r="B19" s="1" t="s">
        <v>45</v>
      </c>
      <c r="C19" s="1" t="s">
        <v>101</v>
      </c>
      <c r="D19" s="1" t="s">
        <v>123</v>
      </c>
      <c r="E19" s="1" t="s">
        <v>124</v>
      </c>
      <c r="F19" s="1" t="s">
        <v>125</v>
      </c>
      <c r="G19" s="1" t="s">
        <v>50</v>
      </c>
      <c r="H19" s="1" t="s">
        <v>65</v>
      </c>
      <c r="I19" s="1" t="s">
        <v>105</v>
      </c>
      <c r="J19" s="1" t="s">
        <v>126</v>
      </c>
      <c r="K19" s="1" t="s">
        <v>126</v>
      </c>
      <c r="L19" s="11">
        <v>67</v>
      </c>
      <c r="M19" s="1" t="s">
        <v>56</v>
      </c>
      <c r="N19" s="1" t="s">
        <v>57</v>
      </c>
      <c r="O19" s="1" t="s">
        <v>58</v>
      </c>
      <c r="P19" s="1">
        <v>75</v>
      </c>
      <c r="Q19" s="12">
        <v>2322.54</v>
      </c>
      <c r="R19" s="1" t="s">
        <v>59</v>
      </c>
      <c r="S19" s="1" t="s">
        <v>127</v>
      </c>
      <c r="T19" s="6" t="s">
        <v>61</v>
      </c>
      <c r="U19" s="13">
        <v>0.67500000000000004</v>
      </c>
      <c r="V19" s="12">
        <v>1567.71</v>
      </c>
      <c r="W19" s="12">
        <v>1567.71</v>
      </c>
      <c r="X19" s="1" t="s">
        <v>55</v>
      </c>
    </row>
    <row r="20" spans="1:24" x14ac:dyDescent="0.2">
      <c r="A20" s="1" t="s">
        <v>88</v>
      </c>
      <c r="B20" s="1" t="s">
        <v>45</v>
      </c>
      <c r="C20" s="1" t="s">
        <v>101</v>
      </c>
      <c r="D20" s="1" t="s">
        <v>123</v>
      </c>
      <c r="E20" s="1" t="s">
        <v>128</v>
      </c>
      <c r="F20" s="1" t="s">
        <v>129</v>
      </c>
      <c r="G20" s="1" t="s">
        <v>130</v>
      </c>
      <c r="H20" s="1" t="s">
        <v>131</v>
      </c>
      <c r="I20" s="1" t="s">
        <v>105</v>
      </c>
      <c r="J20" s="1" t="s">
        <v>132</v>
      </c>
      <c r="K20" s="1" t="s">
        <v>133</v>
      </c>
      <c r="L20" s="11">
        <v>64</v>
      </c>
      <c r="M20" s="1" t="s">
        <v>56</v>
      </c>
      <c r="N20" s="1" t="s">
        <v>57</v>
      </c>
      <c r="O20" s="1" t="s">
        <v>58</v>
      </c>
      <c r="P20" s="1">
        <v>100</v>
      </c>
      <c r="Q20" s="12">
        <v>234.36</v>
      </c>
      <c r="R20" s="1" t="s">
        <v>59</v>
      </c>
      <c r="S20" s="1" t="s">
        <v>60</v>
      </c>
      <c r="T20" s="6" t="s">
        <v>61</v>
      </c>
      <c r="U20" s="13">
        <v>0.67500000000000004</v>
      </c>
      <c r="V20" s="12">
        <v>0</v>
      </c>
      <c r="W20" s="12">
        <v>-158.19</v>
      </c>
      <c r="X20" s="1" t="s">
        <v>55</v>
      </c>
    </row>
    <row r="21" spans="1:24" x14ac:dyDescent="0.2">
      <c r="A21" s="1" t="s">
        <v>88</v>
      </c>
      <c r="B21" s="1" t="s">
        <v>45</v>
      </c>
      <c r="C21" s="1" t="s">
        <v>101</v>
      </c>
      <c r="D21" s="1" t="s">
        <v>134</v>
      </c>
      <c r="E21" s="1" t="s">
        <v>135</v>
      </c>
      <c r="F21" s="1" t="s">
        <v>136</v>
      </c>
      <c r="G21" s="1" t="s">
        <v>137</v>
      </c>
      <c r="H21" s="1" t="s">
        <v>131</v>
      </c>
      <c r="I21" s="1" t="s">
        <v>119</v>
      </c>
      <c r="J21" s="1" t="s">
        <v>138</v>
      </c>
      <c r="K21" s="1" t="s">
        <v>139</v>
      </c>
      <c r="L21" s="11">
        <v>63</v>
      </c>
      <c r="M21" s="1" t="s">
        <v>56</v>
      </c>
      <c r="N21" s="1" t="s">
        <v>57</v>
      </c>
      <c r="O21" s="1" t="s">
        <v>58</v>
      </c>
      <c r="P21" s="1">
        <v>20</v>
      </c>
      <c r="Q21" s="12">
        <v>78.680000000000007</v>
      </c>
      <c r="R21" s="1" t="s">
        <v>59</v>
      </c>
      <c r="S21" s="1" t="s">
        <v>60</v>
      </c>
      <c r="T21" s="6" t="s">
        <v>61</v>
      </c>
      <c r="U21" s="13">
        <v>1.35</v>
      </c>
      <c r="V21" s="12">
        <v>0</v>
      </c>
      <c r="W21" s="12">
        <v>-106.22</v>
      </c>
      <c r="X21" s="1" t="s">
        <v>55</v>
      </c>
    </row>
    <row r="22" spans="1:24" x14ac:dyDescent="0.2">
      <c r="A22" s="1" t="s">
        <v>88</v>
      </c>
      <c r="B22" s="1" t="s">
        <v>45</v>
      </c>
      <c r="C22" s="1" t="s">
        <v>101</v>
      </c>
      <c r="D22" s="1" t="s">
        <v>140</v>
      </c>
      <c r="E22" s="1" t="s">
        <v>141</v>
      </c>
      <c r="F22" s="1" t="s">
        <v>142</v>
      </c>
      <c r="G22" s="1" t="s">
        <v>130</v>
      </c>
      <c r="H22" s="1" t="s">
        <v>65</v>
      </c>
      <c r="I22" s="1" t="s">
        <v>105</v>
      </c>
      <c r="J22" s="1" t="s">
        <v>143</v>
      </c>
      <c r="K22" s="1" t="s">
        <v>143</v>
      </c>
      <c r="L22" s="11">
        <v>55</v>
      </c>
      <c r="M22" s="1" t="s">
        <v>56</v>
      </c>
      <c r="N22" s="1" t="s">
        <v>57</v>
      </c>
      <c r="O22" s="1" t="s">
        <v>58</v>
      </c>
      <c r="P22" s="1">
        <v>80</v>
      </c>
      <c r="Q22" s="12">
        <v>941.49</v>
      </c>
      <c r="R22" s="1" t="s">
        <v>59</v>
      </c>
      <c r="S22" s="1" t="s">
        <v>127</v>
      </c>
      <c r="T22" s="6" t="s">
        <v>61</v>
      </c>
      <c r="U22" s="13">
        <v>0.67500000000000004</v>
      </c>
      <c r="V22" s="12">
        <v>635.51</v>
      </c>
      <c r="W22" s="12">
        <v>635.51</v>
      </c>
      <c r="X22" s="1" t="s">
        <v>55</v>
      </c>
    </row>
    <row r="23" spans="1:24" x14ac:dyDescent="0.2">
      <c r="A23" s="1" t="s">
        <v>88</v>
      </c>
      <c r="B23" s="1" t="s">
        <v>45</v>
      </c>
      <c r="C23" s="1" t="s">
        <v>101</v>
      </c>
      <c r="D23" s="1" t="s">
        <v>140</v>
      </c>
      <c r="E23" s="1" t="s">
        <v>144</v>
      </c>
      <c r="F23" s="1" t="s">
        <v>145</v>
      </c>
      <c r="G23" s="1" t="s">
        <v>50</v>
      </c>
      <c r="H23" s="1" t="s">
        <v>51</v>
      </c>
      <c r="I23" s="1" t="s">
        <v>105</v>
      </c>
      <c r="J23" s="1" t="s">
        <v>143</v>
      </c>
      <c r="K23" s="1" t="s">
        <v>143</v>
      </c>
      <c r="L23" s="11">
        <v>64</v>
      </c>
      <c r="M23" s="1" t="s">
        <v>56</v>
      </c>
      <c r="N23" s="1" t="s">
        <v>57</v>
      </c>
      <c r="O23" s="1" t="s">
        <v>58</v>
      </c>
      <c r="P23" s="1">
        <v>100</v>
      </c>
      <c r="Q23" s="12">
        <v>2947.86</v>
      </c>
      <c r="R23" s="1" t="s">
        <v>59</v>
      </c>
      <c r="S23" s="1" t="s">
        <v>127</v>
      </c>
      <c r="T23" s="6" t="s">
        <v>61</v>
      </c>
      <c r="U23" s="13">
        <v>0.67500000000000004</v>
      </c>
      <c r="V23" s="12">
        <v>1989.81</v>
      </c>
      <c r="W23" s="12">
        <v>1989.81</v>
      </c>
      <c r="X23" s="1" t="s">
        <v>55</v>
      </c>
    </row>
    <row r="24" spans="1:24" x14ac:dyDescent="0.2">
      <c r="A24" s="1" t="s">
        <v>88</v>
      </c>
      <c r="B24" s="1" t="s">
        <v>45</v>
      </c>
      <c r="C24" s="1" t="s">
        <v>101</v>
      </c>
      <c r="D24" s="1" t="s">
        <v>140</v>
      </c>
      <c r="E24" s="1" t="s">
        <v>146</v>
      </c>
      <c r="F24" s="1" t="s">
        <v>147</v>
      </c>
      <c r="G24" s="1" t="s">
        <v>148</v>
      </c>
      <c r="H24" s="1" t="s">
        <v>51</v>
      </c>
      <c r="I24" s="1" t="s">
        <v>149</v>
      </c>
      <c r="J24" s="1" t="s">
        <v>65</v>
      </c>
      <c r="K24" s="1" t="s">
        <v>150</v>
      </c>
      <c r="L24" s="11">
        <v>62</v>
      </c>
      <c r="M24" s="1" t="s">
        <v>56</v>
      </c>
      <c r="N24" s="1" t="s">
        <v>57</v>
      </c>
      <c r="O24" s="1" t="s">
        <v>58</v>
      </c>
      <c r="P24" s="1">
        <v>25</v>
      </c>
      <c r="Q24" s="12">
        <v>87.87</v>
      </c>
      <c r="R24" s="1" t="s">
        <v>59</v>
      </c>
      <c r="S24" s="1" t="s">
        <v>108</v>
      </c>
      <c r="T24" s="6" t="s">
        <v>61</v>
      </c>
      <c r="U24" s="13">
        <v>1.5</v>
      </c>
      <c r="V24" s="12">
        <v>0</v>
      </c>
      <c r="W24" s="12">
        <v>-131.81</v>
      </c>
      <c r="X24" s="1" t="s">
        <v>55</v>
      </c>
    </row>
    <row r="25" spans="1:24" x14ac:dyDescent="0.2">
      <c r="A25" s="1" t="s">
        <v>88</v>
      </c>
      <c r="B25" s="1" t="s">
        <v>45</v>
      </c>
      <c r="C25" s="1" t="s">
        <v>101</v>
      </c>
      <c r="D25" s="1" t="s">
        <v>140</v>
      </c>
      <c r="E25" s="1" t="s">
        <v>151</v>
      </c>
      <c r="F25" s="1" t="s">
        <v>152</v>
      </c>
      <c r="G25" s="1" t="s">
        <v>153</v>
      </c>
      <c r="H25" s="1" t="s">
        <v>51</v>
      </c>
      <c r="I25" s="1" t="s">
        <v>154</v>
      </c>
      <c r="J25" s="1" t="s">
        <v>65</v>
      </c>
      <c r="K25" s="1" t="s">
        <v>150</v>
      </c>
      <c r="L25" s="11">
        <v>25</v>
      </c>
      <c r="M25" s="1" t="s">
        <v>56</v>
      </c>
      <c r="N25" s="1" t="s">
        <v>57</v>
      </c>
      <c r="O25" s="1" t="s">
        <v>58</v>
      </c>
      <c r="P25" s="1">
        <v>300</v>
      </c>
      <c r="Q25" s="12">
        <v>62.57</v>
      </c>
      <c r="R25" s="1" t="s">
        <v>59</v>
      </c>
      <c r="S25" s="1" t="s">
        <v>108</v>
      </c>
      <c r="T25" s="6" t="s">
        <v>61</v>
      </c>
      <c r="U25" s="13">
        <v>1.5</v>
      </c>
      <c r="V25" s="12">
        <v>0</v>
      </c>
      <c r="W25" s="12">
        <v>-93.86</v>
      </c>
      <c r="X25" s="1" t="s">
        <v>55</v>
      </c>
    </row>
    <row r="26" spans="1:24" x14ac:dyDescent="0.2">
      <c r="A26" s="1" t="s">
        <v>88</v>
      </c>
      <c r="B26" s="1" t="s">
        <v>45</v>
      </c>
      <c r="C26" s="1" t="s">
        <v>101</v>
      </c>
      <c r="D26" s="1" t="s">
        <v>123</v>
      </c>
      <c r="E26" s="1" t="s">
        <v>155</v>
      </c>
      <c r="F26" s="1" t="s">
        <v>156</v>
      </c>
      <c r="G26" s="1" t="s">
        <v>157</v>
      </c>
      <c r="H26" s="1" t="s">
        <v>131</v>
      </c>
      <c r="I26" s="1" t="s">
        <v>149</v>
      </c>
      <c r="J26" s="1" t="s">
        <v>158</v>
      </c>
      <c r="K26" s="1" t="s">
        <v>54</v>
      </c>
      <c r="L26" s="11">
        <v>59</v>
      </c>
      <c r="M26" s="1" t="s">
        <v>56</v>
      </c>
      <c r="N26" s="1" t="s">
        <v>57</v>
      </c>
      <c r="O26" s="1" t="s">
        <v>58</v>
      </c>
      <c r="P26" s="1">
        <v>110</v>
      </c>
      <c r="Q26" s="12">
        <v>0</v>
      </c>
      <c r="R26" s="1" t="s">
        <v>59</v>
      </c>
      <c r="S26" s="1" t="s">
        <v>159</v>
      </c>
      <c r="T26" s="6" t="s">
        <v>61</v>
      </c>
      <c r="U26" s="13">
        <v>0</v>
      </c>
      <c r="V26" s="12">
        <v>-404.28</v>
      </c>
      <c r="W26" s="12">
        <v>-404.28</v>
      </c>
      <c r="X26" s="1" t="s">
        <v>55</v>
      </c>
    </row>
    <row r="27" spans="1:24" x14ac:dyDescent="0.2">
      <c r="A27" s="1" t="s">
        <v>88</v>
      </c>
      <c r="B27" s="1" t="s">
        <v>45</v>
      </c>
      <c r="C27" s="1" t="s">
        <v>101</v>
      </c>
      <c r="D27" s="1" t="s">
        <v>123</v>
      </c>
      <c r="E27" s="1" t="s">
        <v>160</v>
      </c>
      <c r="F27" s="1" t="s">
        <v>161</v>
      </c>
      <c r="G27" s="1" t="s">
        <v>157</v>
      </c>
      <c r="H27" s="1" t="s">
        <v>51</v>
      </c>
      <c r="I27" s="1" t="s">
        <v>149</v>
      </c>
      <c r="J27" s="1" t="s">
        <v>158</v>
      </c>
      <c r="K27" s="1" t="s">
        <v>54</v>
      </c>
      <c r="L27" s="11">
        <v>59</v>
      </c>
      <c r="M27" s="1" t="s">
        <v>56</v>
      </c>
      <c r="N27" s="1" t="s">
        <v>57</v>
      </c>
      <c r="O27" s="1" t="s">
        <v>58</v>
      </c>
      <c r="P27" s="1">
        <v>110</v>
      </c>
      <c r="Q27" s="12">
        <v>0</v>
      </c>
      <c r="R27" s="1" t="s">
        <v>59</v>
      </c>
      <c r="S27" s="1" t="s">
        <v>159</v>
      </c>
      <c r="T27" s="6" t="s">
        <v>61</v>
      </c>
      <c r="U27" s="13">
        <v>0</v>
      </c>
      <c r="V27" s="12">
        <v>-998.25</v>
      </c>
      <c r="W27" s="12">
        <v>-998.25</v>
      </c>
      <c r="X27" s="1" t="s">
        <v>55</v>
      </c>
    </row>
    <row r="28" spans="1:24" x14ac:dyDescent="0.2">
      <c r="A28" s="1" t="s">
        <v>88</v>
      </c>
      <c r="B28" s="1" t="s">
        <v>45</v>
      </c>
      <c r="C28" s="1" t="s">
        <v>162</v>
      </c>
      <c r="D28" s="1" t="s">
        <v>163</v>
      </c>
      <c r="E28" s="1" t="s">
        <v>164</v>
      </c>
      <c r="F28" s="1" t="s">
        <v>165</v>
      </c>
      <c r="G28" s="1" t="s">
        <v>92</v>
      </c>
      <c r="H28" s="1" t="s">
        <v>65</v>
      </c>
      <c r="I28" s="1" t="s">
        <v>119</v>
      </c>
      <c r="J28" s="1" t="s">
        <v>166</v>
      </c>
      <c r="K28" s="1" t="s">
        <v>167</v>
      </c>
      <c r="L28" s="11">
        <v>60</v>
      </c>
      <c r="M28" s="1" t="s">
        <v>96</v>
      </c>
      <c r="N28" s="1" t="s">
        <v>97</v>
      </c>
      <c r="O28" s="1" t="s">
        <v>98</v>
      </c>
      <c r="P28" s="1">
        <v>30</v>
      </c>
      <c r="Q28" s="12">
        <v>284.88</v>
      </c>
      <c r="R28" s="1" t="s">
        <v>99</v>
      </c>
      <c r="S28" s="1" t="s">
        <v>100</v>
      </c>
      <c r="T28" s="6" t="s">
        <v>61</v>
      </c>
      <c r="U28" s="13">
        <v>7.0000000000000007E-2</v>
      </c>
      <c r="V28" s="12">
        <v>19.940000000000001</v>
      </c>
      <c r="W28" s="12">
        <v>0</v>
      </c>
      <c r="X28" s="1" t="s">
        <v>55</v>
      </c>
    </row>
    <row r="29" spans="1:24" x14ac:dyDescent="0.2">
      <c r="A29" s="1" t="s">
        <v>88</v>
      </c>
      <c r="B29" s="1" t="s">
        <v>45</v>
      </c>
      <c r="C29" s="1" t="s">
        <v>162</v>
      </c>
      <c r="D29" s="1" t="s">
        <v>168</v>
      </c>
      <c r="E29" s="1" t="s">
        <v>169</v>
      </c>
      <c r="F29" s="1" t="s">
        <v>170</v>
      </c>
      <c r="G29" s="1" t="s">
        <v>50</v>
      </c>
      <c r="H29" s="1" t="s">
        <v>65</v>
      </c>
      <c r="I29" s="1" t="s">
        <v>119</v>
      </c>
      <c r="J29" s="1" t="s">
        <v>171</v>
      </c>
      <c r="K29" s="1" t="s">
        <v>114</v>
      </c>
      <c r="L29" s="11">
        <v>66</v>
      </c>
      <c r="M29" s="1" t="s">
        <v>56</v>
      </c>
      <c r="N29" s="1" t="s">
        <v>57</v>
      </c>
      <c r="O29" s="1" t="s">
        <v>58</v>
      </c>
      <c r="P29" s="1">
        <v>12</v>
      </c>
      <c r="Q29" s="12">
        <v>71.62</v>
      </c>
      <c r="R29" s="1" t="s">
        <v>59</v>
      </c>
      <c r="S29" s="1" t="s">
        <v>60</v>
      </c>
      <c r="T29" s="6" t="s">
        <v>61</v>
      </c>
      <c r="U29" s="13">
        <v>1.35</v>
      </c>
      <c r="V29" s="12">
        <v>96.69</v>
      </c>
      <c r="W29" s="12">
        <v>0</v>
      </c>
      <c r="X29" s="1" t="s">
        <v>55</v>
      </c>
    </row>
    <row r="30" spans="1:24" x14ac:dyDescent="0.2">
      <c r="A30" s="1" t="s">
        <v>88</v>
      </c>
      <c r="B30" s="1" t="s">
        <v>45</v>
      </c>
      <c r="C30" s="1" t="s">
        <v>162</v>
      </c>
      <c r="D30" s="1" t="s">
        <v>109</v>
      </c>
      <c r="E30" s="1" t="s">
        <v>172</v>
      </c>
      <c r="F30" s="1" t="s">
        <v>173</v>
      </c>
      <c r="G30" s="1" t="s">
        <v>130</v>
      </c>
      <c r="H30" s="1" t="s">
        <v>65</v>
      </c>
      <c r="I30" s="1" t="s">
        <v>105</v>
      </c>
      <c r="J30" s="1" t="s">
        <v>174</v>
      </c>
      <c r="K30" s="1" t="s">
        <v>150</v>
      </c>
      <c r="L30" s="11">
        <v>63</v>
      </c>
      <c r="M30" s="1" t="s">
        <v>56</v>
      </c>
      <c r="N30" s="1" t="s">
        <v>57</v>
      </c>
      <c r="O30" s="1" t="s">
        <v>58</v>
      </c>
      <c r="P30" s="1">
        <v>82</v>
      </c>
      <c r="Q30" s="12">
        <v>180</v>
      </c>
      <c r="R30" s="1" t="s">
        <v>59</v>
      </c>
      <c r="S30" s="1" t="s">
        <v>60</v>
      </c>
      <c r="T30" s="6" t="s">
        <v>61</v>
      </c>
      <c r="U30" s="13">
        <v>0.67500000000000004</v>
      </c>
      <c r="V30" s="12">
        <v>121.5</v>
      </c>
      <c r="W30" s="12">
        <v>0</v>
      </c>
      <c r="X30" s="1" t="s">
        <v>55</v>
      </c>
    </row>
    <row r="31" spans="1:24" x14ac:dyDescent="0.2">
      <c r="A31" s="1" t="s">
        <v>88</v>
      </c>
      <c r="B31" s="1" t="s">
        <v>45</v>
      </c>
      <c r="C31" s="1" t="s">
        <v>162</v>
      </c>
      <c r="D31" s="1" t="s">
        <v>168</v>
      </c>
      <c r="E31" s="1" t="s">
        <v>175</v>
      </c>
      <c r="F31" s="1" t="s">
        <v>176</v>
      </c>
      <c r="G31" s="1" t="s">
        <v>50</v>
      </c>
      <c r="H31" s="1" t="s">
        <v>65</v>
      </c>
      <c r="I31" s="1" t="s">
        <v>119</v>
      </c>
      <c r="J31" s="1" t="s">
        <v>177</v>
      </c>
      <c r="K31" s="1" t="s">
        <v>178</v>
      </c>
      <c r="L31" s="11">
        <v>71</v>
      </c>
      <c r="M31" s="1" t="s">
        <v>56</v>
      </c>
      <c r="N31" s="1" t="s">
        <v>57</v>
      </c>
      <c r="O31" s="1" t="s">
        <v>58</v>
      </c>
      <c r="P31" s="1">
        <v>12</v>
      </c>
      <c r="Q31" s="12">
        <v>137.37</v>
      </c>
      <c r="R31" s="1" t="s">
        <v>59</v>
      </c>
      <c r="S31" s="1" t="s">
        <v>60</v>
      </c>
      <c r="T31" s="6" t="s">
        <v>61</v>
      </c>
      <c r="U31" s="13">
        <v>1.35</v>
      </c>
      <c r="V31" s="12">
        <v>185.45</v>
      </c>
      <c r="W31" s="12">
        <v>0</v>
      </c>
      <c r="X31" s="1" t="s">
        <v>55</v>
      </c>
    </row>
    <row r="32" spans="1:24" x14ac:dyDescent="0.2">
      <c r="A32" s="1" t="s">
        <v>88</v>
      </c>
      <c r="B32" s="1" t="s">
        <v>45</v>
      </c>
      <c r="C32" s="1" t="s">
        <v>162</v>
      </c>
      <c r="D32" s="1" t="s">
        <v>179</v>
      </c>
      <c r="E32" s="1" t="s">
        <v>180</v>
      </c>
      <c r="F32" s="1" t="s">
        <v>181</v>
      </c>
      <c r="G32" s="1" t="s">
        <v>92</v>
      </c>
      <c r="H32" s="1" t="s">
        <v>51</v>
      </c>
      <c r="I32" s="1" t="s">
        <v>119</v>
      </c>
      <c r="J32" s="1" t="s">
        <v>182</v>
      </c>
      <c r="K32" s="1" t="s">
        <v>183</v>
      </c>
      <c r="L32" s="11">
        <v>63</v>
      </c>
      <c r="M32" s="1" t="s">
        <v>56</v>
      </c>
      <c r="N32" s="1" t="s">
        <v>57</v>
      </c>
      <c r="O32" s="1" t="s">
        <v>58</v>
      </c>
      <c r="P32" s="1">
        <v>10</v>
      </c>
      <c r="Q32" s="12">
        <v>52.07</v>
      </c>
      <c r="R32" s="1" t="s">
        <v>99</v>
      </c>
      <c r="S32" s="1" t="s">
        <v>100</v>
      </c>
      <c r="T32" s="6" t="s">
        <v>61</v>
      </c>
      <c r="U32" s="13">
        <v>2.5000000000000001E-2</v>
      </c>
      <c r="V32" s="12">
        <v>1.3</v>
      </c>
      <c r="W32" s="12">
        <v>0</v>
      </c>
      <c r="X32" s="1" t="s">
        <v>55</v>
      </c>
    </row>
    <row r="33" spans="1:24" x14ac:dyDescent="0.2">
      <c r="A33" s="1" t="s">
        <v>88</v>
      </c>
      <c r="B33" s="1" t="s">
        <v>45</v>
      </c>
      <c r="C33" s="1" t="s">
        <v>162</v>
      </c>
      <c r="D33" s="1" t="s">
        <v>123</v>
      </c>
      <c r="E33" s="1" t="s">
        <v>184</v>
      </c>
      <c r="F33" s="1" t="s">
        <v>185</v>
      </c>
      <c r="G33" s="1" t="s">
        <v>50</v>
      </c>
      <c r="H33" s="1" t="s">
        <v>51</v>
      </c>
      <c r="I33" s="1" t="s">
        <v>105</v>
      </c>
      <c r="J33" s="1" t="s">
        <v>186</v>
      </c>
      <c r="K33" s="1" t="s">
        <v>150</v>
      </c>
      <c r="L33" s="11">
        <v>68</v>
      </c>
      <c r="M33" s="1" t="s">
        <v>56</v>
      </c>
      <c r="N33" s="1" t="s">
        <v>57</v>
      </c>
      <c r="O33" s="1" t="s">
        <v>58</v>
      </c>
      <c r="P33" s="1">
        <v>75</v>
      </c>
      <c r="Q33" s="12">
        <v>225.39</v>
      </c>
      <c r="R33" s="1" t="s">
        <v>59</v>
      </c>
      <c r="S33" s="1" t="s">
        <v>60</v>
      </c>
      <c r="T33" s="6" t="s">
        <v>61</v>
      </c>
      <c r="U33" s="13">
        <v>1.35</v>
      </c>
      <c r="V33" s="12">
        <v>129.96</v>
      </c>
      <c r="W33" s="12">
        <v>-174.32</v>
      </c>
      <c r="X33" s="1" t="s">
        <v>55</v>
      </c>
    </row>
    <row r="34" spans="1:24" x14ac:dyDescent="0.2">
      <c r="A34" s="1" t="s">
        <v>187</v>
      </c>
      <c r="B34" s="1" t="s">
        <v>45</v>
      </c>
      <c r="C34" s="1" t="s">
        <v>101</v>
      </c>
      <c r="D34" s="1" t="s">
        <v>188</v>
      </c>
      <c r="E34" s="1" t="s">
        <v>189</v>
      </c>
      <c r="F34" s="1" t="s">
        <v>190</v>
      </c>
      <c r="G34" s="1" t="s">
        <v>50</v>
      </c>
      <c r="H34" s="1" t="s">
        <v>79</v>
      </c>
      <c r="I34" s="1" t="s">
        <v>191</v>
      </c>
      <c r="J34" s="1" t="s">
        <v>54</v>
      </c>
      <c r="K34" s="1" t="s">
        <v>192</v>
      </c>
      <c r="L34" s="11" t="s">
        <v>55</v>
      </c>
      <c r="M34" s="1" t="s">
        <v>56</v>
      </c>
      <c r="N34" s="1" t="s">
        <v>57</v>
      </c>
      <c r="O34" s="1" t="s">
        <v>58</v>
      </c>
      <c r="P34" s="1">
        <v>0</v>
      </c>
      <c r="Q34" s="12">
        <v>36.08</v>
      </c>
      <c r="R34" s="1" t="s">
        <v>59</v>
      </c>
      <c r="S34" s="1" t="s">
        <v>193</v>
      </c>
      <c r="T34" s="6" t="s">
        <v>61</v>
      </c>
      <c r="U34" s="13">
        <v>0.52</v>
      </c>
      <c r="V34" s="12">
        <v>18.760000000000002</v>
      </c>
      <c r="W34" s="12">
        <v>0</v>
      </c>
      <c r="X34" s="1" t="s">
        <v>55</v>
      </c>
    </row>
    <row r="35" spans="1:24" x14ac:dyDescent="0.2">
      <c r="A35" s="1" t="s">
        <v>187</v>
      </c>
      <c r="B35" s="1" t="s">
        <v>45</v>
      </c>
      <c r="C35" s="1" t="s">
        <v>101</v>
      </c>
      <c r="D35" s="1" t="s">
        <v>47</v>
      </c>
      <c r="E35" s="1" t="s">
        <v>194</v>
      </c>
      <c r="F35" s="1" t="s">
        <v>195</v>
      </c>
      <c r="G35" s="1" t="s">
        <v>50</v>
      </c>
      <c r="H35" s="1" t="s">
        <v>131</v>
      </c>
      <c r="I35" s="1" t="s">
        <v>191</v>
      </c>
      <c r="J35" s="1" t="s">
        <v>196</v>
      </c>
      <c r="K35" s="1" t="s">
        <v>197</v>
      </c>
      <c r="L35" s="11" t="s">
        <v>55</v>
      </c>
      <c r="M35" s="1" t="s">
        <v>96</v>
      </c>
      <c r="N35" s="1" t="s">
        <v>97</v>
      </c>
      <c r="O35" s="1" t="s">
        <v>58</v>
      </c>
      <c r="P35" s="1">
        <v>0</v>
      </c>
      <c r="Q35" s="12">
        <v>38.08</v>
      </c>
      <c r="R35" s="1" t="s">
        <v>59</v>
      </c>
      <c r="S35" s="1" t="s">
        <v>60</v>
      </c>
      <c r="T35" s="6" t="s">
        <v>61</v>
      </c>
      <c r="U35" s="13">
        <v>0.52</v>
      </c>
      <c r="V35" s="12">
        <v>19.8</v>
      </c>
      <c r="W35" s="12">
        <v>0</v>
      </c>
      <c r="X35" s="1" t="s">
        <v>55</v>
      </c>
    </row>
    <row r="36" spans="1:24" x14ac:dyDescent="0.2">
      <c r="A36" s="1" t="s">
        <v>187</v>
      </c>
      <c r="B36" s="1" t="s">
        <v>45</v>
      </c>
      <c r="C36" s="1" t="s">
        <v>46</v>
      </c>
      <c r="D36" s="1" t="s">
        <v>188</v>
      </c>
      <c r="E36" s="1" t="s">
        <v>198</v>
      </c>
      <c r="F36" s="1" t="s">
        <v>199</v>
      </c>
      <c r="G36" s="1" t="s">
        <v>50</v>
      </c>
      <c r="H36" s="1" t="s">
        <v>79</v>
      </c>
      <c r="I36" s="1" t="s">
        <v>200</v>
      </c>
      <c r="J36" s="1" t="s">
        <v>201</v>
      </c>
      <c r="K36" s="1" t="s">
        <v>139</v>
      </c>
      <c r="L36" s="11" t="s">
        <v>55</v>
      </c>
      <c r="M36" s="1" t="s">
        <v>56</v>
      </c>
      <c r="N36" s="1" t="s">
        <v>57</v>
      </c>
      <c r="O36" s="1" t="s">
        <v>58</v>
      </c>
      <c r="P36" s="1">
        <v>0</v>
      </c>
      <c r="Q36" s="12">
        <v>79.28</v>
      </c>
      <c r="R36" s="1" t="s">
        <v>99</v>
      </c>
      <c r="S36" s="1" t="s">
        <v>100</v>
      </c>
      <c r="T36" s="6" t="s">
        <v>61</v>
      </c>
      <c r="U36" s="13">
        <v>0.03</v>
      </c>
      <c r="V36" s="12">
        <v>2.38</v>
      </c>
      <c r="W36" s="12">
        <v>0</v>
      </c>
      <c r="X36" s="1" t="s">
        <v>55</v>
      </c>
    </row>
    <row r="37" spans="1:24" x14ac:dyDescent="0.2">
      <c r="A37" s="1" t="s">
        <v>187</v>
      </c>
      <c r="B37" s="1" t="s">
        <v>45</v>
      </c>
      <c r="C37" s="1" t="s">
        <v>46</v>
      </c>
      <c r="D37" s="1" t="s">
        <v>47</v>
      </c>
      <c r="E37" s="1" t="s">
        <v>202</v>
      </c>
      <c r="F37" s="1" t="s">
        <v>203</v>
      </c>
      <c r="G37" s="1" t="s">
        <v>50</v>
      </c>
      <c r="H37" s="1" t="s">
        <v>131</v>
      </c>
      <c r="I37" s="1" t="s">
        <v>191</v>
      </c>
      <c r="J37" s="1" t="s">
        <v>204</v>
      </c>
      <c r="K37" s="1" t="s">
        <v>205</v>
      </c>
      <c r="L37" s="11" t="s">
        <v>55</v>
      </c>
      <c r="M37" s="1" t="s">
        <v>56</v>
      </c>
      <c r="N37" s="1" t="s">
        <v>57</v>
      </c>
      <c r="O37" s="1" t="s">
        <v>58</v>
      </c>
      <c r="P37" s="1">
        <v>0</v>
      </c>
      <c r="Q37" s="12">
        <v>34.36</v>
      </c>
      <c r="R37" s="1" t="s">
        <v>59</v>
      </c>
      <c r="S37" s="1" t="s">
        <v>60</v>
      </c>
      <c r="T37" s="6" t="s">
        <v>61</v>
      </c>
      <c r="U37" s="13">
        <v>0.52</v>
      </c>
      <c r="V37" s="12">
        <v>17.87</v>
      </c>
      <c r="W37" s="12">
        <v>0</v>
      </c>
      <c r="X37" s="1" t="s">
        <v>55</v>
      </c>
    </row>
    <row r="38" spans="1:24" x14ac:dyDescent="0.2">
      <c r="A38" s="1" t="s">
        <v>187</v>
      </c>
      <c r="B38" s="1" t="s">
        <v>45</v>
      </c>
      <c r="C38" s="1" t="s">
        <v>46</v>
      </c>
      <c r="D38" s="1" t="s">
        <v>47</v>
      </c>
      <c r="E38" s="1" t="s">
        <v>206</v>
      </c>
      <c r="F38" s="1" t="s">
        <v>207</v>
      </c>
      <c r="G38" s="1" t="s">
        <v>50</v>
      </c>
      <c r="H38" s="1" t="s">
        <v>131</v>
      </c>
      <c r="I38" s="1" t="s">
        <v>191</v>
      </c>
      <c r="J38" s="1" t="s">
        <v>204</v>
      </c>
      <c r="K38" s="1" t="s">
        <v>205</v>
      </c>
      <c r="L38" s="11" t="s">
        <v>55</v>
      </c>
      <c r="M38" s="1" t="s">
        <v>56</v>
      </c>
      <c r="N38" s="1" t="s">
        <v>57</v>
      </c>
      <c r="O38" s="1" t="s">
        <v>58</v>
      </c>
      <c r="P38" s="1">
        <v>0</v>
      </c>
      <c r="Q38" s="12">
        <v>34.36</v>
      </c>
      <c r="R38" s="1" t="s">
        <v>59</v>
      </c>
      <c r="S38" s="1" t="s">
        <v>60</v>
      </c>
      <c r="T38" s="6" t="s">
        <v>61</v>
      </c>
      <c r="U38" s="13">
        <v>0.52</v>
      </c>
      <c r="V38" s="12">
        <v>17.87</v>
      </c>
      <c r="W38" s="12">
        <v>0</v>
      </c>
      <c r="X38" s="1" t="s">
        <v>55</v>
      </c>
    </row>
    <row r="39" spans="1:24" x14ac:dyDescent="0.2">
      <c r="A39" s="1" t="s">
        <v>187</v>
      </c>
      <c r="B39" s="1" t="s">
        <v>45</v>
      </c>
      <c r="C39" s="1" t="s">
        <v>46</v>
      </c>
      <c r="D39" s="1" t="s">
        <v>208</v>
      </c>
      <c r="E39" s="1" t="s">
        <v>209</v>
      </c>
      <c r="F39" s="1" t="s">
        <v>210</v>
      </c>
      <c r="G39" s="1" t="s">
        <v>50</v>
      </c>
      <c r="H39" s="1" t="s">
        <v>79</v>
      </c>
      <c r="I39" s="1" t="s">
        <v>200</v>
      </c>
      <c r="J39" s="1" t="s">
        <v>211</v>
      </c>
      <c r="K39" s="1" t="s">
        <v>212</v>
      </c>
      <c r="L39" s="11" t="s">
        <v>55</v>
      </c>
      <c r="M39" s="1" t="s">
        <v>56</v>
      </c>
      <c r="N39" s="1" t="s">
        <v>97</v>
      </c>
      <c r="O39" s="1" t="s">
        <v>58</v>
      </c>
      <c r="P39" s="1">
        <v>0</v>
      </c>
      <c r="Q39" s="12">
        <v>73.55</v>
      </c>
      <c r="R39" s="1" t="s">
        <v>59</v>
      </c>
      <c r="S39" s="1" t="s">
        <v>60</v>
      </c>
      <c r="T39" s="6" t="s">
        <v>61</v>
      </c>
      <c r="U39" s="13">
        <v>0.52</v>
      </c>
      <c r="V39" s="12">
        <v>38.25</v>
      </c>
      <c r="W39" s="12">
        <v>0</v>
      </c>
      <c r="X39" s="1" t="s">
        <v>55</v>
      </c>
    </row>
    <row r="40" spans="1:24" x14ac:dyDescent="0.2">
      <c r="A40" s="1" t="s">
        <v>187</v>
      </c>
      <c r="B40" s="1" t="s">
        <v>45</v>
      </c>
      <c r="C40" s="1" t="s">
        <v>46</v>
      </c>
      <c r="D40" s="1" t="s">
        <v>188</v>
      </c>
      <c r="E40" s="1" t="s">
        <v>213</v>
      </c>
      <c r="F40" s="1" t="s">
        <v>214</v>
      </c>
      <c r="G40" s="1" t="s">
        <v>50</v>
      </c>
      <c r="H40" s="1" t="s">
        <v>79</v>
      </c>
      <c r="I40" s="1" t="s">
        <v>191</v>
      </c>
      <c r="J40" s="1" t="s">
        <v>201</v>
      </c>
      <c r="K40" s="1" t="s">
        <v>139</v>
      </c>
      <c r="L40" s="11" t="s">
        <v>55</v>
      </c>
      <c r="M40" s="1" t="s">
        <v>56</v>
      </c>
      <c r="N40" s="1" t="s">
        <v>57</v>
      </c>
      <c r="O40" s="1" t="s">
        <v>58</v>
      </c>
      <c r="P40" s="1">
        <v>0</v>
      </c>
      <c r="Q40" s="12">
        <v>36.08</v>
      </c>
      <c r="R40" s="1" t="s">
        <v>99</v>
      </c>
      <c r="S40" s="1" t="s">
        <v>100</v>
      </c>
      <c r="T40" s="6" t="s">
        <v>61</v>
      </c>
      <c r="U40" s="13">
        <v>0.03</v>
      </c>
      <c r="V40" s="12">
        <v>1.08</v>
      </c>
      <c r="W40" s="12">
        <v>0</v>
      </c>
      <c r="X40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EF79-F71B-4C80-A19C-3171BA7AEAFB}">
  <dimension ref="A1:V38"/>
  <sheetViews>
    <sheetView tabSelected="1" zoomScaleNormal="100" workbookViewId="0">
      <selection activeCell="C4" sqref="C4"/>
    </sheetView>
  </sheetViews>
  <sheetFormatPr defaultColWidth="9.140625" defaultRowHeight="14.25" x14ac:dyDescent="0.2"/>
  <cols>
    <col min="1" max="1" width="12" style="11" customWidth="1"/>
    <col min="2" max="2" width="22.7109375" style="11" bestFit="1" customWidth="1"/>
    <col min="3" max="3" width="14" style="11" customWidth="1"/>
    <col min="4" max="4" width="30" style="11" customWidth="1"/>
    <col min="5" max="5" width="13" style="11" customWidth="1"/>
    <col min="6" max="7" width="15" style="11" customWidth="1"/>
    <col min="8" max="8" width="10" style="11" customWidth="1"/>
    <col min="9" max="10" width="9" style="11" customWidth="1"/>
    <col min="11" max="11" width="20" style="11" customWidth="1"/>
    <col min="12" max="12" width="18" style="11" customWidth="1"/>
    <col min="13" max="13" width="12" style="11" customWidth="1"/>
    <col min="14" max="14" width="20" style="11" customWidth="1"/>
    <col min="15" max="15" width="13" style="11" customWidth="1"/>
    <col min="16" max="18" width="15" style="11" customWidth="1"/>
    <col min="19" max="19" width="88.7109375" style="11" bestFit="1" customWidth="1"/>
    <col min="20" max="20" width="35" style="11" bestFit="1" customWidth="1"/>
    <col min="21" max="21" width="13.42578125" style="11" bestFit="1" customWidth="1"/>
    <col min="22" max="22" width="11.28515625" style="11" bestFit="1" customWidth="1"/>
    <col min="23" max="16384" width="9.140625" style="11"/>
  </cols>
  <sheetData>
    <row r="1" spans="1:22" ht="30" customHeight="1" x14ac:dyDescent="0.2">
      <c r="A1" s="18" t="s">
        <v>23</v>
      </c>
      <c r="B1" s="18" t="s">
        <v>215</v>
      </c>
      <c r="C1" s="18" t="s">
        <v>24</v>
      </c>
      <c r="D1" s="18" t="s">
        <v>25</v>
      </c>
      <c r="E1" s="18" t="s">
        <v>26</v>
      </c>
      <c r="F1" s="18" t="s">
        <v>29</v>
      </c>
      <c r="G1" s="18" t="s">
        <v>30</v>
      </c>
      <c r="H1" s="18" t="s">
        <v>32</v>
      </c>
      <c r="I1" s="18" t="s">
        <v>34</v>
      </c>
      <c r="J1" s="23" t="s">
        <v>251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225</v>
      </c>
      <c r="T1" s="11" t="s">
        <v>249</v>
      </c>
      <c r="U1" s="11" t="s">
        <v>247</v>
      </c>
      <c r="V1" s="11" t="s">
        <v>248</v>
      </c>
    </row>
    <row r="2" spans="1:22" s="25" customFormat="1" x14ac:dyDescent="0.2">
      <c r="A2" s="19">
        <v>19278370</v>
      </c>
      <c r="B2" s="19" t="s">
        <v>228</v>
      </c>
      <c r="C2" s="11" t="s">
        <v>90</v>
      </c>
      <c r="D2" s="11" t="s">
        <v>91</v>
      </c>
      <c r="E2" s="11" t="s">
        <v>92</v>
      </c>
      <c r="F2" s="11" t="s">
        <v>94</v>
      </c>
      <c r="G2" s="11" t="s">
        <v>95</v>
      </c>
      <c r="H2" s="11" t="s">
        <v>96</v>
      </c>
      <c r="I2" s="19">
        <v>25</v>
      </c>
      <c r="J2" s="31" t="s">
        <v>254</v>
      </c>
      <c r="K2" s="11">
        <v>0</v>
      </c>
      <c r="L2" s="20">
        <v>73.430000000000007</v>
      </c>
      <c r="M2" s="11" t="s">
        <v>99</v>
      </c>
      <c r="N2" s="11" t="s">
        <v>100</v>
      </c>
      <c r="O2" s="21">
        <v>1</v>
      </c>
      <c r="P2" s="22">
        <v>25.5</v>
      </c>
      <c r="Q2" s="20">
        <v>18.72</v>
      </c>
      <c r="R2" s="20">
        <v>0</v>
      </c>
      <c r="S2" s="11" t="s">
        <v>217</v>
      </c>
      <c r="T2" s="11" t="s">
        <v>241</v>
      </c>
      <c r="U2" s="11">
        <v>240.09</v>
      </c>
      <c r="V2" s="11">
        <f>SUM(U2*P2%)</f>
        <v>61.222950000000004</v>
      </c>
    </row>
    <row r="3" spans="1:22" s="25" customFormat="1" x14ac:dyDescent="0.2">
      <c r="A3" s="19">
        <v>19278370</v>
      </c>
      <c r="B3" s="19" t="s">
        <v>228</v>
      </c>
      <c r="C3" s="11" t="s">
        <v>90</v>
      </c>
      <c r="D3" s="11" t="s">
        <v>91</v>
      </c>
      <c r="E3" s="11" t="s">
        <v>92</v>
      </c>
      <c r="F3" s="11" t="s">
        <v>94</v>
      </c>
      <c r="G3" s="11" t="s">
        <v>95</v>
      </c>
      <c r="H3" s="11" t="s">
        <v>96</v>
      </c>
      <c r="I3" s="19">
        <v>25</v>
      </c>
      <c r="J3" s="31" t="s">
        <v>254</v>
      </c>
      <c r="K3" s="11">
        <v>0</v>
      </c>
      <c r="L3" s="20">
        <v>146.86000000000001</v>
      </c>
      <c r="M3" s="11" t="s">
        <v>99</v>
      </c>
      <c r="N3" s="11" t="s">
        <v>100</v>
      </c>
      <c r="O3" s="21">
        <v>1</v>
      </c>
      <c r="P3" s="22">
        <v>25.5</v>
      </c>
      <c r="Q3" s="20">
        <v>37.44</v>
      </c>
      <c r="R3" s="20">
        <v>0</v>
      </c>
      <c r="S3" s="11" t="s">
        <v>217</v>
      </c>
      <c r="T3" s="11" t="s">
        <v>241</v>
      </c>
      <c r="U3" s="11">
        <v>240.09</v>
      </c>
      <c r="V3" s="11">
        <f>SUM(U3*P3%)</f>
        <v>61.222950000000004</v>
      </c>
    </row>
    <row r="4" spans="1:22" x14ac:dyDescent="0.2">
      <c r="A4" s="19">
        <v>17425766</v>
      </c>
      <c r="B4" s="19" t="s">
        <v>235</v>
      </c>
      <c r="C4" s="11" t="s">
        <v>164</v>
      </c>
      <c r="D4" s="11" t="s">
        <v>165</v>
      </c>
      <c r="E4" s="11" t="s">
        <v>92</v>
      </c>
      <c r="F4" s="11" t="s">
        <v>166</v>
      </c>
      <c r="G4" s="11" t="s">
        <v>167</v>
      </c>
      <c r="H4" s="11" t="s">
        <v>96</v>
      </c>
      <c r="I4" s="19">
        <v>18</v>
      </c>
      <c r="J4" s="31" t="s">
        <v>254</v>
      </c>
      <c r="K4" s="11">
        <v>30</v>
      </c>
      <c r="L4" s="20">
        <v>284.88</v>
      </c>
      <c r="M4" s="11" t="s">
        <v>99</v>
      </c>
      <c r="N4" s="11" t="s">
        <v>100</v>
      </c>
      <c r="O4" s="21">
        <v>1</v>
      </c>
      <c r="P4" s="22">
        <v>7.0000000000000009</v>
      </c>
      <c r="Q4" s="20">
        <v>19.940000000000001</v>
      </c>
      <c r="R4" s="20">
        <v>0</v>
      </c>
      <c r="S4" s="11" t="s">
        <v>219</v>
      </c>
      <c r="T4" s="11" t="s">
        <v>243</v>
      </c>
      <c r="U4" s="11">
        <v>284.87</v>
      </c>
      <c r="V4" s="11">
        <f>SUM(U4*P4%)</f>
        <v>19.940900000000003</v>
      </c>
    </row>
    <row r="5" spans="1:22" s="33" customFormat="1" x14ac:dyDescent="0.2">
      <c r="A5" s="32">
        <v>19681796</v>
      </c>
      <c r="B5" s="32" t="s">
        <v>239</v>
      </c>
      <c r="C5" s="33" t="s">
        <v>209</v>
      </c>
      <c r="D5" s="33" t="s">
        <v>210</v>
      </c>
      <c r="E5" s="33" t="s">
        <v>50</v>
      </c>
      <c r="F5" s="33" t="s">
        <v>211</v>
      </c>
      <c r="G5" s="33" t="s">
        <v>212</v>
      </c>
      <c r="H5" s="33" t="s">
        <v>56</v>
      </c>
      <c r="I5" s="32">
        <v>10</v>
      </c>
      <c r="J5" s="32" t="s">
        <v>254</v>
      </c>
      <c r="K5" s="33">
        <v>0</v>
      </c>
      <c r="L5" s="34">
        <v>73.55</v>
      </c>
      <c r="M5" s="33" t="s">
        <v>59</v>
      </c>
      <c r="N5" s="33" t="s">
        <v>60</v>
      </c>
      <c r="O5" s="35">
        <v>1</v>
      </c>
      <c r="P5" s="36">
        <v>52</v>
      </c>
      <c r="Q5" s="34">
        <v>38.25</v>
      </c>
      <c r="R5" s="34">
        <v>0</v>
      </c>
      <c r="S5" s="33" t="s">
        <v>224</v>
      </c>
      <c r="T5" s="33" t="s">
        <v>246</v>
      </c>
      <c r="U5" s="33">
        <v>73.55</v>
      </c>
      <c r="V5" s="33">
        <f>SUM(U5*P5%)</f>
        <v>38.246000000000002</v>
      </c>
    </row>
    <row r="6" spans="1:22" x14ac:dyDescent="0.2">
      <c r="A6" s="24">
        <v>8325282</v>
      </c>
      <c r="B6" s="24" t="s">
        <v>226</v>
      </c>
      <c r="C6" s="25" t="s">
        <v>194</v>
      </c>
      <c r="D6" s="25" t="s">
        <v>195</v>
      </c>
      <c r="E6" s="25" t="s">
        <v>50</v>
      </c>
      <c r="F6" s="25" t="s">
        <v>196</v>
      </c>
      <c r="G6" s="25" t="s">
        <v>197</v>
      </c>
      <c r="H6" s="25" t="s">
        <v>96</v>
      </c>
      <c r="I6" s="24">
        <v>2</v>
      </c>
      <c r="J6" s="30" t="s">
        <v>253</v>
      </c>
      <c r="K6" s="25">
        <v>0</v>
      </c>
      <c r="L6" s="26">
        <v>38.08</v>
      </c>
      <c r="M6" s="25" t="s">
        <v>59</v>
      </c>
      <c r="N6" s="25" t="s">
        <v>60</v>
      </c>
      <c r="O6" s="27">
        <v>1</v>
      </c>
      <c r="P6" s="28">
        <v>52</v>
      </c>
      <c r="Q6" s="26">
        <v>19.8</v>
      </c>
      <c r="R6" s="26">
        <v>0</v>
      </c>
      <c r="S6" s="25" t="s">
        <v>224</v>
      </c>
      <c r="T6" s="25" t="s">
        <v>245</v>
      </c>
      <c r="U6" s="25">
        <v>108.24</v>
      </c>
      <c r="V6" s="25">
        <f>SUM(U6*P6%)</f>
        <v>56.284799999999997</v>
      </c>
    </row>
    <row r="7" spans="1:22" x14ac:dyDescent="0.2">
      <c r="A7" s="24">
        <v>8325282</v>
      </c>
      <c r="B7" s="24" t="s">
        <v>226</v>
      </c>
      <c r="C7" s="25" t="s">
        <v>48</v>
      </c>
      <c r="D7" s="25" t="s">
        <v>49</v>
      </c>
      <c r="E7" s="25" t="s">
        <v>50</v>
      </c>
      <c r="F7" s="25" t="s">
        <v>53</v>
      </c>
      <c r="G7" s="25" t="s">
        <v>54</v>
      </c>
      <c r="H7" s="25" t="s">
        <v>56</v>
      </c>
      <c r="I7" s="24">
        <v>9</v>
      </c>
      <c r="J7" s="30" t="s">
        <v>253</v>
      </c>
      <c r="K7" s="25">
        <v>0</v>
      </c>
      <c r="L7" s="26">
        <v>157.13999999999999</v>
      </c>
      <c r="M7" s="25" t="s">
        <v>59</v>
      </c>
      <c r="N7" s="25" t="s">
        <v>60</v>
      </c>
      <c r="O7" s="27">
        <v>1</v>
      </c>
      <c r="P7" s="28">
        <v>23</v>
      </c>
      <c r="Q7" s="26">
        <v>0</v>
      </c>
      <c r="R7" s="26">
        <v>-36.14</v>
      </c>
      <c r="S7" s="25" t="s">
        <v>216</v>
      </c>
      <c r="T7" s="25" t="s">
        <v>240</v>
      </c>
      <c r="U7" s="25">
        <v>157.13999999999999</v>
      </c>
      <c r="V7" s="25">
        <f>SUM(U7*P7%)</f>
        <v>36.142199999999995</v>
      </c>
    </row>
    <row r="8" spans="1:22" x14ac:dyDescent="0.2">
      <c r="A8" s="19">
        <v>8325282</v>
      </c>
      <c r="B8" s="19" t="s">
        <v>226</v>
      </c>
      <c r="C8" s="11" t="s">
        <v>202</v>
      </c>
      <c r="D8" s="11" t="s">
        <v>203</v>
      </c>
      <c r="E8" s="11" t="s">
        <v>50</v>
      </c>
      <c r="F8" s="11" t="s">
        <v>204</v>
      </c>
      <c r="G8" s="11" t="s">
        <v>205</v>
      </c>
      <c r="H8" s="11" t="s">
        <v>56</v>
      </c>
      <c r="I8" s="19">
        <v>10</v>
      </c>
      <c r="J8" s="31" t="s">
        <v>254</v>
      </c>
      <c r="K8" s="11">
        <v>0</v>
      </c>
      <c r="L8" s="20">
        <v>34.36</v>
      </c>
      <c r="M8" s="11" t="s">
        <v>59</v>
      </c>
      <c r="N8" s="11" t="s">
        <v>60</v>
      </c>
      <c r="O8" s="21">
        <v>1</v>
      </c>
      <c r="P8" s="22">
        <v>52</v>
      </c>
      <c r="Q8" s="20">
        <v>17.87</v>
      </c>
      <c r="R8" s="20">
        <v>0</v>
      </c>
      <c r="S8" s="11" t="s">
        <v>224</v>
      </c>
      <c r="T8" s="11" t="s">
        <v>245</v>
      </c>
      <c r="U8" s="11">
        <v>34.36</v>
      </c>
      <c r="V8" s="11">
        <f>SUM(U8*P8%)</f>
        <v>17.8672</v>
      </c>
    </row>
    <row r="9" spans="1:22" x14ac:dyDescent="0.2">
      <c r="A9" s="19">
        <v>8325282</v>
      </c>
      <c r="B9" s="19" t="s">
        <v>226</v>
      </c>
      <c r="C9" s="11" t="s">
        <v>206</v>
      </c>
      <c r="D9" s="11" t="s">
        <v>207</v>
      </c>
      <c r="E9" s="11" t="s">
        <v>50</v>
      </c>
      <c r="F9" s="11" t="s">
        <v>204</v>
      </c>
      <c r="G9" s="11" t="s">
        <v>205</v>
      </c>
      <c r="H9" s="11" t="s">
        <v>56</v>
      </c>
      <c r="I9" s="19">
        <v>10</v>
      </c>
      <c r="J9" s="31" t="s">
        <v>254</v>
      </c>
      <c r="K9" s="11">
        <v>0</v>
      </c>
      <c r="L9" s="20">
        <v>34.36</v>
      </c>
      <c r="M9" s="11" t="s">
        <v>59</v>
      </c>
      <c r="N9" s="11" t="s">
        <v>60</v>
      </c>
      <c r="O9" s="21">
        <v>1</v>
      </c>
      <c r="P9" s="22">
        <v>52</v>
      </c>
      <c r="Q9" s="20">
        <v>17.87</v>
      </c>
      <c r="R9" s="20">
        <v>0</v>
      </c>
      <c r="S9" s="11" t="s">
        <v>224</v>
      </c>
      <c r="T9" s="11" t="s">
        <v>245</v>
      </c>
      <c r="U9" s="11">
        <v>34.36</v>
      </c>
      <c r="V9" s="11">
        <f>SUM(U9*P9%)</f>
        <v>17.8672</v>
      </c>
    </row>
    <row r="10" spans="1:22" x14ac:dyDescent="0.2">
      <c r="A10" s="19" t="s">
        <v>255</v>
      </c>
      <c r="B10" s="19" t="s">
        <v>229</v>
      </c>
      <c r="C10" s="11" t="s">
        <v>103</v>
      </c>
      <c r="D10" s="11" t="s">
        <v>104</v>
      </c>
      <c r="E10" s="11" t="s">
        <v>92</v>
      </c>
      <c r="F10" s="11" t="s">
        <v>106</v>
      </c>
      <c r="G10" s="11" t="s">
        <v>107</v>
      </c>
      <c r="H10" s="11" t="s">
        <v>56</v>
      </c>
      <c r="I10" s="19">
        <v>2</v>
      </c>
      <c r="J10" s="31" t="s">
        <v>254</v>
      </c>
      <c r="K10" s="11">
        <v>100</v>
      </c>
      <c r="L10" s="20">
        <v>144.24</v>
      </c>
      <c r="M10" s="11" t="s">
        <v>59</v>
      </c>
      <c r="N10" s="11" t="s">
        <v>108</v>
      </c>
      <c r="O10" s="21">
        <v>1</v>
      </c>
      <c r="P10" s="22">
        <v>135</v>
      </c>
      <c r="Q10" s="20">
        <v>0</v>
      </c>
      <c r="R10" s="20">
        <v>-194.72</v>
      </c>
      <c r="S10" s="11" t="s">
        <v>250</v>
      </c>
      <c r="T10" s="11" t="s">
        <v>242</v>
      </c>
      <c r="U10" s="11">
        <v>144.24</v>
      </c>
      <c r="V10" s="11">
        <f>SUM(U10*P10%)</f>
        <v>194.72400000000002</v>
      </c>
    </row>
    <row r="11" spans="1:22" x14ac:dyDescent="0.2">
      <c r="A11" s="19" t="s">
        <v>255</v>
      </c>
      <c r="B11" s="19" t="s">
        <v>229</v>
      </c>
      <c r="C11" s="11" t="s">
        <v>103</v>
      </c>
      <c r="D11" s="11" t="s">
        <v>104</v>
      </c>
      <c r="E11" s="11" t="s">
        <v>92</v>
      </c>
      <c r="F11" s="11" t="s">
        <v>106</v>
      </c>
      <c r="G11" s="11" t="s">
        <v>107</v>
      </c>
      <c r="H11" s="11" t="s">
        <v>56</v>
      </c>
      <c r="I11" s="19">
        <v>2</v>
      </c>
      <c r="J11" s="31" t="s">
        <v>254</v>
      </c>
      <c r="K11" s="11">
        <v>100</v>
      </c>
      <c r="L11" s="20">
        <v>144.24</v>
      </c>
      <c r="M11" s="11" t="s">
        <v>59</v>
      </c>
      <c r="N11" s="11" t="s">
        <v>60</v>
      </c>
      <c r="O11" s="21">
        <v>1</v>
      </c>
      <c r="P11" s="22">
        <v>135</v>
      </c>
      <c r="Q11" s="20">
        <v>0</v>
      </c>
      <c r="R11" s="20">
        <v>-194.72</v>
      </c>
      <c r="S11" s="11" t="s">
        <v>250</v>
      </c>
      <c r="T11" s="11" t="s">
        <v>242</v>
      </c>
      <c r="U11" s="11">
        <v>144.24</v>
      </c>
      <c r="V11" s="11">
        <f>SUM(U11*P11%)</f>
        <v>194.72400000000002</v>
      </c>
    </row>
    <row r="12" spans="1:22" x14ac:dyDescent="0.2">
      <c r="A12" s="19">
        <v>9213293</v>
      </c>
      <c r="B12" s="19" t="s">
        <v>236</v>
      </c>
      <c r="C12" s="11" t="s">
        <v>169</v>
      </c>
      <c r="D12" s="11" t="s">
        <v>170</v>
      </c>
      <c r="E12" s="11" t="s">
        <v>50</v>
      </c>
      <c r="F12" s="11" t="s">
        <v>171</v>
      </c>
      <c r="G12" s="11" t="s">
        <v>114</v>
      </c>
      <c r="H12" s="11" t="s">
        <v>56</v>
      </c>
      <c r="I12" s="19">
        <v>12</v>
      </c>
      <c r="J12" s="31" t="s">
        <v>254</v>
      </c>
      <c r="K12" s="11">
        <v>12</v>
      </c>
      <c r="L12" s="20">
        <v>71.62</v>
      </c>
      <c r="M12" s="11" t="s">
        <v>59</v>
      </c>
      <c r="N12" s="11" t="s">
        <v>60</v>
      </c>
      <c r="O12" s="21">
        <v>1</v>
      </c>
      <c r="P12" s="22">
        <v>135</v>
      </c>
      <c r="Q12" s="20">
        <v>96.69</v>
      </c>
      <c r="R12" s="20">
        <v>0</v>
      </c>
      <c r="S12" s="11" t="s">
        <v>222</v>
      </c>
      <c r="T12" s="11" t="s">
        <v>243</v>
      </c>
      <c r="U12" s="11">
        <v>71.62</v>
      </c>
      <c r="V12" s="11">
        <f>SUM(U12*P12%)</f>
        <v>96.687000000000012</v>
      </c>
    </row>
    <row r="13" spans="1:22" s="25" customFormat="1" x14ac:dyDescent="0.2">
      <c r="A13" s="19">
        <v>9213293</v>
      </c>
      <c r="B13" s="19" t="s">
        <v>236</v>
      </c>
      <c r="C13" s="11" t="s">
        <v>175</v>
      </c>
      <c r="D13" s="11" t="s">
        <v>176</v>
      </c>
      <c r="E13" s="11" t="s">
        <v>50</v>
      </c>
      <c r="F13" s="11" t="s">
        <v>177</v>
      </c>
      <c r="G13" s="11" t="s">
        <v>178</v>
      </c>
      <c r="H13" s="11" t="s">
        <v>56</v>
      </c>
      <c r="I13" s="19">
        <v>12</v>
      </c>
      <c r="J13" s="31" t="s">
        <v>254</v>
      </c>
      <c r="K13" s="11">
        <v>12</v>
      </c>
      <c r="L13" s="20">
        <v>137.37</v>
      </c>
      <c r="M13" s="11" t="s">
        <v>59</v>
      </c>
      <c r="N13" s="11" t="s">
        <v>60</v>
      </c>
      <c r="O13" s="21">
        <v>1</v>
      </c>
      <c r="P13" s="22">
        <v>135</v>
      </c>
      <c r="Q13" s="20">
        <v>185.45</v>
      </c>
      <c r="R13" s="20">
        <v>0</v>
      </c>
      <c r="S13" s="11" t="s">
        <v>222</v>
      </c>
      <c r="T13" s="11" t="s">
        <v>243</v>
      </c>
      <c r="U13" s="11">
        <v>137.37</v>
      </c>
      <c r="V13" s="11">
        <f>SUM(U13*P13%)</f>
        <v>185.44950000000003</v>
      </c>
    </row>
    <row r="14" spans="1:22" s="25" customFormat="1" x14ac:dyDescent="0.2">
      <c r="A14" s="19">
        <v>8307933</v>
      </c>
      <c r="B14" s="19" t="s">
        <v>232</v>
      </c>
      <c r="C14" s="11" t="s">
        <v>124</v>
      </c>
      <c r="D14" s="11" t="s">
        <v>125</v>
      </c>
      <c r="E14" s="11" t="s">
        <v>50</v>
      </c>
      <c r="F14" s="11" t="s">
        <v>126</v>
      </c>
      <c r="G14" s="11" t="s">
        <v>126</v>
      </c>
      <c r="H14" s="11" t="s">
        <v>56</v>
      </c>
      <c r="I14" s="19">
        <v>0</v>
      </c>
      <c r="J14" s="31" t="s">
        <v>254</v>
      </c>
      <c r="K14" s="11">
        <v>75</v>
      </c>
      <c r="L14" s="20">
        <v>2322.54</v>
      </c>
      <c r="M14" s="11" t="s">
        <v>59</v>
      </c>
      <c r="N14" s="11" t="s">
        <v>127</v>
      </c>
      <c r="O14" s="21">
        <v>1</v>
      </c>
      <c r="P14" s="22">
        <v>67.5</v>
      </c>
      <c r="Q14" s="20">
        <v>1567.71</v>
      </c>
      <c r="R14" s="20">
        <v>1567.71</v>
      </c>
      <c r="S14" s="11" t="s">
        <v>218</v>
      </c>
      <c r="T14" s="11" t="s">
        <v>242</v>
      </c>
      <c r="U14" s="11">
        <v>258.06</v>
      </c>
      <c r="V14" s="11">
        <f>SUM(U14*P14%)</f>
        <v>174.19050000000001</v>
      </c>
    </row>
    <row r="15" spans="1:22" x14ac:dyDescent="0.2">
      <c r="A15" s="19">
        <v>8307933</v>
      </c>
      <c r="B15" s="19" t="s">
        <v>232</v>
      </c>
      <c r="C15" s="11" t="s">
        <v>128</v>
      </c>
      <c r="D15" s="11" t="s">
        <v>129</v>
      </c>
      <c r="E15" s="11" t="s">
        <v>130</v>
      </c>
      <c r="F15" s="11" t="s">
        <v>132</v>
      </c>
      <c r="G15" s="11" t="s">
        <v>133</v>
      </c>
      <c r="H15" s="11" t="s">
        <v>56</v>
      </c>
      <c r="I15" s="19">
        <v>3</v>
      </c>
      <c r="J15" s="31" t="s">
        <v>254</v>
      </c>
      <c r="K15" s="11">
        <v>100</v>
      </c>
      <c r="L15" s="20">
        <v>234.36</v>
      </c>
      <c r="M15" s="11" t="s">
        <v>59</v>
      </c>
      <c r="N15" s="11" t="s">
        <v>60</v>
      </c>
      <c r="O15" s="21">
        <v>1</v>
      </c>
      <c r="P15" s="22">
        <v>67.5</v>
      </c>
      <c r="Q15" s="20">
        <v>0</v>
      </c>
      <c r="R15" s="20">
        <v>-158.19</v>
      </c>
      <c r="S15" s="11" t="s">
        <v>218</v>
      </c>
      <c r="T15" s="11" t="s">
        <v>242</v>
      </c>
      <c r="U15" s="11">
        <v>234.36</v>
      </c>
      <c r="V15" s="11">
        <f>SUM(U15*P15%)</f>
        <v>158.19300000000001</v>
      </c>
    </row>
    <row r="16" spans="1:22" x14ac:dyDescent="0.2">
      <c r="A16" s="19">
        <v>8307933</v>
      </c>
      <c r="B16" s="19" t="s">
        <v>232</v>
      </c>
      <c r="C16" s="11" t="s">
        <v>184</v>
      </c>
      <c r="D16" s="11" t="s">
        <v>185</v>
      </c>
      <c r="E16" s="11" t="s">
        <v>50</v>
      </c>
      <c r="F16" s="11" t="s">
        <v>186</v>
      </c>
      <c r="G16" s="11" t="s">
        <v>150</v>
      </c>
      <c r="H16" s="11" t="s">
        <v>56</v>
      </c>
      <c r="I16" s="19">
        <v>7</v>
      </c>
      <c r="J16" s="31" t="s">
        <v>254</v>
      </c>
      <c r="K16" s="11">
        <v>75</v>
      </c>
      <c r="L16" s="20">
        <v>225.39</v>
      </c>
      <c r="M16" s="11" t="s">
        <v>59</v>
      </c>
      <c r="N16" s="11" t="s">
        <v>60</v>
      </c>
      <c r="O16" s="21">
        <v>1</v>
      </c>
      <c r="P16" s="22">
        <v>135</v>
      </c>
      <c r="Q16" s="20">
        <v>129.96</v>
      </c>
      <c r="R16" s="20">
        <v>-174.32</v>
      </c>
      <c r="S16" s="11" t="s">
        <v>222</v>
      </c>
      <c r="T16" s="11" t="s">
        <v>242</v>
      </c>
      <c r="U16" s="11">
        <v>225.39</v>
      </c>
      <c r="V16" s="11">
        <f>SUM(U16*P16%)</f>
        <v>304.2765</v>
      </c>
    </row>
    <row r="17" spans="1:22" s="25" customFormat="1" x14ac:dyDescent="0.2">
      <c r="A17" s="19">
        <v>1706194</v>
      </c>
      <c r="B17" s="19" t="s">
        <v>234</v>
      </c>
      <c r="C17" s="11" t="s">
        <v>141</v>
      </c>
      <c r="D17" s="11" t="s">
        <v>142</v>
      </c>
      <c r="E17" s="11" t="s">
        <v>130</v>
      </c>
      <c r="F17" s="11" t="s">
        <v>143</v>
      </c>
      <c r="G17" s="11" t="s">
        <v>143</v>
      </c>
      <c r="H17" s="11" t="s">
        <v>56</v>
      </c>
      <c r="I17" s="19">
        <v>0</v>
      </c>
      <c r="J17" s="31" t="s">
        <v>254</v>
      </c>
      <c r="K17" s="11">
        <v>80</v>
      </c>
      <c r="L17" s="20">
        <v>941.49</v>
      </c>
      <c r="M17" s="11" t="s">
        <v>59</v>
      </c>
      <c r="N17" s="11" t="s">
        <v>127</v>
      </c>
      <c r="O17" s="21">
        <v>1</v>
      </c>
      <c r="P17" s="22">
        <v>67.5</v>
      </c>
      <c r="Q17" s="20">
        <v>635.51</v>
      </c>
      <c r="R17" s="20">
        <v>635.51</v>
      </c>
      <c r="S17" s="11" t="s">
        <v>218</v>
      </c>
      <c r="T17" s="11" t="s">
        <v>242</v>
      </c>
      <c r="U17" s="11">
        <v>104.61</v>
      </c>
      <c r="V17" s="11">
        <f>SUM(U17*P17%)</f>
        <v>70.611750000000001</v>
      </c>
    </row>
    <row r="18" spans="1:22" s="29" customFormat="1" x14ac:dyDescent="0.2">
      <c r="A18" s="19">
        <v>1706194</v>
      </c>
      <c r="B18" s="19" t="s">
        <v>234</v>
      </c>
      <c r="C18" s="11" t="s">
        <v>144</v>
      </c>
      <c r="D18" s="11" t="s">
        <v>145</v>
      </c>
      <c r="E18" s="11" t="s">
        <v>50</v>
      </c>
      <c r="F18" s="11" t="s">
        <v>143</v>
      </c>
      <c r="G18" s="11" t="s">
        <v>143</v>
      </c>
      <c r="H18" s="11" t="s">
        <v>56</v>
      </c>
      <c r="I18" s="19">
        <v>0</v>
      </c>
      <c r="J18" s="31" t="s">
        <v>254</v>
      </c>
      <c r="K18" s="11">
        <v>100</v>
      </c>
      <c r="L18" s="20">
        <v>2947.86</v>
      </c>
      <c r="M18" s="11" t="s">
        <v>59</v>
      </c>
      <c r="N18" s="11" t="s">
        <v>127</v>
      </c>
      <c r="O18" s="21">
        <v>1</v>
      </c>
      <c r="P18" s="22">
        <v>67.5</v>
      </c>
      <c r="Q18" s="20">
        <v>1989.81</v>
      </c>
      <c r="R18" s="20">
        <v>1989.81</v>
      </c>
      <c r="S18" s="11" t="s">
        <v>218</v>
      </c>
      <c r="T18" s="11" t="s">
        <v>242</v>
      </c>
      <c r="U18" s="11">
        <v>327.54000000000002</v>
      </c>
      <c r="V18" s="11">
        <f>SUM(U18*P18%)</f>
        <v>221.08950000000002</v>
      </c>
    </row>
    <row r="19" spans="1:22" x14ac:dyDescent="0.2">
      <c r="A19" s="19">
        <v>1706194</v>
      </c>
      <c r="B19" s="19" t="s">
        <v>234</v>
      </c>
      <c r="C19" s="11" t="s">
        <v>146</v>
      </c>
      <c r="D19" s="11" t="s">
        <v>147</v>
      </c>
      <c r="E19" s="11" t="s">
        <v>148</v>
      </c>
      <c r="F19" s="11" t="s">
        <v>65</v>
      </c>
      <c r="G19" s="11" t="s">
        <v>150</v>
      </c>
      <c r="H19" s="11" t="s">
        <v>56</v>
      </c>
      <c r="I19" s="19">
        <v>1</v>
      </c>
      <c r="J19" s="31" t="s">
        <v>254</v>
      </c>
      <c r="K19" s="11">
        <v>25</v>
      </c>
      <c r="L19" s="20">
        <v>87.87</v>
      </c>
      <c r="M19" s="11" t="s">
        <v>59</v>
      </c>
      <c r="N19" s="11" t="s">
        <v>108</v>
      </c>
      <c r="O19" s="21">
        <v>1</v>
      </c>
      <c r="P19" s="22">
        <v>150</v>
      </c>
      <c r="Q19" s="20">
        <v>0</v>
      </c>
      <c r="R19" s="20">
        <v>-131.81</v>
      </c>
      <c r="S19" s="11" t="s">
        <v>221</v>
      </c>
      <c r="T19" s="11" t="s">
        <v>244</v>
      </c>
      <c r="U19" s="11">
        <v>87.87</v>
      </c>
      <c r="V19" s="11">
        <f>SUM(U19*P19%)</f>
        <v>131.80500000000001</v>
      </c>
    </row>
    <row r="20" spans="1:22" x14ac:dyDescent="0.2">
      <c r="A20" s="19">
        <v>1706194</v>
      </c>
      <c r="B20" s="19" t="s">
        <v>234</v>
      </c>
      <c r="C20" s="11" t="s">
        <v>151</v>
      </c>
      <c r="D20" s="11" t="s">
        <v>152</v>
      </c>
      <c r="E20" s="11" t="s">
        <v>153</v>
      </c>
      <c r="F20" s="11" t="s">
        <v>65</v>
      </c>
      <c r="G20" s="11" t="s">
        <v>150</v>
      </c>
      <c r="H20" s="11" t="s">
        <v>56</v>
      </c>
      <c r="I20" s="19">
        <v>1</v>
      </c>
      <c r="J20" s="31" t="s">
        <v>254</v>
      </c>
      <c r="K20" s="11">
        <v>300</v>
      </c>
      <c r="L20" s="20">
        <v>62.57</v>
      </c>
      <c r="M20" s="11" t="s">
        <v>59</v>
      </c>
      <c r="N20" s="11" t="s">
        <v>108</v>
      </c>
      <c r="O20" s="21">
        <v>1</v>
      </c>
      <c r="P20" s="22">
        <v>150</v>
      </c>
      <c r="Q20" s="20">
        <v>0</v>
      </c>
      <c r="R20" s="20">
        <v>-93.86</v>
      </c>
      <c r="S20" s="11" t="s">
        <v>221</v>
      </c>
      <c r="T20" s="11" t="s">
        <v>244</v>
      </c>
      <c r="U20" s="11">
        <v>62.57</v>
      </c>
      <c r="V20" s="11">
        <f>SUM(U20*P20%)</f>
        <v>93.855000000000004</v>
      </c>
    </row>
    <row r="21" spans="1:22" x14ac:dyDescent="0.2">
      <c r="A21" s="24">
        <v>18828278</v>
      </c>
      <c r="B21" s="24" t="s">
        <v>227</v>
      </c>
      <c r="C21" s="25" t="s">
        <v>82</v>
      </c>
      <c r="D21" s="25" t="s">
        <v>83</v>
      </c>
      <c r="E21" s="25" t="s">
        <v>50</v>
      </c>
      <c r="F21" s="25" t="s">
        <v>53</v>
      </c>
      <c r="G21" s="25" t="s">
        <v>54</v>
      </c>
      <c r="H21" s="25" t="s">
        <v>56</v>
      </c>
      <c r="I21" s="24">
        <v>9</v>
      </c>
      <c r="J21" s="30" t="s">
        <v>253</v>
      </c>
      <c r="K21" s="25">
        <v>0</v>
      </c>
      <c r="L21" s="26">
        <v>113.86</v>
      </c>
      <c r="M21" s="25" t="s">
        <v>59</v>
      </c>
      <c r="N21" s="25" t="s">
        <v>60</v>
      </c>
      <c r="O21" s="27">
        <v>1</v>
      </c>
      <c r="P21" s="28">
        <v>23</v>
      </c>
      <c r="Q21" s="26">
        <v>0</v>
      </c>
      <c r="R21" s="26">
        <v>-26.19</v>
      </c>
      <c r="S21" s="25" t="s">
        <v>216</v>
      </c>
      <c r="T21" s="25" t="s">
        <v>240</v>
      </c>
      <c r="U21" s="25">
        <v>113.86</v>
      </c>
      <c r="V21" s="25">
        <f>SUM(U21*P21%)</f>
        <v>26.187799999999999</v>
      </c>
    </row>
    <row r="22" spans="1:22" x14ac:dyDescent="0.2">
      <c r="A22" s="19">
        <v>18828278</v>
      </c>
      <c r="B22" s="19" t="s">
        <v>227</v>
      </c>
      <c r="C22" s="11" t="s">
        <v>69</v>
      </c>
      <c r="D22" s="11" t="s">
        <v>70</v>
      </c>
      <c r="E22" s="11" t="s">
        <v>50</v>
      </c>
      <c r="F22" s="11" t="s">
        <v>66</v>
      </c>
      <c r="G22" s="11" t="s">
        <v>54</v>
      </c>
      <c r="H22" s="11" t="s">
        <v>56</v>
      </c>
      <c r="I22" s="19">
        <v>10</v>
      </c>
      <c r="J22" s="31" t="s">
        <v>254</v>
      </c>
      <c r="K22" s="11">
        <v>0</v>
      </c>
      <c r="L22" s="20">
        <v>113.86</v>
      </c>
      <c r="M22" s="11" t="s">
        <v>59</v>
      </c>
      <c r="N22" s="11" t="s">
        <v>60</v>
      </c>
      <c r="O22" s="21">
        <v>1</v>
      </c>
      <c r="P22" s="22">
        <v>23</v>
      </c>
      <c r="Q22" s="20">
        <v>26.19</v>
      </c>
      <c r="R22" s="20">
        <v>0</v>
      </c>
      <c r="S22" s="11" t="s">
        <v>216</v>
      </c>
      <c r="T22" s="11" t="s">
        <v>240</v>
      </c>
      <c r="U22" s="11">
        <v>113.86</v>
      </c>
      <c r="V22" s="11">
        <f>SUM(U22*P22%)</f>
        <v>26.187799999999999</v>
      </c>
    </row>
    <row r="23" spans="1:22" x14ac:dyDescent="0.2">
      <c r="A23" s="19">
        <v>18828278</v>
      </c>
      <c r="B23" s="19" t="s">
        <v>227</v>
      </c>
      <c r="C23" s="11" t="s">
        <v>63</v>
      </c>
      <c r="D23" s="11" t="s">
        <v>64</v>
      </c>
      <c r="E23" s="11" t="s">
        <v>50</v>
      </c>
      <c r="F23" s="11" t="s">
        <v>66</v>
      </c>
      <c r="G23" s="11" t="s">
        <v>54</v>
      </c>
      <c r="H23" s="11" t="s">
        <v>56</v>
      </c>
      <c r="I23" s="19">
        <v>10</v>
      </c>
      <c r="J23" s="31" t="s">
        <v>254</v>
      </c>
      <c r="K23" s="11">
        <v>0</v>
      </c>
      <c r="L23" s="20">
        <v>116.03</v>
      </c>
      <c r="M23" s="11" t="s">
        <v>59</v>
      </c>
      <c r="N23" s="11" t="s">
        <v>60</v>
      </c>
      <c r="O23" s="21">
        <v>1</v>
      </c>
      <c r="P23" s="22">
        <v>23</v>
      </c>
      <c r="Q23" s="20">
        <v>26.69</v>
      </c>
      <c r="R23" s="20">
        <v>0</v>
      </c>
      <c r="S23" s="11" t="s">
        <v>216</v>
      </c>
      <c r="T23" s="11" t="s">
        <v>240</v>
      </c>
      <c r="U23" s="11">
        <v>116.03</v>
      </c>
      <c r="V23" s="11">
        <f>SUM(U23*P23%)</f>
        <v>26.686900000000001</v>
      </c>
    </row>
    <row r="24" spans="1:22" x14ac:dyDescent="0.2">
      <c r="A24" s="19">
        <v>18828278</v>
      </c>
      <c r="B24" s="19" t="s">
        <v>227</v>
      </c>
      <c r="C24" s="11" t="s">
        <v>67</v>
      </c>
      <c r="D24" s="11" t="s">
        <v>68</v>
      </c>
      <c r="E24" s="11" t="s">
        <v>50</v>
      </c>
      <c r="F24" s="11" t="s">
        <v>66</v>
      </c>
      <c r="G24" s="11" t="s">
        <v>54</v>
      </c>
      <c r="H24" s="11" t="s">
        <v>56</v>
      </c>
      <c r="I24" s="19">
        <v>10</v>
      </c>
      <c r="J24" s="31" t="s">
        <v>254</v>
      </c>
      <c r="K24" s="11">
        <v>0</v>
      </c>
      <c r="L24" s="20">
        <v>128.66999999999999</v>
      </c>
      <c r="M24" s="11" t="s">
        <v>59</v>
      </c>
      <c r="N24" s="11" t="s">
        <v>60</v>
      </c>
      <c r="O24" s="21">
        <v>1</v>
      </c>
      <c r="P24" s="22">
        <v>23</v>
      </c>
      <c r="Q24" s="20">
        <v>29.59</v>
      </c>
      <c r="R24" s="20">
        <v>0</v>
      </c>
      <c r="S24" s="11" t="s">
        <v>216</v>
      </c>
      <c r="T24" s="11" t="s">
        <v>240</v>
      </c>
      <c r="U24" s="11">
        <v>128.66999999999999</v>
      </c>
      <c r="V24" s="11">
        <f>SUM(U24*P24%)</f>
        <v>29.594099999999997</v>
      </c>
    </row>
    <row r="25" spans="1:22" x14ac:dyDescent="0.2">
      <c r="A25" s="19">
        <v>18828278</v>
      </c>
      <c r="B25" s="19" t="s">
        <v>227</v>
      </c>
      <c r="C25" s="11" t="s">
        <v>86</v>
      </c>
      <c r="D25" s="11" t="s">
        <v>87</v>
      </c>
      <c r="E25" s="11" t="s">
        <v>50</v>
      </c>
      <c r="F25" s="11" t="s">
        <v>66</v>
      </c>
      <c r="G25" s="11" t="s">
        <v>54</v>
      </c>
      <c r="H25" s="11" t="s">
        <v>56</v>
      </c>
      <c r="I25" s="19">
        <v>10</v>
      </c>
      <c r="J25" s="31" t="s">
        <v>254</v>
      </c>
      <c r="K25" s="11">
        <v>0</v>
      </c>
      <c r="L25" s="20">
        <v>128.66999999999999</v>
      </c>
      <c r="M25" s="11" t="s">
        <v>59</v>
      </c>
      <c r="N25" s="11" t="s">
        <v>60</v>
      </c>
      <c r="O25" s="21">
        <v>1</v>
      </c>
      <c r="P25" s="22">
        <v>23</v>
      </c>
      <c r="Q25" s="20">
        <v>29.59</v>
      </c>
      <c r="R25" s="20">
        <v>0</v>
      </c>
      <c r="S25" s="11" t="s">
        <v>216</v>
      </c>
      <c r="T25" s="11" t="s">
        <v>240</v>
      </c>
      <c r="U25" s="11">
        <v>128.66999999999999</v>
      </c>
      <c r="V25" s="11">
        <f>SUM(U25*P25%)</f>
        <v>29.594099999999997</v>
      </c>
    </row>
    <row r="26" spans="1:22" x14ac:dyDescent="0.2">
      <c r="A26" s="19">
        <v>18828278</v>
      </c>
      <c r="B26" s="19" t="s">
        <v>227</v>
      </c>
      <c r="C26" s="11" t="s">
        <v>84</v>
      </c>
      <c r="D26" s="11" t="s">
        <v>85</v>
      </c>
      <c r="E26" s="11" t="s">
        <v>50</v>
      </c>
      <c r="F26" s="11" t="s">
        <v>66</v>
      </c>
      <c r="G26" s="11" t="s">
        <v>54</v>
      </c>
      <c r="H26" s="11" t="s">
        <v>56</v>
      </c>
      <c r="I26" s="19">
        <v>10</v>
      </c>
      <c r="J26" s="31" t="s">
        <v>254</v>
      </c>
      <c r="K26" s="11">
        <v>0</v>
      </c>
      <c r="L26" s="20">
        <v>129.38999999999999</v>
      </c>
      <c r="M26" s="11" t="s">
        <v>59</v>
      </c>
      <c r="N26" s="11" t="s">
        <v>60</v>
      </c>
      <c r="O26" s="21">
        <v>1</v>
      </c>
      <c r="P26" s="22">
        <v>23</v>
      </c>
      <c r="Q26" s="20">
        <v>29.76</v>
      </c>
      <c r="R26" s="20">
        <v>0</v>
      </c>
      <c r="S26" s="11" t="s">
        <v>216</v>
      </c>
      <c r="T26" s="11" t="s">
        <v>240</v>
      </c>
      <c r="U26" s="11">
        <v>129.38999999999999</v>
      </c>
      <c r="V26" s="11">
        <f>SUM(U26*P26%)</f>
        <v>29.759699999999999</v>
      </c>
    </row>
    <row r="27" spans="1:22" x14ac:dyDescent="0.2">
      <c r="A27" s="19">
        <v>18828278</v>
      </c>
      <c r="B27" s="19" t="s">
        <v>227</v>
      </c>
      <c r="C27" s="11" t="s">
        <v>80</v>
      </c>
      <c r="D27" s="11" t="s">
        <v>81</v>
      </c>
      <c r="E27" s="11" t="s">
        <v>50</v>
      </c>
      <c r="F27" s="11" t="s">
        <v>66</v>
      </c>
      <c r="G27" s="11" t="s">
        <v>54</v>
      </c>
      <c r="H27" s="11" t="s">
        <v>56</v>
      </c>
      <c r="I27" s="19">
        <v>10</v>
      </c>
      <c r="J27" s="31" t="s">
        <v>254</v>
      </c>
      <c r="K27" s="11">
        <v>0</v>
      </c>
      <c r="L27" s="20">
        <v>137.34</v>
      </c>
      <c r="M27" s="11" t="s">
        <v>59</v>
      </c>
      <c r="N27" s="11" t="s">
        <v>60</v>
      </c>
      <c r="O27" s="21">
        <v>1</v>
      </c>
      <c r="P27" s="22">
        <v>23</v>
      </c>
      <c r="Q27" s="20">
        <v>31.59</v>
      </c>
      <c r="R27" s="20">
        <v>0</v>
      </c>
      <c r="S27" s="11" t="s">
        <v>216</v>
      </c>
      <c r="T27" s="11" t="s">
        <v>240</v>
      </c>
      <c r="U27" s="11">
        <v>137.34</v>
      </c>
      <c r="V27" s="11">
        <f>SUM(U27*P27%)</f>
        <v>31.588200000000001</v>
      </c>
    </row>
    <row r="28" spans="1:22" x14ac:dyDescent="0.2">
      <c r="A28" s="19">
        <v>18828278</v>
      </c>
      <c r="B28" s="19" t="s">
        <v>227</v>
      </c>
      <c r="C28" s="11" t="s">
        <v>71</v>
      </c>
      <c r="D28" s="11" t="s">
        <v>72</v>
      </c>
      <c r="E28" s="11" t="s">
        <v>50</v>
      </c>
      <c r="F28" s="11" t="s">
        <v>73</v>
      </c>
      <c r="G28" s="11" t="s">
        <v>54</v>
      </c>
      <c r="H28" s="11" t="s">
        <v>56</v>
      </c>
      <c r="I28" s="19">
        <v>11</v>
      </c>
      <c r="J28" s="31" t="s">
        <v>254</v>
      </c>
      <c r="K28" s="11">
        <v>0</v>
      </c>
      <c r="L28" s="20">
        <v>113.86</v>
      </c>
      <c r="M28" s="11" t="s">
        <v>59</v>
      </c>
      <c r="N28" s="11" t="s">
        <v>60</v>
      </c>
      <c r="O28" s="21">
        <v>1</v>
      </c>
      <c r="P28" s="22">
        <v>23</v>
      </c>
      <c r="Q28" s="20">
        <v>26.19</v>
      </c>
      <c r="R28" s="20">
        <v>0</v>
      </c>
      <c r="S28" s="11" t="s">
        <v>216</v>
      </c>
      <c r="T28" s="11" t="s">
        <v>240</v>
      </c>
      <c r="U28" s="11">
        <v>113.86</v>
      </c>
      <c r="V28" s="11">
        <f>SUM(U28*P28%)</f>
        <v>26.187799999999999</v>
      </c>
    </row>
    <row r="29" spans="1:22" x14ac:dyDescent="0.2">
      <c r="A29" s="19">
        <v>18828278</v>
      </c>
      <c r="B29" s="19" t="s">
        <v>227</v>
      </c>
      <c r="C29" s="11" t="s">
        <v>77</v>
      </c>
      <c r="D29" s="11" t="s">
        <v>78</v>
      </c>
      <c r="E29" s="11" t="s">
        <v>50</v>
      </c>
      <c r="F29" s="11" t="s">
        <v>76</v>
      </c>
      <c r="G29" s="11" t="s">
        <v>54</v>
      </c>
      <c r="H29" s="11" t="s">
        <v>56</v>
      </c>
      <c r="I29" s="19">
        <v>12</v>
      </c>
      <c r="J29" s="31" t="s">
        <v>254</v>
      </c>
      <c r="K29" s="11">
        <v>0</v>
      </c>
      <c r="L29" s="20">
        <v>129.38999999999999</v>
      </c>
      <c r="M29" s="11" t="s">
        <v>59</v>
      </c>
      <c r="N29" s="11" t="s">
        <v>60</v>
      </c>
      <c r="O29" s="21">
        <v>1</v>
      </c>
      <c r="P29" s="22">
        <v>23</v>
      </c>
      <c r="Q29" s="20">
        <v>29.76</v>
      </c>
      <c r="R29" s="20">
        <v>0</v>
      </c>
      <c r="S29" s="11" t="s">
        <v>216</v>
      </c>
      <c r="T29" s="11" t="s">
        <v>240</v>
      </c>
      <c r="U29" s="11">
        <v>129.38999999999999</v>
      </c>
      <c r="V29" s="11">
        <f>SUM(U29*P29%)</f>
        <v>29.759699999999999</v>
      </c>
    </row>
    <row r="30" spans="1:22" x14ac:dyDescent="0.2">
      <c r="A30" s="19">
        <v>18828278</v>
      </c>
      <c r="B30" s="19" t="s">
        <v>227</v>
      </c>
      <c r="C30" s="11" t="s">
        <v>74</v>
      </c>
      <c r="D30" s="11" t="s">
        <v>75</v>
      </c>
      <c r="E30" s="11" t="s">
        <v>50</v>
      </c>
      <c r="F30" s="11" t="s">
        <v>76</v>
      </c>
      <c r="G30" s="11" t="s">
        <v>54</v>
      </c>
      <c r="H30" s="11" t="s">
        <v>56</v>
      </c>
      <c r="I30" s="19">
        <v>12</v>
      </c>
      <c r="J30" s="31" t="s">
        <v>254</v>
      </c>
      <c r="K30" s="11">
        <v>0</v>
      </c>
      <c r="L30" s="20">
        <v>151.24</v>
      </c>
      <c r="M30" s="11" t="s">
        <v>59</v>
      </c>
      <c r="N30" s="11" t="s">
        <v>60</v>
      </c>
      <c r="O30" s="21">
        <v>1</v>
      </c>
      <c r="P30" s="22">
        <v>23</v>
      </c>
      <c r="Q30" s="20">
        <v>34.79</v>
      </c>
      <c r="R30" s="20">
        <v>0</v>
      </c>
      <c r="S30" s="11" t="s">
        <v>216</v>
      </c>
      <c r="T30" s="11" t="s">
        <v>240</v>
      </c>
      <c r="U30" s="11">
        <v>151.24</v>
      </c>
      <c r="V30" s="11">
        <f>SUM(U30*P30%)</f>
        <v>34.785200000000003</v>
      </c>
    </row>
    <row r="31" spans="1:22" x14ac:dyDescent="0.2">
      <c r="A31" s="30" t="s">
        <v>256</v>
      </c>
      <c r="B31" s="24" t="s">
        <v>238</v>
      </c>
      <c r="C31" s="25" t="s">
        <v>189</v>
      </c>
      <c r="D31" s="25" t="s">
        <v>190</v>
      </c>
      <c r="E31" s="25" t="s">
        <v>50</v>
      </c>
      <c r="F31" s="25" t="s">
        <v>54</v>
      </c>
      <c r="G31" s="25" t="s">
        <v>192</v>
      </c>
      <c r="H31" s="25" t="s">
        <v>56</v>
      </c>
      <c r="I31" s="24">
        <v>1</v>
      </c>
      <c r="J31" s="30" t="s">
        <v>252</v>
      </c>
      <c r="K31" s="25">
        <v>0</v>
      </c>
      <c r="L31" s="26">
        <v>36.08</v>
      </c>
      <c r="M31" s="25" t="s">
        <v>59</v>
      </c>
      <c r="N31" s="25" t="s">
        <v>193</v>
      </c>
      <c r="O31" s="27">
        <v>1</v>
      </c>
      <c r="P31" s="28">
        <v>52</v>
      </c>
      <c r="Q31" s="26">
        <v>18.760000000000002</v>
      </c>
      <c r="R31" s="26">
        <v>0</v>
      </c>
      <c r="S31" s="25" t="s">
        <v>224</v>
      </c>
      <c r="T31" s="25" t="s">
        <v>245</v>
      </c>
      <c r="U31" s="25">
        <v>36.08</v>
      </c>
      <c r="V31" s="25">
        <f>SUM(U31*P31%)</f>
        <v>18.761600000000001</v>
      </c>
    </row>
    <row r="32" spans="1:22" x14ac:dyDescent="0.2">
      <c r="A32" s="19">
        <v>16633294</v>
      </c>
      <c r="B32" s="19" t="s">
        <v>238</v>
      </c>
      <c r="C32" s="11" t="s">
        <v>213</v>
      </c>
      <c r="D32" s="11" t="s">
        <v>214</v>
      </c>
      <c r="E32" s="11" t="s">
        <v>50</v>
      </c>
      <c r="F32" s="11" t="s">
        <v>201</v>
      </c>
      <c r="G32" s="11" t="s">
        <v>139</v>
      </c>
      <c r="H32" s="11" t="s">
        <v>56</v>
      </c>
      <c r="I32" s="19">
        <v>17</v>
      </c>
      <c r="J32" s="31" t="s">
        <v>254</v>
      </c>
      <c r="K32" s="11">
        <v>0</v>
      </c>
      <c r="L32" s="20">
        <v>36.08</v>
      </c>
      <c r="M32" s="11" t="s">
        <v>99</v>
      </c>
      <c r="N32" s="11" t="s">
        <v>100</v>
      </c>
      <c r="O32" s="21">
        <v>1</v>
      </c>
      <c r="P32" s="22">
        <v>3</v>
      </c>
      <c r="Q32" s="20">
        <v>1.08</v>
      </c>
      <c r="R32" s="20">
        <v>0</v>
      </c>
      <c r="S32" s="11" t="s">
        <v>224</v>
      </c>
      <c r="T32" s="11" t="s">
        <v>245</v>
      </c>
      <c r="U32" s="11">
        <v>36.08</v>
      </c>
      <c r="V32" s="11">
        <f>SUM(U32*P32%)</f>
        <v>1.0823999999999998</v>
      </c>
    </row>
    <row r="33" spans="1:22" x14ac:dyDescent="0.2">
      <c r="A33" s="19">
        <v>16633294</v>
      </c>
      <c r="B33" s="19" t="s">
        <v>238</v>
      </c>
      <c r="C33" s="11" t="s">
        <v>198</v>
      </c>
      <c r="D33" s="11" t="s">
        <v>199</v>
      </c>
      <c r="E33" s="11" t="s">
        <v>50</v>
      </c>
      <c r="F33" s="11" t="s">
        <v>201</v>
      </c>
      <c r="G33" s="11" t="s">
        <v>139</v>
      </c>
      <c r="H33" s="11" t="s">
        <v>56</v>
      </c>
      <c r="I33" s="19">
        <v>17</v>
      </c>
      <c r="J33" s="31" t="s">
        <v>254</v>
      </c>
      <c r="K33" s="11">
        <v>0</v>
      </c>
      <c r="L33" s="20">
        <v>79.28</v>
      </c>
      <c r="M33" s="11" t="s">
        <v>99</v>
      </c>
      <c r="N33" s="11" t="s">
        <v>100</v>
      </c>
      <c r="O33" s="21">
        <v>1</v>
      </c>
      <c r="P33" s="22">
        <v>3</v>
      </c>
      <c r="Q33" s="20">
        <v>2.38</v>
      </c>
      <c r="R33" s="20">
        <v>0</v>
      </c>
      <c r="S33" s="11" t="s">
        <v>224</v>
      </c>
      <c r="T33" s="11" t="s">
        <v>246</v>
      </c>
      <c r="U33" s="11">
        <v>79.28</v>
      </c>
      <c r="V33" s="11">
        <f>SUM(U33*P33%)</f>
        <v>2.3784000000000001</v>
      </c>
    </row>
    <row r="34" spans="1:22" x14ac:dyDescent="0.2">
      <c r="A34" s="19">
        <v>8977234</v>
      </c>
      <c r="B34" s="19" t="s">
        <v>230</v>
      </c>
      <c r="C34" s="11" t="s">
        <v>110</v>
      </c>
      <c r="D34" s="11" t="s">
        <v>111</v>
      </c>
      <c r="E34" s="11" t="s">
        <v>112</v>
      </c>
      <c r="F34" s="11" t="s">
        <v>113</v>
      </c>
      <c r="G34" s="11" t="s">
        <v>114</v>
      </c>
      <c r="H34" s="11" t="s">
        <v>56</v>
      </c>
      <c r="I34" s="19">
        <v>1</v>
      </c>
      <c r="J34" s="31" t="s">
        <v>254</v>
      </c>
      <c r="K34" s="11">
        <v>100</v>
      </c>
      <c r="L34" s="20">
        <v>153.03</v>
      </c>
      <c r="M34" s="11" t="s">
        <v>59</v>
      </c>
      <c r="N34" s="11" t="s">
        <v>108</v>
      </c>
      <c r="O34" s="21">
        <v>1</v>
      </c>
      <c r="P34" s="22">
        <v>67.5</v>
      </c>
      <c r="Q34" s="20">
        <v>0</v>
      </c>
      <c r="R34" s="20">
        <v>-103.3</v>
      </c>
      <c r="S34" s="11" t="s">
        <v>218</v>
      </c>
      <c r="T34" s="11" t="s">
        <v>242</v>
      </c>
      <c r="U34" s="11">
        <v>153.03</v>
      </c>
      <c r="V34" s="11">
        <f>SUM(U34*P34%)</f>
        <v>103.29525000000001</v>
      </c>
    </row>
    <row r="35" spans="1:22" x14ac:dyDescent="0.2">
      <c r="A35" s="19">
        <v>8977234</v>
      </c>
      <c r="B35" s="19" t="s">
        <v>230</v>
      </c>
      <c r="C35" s="11" t="s">
        <v>172</v>
      </c>
      <c r="D35" s="11" t="s">
        <v>173</v>
      </c>
      <c r="E35" s="11" t="s">
        <v>130</v>
      </c>
      <c r="F35" s="11" t="s">
        <v>174</v>
      </c>
      <c r="G35" s="11" t="s">
        <v>150</v>
      </c>
      <c r="H35" s="11" t="s">
        <v>56</v>
      </c>
      <c r="I35" s="19">
        <v>12</v>
      </c>
      <c r="J35" s="31" t="s">
        <v>254</v>
      </c>
      <c r="K35" s="11">
        <v>82</v>
      </c>
      <c r="L35" s="20">
        <v>180</v>
      </c>
      <c r="M35" s="11" t="s">
        <v>59</v>
      </c>
      <c r="N35" s="11" t="s">
        <v>60</v>
      </c>
      <c r="O35" s="21">
        <v>1</v>
      </c>
      <c r="P35" s="22">
        <v>67.5</v>
      </c>
      <c r="Q35" s="20">
        <v>121.5</v>
      </c>
      <c r="R35" s="20">
        <v>0</v>
      </c>
      <c r="S35" s="11" t="s">
        <v>218</v>
      </c>
      <c r="T35" s="11" t="s">
        <v>242</v>
      </c>
      <c r="U35" s="11">
        <v>180</v>
      </c>
      <c r="V35" s="11">
        <f>SUM(U35*P35%)</f>
        <v>121.50000000000001</v>
      </c>
    </row>
    <row r="36" spans="1:22" x14ac:dyDescent="0.2">
      <c r="A36" s="19">
        <v>21122864</v>
      </c>
      <c r="B36" s="19" t="s">
        <v>233</v>
      </c>
      <c r="C36" s="11" t="s">
        <v>135</v>
      </c>
      <c r="D36" s="11" t="s">
        <v>136</v>
      </c>
      <c r="E36" s="11" t="s">
        <v>137</v>
      </c>
      <c r="F36" s="11" t="s">
        <v>138</v>
      </c>
      <c r="G36" s="11" t="s">
        <v>139</v>
      </c>
      <c r="H36" s="11" t="s">
        <v>56</v>
      </c>
      <c r="I36" s="19">
        <v>7</v>
      </c>
      <c r="J36" s="31" t="s">
        <v>254</v>
      </c>
      <c r="K36" s="11">
        <v>20</v>
      </c>
      <c r="L36" s="20">
        <v>78.680000000000007</v>
      </c>
      <c r="M36" s="11" t="s">
        <v>59</v>
      </c>
      <c r="N36" s="11" t="s">
        <v>60</v>
      </c>
      <c r="O36" s="21">
        <v>1</v>
      </c>
      <c r="P36" s="22">
        <v>135</v>
      </c>
      <c r="Q36" s="20">
        <v>0</v>
      </c>
      <c r="R36" s="20">
        <v>-106.22</v>
      </c>
      <c r="S36" s="11" t="s">
        <v>220</v>
      </c>
      <c r="T36" s="11" t="s">
        <v>243</v>
      </c>
      <c r="U36" s="11">
        <v>78.680000000000007</v>
      </c>
      <c r="V36" s="11">
        <f>SUM(U36*P36%)</f>
        <v>106.21800000000002</v>
      </c>
    </row>
    <row r="37" spans="1:22" x14ac:dyDescent="0.2">
      <c r="A37" s="24">
        <v>371819</v>
      </c>
      <c r="B37" s="24" t="s">
        <v>231</v>
      </c>
      <c r="C37" s="25" t="s">
        <v>116</v>
      </c>
      <c r="D37" s="25" t="s">
        <v>117</v>
      </c>
      <c r="E37" s="25" t="s">
        <v>118</v>
      </c>
      <c r="F37" s="25" t="s">
        <v>120</v>
      </c>
      <c r="G37" s="25" t="s">
        <v>121</v>
      </c>
      <c r="H37" s="25" t="s">
        <v>56</v>
      </c>
      <c r="I37" s="24">
        <v>1</v>
      </c>
      <c r="J37" s="30" t="s">
        <v>253</v>
      </c>
      <c r="K37" s="25">
        <v>5</v>
      </c>
      <c r="L37" s="26">
        <v>-31.53</v>
      </c>
      <c r="M37" s="25" t="s">
        <v>59</v>
      </c>
      <c r="N37" s="25" t="s">
        <v>122</v>
      </c>
      <c r="O37" s="27">
        <v>1</v>
      </c>
      <c r="P37" s="28">
        <v>135</v>
      </c>
      <c r="Q37" s="26">
        <v>0</v>
      </c>
      <c r="R37" s="26">
        <v>42.57</v>
      </c>
      <c r="S37" s="25" t="s">
        <v>219</v>
      </c>
      <c r="T37" s="25" t="s">
        <v>243</v>
      </c>
      <c r="U37" s="25">
        <v>31.53</v>
      </c>
      <c r="V37" s="25">
        <f>SUM(U37*P37%)</f>
        <v>42.565500000000007</v>
      </c>
    </row>
    <row r="38" spans="1:22" x14ac:dyDescent="0.2">
      <c r="A38" s="19">
        <v>17886092</v>
      </c>
      <c r="B38" s="19" t="s">
        <v>237</v>
      </c>
      <c r="C38" s="11" t="s">
        <v>180</v>
      </c>
      <c r="D38" s="11" t="s">
        <v>181</v>
      </c>
      <c r="E38" s="11" t="s">
        <v>92</v>
      </c>
      <c r="F38" s="11" t="s">
        <v>182</v>
      </c>
      <c r="G38" s="11" t="s">
        <v>183</v>
      </c>
      <c r="H38" s="11" t="s">
        <v>56</v>
      </c>
      <c r="I38" s="19">
        <v>16</v>
      </c>
      <c r="J38" s="31" t="s">
        <v>254</v>
      </c>
      <c r="K38" s="11">
        <v>10</v>
      </c>
      <c r="L38" s="20">
        <v>52.07</v>
      </c>
      <c r="M38" s="11" t="s">
        <v>99</v>
      </c>
      <c r="N38" s="11" t="s">
        <v>100</v>
      </c>
      <c r="O38" s="21">
        <v>1</v>
      </c>
      <c r="P38" s="22">
        <v>2.5</v>
      </c>
      <c r="Q38" s="20">
        <v>1.3</v>
      </c>
      <c r="R38" s="20">
        <v>0</v>
      </c>
      <c r="S38" s="11" t="s">
        <v>223</v>
      </c>
      <c r="T38" s="11" t="s">
        <v>243</v>
      </c>
      <c r="U38" s="11">
        <v>52.07</v>
      </c>
      <c r="V38" s="11">
        <f>SUM(U38*P38%)</f>
        <v>1.3017500000000002</v>
      </c>
    </row>
  </sheetData>
  <sortState xmlns:xlrd2="http://schemas.microsoft.com/office/spreadsheetml/2017/richdata2" ref="A2:V17">
    <sortCondition ref="B2: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2025-12-26T11:36:24Z</dcterms:created>
  <dcterms:modified xsi:type="dcterms:W3CDTF">2025-12-27T20:15:54Z</dcterms:modified>
</cp:coreProperties>
</file>