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2-31-25\"/>
    </mc:Choice>
  </mc:AlternateContent>
  <xr:revisionPtr revIDLastSave="0" documentId="13_ncr:1_{B58549F5-4C31-45E4-AA30-5367EE53ECE0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2" sheetId="5" r:id="rId4"/>
  </sheets>
  <definedNames>
    <definedName name="_xlnm._FilterDatabase" localSheetId="2" hidden="1">'clean sheet'!$A$1:$Z$47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1" i="5"/>
</calcChain>
</file>

<file path=xl/sharedStrings.xml><?xml version="1.0" encoding="utf-8"?>
<sst xmlns="http://schemas.openxmlformats.org/spreadsheetml/2006/main" count="1716" uniqueCount="307">
  <si>
    <t>MUTUAL OF OMAHA</t>
  </si>
  <si>
    <t>SUMMARY COMPENSATION STATEMENT</t>
  </si>
  <si>
    <t>For Period Ending 12/29/2025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</si>
  <si>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</si>
  <si>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</si>
  <si>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</si>
  <si>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</si>
  <si>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</si>
  <si>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</si>
  <si>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</si>
  <si>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</si>
  <si>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</si>
  <si>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</si>
  <si>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</si>
  <si>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</si>
  <si>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</si>
  <si>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</si>
  <si>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</si>
  <si>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</si>
  <si>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</si>
  <si>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</si>
  <si>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</si>
  <si>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</si>
  <si>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</si>
  <si>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</si>
  <si>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</si>
  <si>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</si>
  <si>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</si>
  <si>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</si>
  <si>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</si>
  <si>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</si>
  <si>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</si>
  <si>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</si>
  <si>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</si>
  <si>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</si>
  <si>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</si>
  <si>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</si>
  <si>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</si>
  <si>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</si>
  <si>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</si>
  <si>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</si>
  <si>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</si>
  <si>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</si>
  <si>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</si>
  <si>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</si>
  <si>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</si>
  <si>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</si>
  <si>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0815390</t>
  </si>
  <si>
    <t>432039-41</t>
  </si>
  <si>
    <t>LENCEWICZ MONICA</t>
  </si>
  <si>
    <t>NC</t>
  </si>
  <si>
    <t>12/29/2025</t>
  </si>
  <si>
    <t>NM24HL</t>
  </si>
  <si>
    <t>01/01/2026</t>
  </si>
  <si>
    <t>02/01/2026</t>
  </si>
  <si>
    <t/>
  </si>
  <si>
    <t>M</t>
  </si>
  <si>
    <t>BSP</t>
  </si>
  <si>
    <t>001</t>
  </si>
  <si>
    <t>F</t>
  </si>
  <si>
    <t>NEW COV ISS</t>
  </si>
  <si>
    <t>100.0%</t>
  </si>
  <si>
    <t>GURU INSURANCE MARKETING, LLC</t>
  </si>
  <si>
    <t>1174646</t>
  </si>
  <si>
    <t>630114-97</t>
  </si>
  <si>
    <t>KATH ANITA</t>
  </si>
  <si>
    <t>IL</t>
  </si>
  <si>
    <t>03/01/2025</t>
  </si>
  <si>
    <t>BFY PAYMENT</t>
  </si>
  <si>
    <t>642060-97</t>
  </si>
  <si>
    <t>COLLINS JIM</t>
  </si>
  <si>
    <t>04/01/2025</t>
  </si>
  <si>
    <t>655858-97</t>
  </si>
  <si>
    <t>KINGDON RANDALL</t>
  </si>
  <si>
    <t>682141-97</t>
  </si>
  <si>
    <t>FORBES SCOTT</t>
  </si>
  <si>
    <t>12/23/2025</t>
  </si>
  <si>
    <t>07/01/2025</t>
  </si>
  <si>
    <t>0893387</t>
  </si>
  <si>
    <t>957939-96</t>
  </si>
  <si>
    <t>BIORDI JR JOHN</t>
  </si>
  <si>
    <t>12/24/2025</t>
  </si>
  <si>
    <t>06/01/2024</t>
  </si>
  <si>
    <t>R</t>
  </si>
  <si>
    <t>RENEWAL PYMT</t>
  </si>
  <si>
    <t>0513364</t>
  </si>
  <si>
    <t>557317-97</t>
  </si>
  <si>
    <t>RCOM LUONG</t>
  </si>
  <si>
    <t>01/01/2025</t>
  </si>
  <si>
    <t>UNITED</t>
  </si>
  <si>
    <t>0648177</t>
  </si>
  <si>
    <t>752443-96</t>
  </si>
  <si>
    <t>DULIN DONA</t>
  </si>
  <si>
    <t>PA</t>
  </si>
  <si>
    <t>UM35HLV</t>
  </si>
  <si>
    <t>01/01/2024</t>
  </si>
  <si>
    <t>0957310</t>
  </si>
  <si>
    <t>526481-97</t>
  </si>
  <si>
    <t>HASSETT LINDA</t>
  </si>
  <si>
    <t>UM36LV</t>
  </si>
  <si>
    <t>663680-96</t>
  </si>
  <si>
    <t>DELPRATO KAREN</t>
  </si>
  <si>
    <t>09/01/2023</t>
  </si>
  <si>
    <t>731905-96</t>
  </si>
  <si>
    <t>JONES BRIAN</t>
  </si>
  <si>
    <t>UM24HLV</t>
  </si>
  <si>
    <t>12/01/2023</t>
  </si>
  <si>
    <t>01/01/2027</t>
  </si>
  <si>
    <t>A</t>
  </si>
  <si>
    <t>REG</t>
  </si>
  <si>
    <t>012</t>
  </si>
  <si>
    <t>INNOVATIVE FINANCIAL PARTNERS LLC</t>
  </si>
  <si>
    <t>0899216</t>
  </si>
  <si>
    <t>BU5029108</t>
  </si>
  <si>
    <t>ENGELSKIRCH MICHELLE</t>
  </si>
  <si>
    <t>MD</t>
  </si>
  <si>
    <t>IXEXP1</t>
  </si>
  <si>
    <t>12/23/2024</t>
  </si>
  <si>
    <t>01/23/2026</t>
  </si>
  <si>
    <t>BU5290420</t>
  </si>
  <si>
    <t>BURKS TONY</t>
  </si>
  <si>
    <t>TX</t>
  </si>
  <si>
    <t>05/21/2025</t>
  </si>
  <si>
    <t>01/21/2026</t>
  </si>
  <si>
    <t>BU5238473</t>
  </si>
  <si>
    <t>WALDING LINDA</t>
  </si>
  <si>
    <t>04/16/2025</t>
  </si>
  <si>
    <t>01/16/2026</t>
  </si>
  <si>
    <t>BU5194609</t>
  </si>
  <si>
    <t>VELEZ MARITZA</t>
  </si>
  <si>
    <t>04/20/2025</t>
  </si>
  <si>
    <t>01/20/2026</t>
  </si>
  <si>
    <t>BU5066653</t>
  </si>
  <si>
    <t>HOBBS MARCELLA</t>
  </si>
  <si>
    <t>FEPG 1</t>
  </si>
  <si>
    <t>01/24/2025</t>
  </si>
  <si>
    <t>01/24/2026</t>
  </si>
  <si>
    <t>BU5065882</t>
  </si>
  <si>
    <t>LEONARD PHYLLIS</t>
  </si>
  <si>
    <t>02/20/2025</t>
  </si>
  <si>
    <t>0821331</t>
  </si>
  <si>
    <t>BU5260541</t>
  </si>
  <si>
    <t>SMITH BETTI</t>
  </si>
  <si>
    <t>NJ</t>
  </si>
  <si>
    <t>05/02/2025</t>
  </si>
  <si>
    <t>01/02/2026</t>
  </si>
  <si>
    <t>0815797</t>
  </si>
  <si>
    <t>BU4758764</t>
  </si>
  <si>
    <t>MILLER BRENDA</t>
  </si>
  <si>
    <t>FEPL 1</t>
  </si>
  <si>
    <t>07/19/2024</t>
  </si>
  <si>
    <t>01/19/2026</t>
  </si>
  <si>
    <t>0606680</t>
  </si>
  <si>
    <t>BU5192489</t>
  </si>
  <si>
    <t>DAVIS ELBA</t>
  </si>
  <si>
    <t>TE15 1</t>
  </si>
  <si>
    <t>04/23/2025</t>
  </si>
  <si>
    <t>BU5149560</t>
  </si>
  <si>
    <t>KRUGER MAASER LOUISE</t>
  </si>
  <si>
    <t>FL</t>
  </si>
  <si>
    <t>03/21/2025</t>
  </si>
  <si>
    <t>0257168</t>
  </si>
  <si>
    <t>BU5131276</t>
  </si>
  <si>
    <t>SMITH NANCY</t>
  </si>
  <si>
    <t>AR</t>
  </si>
  <si>
    <t>BU5065764</t>
  </si>
  <si>
    <t>WOODWARD OLIBUEL</t>
  </si>
  <si>
    <t>TN</t>
  </si>
  <si>
    <t>01/23/2025</t>
  </si>
  <si>
    <t>1099222</t>
  </si>
  <si>
    <t>BU5074530</t>
  </si>
  <si>
    <t>JOHNSON AMBER</t>
  </si>
  <si>
    <t>MO</t>
  </si>
  <si>
    <t>E30301</t>
  </si>
  <si>
    <t>BU5074498</t>
  </si>
  <si>
    <t>JOHNSON WILLIAM</t>
  </si>
  <si>
    <t>BU5359993</t>
  </si>
  <si>
    <t>MILLER GINGER</t>
  </si>
  <si>
    <t>MI</t>
  </si>
  <si>
    <t>06/20/2025</t>
  </si>
  <si>
    <t>BU5410590</t>
  </si>
  <si>
    <t>HUNT STACY</t>
  </si>
  <si>
    <t>07/21/2025</t>
  </si>
  <si>
    <t>BU5595319</t>
  </si>
  <si>
    <t>HANAFI COLEEN</t>
  </si>
  <si>
    <t>AZ</t>
  </si>
  <si>
    <t>09/22/2025</t>
  </si>
  <si>
    <t>01/22/2026</t>
  </si>
  <si>
    <t>BU6209153</t>
  </si>
  <si>
    <t>ROUSE JESSICA</t>
  </si>
  <si>
    <t>11/23/2025</t>
  </si>
  <si>
    <t>BU6209154</t>
  </si>
  <si>
    <t>ROUSE CALEB</t>
  </si>
  <si>
    <t>BU5348304</t>
  </si>
  <si>
    <t>THOMAS TOMIKA</t>
  </si>
  <si>
    <t>E20201</t>
  </si>
  <si>
    <t>LAPSE</t>
  </si>
  <si>
    <t>BU6235097</t>
  </si>
  <si>
    <t>GREGOR STUART</t>
  </si>
  <si>
    <t>12/21/2025</t>
  </si>
  <si>
    <t>NEW ISS PYMT</t>
  </si>
  <si>
    <t>1199312</t>
  </si>
  <si>
    <t>BU5378945</t>
  </si>
  <si>
    <t>GOETZ CRAIG</t>
  </si>
  <si>
    <t>10GPT1</t>
  </si>
  <si>
    <t>04/22/2025</t>
  </si>
  <si>
    <t>BU5547009</t>
  </si>
  <si>
    <t>ELLIS JAMES</t>
  </si>
  <si>
    <t>09/23/2025</t>
  </si>
  <si>
    <t>BU5627548</t>
  </si>
  <si>
    <t>FAY DONALD</t>
  </si>
  <si>
    <t>10/21/2025</t>
  </si>
  <si>
    <t>BU6269156</t>
  </si>
  <si>
    <t>MORELLI JAMES</t>
  </si>
  <si>
    <t>MT</t>
  </si>
  <si>
    <t>CONV ADJ</t>
  </si>
  <si>
    <t>0891882</t>
  </si>
  <si>
    <t>BU5619032</t>
  </si>
  <si>
    <t>GANNON TIMOTHY</t>
  </si>
  <si>
    <t>09/25/2025</t>
  </si>
  <si>
    <t>11/25/2025</t>
  </si>
  <si>
    <t>0892054</t>
  </si>
  <si>
    <t>BU5317505</t>
  </si>
  <si>
    <t>BEDELL BRENDA</t>
  </si>
  <si>
    <t>05/20/2025</t>
  </si>
  <si>
    <t>0816910</t>
  </si>
  <si>
    <t>BU6251354</t>
  </si>
  <si>
    <t>EUGENE PRINCESSE</t>
  </si>
  <si>
    <t>MUTUAL</t>
  </si>
  <si>
    <t>859539-97</t>
  </si>
  <si>
    <t>SMITH KAREN</t>
  </si>
  <si>
    <t>MM25HL</t>
  </si>
  <si>
    <t>11/01/2025</t>
  </si>
  <si>
    <t>0894080</t>
  </si>
  <si>
    <t>522176-97</t>
  </si>
  <si>
    <t>OSTALA BARBARA</t>
  </si>
  <si>
    <t>DNT2IL</t>
  </si>
  <si>
    <t>11/28/2024</t>
  </si>
  <si>
    <t>01/28/2026</t>
  </si>
  <si>
    <t>759612-96</t>
  </si>
  <si>
    <t>MILBOURNE DONNA</t>
  </si>
  <si>
    <t>MM35HL</t>
  </si>
  <si>
    <t>488716-97</t>
  </si>
  <si>
    <t>POWERS APRIL</t>
  </si>
  <si>
    <t>DNT5IL</t>
  </si>
  <si>
    <t>488722-97</t>
  </si>
  <si>
    <t>POWERS THOMAS</t>
  </si>
  <si>
    <t>656922-97</t>
  </si>
  <si>
    <t>WALENGA DALE</t>
  </si>
  <si>
    <t>551656-97</t>
  </si>
  <si>
    <t>HAGEN CHERYL</t>
  </si>
  <si>
    <t>Q</t>
  </si>
  <si>
    <t>TERM-OTHER</t>
  </si>
  <si>
    <t>agent name</t>
  </si>
  <si>
    <t>monthly mlb premium</t>
  </si>
  <si>
    <t>monthly mlb comm</t>
  </si>
  <si>
    <t>Medicare Supplement Plan G</t>
  </si>
  <si>
    <t>Medicare Supplement Plan G High Deductible</t>
  </si>
  <si>
    <t>Medicare Supplement Plan N</t>
  </si>
  <si>
    <t>Iul Express</t>
  </si>
  <si>
    <t xml:space="preserve">Living Promise-graded                   </t>
  </si>
  <si>
    <t xml:space="preserve">Living Promise - Level  Benefit         </t>
  </si>
  <si>
    <t>Term Life Express 10 15 20 30</t>
  </si>
  <si>
    <t>Tle 20-20yr Guar</t>
  </si>
  <si>
    <t>Term Life Answer 10 15 20 30</t>
  </si>
  <si>
    <t xml:space="preserve">Preferred Plan (a) Dnt2i                </t>
  </si>
  <si>
    <t xml:space="preserve">Protection  Plan (c) Dnt5i              </t>
  </si>
  <si>
    <t>product from BOB</t>
  </si>
  <si>
    <t>mlb product</t>
  </si>
  <si>
    <t>Carol Foley</t>
  </si>
  <si>
    <t>Michael Dunavant</t>
  </si>
  <si>
    <t>Gregory Teipel</t>
  </si>
  <si>
    <t>Anne Marie Kozacheck</t>
  </si>
  <si>
    <t>Ronald Max</t>
  </si>
  <si>
    <t>Murray Sterner</t>
  </si>
  <si>
    <t>Deborah Inskipt</t>
  </si>
  <si>
    <t>Ryan Caltagirone</t>
  </si>
  <si>
    <t>Thomas Pardue</t>
  </si>
  <si>
    <t>Matthew Daugherty</t>
  </si>
  <si>
    <t>James Allen</t>
  </si>
  <si>
    <t>Andrew Choi</t>
  </si>
  <si>
    <t>Frank Liskovec</t>
  </si>
  <si>
    <t>Adam Richter</t>
  </si>
  <si>
    <t>Jacob Yale</t>
  </si>
  <si>
    <t>Dale Walenga</t>
  </si>
  <si>
    <t>Med Supp MD/NJ/TN/VA/WY Ages 65-83</t>
  </si>
  <si>
    <t>Med Supp IL/DE/TX/IN Ages 65-83</t>
  </si>
  <si>
    <t>Medicare Supp- PA Plans High Deductible F,G,&amp;N 65+</t>
  </si>
  <si>
    <t>Medicare Supp- PA All Plans Except H.D F, H.D G, and Plan N New Business</t>
  </si>
  <si>
    <t>FEX Level Ages 45-80</t>
  </si>
  <si>
    <t>Universal Life</t>
  </si>
  <si>
    <t>Living Promise Graded</t>
  </si>
  <si>
    <t>Term Life Express</t>
  </si>
  <si>
    <t>Term Life Answers 10 Year Term</t>
  </si>
  <si>
    <t>IUL express</t>
  </si>
  <si>
    <t>2024 Term Life Express: IXEXP1 Term Life Conversion to IUL in years 6+ of term issue date</t>
  </si>
  <si>
    <t>National Dental</t>
  </si>
  <si>
    <t>MD HD F,G,N</t>
  </si>
  <si>
    <t>IULE TP</t>
  </si>
  <si>
    <t>Medicare Supp- PA All Plans</t>
  </si>
  <si>
    <t>Med Supp MD/NJ/TN/VA/WY Ages 65-83 2025</t>
  </si>
  <si>
    <t>17528908N</t>
  </si>
  <si>
    <t>JASON HOFFMANN</t>
  </si>
  <si>
    <t>months</t>
  </si>
  <si>
    <t>paycode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</si>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</sst>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3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9" t="s">
        <v>0</v>
      </c>
      <c r="B2" s="20"/>
      <c r="C2" s="20"/>
    </row>
    <row r="3" spans="1:3" x14ac:dyDescent="0.2">
      <c r="A3" s="19" t="s">
        <v>1</v>
      </c>
      <c r="B3" s="20"/>
      <c r="C3" s="20"/>
    </row>
    <row r="4" spans="1:3" x14ac:dyDescent="0.2">
      <c r="A4" s="19" t="s">
        <v>2</v>
      </c>
      <c r="B4" s="20"/>
      <c r="C4" s="20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7" t="s">
        <v>5</v>
      </c>
      <c r="C12" s="18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72.17</v>
      </c>
      <c r="C19" s="8"/>
    </row>
    <row r="20" spans="1:3" x14ac:dyDescent="0.2">
      <c r="A20" s="2" t="s">
        <v>13</v>
      </c>
      <c r="B20" s="8">
        <v>-6.85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3352.51</v>
      </c>
      <c r="C24" s="8"/>
    </row>
    <row r="25" spans="1:3" x14ac:dyDescent="0.2">
      <c r="A25" s="2" t="s">
        <v>13</v>
      </c>
      <c r="B25" s="8">
        <v>448.5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94.99</v>
      </c>
      <c r="C29" s="8"/>
    </row>
    <row r="30" spans="1:3" x14ac:dyDescent="0.2">
      <c r="A30" s="2" t="s">
        <v>13</v>
      </c>
      <c r="B30" s="8">
        <v>37.32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>
        <v>3998.64</v>
      </c>
    </row>
    <row r="33" spans="1:3" x14ac:dyDescent="0.2">
      <c r="A33" s="2"/>
      <c r="B33" s="8"/>
      <c r="C33" s="8"/>
    </row>
    <row r="34" spans="1:3" x14ac:dyDescent="0.2">
      <c r="A34" s="2" t="s">
        <v>17</v>
      </c>
      <c r="B34" s="8"/>
      <c r="C34" s="8"/>
    </row>
    <row r="35" spans="1:3" x14ac:dyDescent="0.2">
      <c r="A35" s="2"/>
      <c r="B35" s="8"/>
      <c r="C35" s="8"/>
    </row>
    <row r="36" spans="1:3" x14ac:dyDescent="0.2">
      <c r="A36" s="2" t="s">
        <v>10</v>
      </c>
      <c r="B36" s="8">
        <v>-65.319999999999993</v>
      </c>
      <c r="C36" s="8"/>
    </row>
    <row r="37" spans="1:3" x14ac:dyDescent="0.2">
      <c r="A37" s="2" t="s">
        <v>14</v>
      </c>
      <c r="B37" s="8">
        <v>-3801.01</v>
      </c>
      <c r="C37" s="8"/>
    </row>
    <row r="38" spans="1:3" x14ac:dyDescent="0.2">
      <c r="A38" s="2" t="s">
        <v>15</v>
      </c>
      <c r="B38" s="8">
        <v>-132.31</v>
      </c>
      <c r="C38" s="8"/>
    </row>
    <row r="39" spans="1:3" x14ac:dyDescent="0.2">
      <c r="A39" s="2"/>
      <c r="B39" s="8"/>
      <c r="C39" s="8"/>
    </row>
    <row r="40" spans="1:3" x14ac:dyDescent="0.2">
      <c r="A40" s="2" t="s">
        <v>18</v>
      </c>
      <c r="B40" s="8"/>
      <c r="C40" s="8">
        <v>-3998.64</v>
      </c>
    </row>
    <row r="41" spans="1:3" x14ac:dyDescent="0.2">
      <c r="A41" s="2" t="s">
        <v>19</v>
      </c>
      <c r="B41" s="8"/>
      <c r="C41" s="8">
        <v>0</v>
      </c>
    </row>
    <row r="42" spans="1:3" x14ac:dyDescent="0.2">
      <c r="A42" s="2"/>
      <c r="B42" s="8"/>
      <c r="C42" s="8"/>
    </row>
    <row r="43" spans="1:3" x14ac:dyDescent="0.2">
      <c r="A43" s="4"/>
      <c r="B43" s="9"/>
      <c r="C43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9"/>
  <sheetViews>
    <sheetView topLeftCell="E1" workbookViewId="0">
      <pane ySplit="1" topLeftCell="A2" activePane="bottomLeft" state="frozen"/>
      <selection pane="bottomLeft" activeCell="E28" sqref="E28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</row>
    <row r="2" spans="1:24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1" t="s">
        <v>55</v>
      </c>
      <c r="M2" s="1" t="s">
        <v>56</v>
      </c>
      <c r="N2" s="1" t="s">
        <v>57</v>
      </c>
      <c r="O2" s="1" t="s">
        <v>58</v>
      </c>
      <c r="P2" s="1">
        <v>0</v>
      </c>
      <c r="Q2" s="12">
        <v>135.4</v>
      </c>
      <c r="R2" s="1" t="s">
        <v>59</v>
      </c>
      <c r="S2" s="1" t="s">
        <v>60</v>
      </c>
      <c r="T2" s="6" t="s">
        <v>61</v>
      </c>
      <c r="U2" s="13">
        <v>0.23</v>
      </c>
      <c r="V2" s="12">
        <v>31.14</v>
      </c>
      <c r="W2" s="12">
        <v>0</v>
      </c>
      <c r="X2" s="1" t="s">
        <v>55</v>
      </c>
    </row>
    <row r="3" spans="1:24" x14ac:dyDescent="0.2">
      <c r="A3" s="1" t="s">
        <v>44</v>
      </c>
      <c r="B3" s="1" t="s">
        <v>45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51</v>
      </c>
      <c r="I3" s="1" t="s">
        <v>52</v>
      </c>
      <c r="J3" s="1" t="s">
        <v>67</v>
      </c>
      <c r="K3" s="1" t="s">
        <v>53</v>
      </c>
      <c r="L3" s="11" t="s">
        <v>55</v>
      </c>
      <c r="M3" s="1" t="s">
        <v>56</v>
      </c>
      <c r="N3" s="1" t="s">
        <v>57</v>
      </c>
      <c r="O3" s="1" t="s">
        <v>58</v>
      </c>
      <c r="P3" s="1">
        <v>0</v>
      </c>
      <c r="Q3" s="12">
        <v>129.38999999999999</v>
      </c>
      <c r="R3" s="1" t="s">
        <v>59</v>
      </c>
      <c r="S3" s="1" t="s">
        <v>68</v>
      </c>
      <c r="T3" s="6" t="s">
        <v>61</v>
      </c>
      <c r="U3" s="13">
        <v>0.23</v>
      </c>
      <c r="V3" s="12">
        <v>29.76</v>
      </c>
      <c r="W3" s="12">
        <v>0</v>
      </c>
      <c r="X3" s="1" t="s">
        <v>55</v>
      </c>
    </row>
    <row r="4" spans="1:24" x14ac:dyDescent="0.2">
      <c r="A4" s="1" t="s">
        <v>44</v>
      </c>
      <c r="B4" s="1" t="s">
        <v>45</v>
      </c>
      <c r="C4" s="1" t="s">
        <v>62</v>
      </c>
      <c r="D4" s="1" t="s">
        <v>63</v>
      </c>
      <c r="E4" s="1" t="s">
        <v>69</v>
      </c>
      <c r="F4" s="1" t="s">
        <v>70</v>
      </c>
      <c r="G4" s="1" t="s">
        <v>66</v>
      </c>
      <c r="H4" s="1" t="s">
        <v>51</v>
      </c>
      <c r="I4" s="1" t="s">
        <v>52</v>
      </c>
      <c r="J4" s="1" t="s">
        <v>71</v>
      </c>
      <c r="K4" s="1" t="s">
        <v>53</v>
      </c>
      <c r="L4" s="11" t="s">
        <v>55</v>
      </c>
      <c r="M4" s="1" t="s">
        <v>56</v>
      </c>
      <c r="N4" s="1" t="s">
        <v>57</v>
      </c>
      <c r="O4" s="1" t="s">
        <v>58</v>
      </c>
      <c r="P4" s="1">
        <v>0</v>
      </c>
      <c r="Q4" s="12">
        <v>128.66999999999999</v>
      </c>
      <c r="R4" s="1" t="s">
        <v>59</v>
      </c>
      <c r="S4" s="1" t="s">
        <v>68</v>
      </c>
      <c r="T4" s="6" t="s">
        <v>61</v>
      </c>
      <c r="U4" s="13">
        <v>0.23</v>
      </c>
      <c r="V4" s="12">
        <v>0</v>
      </c>
      <c r="W4" s="12">
        <v>-29.59</v>
      </c>
      <c r="X4" s="1" t="s">
        <v>55</v>
      </c>
    </row>
    <row r="5" spans="1:24" x14ac:dyDescent="0.2">
      <c r="A5" s="1" t="s">
        <v>44</v>
      </c>
      <c r="B5" s="1" t="s">
        <v>45</v>
      </c>
      <c r="C5" s="1" t="s">
        <v>62</v>
      </c>
      <c r="D5" s="1" t="s">
        <v>63</v>
      </c>
      <c r="E5" s="1" t="s">
        <v>72</v>
      </c>
      <c r="F5" s="1" t="s">
        <v>73</v>
      </c>
      <c r="G5" s="1" t="s">
        <v>66</v>
      </c>
      <c r="H5" s="1" t="s">
        <v>51</v>
      </c>
      <c r="I5" s="1" t="s">
        <v>52</v>
      </c>
      <c r="J5" s="1" t="s">
        <v>71</v>
      </c>
      <c r="K5" s="1" t="s">
        <v>53</v>
      </c>
      <c r="L5" s="11" t="s">
        <v>55</v>
      </c>
      <c r="M5" s="1" t="s">
        <v>56</v>
      </c>
      <c r="N5" s="1" t="s">
        <v>57</v>
      </c>
      <c r="O5" s="1" t="s">
        <v>58</v>
      </c>
      <c r="P5" s="1">
        <v>0</v>
      </c>
      <c r="Q5" s="12">
        <v>150.41</v>
      </c>
      <c r="R5" s="1" t="s">
        <v>59</v>
      </c>
      <c r="S5" s="1" t="s">
        <v>68</v>
      </c>
      <c r="T5" s="6" t="s">
        <v>61</v>
      </c>
      <c r="U5" s="13">
        <v>0.23</v>
      </c>
      <c r="V5" s="12">
        <v>0</v>
      </c>
      <c r="W5" s="12">
        <v>-34.590000000000003</v>
      </c>
      <c r="X5" s="1" t="s">
        <v>55</v>
      </c>
    </row>
    <row r="6" spans="1:24" x14ac:dyDescent="0.2">
      <c r="A6" s="1" t="s">
        <v>44</v>
      </c>
      <c r="B6" s="1" t="s">
        <v>45</v>
      </c>
      <c r="C6" s="1" t="s">
        <v>62</v>
      </c>
      <c r="D6" s="1" t="s">
        <v>63</v>
      </c>
      <c r="E6" s="1" t="s">
        <v>74</v>
      </c>
      <c r="F6" s="1" t="s">
        <v>75</v>
      </c>
      <c r="G6" s="1" t="s">
        <v>66</v>
      </c>
      <c r="H6" s="1" t="s">
        <v>76</v>
      </c>
      <c r="I6" s="1" t="s">
        <v>52</v>
      </c>
      <c r="J6" s="1" t="s">
        <v>77</v>
      </c>
      <c r="K6" s="1" t="s">
        <v>53</v>
      </c>
      <c r="L6" s="11" t="s">
        <v>55</v>
      </c>
      <c r="M6" s="1" t="s">
        <v>56</v>
      </c>
      <c r="N6" s="1" t="s">
        <v>57</v>
      </c>
      <c r="O6" s="1" t="s">
        <v>58</v>
      </c>
      <c r="P6" s="1">
        <v>0</v>
      </c>
      <c r="Q6" s="12">
        <v>128.66999999999999</v>
      </c>
      <c r="R6" s="1" t="s">
        <v>59</v>
      </c>
      <c r="S6" s="1" t="s">
        <v>68</v>
      </c>
      <c r="T6" s="6" t="s">
        <v>61</v>
      </c>
      <c r="U6" s="13">
        <v>0.23</v>
      </c>
      <c r="V6" s="12">
        <v>0</v>
      </c>
      <c r="W6" s="12">
        <v>-29.59</v>
      </c>
      <c r="X6" s="1" t="s">
        <v>55</v>
      </c>
    </row>
    <row r="7" spans="1:24" x14ac:dyDescent="0.2">
      <c r="A7" s="1" t="s">
        <v>44</v>
      </c>
      <c r="B7" s="1" t="s">
        <v>45</v>
      </c>
      <c r="C7" s="1" t="s">
        <v>62</v>
      </c>
      <c r="D7" s="1" t="s">
        <v>78</v>
      </c>
      <c r="E7" s="1" t="s">
        <v>79</v>
      </c>
      <c r="F7" s="1" t="s">
        <v>80</v>
      </c>
      <c r="G7" s="1" t="s">
        <v>66</v>
      </c>
      <c r="H7" s="1" t="s">
        <v>81</v>
      </c>
      <c r="I7" s="1" t="s">
        <v>52</v>
      </c>
      <c r="J7" s="1" t="s">
        <v>82</v>
      </c>
      <c r="K7" s="1" t="s">
        <v>53</v>
      </c>
      <c r="L7" s="11" t="s">
        <v>55</v>
      </c>
      <c r="M7" s="1" t="s">
        <v>56</v>
      </c>
      <c r="N7" s="1" t="s">
        <v>57</v>
      </c>
      <c r="O7" s="1" t="s">
        <v>58</v>
      </c>
      <c r="P7" s="1">
        <v>0</v>
      </c>
      <c r="Q7" s="12">
        <v>162.27000000000001</v>
      </c>
      <c r="R7" s="1" t="s">
        <v>83</v>
      </c>
      <c r="S7" s="1" t="s">
        <v>84</v>
      </c>
      <c r="T7" s="6" t="s">
        <v>61</v>
      </c>
      <c r="U7" s="13">
        <v>0.23</v>
      </c>
      <c r="V7" s="12">
        <v>37.32</v>
      </c>
      <c r="W7" s="12">
        <v>0</v>
      </c>
      <c r="X7" s="1" t="s">
        <v>55</v>
      </c>
    </row>
    <row r="8" spans="1:24" x14ac:dyDescent="0.2">
      <c r="A8" s="1" t="s">
        <v>44</v>
      </c>
      <c r="B8" s="1" t="s">
        <v>45</v>
      </c>
      <c r="C8" s="1" t="s">
        <v>62</v>
      </c>
      <c r="D8" s="1" t="s">
        <v>85</v>
      </c>
      <c r="E8" s="1" t="s">
        <v>86</v>
      </c>
      <c r="F8" s="1" t="s">
        <v>87</v>
      </c>
      <c r="G8" s="1" t="s">
        <v>66</v>
      </c>
      <c r="H8" s="1" t="s">
        <v>51</v>
      </c>
      <c r="I8" s="1" t="s">
        <v>52</v>
      </c>
      <c r="J8" s="1" t="s">
        <v>88</v>
      </c>
      <c r="K8" s="1" t="s">
        <v>53</v>
      </c>
      <c r="L8" s="11" t="s">
        <v>55</v>
      </c>
      <c r="M8" s="1" t="s">
        <v>56</v>
      </c>
      <c r="N8" s="1" t="s">
        <v>57</v>
      </c>
      <c r="O8" s="1" t="s">
        <v>58</v>
      </c>
      <c r="P8" s="1">
        <v>0</v>
      </c>
      <c r="Q8" s="12">
        <v>148.22</v>
      </c>
      <c r="R8" s="1" t="s">
        <v>59</v>
      </c>
      <c r="S8" s="1" t="s">
        <v>68</v>
      </c>
      <c r="T8" s="6" t="s">
        <v>61</v>
      </c>
      <c r="U8" s="13">
        <v>0.23</v>
      </c>
      <c r="V8" s="12">
        <v>34.090000000000003</v>
      </c>
      <c r="W8" s="12">
        <v>0</v>
      </c>
      <c r="X8" s="1" t="s">
        <v>55</v>
      </c>
    </row>
    <row r="9" spans="1:24" x14ac:dyDescent="0.2">
      <c r="A9" s="1" t="s">
        <v>89</v>
      </c>
      <c r="B9" s="1" t="s">
        <v>45</v>
      </c>
      <c r="C9" s="1" t="s">
        <v>62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51</v>
      </c>
      <c r="I9" s="1" t="s">
        <v>94</v>
      </c>
      <c r="J9" s="1" t="s">
        <v>95</v>
      </c>
      <c r="K9" s="1" t="s">
        <v>53</v>
      </c>
      <c r="L9" s="11" t="s">
        <v>55</v>
      </c>
      <c r="M9" s="1" t="s">
        <v>56</v>
      </c>
      <c r="N9" s="1" t="s">
        <v>57</v>
      </c>
      <c r="O9" s="1" t="s">
        <v>58</v>
      </c>
      <c r="P9" s="1">
        <v>0</v>
      </c>
      <c r="Q9" s="12">
        <v>143.49</v>
      </c>
      <c r="R9" s="1" t="s">
        <v>83</v>
      </c>
      <c r="S9" s="1" t="s">
        <v>84</v>
      </c>
      <c r="T9" s="6" t="s">
        <v>61</v>
      </c>
      <c r="U9" s="13">
        <v>0.255</v>
      </c>
      <c r="V9" s="12">
        <v>36.590000000000003</v>
      </c>
      <c r="W9" s="12">
        <v>0</v>
      </c>
      <c r="X9" s="1" t="s">
        <v>55</v>
      </c>
    </row>
    <row r="10" spans="1:24" x14ac:dyDescent="0.2">
      <c r="A10" s="1" t="s">
        <v>89</v>
      </c>
      <c r="B10" s="1" t="s">
        <v>45</v>
      </c>
      <c r="C10" s="1" t="s">
        <v>62</v>
      </c>
      <c r="D10" s="1" t="s">
        <v>96</v>
      </c>
      <c r="E10" s="1" t="s">
        <v>97</v>
      </c>
      <c r="F10" s="1" t="s">
        <v>98</v>
      </c>
      <c r="G10" s="1" t="s">
        <v>93</v>
      </c>
      <c r="H10" s="1" t="s">
        <v>76</v>
      </c>
      <c r="I10" s="1" t="s">
        <v>99</v>
      </c>
      <c r="J10" s="1" t="s">
        <v>88</v>
      </c>
      <c r="K10" s="1" t="s">
        <v>53</v>
      </c>
      <c r="L10" s="11" t="s">
        <v>55</v>
      </c>
      <c r="M10" s="1" t="s">
        <v>56</v>
      </c>
      <c r="N10" s="1" t="s">
        <v>57</v>
      </c>
      <c r="O10" s="1" t="s">
        <v>58</v>
      </c>
      <c r="P10" s="1">
        <v>0</v>
      </c>
      <c r="Q10" s="12">
        <v>70.67</v>
      </c>
      <c r="R10" s="1" t="s">
        <v>59</v>
      </c>
      <c r="S10" s="1" t="s">
        <v>68</v>
      </c>
      <c r="T10" s="6" t="s">
        <v>61</v>
      </c>
      <c r="U10" s="13">
        <v>0.255</v>
      </c>
      <c r="V10" s="12">
        <v>18.02</v>
      </c>
      <c r="W10" s="12">
        <v>0</v>
      </c>
      <c r="X10" s="1" t="s">
        <v>55</v>
      </c>
    </row>
    <row r="11" spans="1:24" x14ac:dyDescent="0.2">
      <c r="A11" s="1" t="s">
        <v>89</v>
      </c>
      <c r="B11" s="1" t="s">
        <v>45</v>
      </c>
      <c r="C11" s="1" t="s">
        <v>62</v>
      </c>
      <c r="D11" s="1" t="s">
        <v>96</v>
      </c>
      <c r="E11" s="1" t="s">
        <v>100</v>
      </c>
      <c r="F11" s="1" t="s">
        <v>101</v>
      </c>
      <c r="G11" s="1" t="s">
        <v>93</v>
      </c>
      <c r="H11" s="1" t="s">
        <v>51</v>
      </c>
      <c r="I11" s="1" t="s">
        <v>94</v>
      </c>
      <c r="J11" s="1" t="s">
        <v>102</v>
      </c>
      <c r="K11" s="1" t="s">
        <v>53</v>
      </c>
      <c r="L11" s="11" t="s">
        <v>55</v>
      </c>
      <c r="M11" s="1" t="s">
        <v>56</v>
      </c>
      <c r="N11" s="1" t="s">
        <v>57</v>
      </c>
      <c r="O11" s="1" t="s">
        <v>58</v>
      </c>
      <c r="P11" s="1">
        <v>0</v>
      </c>
      <c r="Q11" s="12">
        <v>104.05</v>
      </c>
      <c r="R11" s="1" t="s">
        <v>83</v>
      </c>
      <c r="S11" s="1" t="s">
        <v>84</v>
      </c>
      <c r="T11" s="6" t="s">
        <v>61</v>
      </c>
      <c r="U11" s="13">
        <v>1.2500000000000001E-2</v>
      </c>
      <c r="V11" s="12">
        <v>1.3</v>
      </c>
      <c r="W11" s="12">
        <v>0</v>
      </c>
      <c r="X11" s="1" t="s">
        <v>55</v>
      </c>
    </row>
    <row r="12" spans="1:24" x14ac:dyDescent="0.2">
      <c r="A12" s="1" t="s">
        <v>89</v>
      </c>
      <c r="B12" s="1" t="s">
        <v>45</v>
      </c>
      <c r="C12" s="1" t="s">
        <v>62</v>
      </c>
      <c r="D12" s="1" t="s">
        <v>96</v>
      </c>
      <c r="E12" s="1" t="s">
        <v>103</v>
      </c>
      <c r="F12" s="1" t="s">
        <v>104</v>
      </c>
      <c r="G12" s="1" t="s">
        <v>93</v>
      </c>
      <c r="H12" s="1" t="s">
        <v>76</v>
      </c>
      <c r="I12" s="1" t="s">
        <v>105</v>
      </c>
      <c r="J12" s="1" t="s">
        <v>106</v>
      </c>
      <c r="K12" s="1" t="s">
        <v>107</v>
      </c>
      <c r="L12" s="11" t="s">
        <v>55</v>
      </c>
      <c r="M12" s="1" t="s">
        <v>108</v>
      </c>
      <c r="N12" s="1" t="s">
        <v>109</v>
      </c>
      <c r="O12" s="1" t="s">
        <v>110</v>
      </c>
      <c r="P12" s="1">
        <v>0</v>
      </c>
      <c r="Q12" s="12">
        <v>1742.4</v>
      </c>
      <c r="R12" s="1" t="s">
        <v>83</v>
      </c>
      <c r="S12" s="1" t="s">
        <v>84</v>
      </c>
      <c r="T12" s="6" t="s">
        <v>61</v>
      </c>
      <c r="U12" s="13">
        <v>0.215</v>
      </c>
      <c r="V12" s="12">
        <v>374.66</v>
      </c>
      <c r="W12" s="12">
        <v>0</v>
      </c>
      <c r="X12" s="1" t="s">
        <v>55</v>
      </c>
    </row>
    <row r="13" spans="1:24" x14ac:dyDescent="0.2">
      <c r="A13" s="1" t="s">
        <v>89</v>
      </c>
      <c r="B13" s="1" t="s">
        <v>45</v>
      </c>
      <c r="C13" s="1" t="s">
        <v>62</v>
      </c>
      <c r="D13" s="1" t="s">
        <v>96</v>
      </c>
      <c r="E13" s="1" t="s">
        <v>103</v>
      </c>
      <c r="F13" s="1" t="s">
        <v>104</v>
      </c>
      <c r="G13" s="1" t="s">
        <v>93</v>
      </c>
      <c r="H13" s="1" t="s">
        <v>76</v>
      </c>
      <c r="I13" s="1" t="s">
        <v>105</v>
      </c>
      <c r="J13" s="1" t="s">
        <v>106</v>
      </c>
      <c r="K13" s="1" t="s">
        <v>107</v>
      </c>
      <c r="L13" s="11" t="s">
        <v>55</v>
      </c>
      <c r="M13" s="1" t="s">
        <v>108</v>
      </c>
      <c r="N13" s="1" t="s">
        <v>109</v>
      </c>
      <c r="O13" s="1" t="s">
        <v>110</v>
      </c>
      <c r="P13" s="1">
        <v>0</v>
      </c>
      <c r="Q13" s="12">
        <v>158.4</v>
      </c>
      <c r="R13" s="1" t="s">
        <v>83</v>
      </c>
      <c r="S13" s="1" t="s">
        <v>84</v>
      </c>
      <c r="T13" s="6" t="s">
        <v>61</v>
      </c>
      <c r="U13" s="13">
        <v>0.215</v>
      </c>
      <c r="V13" s="12">
        <v>34.06</v>
      </c>
      <c r="W13" s="12">
        <v>0</v>
      </c>
      <c r="X13" s="1" t="s">
        <v>55</v>
      </c>
    </row>
    <row r="14" spans="1:24" x14ac:dyDescent="0.2">
      <c r="A14" s="1" t="s">
        <v>89</v>
      </c>
      <c r="B14" s="1" t="s">
        <v>45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115</v>
      </c>
      <c r="H14" s="1" t="s">
        <v>76</v>
      </c>
      <c r="I14" s="1" t="s">
        <v>116</v>
      </c>
      <c r="J14" s="1" t="s">
        <v>117</v>
      </c>
      <c r="K14" s="1" t="s">
        <v>118</v>
      </c>
      <c r="L14" s="11">
        <v>56</v>
      </c>
      <c r="M14" s="1" t="s">
        <v>56</v>
      </c>
      <c r="N14" s="1" t="s">
        <v>57</v>
      </c>
      <c r="O14" s="1" t="s">
        <v>58</v>
      </c>
      <c r="P14" s="1">
        <v>100</v>
      </c>
      <c r="Q14" s="12">
        <v>85.2</v>
      </c>
      <c r="R14" s="1" t="s">
        <v>59</v>
      </c>
      <c r="S14" s="1" t="s">
        <v>68</v>
      </c>
      <c r="T14" s="6" t="s">
        <v>61</v>
      </c>
      <c r="U14" s="13">
        <v>1.35</v>
      </c>
      <c r="V14" s="12">
        <v>115.02</v>
      </c>
      <c r="W14" s="12">
        <v>0</v>
      </c>
      <c r="X14" s="1" t="s">
        <v>55</v>
      </c>
    </row>
    <row r="15" spans="1:24" x14ac:dyDescent="0.2">
      <c r="A15" s="1" t="s">
        <v>89</v>
      </c>
      <c r="B15" s="1" t="s">
        <v>45</v>
      </c>
      <c r="C15" s="1" t="s">
        <v>111</v>
      </c>
      <c r="D15" s="1" t="s">
        <v>78</v>
      </c>
      <c r="E15" s="1" t="s">
        <v>119</v>
      </c>
      <c r="F15" s="1" t="s">
        <v>120</v>
      </c>
      <c r="G15" s="1" t="s">
        <v>121</v>
      </c>
      <c r="H15" s="1" t="s">
        <v>76</v>
      </c>
      <c r="I15" s="1" t="s">
        <v>116</v>
      </c>
      <c r="J15" s="1" t="s">
        <v>122</v>
      </c>
      <c r="K15" s="1" t="s">
        <v>123</v>
      </c>
      <c r="L15" s="11">
        <v>64</v>
      </c>
      <c r="M15" s="1" t="s">
        <v>56</v>
      </c>
      <c r="N15" s="1" t="s">
        <v>57</v>
      </c>
      <c r="O15" s="1" t="s">
        <v>58</v>
      </c>
      <c r="P15" s="1">
        <v>60</v>
      </c>
      <c r="Q15" s="12">
        <v>187.92</v>
      </c>
      <c r="R15" s="1" t="s">
        <v>59</v>
      </c>
      <c r="S15" s="1" t="s">
        <v>68</v>
      </c>
      <c r="T15" s="6" t="s">
        <v>61</v>
      </c>
      <c r="U15" s="13">
        <v>0.67500000000000004</v>
      </c>
      <c r="V15" s="12">
        <v>0</v>
      </c>
      <c r="W15" s="12">
        <v>-126.85</v>
      </c>
      <c r="X15" s="1" t="s">
        <v>55</v>
      </c>
    </row>
    <row r="16" spans="1:24" x14ac:dyDescent="0.2">
      <c r="A16" s="1" t="s">
        <v>89</v>
      </c>
      <c r="B16" s="1" t="s">
        <v>45</v>
      </c>
      <c r="C16" s="1" t="s">
        <v>111</v>
      </c>
      <c r="D16" s="1" t="s">
        <v>78</v>
      </c>
      <c r="E16" s="1" t="s">
        <v>124</v>
      </c>
      <c r="F16" s="1" t="s">
        <v>125</v>
      </c>
      <c r="G16" s="1" t="s">
        <v>121</v>
      </c>
      <c r="H16" s="1" t="s">
        <v>76</v>
      </c>
      <c r="I16" s="1" t="s">
        <v>116</v>
      </c>
      <c r="J16" s="1" t="s">
        <v>126</v>
      </c>
      <c r="K16" s="1" t="s">
        <v>127</v>
      </c>
      <c r="L16" s="11">
        <v>65</v>
      </c>
      <c r="M16" s="1" t="s">
        <v>56</v>
      </c>
      <c r="N16" s="1" t="s">
        <v>57</v>
      </c>
      <c r="O16" s="1" t="s">
        <v>58</v>
      </c>
      <c r="P16" s="1">
        <v>55</v>
      </c>
      <c r="Q16" s="12">
        <v>139.53</v>
      </c>
      <c r="R16" s="1" t="s">
        <v>59</v>
      </c>
      <c r="S16" s="1" t="s">
        <v>68</v>
      </c>
      <c r="T16" s="6" t="s">
        <v>61</v>
      </c>
      <c r="U16" s="13">
        <v>1.35</v>
      </c>
      <c r="V16" s="12">
        <v>0.04</v>
      </c>
      <c r="W16" s="12">
        <v>-188.33</v>
      </c>
      <c r="X16" s="1" t="s">
        <v>55</v>
      </c>
    </row>
    <row r="17" spans="1:24" x14ac:dyDescent="0.2">
      <c r="A17" s="1" t="s">
        <v>89</v>
      </c>
      <c r="B17" s="1" t="s">
        <v>45</v>
      </c>
      <c r="C17" s="1" t="s">
        <v>111</v>
      </c>
      <c r="D17" s="1" t="s">
        <v>78</v>
      </c>
      <c r="E17" s="1" t="s">
        <v>128</v>
      </c>
      <c r="F17" s="1" t="s">
        <v>129</v>
      </c>
      <c r="G17" s="1" t="s">
        <v>66</v>
      </c>
      <c r="H17" s="1" t="s">
        <v>76</v>
      </c>
      <c r="I17" s="1" t="s">
        <v>116</v>
      </c>
      <c r="J17" s="1" t="s">
        <v>130</v>
      </c>
      <c r="K17" s="1" t="s">
        <v>131</v>
      </c>
      <c r="L17" s="11">
        <v>61</v>
      </c>
      <c r="M17" s="1" t="s">
        <v>56</v>
      </c>
      <c r="N17" s="1" t="s">
        <v>57</v>
      </c>
      <c r="O17" s="1" t="s">
        <v>58</v>
      </c>
      <c r="P17" s="1">
        <v>100</v>
      </c>
      <c r="Q17" s="12">
        <v>188.82</v>
      </c>
      <c r="R17" s="1" t="s">
        <v>59</v>
      </c>
      <c r="S17" s="1" t="s">
        <v>68</v>
      </c>
      <c r="T17" s="6" t="s">
        <v>61</v>
      </c>
      <c r="U17" s="13">
        <v>0.67500000000000004</v>
      </c>
      <c r="V17" s="12">
        <v>0</v>
      </c>
      <c r="W17" s="12">
        <v>-127.45</v>
      </c>
      <c r="X17" s="1" t="s">
        <v>55</v>
      </c>
    </row>
    <row r="18" spans="1:24" x14ac:dyDescent="0.2">
      <c r="A18" s="1" t="s">
        <v>89</v>
      </c>
      <c r="B18" s="1" t="s">
        <v>45</v>
      </c>
      <c r="C18" s="1" t="s">
        <v>111</v>
      </c>
      <c r="D18" s="1" t="s">
        <v>78</v>
      </c>
      <c r="E18" s="1" t="s">
        <v>132</v>
      </c>
      <c r="F18" s="1" t="s">
        <v>133</v>
      </c>
      <c r="G18" s="1" t="s">
        <v>66</v>
      </c>
      <c r="H18" s="1" t="s">
        <v>51</v>
      </c>
      <c r="I18" s="1" t="s">
        <v>134</v>
      </c>
      <c r="J18" s="1" t="s">
        <v>135</v>
      </c>
      <c r="K18" s="1" t="s">
        <v>136</v>
      </c>
      <c r="L18" s="11">
        <v>73</v>
      </c>
      <c r="M18" s="1" t="s">
        <v>56</v>
      </c>
      <c r="N18" s="1" t="s">
        <v>57</v>
      </c>
      <c r="O18" s="1" t="s">
        <v>58</v>
      </c>
      <c r="P18" s="1">
        <v>20</v>
      </c>
      <c r="Q18" s="12">
        <v>152.63999999999999</v>
      </c>
      <c r="R18" s="1" t="s">
        <v>59</v>
      </c>
      <c r="S18" s="1" t="s">
        <v>68</v>
      </c>
      <c r="T18" s="6" t="s">
        <v>61</v>
      </c>
      <c r="U18" s="13">
        <v>0.875</v>
      </c>
      <c r="V18" s="12">
        <v>133.56</v>
      </c>
      <c r="W18" s="12">
        <v>0</v>
      </c>
      <c r="X18" s="1" t="s">
        <v>55</v>
      </c>
    </row>
    <row r="19" spans="1:24" x14ac:dyDescent="0.2">
      <c r="A19" s="1" t="s">
        <v>89</v>
      </c>
      <c r="B19" s="1" t="s">
        <v>45</v>
      </c>
      <c r="C19" s="1" t="s">
        <v>111</v>
      </c>
      <c r="D19" s="1" t="s">
        <v>78</v>
      </c>
      <c r="E19" s="1" t="s">
        <v>137</v>
      </c>
      <c r="F19" s="1" t="s">
        <v>138</v>
      </c>
      <c r="G19" s="1" t="s">
        <v>121</v>
      </c>
      <c r="H19" s="1" t="s">
        <v>76</v>
      </c>
      <c r="I19" s="1" t="s">
        <v>116</v>
      </c>
      <c r="J19" s="1" t="s">
        <v>139</v>
      </c>
      <c r="K19" s="1" t="s">
        <v>131</v>
      </c>
      <c r="L19" s="11">
        <v>67</v>
      </c>
      <c r="M19" s="1" t="s">
        <v>56</v>
      </c>
      <c r="N19" s="1" t="s">
        <v>57</v>
      </c>
      <c r="O19" s="1" t="s">
        <v>58</v>
      </c>
      <c r="P19" s="1">
        <v>30</v>
      </c>
      <c r="Q19" s="12">
        <v>87.59</v>
      </c>
      <c r="R19" s="1" t="s">
        <v>59</v>
      </c>
      <c r="S19" s="1" t="s">
        <v>68</v>
      </c>
      <c r="T19" s="6" t="s">
        <v>61</v>
      </c>
      <c r="U19" s="13">
        <v>1.35</v>
      </c>
      <c r="V19" s="12">
        <v>118.25</v>
      </c>
      <c r="W19" s="12">
        <v>0</v>
      </c>
      <c r="X19" s="1" t="s">
        <v>55</v>
      </c>
    </row>
    <row r="20" spans="1:24" x14ac:dyDescent="0.2">
      <c r="A20" s="1" t="s">
        <v>89</v>
      </c>
      <c r="B20" s="1" t="s">
        <v>45</v>
      </c>
      <c r="C20" s="1" t="s">
        <v>111</v>
      </c>
      <c r="D20" s="1" t="s">
        <v>140</v>
      </c>
      <c r="E20" s="1" t="s">
        <v>141</v>
      </c>
      <c r="F20" s="1" t="s">
        <v>142</v>
      </c>
      <c r="G20" s="1" t="s">
        <v>143</v>
      </c>
      <c r="H20" s="1" t="s">
        <v>76</v>
      </c>
      <c r="I20" s="1" t="s">
        <v>134</v>
      </c>
      <c r="J20" s="1" t="s">
        <v>144</v>
      </c>
      <c r="K20" s="1" t="s">
        <v>145</v>
      </c>
      <c r="L20" s="11">
        <v>60</v>
      </c>
      <c r="M20" s="1" t="s">
        <v>56</v>
      </c>
      <c r="N20" s="1" t="s">
        <v>57</v>
      </c>
      <c r="O20" s="1" t="s">
        <v>58</v>
      </c>
      <c r="P20" s="1">
        <v>20</v>
      </c>
      <c r="Q20" s="12">
        <v>83.94</v>
      </c>
      <c r="R20" s="1" t="s">
        <v>59</v>
      </c>
      <c r="S20" s="1" t="s">
        <v>68</v>
      </c>
      <c r="T20" s="6" t="s">
        <v>61</v>
      </c>
      <c r="U20" s="13">
        <v>0.875</v>
      </c>
      <c r="V20" s="12">
        <v>0</v>
      </c>
      <c r="W20" s="12">
        <v>-73.45</v>
      </c>
      <c r="X20" s="1" t="s">
        <v>55</v>
      </c>
    </row>
    <row r="21" spans="1:24" x14ac:dyDescent="0.2">
      <c r="A21" s="1" t="s">
        <v>89</v>
      </c>
      <c r="B21" s="1" t="s">
        <v>45</v>
      </c>
      <c r="C21" s="1" t="s">
        <v>111</v>
      </c>
      <c r="D21" s="1" t="s">
        <v>146</v>
      </c>
      <c r="E21" s="1" t="s">
        <v>147</v>
      </c>
      <c r="F21" s="1" t="s">
        <v>148</v>
      </c>
      <c r="G21" s="1" t="s">
        <v>93</v>
      </c>
      <c r="H21" s="1" t="s">
        <v>76</v>
      </c>
      <c r="I21" s="1" t="s">
        <v>149</v>
      </c>
      <c r="J21" s="1" t="s">
        <v>150</v>
      </c>
      <c r="K21" s="1" t="s">
        <v>151</v>
      </c>
      <c r="L21" s="11">
        <v>69</v>
      </c>
      <c r="M21" s="1" t="s">
        <v>56</v>
      </c>
      <c r="N21" s="1" t="s">
        <v>57</v>
      </c>
      <c r="O21" s="1" t="s">
        <v>58</v>
      </c>
      <c r="P21" s="1">
        <v>5</v>
      </c>
      <c r="Q21" s="12">
        <v>27.01</v>
      </c>
      <c r="R21" s="1" t="s">
        <v>83</v>
      </c>
      <c r="S21" s="1" t="s">
        <v>84</v>
      </c>
      <c r="T21" s="6" t="s">
        <v>61</v>
      </c>
      <c r="U21" s="13">
        <v>7.0000000000000007E-2</v>
      </c>
      <c r="V21" s="12">
        <v>1.89</v>
      </c>
      <c r="W21" s="12">
        <v>0</v>
      </c>
      <c r="X21" s="1" t="s">
        <v>55</v>
      </c>
    </row>
    <row r="22" spans="1:24" x14ac:dyDescent="0.2">
      <c r="A22" s="1" t="s">
        <v>89</v>
      </c>
      <c r="B22" s="1" t="s">
        <v>45</v>
      </c>
      <c r="C22" s="1" t="s">
        <v>111</v>
      </c>
      <c r="D22" s="1" t="s">
        <v>152</v>
      </c>
      <c r="E22" s="1" t="s">
        <v>153</v>
      </c>
      <c r="F22" s="1" t="s">
        <v>154</v>
      </c>
      <c r="G22" s="1" t="s">
        <v>66</v>
      </c>
      <c r="H22" s="1" t="s">
        <v>81</v>
      </c>
      <c r="I22" s="1" t="s">
        <v>155</v>
      </c>
      <c r="J22" s="1" t="s">
        <v>156</v>
      </c>
      <c r="K22" s="1" t="s">
        <v>118</v>
      </c>
      <c r="L22" s="11">
        <v>57</v>
      </c>
      <c r="M22" s="1" t="s">
        <v>56</v>
      </c>
      <c r="N22" s="1" t="s">
        <v>57</v>
      </c>
      <c r="O22" s="1" t="s">
        <v>58</v>
      </c>
      <c r="P22" s="1">
        <v>110</v>
      </c>
      <c r="Q22" s="12">
        <v>117.93</v>
      </c>
      <c r="R22" s="1" t="s">
        <v>59</v>
      </c>
      <c r="S22" s="1" t="s">
        <v>68</v>
      </c>
      <c r="T22" s="6" t="s">
        <v>61</v>
      </c>
      <c r="U22" s="13">
        <v>1.5</v>
      </c>
      <c r="V22" s="12">
        <v>0</v>
      </c>
      <c r="W22" s="12">
        <v>-176.9</v>
      </c>
      <c r="X22" s="1" t="s">
        <v>55</v>
      </c>
    </row>
    <row r="23" spans="1:24" x14ac:dyDescent="0.2">
      <c r="A23" s="1" t="s">
        <v>89</v>
      </c>
      <c r="B23" s="1" t="s">
        <v>45</v>
      </c>
      <c r="C23" s="1" t="s">
        <v>111</v>
      </c>
      <c r="D23" s="1" t="s">
        <v>152</v>
      </c>
      <c r="E23" s="1" t="s">
        <v>157</v>
      </c>
      <c r="F23" s="1" t="s">
        <v>158</v>
      </c>
      <c r="G23" s="1" t="s">
        <v>159</v>
      </c>
      <c r="H23" s="1" t="s">
        <v>76</v>
      </c>
      <c r="I23" s="1" t="s">
        <v>155</v>
      </c>
      <c r="J23" s="1" t="s">
        <v>160</v>
      </c>
      <c r="K23" s="1" t="s">
        <v>123</v>
      </c>
      <c r="L23" s="11">
        <v>48</v>
      </c>
      <c r="M23" s="1" t="s">
        <v>56</v>
      </c>
      <c r="N23" s="1" t="s">
        <v>57</v>
      </c>
      <c r="O23" s="1" t="s">
        <v>58</v>
      </c>
      <c r="P23" s="1">
        <v>200</v>
      </c>
      <c r="Q23" s="12">
        <v>106.98</v>
      </c>
      <c r="R23" s="1" t="s">
        <v>59</v>
      </c>
      <c r="S23" s="1" t="s">
        <v>68</v>
      </c>
      <c r="T23" s="6" t="s">
        <v>61</v>
      </c>
      <c r="U23" s="13">
        <v>1.5</v>
      </c>
      <c r="V23" s="12">
        <v>160.47</v>
      </c>
      <c r="W23" s="12">
        <v>0</v>
      </c>
      <c r="X23" s="1" t="s">
        <v>55</v>
      </c>
    </row>
    <row r="24" spans="1:24" x14ac:dyDescent="0.2">
      <c r="A24" s="1" t="s">
        <v>89</v>
      </c>
      <c r="B24" s="1" t="s">
        <v>45</v>
      </c>
      <c r="C24" s="1" t="s">
        <v>111</v>
      </c>
      <c r="D24" s="1" t="s">
        <v>161</v>
      </c>
      <c r="E24" s="1" t="s">
        <v>162</v>
      </c>
      <c r="F24" s="1" t="s">
        <v>163</v>
      </c>
      <c r="G24" s="1" t="s">
        <v>164</v>
      </c>
      <c r="H24" s="1" t="s">
        <v>51</v>
      </c>
      <c r="I24" s="1" t="s">
        <v>134</v>
      </c>
      <c r="J24" s="1" t="s">
        <v>139</v>
      </c>
      <c r="K24" s="1" t="s">
        <v>131</v>
      </c>
      <c r="L24" s="11">
        <v>64</v>
      </c>
      <c r="M24" s="1" t="s">
        <v>56</v>
      </c>
      <c r="N24" s="1" t="s">
        <v>57</v>
      </c>
      <c r="O24" s="1" t="s">
        <v>58</v>
      </c>
      <c r="P24" s="1">
        <v>7</v>
      </c>
      <c r="Q24" s="12">
        <v>36.31</v>
      </c>
      <c r="R24" s="1" t="s">
        <v>59</v>
      </c>
      <c r="S24" s="1" t="s">
        <v>68</v>
      </c>
      <c r="T24" s="6" t="s">
        <v>61</v>
      </c>
      <c r="U24" s="13">
        <v>0.875</v>
      </c>
      <c r="V24" s="12">
        <v>31.77</v>
      </c>
      <c r="W24" s="12">
        <v>0</v>
      </c>
      <c r="X24" s="1" t="s">
        <v>55</v>
      </c>
    </row>
    <row r="25" spans="1:24" x14ac:dyDescent="0.2">
      <c r="A25" s="1" t="s">
        <v>89</v>
      </c>
      <c r="B25" s="1" t="s">
        <v>45</v>
      </c>
      <c r="C25" s="1" t="s">
        <v>111</v>
      </c>
      <c r="D25" s="1" t="s">
        <v>161</v>
      </c>
      <c r="E25" s="1" t="s">
        <v>165</v>
      </c>
      <c r="F25" s="1" t="s">
        <v>166</v>
      </c>
      <c r="G25" s="1" t="s">
        <v>167</v>
      </c>
      <c r="H25" s="1" t="s">
        <v>51</v>
      </c>
      <c r="I25" s="1" t="s">
        <v>134</v>
      </c>
      <c r="J25" s="1" t="s">
        <v>168</v>
      </c>
      <c r="K25" s="1" t="s">
        <v>118</v>
      </c>
      <c r="L25" s="11">
        <v>63</v>
      </c>
      <c r="M25" s="1" t="s">
        <v>56</v>
      </c>
      <c r="N25" s="1" t="s">
        <v>57</v>
      </c>
      <c r="O25" s="1" t="s">
        <v>58</v>
      </c>
      <c r="P25" s="1">
        <v>5</v>
      </c>
      <c r="Q25" s="12">
        <v>32.49</v>
      </c>
      <c r="R25" s="1" t="s">
        <v>59</v>
      </c>
      <c r="S25" s="1" t="s">
        <v>68</v>
      </c>
      <c r="T25" s="6" t="s">
        <v>61</v>
      </c>
      <c r="U25" s="13">
        <v>0.875</v>
      </c>
      <c r="V25" s="12">
        <v>28.43</v>
      </c>
      <c r="W25" s="12">
        <v>0</v>
      </c>
      <c r="X25" s="1" t="s">
        <v>55</v>
      </c>
    </row>
    <row r="26" spans="1:24" x14ac:dyDescent="0.2">
      <c r="A26" s="1" t="s">
        <v>89</v>
      </c>
      <c r="B26" s="1" t="s">
        <v>45</v>
      </c>
      <c r="C26" s="1" t="s">
        <v>111</v>
      </c>
      <c r="D26" s="1" t="s">
        <v>169</v>
      </c>
      <c r="E26" s="1" t="s">
        <v>170</v>
      </c>
      <c r="F26" s="1" t="s">
        <v>171</v>
      </c>
      <c r="G26" s="1" t="s">
        <v>172</v>
      </c>
      <c r="H26" s="1" t="s">
        <v>81</v>
      </c>
      <c r="I26" s="1" t="s">
        <v>173</v>
      </c>
      <c r="J26" s="1" t="s">
        <v>168</v>
      </c>
      <c r="K26" s="1" t="s">
        <v>118</v>
      </c>
      <c r="L26" s="11">
        <v>29</v>
      </c>
      <c r="M26" s="1" t="s">
        <v>56</v>
      </c>
      <c r="N26" s="1" t="s">
        <v>57</v>
      </c>
      <c r="O26" s="1" t="s">
        <v>58</v>
      </c>
      <c r="P26" s="1">
        <v>300</v>
      </c>
      <c r="Q26" s="12">
        <v>86.86</v>
      </c>
      <c r="R26" s="1" t="s">
        <v>59</v>
      </c>
      <c r="S26" s="1" t="s">
        <v>68</v>
      </c>
      <c r="T26" s="6" t="s">
        <v>61</v>
      </c>
      <c r="U26" s="13">
        <v>1.5</v>
      </c>
      <c r="V26" s="12">
        <v>130.29</v>
      </c>
      <c r="W26" s="12">
        <v>0</v>
      </c>
      <c r="X26" s="1" t="s">
        <v>55</v>
      </c>
    </row>
    <row r="27" spans="1:24" x14ac:dyDescent="0.2">
      <c r="A27" s="1" t="s">
        <v>89</v>
      </c>
      <c r="B27" s="1" t="s">
        <v>45</v>
      </c>
      <c r="C27" s="1" t="s">
        <v>111</v>
      </c>
      <c r="D27" s="1" t="s">
        <v>169</v>
      </c>
      <c r="E27" s="1" t="s">
        <v>174</v>
      </c>
      <c r="F27" s="1" t="s">
        <v>175</v>
      </c>
      <c r="G27" s="1" t="s">
        <v>172</v>
      </c>
      <c r="H27" s="1" t="s">
        <v>81</v>
      </c>
      <c r="I27" s="1" t="s">
        <v>173</v>
      </c>
      <c r="J27" s="1" t="s">
        <v>168</v>
      </c>
      <c r="K27" s="1" t="s">
        <v>118</v>
      </c>
      <c r="L27" s="11">
        <v>27</v>
      </c>
      <c r="M27" s="1" t="s">
        <v>56</v>
      </c>
      <c r="N27" s="1" t="s">
        <v>57</v>
      </c>
      <c r="O27" s="1" t="s">
        <v>58</v>
      </c>
      <c r="P27" s="1">
        <v>300</v>
      </c>
      <c r="Q27" s="12">
        <v>90.87</v>
      </c>
      <c r="R27" s="1" t="s">
        <v>59</v>
      </c>
      <c r="S27" s="1" t="s">
        <v>68</v>
      </c>
      <c r="T27" s="6" t="s">
        <v>61</v>
      </c>
      <c r="U27" s="13">
        <v>1.5</v>
      </c>
      <c r="V27" s="12">
        <v>136.31</v>
      </c>
      <c r="W27" s="12">
        <v>0</v>
      </c>
      <c r="X27" s="1" t="s">
        <v>55</v>
      </c>
    </row>
    <row r="28" spans="1:24" x14ac:dyDescent="0.2">
      <c r="A28" s="1" t="s">
        <v>89</v>
      </c>
      <c r="B28" s="1" t="s">
        <v>45</v>
      </c>
      <c r="C28" s="1" t="s">
        <v>111</v>
      </c>
      <c r="D28" s="1" t="s">
        <v>112</v>
      </c>
      <c r="E28" s="1" t="s">
        <v>113</v>
      </c>
      <c r="F28" s="1" t="s">
        <v>114</v>
      </c>
      <c r="G28" s="1" t="s">
        <v>115</v>
      </c>
      <c r="H28" s="1" t="s">
        <v>76</v>
      </c>
      <c r="I28" s="1" t="s">
        <v>116</v>
      </c>
      <c r="J28" s="1" t="s">
        <v>117</v>
      </c>
      <c r="K28" s="1" t="s">
        <v>118</v>
      </c>
      <c r="L28" s="11">
        <v>56</v>
      </c>
      <c r="M28" s="1" t="s">
        <v>56</v>
      </c>
      <c r="N28" s="1" t="s">
        <v>57</v>
      </c>
      <c r="O28" s="1" t="s">
        <v>58</v>
      </c>
      <c r="P28" s="1">
        <v>100</v>
      </c>
      <c r="Q28" s="12">
        <v>50.45</v>
      </c>
      <c r="R28" s="1" t="s">
        <v>59</v>
      </c>
      <c r="S28" s="1" t="s">
        <v>68</v>
      </c>
      <c r="T28" s="6" t="s">
        <v>61</v>
      </c>
      <c r="U28" s="13">
        <v>0.04</v>
      </c>
      <c r="V28" s="12">
        <v>2.02</v>
      </c>
      <c r="W28" s="12">
        <v>0</v>
      </c>
      <c r="X28" s="1" t="s">
        <v>55</v>
      </c>
    </row>
    <row r="29" spans="1:24" x14ac:dyDescent="0.2">
      <c r="A29" s="1" t="s">
        <v>89</v>
      </c>
      <c r="B29" s="1" t="s">
        <v>45</v>
      </c>
      <c r="C29" s="1" t="s">
        <v>46</v>
      </c>
      <c r="D29" s="1" t="s">
        <v>152</v>
      </c>
      <c r="E29" s="1" t="s">
        <v>176</v>
      </c>
      <c r="F29" s="1" t="s">
        <v>177</v>
      </c>
      <c r="G29" s="1" t="s">
        <v>178</v>
      </c>
      <c r="H29" s="1" t="s">
        <v>76</v>
      </c>
      <c r="I29" s="1" t="s">
        <v>134</v>
      </c>
      <c r="J29" s="1" t="s">
        <v>179</v>
      </c>
      <c r="K29" s="1" t="s">
        <v>131</v>
      </c>
      <c r="L29" s="11">
        <v>63</v>
      </c>
      <c r="M29" s="1" t="s">
        <v>56</v>
      </c>
      <c r="N29" s="1" t="s">
        <v>57</v>
      </c>
      <c r="O29" s="1" t="s">
        <v>58</v>
      </c>
      <c r="P29" s="1">
        <v>20</v>
      </c>
      <c r="Q29" s="12">
        <v>91.63</v>
      </c>
      <c r="R29" s="1" t="s">
        <v>59</v>
      </c>
      <c r="S29" s="1" t="s">
        <v>68</v>
      </c>
      <c r="T29" s="6" t="s">
        <v>61</v>
      </c>
      <c r="U29" s="13">
        <v>0.875</v>
      </c>
      <c r="V29" s="12">
        <v>0</v>
      </c>
      <c r="W29" s="12">
        <v>-80.180000000000007</v>
      </c>
      <c r="X29" s="1" t="s">
        <v>55</v>
      </c>
    </row>
    <row r="30" spans="1:24" x14ac:dyDescent="0.2">
      <c r="A30" s="1" t="s">
        <v>89</v>
      </c>
      <c r="B30" s="1" t="s">
        <v>45</v>
      </c>
      <c r="C30" s="1" t="s">
        <v>46</v>
      </c>
      <c r="D30" s="1" t="s">
        <v>152</v>
      </c>
      <c r="E30" s="1" t="s">
        <v>180</v>
      </c>
      <c r="F30" s="1" t="s">
        <v>181</v>
      </c>
      <c r="G30" s="1" t="s">
        <v>178</v>
      </c>
      <c r="H30" s="1" t="s">
        <v>76</v>
      </c>
      <c r="I30" s="1" t="s">
        <v>116</v>
      </c>
      <c r="J30" s="1" t="s">
        <v>182</v>
      </c>
      <c r="K30" s="1" t="s">
        <v>123</v>
      </c>
      <c r="L30" s="11">
        <v>53</v>
      </c>
      <c r="M30" s="1" t="s">
        <v>56</v>
      </c>
      <c r="N30" s="1" t="s">
        <v>57</v>
      </c>
      <c r="O30" s="1" t="s">
        <v>58</v>
      </c>
      <c r="P30" s="1">
        <v>143</v>
      </c>
      <c r="Q30" s="12">
        <v>168.73</v>
      </c>
      <c r="R30" s="1" t="s">
        <v>59</v>
      </c>
      <c r="S30" s="1" t="s">
        <v>68</v>
      </c>
      <c r="T30" s="6" t="s">
        <v>61</v>
      </c>
      <c r="U30" s="13">
        <v>0.67500000000000004</v>
      </c>
      <c r="V30" s="12">
        <v>0</v>
      </c>
      <c r="W30" s="12">
        <v>-113.89</v>
      </c>
      <c r="X30" s="1" t="s">
        <v>55</v>
      </c>
    </row>
    <row r="31" spans="1:24" x14ac:dyDescent="0.2">
      <c r="A31" s="1" t="s">
        <v>89</v>
      </c>
      <c r="B31" s="1" t="s">
        <v>45</v>
      </c>
      <c r="C31" s="1" t="s">
        <v>46</v>
      </c>
      <c r="D31" s="1" t="s">
        <v>152</v>
      </c>
      <c r="E31" s="1" t="s">
        <v>183</v>
      </c>
      <c r="F31" s="1" t="s">
        <v>184</v>
      </c>
      <c r="G31" s="1" t="s">
        <v>185</v>
      </c>
      <c r="H31" s="1" t="s">
        <v>76</v>
      </c>
      <c r="I31" s="1" t="s">
        <v>155</v>
      </c>
      <c r="J31" s="1" t="s">
        <v>186</v>
      </c>
      <c r="K31" s="1" t="s">
        <v>187</v>
      </c>
      <c r="L31" s="11">
        <v>61</v>
      </c>
      <c r="M31" s="1" t="s">
        <v>56</v>
      </c>
      <c r="N31" s="1" t="s">
        <v>57</v>
      </c>
      <c r="O31" s="1" t="s">
        <v>58</v>
      </c>
      <c r="P31" s="1">
        <v>65</v>
      </c>
      <c r="Q31" s="12">
        <v>97.44</v>
      </c>
      <c r="R31" s="1" t="s">
        <v>59</v>
      </c>
      <c r="S31" s="1" t="s">
        <v>68</v>
      </c>
      <c r="T31" s="6" t="s">
        <v>61</v>
      </c>
      <c r="U31" s="13">
        <v>1.5</v>
      </c>
      <c r="V31" s="12">
        <v>0</v>
      </c>
      <c r="W31" s="12">
        <v>-146.16</v>
      </c>
      <c r="X31" s="1" t="s">
        <v>55</v>
      </c>
    </row>
    <row r="32" spans="1:24" x14ac:dyDescent="0.2">
      <c r="A32" s="1" t="s">
        <v>89</v>
      </c>
      <c r="B32" s="1" t="s">
        <v>45</v>
      </c>
      <c r="C32" s="1" t="s">
        <v>46</v>
      </c>
      <c r="D32" s="1" t="s">
        <v>152</v>
      </c>
      <c r="E32" s="1" t="s">
        <v>188</v>
      </c>
      <c r="F32" s="1" t="s">
        <v>189</v>
      </c>
      <c r="G32" s="1" t="s">
        <v>185</v>
      </c>
      <c r="H32" s="1" t="s">
        <v>81</v>
      </c>
      <c r="I32" s="1" t="s">
        <v>116</v>
      </c>
      <c r="J32" s="1" t="s">
        <v>190</v>
      </c>
      <c r="K32" s="1" t="s">
        <v>118</v>
      </c>
      <c r="L32" s="11">
        <v>31</v>
      </c>
      <c r="M32" s="1" t="s">
        <v>56</v>
      </c>
      <c r="N32" s="1" t="s">
        <v>57</v>
      </c>
      <c r="O32" s="1" t="s">
        <v>58</v>
      </c>
      <c r="P32" s="1">
        <v>170</v>
      </c>
      <c r="Q32" s="12">
        <v>59.98</v>
      </c>
      <c r="R32" s="1" t="s">
        <v>59</v>
      </c>
      <c r="S32" s="1" t="s">
        <v>68</v>
      </c>
      <c r="T32" s="6" t="s">
        <v>61</v>
      </c>
      <c r="U32" s="13">
        <v>0.67500000000000004</v>
      </c>
      <c r="V32" s="12">
        <v>0</v>
      </c>
      <c r="W32" s="12">
        <v>-40.49</v>
      </c>
      <c r="X32" s="1" t="s">
        <v>55</v>
      </c>
    </row>
    <row r="33" spans="1:24" x14ac:dyDescent="0.2">
      <c r="A33" s="1" t="s">
        <v>89</v>
      </c>
      <c r="B33" s="1" t="s">
        <v>45</v>
      </c>
      <c r="C33" s="1" t="s">
        <v>46</v>
      </c>
      <c r="D33" s="1" t="s">
        <v>152</v>
      </c>
      <c r="E33" s="1" t="s">
        <v>191</v>
      </c>
      <c r="F33" s="1" t="s">
        <v>192</v>
      </c>
      <c r="G33" s="1" t="s">
        <v>185</v>
      </c>
      <c r="H33" s="1" t="s">
        <v>81</v>
      </c>
      <c r="I33" s="1" t="s">
        <v>116</v>
      </c>
      <c r="J33" s="1" t="s">
        <v>190</v>
      </c>
      <c r="K33" s="1" t="s">
        <v>118</v>
      </c>
      <c r="L33" s="11">
        <v>29</v>
      </c>
      <c r="M33" s="1" t="s">
        <v>56</v>
      </c>
      <c r="N33" s="1" t="s">
        <v>57</v>
      </c>
      <c r="O33" s="1" t="s">
        <v>58</v>
      </c>
      <c r="P33" s="1">
        <v>120</v>
      </c>
      <c r="Q33" s="12">
        <v>59.68</v>
      </c>
      <c r="R33" s="1" t="s">
        <v>59</v>
      </c>
      <c r="S33" s="1" t="s">
        <v>68</v>
      </c>
      <c r="T33" s="6" t="s">
        <v>61</v>
      </c>
      <c r="U33" s="13">
        <v>0.67500000000000004</v>
      </c>
      <c r="V33" s="12">
        <v>0</v>
      </c>
      <c r="W33" s="12">
        <v>-40.28</v>
      </c>
      <c r="X33" s="1" t="s">
        <v>55</v>
      </c>
    </row>
    <row r="34" spans="1:24" x14ac:dyDescent="0.2">
      <c r="A34" s="1" t="s">
        <v>89</v>
      </c>
      <c r="B34" s="1" t="s">
        <v>45</v>
      </c>
      <c r="C34" s="1" t="s">
        <v>46</v>
      </c>
      <c r="D34" s="1" t="s">
        <v>169</v>
      </c>
      <c r="E34" s="1" t="s">
        <v>193</v>
      </c>
      <c r="F34" s="1" t="s">
        <v>194</v>
      </c>
      <c r="G34" s="1" t="s">
        <v>121</v>
      </c>
      <c r="H34" s="1" t="s">
        <v>51</v>
      </c>
      <c r="I34" s="1" t="s">
        <v>195</v>
      </c>
      <c r="J34" s="1" t="s">
        <v>77</v>
      </c>
      <c r="K34" s="1" t="s">
        <v>53</v>
      </c>
      <c r="L34" s="11">
        <v>48</v>
      </c>
      <c r="M34" s="1" t="s">
        <v>56</v>
      </c>
      <c r="N34" s="1" t="s">
        <v>57</v>
      </c>
      <c r="O34" s="1" t="s">
        <v>58</v>
      </c>
      <c r="P34" s="1">
        <v>150</v>
      </c>
      <c r="Q34" s="12">
        <v>0</v>
      </c>
      <c r="R34" s="1" t="s">
        <v>59</v>
      </c>
      <c r="S34" s="1" t="s">
        <v>196</v>
      </c>
      <c r="T34" s="6" t="s">
        <v>61</v>
      </c>
      <c r="U34" s="13">
        <v>0</v>
      </c>
      <c r="V34" s="12">
        <v>-421.74</v>
      </c>
      <c r="W34" s="12">
        <v>-421.74</v>
      </c>
      <c r="X34" s="1" t="s">
        <v>55</v>
      </c>
    </row>
    <row r="35" spans="1:24" x14ac:dyDescent="0.2">
      <c r="A35" s="1" t="s">
        <v>89</v>
      </c>
      <c r="B35" s="1" t="s">
        <v>45</v>
      </c>
      <c r="C35" s="1" t="s">
        <v>46</v>
      </c>
      <c r="D35" s="1" t="s">
        <v>169</v>
      </c>
      <c r="E35" s="1" t="s">
        <v>197</v>
      </c>
      <c r="F35" s="1" t="s">
        <v>198</v>
      </c>
      <c r="G35" s="1" t="s">
        <v>121</v>
      </c>
      <c r="H35" s="1" t="s">
        <v>76</v>
      </c>
      <c r="I35" s="1" t="s">
        <v>155</v>
      </c>
      <c r="J35" s="1" t="s">
        <v>199</v>
      </c>
      <c r="K35" s="1" t="s">
        <v>123</v>
      </c>
      <c r="L35" s="11">
        <v>57</v>
      </c>
      <c r="M35" s="1" t="s">
        <v>56</v>
      </c>
      <c r="N35" s="1" t="s">
        <v>57</v>
      </c>
      <c r="O35" s="1" t="s">
        <v>58</v>
      </c>
      <c r="P35" s="1">
        <v>125</v>
      </c>
      <c r="Q35" s="12">
        <v>141.84</v>
      </c>
      <c r="R35" s="1" t="s">
        <v>59</v>
      </c>
      <c r="S35" s="1" t="s">
        <v>200</v>
      </c>
      <c r="T35" s="6" t="s">
        <v>61</v>
      </c>
      <c r="U35" s="13">
        <v>1.5</v>
      </c>
      <c r="V35" s="12">
        <v>0</v>
      </c>
      <c r="W35" s="12">
        <v>-212.76</v>
      </c>
      <c r="X35" s="1" t="s">
        <v>55</v>
      </c>
    </row>
    <row r="36" spans="1:24" x14ac:dyDescent="0.2">
      <c r="A36" s="1" t="s">
        <v>89</v>
      </c>
      <c r="B36" s="1" t="s">
        <v>45</v>
      </c>
      <c r="C36" s="1" t="s">
        <v>46</v>
      </c>
      <c r="D36" s="1" t="s">
        <v>201</v>
      </c>
      <c r="E36" s="1" t="s">
        <v>202</v>
      </c>
      <c r="F36" s="1" t="s">
        <v>203</v>
      </c>
      <c r="G36" s="1" t="s">
        <v>66</v>
      </c>
      <c r="H36" s="1" t="s">
        <v>76</v>
      </c>
      <c r="I36" s="1" t="s">
        <v>204</v>
      </c>
      <c r="J36" s="1" t="s">
        <v>205</v>
      </c>
      <c r="K36" s="1" t="s">
        <v>187</v>
      </c>
      <c r="L36" s="11">
        <v>60</v>
      </c>
      <c r="M36" s="1" t="s">
        <v>56</v>
      </c>
      <c r="N36" s="1" t="s">
        <v>57</v>
      </c>
      <c r="O36" s="1" t="s">
        <v>58</v>
      </c>
      <c r="P36" s="1">
        <v>100</v>
      </c>
      <c r="Q36" s="12">
        <v>71.34</v>
      </c>
      <c r="R36" s="1" t="s">
        <v>59</v>
      </c>
      <c r="S36" s="1" t="s">
        <v>68</v>
      </c>
      <c r="T36" s="6" t="s">
        <v>61</v>
      </c>
      <c r="U36" s="13">
        <v>1.03</v>
      </c>
      <c r="V36" s="12">
        <v>0</v>
      </c>
      <c r="W36" s="12">
        <v>-73.48</v>
      </c>
      <c r="X36" s="1" t="s">
        <v>55</v>
      </c>
    </row>
    <row r="37" spans="1:24" x14ac:dyDescent="0.2">
      <c r="A37" s="1" t="s">
        <v>89</v>
      </c>
      <c r="B37" s="1" t="s">
        <v>45</v>
      </c>
      <c r="C37" s="1" t="s">
        <v>46</v>
      </c>
      <c r="D37" s="1" t="s">
        <v>78</v>
      </c>
      <c r="E37" s="1" t="s">
        <v>206</v>
      </c>
      <c r="F37" s="1" t="s">
        <v>207</v>
      </c>
      <c r="G37" s="1" t="s">
        <v>121</v>
      </c>
      <c r="H37" s="1" t="s">
        <v>81</v>
      </c>
      <c r="I37" s="1" t="s">
        <v>116</v>
      </c>
      <c r="J37" s="1" t="s">
        <v>208</v>
      </c>
      <c r="K37" s="1" t="s">
        <v>118</v>
      </c>
      <c r="L37" s="11">
        <v>72</v>
      </c>
      <c r="M37" s="1" t="s">
        <v>56</v>
      </c>
      <c r="N37" s="1" t="s">
        <v>57</v>
      </c>
      <c r="O37" s="1" t="s">
        <v>58</v>
      </c>
      <c r="P37" s="1">
        <v>50</v>
      </c>
      <c r="Q37" s="12">
        <v>267.10000000000002</v>
      </c>
      <c r="R37" s="1" t="s">
        <v>59</v>
      </c>
      <c r="S37" s="1" t="s">
        <v>68</v>
      </c>
      <c r="T37" s="6" t="s">
        <v>61</v>
      </c>
      <c r="U37" s="13">
        <v>0.67500000000000004</v>
      </c>
      <c r="V37" s="12">
        <v>0</v>
      </c>
      <c r="W37" s="12">
        <v>-180.29</v>
      </c>
      <c r="X37" s="1" t="s">
        <v>55</v>
      </c>
    </row>
    <row r="38" spans="1:24" x14ac:dyDescent="0.2">
      <c r="A38" s="1" t="s">
        <v>89</v>
      </c>
      <c r="B38" s="1" t="s">
        <v>45</v>
      </c>
      <c r="C38" s="1" t="s">
        <v>46</v>
      </c>
      <c r="D38" s="1" t="s">
        <v>78</v>
      </c>
      <c r="E38" s="1" t="s">
        <v>209</v>
      </c>
      <c r="F38" s="1" t="s">
        <v>210</v>
      </c>
      <c r="G38" s="1" t="s">
        <v>66</v>
      </c>
      <c r="H38" s="1" t="s">
        <v>76</v>
      </c>
      <c r="I38" s="1" t="s">
        <v>116</v>
      </c>
      <c r="J38" s="1" t="s">
        <v>211</v>
      </c>
      <c r="K38" s="1" t="s">
        <v>123</v>
      </c>
      <c r="L38" s="11">
        <v>66</v>
      </c>
      <c r="M38" s="1" t="s">
        <v>56</v>
      </c>
      <c r="N38" s="1" t="s">
        <v>57</v>
      </c>
      <c r="O38" s="1" t="s">
        <v>58</v>
      </c>
      <c r="P38" s="1">
        <v>60</v>
      </c>
      <c r="Q38" s="12">
        <v>197.9</v>
      </c>
      <c r="R38" s="1" t="s">
        <v>59</v>
      </c>
      <c r="S38" s="1" t="s">
        <v>68</v>
      </c>
      <c r="T38" s="6" t="s">
        <v>61</v>
      </c>
      <c r="U38" s="13">
        <v>1.35</v>
      </c>
      <c r="V38" s="12">
        <v>0</v>
      </c>
      <c r="W38" s="12">
        <v>-267.17</v>
      </c>
      <c r="X38" s="1" t="s">
        <v>55</v>
      </c>
    </row>
    <row r="39" spans="1:24" x14ac:dyDescent="0.2">
      <c r="A39" s="1" t="s">
        <v>89</v>
      </c>
      <c r="B39" s="1" t="s">
        <v>45</v>
      </c>
      <c r="C39" s="1" t="s">
        <v>46</v>
      </c>
      <c r="D39" s="1" t="s">
        <v>78</v>
      </c>
      <c r="E39" s="1" t="s">
        <v>212</v>
      </c>
      <c r="F39" s="1" t="s">
        <v>213</v>
      </c>
      <c r="G39" s="1" t="s">
        <v>214</v>
      </c>
      <c r="H39" s="1" t="s">
        <v>76</v>
      </c>
      <c r="I39" s="1" t="s">
        <v>116</v>
      </c>
      <c r="J39" s="1" t="s">
        <v>145</v>
      </c>
      <c r="K39" s="1" t="s">
        <v>145</v>
      </c>
      <c r="L39" s="11">
        <v>68</v>
      </c>
      <c r="M39" s="1" t="s">
        <v>56</v>
      </c>
      <c r="N39" s="1" t="s">
        <v>57</v>
      </c>
      <c r="O39" s="1" t="s">
        <v>58</v>
      </c>
      <c r="P39" s="1">
        <v>75</v>
      </c>
      <c r="Q39" s="12">
        <v>2393.91</v>
      </c>
      <c r="R39" s="1" t="s">
        <v>59</v>
      </c>
      <c r="S39" s="1" t="s">
        <v>215</v>
      </c>
      <c r="T39" s="6" t="s">
        <v>61</v>
      </c>
      <c r="U39" s="13">
        <v>1.35</v>
      </c>
      <c r="V39" s="12">
        <v>2000</v>
      </c>
      <c r="W39" s="12">
        <v>2000</v>
      </c>
      <c r="X39" s="1" t="s">
        <v>55</v>
      </c>
    </row>
    <row r="40" spans="1:24" x14ac:dyDescent="0.2">
      <c r="A40" s="1" t="s">
        <v>89</v>
      </c>
      <c r="B40" s="1" t="s">
        <v>45</v>
      </c>
      <c r="C40" s="1" t="s">
        <v>46</v>
      </c>
      <c r="D40" s="1" t="s">
        <v>216</v>
      </c>
      <c r="E40" s="1" t="s">
        <v>217</v>
      </c>
      <c r="F40" s="1" t="s">
        <v>218</v>
      </c>
      <c r="G40" s="1" t="s">
        <v>66</v>
      </c>
      <c r="H40" s="1" t="s">
        <v>81</v>
      </c>
      <c r="I40" s="1" t="s">
        <v>116</v>
      </c>
      <c r="J40" s="1" t="s">
        <v>219</v>
      </c>
      <c r="K40" s="1" t="s">
        <v>220</v>
      </c>
      <c r="L40" s="11">
        <v>57</v>
      </c>
      <c r="M40" s="1" t="s">
        <v>56</v>
      </c>
      <c r="N40" s="1" t="s">
        <v>57</v>
      </c>
      <c r="O40" s="1" t="s">
        <v>58</v>
      </c>
      <c r="P40" s="1">
        <v>35</v>
      </c>
      <c r="Q40" s="12">
        <v>79.42</v>
      </c>
      <c r="R40" s="1" t="s">
        <v>59</v>
      </c>
      <c r="S40" s="1" t="s">
        <v>68</v>
      </c>
      <c r="T40" s="6" t="s">
        <v>61</v>
      </c>
      <c r="U40" s="13">
        <v>1.35</v>
      </c>
      <c r="V40" s="12">
        <v>0</v>
      </c>
      <c r="W40" s="12">
        <v>-107.22</v>
      </c>
      <c r="X40" s="1" t="s">
        <v>55</v>
      </c>
    </row>
    <row r="41" spans="1:24" x14ac:dyDescent="0.2">
      <c r="A41" s="1" t="s">
        <v>89</v>
      </c>
      <c r="B41" s="1" t="s">
        <v>45</v>
      </c>
      <c r="C41" s="1" t="s">
        <v>46</v>
      </c>
      <c r="D41" s="1" t="s">
        <v>221</v>
      </c>
      <c r="E41" s="1" t="s">
        <v>222</v>
      </c>
      <c r="F41" s="1" t="s">
        <v>223</v>
      </c>
      <c r="G41" s="1" t="s">
        <v>66</v>
      </c>
      <c r="H41" s="1" t="s">
        <v>76</v>
      </c>
      <c r="I41" s="1" t="s">
        <v>149</v>
      </c>
      <c r="J41" s="1" t="s">
        <v>224</v>
      </c>
      <c r="K41" s="1" t="s">
        <v>131</v>
      </c>
      <c r="L41" s="11">
        <v>63</v>
      </c>
      <c r="M41" s="1" t="s">
        <v>56</v>
      </c>
      <c r="N41" s="1" t="s">
        <v>57</v>
      </c>
      <c r="O41" s="1" t="s">
        <v>58</v>
      </c>
      <c r="P41" s="1">
        <v>10</v>
      </c>
      <c r="Q41" s="12">
        <v>37.72</v>
      </c>
      <c r="R41" s="1" t="s">
        <v>59</v>
      </c>
      <c r="S41" s="1" t="s">
        <v>68</v>
      </c>
      <c r="T41" s="6" t="s">
        <v>61</v>
      </c>
      <c r="U41" s="13">
        <v>1.35</v>
      </c>
      <c r="V41" s="12">
        <v>0</v>
      </c>
      <c r="W41" s="12">
        <v>-50.92</v>
      </c>
      <c r="X41" s="1" t="s">
        <v>55</v>
      </c>
    </row>
    <row r="42" spans="1:24" x14ac:dyDescent="0.2">
      <c r="A42" s="1" t="s">
        <v>89</v>
      </c>
      <c r="B42" s="1" t="s">
        <v>45</v>
      </c>
      <c r="C42" s="1" t="s">
        <v>46</v>
      </c>
      <c r="D42" s="1" t="s">
        <v>225</v>
      </c>
      <c r="E42" s="1" t="s">
        <v>226</v>
      </c>
      <c r="F42" s="1" t="s">
        <v>227</v>
      </c>
      <c r="G42" s="1" t="s">
        <v>115</v>
      </c>
      <c r="H42" s="1" t="s">
        <v>81</v>
      </c>
      <c r="I42" s="1" t="s">
        <v>116</v>
      </c>
      <c r="J42" s="1" t="s">
        <v>53</v>
      </c>
      <c r="K42" s="1" t="s">
        <v>53</v>
      </c>
      <c r="L42" s="11">
        <v>42</v>
      </c>
      <c r="M42" s="1" t="s">
        <v>56</v>
      </c>
      <c r="N42" s="1" t="s">
        <v>57</v>
      </c>
      <c r="O42" s="1" t="s">
        <v>58</v>
      </c>
      <c r="P42" s="1">
        <v>100</v>
      </c>
      <c r="Q42" s="12">
        <v>666.72</v>
      </c>
      <c r="R42" s="1" t="s">
        <v>59</v>
      </c>
      <c r="S42" s="1" t="s">
        <v>60</v>
      </c>
      <c r="T42" s="6" t="s">
        <v>61</v>
      </c>
      <c r="U42" s="13">
        <v>1.35</v>
      </c>
      <c r="V42" s="12">
        <v>900.07</v>
      </c>
      <c r="W42" s="12">
        <v>900.07</v>
      </c>
      <c r="X42" s="1" t="s">
        <v>55</v>
      </c>
    </row>
    <row r="43" spans="1:24" x14ac:dyDescent="0.2">
      <c r="A43" s="1" t="s">
        <v>228</v>
      </c>
      <c r="B43" s="1" t="s">
        <v>45</v>
      </c>
      <c r="C43" s="1" t="s">
        <v>46</v>
      </c>
      <c r="D43" s="1" t="s">
        <v>78</v>
      </c>
      <c r="E43" s="1" t="s">
        <v>229</v>
      </c>
      <c r="F43" s="1" t="s">
        <v>230</v>
      </c>
      <c r="G43" s="1" t="s">
        <v>121</v>
      </c>
      <c r="H43" s="1" t="s">
        <v>51</v>
      </c>
      <c r="I43" s="1" t="s">
        <v>231</v>
      </c>
      <c r="J43" s="1" t="s">
        <v>232</v>
      </c>
      <c r="K43" s="1" t="s">
        <v>53</v>
      </c>
      <c r="L43" s="11" t="s">
        <v>55</v>
      </c>
      <c r="M43" s="1" t="s">
        <v>56</v>
      </c>
      <c r="N43" s="1" t="s">
        <v>57</v>
      </c>
      <c r="O43" s="1" t="s">
        <v>58</v>
      </c>
      <c r="P43" s="1">
        <v>0</v>
      </c>
      <c r="Q43" s="12">
        <v>151.81</v>
      </c>
      <c r="R43" s="1" t="s">
        <v>59</v>
      </c>
      <c r="S43" s="1" t="s">
        <v>68</v>
      </c>
      <c r="T43" s="6" t="s">
        <v>61</v>
      </c>
      <c r="U43" s="13">
        <v>0.24</v>
      </c>
      <c r="V43" s="12">
        <v>36.43</v>
      </c>
      <c r="W43" s="12">
        <v>0</v>
      </c>
      <c r="X43" s="1" t="s">
        <v>55</v>
      </c>
    </row>
    <row r="44" spans="1:24" x14ac:dyDescent="0.2">
      <c r="A44" s="1" t="s">
        <v>228</v>
      </c>
      <c r="B44" s="1" t="s">
        <v>45</v>
      </c>
      <c r="C44" s="1" t="s">
        <v>62</v>
      </c>
      <c r="D44" s="1" t="s">
        <v>233</v>
      </c>
      <c r="E44" s="1" t="s">
        <v>234</v>
      </c>
      <c r="F44" s="1" t="s">
        <v>235</v>
      </c>
      <c r="G44" s="1" t="s">
        <v>66</v>
      </c>
      <c r="H44" s="1" t="s">
        <v>51</v>
      </c>
      <c r="I44" s="1" t="s">
        <v>236</v>
      </c>
      <c r="J44" s="1" t="s">
        <v>237</v>
      </c>
      <c r="K44" s="1" t="s">
        <v>238</v>
      </c>
      <c r="L44" s="11" t="s">
        <v>55</v>
      </c>
      <c r="M44" s="1" t="s">
        <v>56</v>
      </c>
      <c r="N44" s="1" t="s">
        <v>57</v>
      </c>
      <c r="O44" s="1" t="s">
        <v>58</v>
      </c>
      <c r="P44" s="1">
        <v>0</v>
      </c>
      <c r="Q44" s="12">
        <v>79.28</v>
      </c>
      <c r="R44" s="1" t="s">
        <v>83</v>
      </c>
      <c r="S44" s="1" t="s">
        <v>84</v>
      </c>
      <c r="T44" s="6" t="s">
        <v>61</v>
      </c>
      <c r="U44" s="13">
        <v>0.03</v>
      </c>
      <c r="V44" s="12">
        <v>2.38</v>
      </c>
      <c r="W44" s="12">
        <v>0</v>
      </c>
      <c r="X44" s="1" t="s">
        <v>55</v>
      </c>
    </row>
    <row r="45" spans="1:24" x14ac:dyDescent="0.2">
      <c r="A45" s="1" t="s">
        <v>228</v>
      </c>
      <c r="B45" s="1" t="s">
        <v>45</v>
      </c>
      <c r="C45" s="1" t="s">
        <v>62</v>
      </c>
      <c r="D45" s="1" t="s">
        <v>225</v>
      </c>
      <c r="E45" s="1" t="s">
        <v>239</v>
      </c>
      <c r="F45" s="1" t="s">
        <v>240</v>
      </c>
      <c r="G45" s="1" t="s">
        <v>115</v>
      </c>
      <c r="H45" s="1" t="s">
        <v>76</v>
      </c>
      <c r="I45" s="1" t="s">
        <v>241</v>
      </c>
      <c r="J45" s="1" t="s">
        <v>106</v>
      </c>
      <c r="K45" s="1" t="s">
        <v>53</v>
      </c>
      <c r="L45" s="11" t="s">
        <v>55</v>
      </c>
      <c r="M45" s="1" t="s">
        <v>56</v>
      </c>
      <c r="N45" s="1" t="s">
        <v>57</v>
      </c>
      <c r="O45" s="1" t="s">
        <v>58</v>
      </c>
      <c r="P45" s="1">
        <v>0</v>
      </c>
      <c r="Q45" s="12">
        <v>93.57</v>
      </c>
      <c r="R45" s="1" t="s">
        <v>83</v>
      </c>
      <c r="S45" s="1" t="s">
        <v>84</v>
      </c>
      <c r="T45" s="6" t="s">
        <v>61</v>
      </c>
      <c r="U45" s="13">
        <v>0.27</v>
      </c>
      <c r="V45" s="12">
        <v>25.26</v>
      </c>
      <c r="W45" s="12">
        <v>0</v>
      </c>
      <c r="X45" s="1" t="s">
        <v>55</v>
      </c>
    </row>
    <row r="46" spans="1:24" x14ac:dyDescent="0.2">
      <c r="A46" s="1" t="s">
        <v>228</v>
      </c>
      <c r="B46" s="1" t="s">
        <v>45</v>
      </c>
      <c r="C46" s="1" t="s">
        <v>62</v>
      </c>
      <c r="D46" s="1" t="s">
        <v>85</v>
      </c>
      <c r="E46" s="1" t="s">
        <v>242</v>
      </c>
      <c r="F46" s="1" t="s">
        <v>243</v>
      </c>
      <c r="G46" s="1" t="s">
        <v>66</v>
      </c>
      <c r="H46" s="1" t="s">
        <v>51</v>
      </c>
      <c r="I46" s="1" t="s">
        <v>244</v>
      </c>
      <c r="J46" s="1" t="s">
        <v>88</v>
      </c>
      <c r="K46" s="1" t="s">
        <v>53</v>
      </c>
      <c r="L46" s="11" t="s">
        <v>55</v>
      </c>
      <c r="M46" s="1" t="s">
        <v>56</v>
      </c>
      <c r="N46" s="1" t="s">
        <v>57</v>
      </c>
      <c r="O46" s="1" t="s">
        <v>58</v>
      </c>
      <c r="P46" s="1">
        <v>0</v>
      </c>
      <c r="Q46" s="12">
        <v>34.36</v>
      </c>
      <c r="R46" s="1" t="s">
        <v>59</v>
      </c>
      <c r="S46" s="1" t="s">
        <v>68</v>
      </c>
      <c r="T46" s="6" t="s">
        <v>61</v>
      </c>
      <c r="U46" s="13">
        <v>0.52</v>
      </c>
      <c r="V46" s="12">
        <v>17.87</v>
      </c>
      <c r="W46" s="12">
        <v>0</v>
      </c>
      <c r="X46" s="1" t="s">
        <v>55</v>
      </c>
    </row>
    <row r="47" spans="1:24" x14ac:dyDescent="0.2">
      <c r="A47" s="1" t="s">
        <v>228</v>
      </c>
      <c r="B47" s="1" t="s">
        <v>45</v>
      </c>
      <c r="C47" s="1" t="s">
        <v>62</v>
      </c>
      <c r="D47" s="1" t="s">
        <v>85</v>
      </c>
      <c r="E47" s="1" t="s">
        <v>245</v>
      </c>
      <c r="F47" s="1" t="s">
        <v>246</v>
      </c>
      <c r="G47" s="1" t="s">
        <v>66</v>
      </c>
      <c r="H47" s="1" t="s">
        <v>51</v>
      </c>
      <c r="I47" s="1" t="s">
        <v>244</v>
      </c>
      <c r="J47" s="1" t="s">
        <v>88</v>
      </c>
      <c r="K47" s="1" t="s">
        <v>53</v>
      </c>
      <c r="L47" s="11" t="s">
        <v>55</v>
      </c>
      <c r="M47" s="1" t="s">
        <v>56</v>
      </c>
      <c r="N47" s="1" t="s">
        <v>57</v>
      </c>
      <c r="O47" s="1" t="s">
        <v>58</v>
      </c>
      <c r="P47" s="1">
        <v>0</v>
      </c>
      <c r="Q47" s="12">
        <v>34.36</v>
      </c>
      <c r="R47" s="1" t="s">
        <v>59</v>
      </c>
      <c r="S47" s="1" t="s">
        <v>68</v>
      </c>
      <c r="T47" s="6" t="s">
        <v>61</v>
      </c>
      <c r="U47" s="13">
        <v>0.52</v>
      </c>
      <c r="V47" s="12">
        <v>17.87</v>
      </c>
      <c r="W47" s="12">
        <v>0</v>
      </c>
      <c r="X47" s="1" t="s">
        <v>55</v>
      </c>
    </row>
    <row r="48" spans="1:24" x14ac:dyDescent="0.2">
      <c r="A48" s="1" t="s">
        <v>228</v>
      </c>
      <c r="B48" s="1" t="s">
        <v>45</v>
      </c>
      <c r="C48" s="1" t="s">
        <v>62</v>
      </c>
      <c r="D48" s="1" t="s">
        <v>85</v>
      </c>
      <c r="E48" s="1" t="s">
        <v>247</v>
      </c>
      <c r="F48" s="1" t="s">
        <v>248</v>
      </c>
      <c r="G48" s="1" t="s">
        <v>66</v>
      </c>
      <c r="H48" s="1" t="s">
        <v>76</v>
      </c>
      <c r="I48" s="1" t="s">
        <v>244</v>
      </c>
      <c r="J48" s="1" t="s">
        <v>71</v>
      </c>
      <c r="K48" s="1" t="s">
        <v>53</v>
      </c>
      <c r="L48" s="11" t="s">
        <v>55</v>
      </c>
      <c r="M48" s="1" t="s">
        <v>56</v>
      </c>
      <c r="N48" s="1" t="s">
        <v>57</v>
      </c>
      <c r="O48" s="1" t="s">
        <v>58</v>
      </c>
      <c r="P48" s="1">
        <v>0</v>
      </c>
      <c r="Q48" s="12">
        <v>34.36</v>
      </c>
      <c r="R48" s="1" t="s">
        <v>59</v>
      </c>
      <c r="S48" s="1" t="s">
        <v>68</v>
      </c>
      <c r="T48" s="6" t="s">
        <v>61</v>
      </c>
      <c r="U48" s="13">
        <v>0.52</v>
      </c>
      <c r="V48" s="12">
        <v>0</v>
      </c>
      <c r="W48" s="12">
        <v>-17.87</v>
      </c>
      <c r="X48" s="1" t="s">
        <v>55</v>
      </c>
    </row>
    <row r="49" spans="1:24" x14ac:dyDescent="0.2">
      <c r="A49" s="1" t="s">
        <v>228</v>
      </c>
      <c r="B49" s="1" t="s">
        <v>45</v>
      </c>
      <c r="C49" s="1" t="s">
        <v>62</v>
      </c>
      <c r="D49" s="1" t="s">
        <v>96</v>
      </c>
      <c r="E49" s="1" t="s">
        <v>249</v>
      </c>
      <c r="F49" s="1" t="s">
        <v>250</v>
      </c>
      <c r="G49" s="1" t="s">
        <v>115</v>
      </c>
      <c r="H49" s="1" t="s">
        <v>81</v>
      </c>
      <c r="I49" s="1" t="s">
        <v>241</v>
      </c>
      <c r="J49" s="1" t="s">
        <v>88</v>
      </c>
      <c r="K49" s="1" t="s">
        <v>53</v>
      </c>
      <c r="L49" s="11" t="s">
        <v>55</v>
      </c>
      <c r="M49" s="1" t="s">
        <v>251</v>
      </c>
      <c r="N49" s="1" t="s">
        <v>57</v>
      </c>
      <c r="O49" s="1" t="s">
        <v>58</v>
      </c>
      <c r="P49" s="1">
        <v>0</v>
      </c>
      <c r="Q49" s="12">
        <v>-127.75</v>
      </c>
      <c r="R49" s="1" t="s">
        <v>83</v>
      </c>
      <c r="S49" s="1" t="s">
        <v>252</v>
      </c>
      <c r="T49" s="6" t="s">
        <v>61</v>
      </c>
      <c r="U49" s="13">
        <v>0.27</v>
      </c>
      <c r="V49" s="12">
        <v>-34.49</v>
      </c>
      <c r="W49" s="12">
        <v>0</v>
      </c>
      <c r="X49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BA7F-E398-4AEE-AABA-55604393628A}">
  <dimension ref="A1:Z47"/>
  <sheetViews>
    <sheetView tabSelected="1" topLeftCell="A13" workbookViewId="0">
      <selection activeCell="C46" sqref="C46"/>
    </sheetView>
  </sheetViews>
  <sheetFormatPr defaultRowHeight="14.25" x14ac:dyDescent="0.2"/>
  <cols>
    <col min="1" max="1" width="22.7109375" style="11" bestFit="1" customWidth="1"/>
    <col min="2" max="2" width="11" style="11" bestFit="1" customWidth="1"/>
    <col min="3" max="3" width="11.85546875" style="11" bestFit="1" customWidth="1"/>
    <col min="4" max="4" width="27.85546875" style="11" bestFit="1" customWidth="1"/>
    <col min="5" max="5" width="12.28515625" style="11" bestFit="1" customWidth="1"/>
    <col min="6" max="6" width="13.7109375" style="11" bestFit="1" customWidth="1"/>
    <col min="7" max="7" width="11.7109375" style="11" bestFit="1" customWidth="1"/>
    <col min="8" max="8" width="14.140625" style="11" bestFit="1" customWidth="1"/>
    <col min="9" max="10" width="14.140625" style="11" customWidth="1"/>
    <col min="11" max="11" width="22.7109375" style="11" bestFit="1" customWidth="1"/>
    <col min="12" max="12" width="19.7109375" style="11" bestFit="1" customWidth="1"/>
    <col min="13" max="13" width="88.7109375" style="11" bestFit="1" customWidth="1"/>
    <col min="14" max="14" width="4.85546875" style="11" bestFit="1" customWidth="1"/>
    <col min="15" max="15" width="6.7109375" style="11" bestFit="1" customWidth="1"/>
    <col min="16" max="16" width="9.85546875" style="11" bestFit="1" customWidth="1"/>
    <col min="17" max="17" width="6" style="11" bestFit="1" customWidth="1"/>
    <col min="18" max="18" width="19.7109375" style="11" bestFit="1" customWidth="1"/>
    <col min="19" max="19" width="16.85546875" style="11" bestFit="1" customWidth="1"/>
    <col min="20" max="20" width="5.7109375" style="11" bestFit="1" customWidth="1"/>
    <col min="21" max="21" width="17.85546875" style="11" bestFit="1" customWidth="1"/>
    <col min="22" max="22" width="9.140625" style="11" bestFit="1" customWidth="1"/>
    <col min="23" max="23" width="11.140625" style="11" bestFit="1" customWidth="1"/>
    <col min="24" max="24" width="11.5703125" style="11" bestFit="1" customWidth="1"/>
    <col min="25" max="25" width="11.7109375" style="11" bestFit="1" customWidth="1"/>
    <col min="26" max="26" width="44.28515625" style="11" bestFit="1" customWidth="1"/>
    <col min="27" max="16384" width="9.140625" style="11"/>
  </cols>
  <sheetData>
    <row r="1" spans="1:26" s="22" customFormat="1" ht="30" customHeight="1" x14ac:dyDescent="0.25">
      <c r="A1" s="22" t="s">
        <v>253</v>
      </c>
      <c r="B1" s="22" t="s">
        <v>23</v>
      </c>
      <c r="C1" s="22" t="s">
        <v>24</v>
      </c>
      <c r="D1" s="22" t="s">
        <v>25</v>
      </c>
      <c r="E1" s="22" t="s">
        <v>26</v>
      </c>
      <c r="F1" s="22" t="s">
        <v>27</v>
      </c>
      <c r="G1" s="22" t="s">
        <v>29</v>
      </c>
      <c r="H1" s="22" t="s">
        <v>30</v>
      </c>
      <c r="I1" s="22" t="s">
        <v>304</v>
      </c>
      <c r="J1" s="22" t="s">
        <v>303</v>
      </c>
      <c r="K1" s="22" t="s">
        <v>254</v>
      </c>
      <c r="L1" s="22" t="s">
        <v>255</v>
      </c>
      <c r="M1" s="22" t="s">
        <v>268</v>
      </c>
      <c r="N1" s="22" t="s">
        <v>31</v>
      </c>
      <c r="O1" s="22" t="s">
        <v>32</v>
      </c>
      <c r="P1" s="22" t="s">
        <v>33</v>
      </c>
      <c r="Q1" s="22" t="s">
        <v>34</v>
      </c>
      <c r="R1" s="22" t="s">
        <v>35</v>
      </c>
      <c r="S1" s="22" t="s">
        <v>36</v>
      </c>
      <c r="T1" s="22" t="s">
        <v>37</v>
      </c>
      <c r="U1" s="22" t="s">
        <v>38</v>
      </c>
      <c r="V1" s="22" t="s">
        <v>39</v>
      </c>
      <c r="W1" s="22" t="s">
        <v>40</v>
      </c>
      <c r="X1" s="22" t="s">
        <v>41</v>
      </c>
      <c r="Y1" s="22" t="s">
        <v>42</v>
      </c>
      <c r="Z1" s="22" t="s">
        <v>267</v>
      </c>
    </row>
    <row r="2" spans="1:26" x14ac:dyDescent="0.2">
      <c r="A2" s="11" t="s">
        <v>282</v>
      </c>
      <c r="B2" s="11">
        <v>9079571</v>
      </c>
      <c r="C2" s="11" t="s">
        <v>226</v>
      </c>
      <c r="D2" s="11" t="s">
        <v>227</v>
      </c>
      <c r="E2" s="11" t="s">
        <v>115</v>
      </c>
      <c r="F2" s="11" t="s">
        <v>81</v>
      </c>
      <c r="G2" s="11" t="s">
        <v>53</v>
      </c>
      <c r="H2" s="23">
        <v>46054</v>
      </c>
      <c r="I2" s="24" t="s">
        <v>305</v>
      </c>
      <c r="J2" s="11">
        <v>0</v>
      </c>
      <c r="K2" s="11">
        <v>74.08</v>
      </c>
      <c r="L2" s="11">
        <v>100.00800000000001</v>
      </c>
      <c r="M2" s="11" t="s">
        <v>298</v>
      </c>
      <c r="N2" s="11">
        <v>42</v>
      </c>
      <c r="O2" s="11" t="s">
        <v>56</v>
      </c>
      <c r="P2" s="11" t="s">
        <v>57</v>
      </c>
      <c r="Q2" s="11">
        <v>1</v>
      </c>
      <c r="R2" s="11">
        <v>100</v>
      </c>
      <c r="S2" s="14">
        <v>666.72</v>
      </c>
      <c r="T2" s="11" t="s">
        <v>59</v>
      </c>
      <c r="U2" s="11" t="s">
        <v>60</v>
      </c>
      <c r="V2" s="15">
        <v>1</v>
      </c>
      <c r="W2" s="16">
        <v>135</v>
      </c>
      <c r="X2" s="14">
        <v>900.07</v>
      </c>
      <c r="Y2" s="14">
        <v>900.07</v>
      </c>
      <c r="Z2" s="11" t="s">
        <v>259</v>
      </c>
    </row>
    <row r="3" spans="1:26" x14ac:dyDescent="0.2">
      <c r="A3" s="11" t="s">
        <v>282</v>
      </c>
      <c r="B3" s="11">
        <v>9079571</v>
      </c>
      <c r="C3" s="11" t="s">
        <v>239</v>
      </c>
      <c r="D3" s="11" t="s">
        <v>240</v>
      </c>
      <c r="E3" s="11" t="s">
        <v>115</v>
      </c>
      <c r="F3" s="11" t="s">
        <v>76</v>
      </c>
      <c r="G3" s="11" t="s">
        <v>106</v>
      </c>
      <c r="H3" s="11" t="s">
        <v>53</v>
      </c>
      <c r="I3" s="24" t="s">
        <v>305</v>
      </c>
      <c r="J3" s="11">
        <v>25</v>
      </c>
      <c r="K3" s="11">
        <v>125.66</v>
      </c>
      <c r="L3" s="11">
        <v>33.928200000000004</v>
      </c>
      <c r="M3" s="11" t="s">
        <v>297</v>
      </c>
      <c r="N3" s="11" t="s">
        <v>55</v>
      </c>
      <c r="O3" s="11" t="s">
        <v>56</v>
      </c>
      <c r="P3" s="11" t="s">
        <v>57</v>
      </c>
      <c r="Q3" s="11">
        <v>1</v>
      </c>
      <c r="R3" s="11">
        <v>0</v>
      </c>
      <c r="S3" s="14">
        <v>93.57</v>
      </c>
      <c r="T3" s="11" t="s">
        <v>83</v>
      </c>
      <c r="U3" s="11" t="s">
        <v>84</v>
      </c>
      <c r="V3" s="15">
        <v>1</v>
      </c>
      <c r="W3" s="16">
        <v>27</v>
      </c>
      <c r="X3" s="14">
        <v>25.26</v>
      </c>
      <c r="Y3" s="14">
        <v>0</v>
      </c>
      <c r="Z3" s="11" t="s">
        <v>258</v>
      </c>
    </row>
    <row r="4" spans="1:26" x14ac:dyDescent="0.2">
      <c r="A4" s="11" t="s">
        <v>280</v>
      </c>
      <c r="B4" s="11">
        <v>7470776</v>
      </c>
      <c r="C4" s="11" t="s">
        <v>217</v>
      </c>
      <c r="D4" s="11" t="s">
        <v>218</v>
      </c>
      <c r="E4" s="11" t="s">
        <v>66</v>
      </c>
      <c r="F4" s="11" t="s">
        <v>81</v>
      </c>
      <c r="G4" s="11" t="s">
        <v>219</v>
      </c>
      <c r="H4" s="11" t="s">
        <v>220</v>
      </c>
      <c r="I4" s="21" t="s">
        <v>306</v>
      </c>
      <c r="J4" s="11">
        <v>2</v>
      </c>
      <c r="K4" s="11">
        <v>79.42</v>
      </c>
      <c r="L4" s="11">
        <v>107.21700000000001</v>
      </c>
      <c r="M4" s="11" t="s">
        <v>294</v>
      </c>
      <c r="N4" s="11">
        <v>57</v>
      </c>
      <c r="O4" s="11" t="s">
        <v>56</v>
      </c>
      <c r="P4" s="11" t="s">
        <v>57</v>
      </c>
      <c r="Q4" s="11">
        <v>1</v>
      </c>
      <c r="R4" s="11">
        <v>35</v>
      </c>
      <c r="S4" s="14">
        <v>79.42</v>
      </c>
      <c r="T4" s="11" t="s">
        <v>59</v>
      </c>
      <c r="U4" s="11" t="s">
        <v>68</v>
      </c>
      <c r="V4" s="15">
        <v>1</v>
      </c>
      <c r="W4" s="16">
        <v>135</v>
      </c>
      <c r="X4" s="14">
        <v>0</v>
      </c>
      <c r="Y4" s="14">
        <v>-107.22</v>
      </c>
      <c r="Z4" s="11" t="s">
        <v>259</v>
      </c>
    </row>
    <row r="5" spans="1:26" x14ac:dyDescent="0.2">
      <c r="A5" s="11" t="s">
        <v>272</v>
      </c>
      <c r="B5" s="11">
        <v>19278370</v>
      </c>
      <c r="C5" s="11" t="s">
        <v>97</v>
      </c>
      <c r="D5" s="11" t="s">
        <v>98</v>
      </c>
      <c r="E5" s="11" t="s">
        <v>93</v>
      </c>
      <c r="F5" s="11" t="s">
        <v>76</v>
      </c>
      <c r="G5" s="11" t="s">
        <v>88</v>
      </c>
      <c r="H5" s="11" t="s">
        <v>53</v>
      </c>
      <c r="I5" s="24" t="s">
        <v>305</v>
      </c>
      <c r="J5" s="11">
        <v>12</v>
      </c>
      <c r="K5" s="11">
        <v>72.97</v>
      </c>
      <c r="L5" s="11">
        <v>18.60735</v>
      </c>
      <c r="M5" s="11" t="s">
        <v>287</v>
      </c>
      <c r="N5" s="11" t="s">
        <v>55</v>
      </c>
      <c r="O5" s="11" t="s">
        <v>56</v>
      </c>
      <c r="P5" s="11" t="s">
        <v>57</v>
      </c>
      <c r="Q5" s="11">
        <v>1</v>
      </c>
      <c r="R5" s="11">
        <v>0</v>
      </c>
      <c r="S5" s="14">
        <v>70.67</v>
      </c>
      <c r="T5" s="11" t="s">
        <v>59</v>
      </c>
      <c r="U5" s="11" t="s">
        <v>68</v>
      </c>
      <c r="V5" s="15">
        <v>1</v>
      </c>
      <c r="W5" s="16">
        <v>25.5</v>
      </c>
      <c r="X5" s="14">
        <v>18.02</v>
      </c>
      <c r="Y5" s="14">
        <v>0</v>
      </c>
      <c r="Z5" s="11" t="s">
        <v>257</v>
      </c>
    </row>
    <row r="6" spans="1:26" x14ac:dyDescent="0.2">
      <c r="A6" s="11" t="s">
        <v>272</v>
      </c>
      <c r="B6" s="11">
        <v>19278370</v>
      </c>
      <c r="C6" s="11" t="s">
        <v>100</v>
      </c>
      <c r="D6" s="11" t="s">
        <v>101</v>
      </c>
      <c r="E6" s="11" t="s">
        <v>93</v>
      </c>
      <c r="F6" s="11" t="s">
        <v>51</v>
      </c>
      <c r="G6" s="11" t="s">
        <v>102</v>
      </c>
      <c r="H6" s="11" t="s">
        <v>53</v>
      </c>
      <c r="I6" s="24" t="s">
        <v>305</v>
      </c>
      <c r="J6" s="11">
        <v>28</v>
      </c>
      <c r="K6" s="11">
        <v>118.77</v>
      </c>
      <c r="L6" s="11">
        <v>1.4846250000000001</v>
      </c>
      <c r="M6" s="11" t="s">
        <v>288</v>
      </c>
      <c r="N6" s="11" t="s">
        <v>55</v>
      </c>
      <c r="O6" s="11" t="s">
        <v>56</v>
      </c>
      <c r="P6" s="11" t="s">
        <v>57</v>
      </c>
      <c r="Q6" s="11">
        <v>1</v>
      </c>
      <c r="R6" s="11">
        <v>0</v>
      </c>
      <c r="S6" s="14">
        <v>104.05</v>
      </c>
      <c r="T6" s="11" t="s">
        <v>83</v>
      </c>
      <c r="U6" s="11" t="s">
        <v>84</v>
      </c>
      <c r="V6" s="15">
        <v>1</v>
      </c>
      <c r="W6" s="16">
        <v>1.25</v>
      </c>
      <c r="X6" s="14">
        <v>1.3</v>
      </c>
      <c r="Y6" s="14">
        <v>0</v>
      </c>
      <c r="Z6" s="11" t="s">
        <v>258</v>
      </c>
    </row>
    <row r="7" spans="1:26" x14ac:dyDescent="0.2">
      <c r="A7" s="11" t="s">
        <v>272</v>
      </c>
      <c r="B7" s="11">
        <v>19278370</v>
      </c>
      <c r="C7" s="11" t="s">
        <v>103</v>
      </c>
      <c r="D7" s="11" t="s">
        <v>104</v>
      </c>
      <c r="E7" s="11" t="s">
        <v>93</v>
      </c>
      <c r="F7" s="11" t="s">
        <v>76</v>
      </c>
      <c r="G7" s="11" t="s">
        <v>106</v>
      </c>
      <c r="H7" s="11" t="s">
        <v>107</v>
      </c>
      <c r="I7" s="24" t="s">
        <v>305</v>
      </c>
      <c r="J7" s="11">
        <v>37</v>
      </c>
      <c r="K7" s="11">
        <v>2533.2600000000002</v>
      </c>
      <c r="L7" s="11">
        <v>544.65090000000009</v>
      </c>
      <c r="M7" s="11" t="s">
        <v>299</v>
      </c>
      <c r="N7" s="11" t="s">
        <v>55</v>
      </c>
      <c r="O7" s="11" t="s">
        <v>108</v>
      </c>
      <c r="P7" s="11" t="s">
        <v>109</v>
      </c>
      <c r="Q7" s="11">
        <v>12</v>
      </c>
      <c r="R7" s="11">
        <v>0</v>
      </c>
      <c r="S7" s="14">
        <v>158.4</v>
      </c>
      <c r="T7" s="11" t="s">
        <v>83</v>
      </c>
      <c r="U7" s="11" t="s">
        <v>84</v>
      </c>
      <c r="V7" s="15">
        <v>1</v>
      </c>
      <c r="W7" s="16">
        <v>21.5</v>
      </c>
      <c r="X7" s="14">
        <v>34.06</v>
      </c>
      <c r="Y7" s="14">
        <v>0</v>
      </c>
      <c r="Z7" s="11" t="s">
        <v>256</v>
      </c>
    </row>
    <row r="8" spans="1:26" x14ac:dyDescent="0.2">
      <c r="A8" s="11" t="s">
        <v>272</v>
      </c>
      <c r="B8" s="11">
        <v>19278370</v>
      </c>
      <c r="C8" s="11" t="s">
        <v>103</v>
      </c>
      <c r="D8" s="11" t="s">
        <v>104</v>
      </c>
      <c r="E8" s="11" t="s">
        <v>93</v>
      </c>
      <c r="F8" s="11" t="s">
        <v>76</v>
      </c>
      <c r="G8" s="11" t="s">
        <v>106</v>
      </c>
      <c r="H8" s="11" t="s">
        <v>107</v>
      </c>
      <c r="I8" s="24" t="s">
        <v>305</v>
      </c>
      <c r="J8" s="11">
        <v>37</v>
      </c>
      <c r="K8" s="11">
        <v>2533.2600000000002</v>
      </c>
      <c r="L8" s="11">
        <v>544.65090000000009</v>
      </c>
      <c r="M8" s="11" t="s">
        <v>299</v>
      </c>
      <c r="N8" s="11" t="s">
        <v>55</v>
      </c>
      <c r="O8" s="11" t="s">
        <v>108</v>
      </c>
      <c r="P8" s="11" t="s">
        <v>109</v>
      </c>
      <c r="Q8" s="11">
        <v>12</v>
      </c>
      <c r="R8" s="11">
        <v>0</v>
      </c>
      <c r="S8" s="14">
        <v>1742.4</v>
      </c>
      <c r="T8" s="11" t="s">
        <v>83</v>
      </c>
      <c r="U8" s="11" t="s">
        <v>84</v>
      </c>
      <c r="V8" s="15">
        <v>1</v>
      </c>
      <c r="W8" s="16">
        <v>21.5</v>
      </c>
      <c r="X8" s="14">
        <v>374.66</v>
      </c>
      <c r="Y8" s="14">
        <v>0</v>
      </c>
      <c r="Z8" s="11" t="s">
        <v>256</v>
      </c>
    </row>
    <row r="9" spans="1:26" x14ac:dyDescent="0.2">
      <c r="A9" s="11" t="s">
        <v>269</v>
      </c>
      <c r="B9" s="11">
        <v>17425766</v>
      </c>
      <c r="C9" s="11" t="s">
        <v>48</v>
      </c>
      <c r="D9" s="11" t="s">
        <v>49</v>
      </c>
      <c r="E9" s="11" t="s">
        <v>50</v>
      </c>
      <c r="F9" s="11" t="s">
        <v>51</v>
      </c>
      <c r="G9" s="11" t="s">
        <v>53</v>
      </c>
      <c r="H9" s="11" t="s">
        <v>54</v>
      </c>
      <c r="I9" s="24" t="s">
        <v>305</v>
      </c>
      <c r="J9" s="11">
        <v>1</v>
      </c>
      <c r="K9" s="11">
        <v>135.4</v>
      </c>
      <c r="L9" s="11">
        <v>31.142000000000003</v>
      </c>
      <c r="M9" s="11" t="s">
        <v>285</v>
      </c>
      <c r="N9" s="11" t="s">
        <v>55</v>
      </c>
      <c r="O9" s="11" t="s">
        <v>56</v>
      </c>
      <c r="P9" s="11" t="s">
        <v>57</v>
      </c>
      <c r="Q9" s="11">
        <v>1</v>
      </c>
      <c r="R9" s="11">
        <v>0</v>
      </c>
      <c r="S9" s="14">
        <v>135.4</v>
      </c>
      <c r="T9" s="11" t="s">
        <v>59</v>
      </c>
      <c r="U9" s="11" t="s">
        <v>60</v>
      </c>
      <c r="V9" s="15">
        <v>1</v>
      </c>
      <c r="W9" s="16">
        <v>23</v>
      </c>
      <c r="X9" s="14">
        <v>31.14</v>
      </c>
      <c r="Y9" s="14">
        <v>0</v>
      </c>
      <c r="Z9" s="11" t="s">
        <v>256</v>
      </c>
    </row>
    <row r="10" spans="1:26" x14ac:dyDescent="0.2">
      <c r="A10" s="11" t="s">
        <v>284</v>
      </c>
      <c r="B10" s="11">
        <v>8325282</v>
      </c>
      <c r="C10" s="11" t="s">
        <v>247</v>
      </c>
      <c r="D10" s="11" t="s">
        <v>248</v>
      </c>
      <c r="E10" s="11" t="s">
        <v>66</v>
      </c>
      <c r="F10" s="11" t="s">
        <v>76</v>
      </c>
      <c r="G10" s="11" t="s">
        <v>71</v>
      </c>
      <c r="H10" s="11" t="s">
        <v>53</v>
      </c>
      <c r="I10" s="11" t="s">
        <v>306</v>
      </c>
      <c r="J10" s="11">
        <v>9</v>
      </c>
      <c r="K10" s="11">
        <v>34.36</v>
      </c>
      <c r="L10" s="11">
        <v>17.8672</v>
      </c>
      <c r="M10" s="11" t="s">
        <v>296</v>
      </c>
      <c r="N10" s="11" t="s">
        <v>55</v>
      </c>
      <c r="O10" s="11" t="s">
        <v>56</v>
      </c>
      <c r="P10" s="11" t="s">
        <v>57</v>
      </c>
      <c r="Q10" s="11">
        <v>1</v>
      </c>
      <c r="R10" s="11">
        <v>0</v>
      </c>
      <c r="S10" s="14">
        <v>34.36</v>
      </c>
      <c r="T10" s="11" t="s">
        <v>59</v>
      </c>
      <c r="U10" s="11" t="s">
        <v>68</v>
      </c>
      <c r="V10" s="15">
        <v>1</v>
      </c>
      <c r="W10" s="16">
        <v>52</v>
      </c>
      <c r="X10" s="14">
        <v>0</v>
      </c>
      <c r="Y10" s="14">
        <v>-17.87</v>
      </c>
      <c r="Z10" s="11" t="s">
        <v>266</v>
      </c>
    </row>
    <row r="11" spans="1:26" x14ac:dyDescent="0.2">
      <c r="A11" s="11" t="s">
        <v>284</v>
      </c>
      <c r="B11" s="11">
        <v>8325282</v>
      </c>
      <c r="C11" s="11" t="s">
        <v>242</v>
      </c>
      <c r="D11" s="11" t="s">
        <v>243</v>
      </c>
      <c r="E11" s="11" t="s">
        <v>66</v>
      </c>
      <c r="F11" s="11" t="s">
        <v>51</v>
      </c>
      <c r="G11" s="11" t="s">
        <v>88</v>
      </c>
      <c r="H11" s="11" t="s">
        <v>53</v>
      </c>
      <c r="I11" s="24" t="s">
        <v>305</v>
      </c>
      <c r="J11" s="11">
        <v>12</v>
      </c>
      <c r="K11" s="11">
        <v>36.08</v>
      </c>
      <c r="L11" s="11">
        <v>18.761600000000001</v>
      </c>
      <c r="M11" s="11" t="s">
        <v>296</v>
      </c>
      <c r="N11" s="11" t="s">
        <v>55</v>
      </c>
      <c r="O11" s="11" t="s">
        <v>56</v>
      </c>
      <c r="P11" s="11" t="s">
        <v>57</v>
      </c>
      <c r="Q11" s="11">
        <v>1</v>
      </c>
      <c r="R11" s="11">
        <v>0</v>
      </c>
      <c r="S11" s="14">
        <v>34.36</v>
      </c>
      <c r="T11" s="11" t="s">
        <v>59</v>
      </c>
      <c r="U11" s="11" t="s">
        <v>68</v>
      </c>
      <c r="V11" s="15">
        <v>1</v>
      </c>
      <c r="W11" s="16">
        <v>52</v>
      </c>
      <c r="X11" s="14">
        <v>17.87</v>
      </c>
      <c r="Y11" s="14">
        <v>0</v>
      </c>
      <c r="Z11" s="11" t="s">
        <v>266</v>
      </c>
    </row>
    <row r="12" spans="1:26" x14ac:dyDescent="0.2">
      <c r="A12" s="11" t="s">
        <v>284</v>
      </c>
      <c r="B12" s="11">
        <v>8325282</v>
      </c>
      <c r="C12" s="11" t="s">
        <v>245</v>
      </c>
      <c r="D12" s="11" t="s">
        <v>246</v>
      </c>
      <c r="E12" s="11" t="s">
        <v>66</v>
      </c>
      <c r="F12" s="11" t="s">
        <v>51</v>
      </c>
      <c r="G12" s="11" t="s">
        <v>88</v>
      </c>
      <c r="H12" s="11" t="s">
        <v>53</v>
      </c>
      <c r="I12" s="24" t="s">
        <v>305</v>
      </c>
      <c r="J12" s="11">
        <v>12</v>
      </c>
      <c r="K12" s="11">
        <v>36.08</v>
      </c>
      <c r="L12" s="11">
        <v>18.761600000000001</v>
      </c>
      <c r="M12" s="11" t="s">
        <v>296</v>
      </c>
      <c r="N12" s="11" t="s">
        <v>55</v>
      </c>
      <c r="O12" s="11" t="s">
        <v>56</v>
      </c>
      <c r="P12" s="11" t="s">
        <v>57</v>
      </c>
      <c r="Q12" s="11">
        <v>1</v>
      </c>
      <c r="R12" s="11">
        <v>0</v>
      </c>
      <c r="S12" s="14">
        <v>34.36</v>
      </c>
      <c r="T12" s="11" t="s">
        <v>59</v>
      </c>
      <c r="U12" s="11" t="s">
        <v>68</v>
      </c>
      <c r="V12" s="15">
        <v>1</v>
      </c>
      <c r="W12" s="16">
        <v>52</v>
      </c>
      <c r="X12" s="14">
        <v>17.87</v>
      </c>
      <c r="Y12" s="14">
        <v>0</v>
      </c>
      <c r="Z12" s="11" t="s">
        <v>266</v>
      </c>
    </row>
    <row r="13" spans="1:26" x14ac:dyDescent="0.2">
      <c r="A13" s="11" t="s">
        <v>284</v>
      </c>
      <c r="B13" s="11">
        <v>8325282</v>
      </c>
      <c r="C13" s="11" t="s">
        <v>86</v>
      </c>
      <c r="D13" s="11" t="s">
        <v>87</v>
      </c>
      <c r="E13" s="11" t="s">
        <v>66</v>
      </c>
      <c r="F13" s="11" t="s">
        <v>51</v>
      </c>
      <c r="G13" s="11" t="s">
        <v>88</v>
      </c>
      <c r="H13" s="11" t="s">
        <v>53</v>
      </c>
      <c r="I13" s="24" t="s">
        <v>305</v>
      </c>
      <c r="J13" s="11">
        <v>12</v>
      </c>
      <c r="K13" s="14">
        <v>148.22</v>
      </c>
      <c r="L13" s="14">
        <v>34.090000000000003</v>
      </c>
      <c r="M13" s="11" t="s">
        <v>285</v>
      </c>
      <c r="N13" s="11" t="s">
        <v>55</v>
      </c>
      <c r="O13" s="11" t="s">
        <v>56</v>
      </c>
      <c r="P13" s="11" t="s">
        <v>57</v>
      </c>
      <c r="Q13" s="11">
        <v>1</v>
      </c>
      <c r="R13" s="11">
        <v>0</v>
      </c>
      <c r="S13" s="14">
        <v>148.22</v>
      </c>
      <c r="T13" s="11" t="s">
        <v>59</v>
      </c>
      <c r="U13" s="11" t="s">
        <v>68</v>
      </c>
      <c r="V13" s="15">
        <v>1</v>
      </c>
      <c r="W13" s="16">
        <v>23</v>
      </c>
      <c r="X13" s="14">
        <v>34.090000000000003</v>
      </c>
      <c r="Y13" s="14">
        <v>0</v>
      </c>
      <c r="Z13" s="11" t="s">
        <v>285</v>
      </c>
    </row>
    <row r="14" spans="1:26" x14ac:dyDescent="0.2">
      <c r="A14" s="11" t="s">
        <v>275</v>
      </c>
      <c r="B14" s="11" t="s">
        <v>301</v>
      </c>
      <c r="C14" s="11" t="s">
        <v>147</v>
      </c>
      <c r="D14" s="11" t="s">
        <v>148</v>
      </c>
      <c r="E14" s="11" t="s">
        <v>93</v>
      </c>
      <c r="F14" s="11" t="s">
        <v>76</v>
      </c>
      <c r="G14" s="11" t="s">
        <v>150</v>
      </c>
      <c r="H14" s="11" t="s">
        <v>151</v>
      </c>
      <c r="I14" s="24" t="s">
        <v>305</v>
      </c>
      <c r="J14" s="11">
        <v>18</v>
      </c>
      <c r="K14" s="11">
        <v>27.01</v>
      </c>
      <c r="L14" s="11">
        <v>1.8907000000000003</v>
      </c>
      <c r="M14" s="11" t="s">
        <v>289</v>
      </c>
      <c r="N14" s="11">
        <v>69</v>
      </c>
      <c r="O14" s="11" t="s">
        <v>56</v>
      </c>
      <c r="P14" s="11" t="s">
        <v>57</v>
      </c>
      <c r="Q14" s="11">
        <v>1</v>
      </c>
      <c r="R14" s="11">
        <v>5</v>
      </c>
      <c r="S14" s="14">
        <v>27.01</v>
      </c>
      <c r="T14" s="11" t="s">
        <v>83</v>
      </c>
      <c r="U14" s="11" t="s">
        <v>84</v>
      </c>
      <c r="V14" s="15">
        <v>1</v>
      </c>
      <c r="W14" s="16">
        <v>7.0000000000000009</v>
      </c>
      <c r="X14" s="14">
        <v>1.89</v>
      </c>
      <c r="Y14" s="14">
        <v>0</v>
      </c>
      <c r="Z14" s="11" t="s">
        <v>261</v>
      </c>
    </row>
    <row r="15" spans="1:26" x14ac:dyDescent="0.2">
      <c r="A15" s="11" t="s">
        <v>281</v>
      </c>
      <c r="B15" s="11">
        <v>8814784</v>
      </c>
      <c r="C15" s="11" t="s">
        <v>222</v>
      </c>
      <c r="D15" s="11" t="s">
        <v>223</v>
      </c>
      <c r="E15" s="11" t="s">
        <v>66</v>
      </c>
      <c r="F15" s="11" t="s">
        <v>76</v>
      </c>
      <c r="G15" s="11" t="s">
        <v>224</v>
      </c>
      <c r="H15" s="11" t="s">
        <v>131</v>
      </c>
      <c r="I15" s="11" t="s">
        <v>306</v>
      </c>
      <c r="J15" s="11">
        <v>8</v>
      </c>
      <c r="K15" s="11">
        <v>37.72</v>
      </c>
      <c r="L15" s="11">
        <v>50.922000000000004</v>
      </c>
      <c r="M15" s="11" t="s">
        <v>295</v>
      </c>
      <c r="N15" s="11">
        <v>63</v>
      </c>
      <c r="O15" s="11" t="s">
        <v>56</v>
      </c>
      <c r="P15" s="11" t="s">
        <v>57</v>
      </c>
      <c r="Q15" s="11">
        <v>1</v>
      </c>
      <c r="R15" s="11">
        <v>10</v>
      </c>
      <c r="S15" s="14">
        <v>37.72</v>
      </c>
      <c r="T15" s="11" t="s">
        <v>59</v>
      </c>
      <c r="U15" s="11" t="s">
        <v>68</v>
      </c>
      <c r="V15" s="15">
        <v>1</v>
      </c>
      <c r="W15" s="16">
        <v>135</v>
      </c>
      <c r="X15" s="14">
        <v>0</v>
      </c>
      <c r="Y15" s="14">
        <v>-50.92</v>
      </c>
      <c r="Z15" s="11" t="s">
        <v>261</v>
      </c>
    </row>
    <row r="16" spans="1:26" x14ac:dyDescent="0.2">
      <c r="A16" s="11" t="s">
        <v>271</v>
      </c>
      <c r="B16" s="11">
        <v>8307933</v>
      </c>
      <c r="C16" s="11" t="s">
        <v>229</v>
      </c>
      <c r="D16" s="11" t="s">
        <v>230</v>
      </c>
      <c r="E16" s="11" t="s">
        <v>121</v>
      </c>
      <c r="F16" s="11" t="s">
        <v>51</v>
      </c>
      <c r="G16" s="11" t="s">
        <v>232</v>
      </c>
      <c r="H16" s="11" t="s">
        <v>53</v>
      </c>
      <c r="I16" s="24" t="s">
        <v>305</v>
      </c>
      <c r="J16" s="11">
        <v>2</v>
      </c>
      <c r="K16" s="11">
        <v>151.81</v>
      </c>
      <c r="L16" s="11">
        <v>36.434399999999997</v>
      </c>
      <c r="M16" s="11" t="s">
        <v>300</v>
      </c>
      <c r="N16" s="11" t="s">
        <v>55</v>
      </c>
      <c r="O16" s="11" t="s">
        <v>56</v>
      </c>
      <c r="P16" s="11" t="s">
        <v>57</v>
      </c>
      <c r="Q16" s="11">
        <v>1</v>
      </c>
      <c r="R16" s="11">
        <v>0</v>
      </c>
      <c r="S16" s="14">
        <v>151.81</v>
      </c>
      <c r="T16" s="11" t="s">
        <v>59</v>
      </c>
      <c r="U16" s="11" t="s">
        <v>68</v>
      </c>
      <c r="V16" s="15">
        <v>1</v>
      </c>
      <c r="W16" s="16">
        <v>24</v>
      </c>
      <c r="X16" s="14">
        <v>36.43</v>
      </c>
      <c r="Y16" s="14">
        <v>0</v>
      </c>
      <c r="Z16" s="11" t="s">
        <v>256</v>
      </c>
    </row>
    <row r="17" spans="1:26" x14ac:dyDescent="0.2">
      <c r="A17" s="11" t="s">
        <v>271</v>
      </c>
      <c r="B17" s="11">
        <v>8307933</v>
      </c>
      <c r="C17" s="11" t="s">
        <v>209</v>
      </c>
      <c r="D17" s="11" t="s">
        <v>210</v>
      </c>
      <c r="E17" s="11" t="s">
        <v>66</v>
      </c>
      <c r="F17" s="11" t="s">
        <v>76</v>
      </c>
      <c r="G17" s="11" t="s">
        <v>211</v>
      </c>
      <c r="H17" s="11" t="s">
        <v>123</v>
      </c>
      <c r="I17" s="24" t="s">
        <v>305</v>
      </c>
      <c r="J17" s="11">
        <v>3</v>
      </c>
      <c r="K17" s="11">
        <v>197.9</v>
      </c>
      <c r="L17" s="11">
        <v>267.16500000000002</v>
      </c>
      <c r="M17" s="11" t="s">
        <v>294</v>
      </c>
      <c r="N17" s="11">
        <v>66</v>
      </c>
      <c r="O17" s="11" t="s">
        <v>56</v>
      </c>
      <c r="P17" s="11" t="s">
        <v>57</v>
      </c>
      <c r="Q17" s="11">
        <v>1</v>
      </c>
      <c r="R17" s="11">
        <v>60</v>
      </c>
      <c r="S17" s="14">
        <v>197.9</v>
      </c>
      <c r="T17" s="11" t="s">
        <v>59</v>
      </c>
      <c r="U17" s="11" t="s">
        <v>68</v>
      </c>
      <c r="V17" s="15">
        <v>1</v>
      </c>
      <c r="W17" s="16">
        <v>135</v>
      </c>
      <c r="X17" s="14">
        <v>0</v>
      </c>
      <c r="Y17" s="14">
        <v>-267.17</v>
      </c>
      <c r="Z17" s="11" t="s">
        <v>259</v>
      </c>
    </row>
    <row r="18" spans="1:26" x14ac:dyDescent="0.2">
      <c r="A18" s="11" t="s">
        <v>271</v>
      </c>
      <c r="B18" s="11">
        <v>8307933</v>
      </c>
      <c r="C18" s="11" t="s">
        <v>206</v>
      </c>
      <c r="D18" s="11" t="s">
        <v>207</v>
      </c>
      <c r="E18" s="11" t="s">
        <v>121</v>
      </c>
      <c r="F18" s="11" t="s">
        <v>81</v>
      </c>
      <c r="G18" s="11" t="s">
        <v>208</v>
      </c>
      <c r="H18" s="11" t="s">
        <v>118</v>
      </c>
      <c r="I18" s="24" t="s">
        <v>305</v>
      </c>
      <c r="J18" s="11">
        <v>4</v>
      </c>
      <c r="K18" s="11">
        <v>267.10000000000002</v>
      </c>
      <c r="L18" s="11">
        <v>180.29250000000002</v>
      </c>
      <c r="M18" s="11" t="s">
        <v>290</v>
      </c>
      <c r="N18" s="11">
        <v>72</v>
      </c>
      <c r="O18" s="11" t="s">
        <v>56</v>
      </c>
      <c r="P18" s="11" t="s">
        <v>57</v>
      </c>
      <c r="Q18" s="11">
        <v>1</v>
      </c>
      <c r="R18" s="11">
        <v>50</v>
      </c>
      <c r="S18" s="14">
        <v>267.10000000000002</v>
      </c>
      <c r="T18" s="11" t="s">
        <v>59</v>
      </c>
      <c r="U18" s="11" t="s">
        <v>68</v>
      </c>
      <c r="V18" s="15">
        <v>1</v>
      </c>
      <c r="W18" s="16">
        <v>67.5</v>
      </c>
      <c r="X18" s="14">
        <v>0</v>
      </c>
      <c r="Y18" s="14">
        <v>-180.29</v>
      </c>
      <c r="Z18" s="11" t="s">
        <v>259</v>
      </c>
    </row>
    <row r="19" spans="1:26" x14ac:dyDescent="0.2">
      <c r="A19" s="11" t="s">
        <v>271</v>
      </c>
      <c r="B19" s="11">
        <v>8307933</v>
      </c>
      <c r="C19" s="11" t="s">
        <v>119</v>
      </c>
      <c r="D19" s="11" t="s">
        <v>120</v>
      </c>
      <c r="E19" s="11" t="s">
        <v>121</v>
      </c>
      <c r="F19" s="11" t="s">
        <v>76</v>
      </c>
      <c r="G19" s="11" t="s">
        <v>122</v>
      </c>
      <c r="H19" s="11" t="s">
        <v>123</v>
      </c>
      <c r="I19" s="24" t="s">
        <v>305</v>
      </c>
      <c r="J19" s="11">
        <v>8</v>
      </c>
      <c r="K19" s="11">
        <v>187.92</v>
      </c>
      <c r="L19" s="11">
        <v>126.846</v>
      </c>
      <c r="M19" s="11" t="s">
        <v>290</v>
      </c>
      <c r="N19" s="11">
        <v>64</v>
      </c>
      <c r="O19" s="11" t="s">
        <v>56</v>
      </c>
      <c r="P19" s="11" t="s">
        <v>57</v>
      </c>
      <c r="Q19" s="11">
        <v>1</v>
      </c>
      <c r="R19" s="11">
        <v>60</v>
      </c>
      <c r="S19" s="14">
        <v>187.92</v>
      </c>
      <c r="T19" s="11" t="s">
        <v>59</v>
      </c>
      <c r="U19" s="11" t="s">
        <v>68</v>
      </c>
      <c r="V19" s="15">
        <v>1</v>
      </c>
      <c r="W19" s="16">
        <v>67.5</v>
      </c>
      <c r="X19" s="14">
        <v>0</v>
      </c>
      <c r="Y19" s="14">
        <v>-126.85</v>
      </c>
      <c r="Z19" s="11" t="s">
        <v>259</v>
      </c>
    </row>
    <row r="20" spans="1:26" x14ac:dyDescent="0.2">
      <c r="A20" s="11" t="s">
        <v>271</v>
      </c>
      <c r="B20" s="11">
        <v>8307933</v>
      </c>
      <c r="C20" s="11" t="s">
        <v>128</v>
      </c>
      <c r="D20" s="11" t="s">
        <v>129</v>
      </c>
      <c r="E20" s="11" t="s">
        <v>66</v>
      </c>
      <c r="F20" s="11" t="s">
        <v>76</v>
      </c>
      <c r="G20" s="11" t="s">
        <v>130</v>
      </c>
      <c r="H20" s="11" t="s">
        <v>131</v>
      </c>
      <c r="I20" s="24" t="s">
        <v>305</v>
      </c>
      <c r="J20" s="11">
        <v>9</v>
      </c>
      <c r="K20" s="11">
        <v>188.82</v>
      </c>
      <c r="L20" s="11">
        <v>127.45350000000001</v>
      </c>
      <c r="M20" s="11" t="s">
        <v>290</v>
      </c>
      <c r="N20" s="11">
        <v>61</v>
      </c>
      <c r="O20" s="11" t="s">
        <v>56</v>
      </c>
      <c r="P20" s="11" t="s">
        <v>57</v>
      </c>
      <c r="Q20" s="11">
        <v>1</v>
      </c>
      <c r="R20" s="11">
        <v>100</v>
      </c>
      <c r="S20" s="14">
        <v>188.82</v>
      </c>
      <c r="T20" s="11" t="s">
        <v>59</v>
      </c>
      <c r="U20" s="11" t="s">
        <v>68</v>
      </c>
      <c r="V20" s="15">
        <v>1</v>
      </c>
      <c r="W20" s="16">
        <v>67.5</v>
      </c>
      <c r="X20" s="14">
        <v>0</v>
      </c>
      <c r="Y20" s="14">
        <v>-127.45</v>
      </c>
      <c r="Z20" s="11" t="s">
        <v>259</v>
      </c>
    </row>
    <row r="21" spans="1:26" x14ac:dyDescent="0.2">
      <c r="A21" s="11" t="s">
        <v>271</v>
      </c>
      <c r="B21" s="11">
        <v>8307933</v>
      </c>
      <c r="C21" s="11" t="s">
        <v>124</v>
      </c>
      <c r="D21" s="11" t="s">
        <v>125</v>
      </c>
      <c r="E21" s="11" t="s">
        <v>121</v>
      </c>
      <c r="F21" s="11" t="s">
        <v>76</v>
      </c>
      <c r="G21" s="11" t="s">
        <v>126</v>
      </c>
      <c r="H21" s="11" t="s">
        <v>127</v>
      </c>
      <c r="I21" s="24" t="s">
        <v>305</v>
      </c>
      <c r="J21" s="11">
        <v>9</v>
      </c>
      <c r="K21" s="11">
        <v>139.53</v>
      </c>
      <c r="L21" s="11">
        <v>188.36550000000003</v>
      </c>
      <c r="M21" s="11" t="s">
        <v>289</v>
      </c>
      <c r="N21" s="11">
        <v>65</v>
      </c>
      <c r="O21" s="11" t="s">
        <v>56</v>
      </c>
      <c r="P21" s="11" t="s">
        <v>57</v>
      </c>
      <c r="Q21" s="11">
        <v>1</v>
      </c>
      <c r="R21" s="11">
        <v>55</v>
      </c>
      <c r="S21" s="14">
        <v>139.53</v>
      </c>
      <c r="T21" s="11" t="s">
        <v>59</v>
      </c>
      <c r="U21" s="11" t="s">
        <v>68</v>
      </c>
      <c r="V21" s="15">
        <v>1</v>
      </c>
      <c r="W21" s="16">
        <v>135</v>
      </c>
      <c r="X21" s="14">
        <v>0.04</v>
      </c>
      <c r="Y21" s="14">
        <v>-188.33</v>
      </c>
      <c r="Z21" s="11" t="s">
        <v>259</v>
      </c>
    </row>
    <row r="22" spans="1:26" x14ac:dyDescent="0.2">
      <c r="A22" s="11" t="s">
        <v>271</v>
      </c>
      <c r="B22" s="11">
        <v>8307933</v>
      </c>
      <c r="C22" s="11" t="s">
        <v>137</v>
      </c>
      <c r="D22" s="11" t="s">
        <v>138</v>
      </c>
      <c r="E22" s="11" t="s">
        <v>121</v>
      </c>
      <c r="F22" s="11" t="s">
        <v>76</v>
      </c>
      <c r="G22" s="11" t="s">
        <v>139</v>
      </c>
      <c r="H22" s="11" t="s">
        <v>131</v>
      </c>
      <c r="I22" s="24" t="s">
        <v>305</v>
      </c>
      <c r="J22" s="11">
        <v>11</v>
      </c>
      <c r="K22" s="11">
        <v>87.59</v>
      </c>
      <c r="L22" s="11">
        <v>118.24650000000001</v>
      </c>
      <c r="M22" s="11" t="s">
        <v>289</v>
      </c>
      <c r="N22" s="11">
        <v>67</v>
      </c>
      <c r="O22" s="11" t="s">
        <v>56</v>
      </c>
      <c r="P22" s="11" t="s">
        <v>57</v>
      </c>
      <c r="Q22" s="11">
        <v>1</v>
      </c>
      <c r="R22" s="11">
        <v>30</v>
      </c>
      <c r="S22" s="14">
        <v>87.59</v>
      </c>
      <c r="T22" s="11" t="s">
        <v>59</v>
      </c>
      <c r="U22" s="11" t="s">
        <v>68</v>
      </c>
      <c r="V22" s="15">
        <v>1</v>
      </c>
      <c r="W22" s="16">
        <v>135</v>
      </c>
      <c r="X22" s="14">
        <v>118.25</v>
      </c>
      <c r="Y22" s="14">
        <v>0</v>
      </c>
      <c r="Z22" s="11" t="s">
        <v>259</v>
      </c>
    </row>
    <row r="23" spans="1:26" x14ac:dyDescent="0.2">
      <c r="A23" s="11" t="s">
        <v>271</v>
      </c>
      <c r="B23" s="11">
        <v>8307933</v>
      </c>
      <c r="C23" s="11" t="s">
        <v>132</v>
      </c>
      <c r="D23" s="11" t="s">
        <v>133</v>
      </c>
      <c r="E23" s="11" t="s">
        <v>66</v>
      </c>
      <c r="F23" s="11" t="s">
        <v>51</v>
      </c>
      <c r="G23" s="11" t="s">
        <v>135</v>
      </c>
      <c r="H23" s="11" t="s">
        <v>136</v>
      </c>
      <c r="I23" s="24" t="s">
        <v>305</v>
      </c>
      <c r="J23" s="11">
        <v>12</v>
      </c>
      <c r="K23" s="11">
        <v>152.63999999999999</v>
      </c>
      <c r="L23" s="11">
        <v>133.56</v>
      </c>
      <c r="M23" s="11" t="s">
        <v>291</v>
      </c>
      <c r="N23" s="11">
        <v>73</v>
      </c>
      <c r="O23" s="11" t="s">
        <v>56</v>
      </c>
      <c r="P23" s="11" t="s">
        <v>57</v>
      </c>
      <c r="Q23" s="11">
        <v>1</v>
      </c>
      <c r="R23" s="11">
        <v>20</v>
      </c>
      <c r="S23" s="14">
        <v>152.63999999999999</v>
      </c>
      <c r="T23" s="11" t="s">
        <v>59</v>
      </c>
      <c r="U23" s="11" t="s">
        <v>68</v>
      </c>
      <c r="V23" s="15">
        <v>1</v>
      </c>
      <c r="W23" s="16">
        <v>87.5</v>
      </c>
      <c r="X23" s="14">
        <v>133.56</v>
      </c>
      <c r="Y23" s="14">
        <v>0</v>
      </c>
      <c r="Z23" s="11" t="s">
        <v>260</v>
      </c>
    </row>
    <row r="24" spans="1:26" x14ac:dyDescent="0.2">
      <c r="A24" s="11" t="s">
        <v>271</v>
      </c>
      <c r="B24" s="11">
        <v>8307933</v>
      </c>
      <c r="C24" s="11" t="s">
        <v>79</v>
      </c>
      <c r="D24" s="11" t="s">
        <v>80</v>
      </c>
      <c r="E24" s="11" t="s">
        <v>66</v>
      </c>
      <c r="F24" s="11" t="s">
        <v>81</v>
      </c>
      <c r="G24" s="11" t="s">
        <v>82</v>
      </c>
      <c r="H24" s="11" t="s">
        <v>53</v>
      </c>
      <c r="I24" s="24" t="s">
        <v>305</v>
      </c>
      <c r="J24" s="11">
        <v>19</v>
      </c>
      <c r="K24" s="11">
        <v>227.17</v>
      </c>
      <c r="L24" s="11">
        <v>52.249099999999999</v>
      </c>
      <c r="M24" s="11" t="s">
        <v>285</v>
      </c>
      <c r="N24" s="11" t="s">
        <v>55</v>
      </c>
      <c r="O24" s="11" t="s">
        <v>56</v>
      </c>
      <c r="P24" s="11" t="s">
        <v>57</v>
      </c>
      <c r="Q24" s="11">
        <v>1</v>
      </c>
      <c r="R24" s="11">
        <v>0</v>
      </c>
      <c r="S24" s="14">
        <v>162.27000000000001</v>
      </c>
      <c r="T24" s="11" t="s">
        <v>83</v>
      </c>
      <c r="U24" s="11" t="s">
        <v>84</v>
      </c>
      <c r="V24" s="15">
        <v>1</v>
      </c>
      <c r="W24" s="16">
        <v>23</v>
      </c>
      <c r="X24" s="14">
        <v>37.32</v>
      </c>
      <c r="Y24" s="14">
        <v>0</v>
      </c>
      <c r="Z24" s="11" t="s">
        <v>256</v>
      </c>
    </row>
    <row r="25" spans="1:26" x14ac:dyDescent="0.2">
      <c r="A25" s="11" t="s">
        <v>271</v>
      </c>
      <c r="B25" s="11">
        <v>8307933</v>
      </c>
      <c r="C25" s="11" t="s">
        <v>212</v>
      </c>
      <c r="D25" s="11" t="s">
        <v>213</v>
      </c>
      <c r="E25" s="11" t="s">
        <v>214</v>
      </c>
      <c r="F25" s="11" t="s">
        <v>76</v>
      </c>
      <c r="G25" s="11" t="s">
        <v>145</v>
      </c>
      <c r="H25" s="11" t="s">
        <v>145</v>
      </c>
      <c r="I25" s="24" t="s">
        <v>305</v>
      </c>
      <c r="J25" s="23">
        <v>45689</v>
      </c>
      <c r="K25" s="11">
        <v>265.99</v>
      </c>
      <c r="L25" s="11">
        <v>359.08650000000006</v>
      </c>
      <c r="M25" s="11" t="s">
        <v>298</v>
      </c>
      <c r="N25" s="11">
        <v>68</v>
      </c>
      <c r="O25" s="11" t="s">
        <v>56</v>
      </c>
      <c r="P25" s="11" t="s">
        <v>57</v>
      </c>
      <c r="Q25" s="11">
        <v>1</v>
      </c>
      <c r="R25" s="11">
        <v>75</v>
      </c>
      <c r="S25" s="14">
        <v>2393.91</v>
      </c>
      <c r="T25" s="11" t="s">
        <v>59</v>
      </c>
      <c r="U25" s="11" t="s">
        <v>215</v>
      </c>
      <c r="V25" s="15">
        <v>1</v>
      </c>
      <c r="W25" s="16">
        <v>135</v>
      </c>
      <c r="X25" s="14">
        <v>2000</v>
      </c>
      <c r="Y25" s="14">
        <v>2000</v>
      </c>
      <c r="Z25" s="11" t="s">
        <v>259</v>
      </c>
    </row>
    <row r="26" spans="1:26" x14ac:dyDescent="0.2">
      <c r="A26" s="11" t="s">
        <v>283</v>
      </c>
      <c r="B26" s="11">
        <v>18754354</v>
      </c>
      <c r="C26" s="11" t="s">
        <v>234</v>
      </c>
      <c r="D26" s="11" t="s">
        <v>235</v>
      </c>
      <c r="E26" s="11" t="s">
        <v>66</v>
      </c>
      <c r="F26" s="11" t="s">
        <v>51</v>
      </c>
      <c r="G26" s="11" t="s">
        <v>237</v>
      </c>
      <c r="H26" s="11" t="s">
        <v>238</v>
      </c>
      <c r="I26" s="24" t="s">
        <v>305</v>
      </c>
      <c r="J26" s="11">
        <v>14</v>
      </c>
      <c r="K26" s="11">
        <v>79.28</v>
      </c>
      <c r="L26" s="11">
        <v>2.3784000000000001</v>
      </c>
      <c r="M26" s="11" t="s">
        <v>296</v>
      </c>
      <c r="N26" s="11" t="s">
        <v>55</v>
      </c>
      <c r="O26" s="11" t="s">
        <v>56</v>
      </c>
      <c r="P26" s="11" t="s">
        <v>57</v>
      </c>
      <c r="Q26" s="11">
        <v>1</v>
      </c>
      <c r="R26" s="11">
        <v>0</v>
      </c>
      <c r="S26" s="14">
        <v>79.28</v>
      </c>
      <c r="T26" s="11" t="s">
        <v>83</v>
      </c>
      <c r="U26" s="11" t="s">
        <v>84</v>
      </c>
      <c r="V26" s="15">
        <v>1</v>
      </c>
      <c r="W26" s="16">
        <v>3</v>
      </c>
      <c r="X26" s="14">
        <v>2.38</v>
      </c>
      <c r="Y26" s="14">
        <v>0</v>
      </c>
      <c r="Z26" s="11" t="s">
        <v>265</v>
      </c>
    </row>
    <row r="27" spans="1:26" x14ac:dyDescent="0.2">
      <c r="A27" s="11" t="s">
        <v>279</v>
      </c>
      <c r="B27" s="11">
        <v>17143996</v>
      </c>
      <c r="C27" s="11" t="s">
        <v>202</v>
      </c>
      <c r="D27" s="11" t="s">
        <v>203</v>
      </c>
      <c r="E27" s="11" t="s">
        <v>66</v>
      </c>
      <c r="F27" s="11" t="s">
        <v>76</v>
      </c>
      <c r="G27" s="11" t="s">
        <v>205</v>
      </c>
      <c r="H27" s="11" t="s">
        <v>187</v>
      </c>
      <c r="I27" s="11" t="s">
        <v>306</v>
      </c>
      <c r="J27" s="11">
        <v>9</v>
      </c>
      <c r="K27" s="11">
        <v>71.34</v>
      </c>
      <c r="L27" s="11">
        <v>73.480200000000011</v>
      </c>
      <c r="M27" s="11" t="s">
        <v>293</v>
      </c>
      <c r="N27" s="11">
        <v>60</v>
      </c>
      <c r="O27" s="11" t="s">
        <v>56</v>
      </c>
      <c r="P27" s="11" t="s">
        <v>57</v>
      </c>
      <c r="Q27" s="11">
        <v>1</v>
      </c>
      <c r="R27" s="11">
        <v>100</v>
      </c>
      <c r="S27" s="14">
        <v>71.34</v>
      </c>
      <c r="T27" s="11" t="s">
        <v>59</v>
      </c>
      <c r="U27" s="11" t="s">
        <v>68</v>
      </c>
      <c r="V27" s="15">
        <v>1</v>
      </c>
      <c r="W27" s="16">
        <v>103</v>
      </c>
      <c r="X27" s="14">
        <v>0</v>
      </c>
      <c r="Y27" s="14">
        <v>-73.48</v>
      </c>
      <c r="Z27" s="11" t="s">
        <v>264</v>
      </c>
    </row>
    <row r="28" spans="1:26" x14ac:dyDescent="0.2">
      <c r="A28" s="11" t="s">
        <v>302</v>
      </c>
      <c r="B28" s="11">
        <v>15278437</v>
      </c>
      <c r="C28" s="11" t="s">
        <v>91</v>
      </c>
      <c r="D28" s="11" t="s">
        <v>92</v>
      </c>
      <c r="E28" s="11" t="s">
        <v>93</v>
      </c>
      <c r="F28" s="11" t="s">
        <v>51</v>
      </c>
      <c r="G28" s="11" t="s">
        <v>95</v>
      </c>
      <c r="H28" s="11" t="s">
        <v>53</v>
      </c>
      <c r="I28" s="24" t="s">
        <v>305</v>
      </c>
      <c r="J28" s="11">
        <v>24</v>
      </c>
      <c r="K28" s="14">
        <v>143.49</v>
      </c>
      <c r="L28" s="14">
        <v>36.590000000000003</v>
      </c>
      <c r="M28" s="11" t="s">
        <v>287</v>
      </c>
      <c r="N28" s="11" t="s">
        <v>55</v>
      </c>
      <c r="O28" s="11" t="s">
        <v>56</v>
      </c>
      <c r="P28" s="11" t="s">
        <v>57</v>
      </c>
      <c r="Q28" s="11">
        <v>1</v>
      </c>
      <c r="R28" s="11">
        <v>0</v>
      </c>
      <c r="S28" s="14">
        <v>143.49</v>
      </c>
      <c r="T28" s="11" t="s">
        <v>83</v>
      </c>
      <c r="U28" s="11" t="s">
        <v>84</v>
      </c>
      <c r="V28" s="15">
        <v>1</v>
      </c>
      <c r="W28" s="16">
        <v>25.5</v>
      </c>
      <c r="X28" s="14">
        <v>36.590000000000003</v>
      </c>
      <c r="Y28" s="14">
        <v>0</v>
      </c>
      <c r="Z28" s="11" t="s">
        <v>287</v>
      </c>
    </row>
    <row r="29" spans="1:26" x14ac:dyDescent="0.2">
      <c r="A29" s="11" t="s">
        <v>278</v>
      </c>
      <c r="B29" s="11">
        <v>1706194</v>
      </c>
      <c r="C29" s="11" t="s">
        <v>197</v>
      </c>
      <c r="D29" s="11" t="s">
        <v>198</v>
      </c>
      <c r="E29" s="11" t="s">
        <v>121</v>
      </c>
      <c r="F29" s="11" t="s">
        <v>76</v>
      </c>
      <c r="G29" s="11" t="s">
        <v>199</v>
      </c>
      <c r="H29" s="11" t="s">
        <v>123</v>
      </c>
      <c r="I29" s="24" t="s">
        <v>305</v>
      </c>
      <c r="J29" s="11">
        <v>1</v>
      </c>
      <c r="K29" s="11">
        <v>141.84</v>
      </c>
      <c r="L29" s="11">
        <v>212.76</v>
      </c>
      <c r="M29" s="11" t="s">
        <v>292</v>
      </c>
      <c r="N29" s="11">
        <v>57</v>
      </c>
      <c r="O29" s="11" t="s">
        <v>56</v>
      </c>
      <c r="P29" s="11" t="s">
        <v>57</v>
      </c>
      <c r="Q29" s="11">
        <v>1</v>
      </c>
      <c r="R29" s="11">
        <v>125</v>
      </c>
      <c r="S29" s="14">
        <v>141.84</v>
      </c>
      <c r="T29" s="11" t="s">
        <v>59</v>
      </c>
      <c r="U29" s="11" t="s">
        <v>200</v>
      </c>
      <c r="V29" s="15">
        <v>1</v>
      </c>
      <c r="W29" s="16">
        <v>150</v>
      </c>
      <c r="X29" s="14">
        <v>0</v>
      </c>
      <c r="Y29" s="14">
        <v>-212.76</v>
      </c>
      <c r="Z29" s="11" t="s">
        <v>262</v>
      </c>
    </row>
    <row r="30" spans="1:26" x14ac:dyDescent="0.2">
      <c r="A30" s="11" t="s">
        <v>278</v>
      </c>
      <c r="B30" s="11">
        <v>1706194</v>
      </c>
      <c r="C30" s="11" t="s">
        <v>170</v>
      </c>
      <c r="D30" s="11" t="s">
        <v>171</v>
      </c>
      <c r="E30" s="11" t="s">
        <v>172</v>
      </c>
      <c r="F30" s="11" t="s">
        <v>81</v>
      </c>
      <c r="G30" s="11" t="s">
        <v>168</v>
      </c>
      <c r="H30" s="11" t="s">
        <v>118</v>
      </c>
      <c r="I30" s="24" t="s">
        <v>305</v>
      </c>
      <c r="J30" s="11">
        <v>12</v>
      </c>
      <c r="K30" s="11">
        <v>86.86</v>
      </c>
      <c r="L30" s="11">
        <v>130.29</v>
      </c>
      <c r="M30" s="11" t="s">
        <v>292</v>
      </c>
      <c r="N30" s="11">
        <v>29</v>
      </c>
      <c r="O30" s="11" t="s">
        <v>56</v>
      </c>
      <c r="P30" s="11" t="s">
        <v>57</v>
      </c>
      <c r="Q30" s="11">
        <v>1</v>
      </c>
      <c r="R30" s="11">
        <v>300</v>
      </c>
      <c r="S30" s="14">
        <v>86.86</v>
      </c>
      <c r="T30" s="11" t="s">
        <v>59</v>
      </c>
      <c r="U30" s="11" t="s">
        <v>68</v>
      </c>
      <c r="V30" s="15">
        <v>1</v>
      </c>
      <c r="W30" s="16">
        <v>150</v>
      </c>
      <c r="X30" s="14">
        <v>130.29</v>
      </c>
      <c r="Y30" s="14">
        <v>0</v>
      </c>
      <c r="Z30" s="11" t="s">
        <v>262</v>
      </c>
    </row>
    <row r="31" spans="1:26" x14ac:dyDescent="0.2">
      <c r="A31" s="11" t="s">
        <v>278</v>
      </c>
      <c r="B31" s="11">
        <v>1706194</v>
      </c>
      <c r="C31" s="11" t="s">
        <v>174</v>
      </c>
      <c r="D31" s="11" t="s">
        <v>175</v>
      </c>
      <c r="E31" s="11" t="s">
        <v>172</v>
      </c>
      <c r="F31" s="11" t="s">
        <v>81</v>
      </c>
      <c r="G31" s="11" t="s">
        <v>168</v>
      </c>
      <c r="H31" s="11" t="s">
        <v>118</v>
      </c>
      <c r="I31" s="24" t="s">
        <v>305</v>
      </c>
      <c r="J31" s="11">
        <v>12</v>
      </c>
      <c r="K31" s="11">
        <v>90.87</v>
      </c>
      <c r="L31" s="11">
        <v>136.30500000000001</v>
      </c>
      <c r="M31" s="11" t="s">
        <v>292</v>
      </c>
      <c r="N31" s="11">
        <v>27</v>
      </c>
      <c r="O31" s="11" t="s">
        <v>56</v>
      </c>
      <c r="P31" s="11" t="s">
        <v>57</v>
      </c>
      <c r="Q31" s="11">
        <v>1</v>
      </c>
      <c r="R31" s="11">
        <v>300</v>
      </c>
      <c r="S31" s="14">
        <v>90.87</v>
      </c>
      <c r="T31" s="11" t="s">
        <v>59</v>
      </c>
      <c r="U31" s="11" t="s">
        <v>68</v>
      </c>
      <c r="V31" s="15">
        <v>1</v>
      </c>
      <c r="W31" s="16">
        <v>150</v>
      </c>
      <c r="X31" s="14">
        <v>136.31</v>
      </c>
      <c r="Y31" s="14">
        <v>0</v>
      </c>
      <c r="Z31" s="11" t="s">
        <v>262</v>
      </c>
    </row>
    <row r="32" spans="1:26" x14ac:dyDescent="0.2">
      <c r="A32" s="11" t="s">
        <v>270</v>
      </c>
      <c r="B32" s="11">
        <v>18828278</v>
      </c>
      <c r="C32" s="11" t="s">
        <v>74</v>
      </c>
      <c r="D32" s="11" t="s">
        <v>75</v>
      </c>
      <c r="E32" s="11" t="s">
        <v>66</v>
      </c>
      <c r="F32" s="11" t="s">
        <v>76</v>
      </c>
      <c r="G32" s="11" t="s">
        <v>77</v>
      </c>
      <c r="H32" s="11" t="s">
        <v>53</v>
      </c>
      <c r="I32" s="11" t="s">
        <v>306</v>
      </c>
      <c r="J32" s="11">
        <v>6</v>
      </c>
      <c r="K32" s="11">
        <v>128.66999999999999</v>
      </c>
      <c r="L32" s="11">
        <v>29.594099999999997</v>
      </c>
      <c r="M32" s="11" t="s">
        <v>286</v>
      </c>
      <c r="N32" s="11" t="s">
        <v>55</v>
      </c>
      <c r="O32" s="11" t="s">
        <v>56</v>
      </c>
      <c r="P32" s="11" t="s">
        <v>57</v>
      </c>
      <c r="Q32" s="11">
        <v>1</v>
      </c>
      <c r="R32" s="11">
        <v>0</v>
      </c>
      <c r="S32" s="14">
        <v>128.66999999999999</v>
      </c>
      <c r="T32" s="11" t="s">
        <v>59</v>
      </c>
      <c r="U32" s="11" t="s">
        <v>68</v>
      </c>
      <c r="V32" s="15">
        <v>1</v>
      </c>
      <c r="W32" s="16">
        <v>23</v>
      </c>
      <c r="X32" s="14">
        <v>0</v>
      </c>
      <c r="Y32" s="14">
        <v>-29.59</v>
      </c>
      <c r="Z32" s="11" t="s">
        <v>256</v>
      </c>
    </row>
    <row r="33" spans="1:26" x14ac:dyDescent="0.2">
      <c r="A33" s="11" t="s">
        <v>270</v>
      </c>
      <c r="B33" s="11">
        <v>18828278</v>
      </c>
      <c r="C33" s="11" t="s">
        <v>69</v>
      </c>
      <c r="D33" s="11" t="s">
        <v>70</v>
      </c>
      <c r="E33" s="11" t="s">
        <v>66</v>
      </c>
      <c r="F33" s="11" t="s">
        <v>51</v>
      </c>
      <c r="G33" s="11" t="s">
        <v>71</v>
      </c>
      <c r="H33" s="11" t="s">
        <v>53</v>
      </c>
      <c r="I33" s="11" t="s">
        <v>306</v>
      </c>
      <c r="J33" s="11">
        <v>9</v>
      </c>
      <c r="K33" s="11">
        <v>128.66999999999999</v>
      </c>
      <c r="L33" s="11">
        <v>29.594099999999997</v>
      </c>
      <c r="M33" s="11" t="s">
        <v>285</v>
      </c>
      <c r="N33" s="11" t="s">
        <v>55</v>
      </c>
      <c r="O33" s="11" t="s">
        <v>56</v>
      </c>
      <c r="P33" s="11" t="s">
        <v>57</v>
      </c>
      <c r="Q33" s="11">
        <v>1</v>
      </c>
      <c r="R33" s="11">
        <v>0</v>
      </c>
      <c r="S33" s="14">
        <v>128.66999999999999</v>
      </c>
      <c r="T33" s="11" t="s">
        <v>59</v>
      </c>
      <c r="U33" s="11" t="s">
        <v>68</v>
      </c>
      <c r="V33" s="15">
        <v>1</v>
      </c>
      <c r="W33" s="16">
        <v>23</v>
      </c>
      <c r="X33" s="14">
        <v>0</v>
      </c>
      <c r="Y33" s="14">
        <v>-29.59</v>
      </c>
      <c r="Z33" s="11" t="s">
        <v>256</v>
      </c>
    </row>
    <row r="34" spans="1:26" x14ac:dyDescent="0.2">
      <c r="A34" s="11" t="s">
        <v>270</v>
      </c>
      <c r="B34" s="11">
        <v>18828278</v>
      </c>
      <c r="C34" s="11" t="s">
        <v>72</v>
      </c>
      <c r="D34" s="11" t="s">
        <v>73</v>
      </c>
      <c r="E34" s="11" t="s">
        <v>66</v>
      </c>
      <c r="F34" s="11" t="s">
        <v>51</v>
      </c>
      <c r="G34" s="11" t="s">
        <v>71</v>
      </c>
      <c r="H34" s="11" t="s">
        <v>53</v>
      </c>
      <c r="I34" s="11" t="s">
        <v>306</v>
      </c>
      <c r="J34" s="11">
        <v>9</v>
      </c>
      <c r="K34" s="11">
        <v>150.41</v>
      </c>
      <c r="L34" s="11">
        <v>34.594300000000004</v>
      </c>
      <c r="M34" s="11" t="s">
        <v>285</v>
      </c>
      <c r="N34" s="11" t="s">
        <v>55</v>
      </c>
      <c r="O34" s="11" t="s">
        <v>56</v>
      </c>
      <c r="P34" s="11" t="s">
        <v>57</v>
      </c>
      <c r="Q34" s="11">
        <v>1</v>
      </c>
      <c r="R34" s="11">
        <v>0</v>
      </c>
      <c r="S34" s="14">
        <v>150.41</v>
      </c>
      <c r="T34" s="11" t="s">
        <v>59</v>
      </c>
      <c r="U34" s="11" t="s">
        <v>68</v>
      </c>
      <c r="V34" s="15">
        <v>1</v>
      </c>
      <c r="W34" s="16">
        <v>23</v>
      </c>
      <c r="X34" s="14">
        <v>0</v>
      </c>
      <c r="Y34" s="14">
        <v>-34.590000000000003</v>
      </c>
      <c r="Z34" s="11" t="s">
        <v>256</v>
      </c>
    </row>
    <row r="35" spans="1:26" x14ac:dyDescent="0.2">
      <c r="A35" s="11" t="s">
        <v>270</v>
      </c>
      <c r="B35" s="11">
        <v>18828278</v>
      </c>
      <c r="C35" s="11" t="s">
        <v>64</v>
      </c>
      <c r="D35" s="11" t="s">
        <v>65</v>
      </c>
      <c r="E35" s="11" t="s">
        <v>66</v>
      </c>
      <c r="F35" s="11" t="s">
        <v>51</v>
      </c>
      <c r="G35" s="11" t="s">
        <v>67</v>
      </c>
      <c r="H35" s="11" t="s">
        <v>53</v>
      </c>
      <c r="I35" s="24" t="s">
        <v>305</v>
      </c>
      <c r="J35" s="11">
        <v>10</v>
      </c>
      <c r="K35" s="11">
        <v>129.38999999999999</v>
      </c>
      <c r="L35" s="11">
        <v>29.759699999999999</v>
      </c>
      <c r="M35" s="11" t="s">
        <v>285</v>
      </c>
      <c r="N35" s="11" t="s">
        <v>55</v>
      </c>
      <c r="O35" s="11" t="s">
        <v>56</v>
      </c>
      <c r="P35" s="11" t="s">
        <v>57</v>
      </c>
      <c r="Q35" s="11">
        <v>1</v>
      </c>
      <c r="R35" s="11">
        <v>0</v>
      </c>
      <c r="S35" s="14">
        <v>129.38999999999999</v>
      </c>
      <c r="T35" s="11" t="s">
        <v>59</v>
      </c>
      <c r="U35" s="11" t="s">
        <v>68</v>
      </c>
      <c r="V35" s="15">
        <v>1</v>
      </c>
      <c r="W35" s="16">
        <v>23</v>
      </c>
      <c r="X35" s="14">
        <v>29.76</v>
      </c>
      <c r="Y35" s="14">
        <v>0</v>
      </c>
      <c r="Z35" s="11" t="s">
        <v>256</v>
      </c>
    </row>
    <row r="36" spans="1:26" x14ac:dyDescent="0.2">
      <c r="A36" s="11" t="s">
        <v>274</v>
      </c>
      <c r="B36" s="11">
        <v>16212649</v>
      </c>
      <c r="C36" s="11" t="s">
        <v>141</v>
      </c>
      <c r="D36" s="11" t="s">
        <v>142</v>
      </c>
      <c r="E36" s="11" t="s">
        <v>143</v>
      </c>
      <c r="F36" s="11" t="s">
        <v>76</v>
      </c>
      <c r="G36" s="11" t="s">
        <v>144</v>
      </c>
      <c r="H36" s="11" t="s">
        <v>145</v>
      </c>
      <c r="I36" s="24" t="s">
        <v>305</v>
      </c>
      <c r="J36" s="11">
        <v>8</v>
      </c>
      <c r="K36" s="11">
        <v>83.94</v>
      </c>
      <c r="L36" s="11">
        <v>73.447499999999991</v>
      </c>
      <c r="M36" s="11" t="s">
        <v>291</v>
      </c>
      <c r="N36" s="11">
        <v>60</v>
      </c>
      <c r="O36" s="11" t="s">
        <v>56</v>
      </c>
      <c r="P36" s="11" t="s">
        <v>57</v>
      </c>
      <c r="Q36" s="11">
        <v>1</v>
      </c>
      <c r="R36" s="11">
        <v>20</v>
      </c>
      <c r="S36" s="14">
        <v>83.94</v>
      </c>
      <c r="T36" s="11" t="s">
        <v>59</v>
      </c>
      <c r="U36" s="11" t="s">
        <v>68</v>
      </c>
      <c r="V36" s="15">
        <v>1</v>
      </c>
      <c r="W36" s="16">
        <v>87.5</v>
      </c>
      <c r="X36" s="14">
        <v>0</v>
      </c>
      <c r="Y36" s="14">
        <v>-73.45</v>
      </c>
      <c r="Z36" s="11" t="s">
        <v>260</v>
      </c>
    </row>
    <row r="37" spans="1:26" s="25" customFormat="1" x14ac:dyDescent="0.2">
      <c r="A37" s="25" t="s">
        <v>273</v>
      </c>
      <c r="B37" s="25">
        <v>5442438</v>
      </c>
      <c r="C37" s="25" t="s">
        <v>113</v>
      </c>
      <c r="D37" s="25" t="s">
        <v>114</v>
      </c>
      <c r="E37" s="25" t="s">
        <v>115</v>
      </c>
      <c r="F37" s="25" t="s">
        <v>76</v>
      </c>
      <c r="G37" s="25" t="s">
        <v>117</v>
      </c>
      <c r="H37" s="25" t="s">
        <v>118</v>
      </c>
      <c r="I37" s="26" t="s">
        <v>305</v>
      </c>
      <c r="J37" s="25">
        <v>13</v>
      </c>
      <c r="K37" s="25">
        <v>135.65</v>
      </c>
      <c r="L37" s="25">
        <v>5.4260000000000002</v>
      </c>
      <c r="M37" s="25" t="s">
        <v>289</v>
      </c>
      <c r="N37" s="25">
        <v>56</v>
      </c>
      <c r="O37" s="25" t="s">
        <v>56</v>
      </c>
      <c r="P37" s="25" t="s">
        <v>57</v>
      </c>
      <c r="Q37" s="25">
        <v>1</v>
      </c>
      <c r="R37" s="25">
        <v>100</v>
      </c>
      <c r="S37" s="27">
        <v>50.45</v>
      </c>
      <c r="T37" s="25" t="s">
        <v>59</v>
      </c>
      <c r="U37" s="25" t="s">
        <v>68</v>
      </c>
      <c r="V37" s="28">
        <v>1</v>
      </c>
      <c r="W37" s="29">
        <v>4</v>
      </c>
      <c r="X37" s="27">
        <v>2.02</v>
      </c>
      <c r="Y37" s="27">
        <v>0</v>
      </c>
      <c r="Z37" s="25" t="s">
        <v>259</v>
      </c>
    </row>
    <row r="38" spans="1:26" s="25" customFormat="1" x14ac:dyDescent="0.2">
      <c r="A38" s="25" t="s">
        <v>273</v>
      </c>
      <c r="B38" s="25">
        <v>5442438</v>
      </c>
      <c r="C38" s="25" t="s">
        <v>113</v>
      </c>
      <c r="D38" s="25" t="s">
        <v>114</v>
      </c>
      <c r="E38" s="25" t="s">
        <v>115</v>
      </c>
      <c r="F38" s="25" t="s">
        <v>76</v>
      </c>
      <c r="G38" s="25" t="s">
        <v>117</v>
      </c>
      <c r="H38" s="25" t="s">
        <v>118</v>
      </c>
      <c r="I38" s="26" t="s">
        <v>305</v>
      </c>
      <c r="J38" s="25">
        <v>13</v>
      </c>
      <c r="K38" s="25">
        <v>135.65</v>
      </c>
      <c r="L38" s="25">
        <v>183.12750000000003</v>
      </c>
      <c r="M38" s="25" t="s">
        <v>289</v>
      </c>
      <c r="N38" s="25">
        <v>56</v>
      </c>
      <c r="O38" s="25" t="s">
        <v>56</v>
      </c>
      <c r="P38" s="25" t="s">
        <v>57</v>
      </c>
      <c r="Q38" s="25">
        <v>1</v>
      </c>
      <c r="R38" s="25">
        <v>100</v>
      </c>
      <c r="S38" s="27">
        <v>85.2</v>
      </c>
      <c r="T38" s="25" t="s">
        <v>59</v>
      </c>
      <c r="U38" s="25" t="s">
        <v>68</v>
      </c>
      <c r="V38" s="28">
        <v>1</v>
      </c>
      <c r="W38" s="29">
        <v>135</v>
      </c>
      <c r="X38" s="27">
        <v>115.02</v>
      </c>
      <c r="Y38" s="27">
        <v>0</v>
      </c>
      <c r="Z38" s="25" t="s">
        <v>259</v>
      </c>
    </row>
    <row r="39" spans="1:26" x14ac:dyDescent="0.2">
      <c r="A39" s="11" t="s">
        <v>276</v>
      </c>
      <c r="B39" s="11">
        <v>8977234</v>
      </c>
      <c r="C39" s="11" t="s">
        <v>188</v>
      </c>
      <c r="D39" s="11" t="s">
        <v>189</v>
      </c>
      <c r="E39" s="11" t="s">
        <v>185</v>
      </c>
      <c r="F39" s="11" t="s">
        <v>81</v>
      </c>
      <c r="G39" s="11" t="s">
        <v>190</v>
      </c>
      <c r="H39" s="11" t="s">
        <v>118</v>
      </c>
      <c r="I39" s="24" t="s">
        <v>305</v>
      </c>
      <c r="J39" s="11">
        <v>2</v>
      </c>
      <c r="K39" s="11">
        <v>59.98</v>
      </c>
      <c r="L39" s="11">
        <v>40.486499999999999</v>
      </c>
      <c r="M39" s="11" t="s">
        <v>290</v>
      </c>
      <c r="N39" s="11">
        <v>31</v>
      </c>
      <c r="O39" s="11" t="s">
        <v>56</v>
      </c>
      <c r="P39" s="11" t="s">
        <v>57</v>
      </c>
      <c r="Q39" s="11">
        <v>1</v>
      </c>
      <c r="R39" s="11">
        <v>170</v>
      </c>
      <c r="S39" s="14">
        <v>59.98</v>
      </c>
      <c r="T39" s="11" t="s">
        <v>59</v>
      </c>
      <c r="U39" s="11" t="s">
        <v>68</v>
      </c>
      <c r="V39" s="15">
        <v>1</v>
      </c>
      <c r="W39" s="16">
        <v>67.5</v>
      </c>
      <c r="X39" s="14">
        <v>0</v>
      </c>
      <c r="Y39" s="14">
        <v>-40.49</v>
      </c>
      <c r="Z39" s="11" t="s">
        <v>259</v>
      </c>
    </row>
    <row r="40" spans="1:26" x14ac:dyDescent="0.2">
      <c r="A40" s="11" t="s">
        <v>276</v>
      </c>
      <c r="B40" s="11">
        <v>8977234</v>
      </c>
      <c r="C40" s="11" t="s">
        <v>191</v>
      </c>
      <c r="D40" s="11" t="s">
        <v>192</v>
      </c>
      <c r="E40" s="11" t="s">
        <v>185</v>
      </c>
      <c r="F40" s="11" t="s">
        <v>81</v>
      </c>
      <c r="G40" s="11" t="s">
        <v>190</v>
      </c>
      <c r="H40" s="11" t="s">
        <v>118</v>
      </c>
      <c r="I40" s="24" t="s">
        <v>305</v>
      </c>
      <c r="J40" s="11">
        <v>2</v>
      </c>
      <c r="K40" s="11">
        <v>59.68</v>
      </c>
      <c r="L40" s="11">
        <v>40.283999999999999</v>
      </c>
      <c r="M40" s="11" t="s">
        <v>290</v>
      </c>
      <c r="N40" s="11">
        <v>29</v>
      </c>
      <c r="O40" s="11" t="s">
        <v>56</v>
      </c>
      <c r="P40" s="11" t="s">
        <v>57</v>
      </c>
      <c r="Q40" s="11">
        <v>1</v>
      </c>
      <c r="R40" s="11">
        <v>120</v>
      </c>
      <c r="S40" s="14">
        <v>59.68</v>
      </c>
      <c r="T40" s="11" t="s">
        <v>59</v>
      </c>
      <c r="U40" s="11" t="s">
        <v>68</v>
      </c>
      <c r="V40" s="15">
        <v>1</v>
      </c>
      <c r="W40" s="16">
        <v>67.5</v>
      </c>
      <c r="X40" s="14">
        <v>0</v>
      </c>
      <c r="Y40" s="14">
        <v>-40.28</v>
      </c>
      <c r="Z40" s="11" t="s">
        <v>259</v>
      </c>
    </row>
    <row r="41" spans="1:26" x14ac:dyDescent="0.2">
      <c r="A41" s="11" t="s">
        <v>276</v>
      </c>
      <c r="B41" s="11">
        <v>8977234</v>
      </c>
      <c r="C41" s="11" t="s">
        <v>183</v>
      </c>
      <c r="D41" s="11" t="s">
        <v>184</v>
      </c>
      <c r="E41" s="11" t="s">
        <v>185</v>
      </c>
      <c r="F41" s="11" t="s">
        <v>76</v>
      </c>
      <c r="G41" s="11" t="s">
        <v>186</v>
      </c>
      <c r="H41" s="11" t="s">
        <v>187</v>
      </c>
      <c r="I41" s="24" t="s">
        <v>305</v>
      </c>
      <c r="J41" s="11">
        <v>4</v>
      </c>
      <c r="K41" s="11">
        <v>97.44</v>
      </c>
      <c r="L41" s="11">
        <v>146.16</v>
      </c>
      <c r="M41" s="11" t="s">
        <v>292</v>
      </c>
      <c r="N41" s="11">
        <v>61</v>
      </c>
      <c r="O41" s="11" t="s">
        <v>56</v>
      </c>
      <c r="P41" s="11" t="s">
        <v>57</v>
      </c>
      <c r="Q41" s="11">
        <v>1</v>
      </c>
      <c r="R41" s="11">
        <v>65</v>
      </c>
      <c r="S41" s="14">
        <v>97.44</v>
      </c>
      <c r="T41" s="11" t="s">
        <v>59</v>
      </c>
      <c r="U41" s="11" t="s">
        <v>68</v>
      </c>
      <c r="V41" s="15">
        <v>1</v>
      </c>
      <c r="W41" s="16">
        <v>150</v>
      </c>
      <c r="X41" s="14">
        <v>0</v>
      </c>
      <c r="Y41" s="14">
        <v>-146.16</v>
      </c>
      <c r="Z41" s="11" t="s">
        <v>263</v>
      </c>
    </row>
    <row r="42" spans="1:26" x14ac:dyDescent="0.2">
      <c r="A42" s="11" t="s">
        <v>276</v>
      </c>
      <c r="B42" s="11">
        <v>8977234</v>
      </c>
      <c r="C42" s="11" t="s">
        <v>180</v>
      </c>
      <c r="D42" s="11" t="s">
        <v>181</v>
      </c>
      <c r="E42" s="11" t="s">
        <v>178</v>
      </c>
      <c r="F42" s="11" t="s">
        <v>76</v>
      </c>
      <c r="G42" s="11" t="s">
        <v>182</v>
      </c>
      <c r="H42" s="11" t="s">
        <v>123</v>
      </c>
      <c r="I42" s="24" t="s">
        <v>305</v>
      </c>
      <c r="J42" s="11">
        <v>6</v>
      </c>
      <c r="K42" s="11">
        <v>168.73</v>
      </c>
      <c r="L42" s="11">
        <v>113.89275000000001</v>
      </c>
      <c r="M42" s="11" t="s">
        <v>290</v>
      </c>
      <c r="N42" s="11">
        <v>53</v>
      </c>
      <c r="O42" s="11" t="s">
        <v>56</v>
      </c>
      <c r="P42" s="11" t="s">
        <v>57</v>
      </c>
      <c r="Q42" s="11">
        <v>1</v>
      </c>
      <c r="R42" s="11">
        <v>143</v>
      </c>
      <c r="S42" s="14">
        <v>168.73</v>
      </c>
      <c r="T42" s="11" t="s">
        <v>59</v>
      </c>
      <c r="U42" s="11" t="s">
        <v>68</v>
      </c>
      <c r="V42" s="15">
        <v>1</v>
      </c>
      <c r="W42" s="16">
        <v>67.5</v>
      </c>
      <c r="X42" s="14">
        <v>0</v>
      </c>
      <c r="Y42" s="14">
        <v>-113.89</v>
      </c>
      <c r="Z42" s="11" t="s">
        <v>259</v>
      </c>
    </row>
    <row r="43" spans="1:26" x14ac:dyDescent="0.2">
      <c r="A43" s="11" t="s">
        <v>276</v>
      </c>
      <c r="B43" s="11">
        <v>8977234</v>
      </c>
      <c r="C43" s="11" t="s">
        <v>176</v>
      </c>
      <c r="D43" s="11" t="s">
        <v>177</v>
      </c>
      <c r="E43" s="11" t="s">
        <v>178</v>
      </c>
      <c r="F43" s="11" t="s">
        <v>76</v>
      </c>
      <c r="G43" s="11" t="s">
        <v>179</v>
      </c>
      <c r="H43" s="11" t="s">
        <v>131</v>
      </c>
      <c r="I43" s="24" t="s">
        <v>305</v>
      </c>
      <c r="J43" s="11">
        <v>7</v>
      </c>
      <c r="K43" s="11">
        <v>91.63</v>
      </c>
      <c r="L43" s="11">
        <v>80.176249999999996</v>
      </c>
      <c r="M43" s="11" t="s">
        <v>291</v>
      </c>
      <c r="N43" s="11">
        <v>63</v>
      </c>
      <c r="O43" s="11" t="s">
        <v>56</v>
      </c>
      <c r="P43" s="11" t="s">
        <v>57</v>
      </c>
      <c r="Q43" s="11">
        <v>1</v>
      </c>
      <c r="R43" s="11">
        <v>20</v>
      </c>
      <c r="S43" s="14">
        <v>91.63</v>
      </c>
      <c r="T43" s="11" t="s">
        <v>59</v>
      </c>
      <c r="U43" s="11" t="s">
        <v>68</v>
      </c>
      <c r="V43" s="15">
        <v>1</v>
      </c>
      <c r="W43" s="16">
        <v>87.5</v>
      </c>
      <c r="X43" s="14">
        <v>0</v>
      </c>
      <c r="Y43" s="14">
        <v>-80.180000000000007</v>
      </c>
      <c r="Z43" s="11" t="s">
        <v>260</v>
      </c>
    </row>
    <row r="44" spans="1:26" x14ac:dyDescent="0.2">
      <c r="A44" s="11" t="s">
        <v>276</v>
      </c>
      <c r="B44" s="11">
        <v>8977234</v>
      </c>
      <c r="C44" s="11" t="s">
        <v>153</v>
      </c>
      <c r="D44" s="11" t="s">
        <v>154</v>
      </c>
      <c r="E44" s="11" t="s">
        <v>66</v>
      </c>
      <c r="F44" s="11" t="s">
        <v>81</v>
      </c>
      <c r="G44" s="11" t="s">
        <v>156</v>
      </c>
      <c r="H44" s="11" t="s">
        <v>118</v>
      </c>
      <c r="I44" s="24" t="s">
        <v>305</v>
      </c>
      <c r="J44" s="11">
        <v>9</v>
      </c>
      <c r="K44" s="11">
        <v>117.93</v>
      </c>
      <c r="L44" s="11">
        <v>176.89500000000001</v>
      </c>
      <c r="M44" s="11" t="s">
        <v>292</v>
      </c>
      <c r="N44" s="11">
        <v>57</v>
      </c>
      <c r="O44" s="11" t="s">
        <v>56</v>
      </c>
      <c r="P44" s="11" t="s">
        <v>57</v>
      </c>
      <c r="Q44" s="11">
        <v>1</v>
      </c>
      <c r="R44" s="11">
        <v>110</v>
      </c>
      <c r="S44" s="14">
        <v>117.93</v>
      </c>
      <c r="T44" s="11" t="s">
        <v>59</v>
      </c>
      <c r="U44" s="11" t="s">
        <v>68</v>
      </c>
      <c r="V44" s="15">
        <v>1</v>
      </c>
      <c r="W44" s="16">
        <v>150</v>
      </c>
      <c r="X44" s="14">
        <v>0</v>
      </c>
      <c r="Y44" s="14">
        <v>-176.9</v>
      </c>
      <c r="Z44" s="11" t="s">
        <v>262</v>
      </c>
    </row>
    <row r="45" spans="1:26" x14ac:dyDescent="0.2">
      <c r="A45" s="11" t="s">
        <v>276</v>
      </c>
      <c r="B45" s="11">
        <v>8977234</v>
      </c>
      <c r="C45" s="11" t="s">
        <v>157</v>
      </c>
      <c r="D45" s="11" t="s">
        <v>158</v>
      </c>
      <c r="E45" s="11" t="s">
        <v>159</v>
      </c>
      <c r="F45" s="11" t="s">
        <v>76</v>
      </c>
      <c r="G45" s="11" t="s">
        <v>160</v>
      </c>
      <c r="H45" s="11" t="s">
        <v>123</v>
      </c>
      <c r="I45" s="24" t="s">
        <v>305</v>
      </c>
      <c r="J45" s="11">
        <v>10</v>
      </c>
      <c r="K45" s="11">
        <v>106.98</v>
      </c>
      <c r="L45" s="11">
        <v>160.47</v>
      </c>
      <c r="M45" s="11" t="s">
        <v>292</v>
      </c>
      <c r="N45" s="11">
        <v>48</v>
      </c>
      <c r="O45" s="11" t="s">
        <v>56</v>
      </c>
      <c r="P45" s="11" t="s">
        <v>57</v>
      </c>
      <c r="Q45" s="11">
        <v>1</v>
      </c>
      <c r="R45" s="11">
        <v>200</v>
      </c>
      <c r="S45" s="14">
        <v>106.98</v>
      </c>
      <c r="T45" s="11" t="s">
        <v>59</v>
      </c>
      <c r="U45" s="11" t="s">
        <v>68</v>
      </c>
      <c r="V45" s="15">
        <v>1</v>
      </c>
      <c r="W45" s="16">
        <v>150</v>
      </c>
      <c r="X45" s="14">
        <v>160.47</v>
      </c>
      <c r="Y45" s="14">
        <v>0</v>
      </c>
      <c r="Z45" s="11" t="s">
        <v>263</v>
      </c>
    </row>
    <row r="46" spans="1:26" x14ac:dyDescent="0.2">
      <c r="A46" s="11" t="s">
        <v>277</v>
      </c>
      <c r="B46" s="11">
        <v>371819</v>
      </c>
      <c r="C46" s="11" t="s">
        <v>162</v>
      </c>
      <c r="D46" s="11" t="s">
        <v>163</v>
      </c>
      <c r="E46" s="11" t="s">
        <v>164</v>
      </c>
      <c r="F46" s="11" t="s">
        <v>51</v>
      </c>
      <c r="G46" s="11" t="s">
        <v>139</v>
      </c>
      <c r="H46" s="11" t="s">
        <v>131</v>
      </c>
      <c r="I46" s="24" t="s">
        <v>305</v>
      </c>
      <c r="J46" s="11">
        <v>11</v>
      </c>
      <c r="K46" s="11">
        <v>36.31</v>
      </c>
      <c r="L46" s="11">
        <v>31.771250000000002</v>
      </c>
      <c r="M46" s="11" t="s">
        <v>291</v>
      </c>
      <c r="N46" s="11">
        <v>64</v>
      </c>
      <c r="O46" s="11" t="s">
        <v>56</v>
      </c>
      <c r="P46" s="11" t="s">
        <v>57</v>
      </c>
      <c r="Q46" s="11">
        <v>1</v>
      </c>
      <c r="R46" s="11">
        <v>7</v>
      </c>
      <c r="S46" s="14">
        <v>36.31</v>
      </c>
      <c r="T46" s="11" t="s">
        <v>59</v>
      </c>
      <c r="U46" s="11" t="s">
        <v>68</v>
      </c>
      <c r="V46" s="15">
        <v>1</v>
      </c>
      <c r="W46" s="16">
        <v>87.5</v>
      </c>
      <c r="X46" s="14">
        <v>31.77</v>
      </c>
      <c r="Y46" s="14">
        <v>0</v>
      </c>
      <c r="Z46" s="11" t="s">
        <v>260</v>
      </c>
    </row>
    <row r="47" spans="1:26" x14ac:dyDescent="0.2">
      <c r="A47" s="11" t="s">
        <v>277</v>
      </c>
      <c r="B47" s="11">
        <v>371819</v>
      </c>
      <c r="C47" s="11" t="s">
        <v>165</v>
      </c>
      <c r="D47" s="11" t="s">
        <v>166</v>
      </c>
      <c r="E47" s="11" t="s">
        <v>167</v>
      </c>
      <c r="F47" s="11" t="s">
        <v>51</v>
      </c>
      <c r="G47" s="11" t="s">
        <v>168</v>
      </c>
      <c r="H47" s="11" t="s">
        <v>118</v>
      </c>
      <c r="I47" s="24" t="s">
        <v>305</v>
      </c>
      <c r="J47" s="11">
        <v>12</v>
      </c>
      <c r="K47" s="11">
        <v>32.49</v>
      </c>
      <c r="L47" s="11">
        <v>28.428750000000001</v>
      </c>
      <c r="M47" s="11" t="s">
        <v>291</v>
      </c>
      <c r="N47" s="11">
        <v>63</v>
      </c>
      <c r="O47" s="11" t="s">
        <v>56</v>
      </c>
      <c r="P47" s="11" t="s">
        <v>57</v>
      </c>
      <c r="Q47" s="11">
        <v>1</v>
      </c>
      <c r="R47" s="11">
        <v>5</v>
      </c>
      <c r="S47" s="14">
        <v>32.49</v>
      </c>
      <c r="T47" s="11" t="s">
        <v>59</v>
      </c>
      <c r="U47" s="11" t="s">
        <v>68</v>
      </c>
      <c r="V47" s="15">
        <v>1</v>
      </c>
      <c r="W47" s="16">
        <v>87.5</v>
      </c>
      <c r="X47" s="14">
        <v>28.43</v>
      </c>
      <c r="Y47" s="14">
        <v>0</v>
      </c>
      <c r="Z47" s="11" t="s">
        <v>260</v>
      </c>
    </row>
  </sheetData>
  <sortState xmlns:xlrd2="http://schemas.microsoft.com/office/spreadsheetml/2017/richdata2" ref="A2:Z47">
    <sortCondition ref="J2:J4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E053-6FAC-46E1-9851-B6A4CF3B2A22}">
  <dimension ref="A1:C46"/>
  <sheetViews>
    <sheetView workbookViewId="0">
      <selection activeCell="C1" sqref="C1:C46"/>
    </sheetView>
  </sheetViews>
  <sheetFormatPr defaultRowHeight="15" x14ac:dyDescent="0.25"/>
  <sheetData>
    <row r="1" spans="1:3" x14ac:dyDescent="0.25">
      <c r="A1" s="11" t="s">
        <v>53</v>
      </c>
      <c r="B1" s="11" t="s">
        <v>53</v>
      </c>
      <c r="C1">
        <f>DATEDIF(A1,B1,"M")</f>
        <v>0</v>
      </c>
    </row>
    <row r="2" spans="1:3" x14ac:dyDescent="0.25">
      <c r="A2" s="11" t="s">
        <v>106</v>
      </c>
      <c r="B2" s="11" t="s">
        <v>53</v>
      </c>
      <c r="C2">
        <f t="shared" ref="C2:C46" si="0">DATEDIF(A2,B2,"M")</f>
        <v>25</v>
      </c>
    </row>
    <row r="3" spans="1:3" x14ac:dyDescent="0.25">
      <c r="A3" s="11" t="s">
        <v>219</v>
      </c>
      <c r="B3" s="11" t="s">
        <v>220</v>
      </c>
      <c r="C3">
        <f t="shared" si="0"/>
        <v>2</v>
      </c>
    </row>
    <row r="4" spans="1:3" x14ac:dyDescent="0.25">
      <c r="A4" s="11" t="s">
        <v>106</v>
      </c>
      <c r="B4" s="11" t="s">
        <v>107</v>
      </c>
      <c r="C4">
        <f t="shared" si="0"/>
        <v>37</v>
      </c>
    </row>
    <row r="5" spans="1:3" x14ac:dyDescent="0.25">
      <c r="A5" s="11" t="s">
        <v>106</v>
      </c>
      <c r="B5" s="11" t="s">
        <v>107</v>
      </c>
      <c r="C5">
        <f t="shared" si="0"/>
        <v>37</v>
      </c>
    </row>
    <row r="6" spans="1:3" x14ac:dyDescent="0.25">
      <c r="A6" s="11" t="s">
        <v>88</v>
      </c>
      <c r="B6" s="11" t="s">
        <v>53</v>
      </c>
      <c r="C6">
        <f t="shared" si="0"/>
        <v>12</v>
      </c>
    </row>
    <row r="7" spans="1:3" x14ac:dyDescent="0.25">
      <c r="A7" s="11" t="s">
        <v>102</v>
      </c>
      <c r="B7" s="11" t="s">
        <v>53</v>
      </c>
      <c r="C7">
        <f t="shared" si="0"/>
        <v>28</v>
      </c>
    </row>
    <row r="8" spans="1:3" x14ac:dyDescent="0.25">
      <c r="A8" s="11" t="s">
        <v>53</v>
      </c>
      <c r="B8" s="11" t="s">
        <v>54</v>
      </c>
      <c r="C8">
        <f t="shared" si="0"/>
        <v>1</v>
      </c>
    </row>
    <row r="9" spans="1:3" x14ac:dyDescent="0.25">
      <c r="A9" s="11" t="s">
        <v>71</v>
      </c>
      <c r="B9" s="11" t="s">
        <v>53</v>
      </c>
      <c r="C9">
        <f t="shared" si="0"/>
        <v>9</v>
      </c>
    </row>
    <row r="10" spans="1:3" x14ac:dyDescent="0.25">
      <c r="A10" s="11" t="s">
        <v>88</v>
      </c>
      <c r="B10" s="11" t="s">
        <v>53</v>
      </c>
      <c r="C10">
        <f t="shared" si="0"/>
        <v>12</v>
      </c>
    </row>
    <row r="11" spans="1:3" x14ac:dyDescent="0.25">
      <c r="A11" s="11" t="s">
        <v>88</v>
      </c>
      <c r="B11" s="11" t="s">
        <v>53</v>
      </c>
      <c r="C11">
        <f t="shared" si="0"/>
        <v>12</v>
      </c>
    </row>
    <row r="12" spans="1:3" x14ac:dyDescent="0.25">
      <c r="A12" s="11" t="s">
        <v>150</v>
      </c>
      <c r="B12" s="11" t="s">
        <v>151</v>
      </c>
      <c r="C12">
        <f t="shared" si="0"/>
        <v>18</v>
      </c>
    </row>
    <row r="13" spans="1:3" x14ac:dyDescent="0.25">
      <c r="A13" s="11" t="s">
        <v>224</v>
      </c>
      <c r="B13" s="11" t="s">
        <v>131</v>
      </c>
      <c r="C13">
        <f t="shared" si="0"/>
        <v>8</v>
      </c>
    </row>
    <row r="14" spans="1:3" x14ac:dyDescent="0.25">
      <c r="A14" s="11" t="s">
        <v>232</v>
      </c>
      <c r="B14" s="11" t="s">
        <v>53</v>
      </c>
      <c r="C14">
        <f t="shared" si="0"/>
        <v>2</v>
      </c>
    </row>
    <row r="15" spans="1:3" x14ac:dyDescent="0.25">
      <c r="A15" s="11" t="s">
        <v>145</v>
      </c>
      <c r="B15" s="11" t="s">
        <v>145</v>
      </c>
      <c r="C15">
        <f t="shared" si="0"/>
        <v>0</v>
      </c>
    </row>
    <row r="16" spans="1:3" x14ac:dyDescent="0.25">
      <c r="A16" s="11" t="s">
        <v>122</v>
      </c>
      <c r="B16" s="11" t="s">
        <v>123</v>
      </c>
      <c r="C16">
        <f t="shared" si="0"/>
        <v>8</v>
      </c>
    </row>
    <row r="17" spans="1:3" x14ac:dyDescent="0.25">
      <c r="A17" s="11" t="s">
        <v>130</v>
      </c>
      <c r="B17" s="11" t="s">
        <v>131</v>
      </c>
      <c r="C17">
        <f t="shared" si="0"/>
        <v>9</v>
      </c>
    </row>
    <row r="18" spans="1:3" x14ac:dyDescent="0.25">
      <c r="A18" s="11" t="s">
        <v>208</v>
      </c>
      <c r="B18" s="11" t="s">
        <v>118</v>
      </c>
      <c r="C18">
        <f t="shared" si="0"/>
        <v>4</v>
      </c>
    </row>
    <row r="19" spans="1:3" x14ac:dyDescent="0.25">
      <c r="A19" s="11" t="s">
        <v>82</v>
      </c>
      <c r="B19" s="11" t="s">
        <v>53</v>
      </c>
      <c r="C19">
        <f t="shared" si="0"/>
        <v>19</v>
      </c>
    </row>
    <row r="20" spans="1:3" x14ac:dyDescent="0.25">
      <c r="A20" s="11" t="s">
        <v>135</v>
      </c>
      <c r="B20" s="11" t="s">
        <v>136</v>
      </c>
      <c r="C20">
        <f t="shared" si="0"/>
        <v>12</v>
      </c>
    </row>
    <row r="21" spans="1:3" x14ac:dyDescent="0.25">
      <c r="A21" s="11" t="s">
        <v>211</v>
      </c>
      <c r="B21" s="11" t="s">
        <v>123</v>
      </c>
      <c r="C21">
        <f t="shared" si="0"/>
        <v>3</v>
      </c>
    </row>
    <row r="22" spans="1:3" x14ac:dyDescent="0.25">
      <c r="A22" s="11" t="s">
        <v>126</v>
      </c>
      <c r="B22" s="11" t="s">
        <v>127</v>
      </c>
      <c r="C22">
        <f t="shared" si="0"/>
        <v>9</v>
      </c>
    </row>
    <row r="23" spans="1:3" x14ac:dyDescent="0.25">
      <c r="A23" s="11" t="s">
        <v>139</v>
      </c>
      <c r="B23" s="11" t="s">
        <v>131</v>
      </c>
      <c r="C23">
        <f t="shared" si="0"/>
        <v>11</v>
      </c>
    </row>
    <row r="24" spans="1:3" x14ac:dyDescent="0.25">
      <c r="A24" s="11" t="s">
        <v>237</v>
      </c>
      <c r="B24" s="11" t="s">
        <v>238</v>
      </c>
      <c r="C24">
        <f t="shared" si="0"/>
        <v>14</v>
      </c>
    </row>
    <row r="25" spans="1:3" x14ac:dyDescent="0.25">
      <c r="A25" s="11" t="s">
        <v>205</v>
      </c>
      <c r="B25" s="11" t="s">
        <v>187</v>
      </c>
      <c r="C25">
        <f t="shared" si="0"/>
        <v>9</v>
      </c>
    </row>
    <row r="26" spans="1:3" x14ac:dyDescent="0.25">
      <c r="A26" s="11" t="s">
        <v>199</v>
      </c>
      <c r="B26" s="11" t="s">
        <v>123</v>
      </c>
      <c r="C26">
        <f t="shared" si="0"/>
        <v>1</v>
      </c>
    </row>
    <row r="27" spans="1:3" x14ac:dyDescent="0.25">
      <c r="A27" s="11" t="s">
        <v>168</v>
      </c>
      <c r="B27" s="11" t="s">
        <v>118</v>
      </c>
      <c r="C27">
        <f t="shared" si="0"/>
        <v>12</v>
      </c>
    </row>
    <row r="28" spans="1:3" x14ac:dyDescent="0.25">
      <c r="A28" s="11" t="s">
        <v>168</v>
      </c>
      <c r="B28" s="11" t="s">
        <v>118</v>
      </c>
      <c r="C28">
        <f t="shared" si="0"/>
        <v>12</v>
      </c>
    </row>
    <row r="29" spans="1:3" x14ac:dyDescent="0.25">
      <c r="A29" s="11" t="s">
        <v>71</v>
      </c>
      <c r="B29" s="11" t="s">
        <v>53</v>
      </c>
      <c r="C29">
        <f t="shared" si="0"/>
        <v>9</v>
      </c>
    </row>
    <row r="30" spans="1:3" x14ac:dyDescent="0.25">
      <c r="A30" s="11" t="s">
        <v>71</v>
      </c>
      <c r="B30" s="11" t="s">
        <v>53</v>
      </c>
      <c r="C30">
        <f t="shared" si="0"/>
        <v>9</v>
      </c>
    </row>
    <row r="31" spans="1:3" x14ac:dyDescent="0.25">
      <c r="A31" s="11" t="s">
        <v>67</v>
      </c>
      <c r="B31" s="11" t="s">
        <v>53</v>
      </c>
      <c r="C31">
        <f t="shared" si="0"/>
        <v>10</v>
      </c>
    </row>
    <row r="32" spans="1:3" x14ac:dyDescent="0.25">
      <c r="A32" s="11" t="s">
        <v>77</v>
      </c>
      <c r="B32" s="11" t="s">
        <v>53</v>
      </c>
      <c r="C32">
        <f t="shared" si="0"/>
        <v>6</v>
      </c>
    </row>
    <row r="33" spans="1:3" x14ac:dyDescent="0.25">
      <c r="A33" s="11" t="s">
        <v>144</v>
      </c>
      <c r="B33" s="11" t="s">
        <v>145</v>
      </c>
      <c r="C33">
        <f t="shared" si="0"/>
        <v>8</v>
      </c>
    </row>
    <row r="34" spans="1:3" x14ac:dyDescent="0.25">
      <c r="A34" s="11" t="s">
        <v>117</v>
      </c>
      <c r="B34" s="11" t="s">
        <v>118</v>
      </c>
      <c r="C34">
        <f t="shared" si="0"/>
        <v>13</v>
      </c>
    </row>
    <row r="35" spans="1:3" x14ac:dyDescent="0.25">
      <c r="A35" s="11" t="s">
        <v>117</v>
      </c>
      <c r="B35" s="11" t="s">
        <v>118</v>
      </c>
      <c r="C35">
        <f t="shared" si="0"/>
        <v>13</v>
      </c>
    </row>
    <row r="36" spans="1:3" x14ac:dyDescent="0.25">
      <c r="A36" s="11" t="s">
        <v>182</v>
      </c>
      <c r="B36" s="11" t="s">
        <v>123</v>
      </c>
      <c r="C36">
        <f t="shared" si="0"/>
        <v>6</v>
      </c>
    </row>
    <row r="37" spans="1:3" x14ac:dyDescent="0.25">
      <c r="A37" s="11" t="s">
        <v>190</v>
      </c>
      <c r="B37" s="11" t="s">
        <v>118</v>
      </c>
      <c r="C37">
        <f t="shared" si="0"/>
        <v>2</v>
      </c>
    </row>
    <row r="38" spans="1:3" x14ac:dyDescent="0.25">
      <c r="A38" s="11" t="s">
        <v>190</v>
      </c>
      <c r="B38" s="11" t="s">
        <v>118</v>
      </c>
      <c r="C38">
        <f t="shared" si="0"/>
        <v>2</v>
      </c>
    </row>
    <row r="39" spans="1:3" x14ac:dyDescent="0.25">
      <c r="A39" s="11" t="s">
        <v>156</v>
      </c>
      <c r="B39" s="11" t="s">
        <v>118</v>
      </c>
      <c r="C39">
        <f t="shared" si="0"/>
        <v>9</v>
      </c>
    </row>
    <row r="40" spans="1:3" x14ac:dyDescent="0.25">
      <c r="A40" s="11" t="s">
        <v>186</v>
      </c>
      <c r="B40" s="11" t="s">
        <v>187</v>
      </c>
      <c r="C40">
        <f t="shared" si="0"/>
        <v>4</v>
      </c>
    </row>
    <row r="41" spans="1:3" x14ac:dyDescent="0.25">
      <c r="A41" s="11" t="s">
        <v>160</v>
      </c>
      <c r="B41" s="11" t="s">
        <v>123</v>
      </c>
      <c r="C41">
        <f t="shared" si="0"/>
        <v>10</v>
      </c>
    </row>
    <row r="42" spans="1:3" x14ac:dyDescent="0.25">
      <c r="A42" s="11" t="s">
        <v>179</v>
      </c>
      <c r="B42" s="11" t="s">
        <v>131</v>
      </c>
      <c r="C42">
        <f t="shared" si="0"/>
        <v>7</v>
      </c>
    </row>
    <row r="43" spans="1:3" x14ac:dyDescent="0.25">
      <c r="A43" s="11" t="s">
        <v>168</v>
      </c>
      <c r="B43" s="11" t="s">
        <v>118</v>
      </c>
      <c r="C43">
        <f t="shared" si="0"/>
        <v>12</v>
      </c>
    </row>
    <row r="44" spans="1:3" x14ac:dyDescent="0.25">
      <c r="A44" s="11" t="s">
        <v>139</v>
      </c>
      <c r="B44" s="11" t="s">
        <v>131</v>
      </c>
      <c r="C44">
        <f t="shared" si="0"/>
        <v>11</v>
      </c>
    </row>
    <row r="45" spans="1:3" x14ac:dyDescent="0.25">
      <c r="A45" s="11" t="s">
        <v>95</v>
      </c>
      <c r="B45" s="11" t="s">
        <v>53</v>
      </c>
      <c r="C45">
        <f t="shared" si="0"/>
        <v>24</v>
      </c>
    </row>
    <row r="46" spans="1:3" x14ac:dyDescent="0.25">
      <c r="A46" s="11" t="s">
        <v>88</v>
      </c>
      <c r="B46" s="11" t="s">
        <v>53</v>
      </c>
      <c r="C46">
        <f t="shared" si="0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Sheet2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2026-01-02T06:50:13Z</dcterms:created>
  <dcterms:modified xsi:type="dcterms:W3CDTF">2026-01-07T00:14:23Z</dcterms:modified>
</cp:coreProperties>
</file>