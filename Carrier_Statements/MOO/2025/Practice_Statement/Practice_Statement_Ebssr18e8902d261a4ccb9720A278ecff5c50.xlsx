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practice statement\"/>
    </mc:Choice>
  </mc:AlternateContent>
  <xr:revisionPtr revIDLastSave="0" documentId="13_ncr:1_{C9F20651-0326-4259-B42D-C0DD1F234EF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S" sheetId="2" r:id="rId2"/>
    <sheet name="Sheet1" sheetId="3" r:id="rId3"/>
  </sheets>
  <externalReferences>
    <externalReference r:id="rId4"/>
  </externalReferences>
  <definedNames>
    <definedName name="_xlnm._FilterDatabase" localSheetId="1" hidden="1">DETAILS!$A$1:$Z$64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<sst xmlns="http://schemas.openxmlformats.org/spreadsheetml/2006/main" count="1145" uniqueCount="291">
  <si>
    <t>MUTUAL OF OMAHA</t>
  </si>
  <si>
    <t>SUMMARY COMPENSATION STATEMENT</t>
  </si>
  <si>
    <t>For Period Ending 03/25/2025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</si>
  <si>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</si>
  <si>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</si>
  <si>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</si>
  <si>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</si>
  <si>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</si>
  <si>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</si>
  <si>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</si>
  <si>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</si>
  <si>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</si>
  <si>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</si>
  <si>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</si>
  <si>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</si>
  <si>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</si>
  <si>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</si>
  <si>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</si>
  <si>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</si>
  <si>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</si>
  <si>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</si>
  <si>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</si>
  <si>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</si>
  <si>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</si>
  <si>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</si>
  <si>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</si>
  <si>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</si>
  <si>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</si>
  <si>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</si>
  <si>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</si>
  <si>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</si>
  <si>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</si>
  <si>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</si>
  <si>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</si>
  <si>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</si>
  <si>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</si>
  <si>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</si>
  <si>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</si>
  <si>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</si>
  <si>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</si>
  <si>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</si>
  <si>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</si>
  <si>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</si>
  <si>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</si>
  <si>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</si>
  <si>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</si>
  <si>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 LLC</t>
  </si>
  <si>
    <t>544949-97</t>
  </si>
  <si>
    <t>TOLBERT MARGARET</t>
  </si>
  <si>
    <t>IL</t>
  </si>
  <si>
    <t>03/20/2025</t>
  </si>
  <si>
    <t>NM24HL</t>
  </si>
  <si>
    <t>02/01/2025</t>
  </si>
  <si>
    <t>04/01/2025</t>
  </si>
  <si>
    <t/>
  </si>
  <si>
    <t>M</t>
  </si>
  <si>
    <t>BSP</t>
  </si>
  <si>
    <t>001</t>
  </si>
  <si>
    <t>F</t>
  </si>
  <si>
    <t>BFY PAYMENT</t>
  </si>
  <si>
    <t>100.0%</t>
  </si>
  <si>
    <t>502942-97</t>
  </si>
  <si>
    <t>HANDLEY MARSHA</t>
  </si>
  <si>
    <t>03/19/2025</t>
  </si>
  <si>
    <t>01/01/2025</t>
  </si>
  <si>
    <t>473139-97</t>
  </si>
  <si>
    <t>MCBRIDE SHIRLEY</t>
  </si>
  <si>
    <t>03/24/2025</t>
  </si>
  <si>
    <t>655858-97</t>
  </si>
  <si>
    <t>KINGDON RANDALL</t>
  </si>
  <si>
    <t>03/25/2025</t>
  </si>
  <si>
    <t>05/01/2025</t>
  </si>
  <si>
    <t>NEW COV ISS</t>
  </si>
  <si>
    <t>650070-97</t>
  </si>
  <si>
    <t>SMITH JEFFREY</t>
  </si>
  <si>
    <t>06/01/2025</t>
  </si>
  <si>
    <t>UNITED</t>
  </si>
  <si>
    <t>663680-96</t>
  </si>
  <si>
    <t>DELPRATO KAREN</t>
  </si>
  <si>
    <t>PA</t>
  </si>
  <si>
    <t>UM35HLV</t>
  </si>
  <si>
    <t>09/01/2023</t>
  </si>
  <si>
    <t>R</t>
  </si>
  <si>
    <t>RENEWAL PYMT</t>
  </si>
  <si>
    <t>656528-97</t>
  </si>
  <si>
    <t>CARR WILLIAM</t>
  </si>
  <si>
    <t>UM24HLV</t>
  </si>
  <si>
    <t>526481-97</t>
  </si>
  <si>
    <t>HASSETT LINDA</t>
  </si>
  <si>
    <t>UM36LV</t>
  </si>
  <si>
    <t>UNITED WORLD</t>
  </si>
  <si>
    <t>599869-97</t>
  </si>
  <si>
    <t>CONNOR Deborah</t>
  </si>
  <si>
    <t>NJ</t>
  </si>
  <si>
    <t>WM35NL</t>
  </si>
  <si>
    <t>INNOVATIVE FINANCIAL PARTNERS LLC</t>
  </si>
  <si>
    <t>BU5074530</t>
  </si>
  <si>
    <t>JOHNSON AMBER</t>
  </si>
  <si>
    <t>MO</t>
  </si>
  <si>
    <t>E30301</t>
  </si>
  <si>
    <t>01/23/2025</t>
  </si>
  <si>
    <t>04/23/2025</t>
  </si>
  <si>
    <t>BU5074498</t>
  </si>
  <si>
    <t>JOHNSON WILLIAM</t>
  </si>
  <si>
    <t>BU5022167</t>
  </si>
  <si>
    <t>HESTON JOANNE</t>
  </si>
  <si>
    <t>TX</t>
  </si>
  <si>
    <t>TE15 1</t>
  </si>
  <si>
    <t>LAPSE</t>
  </si>
  <si>
    <t>BU4706358</t>
  </si>
  <si>
    <t>NARVID JUSTIN</t>
  </si>
  <si>
    <t>03/21/2025</t>
  </si>
  <si>
    <t>06/20/2024</t>
  </si>
  <si>
    <t>04/20/2025</t>
  </si>
  <si>
    <t>BU5200679</t>
  </si>
  <si>
    <t>JONES DERRICK</t>
  </si>
  <si>
    <t>MD</t>
  </si>
  <si>
    <t>E20201</t>
  </si>
  <si>
    <t>BU5190668</t>
  </si>
  <si>
    <t>COALE JOHN</t>
  </si>
  <si>
    <t>BU5029108</t>
  </si>
  <si>
    <t>ENGELSKIRCH MICHELLE</t>
  </si>
  <si>
    <t>IXEXP1</t>
  </si>
  <si>
    <t>12/23/2024</t>
  </si>
  <si>
    <t>BU4920815</t>
  </si>
  <si>
    <t>NEDD ADANNA</t>
  </si>
  <si>
    <t>11/01/2024</t>
  </si>
  <si>
    <t>BU5194609</t>
  </si>
  <si>
    <t>VELEZ MARITZA</t>
  </si>
  <si>
    <t>CONV NEW BUS</t>
  </si>
  <si>
    <t>BU5066653</t>
  </si>
  <si>
    <t>HOBBS MARCELLA</t>
  </si>
  <si>
    <t>FEPG 1</t>
  </si>
  <si>
    <t>01/24/2025</t>
  </si>
  <si>
    <t>04/24/2025</t>
  </si>
  <si>
    <t>BU5065882</t>
  </si>
  <si>
    <t>LEONARD PHYLLIS</t>
  </si>
  <si>
    <t>02/20/2025</t>
  </si>
  <si>
    <t>BU5023685</t>
  </si>
  <si>
    <t>KILLIAN RENEE</t>
  </si>
  <si>
    <t>BU4950726</t>
  </si>
  <si>
    <t>KONERTZ MICHAEL</t>
  </si>
  <si>
    <t>11/11/2024</t>
  </si>
  <si>
    <t>05/11/2025</t>
  </si>
  <si>
    <t>BU4947885</t>
  </si>
  <si>
    <t>GILLILAND LARRY</t>
  </si>
  <si>
    <t>FL</t>
  </si>
  <si>
    <t>11/24/2024</t>
  </si>
  <si>
    <t>BU4887575</t>
  </si>
  <si>
    <t>ANDERSON WENDY</t>
  </si>
  <si>
    <t>MT</t>
  </si>
  <si>
    <t>10/19/2024</t>
  </si>
  <si>
    <t>04/19/2025</t>
  </si>
  <si>
    <t>BU4887510</t>
  </si>
  <si>
    <t>ANDERSON LARRY</t>
  </si>
  <si>
    <t>BU4878416</t>
  </si>
  <si>
    <t>BISH DENISE</t>
  </si>
  <si>
    <t>10/20/2024</t>
  </si>
  <si>
    <t>BU4825102</t>
  </si>
  <si>
    <t>COWGER LISA</t>
  </si>
  <si>
    <t>09/22/2024</t>
  </si>
  <si>
    <t>04/22/2025</t>
  </si>
  <si>
    <t>BU5199706</t>
  </si>
  <si>
    <t>MEECE DEBRA</t>
  </si>
  <si>
    <t>VA</t>
  </si>
  <si>
    <t>BU5199695</t>
  </si>
  <si>
    <t>RIEGER RONALD</t>
  </si>
  <si>
    <t>BU4704332</t>
  </si>
  <si>
    <t>SIVAVEC SHERYL</t>
  </si>
  <si>
    <t>06/11/2024</t>
  </si>
  <si>
    <t>04/11/2025</t>
  </si>
  <si>
    <t>BU4736235</t>
  </si>
  <si>
    <t>WINN APRIL</t>
  </si>
  <si>
    <t>07/20/2024</t>
  </si>
  <si>
    <t>BU4624111</t>
  </si>
  <si>
    <t>MATTERA CYNTHIA</t>
  </si>
  <si>
    <t>04/18/2024</t>
  </si>
  <si>
    <t>04/18/2025</t>
  </si>
  <si>
    <t>BU4758764</t>
  </si>
  <si>
    <t>MILLER BRENDA</t>
  </si>
  <si>
    <t>FEPL 1</t>
  </si>
  <si>
    <t>07/19/2024</t>
  </si>
  <si>
    <t>BU5192489</t>
  </si>
  <si>
    <t>DAVIS ELBA</t>
  </si>
  <si>
    <t>BU5149560</t>
  </si>
  <si>
    <t>KRUGER MAASER LOUISE</t>
  </si>
  <si>
    <t>04/21/2025</t>
  </si>
  <si>
    <t>NEW ISS PYMT</t>
  </si>
  <si>
    <t>BU5129359</t>
  </si>
  <si>
    <t>TRIPP TERRY</t>
  </si>
  <si>
    <t>SC</t>
  </si>
  <si>
    <t>BU4973281</t>
  </si>
  <si>
    <t>BLANKE MOLLY</t>
  </si>
  <si>
    <t>BU4969542</t>
  </si>
  <si>
    <t>KHOURY MONIQUE</t>
  </si>
  <si>
    <t>OH</t>
  </si>
  <si>
    <t>12/19/2024</t>
  </si>
  <si>
    <t>BU4957198</t>
  </si>
  <si>
    <t>BURLEY DENISE</t>
  </si>
  <si>
    <t>GA</t>
  </si>
  <si>
    <t>11/22/2024</t>
  </si>
  <si>
    <t>BU4872440</t>
  </si>
  <si>
    <t>DALFINO VANDLA</t>
  </si>
  <si>
    <t>09/01/2024</t>
  </si>
  <si>
    <t>BU4818598</t>
  </si>
  <si>
    <t>WILSON BONNIE</t>
  </si>
  <si>
    <t>09/25/2024</t>
  </si>
  <si>
    <t>04/25/2025</t>
  </si>
  <si>
    <t>BU4788711</t>
  </si>
  <si>
    <t>OFZKY ROBERT</t>
  </si>
  <si>
    <t>08/19/2024</t>
  </si>
  <si>
    <t>BU4672476</t>
  </si>
  <si>
    <t>LYNN TAMMY</t>
  </si>
  <si>
    <t>06/24/2024</t>
  </si>
  <si>
    <t>BU4671853</t>
  </si>
  <si>
    <t>MAERTENS HEIDI</t>
  </si>
  <si>
    <t>IA</t>
  </si>
  <si>
    <t>BU4582955</t>
  </si>
  <si>
    <t>CERRETANI KATHLEEN</t>
  </si>
  <si>
    <t>04/24/2024</t>
  </si>
  <si>
    <t>BU5172564</t>
  </si>
  <si>
    <t>CARROLL EDWARD</t>
  </si>
  <si>
    <t>03/14/2025</t>
  </si>
  <si>
    <t>04/14/2025</t>
  </si>
  <si>
    <t>BU5082486</t>
  </si>
  <si>
    <t>WORDEN ANGELICA</t>
  </si>
  <si>
    <t>AR</t>
  </si>
  <si>
    <t>02/21/2025</t>
  </si>
  <si>
    <t>BU4716225</t>
  </si>
  <si>
    <t>DONAHUE BRIDGET</t>
  </si>
  <si>
    <t>JVWL 1</t>
  </si>
  <si>
    <t>06/18/2024</t>
  </si>
  <si>
    <t>BU4716221</t>
  </si>
  <si>
    <t>DONAHUE TEDDY</t>
  </si>
  <si>
    <t>BU4716217</t>
  </si>
  <si>
    <t>DONAHUE MICHAEL</t>
  </si>
  <si>
    <t>BU4716215</t>
  </si>
  <si>
    <t>DONAHUE ANGELINA</t>
  </si>
  <si>
    <t>BU4875207</t>
  </si>
  <si>
    <t>EDWARDS GARY</t>
  </si>
  <si>
    <t>06/25/2025</t>
  </si>
  <si>
    <t>Q</t>
  </si>
  <si>
    <t>REG</t>
  </si>
  <si>
    <t>003</t>
  </si>
  <si>
    <t>BU4894635</t>
  </si>
  <si>
    <t>REID CAROL</t>
  </si>
  <si>
    <t>10/07/2024</t>
  </si>
  <si>
    <t>07/07/2025</t>
  </si>
  <si>
    <t>BU4548555</t>
  </si>
  <si>
    <t>STAATS CHRISTINA</t>
  </si>
  <si>
    <t>03/25/2024</t>
  </si>
  <si>
    <t>BU5199683</t>
  </si>
  <si>
    <t>MORGAN KASSANDRA</t>
  </si>
  <si>
    <t>MUTUAL</t>
  </si>
  <si>
    <t>650330-97</t>
  </si>
  <si>
    <t>MCCALL YOLANDA</t>
  </si>
  <si>
    <t>DNT5IL</t>
  </si>
  <si>
    <t>650319-97</t>
  </si>
  <si>
    <t>MCCALL HUGH</t>
  </si>
  <si>
    <t>651670-97</t>
  </si>
  <si>
    <t>CHIN LAI PAMELA</t>
  </si>
  <si>
    <t>MM25HL</t>
  </si>
  <si>
    <t>07/01/2025</t>
  </si>
  <si>
    <t>559410-97</t>
  </si>
  <si>
    <t>LOMBARDI JOANN</t>
  </si>
  <si>
    <t>DNT2IL</t>
  </si>
  <si>
    <t>400134-97</t>
  </si>
  <si>
    <t>INNES MICHAEL</t>
  </si>
  <si>
    <t>08/20/2024</t>
  </si>
  <si>
    <t>400120-97</t>
  </si>
  <si>
    <t>INNES ELIZABETH</t>
  </si>
  <si>
    <t>HEARTLAND FINANCIAL GROUP LLC</t>
  </si>
  <si>
    <t>507203-96</t>
  </si>
  <si>
    <t>CUSHING VALINDA</t>
  </si>
  <si>
    <t>03/01/2023</t>
  </si>
  <si>
    <t>Producer Name</t>
  </si>
  <si>
    <t xml:space="preserve">Michael  Dunavant </t>
  </si>
  <si>
    <t xml:space="preserve">Anne Marie Marie Kozacheck </t>
  </si>
  <si>
    <t xml:space="preserve">Murray  Sterner </t>
  </si>
  <si>
    <t xml:space="preserve">Matthew  Daugherty </t>
  </si>
  <si>
    <t xml:space="preserve">Ronald Joseph Max </t>
  </si>
  <si>
    <t xml:space="preserve">Gregory K Teipel </t>
  </si>
  <si>
    <t xml:space="preserve">Ryan J Caltagirone </t>
  </si>
  <si>
    <t xml:space="preserve">Deborah Lee Inskipt </t>
  </si>
  <si>
    <t xml:space="preserve">Thomas D Pardue </t>
  </si>
  <si>
    <t xml:space="preserve">Gary  Portugal </t>
  </si>
  <si>
    <t xml:space="preserve">Carol  Foley </t>
  </si>
  <si>
    <t xml:space="preserve">Dale Jon Walenga </t>
  </si>
  <si>
    <t xml:space="preserve">Richard A Yale </t>
  </si>
  <si>
    <t xml:space="preserve">Adam J Richter </t>
  </si>
  <si>
    <t>npn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</si>
</sst>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 \ \ \ \ \ \ \ \ \ \ \ \ \ \ \ \ \ \ 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sz val="11"/>
      <name val="Calibri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0" fontId="4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1" fillId="0" borderId="0" xfId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0" fontId="1" fillId="2" borderId="0" xfId="0" applyFont="1" applyFill="1" applyAlignment="1">
      <alignment horizontal="right"/>
    </xf>
    <xf numFmtId="9" fontId="1" fillId="2" borderId="0" xfId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4" fontId="1" fillId="0" borderId="0" xfId="0" applyNumberFormat="1" applyFont="1" applyFill="1"/>
    <xf numFmtId="0" fontId="1" fillId="0" borderId="0" xfId="0" applyFont="1" applyFill="1" applyAlignment="1">
      <alignment horizontal="right"/>
    </xf>
    <xf numFmtId="9" fontId="1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MOO\2025\Producer%20name%20and%20number.xlsx" TargetMode="External"/><Relationship Id="rId1" Type="http://schemas.openxmlformats.org/officeDocument/2006/relationships/externalLinkPath" Target="/Shared%20drives/Main%20Line%20Benefits%20Office/Commissions/Commission%20Processing/Carrier%20Statements/MOO/2025/Producer%20name%20and%20nu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816910</v>
          </cell>
          <cell r="B1" t="str">
            <v xml:space="preserve">Adam J Richter </v>
          </cell>
        </row>
        <row r="2">
          <cell r="A2">
            <v>613147</v>
          </cell>
          <cell r="B2" t="str">
            <v xml:space="preserve">Andrea E Petrungaro </v>
          </cell>
        </row>
        <row r="3">
          <cell r="A3">
            <v>1167447</v>
          </cell>
          <cell r="B3" t="str">
            <v xml:space="preserve">Andrew Howard Goodman </v>
          </cell>
        </row>
        <row r="4">
          <cell r="A4">
            <v>891882</v>
          </cell>
          <cell r="B4" t="str">
            <v xml:space="preserve">Andrew J Choi </v>
          </cell>
        </row>
        <row r="5">
          <cell r="A5">
            <v>957310</v>
          </cell>
          <cell r="B5" t="str">
            <v xml:space="preserve">Anne Marie Marie Kozacheck </v>
          </cell>
        </row>
        <row r="6">
          <cell r="A6">
            <v>1055789</v>
          </cell>
          <cell r="B6" t="str">
            <v xml:space="preserve">Ashley Elizabeth Teipel </v>
          </cell>
        </row>
        <row r="7">
          <cell r="A7">
            <v>815390</v>
          </cell>
          <cell r="B7" t="str">
            <v xml:space="preserve">Carol  Foley </v>
          </cell>
        </row>
        <row r="8">
          <cell r="A8">
            <v>938286</v>
          </cell>
          <cell r="B8" t="str">
            <v xml:space="preserve">Christian  Taugner </v>
          </cell>
        </row>
        <row r="9">
          <cell r="A9">
            <v>892719</v>
          </cell>
          <cell r="B9" t="str">
            <v xml:space="preserve">Colleen J Finnigan </v>
          </cell>
        </row>
        <row r="10">
          <cell r="A10">
            <v>513364</v>
          </cell>
          <cell r="B10" t="str">
            <v xml:space="preserve">Dale Jon Walenga </v>
          </cell>
        </row>
        <row r="11">
          <cell r="A11">
            <v>815797</v>
          </cell>
          <cell r="B11" t="str">
            <v xml:space="preserve">Deborah Lee Inskipt </v>
          </cell>
        </row>
        <row r="12">
          <cell r="A12">
            <v>892054</v>
          </cell>
          <cell r="B12" t="str">
            <v xml:space="preserve">Frank E Liskovec </v>
          </cell>
        </row>
        <row r="13">
          <cell r="A13">
            <v>819525</v>
          </cell>
          <cell r="B13" t="str">
            <v xml:space="preserve">Gary  Portugal </v>
          </cell>
        </row>
        <row r="14">
          <cell r="A14">
            <v>732257</v>
          </cell>
          <cell r="B14" t="str">
            <v xml:space="preserve">Gregory  Hansford </v>
          </cell>
        </row>
        <row r="15">
          <cell r="A15">
            <v>893387</v>
          </cell>
          <cell r="B15" t="str">
            <v xml:space="preserve">Gregory K Teipel </v>
          </cell>
        </row>
        <row r="16">
          <cell r="A16">
            <v>894080</v>
          </cell>
          <cell r="B16" t="str">
            <v xml:space="preserve">Jacob Daniel Yale </v>
          </cell>
        </row>
        <row r="17">
          <cell r="A17">
            <v>1149088</v>
          </cell>
          <cell r="B17" t="str">
            <v xml:space="preserve">Jared Mucangi Kinyua </v>
          </cell>
        </row>
        <row r="18">
          <cell r="A18">
            <v>648177</v>
          </cell>
          <cell r="B18" t="str">
            <v xml:space="preserve">Jason R Hoffmann </v>
          </cell>
        </row>
        <row r="19">
          <cell r="A19">
            <v>496849</v>
          </cell>
          <cell r="B19" t="str">
            <v xml:space="preserve">Jeffrey E Horn </v>
          </cell>
        </row>
        <row r="20">
          <cell r="A20">
            <v>505582</v>
          </cell>
          <cell r="B20" t="str">
            <v xml:space="preserve">Joel N Lee </v>
          </cell>
        </row>
        <row r="21">
          <cell r="A21">
            <v>1055387</v>
          </cell>
          <cell r="B21" t="str">
            <v xml:space="preserve">Katelenn  Caltagirone </v>
          </cell>
        </row>
        <row r="22">
          <cell r="A22">
            <v>1099222</v>
          </cell>
          <cell r="B22" t="str">
            <v xml:space="preserve">Matthew  Daugherty </v>
          </cell>
        </row>
        <row r="23">
          <cell r="A23">
            <v>1191586</v>
          </cell>
          <cell r="B23" t="str">
            <v xml:space="preserve">Matthew James Powers </v>
          </cell>
        </row>
        <row r="24">
          <cell r="A24">
            <v>1174646</v>
          </cell>
          <cell r="B24" t="str">
            <v xml:space="preserve">Michael  Dunavant </v>
          </cell>
        </row>
        <row r="25">
          <cell r="A25">
            <v>768072</v>
          </cell>
          <cell r="B25" t="str">
            <v xml:space="preserve">Michael John Lutz </v>
          </cell>
        </row>
        <row r="26">
          <cell r="A26">
            <v>892698</v>
          </cell>
          <cell r="B26" t="str">
            <v xml:space="preserve">Michelle  Mccorkle </v>
          </cell>
        </row>
        <row r="27">
          <cell r="A27">
            <v>821331</v>
          </cell>
          <cell r="B27" t="str">
            <v xml:space="preserve">Murray  Sterner </v>
          </cell>
        </row>
        <row r="28">
          <cell r="A28">
            <v>1075176</v>
          </cell>
          <cell r="B28" t="str">
            <v xml:space="preserve">Nasandelger Munkhjargal Zana </v>
          </cell>
        </row>
        <row r="29">
          <cell r="A29">
            <v>1121105</v>
          </cell>
          <cell r="B29" t="str">
            <v xml:space="preserve">Odmaa  Enkhtur </v>
          </cell>
        </row>
        <row r="30">
          <cell r="A30">
            <v>980022</v>
          </cell>
          <cell r="B30" t="str">
            <v xml:space="preserve">Paul Thomas Berk </v>
          </cell>
        </row>
        <row r="31">
          <cell r="A31">
            <v>891923</v>
          </cell>
          <cell r="B31" t="str">
            <v xml:space="preserve">Ricardo D Santos </v>
          </cell>
        </row>
        <row r="32">
          <cell r="A32">
            <v>892048</v>
          </cell>
          <cell r="B32" t="str">
            <v xml:space="preserve">Richard A Yale </v>
          </cell>
        </row>
        <row r="33">
          <cell r="A33">
            <v>899216</v>
          </cell>
          <cell r="B33" t="str">
            <v xml:space="preserve">Ronald Joseph Max </v>
          </cell>
        </row>
        <row r="34">
          <cell r="A34">
            <v>606680</v>
          </cell>
          <cell r="B34" t="str">
            <v xml:space="preserve">Ryan J Caltagirone </v>
          </cell>
        </row>
        <row r="35">
          <cell r="A35">
            <v>1095713</v>
          </cell>
          <cell r="B35" t="str">
            <v xml:space="preserve">Stacey Ann Portugal </v>
          </cell>
        </row>
        <row r="36">
          <cell r="A36">
            <v>257168</v>
          </cell>
          <cell r="B36" t="str">
            <v xml:space="preserve">Thomas D Pardue </v>
          </cell>
        </row>
        <row r="37">
          <cell r="A37">
            <v>814837</v>
          </cell>
          <cell r="B37" t="str">
            <v xml:space="preserve">Thomas Paul Kucan </v>
          </cell>
        </row>
        <row r="38">
          <cell r="A38">
            <v>895069</v>
          </cell>
          <cell r="B38" t="str">
            <v xml:space="preserve">Timothy  Powers </v>
          </cell>
        </row>
        <row r="39">
          <cell r="A39">
            <v>1169782</v>
          </cell>
          <cell r="B39" t="str">
            <v xml:space="preserve">Victor  Fuentes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7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8" t="s">
        <v>0</v>
      </c>
      <c r="B2" s="19"/>
      <c r="C2" s="19"/>
    </row>
    <row r="3" spans="1:3" x14ac:dyDescent="0.2">
      <c r="A3" s="18" t="s">
        <v>1</v>
      </c>
      <c r="B3" s="19"/>
      <c r="C3" s="19"/>
    </row>
    <row r="4" spans="1:3" x14ac:dyDescent="0.2">
      <c r="A4" s="18" t="s">
        <v>2</v>
      </c>
      <c r="B4" s="19"/>
      <c r="C4" s="19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6" t="s">
        <v>5</v>
      </c>
      <c r="C12" s="17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573.03</v>
      </c>
      <c r="C19" s="8"/>
    </row>
    <row r="20" spans="1:3" x14ac:dyDescent="0.2">
      <c r="A20" s="2" t="s">
        <v>13</v>
      </c>
      <c r="B20" s="8">
        <v>28.66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10506.74</v>
      </c>
      <c r="C24" s="8"/>
    </row>
    <row r="25" spans="1:3" x14ac:dyDescent="0.2">
      <c r="A25" s="2" t="s">
        <v>13</v>
      </c>
      <c r="B25" s="8">
        <v>1.25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28.27</v>
      </c>
      <c r="C29" s="8"/>
    </row>
    <row r="30" spans="1:3" x14ac:dyDescent="0.2">
      <c r="A30" s="2"/>
      <c r="B30" s="8"/>
      <c r="C30" s="8"/>
    </row>
    <row r="31" spans="1:3" x14ac:dyDescent="0.2">
      <c r="A31" s="2" t="s">
        <v>16</v>
      </c>
      <c r="B31" s="8"/>
      <c r="C31" s="8"/>
    </row>
    <row r="32" spans="1:3" x14ac:dyDescent="0.2">
      <c r="A32" s="2" t="s">
        <v>11</v>
      </c>
      <c r="B32" s="8"/>
      <c r="C32" s="8"/>
    </row>
    <row r="33" spans="1:3" x14ac:dyDescent="0.2">
      <c r="A33" s="2" t="s">
        <v>12</v>
      </c>
      <c r="B33" s="8">
        <v>577.62</v>
      </c>
      <c r="C33" s="8"/>
    </row>
    <row r="34" spans="1:3" x14ac:dyDescent="0.2">
      <c r="A34" s="2"/>
      <c r="B34" s="8"/>
      <c r="C34" s="8"/>
    </row>
    <row r="35" spans="1:3" x14ac:dyDescent="0.2">
      <c r="A35" s="2" t="s">
        <v>17</v>
      </c>
      <c r="B35" s="8"/>
      <c r="C35" s="8">
        <v>11715.57</v>
      </c>
    </row>
    <row r="36" spans="1:3" x14ac:dyDescent="0.2">
      <c r="A36" s="2"/>
      <c r="B36" s="8"/>
      <c r="C36" s="8"/>
    </row>
    <row r="37" spans="1:3" x14ac:dyDescent="0.2">
      <c r="A37" s="2" t="s">
        <v>18</v>
      </c>
      <c r="B37" s="8"/>
      <c r="C37" s="8"/>
    </row>
    <row r="38" spans="1:3" x14ac:dyDescent="0.2">
      <c r="A38" s="2"/>
      <c r="B38" s="8"/>
      <c r="C38" s="8"/>
    </row>
    <row r="39" spans="1:3" x14ac:dyDescent="0.2">
      <c r="A39" s="2" t="s">
        <v>10</v>
      </c>
      <c r="B39" s="8">
        <v>-601.69000000000005</v>
      </c>
      <c r="C39" s="8"/>
    </row>
    <row r="40" spans="1:3" x14ac:dyDescent="0.2">
      <c r="A40" s="2" t="s">
        <v>14</v>
      </c>
      <c r="B40" s="8">
        <v>-10507.99</v>
      </c>
      <c r="C40" s="8"/>
    </row>
    <row r="41" spans="1:3" x14ac:dyDescent="0.2">
      <c r="A41" s="2" t="s">
        <v>15</v>
      </c>
      <c r="B41" s="8">
        <v>-28.27</v>
      </c>
      <c r="C41" s="8"/>
    </row>
    <row r="42" spans="1:3" x14ac:dyDescent="0.2">
      <c r="A42" s="2" t="s">
        <v>16</v>
      </c>
      <c r="B42" s="8">
        <v>-577.62</v>
      </c>
      <c r="C42" s="8"/>
    </row>
    <row r="43" spans="1:3" x14ac:dyDescent="0.2">
      <c r="A43" s="2"/>
      <c r="B43" s="8"/>
      <c r="C43" s="8"/>
    </row>
    <row r="44" spans="1:3" x14ac:dyDescent="0.2">
      <c r="A44" s="2" t="s">
        <v>19</v>
      </c>
      <c r="B44" s="8"/>
      <c r="C44" s="8">
        <v>-11715.57</v>
      </c>
    </row>
    <row r="45" spans="1:3" x14ac:dyDescent="0.2">
      <c r="A45" s="2" t="s">
        <v>20</v>
      </c>
      <c r="B45" s="8"/>
      <c r="C45" s="8">
        <v>0</v>
      </c>
    </row>
    <row r="46" spans="1:3" x14ac:dyDescent="0.2">
      <c r="A46" s="2"/>
      <c r="B46" s="8"/>
      <c r="C46" s="8"/>
    </row>
    <row r="47" spans="1:3" x14ac:dyDescent="0.2">
      <c r="A47" s="4"/>
      <c r="B47" s="9"/>
      <c r="C47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4"/>
  <sheetViews>
    <sheetView tabSelected="1" topLeftCell="G1" workbookViewId="0">
      <pane ySplit="1" topLeftCell="A2" activePane="bottomLeft" state="frozen"/>
      <selection pane="bottomLeft" activeCell="G5" sqref="G5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29" style="1" bestFit="1" customWidth="1"/>
    <col min="6" max="6" width="29" style="1" customWidth="1"/>
    <col min="7" max="7" width="14" style="1" customWidth="1"/>
    <col min="8" max="8" width="30" style="1" customWidth="1"/>
    <col min="9" max="9" width="13" style="1" customWidth="1"/>
    <col min="10" max="13" width="15" style="1" customWidth="1"/>
    <col min="14" max="14" width="8" style="1" customWidth="1"/>
    <col min="15" max="15" width="10" style="1" customWidth="1"/>
    <col min="16" max="16" width="12" style="1" customWidth="1"/>
    <col min="17" max="17" width="9" style="1" customWidth="1"/>
    <col min="18" max="18" width="20" style="1" customWidth="1"/>
    <col min="19" max="19" width="18" style="1" customWidth="1"/>
    <col min="20" max="20" width="12" style="1" customWidth="1"/>
    <col min="21" max="21" width="20" style="1" customWidth="1"/>
    <col min="22" max="22" width="13" style="1" customWidth="1"/>
    <col min="23" max="23" width="15" style="15" customWidth="1"/>
    <col min="24" max="25" width="15" style="1" customWidth="1"/>
    <col min="26" max="26" width="40" style="1" customWidth="1"/>
    <col min="27" max="27" width="9.140625" style="1" customWidth="1"/>
    <col min="28" max="16384" width="9.140625" style="1"/>
  </cols>
  <sheetData>
    <row r="1" spans="1:26" ht="30" customHeight="1" x14ac:dyDescent="0.2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275</v>
      </c>
      <c r="F1" s="13" t="s">
        <v>290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31</v>
      </c>
      <c r="N1" s="10" t="s">
        <v>32</v>
      </c>
      <c r="O1" s="10" t="s">
        <v>33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38</v>
      </c>
      <c r="U1" s="10" t="s">
        <v>39</v>
      </c>
      <c r="V1" s="10" t="s">
        <v>40</v>
      </c>
      <c r="W1" s="14" t="s">
        <v>41</v>
      </c>
      <c r="X1" s="10" t="s">
        <v>42</v>
      </c>
      <c r="Y1" s="10" t="s">
        <v>43</v>
      </c>
      <c r="Z1" s="10" t="s">
        <v>44</v>
      </c>
    </row>
    <row r="2" spans="1:26" s="20" customFormat="1" x14ac:dyDescent="0.2">
      <c r="A2" s="20" t="s">
        <v>45</v>
      </c>
      <c r="B2" s="20">
        <v>1055790</v>
      </c>
      <c r="C2" s="20" t="s">
        <v>46</v>
      </c>
      <c r="D2" s="20">
        <v>1174646</v>
      </c>
      <c r="E2" s="20" t="s">
        <v>276</v>
      </c>
      <c r="F2" s="20">
        <v>18828278</v>
      </c>
      <c r="G2" s="20" t="s">
        <v>47</v>
      </c>
      <c r="H2" s="20" t="s">
        <v>48</v>
      </c>
      <c r="I2" s="20" t="s">
        <v>49</v>
      </c>
      <c r="J2" s="20" t="s">
        <v>50</v>
      </c>
      <c r="K2" s="20" t="s">
        <v>51</v>
      </c>
      <c r="L2" s="20" t="s">
        <v>52</v>
      </c>
      <c r="M2" s="20" t="s">
        <v>53</v>
      </c>
      <c r="N2" s="21" t="s">
        <v>54</v>
      </c>
      <c r="O2" s="20" t="s">
        <v>55</v>
      </c>
      <c r="P2" s="20" t="s">
        <v>56</v>
      </c>
      <c r="Q2" s="20" t="s">
        <v>57</v>
      </c>
      <c r="R2" s="20">
        <v>0</v>
      </c>
      <c r="S2" s="22">
        <v>113.86</v>
      </c>
      <c r="T2" s="20" t="s">
        <v>58</v>
      </c>
      <c r="U2" s="20" t="s">
        <v>59</v>
      </c>
      <c r="V2" s="23" t="s">
        <v>60</v>
      </c>
      <c r="W2" s="24">
        <v>0.23</v>
      </c>
      <c r="X2" s="22">
        <v>0</v>
      </c>
      <c r="Y2" s="22">
        <v>-26.19</v>
      </c>
      <c r="Z2" s="20" t="s">
        <v>54</v>
      </c>
    </row>
    <row r="3" spans="1:26" x14ac:dyDescent="0.2">
      <c r="A3" s="1" t="s">
        <v>45</v>
      </c>
      <c r="B3" s="1">
        <v>1055790</v>
      </c>
      <c r="C3" s="1" t="s">
        <v>46</v>
      </c>
      <c r="D3" s="1">
        <v>1174646</v>
      </c>
      <c r="E3" s="1" t="s">
        <v>276</v>
      </c>
      <c r="F3" s="1">
        <v>18828278</v>
      </c>
      <c r="G3" s="1" t="s">
        <v>61</v>
      </c>
      <c r="H3" s="1" t="s">
        <v>62</v>
      </c>
      <c r="I3" s="1" t="s">
        <v>49</v>
      </c>
      <c r="J3" s="1" t="s">
        <v>63</v>
      </c>
      <c r="K3" s="1" t="s">
        <v>51</v>
      </c>
      <c r="L3" s="1" t="s">
        <v>64</v>
      </c>
      <c r="M3" s="1" t="s">
        <v>53</v>
      </c>
      <c r="N3" s="11" t="s">
        <v>54</v>
      </c>
      <c r="O3" s="1" t="s">
        <v>55</v>
      </c>
      <c r="P3" s="1" t="s">
        <v>56</v>
      </c>
      <c r="Q3" s="1" t="s">
        <v>57</v>
      </c>
      <c r="R3" s="1">
        <v>0</v>
      </c>
      <c r="S3" s="12">
        <v>151.24</v>
      </c>
      <c r="T3" s="1" t="s">
        <v>58</v>
      </c>
      <c r="U3" s="1" t="s">
        <v>59</v>
      </c>
      <c r="V3" s="6" t="s">
        <v>60</v>
      </c>
      <c r="W3" s="15">
        <v>0.23</v>
      </c>
      <c r="X3" s="12">
        <v>0</v>
      </c>
      <c r="Y3" s="12">
        <v>-34.79</v>
      </c>
      <c r="Z3" s="1" t="s">
        <v>54</v>
      </c>
    </row>
    <row r="4" spans="1:26" x14ac:dyDescent="0.2">
      <c r="A4" s="1" t="s">
        <v>45</v>
      </c>
      <c r="B4" s="1">
        <v>1055790</v>
      </c>
      <c r="C4" s="1" t="s">
        <v>46</v>
      </c>
      <c r="D4" s="1">
        <v>1174646</v>
      </c>
      <c r="E4" s="1" t="s">
        <v>276</v>
      </c>
      <c r="F4" s="1">
        <v>18828278</v>
      </c>
      <c r="G4" s="1" t="s">
        <v>65</v>
      </c>
      <c r="H4" s="1" t="s">
        <v>66</v>
      </c>
      <c r="I4" s="1" t="s">
        <v>49</v>
      </c>
      <c r="J4" s="1" t="s">
        <v>67</v>
      </c>
      <c r="K4" s="1" t="s">
        <v>51</v>
      </c>
      <c r="L4" s="1" t="s">
        <v>64</v>
      </c>
      <c r="M4" s="1" t="s">
        <v>53</v>
      </c>
      <c r="N4" s="11" t="s">
        <v>54</v>
      </c>
      <c r="O4" s="1" t="s">
        <v>55</v>
      </c>
      <c r="P4" s="1" t="s">
        <v>56</v>
      </c>
      <c r="Q4" s="1" t="s">
        <v>57</v>
      </c>
      <c r="R4" s="1">
        <v>0</v>
      </c>
      <c r="S4" s="12">
        <v>129.38999999999999</v>
      </c>
      <c r="T4" s="1" t="s">
        <v>58</v>
      </c>
      <c r="U4" s="1" t="s">
        <v>59</v>
      </c>
      <c r="V4" s="6" t="s">
        <v>60</v>
      </c>
      <c r="W4" s="15">
        <v>0.23</v>
      </c>
      <c r="X4" s="12">
        <v>0</v>
      </c>
      <c r="Y4" s="12">
        <v>-29.76</v>
      </c>
      <c r="Z4" s="1" t="s">
        <v>54</v>
      </c>
    </row>
    <row r="5" spans="1:26" s="20" customFormat="1" x14ac:dyDescent="0.2">
      <c r="A5" s="20" t="s">
        <v>45</v>
      </c>
      <c r="B5" s="20">
        <v>1055790</v>
      </c>
      <c r="C5" s="20" t="s">
        <v>46</v>
      </c>
      <c r="D5" s="20">
        <v>1174646</v>
      </c>
      <c r="E5" s="20" t="s">
        <v>276</v>
      </c>
      <c r="F5" s="20">
        <v>18828278</v>
      </c>
      <c r="G5" s="20" t="s">
        <v>68</v>
      </c>
      <c r="H5" s="20" t="s">
        <v>69</v>
      </c>
      <c r="I5" s="20" t="s">
        <v>49</v>
      </c>
      <c r="J5" s="20" t="s">
        <v>70</v>
      </c>
      <c r="K5" s="20" t="s">
        <v>51</v>
      </c>
      <c r="L5" s="20" t="s">
        <v>53</v>
      </c>
      <c r="M5" s="20" t="s">
        <v>71</v>
      </c>
      <c r="N5" s="21" t="s">
        <v>54</v>
      </c>
      <c r="O5" s="20" t="s">
        <v>55</v>
      </c>
      <c r="P5" s="20" t="s">
        <v>56</v>
      </c>
      <c r="Q5" s="20" t="s">
        <v>57</v>
      </c>
      <c r="R5" s="20">
        <v>0</v>
      </c>
      <c r="S5" s="22">
        <v>150.41</v>
      </c>
      <c r="T5" s="20" t="s">
        <v>58</v>
      </c>
      <c r="U5" s="20" t="s">
        <v>72</v>
      </c>
      <c r="V5" s="23" t="s">
        <v>60</v>
      </c>
      <c r="W5" s="24">
        <v>0.23</v>
      </c>
      <c r="X5" s="22">
        <v>311.31</v>
      </c>
      <c r="Y5" s="22">
        <v>276.72000000000003</v>
      </c>
      <c r="Z5" s="20" t="s">
        <v>54</v>
      </c>
    </row>
    <row r="6" spans="1:26" x14ac:dyDescent="0.2">
      <c r="A6" s="1" t="s">
        <v>45</v>
      </c>
      <c r="B6" s="1">
        <v>1055790</v>
      </c>
      <c r="C6" s="1" t="s">
        <v>46</v>
      </c>
      <c r="D6" s="1">
        <v>1174646</v>
      </c>
      <c r="E6" s="1" t="s">
        <v>276</v>
      </c>
      <c r="F6" s="1">
        <v>18828278</v>
      </c>
      <c r="G6" s="1" t="s">
        <v>73</v>
      </c>
      <c r="H6" s="1" t="s">
        <v>74</v>
      </c>
      <c r="I6" s="1" t="s">
        <v>49</v>
      </c>
      <c r="J6" s="1" t="s">
        <v>63</v>
      </c>
      <c r="K6" s="1" t="s">
        <v>51</v>
      </c>
      <c r="L6" s="1" t="s">
        <v>71</v>
      </c>
      <c r="M6" s="1" t="s">
        <v>75</v>
      </c>
      <c r="N6" s="11" t="s">
        <v>54</v>
      </c>
      <c r="O6" s="1" t="s">
        <v>55</v>
      </c>
      <c r="P6" s="1" t="s">
        <v>56</v>
      </c>
      <c r="Q6" s="1" t="s">
        <v>57</v>
      </c>
      <c r="R6" s="1">
        <v>0</v>
      </c>
      <c r="S6" s="12">
        <v>128.66999999999999</v>
      </c>
      <c r="T6" s="1" t="s">
        <v>58</v>
      </c>
      <c r="U6" s="1" t="s">
        <v>72</v>
      </c>
      <c r="V6" s="6" t="s">
        <v>60</v>
      </c>
      <c r="W6" s="15">
        <v>0.23</v>
      </c>
      <c r="X6" s="12">
        <v>266.31</v>
      </c>
      <c r="Y6" s="12">
        <v>236.72</v>
      </c>
      <c r="Z6" s="1" t="s">
        <v>54</v>
      </c>
    </row>
    <row r="7" spans="1:26" s="25" customFormat="1" x14ac:dyDescent="0.2">
      <c r="A7" s="25" t="s">
        <v>76</v>
      </c>
      <c r="B7" s="25">
        <v>1055790</v>
      </c>
      <c r="C7" s="25" t="s">
        <v>46</v>
      </c>
      <c r="D7" s="25">
        <v>957310</v>
      </c>
      <c r="E7" s="25" t="s">
        <v>277</v>
      </c>
      <c r="G7" s="25" t="s">
        <v>77</v>
      </c>
      <c r="H7" s="25" t="s">
        <v>78</v>
      </c>
      <c r="I7" s="25" t="s">
        <v>79</v>
      </c>
      <c r="J7" s="25" t="s">
        <v>70</v>
      </c>
      <c r="K7" s="25" t="s">
        <v>80</v>
      </c>
      <c r="L7" s="25" t="s">
        <v>81</v>
      </c>
      <c r="M7" s="25" t="s">
        <v>53</v>
      </c>
      <c r="N7" s="26" t="s">
        <v>54</v>
      </c>
      <c r="O7" s="25" t="s">
        <v>55</v>
      </c>
      <c r="P7" s="25" t="s">
        <v>56</v>
      </c>
      <c r="Q7" s="25" t="s">
        <v>57</v>
      </c>
      <c r="R7" s="25">
        <v>0</v>
      </c>
      <c r="S7" s="27">
        <v>99.8</v>
      </c>
      <c r="T7" s="25" t="s">
        <v>82</v>
      </c>
      <c r="U7" s="25" t="s">
        <v>83</v>
      </c>
      <c r="V7" s="28" t="s">
        <v>60</v>
      </c>
      <c r="W7" s="29">
        <v>1.2500000000000001E-2</v>
      </c>
      <c r="X7" s="27">
        <v>1.25</v>
      </c>
      <c r="Y7" s="27">
        <v>0</v>
      </c>
      <c r="Z7" s="25" t="s">
        <v>54</v>
      </c>
    </row>
    <row r="8" spans="1:26" x14ac:dyDescent="0.2">
      <c r="A8" s="1" t="s">
        <v>76</v>
      </c>
      <c r="B8" s="1">
        <v>1055790</v>
      </c>
      <c r="C8" s="1" t="s">
        <v>46</v>
      </c>
      <c r="D8" s="1">
        <v>957310</v>
      </c>
      <c r="E8" s="1" t="s">
        <v>277</v>
      </c>
      <c r="G8" s="1" t="s">
        <v>84</v>
      </c>
      <c r="H8" s="1" t="s">
        <v>85</v>
      </c>
      <c r="I8" s="1" t="s">
        <v>79</v>
      </c>
      <c r="J8" s="1" t="s">
        <v>70</v>
      </c>
      <c r="K8" s="1" t="s">
        <v>86</v>
      </c>
      <c r="L8" s="1" t="s">
        <v>53</v>
      </c>
      <c r="M8" s="1" t="s">
        <v>71</v>
      </c>
      <c r="N8" s="11" t="s">
        <v>54</v>
      </c>
      <c r="O8" s="1" t="s">
        <v>55</v>
      </c>
      <c r="P8" s="1" t="s">
        <v>56</v>
      </c>
      <c r="Q8" s="1" t="s">
        <v>57</v>
      </c>
      <c r="R8" s="1">
        <v>0</v>
      </c>
      <c r="S8" s="12">
        <v>185.59</v>
      </c>
      <c r="T8" s="1" t="s">
        <v>58</v>
      </c>
      <c r="U8" s="1" t="s">
        <v>72</v>
      </c>
      <c r="V8" s="6" t="s">
        <v>60</v>
      </c>
      <c r="W8" s="15">
        <v>0.215</v>
      </c>
      <c r="X8" s="12">
        <v>359.1</v>
      </c>
      <c r="Y8" s="12">
        <v>319.2</v>
      </c>
      <c r="Z8" s="1" t="s">
        <v>54</v>
      </c>
    </row>
    <row r="9" spans="1:26" x14ac:dyDescent="0.2">
      <c r="A9" s="1" t="s">
        <v>76</v>
      </c>
      <c r="B9" s="1">
        <v>1055790</v>
      </c>
      <c r="C9" s="1" t="s">
        <v>46</v>
      </c>
      <c r="D9" s="1">
        <v>957310</v>
      </c>
      <c r="E9" s="1" t="s">
        <v>277</v>
      </c>
      <c r="G9" s="1" t="s">
        <v>87</v>
      </c>
      <c r="H9" s="1" t="s">
        <v>88</v>
      </c>
      <c r="I9" s="1" t="s">
        <v>79</v>
      </c>
      <c r="J9" s="1" t="s">
        <v>67</v>
      </c>
      <c r="K9" s="1" t="s">
        <v>89</v>
      </c>
      <c r="L9" s="1" t="s">
        <v>64</v>
      </c>
      <c r="M9" s="1" t="s">
        <v>53</v>
      </c>
      <c r="N9" s="11" t="s">
        <v>54</v>
      </c>
      <c r="O9" s="1" t="s">
        <v>55</v>
      </c>
      <c r="P9" s="1" t="s">
        <v>56</v>
      </c>
      <c r="Q9" s="1" t="s">
        <v>57</v>
      </c>
      <c r="R9" s="1">
        <v>0</v>
      </c>
      <c r="S9" s="12">
        <v>70.67</v>
      </c>
      <c r="T9" s="1" t="s">
        <v>58</v>
      </c>
      <c r="U9" s="1" t="s">
        <v>59</v>
      </c>
      <c r="V9" s="6" t="s">
        <v>60</v>
      </c>
      <c r="W9" s="15">
        <v>0.255</v>
      </c>
      <c r="X9" s="12">
        <v>0</v>
      </c>
      <c r="Y9" s="12">
        <v>-18.02</v>
      </c>
      <c r="Z9" s="1" t="s">
        <v>54</v>
      </c>
    </row>
    <row r="10" spans="1:26" x14ac:dyDescent="0.2">
      <c r="A10" s="1" t="s">
        <v>90</v>
      </c>
      <c r="B10" s="1">
        <v>1055790</v>
      </c>
      <c r="C10" s="1" t="s">
        <v>46</v>
      </c>
      <c r="D10" s="1">
        <v>821331</v>
      </c>
      <c r="E10" s="1" t="s">
        <v>278</v>
      </c>
      <c r="G10" s="1" t="s">
        <v>91</v>
      </c>
      <c r="H10" s="1" t="s">
        <v>92</v>
      </c>
      <c r="I10" s="1" t="s">
        <v>93</v>
      </c>
      <c r="J10" s="1" t="s">
        <v>50</v>
      </c>
      <c r="K10" s="1" t="s">
        <v>94</v>
      </c>
      <c r="L10" s="1" t="s">
        <v>52</v>
      </c>
      <c r="M10" s="1" t="s">
        <v>53</v>
      </c>
      <c r="N10" s="11" t="s">
        <v>54</v>
      </c>
      <c r="O10" s="1" t="s">
        <v>55</v>
      </c>
      <c r="P10" s="1" t="s">
        <v>56</v>
      </c>
      <c r="Q10" s="1" t="s">
        <v>57</v>
      </c>
      <c r="R10" s="1">
        <v>0</v>
      </c>
      <c r="S10" s="12">
        <v>104.7</v>
      </c>
      <c r="T10" s="1" t="s">
        <v>58</v>
      </c>
      <c r="U10" s="1" t="s">
        <v>59</v>
      </c>
      <c r="V10" s="6" t="s">
        <v>60</v>
      </c>
      <c r="W10" s="15">
        <v>0.27</v>
      </c>
      <c r="X10" s="12">
        <v>28.27</v>
      </c>
      <c r="Y10" s="12">
        <v>0</v>
      </c>
      <c r="Z10" s="1" t="s">
        <v>54</v>
      </c>
    </row>
    <row r="11" spans="1:26" x14ac:dyDescent="0.2">
      <c r="A11" s="1" t="s">
        <v>76</v>
      </c>
      <c r="B11" s="1">
        <v>1055790</v>
      </c>
      <c r="C11" s="1" t="s">
        <v>95</v>
      </c>
      <c r="D11" s="1">
        <v>1099222</v>
      </c>
      <c r="E11" s="1" t="s">
        <v>279</v>
      </c>
      <c r="G11" s="1" t="s">
        <v>96</v>
      </c>
      <c r="H11" s="1" t="s">
        <v>97</v>
      </c>
      <c r="I11" s="1" t="s">
        <v>98</v>
      </c>
      <c r="J11" s="1" t="s">
        <v>70</v>
      </c>
      <c r="K11" s="1" t="s">
        <v>99</v>
      </c>
      <c r="L11" s="1" t="s">
        <v>100</v>
      </c>
      <c r="M11" s="1" t="s">
        <v>101</v>
      </c>
      <c r="N11" s="11">
        <v>29</v>
      </c>
      <c r="O11" s="1" t="s">
        <v>55</v>
      </c>
      <c r="P11" s="1" t="s">
        <v>56</v>
      </c>
      <c r="Q11" s="1" t="s">
        <v>57</v>
      </c>
      <c r="R11" s="1">
        <v>300</v>
      </c>
      <c r="S11" s="12">
        <v>86.86</v>
      </c>
      <c r="T11" s="1" t="s">
        <v>58</v>
      </c>
      <c r="U11" s="1" t="s">
        <v>59</v>
      </c>
      <c r="V11" s="6" t="s">
        <v>60</v>
      </c>
      <c r="W11" s="15">
        <v>1.5</v>
      </c>
      <c r="X11" s="12">
        <v>0</v>
      </c>
      <c r="Y11" s="12">
        <v>-130.29</v>
      </c>
      <c r="Z11" s="1" t="s">
        <v>54</v>
      </c>
    </row>
    <row r="12" spans="1:26" s="20" customFormat="1" x14ac:dyDescent="0.2">
      <c r="A12" s="20" t="s">
        <v>76</v>
      </c>
      <c r="B12" s="20">
        <v>1055790</v>
      </c>
      <c r="C12" s="20" t="s">
        <v>95</v>
      </c>
      <c r="D12" s="20">
        <v>1099222</v>
      </c>
      <c r="E12" s="20" t="s">
        <v>279</v>
      </c>
      <c r="G12" s="20" t="s">
        <v>102</v>
      </c>
      <c r="H12" s="20" t="s">
        <v>103</v>
      </c>
      <c r="I12" s="20" t="s">
        <v>98</v>
      </c>
      <c r="J12" s="20" t="s">
        <v>70</v>
      </c>
      <c r="K12" s="20" t="s">
        <v>99</v>
      </c>
      <c r="L12" s="20" t="s">
        <v>100</v>
      </c>
      <c r="M12" s="20" t="s">
        <v>101</v>
      </c>
      <c r="N12" s="21">
        <v>27</v>
      </c>
      <c r="O12" s="20" t="s">
        <v>55</v>
      </c>
      <c r="P12" s="20" t="s">
        <v>56</v>
      </c>
      <c r="Q12" s="20" t="s">
        <v>57</v>
      </c>
      <c r="R12" s="20">
        <v>300</v>
      </c>
      <c r="S12" s="22">
        <v>90.87</v>
      </c>
      <c r="T12" s="20" t="s">
        <v>58</v>
      </c>
      <c r="U12" s="20" t="s">
        <v>59</v>
      </c>
      <c r="V12" s="23" t="s">
        <v>60</v>
      </c>
      <c r="W12" s="24">
        <v>1.5</v>
      </c>
      <c r="X12" s="22">
        <v>0</v>
      </c>
      <c r="Y12" s="22">
        <v>-136.31</v>
      </c>
      <c r="Z12" s="20" t="s">
        <v>54</v>
      </c>
    </row>
    <row r="13" spans="1:26" x14ac:dyDescent="0.2">
      <c r="A13" s="1" t="s">
        <v>76</v>
      </c>
      <c r="B13" s="1">
        <v>1055790</v>
      </c>
      <c r="C13" s="1" t="s">
        <v>95</v>
      </c>
      <c r="D13" s="1">
        <v>1099222</v>
      </c>
      <c r="E13" s="1" t="s">
        <v>279</v>
      </c>
      <c r="G13" s="1" t="s">
        <v>104</v>
      </c>
      <c r="H13" s="1" t="s">
        <v>105</v>
      </c>
      <c r="I13" s="1" t="s">
        <v>106</v>
      </c>
      <c r="J13" s="1" t="s">
        <v>70</v>
      </c>
      <c r="K13" s="1" t="s">
        <v>107</v>
      </c>
      <c r="L13" s="1" t="s">
        <v>64</v>
      </c>
      <c r="M13" s="1" t="s">
        <v>53</v>
      </c>
      <c r="N13" s="11">
        <v>59</v>
      </c>
      <c r="O13" s="1" t="s">
        <v>55</v>
      </c>
      <c r="P13" s="1" t="s">
        <v>56</v>
      </c>
      <c r="Q13" s="1" t="s">
        <v>57</v>
      </c>
      <c r="R13" s="1">
        <v>250</v>
      </c>
      <c r="S13" s="12">
        <v>0</v>
      </c>
      <c r="T13" s="1" t="s">
        <v>58</v>
      </c>
      <c r="U13" s="1" t="s">
        <v>108</v>
      </c>
      <c r="V13" s="6" t="s">
        <v>60</v>
      </c>
      <c r="W13" s="15">
        <v>0</v>
      </c>
      <c r="X13" s="12">
        <v>-669.35</v>
      </c>
      <c r="Y13" s="12">
        <v>-669.35</v>
      </c>
      <c r="Z13" s="1" t="s">
        <v>54</v>
      </c>
    </row>
    <row r="14" spans="1:26" x14ac:dyDescent="0.2">
      <c r="A14" s="1" t="s">
        <v>76</v>
      </c>
      <c r="B14" s="1">
        <v>1055790</v>
      </c>
      <c r="C14" s="1" t="s">
        <v>95</v>
      </c>
      <c r="D14" s="1">
        <v>1099222</v>
      </c>
      <c r="E14" s="1" t="s">
        <v>279</v>
      </c>
      <c r="G14" s="1" t="s">
        <v>109</v>
      </c>
      <c r="H14" s="1" t="s">
        <v>110</v>
      </c>
      <c r="I14" s="1" t="s">
        <v>106</v>
      </c>
      <c r="J14" s="1" t="s">
        <v>111</v>
      </c>
      <c r="K14" s="1" t="s">
        <v>99</v>
      </c>
      <c r="L14" s="1" t="s">
        <v>112</v>
      </c>
      <c r="M14" s="1" t="s">
        <v>113</v>
      </c>
      <c r="N14" s="11">
        <v>41</v>
      </c>
      <c r="O14" s="1" t="s">
        <v>55</v>
      </c>
      <c r="P14" s="1" t="s">
        <v>56</v>
      </c>
      <c r="Q14" s="1" t="s">
        <v>57</v>
      </c>
      <c r="R14" s="1">
        <v>300</v>
      </c>
      <c r="S14" s="12">
        <v>174.44</v>
      </c>
      <c r="T14" s="1" t="s">
        <v>58</v>
      </c>
      <c r="U14" s="1" t="s">
        <v>59</v>
      </c>
      <c r="V14" s="6" t="s">
        <v>60</v>
      </c>
      <c r="W14" s="15">
        <v>1.5</v>
      </c>
      <c r="X14" s="12">
        <v>261.66000000000003</v>
      </c>
      <c r="Y14" s="12">
        <v>0</v>
      </c>
      <c r="Z14" s="1" t="s">
        <v>54</v>
      </c>
    </row>
    <row r="15" spans="1:26" x14ac:dyDescent="0.2">
      <c r="A15" s="1" t="s">
        <v>76</v>
      </c>
      <c r="B15" s="1">
        <v>1055790</v>
      </c>
      <c r="C15" s="1" t="s">
        <v>95</v>
      </c>
      <c r="D15" s="1">
        <v>899216</v>
      </c>
      <c r="E15" s="1" t="s">
        <v>280</v>
      </c>
      <c r="G15" s="1" t="s">
        <v>114</v>
      </c>
      <c r="H15" s="1" t="s">
        <v>115</v>
      </c>
      <c r="I15" s="1" t="s">
        <v>116</v>
      </c>
      <c r="J15" s="1" t="s">
        <v>67</v>
      </c>
      <c r="K15" s="1" t="s">
        <v>117</v>
      </c>
      <c r="L15" s="1" t="s">
        <v>53</v>
      </c>
      <c r="M15" s="1" t="s">
        <v>53</v>
      </c>
      <c r="N15" s="11">
        <v>35</v>
      </c>
      <c r="O15" s="1" t="s">
        <v>55</v>
      </c>
      <c r="P15" s="1" t="s">
        <v>56</v>
      </c>
      <c r="Q15" s="1" t="s">
        <v>57</v>
      </c>
      <c r="R15" s="1">
        <v>100</v>
      </c>
      <c r="S15" s="12">
        <v>240.3</v>
      </c>
      <c r="T15" s="1" t="s">
        <v>58</v>
      </c>
      <c r="U15" s="1" t="s">
        <v>72</v>
      </c>
      <c r="V15" s="6" t="s">
        <v>60</v>
      </c>
      <c r="W15" s="15">
        <v>1.5</v>
      </c>
      <c r="X15" s="12">
        <v>360.45</v>
      </c>
      <c r="Y15" s="12">
        <v>360.45</v>
      </c>
      <c r="Z15" s="1" t="s">
        <v>54</v>
      </c>
    </row>
    <row r="16" spans="1:26" x14ac:dyDescent="0.2">
      <c r="A16" s="1" t="s">
        <v>76</v>
      </c>
      <c r="B16" s="1">
        <v>1055790</v>
      </c>
      <c r="C16" s="1" t="s">
        <v>95</v>
      </c>
      <c r="D16" s="1">
        <v>899216</v>
      </c>
      <c r="E16" s="1" t="s">
        <v>280</v>
      </c>
      <c r="G16" s="1" t="s">
        <v>118</v>
      </c>
      <c r="H16" s="1" t="s">
        <v>119</v>
      </c>
      <c r="I16" s="1" t="s">
        <v>116</v>
      </c>
      <c r="J16" s="1" t="s">
        <v>63</v>
      </c>
      <c r="K16" s="1" t="s">
        <v>117</v>
      </c>
      <c r="L16" s="1" t="s">
        <v>53</v>
      </c>
      <c r="M16" s="1" t="s">
        <v>53</v>
      </c>
      <c r="N16" s="11">
        <v>60</v>
      </c>
      <c r="O16" s="1" t="s">
        <v>55</v>
      </c>
      <c r="P16" s="1" t="s">
        <v>56</v>
      </c>
      <c r="Q16" s="1" t="s">
        <v>57</v>
      </c>
      <c r="R16" s="1">
        <v>50</v>
      </c>
      <c r="S16" s="12">
        <v>976.05</v>
      </c>
      <c r="T16" s="1" t="s">
        <v>58</v>
      </c>
      <c r="U16" s="1" t="s">
        <v>72</v>
      </c>
      <c r="V16" s="6" t="s">
        <v>60</v>
      </c>
      <c r="W16" s="15">
        <v>1.5</v>
      </c>
      <c r="X16" s="12">
        <v>1464.12</v>
      </c>
      <c r="Y16" s="12">
        <v>1464.12</v>
      </c>
      <c r="Z16" s="1" t="s">
        <v>54</v>
      </c>
    </row>
    <row r="17" spans="1:26" x14ac:dyDescent="0.2">
      <c r="A17" s="1" t="s">
        <v>76</v>
      </c>
      <c r="B17" s="1">
        <v>1055790</v>
      </c>
      <c r="C17" s="1" t="s">
        <v>95</v>
      </c>
      <c r="D17" s="1">
        <v>899216</v>
      </c>
      <c r="E17" s="1" t="s">
        <v>280</v>
      </c>
      <c r="G17" s="1" t="s">
        <v>120</v>
      </c>
      <c r="H17" s="1" t="s">
        <v>121</v>
      </c>
      <c r="I17" s="1" t="s">
        <v>116</v>
      </c>
      <c r="J17" s="1" t="s">
        <v>70</v>
      </c>
      <c r="K17" s="1" t="s">
        <v>122</v>
      </c>
      <c r="L17" s="1" t="s">
        <v>123</v>
      </c>
      <c r="M17" s="1" t="s">
        <v>101</v>
      </c>
      <c r="N17" s="11">
        <v>56</v>
      </c>
      <c r="O17" s="1" t="s">
        <v>55</v>
      </c>
      <c r="P17" s="1" t="s">
        <v>56</v>
      </c>
      <c r="Q17" s="1" t="s">
        <v>57</v>
      </c>
      <c r="R17" s="1">
        <v>100</v>
      </c>
      <c r="S17" s="12">
        <v>135.65</v>
      </c>
      <c r="T17" s="1" t="s">
        <v>58</v>
      </c>
      <c r="U17" s="1" t="s">
        <v>59</v>
      </c>
      <c r="V17" s="6" t="s">
        <v>60</v>
      </c>
      <c r="W17" s="15">
        <v>1.35</v>
      </c>
      <c r="X17" s="12">
        <v>0</v>
      </c>
      <c r="Y17" s="12">
        <v>-183.13</v>
      </c>
      <c r="Z17" s="1" t="s">
        <v>54</v>
      </c>
    </row>
    <row r="18" spans="1:26" x14ac:dyDescent="0.2">
      <c r="A18" s="1" t="s">
        <v>76</v>
      </c>
      <c r="B18" s="1">
        <v>1055790</v>
      </c>
      <c r="C18" s="1" t="s">
        <v>95</v>
      </c>
      <c r="D18" s="1">
        <v>899216</v>
      </c>
      <c r="E18" s="1" t="s">
        <v>280</v>
      </c>
      <c r="G18" s="1" t="s">
        <v>124</v>
      </c>
      <c r="H18" s="1" t="s">
        <v>125</v>
      </c>
      <c r="I18" s="1" t="s">
        <v>116</v>
      </c>
      <c r="J18" s="1" t="s">
        <v>63</v>
      </c>
      <c r="K18" s="1" t="s">
        <v>122</v>
      </c>
      <c r="L18" s="1" t="s">
        <v>126</v>
      </c>
      <c r="M18" s="1" t="s">
        <v>53</v>
      </c>
      <c r="N18" s="11">
        <v>25</v>
      </c>
      <c r="O18" s="1" t="s">
        <v>55</v>
      </c>
      <c r="P18" s="1" t="s">
        <v>56</v>
      </c>
      <c r="Q18" s="1" t="s">
        <v>57</v>
      </c>
      <c r="R18" s="1">
        <v>300</v>
      </c>
      <c r="S18" s="12">
        <v>102.89</v>
      </c>
      <c r="T18" s="1" t="s">
        <v>58</v>
      </c>
      <c r="U18" s="1" t="s">
        <v>59</v>
      </c>
      <c r="V18" s="6" t="s">
        <v>60</v>
      </c>
      <c r="W18" s="15">
        <v>1.35</v>
      </c>
      <c r="X18" s="12">
        <v>0</v>
      </c>
      <c r="Y18" s="12">
        <v>-138.9</v>
      </c>
      <c r="Z18" s="1" t="s">
        <v>54</v>
      </c>
    </row>
    <row r="19" spans="1:26" x14ac:dyDescent="0.2">
      <c r="A19" s="1" t="s">
        <v>76</v>
      </c>
      <c r="B19" s="1">
        <v>1055790</v>
      </c>
      <c r="C19" s="1" t="s">
        <v>95</v>
      </c>
      <c r="D19" s="1">
        <v>893387</v>
      </c>
      <c r="E19" s="1" t="s">
        <v>281</v>
      </c>
      <c r="G19" s="1" t="s">
        <v>127</v>
      </c>
      <c r="H19" s="1" t="s">
        <v>128</v>
      </c>
      <c r="I19" s="1" t="s">
        <v>49</v>
      </c>
      <c r="J19" s="1" t="s">
        <v>70</v>
      </c>
      <c r="K19" s="1" t="s">
        <v>122</v>
      </c>
      <c r="L19" s="1" t="s">
        <v>113</v>
      </c>
      <c r="M19" s="1" t="s">
        <v>113</v>
      </c>
      <c r="N19" s="11">
        <v>61</v>
      </c>
      <c r="O19" s="1" t="s">
        <v>55</v>
      </c>
      <c r="P19" s="1" t="s">
        <v>56</v>
      </c>
      <c r="Q19" s="1" t="s">
        <v>57</v>
      </c>
      <c r="R19" s="1">
        <v>100</v>
      </c>
      <c r="S19" s="12">
        <v>1699.38</v>
      </c>
      <c r="T19" s="1" t="s">
        <v>58</v>
      </c>
      <c r="U19" s="1" t="s">
        <v>129</v>
      </c>
      <c r="V19" s="6" t="s">
        <v>60</v>
      </c>
      <c r="W19" s="15">
        <v>0.67500000000000004</v>
      </c>
      <c r="X19" s="12">
        <v>1147.08</v>
      </c>
      <c r="Y19" s="12">
        <v>1147.08</v>
      </c>
      <c r="Z19" s="1" t="s">
        <v>54</v>
      </c>
    </row>
    <row r="20" spans="1:26" x14ac:dyDescent="0.2">
      <c r="A20" s="1" t="s">
        <v>76</v>
      </c>
      <c r="B20" s="1">
        <v>1055790</v>
      </c>
      <c r="C20" s="1" t="s">
        <v>95</v>
      </c>
      <c r="D20" s="1">
        <v>893387</v>
      </c>
      <c r="E20" s="1" t="s">
        <v>281</v>
      </c>
      <c r="G20" s="1" t="s">
        <v>130</v>
      </c>
      <c r="H20" s="1" t="s">
        <v>131</v>
      </c>
      <c r="I20" s="1" t="s">
        <v>49</v>
      </c>
      <c r="J20" s="1" t="s">
        <v>70</v>
      </c>
      <c r="K20" s="1" t="s">
        <v>132</v>
      </c>
      <c r="L20" s="1" t="s">
        <v>133</v>
      </c>
      <c r="M20" s="1" t="s">
        <v>134</v>
      </c>
      <c r="N20" s="11">
        <v>73</v>
      </c>
      <c r="O20" s="1" t="s">
        <v>55</v>
      </c>
      <c r="P20" s="1" t="s">
        <v>56</v>
      </c>
      <c r="Q20" s="1" t="s">
        <v>57</v>
      </c>
      <c r="R20" s="1">
        <v>20</v>
      </c>
      <c r="S20" s="12">
        <v>152.63999999999999</v>
      </c>
      <c r="T20" s="1" t="s">
        <v>58</v>
      </c>
      <c r="U20" s="1" t="s">
        <v>59</v>
      </c>
      <c r="V20" s="6" t="s">
        <v>60</v>
      </c>
      <c r="W20" s="15">
        <v>0.875</v>
      </c>
      <c r="X20" s="12">
        <v>0</v>
      </c>
      <c r="Y20" s="12">
        <v>-133.56</v>
      </c>
      <c r="Z20" s="1" t="s">
        <v>54</v>
      </c>
    </row>
    <row r="21" spans="1:26" x14ac:dyDescent="0.2">
      <c r="A21" s="1" t="s">
        <v>76</v>
      </c>
      <c r="B21" s="1">
        <v>1055790</v>
      </c>
      <c r="C21" s="1" t="s">
        <v>95</v>
      </c>
      <c r="D21" s="1">
        <v>893387</v>
      </c>
      <c r="E21" s="1" t="s">
        <v>281</v>
      </c>
      <c r="G21" s="1" t="s">
        <v>135</v>
      </c>
      <c r="H21" s="1" t="s">
        <v>136</v>
      </c>
      <c r="I21" s="1" t="s">
        <v>106</v>
      </c>
      <c r="J21" s="1" t="s">
        <v>111</v>
      </c>
      <c r="K21" s="1" t="s">
        <v>122</v>
      </c>
      <c r="L21" s="1" t="s">
        <v>137</v>
      </c>
      <c r="M21" s="1" t="s">
        <v>113</v>
      </c>
      <c r="N21" s="11">
        <v>67</v>
      </c>
      <c r="O21" s="1" t="s">
        <v>55</v>
      </c>
      <c r="P21" s="1" t="s">
        <v>56</v>
      </c>
      <c r="Q21" s="1" t="s">
        <v>57</v>
      </c>
      <c r="R21" s="1">
        <v>30</v>
      </c>
      <c r="S21" s="12">
        <v>87.59</v>
      </c>
      <c r="T21" s="1" t="s">
        <v>58</v>
      </c>
      <c r="U21" s="1" t="s">
        <v>59</v>
      </c>
      <c r="V21" s="6" t="s">
        <v>60</v>
      </c>
      <c r="W21" s="15">
        <v>1.35</v>
      </c>
      <c r="X21" s="12">
        <v>0</v>
      </c>
      <c r="Y21" s="12">
        <v>-118.25</v>
      </c>
      <c r="Z21" s="1" t="s">
        <v>54</v>
      </c>
    </row>
    <row r="22" spans="1:26" x14ac:dyDescent="0.2">
      <c r="A22" s="1" t="s">
        <v>76</v>
      </c>
      <c r="B22" s="1">
        <v>1055790</v>
      </c>
      <c r="C22" s="1" t="s">
        <v>95</v>
      </c>
      <c r="D22" s="1">
        <v>893387</v>
      </c>
      <c r="E22" s="1" t="s">
        <v>281</v>
      </c>
      <c r="G22" s="1" t="s">
        <v>138</v>
      </c>
      <c r="H22" s="1" t="s">
        <v>139</v>
      </c>
      <c r="I22" s="1" t="s">
        <v>98</v>
      </c>
      <c r="J22" s="1" t="s">
        <v>111</v>
      </c>
      <c r="K22" s="1" t="s">
        <v>107</v>
      </c>
      <c r="L22" s="1" t="s">
        <v>123</v>
      </c>
      <c r="M22" s="1" t="s">
        <v>101</v>
      </c>
      <c r="N22" s="11">
        <v>46</v>
      </c>
      <c r="O22" s="1" t="s">
        <v>55</v>
      </c>
      <c r="P22" s="1" t="s">
        <v>56</v>
      </c>
      <c r="Q22" s="1" t="s">
        <v>57</v>
      </c>
      <c r="R22" s="1">
        <v>300</v>
      </c>
      <c r="S22" s="12">
        <v>131.1</v>
      </c>
      <c r="T22" s="1" t="s">
        <v>58</v>
      </c>
      <c r="U22" s="1" t="s">
        <v>59</v>
      </c>
      <c r="V22" s="6" t="s">
        <v>60</v>
      </c>
      <c r="W22" s="15">
        <v>1.5</v>
      </c>
      <c r="X22" s="12">
        <v>0</v>
      </c>
      <c r="Y22" s="12">
        <v>-196.65</v>
      </c>
      <c r="Z22" s="1" t="s">
        <v>54</v>
      </c>
    </row>
    <row r="23" spans="1:26" x14ac:dyDescent="0.2">
      <c r="A23" s="1" t="s">
        <v>76</v>
      </c>
      <c r="B23" s="1">
        <v>1055790</v>
      </c>
      <c r="C23" s="1" t="s">
        <v>95</v>
      </c>
      <c r="D23" s="1">
        <v>893387</v>
      </c>
      <c r="E23" s="1" t="s">
        <v>281</v>
      </c>
      <c r="G23" s="1" t="s">
        <v>140</v>
      </c>
      <c r="H23" s="1" t="s">
        <v>141</v>
      </c>
      <c r="I23" s="1" t="s">
        <v>98</v>
      </c>
      <c r="J23" s="1" t="s">
        <v>111</v>
      </c>
      <c r="K23" s="1" t="s">
        <v>107</v>
      </c>
      <c r="L23" s="1" t="s">
        <v>142</v>
      </c>
      <c r="M23" s="1" t="s">
        <v>143</v>
      </c>
      <c r="N23" s="11">
        <v>56</v>
      </c>
      <c r="O23" s="1" t="s">
        <v>55</v>
      </c>
      <c r="P23" s="1" t="s">
        <v>56</v>
      </c>
      <c r="Q23" s="1" t="s">
        <v>57</v>
      </c>
      <c r="R23" s="1">
        <v>150</v>
      </c>
      <c r="S23" s="12">
        <v>157.66</v>
      </c>
      <c r="T23" s="1" t="s">
        <v>58</v>
      </c>
      <c r="U23" s="1" t="s">
        <v>59</v>
      </c>
      <c r="V23" s="6" t="s">
        <v>60</v>
      </c>
      <c r="W23" s="15">
        <v>1.5</v>
      </c>
      <c r="X23" s="12">
        <v>0</v>
      </c>
      <c r="Y23" s="12">
        <v>-236.49</v>
      </c>
      <c r="Z23" s="1" t="s">
        <v>54</v>
      </c>
    </row>
    <row r="24" spans="1:26" x14ac:dyDescent="0.2">
      <c r="A24" s="1" t="s">
        <v>76</v>
      </c>
      <c r="B24" s="1">
        <v>1055790</v>
      </c>
      <c r="C24" s="1" t="s">
        <v>95</v>
      </c>
      <c r="D24" s="1">
        <v>893387</v>
      </c>
      <c r="E24" s="1" t="s">
        <v>281</v>
      </c>
      <c r="G24" s="1" t="s">
        <v>140</v>
      </c>
      <c r="H24" s="1" t="s">
        <v>141</v>
      </c>
      <c r="I24" s="1" t="s">
        <v>98</v>
      </c>
      <c r="J24" s="1" t="s">
        <v>63</v>
      </c>
      <c r="K24" s="1" t="s">
        <v>107</v>
      </c>
      <c r="L24" s="1" t="s">
        <v>142</v>
      </c>
      <c r="M24" s="1" t="s">
        <v>143</v>
      </c>
      <c r="N24" s="11">
        <v>56</v>
      </c>
      <c r="O24" s="1" t="s">
        <v>55</v>
      </c>
      <c r="P24" s="1" t="s">
        <v>56</v>
      </c>
      <c r="Q24" s="1" t="s">
        <v>57</v>
      </c>
      <c r="R24" s="1">
        <v>150</v>
      </c>
      <c r="S24" s="12">
        <v>157.66</v>
      </c>
      <c r="T24" s="1" t="s">
        <v>58</v>
      </c>
      <c r="U24" s="1" t="s">
        <v>59</v>
      </c>
      <c r="V24" s="6" t="s">
        <v>60</v>
      </c>
      <c r="W24" s="15">
        <v>1.5</v>
      </c>
      <c r="X24" s="12">
        <v>0</v>
      </c>
      <c r="Y24" s="12">
        <v>-236.49</v>
      </c>
      <c r="Z24" s="1" t="s">
        <v>54</v>
      </c>
    </row>
    <row r="25" spans="1:26" x14ac:dyDescent="0.2">
      <c r="A25" s="1" t="s">
        <v>76</v>
      </c>
      <c r="B25" s="1">
        <v>1055790</v>
      </c>
      <c r="C25" s="1" t="s">
        <v>95</v>
      </c>
      <c r="D25" s="1">
        <v>893387</v>
      </c>
      <c r="E25" s="1" t="s">
        <v>281</v>
      </c>
      <c r="G25" s="1" t="s">
        <v>144</v>
      </c>
      <c r="H25" s="1" t="s">
        <v>145</v>
      </c>
      <c r="I25" s="1" t="s">
        <v>146</v>
      </c>
      <c r="J25" s="1" t="s">
        <v>70</v>
      </c>
      <c r="K25" s="1" t="s">
        <v>107</v>
      </c>
      <c r="L25" s="1" t="s">
        <v>147</v>
      </c>
      <c r="M25" s="1" t="s">
        <v>134</v>
      </c>
      <c r="N25" s="11">
        <v>57</v>
      </c>
      <c r="O25" s="1" t="s">
        <v>55</v>
      </c>
      <c r="P25" s="1" t="s">
        <v>56</v>
      </c>
      <c r="Q25" s="1" t="s">
        <v>57</v>
      </c>
      <c r="R25" s="1">
        <v>125</v>
      </c>
      <c r="S25" s="12">
        <v>141.84</v>
      </c>
      <c r="T25" s="1" t="s">
        <v>58</v>
      </c>
      <c r="U25" s="1" t="s">
        <v>59</v>
      </c>
      <c r="V25" s="6" t="s">
        <v>60</v>
      </c>
      <c r="W25" s="15">
        <v>1.5</v>
      </c>
      <c r="X25" s="12">
        <v>0</v>
      </c>
      <c r="Y25" s="12">
        <v>-212.76</v>
      </c>
      <c r="Z25" s="1" t="s">
        <v>54</v>
      </c>
    </row>
    <row r="26" spans="1:26" x14ac:dyDescent="0.2">
      <c r="A26" s="1" t="s">
        <v>76</v>
      </c>
      <c r="B26" s="1">
        <v>1055790</v>
      </c>
      <c r="C26" s="1" t="s">
        <v>95</v>
      </c>
      <c r="D26" s="1">
        <v>893387</v>
      </c>
      <c r="E26" s="1" t="s">
        <v>281</v>
      </c>
      <c r="G26" s="1" t="s">
        <v>148</v>
      </c>
      <c r="H26" s="1" t="s">
        <v>149</v>
      </c>
      <c r="I26" s="1" t="s">
        <v>150</v>
      </c>
      <c r="J26" s="1" t="s">
        <v>50</v>
      </c>
      <c r="K26" s="1" t="s">
        <v>122</v>
      </c>
      <c r="L26" s="1" t="s">
        <v>151</v>
      </c>
      <c r="M26" s="1" t="s">
        <v>152</v>
      </c>
      <c r="N26" s="11">
        <v>58</v>
      </c>
      <c r="O26" s="1" t="s">
        <v>55</v>
      </c>
      <c r="P26" s="1" t="s">
        <v>56</v>
      </c>
      <c r="Q26" s="1" t="s">
        <v>57</v>
      </c>
      <c r="R26" s="1">
        <v>75</v>
      </c>
      <c r="S26" s="12">
        <v>151.30000000000001</v>
      </c>
      <c r="T26" s="1" t="s">
        <v>58</v>
      </c>
      <c r="U26" s="1" t="s">
        <v>59</v>
      </c>
      <c r="V26" s="6" t="s">
        <v>60</v>
      </c>
      <c r="W26" s="15">
        <v>1.35</v>
      </c>
      <c r="X26" s="12">
        <v>0</v>
      </c>
      <c r="Y26" s="12">
        <v>-204.26</v>
      </c>
      <c r="Z26" s="1" t="s">
        <v>54</v>
      </c>
    </row>
    <row r="27" spans="1:26" x14ac:dyDescent="0.2">
      <c r="A27" s="1" t="s">
        <v>76</v>
      </c>
      <c r="B27" s="1">
        <v>1055790</v>
      </c>
      <c r="C27" s="1" t="s">
        <v>95</v>
      </c>
      <c r="D27" s="1">
        <v>893387</v>
      </c>
      <c r="E27" s="1" t="s">
        <v>281</v>
      </c>
      <c r="G27" s="1" t="s">
        <v>153</v>
      </c>
      <c r="H27" s="1" t="s">
        <v>154</v>
      </c>
      <c r="I27" s="1" t="s">
        <v>150</v>
      </c>
      <c r="J27" s="1" t="s">
        <v>50</v>
      </c>
      <c r="K27" s="1" t="s">
        <v>122</v>
      </c>
      <c r="L27" s="1" t="s">
        <v>151</v>
      </c>
      <c r="M27" s="1" t="s">
        <v>152</v>
      </c>
      <c r="N27" s="11">
        <v>66</v>
      </c>
      <c r="O27" s="1" t="s">
        <v>55</v>
      </c>
      <c r="P27" s="1" t="s">
        <v>56</v>
      </c>
      <c r="Q27" s="1" t="s">
        <v>57</v>
      </c>
      <c r="R27" s="1">
        <v>75</v>
      </c>
      <c r="S27" s="12">
        <v>232.46</v>
      </c>
      <c r="T27" s="1" t="s">
        <v>58</v>
      </c>
      <c r="U27" s="1" t="s">
        <v>59</v>
      </c>
      <c r="V27" s="6" t="s">
        <v>60</v>
      </c>
      <c r="W27" s="15">
        <v>1.35</v>
      </c>
      <c r="X27" s="12">
        <v>0</v>
      </c>
      <c r="Y27" s="12">
        <v>-313.82</v>
      </c>
      <c r="Z27" s="1" t="s">
        <v>54</v>
      </c>
    </row>
    <row r="28" spans="1:26" x14ac:dyDescent="0.2">
      <c r="A28" s="1" t="s">
        <v>76</v>
      </c>
      <c r="B28" s="1">
        <v>1055790</v>
      </c>
      <c r="C28" s="1" t="s">
        <v>95</v>
      </c>
      <c r="D28" s="1">
        <v>893387</v>
      </c>
      <c r="E28" s="1" t="s">
        <v>281</v>
      </c>
      <c r="G28" s="1" t="s">
        <v>155</v>
      </c>
      <c r="H28" s="1" t="s">
        <v>156</v>
      </c>
      <c r="I28" s="1" t="s">
        <v>49</v>
      </c>
      <c r="J28" s="1" t="s">
        <v>111</v>
      </c>
      <c r="K28" s="1" t="s">
        <v>122</v>
      </c>
      <c r="L28" s="1" t="s">
        <v>157</v>
      </c>
      <c r="M28" s="1" t="s">
        <v>113</v>
      </c>
      <c r="N28" s="11">
        <v>61</v>
      </c>
      <c r="O28" s="1" t="s">
        <v>55</v>
      </c>
      <c r="P28" s="1" t="s">
        <v>56</v>
      </c>
      <c r="Q28" s="1" t="s">
        <v>57</v>
      </c>
      <c r="R28" s="1">
        <v>85</v>
      </c>
      <c r="S28" s="12">
        <v>162.01</v>
      </c>
      <c r="T28" s="1" t="s">
        <v>58</v>
      </c>
      <c r="U28" s="1" t="s">
        <v>59</v>
      </c>
      <c r="V28" s="6" t="s">
        <v>60</v>
      </c>
      <c r="W28" s="15">
        <v>1.35</v>
      </c>
      <c r="X28" s="12">
        <v>0</v>
      </c>
      <c r="Y28" s="12">
        <v>-218.71</v>
      </c>
      <c r="Z28" s="1" t="s">
        <v>54</v>
      </c>
    </row>
    <row r="29" spans="1:26" x14ac:dyDescent="0.2">
      <c r="A29" s="1" t="s">
        <v>76</v>
      </c>
      <c r="B29" s="1">
        <v>1055790</v>
      </c>
      <c r="C29" s="1" t="s">
        <v>95</v>
      </c>
      <c r="D29" s="1">
        <v>893387</v>
      </c>
      <c r="E29" s="1" t="s">
        <v>281</v>
      </c>
      <c r="G29" s="1" t="s">
        <v>158</v>
      </c>
      <c r="H29" s="1" t="s">
        <v>159</v>
      </c>
      <c r="I29" s="1" t="s">
        <v>146</v>
      </c>
      <c r="J29" s="1" t="s">
        <v>50</v>
      </c>
      <c r="K29" s="1" t="s">
        <v>122</v>
      </c>
      <c r="L29" s="1" t="s">
        <v>160</v>
      </c>
      <c r="M29" s="1" t="s">
        <v>161</v>
      </c>
      <c r="N29" s="11">
        <v>60</v>
      </c>
      <c r="O29" s="1" t="s">
        <v>55</v>
      </c>
      <c r="P29" s="1" t="s">
        <v>56</v>
      </c>
      <c r="Q29" s="1" t="s">
        <v>57</v>
      </c>
      <c r="R29" s="1">
        <v>100</v>
      </c>
      <c r="S29" s="12">
        <v>164.16</v>
      </c>
      <c r="T29" s="1" t="s">
        <v>58</v>
      </c>
      <c r="U29" s="1" t="s">
        <v>59</v>
      </c>
      <c r="V29" s="6" t="s">
        <v>60</v>
      </c>
      <c r="W29" s="15">
        <v>0.67500000000000004</v>
      </c>
      <c r="X29" s="12">
        <v>0</v>
      </c>
      <c r="Y29" s="12">
        <v>-110.81</v>
      </c>
      <c r="Z29" s="1" t="s">
        <v>54</v>
      </c>
    </row>
    <row r="30" spans="1:26" x14ac:dyDescent="0.2">
      <c r="A30" s="1" t="s">
        <v>76</v>
      </c>
      <c r="B30" s="1">
        <v>1055790</v>
      </c>
      <c r="C30" s="1" t="s">
        <v>95</v>
      </c>
      <c r="D30" s="1">
        <v>606680</v>
      </c>
      <c r="E30" s="1" t="s">
        <v>282</v>
      </c>
      <c r="G30" s="1" t="s">
        <v>162</v>
      </c>
      <c r="H30" s="1" t="s">
        <v>163</v>
      </c>
      <c r="I30" s="1" t="s">
        <v>164</v>
      </c>
      <c r="J30" s="1" t="s">
        <v>67</v>
      </c>
      <c r="K30" s="1" t="s">
        <v>122</v>
      </c>
      <c r="L30" s="1" t="s">
        <v>53</v>
      </c>
      <c r="M30" s="1" t="s">
        <v>53</v>
      </c>
      <c r="N30" s="11">
        <v>65</v>
      </c>
      <c r="O30" s="1" t="s">
        <v>55</v>
      </c>
      <c r="P30" s="1" t="s">
        <v>56</v>
      </c>
      <c r="Q30" s="1" t="s">
        <v>57</v>
      </c>
      <c r="R30" s="1">
        <v>60</v>
      </c>
      <c r="S30" s="12">
        <v>1869.57</v>
      </c>
      <c r="T30" s="1" t="s">
        <v>58</v>
      </c>
      <c r="U30" s="1" t="s">
        <v>72</v>
      </c>
      <c r="V30" s="6" t="s">
        <v>60</v>
      </c>
      <c r="W30" s="15">
        <v>1.35</v>
      </c>
      <c r="X30" s="12">
        <v>2000</v>
      </c>
      <c r="Y30" s="12">
        <v>2000</v>
      </c>
      <c r="Z30" s="1" t="s">
        <v>54</v>
      </c>
    </row>
    <row r="31" spans="1:26" x14ac:dyDescent="0.2">
      <c r="A31" s="1" t="s">
        <v>76</v>
      </c>
      <c r="B31" s="1">
        <v>1055790</v>
      </c>
      <c r="C31" s="1" t="s">
        <v>95</v>
      </c>
      <c r="D31" s="1">
        <v>606680</v>
      </c>
      <c r="E31" s="1" t="s">
        <v>282</v>
      </c>
      <c r="G31" s="1" t="s">
        <v>165</v>
      </c>
      <c r="H31" s="1" t="s">
        <v>166</v>
      </c>
      <c r="I31" s="1" t="s">
        <v>49</v>
      </c>
      <c r="J31" s="1" t="s">
        <v>111</v>
      </c>
      <c r="K31" s="1" t="s">
        <v>122</v>
      </c>
      <c r="L31" s="1" t="s">
        <v>53</v>
      </c>
      <c r="M31" s="1" t="s">
        <v>53</v>
      </c>
      <c r="N31" s="11">
        <v>64</v>
      </c>
      <c r="O31" s="1" t="s">
        <v>55</v>
      </c>
      <c r="P31" s="1" t="s">
        <v>56</v>
      </c>
      <c r="Q31" s="1" t="s">
        <v>57</v>
      </c>
      <c r="R31" s="1">
        <v>43</v>
      </c>
      <c r="S31" s="12">
        <v>1572.93</v>
      </c>
      <c r="T31" s="1" t="s">
        <v>58</v>
      </c>
      <c r="U31" s="1" t="s">
        <v>129</v>
      </c>
      <c r="V31" s="6" t="s">
        <v>60</v>
      </c>
      <c r="W31" s="15">
        <v>0.67500000000000004</v>
      </c>
      <c r="X31" s="12">
        <v>1061.73</v>
      </c>
      <c r="Y31" s="12">
        <v>1061.73</v>
      </c>
      <c r="Z31" s="1" t="s">
        <v>54</v>
      </c>
    </row>
    <row r="32" spans="1:26" x14ac:dyDescent="0.2">
      <c r="A32" s="1" t="s">
        <v>76</v>
      </c>
      <c r="B32" s="1">
        <v>1055790</v>
      </c>
      <c r="C32" s="1" t="s">
        <v>95</v>
      </c>
      <c r="D32" s="1">
        <v>815797</v>
      </c>
      <c r="E32" s="1" t="s">
        <v>283</v>
      </c>
      <c r="G32" s="1" t="s">
        <v>167</v>
      </c>
      <c r="H32" s="1" t="s">
        <v>168</v>
      </c>
      <c r="I32" s="1" t="s">
        <v>79</v>
      </c>
      <c r="J32" s="1" t="s">
        <v>70</v>
      </c>
      <c r="K32" s="1" t="s">
        <v>122</v>
      </c>
      <c r="L32" s="1" t="s">
        <v>169</v>
      </c>
      <c r="M32" s="1" t="s">
        <v>170</v>
      </c>
      <c r="N32" s="11">
        <v>54</v>
      </c>
      <c r="O32" s="1" t="s">
        <v>55</v>
      </c>
      <c r="P32" s="1" t="s">
        <v>56</v>
      </c>
      <c r="Q32" s="1" t="s">
        <v>57</v>
      </c>
      <c r="R32" s="1">
        <v>50</v>
      </c>
      <c r="S32" s="12">
        <v>63.02</v>
      </c>
      <c r="T32" s="1" t="s">
        <v>58</v>
      </c>
      <c r="U32" s="1" t="s">
        <v>59</v>
      </c>
      <c r="V32" s="6" t="s">
        <v>60</v>
      </c>
      <c r="W32" s="15">
        <v>1.35</v>
      </c>
      <c r="X32" s="12">
        <v>85.08</v>
      </c>
      <c r="Y32" s="12">
        <v>0</v>
      </c>
      <c r="Z32" s="1" t="s">
        <v>54</v>
      </c>
    </row>
    <row r="33" spans="1:26" x14ac:dyDescent="0.2">
      <c r="A33" s="1" t="s">
        <v>76</v>
      </c>
      <c r="B33" s="1">
        <v>1055790</v>
      </c>
      <c r="C33" s="1" t="s">
        <v>95</v>
      </c>
      <c r="D33" s="1">
        <v>893387</v>
      </c>
      <c r="E33" s="1" t="s">
        <v>281</v>
      </c>
      <c r="G33" s="1" t="s">
        <v>171</v>
      </c>
      <c r="H33" s="1" t="s">
        <v>172</v>
      </c>
      <c r="I33" s="1" t="s">
        <v>106</v>
      </c>
      <c r="J33" s="1" t="s">
        <v>111</v>
      </c>
      <c r="K33" s="1" t="s">
        <v>107</v>
      </c>
      <c r="L33" s="1" t="s">
        <v>173</v>
      </c>
      <c r="M33" s="1" t="s">
        <v>113</v>
      </c>
      <c r="N33" s="11">
        <v>64</v>
      </c>
      <c r="O33" s="1" t="s">
        <v>55</v>
      </c>
      <c r="P33" s="1" t="s">
        <v>56</v>
      </c>
      <c r="Q33" s="1" t="s">
        <v>57</v>
      </c>
      <c r="R33" s="1">
        <v>30</v>
      </c>
      <c r="S33" s="12">
        <v>64.37</v>
      </c>
      <c r="T33" s="1" t="s">
        <v>58</v>
      </c>
      <c r="U33" s="1" t="s">
        <v>59</v>
      </c>
      <c r="V33" s="6" t="s">
        <v>60</v>
      </c>
      <c r="W33" s="15">
        <v>1.5</v>
      </c>
      <c r="X33" s="12">
        <v>0</v>
      </c>
      <c r="Y33" s="12">
        <v>-96.56</v>
      </c>
      <c r="Z33" s="1" t="s">
        <v>54</v>
      </c>
    </row>
    <row r="34" spans="1:26" x14ac:dyDescent="0.2">
      <c r="A34" s="1" t="s">
        <v>76</v>
      </c>
      <c r="B34" s="1">
        <v>1055790</v>
      </c>
      <c r="C34" s="1" t="s">
        <v>95</v>
      </c>
      <c r="D34" s="1">
        <v>893387</v>
      </c>
      <c r="E34" s="1" t="s">
        <v>281</v>
      </c>
      <c r="G34" s="1" t="s">
        <v>174</v>
      </c>
      <c r="H34" s="1" t="s">
        <v>175</v>
      </c>
      <c r="I34" s="1" t="s">
        <v>49</v>
      </c>
      <c r="J34" s="1" t="s">
        <v>63</v>
      </c>
      <c r="K34" s="1" t="s">
        <v>122</v>
      </c>
      <c r="L34" s="1" t="s">
        <v>176</v>
      </c>
      <c r="M34" s="1" t="s">
        <v>177</v>
      </c>
      <c r="N34" s="11">
        <v>64</v>
      </c>
      <c r="O34" s="1" t="s">
        <v>55</v>
      </c>
      <c r="P34" s="1" t="s">
        <v>56</v>
      </c>
      <c r="Q34" s="1" t="s">
        <v>57</v>
      </c>
      <c r="R34" s="1">
        <v>50</v>
      </c>
      <c r="S34" s="12">
        <v>119.54</v>
      </c>
      <c r="T34" s="1" t="s">
        <v>58</v>
      </c>
      <c r="U34" s="1" t="s">
        <v>59</v>
      </c>
      <c r="V34" s="6" t="s">
        <v>60</v>
      </c>
      <c r="W34" s="15">
        <v>1.35</v>
      </c>
      <c r="X34" s="12">
        <v>161.38</v>
      </c>
      <c r="Y34" s="12">
        <v>0</v>
      </c>
      <c r="Z34" s="1" t="s">
        <v>54</v>
      </c>
    </row>
    <row r="35" spans="1:26" x14ac:dyDescent="0.2">
      <c r="A35" s="1" t="s">
        <v>76</v>
      </c>
      <c r="B35" s="1">
        <v>1055790</v>
      </c>
      <c r="C35" s="1" t="s">
        <v>95</v>
      </c>
      <c r="D35" s="1">
        <v>815797</v>
      </c>
      <c r="E35" s="1" t="s">
        <v>283</v>
      </c>
      <c r="G35" s="1" t="s">
        <v>178</v>
      </c>
      <c r="H35" s="1" t="s">
        <v>179</v>
      </c>
      <c r="I35" s="1" t="s">
        <v>79</v>
      </c>
      <c r="J35" s="1" t="s">
        <v>111</v>
      </c>
      <c r="K35" s="1" t="s">
        <v>180</v>
      </c>
      <c r="L35" s="1" t="s">
        <v>181</v>
      </c>
      <c r="M35" s="1" t="s">
        <v>152</v>
      </c>
      <c r="N35" s="11">
        <v>69</v>
      </c>
      <c r="O35" s="1" t="s">
        <v>55</v>
      </c>
      <c r="P35" s="1" t="s">
        <v>56</v>
      </c>
      <c r="Q35" s="1" t="s">
        <v>57</v>
      </c>
      <c r="R35" s="1">
        <v>5</v>
      </c>
      <c r="S35" s="12">
        <v>27.01</v>
      </c>
      <c r="T35" s="1" t="s">
        <v>58</v>
      </c>
      <c r="U35" s="1" t="s">
        <v>59</v>
      </c>
      <c r="V35" s="6" t="s">
        <v>60</v>
      </c>
      <c r="W35" s="15">
        <v>1.35</v>
      </c>
      <c r="X35" s="12">
        <v>0</v>
      </c>
      <c r="Y35" s="12">
        <v>-36.46</v>
      </c>
      <c r="Z35" s="1" t="s">
        <v>54</v>
      </c>
    </row>
    <row r="36" spans="1:26" x14ac:dyDescent="0.2">
      <c r="A36" s="1" t="s">
        <v>76</v>
      </c>
      <c r="B36" s="1">
        <v>1055790</v>
      </c>
      <c r="C36" s="1" t="s">
        <v>95</v>
      </c>
      <c r="D36" s="1">
        <v>606680</v>
      </c>
      <c r="E36" s="1" t="s">
        <v>282</v>
      </c>
      <c r="G36" s="1" t="s">
        <v>182</v>
      </c>
      <c r="H36" s="1" t="s">
        <v>183</v>
      </c>
      <c r="I36" s="1" t="s">
        <v>49</v>
      </c>
      <c r="J36" s="1" t="s">
        <v>111</v>
      </c>
      <c r="K36" s="1" t="s">
        <v>107</v>
      </c>
      <c r="L36" s="1" t="s">
        <v>101</v>
      </c>
      <c r="M36" s="1" t="s">
        <v>101</v>
      </c>
      <c r="N36" s="11">
        <v>57</v>
      </c>
      <c r="O36" s="1" t="s">
        <v>55</v>
      </c>
      <c r="P36" s="1" t="s">
        <v>56</v>
      </c>
      <c r="Q36" s="1" t="s">
        <v>57</v>
      </c>
      <c r="R36" s="1">
        <v>110</v>
      </c>
      <c r="S36" s="12">
        <v>1061.3699999999999</v>
      </c>
      <c r="T36" s="1" t="s">
        <v>58</v>
      </c>
      <c r="U36" s="1" t="s">
        <v>72</v>
      </c>
      <c r="V36" s="6" t="s">
        <v>60</v>
      </c>
      <c r="W36" s="15">
        <v>1.5</v>
      </c>
      <c r="X36" s="12">
        <v>1592.1</v>
      </c>
      <c r="Y36" s="12">
        <v>1592.1</v>
      </c>
      <c r="Z36" s="1" t="s">
        <v>54</v>
      </c>
    </row>
    <row r="37" spans="1:26" x14ac:dyDescent="0.2">
      <c r="A37" s="1" t="s">
        <v>76</v>
      </c>
      <c r="B37" s="1">
        <v>1055790</v>
      </c>
      <c r="C37" s="1" t="s">
        <v>95</v>
      </c>
      <c r="D37" s="1">
        <v>606680</v>
      </c>
      <c r="E37" s="1" t="s">
        <v>282</v>
      </c>
      <c r="G37" s="1" t="s">
        <v>184</v>
      </c>
      <c r="H37" s="1" t="s">
        <v>185</v>
      </c>
      <c r="I37" s="1" t="s">
        <v>146</v>
      </c>
      <c r="J37" s="1" t="s">
        <v>67</v>
      </c>
      <c r="K37" s="1" t="s">
        <v>107</v>
      </c>
      <c r="L37" s="1" t="s">
        <v>111</v>
      </c>
      <c r="M37" s="1" t="s">
        <v>186</v>
      </c>
      <c r="N37" s="11">
        <v>48</v>
      </c>
      <c r="O37" s="1" t="s">
        <v>55</v>
      </c>
      <c r="P37" s="1" t="s">
        <v>56</v>
      </c>
      <c r="Q37" s="1" t="s">
        <v>57</v>
      </c>
      <c r="R37" s="1">
        <v>200</v>
      </c>
      <c r="S37" s="12">
        <v>106.98</v>
      </c>
      <c r="T37" s="1" t="s">
        <v>58</v>
      </c>
      <c r="U37" s="1" t="s">
        <v>187</v>
      </c>
      <c r="V37" s="6" t="s">
        <v>60</v>
      </c>
      <c r="W37" s="15">
        <v>1.5</v>
      </c>
      <c r="X37" s="12">
        <v>0</v>
      </c>
      <c r="Y37" s="12">
        <v>-160.47</v>
      </c>
      <c r="Z37" s="1" t="s">
        <v>54</v>
      </c>
    </row>
    <row r="38" spans="1:26" x14ac:dyDescent="0.2">
      <c r="A38" s="1" t="s">
        <v>76</v>
      </c>
      <c r="B38" s="1">
        <v>1055790</v>
      </c>
      <c r="C38" s="1" t="s">
        <v>95</v>
      </c>
      <c r="D38" s="1">
        <v>606680</v>
      </c>
      <c r="E38" s="1" t="s">
        <v>282</v>
      </c>
      <c r="G38" s="1" t="s">
        <v>188</v>
      </c>
      <c r="H38" s="1" t="s">
        <v>189</v>
      </c>
      <c r="I38" s="1" t="s">
        <v>190</v>
      </c>
      <c r="J38" s="1" t="s">
        <v>70</v>
      </c>
      <c r="K38" s="1" t="s">
        <v>122</v>
      </c>
      <c r="L38" s="1" t="s">
        <v>53</v>
      </c>
      <c r="M38" s="1" t="s">
        <v>53</v>
      </c>
      <c r="N38" s="11">
        <v>62</v>
      </c>
      <c r="O38" s="1" t="s">
        <v>55</v>
      </c>
      <c r="P38" s="1" t="s">
        <v>56</v>
      </c>
      <c r="Q38" s="1" t="s">
        <v>57</v>
      </c>
      <c r="R38" s="1">
        <v>25</v>
      </c>
      <c r="S38" s="12">
        <v>690.84</v>
      </c>
      <c r="T38" s="1" t="s">
        <v>58</v>
      </c>
      <c r="U38" s="1" t="s">
        <v>129</v>
      </c>
      <c r="V38" s="6" t="s">
        <v>60</v>
      </c>
      <c r="W38" s="15">
        <v>0.67500000000000004</v>
      </c>
      <c r="X38" s="12">
        <v>466.32</v>
      </c>
      <c r="Y38" s="12">
        <v>466.32</v>
      </c>
      <c r="Z38" s="1" t="s">
        <v>54</v>
      </c>
    </row>
    <row r="39" spans="1:26" x14ac:dyDescent="0.2">
      <c r="A39" s="1" t="s">
        <v>76</v>
      </c>
      <c r="B39" s="1">
        <v>1055790</v>
      </c>
      <c r="C39" s="1" t="s">
        <v>95</v>
      </c>
      <c r="D39" s="1">
        <v>606680</v>
      </c>
      <c r="E39" s="1" t="s">
        <v>282</v>
      </c>
      <c r="G39" s="1" t="s">
        <v>191</v>
      </c>
      <c r="H39" s="1" t="s">
        <v>192</v>
      </c>
      <c r="I39" s="1" t="s">
        <v>49</v>
      </c>
      <c r="J39" s="1" t="s">
        <v>70</v>
      </c>
      <c r="K39" s="1" t="s">
        <v>107</v>
      </c>
      <c r="L39" s="1" t="s">
        <v>123</v>
      </c>
      <c r="M39" s="1" t="s">
        <v>101</v>
      </c>
      <c r="N39" s="11">
        <v>27</v>
      </c>
      <c r="O39" s="1" t="s">
        <v>55</v>
      </c>
      <c r="P39" s="1" t="s">
        <v>56</v>
      </c>
      <c r="Q39" s="1" t="s">
        <v>57</v>
      </c>
      <c r="R39" s="1">
        <v>300</v>
      </c>
      <c r="S39" s="12">
        <v>46.73</v>
      </c>
      <c r="T39" s="1" t="s">
        <v>58</v>
      </c>
      <c r="U39" s="1" t="s">
        <v>59</v>
      </c>
      <c r="V39" s="6" t="s">
        <v>60</v>
      </c>
      <c r="W39" s="15">
        <v>1.5</v>
      </c>
      <c r="X39" s="12">
        <v>0</v>
      </c>
      <c r="Y39" s="12">
        <v>-70.099999999999994</v>
      </c>
      <c r="Z39" s="1" t="s">
        <v>54</v>
      </c>
    </row>
    <row r="40" spans="1:26" x14ac:dyDescent="0.2">
      <c r="A40" s="1" t="s">
        <v>76</v>
      </c>
      <c r="B40" s="1">
        <v>1055790</v>
      </c>
      <c r="C40" s="1" t="s">
        <v>95</v>
      </c>
      <c r="D40" s="1">
        <v>606680</v>
      </c>
      <c r="E40" s="1" t="s">
        <v>282</v>
      </c>
      <c r="G40" s="1" t="s">
        <v>193</v>
      </c>
      <c r="H40" s="1" t="s">
        <v>194</v>
      </c>
      <c r="I40" s="1" t="s">
        <v>195</v>
      </c>
      <c r="J40" s="1" t="s">
        <v>50</v>
      </c>
      <c r="K40" s="1" t="s">
        <v>107</v>
      </c>
      <c r="L40" s="1" t="s">
        <v>196</v>
      </c>
      <c r="M40" s="1" t="s">
        <v>152</v>
      </c>
      <c r="N40" s="11">
        <v>61</v>
      </c>
      <c r="O40" s="1" t="s">
        <v>55</v>
      </c>
      <c r="P40" s="1" t="s">
        <v>56</v>
      </c>
      <c r="Q40" s="1" t="s">
        <v>57</v>
      </c>
      <c r="R40" s="1">
        <v>120</v>
      </c>
      <c r="S40" s="12">
        <v>175.37</v>
      </c>
      <c r="T40" s="1" t="s">
        <v>58</v>
      </c>
      <c r="U40" s="1" t="s">
        <v>59</v>
      </c>
      <c r="V40" s="6" t="s">
        <v>60</v>
      </c>
      <c r="W40" s="15">
        <v>1.5</v>
      </c>
      <c r="X40" s="12">
        <v>0</v>
      </c>
      <c r="Y40" s="12">
        <v>-263.06</v>
      </c>
      <c r="Z40" s="1" t="s">
        <v>54</v>
      </c>
    </row>
    <row r="41" spans="1:26" x14ac:dyDescent="0.2">
      <c r="A41" s="1" t="s">
        <v>76</v>
      </c>
      <c r="B41" s="1">
        <v>1055790</v>
      </c>
      <c r="C41" s="1" t="s">
        <v>95</v>
      </c>
      <c r="D41" s="1">
        <v>606680</v>
      </c>
      <c r="E41" s="1" t="s">
        <v>282</v>
      </c>
      <c r="G41" s="1" t="s">
        <v>197</v>
      </c>
      <c r="H41" s="1" t="s">
        <v>198</v>
      </c>
      <c r="I41" s="1" t="s">
        <v>199</v>
      </c>
      <c r="J41" s="1" t="s">
        <v>67</v>
      </c>
      <c r="K41" s="1" t="s">
        <v>122</v>
      </c>
      <c r="L41" s="1" t="s">
        <v>200</v>
      </c>
      <c r="M41" s="1" t="s">
        <v>161</v>
      </c>
      <c r="N41" s="11">
        <v>66</v>
      </c>
      <c r="O41" s="1" t="s">
        <v>55</v>
      </c>
      <c r="P41" s="1" t="s">
        <v>56</v>
      </c>
      <c r="Q41" s="1" t="s">
        <v>57</v>
      </c>
      <c r="R41" s="1">
        <v>50</v>
      </c>
      <c r="S41" s="12">
        <v>132.31</v>
      </c>
      <c r="T41" s="1" t="s">
        <v>58</v>
      </c>
      <c r="U41" s="1" t="s">
        <v>59</v>
      </c>
      <c r="V41" s="6" t="s">
        <v>60</v>
      </c>
      <c r="W41" s="15">
        <v>0.67500000000000004</v>
      </c>
      <c r="X41" s="12">
        <v>0</v>
      </c>
      <c r="Y41" s="12">
        <v>-89.31</v>
      </c>
      <c r="Z41" s="1" t="s">
        <v>54</v>
      </c>
    </row>
    <row r="42" spans="1:26" x14ac:dyDescent="0.2">
      <c r="A42" s="1" t="s">
        <v>76</v>
      </c>
      <c r="B42" s="1">
        <v>1055790</v>
      </c>
      <c r="C42" s="1" t="s">
        <v>95</v>
      </c>
      <c r="D42" s="1">
        <v>606680</v>
      </c>
      <c r="E42" s="1" t="s">
        <v>282</v>
      </c>
      <c r="G42" s="1" t="s">
        <v>201</v>
      </c>
      <c r="H42" s="1" t="s">
        <v>202</v>
      </c>
      <c r="I42" s="1" t="s">
        <v>146</v>
      </c>
      <c r="J42" s="1" t="s">
        <v>70</v>
      </c>
      <c r="K42" s="1" t="s">
        <v>122</v>
      </c>
      <c r="L42" s="1" t="s">
        <v>203</v>
      </c>
      <c r="M42" s="1" t="s">
        <v>53</v>
      </c>
      <c r="N42" s="11">
        <v>60</v>
      </c>
      <c r="O42" s="1" t="s">
        <v>55</v>
      </c>
      <c r="P42" s="1" t="s">
        <v>56</v>
      </c>
      <c r="Q42" s="1" t="s">
        <v>57</v>
      </c>
      <c r="R42" s="1">
        <v>185</v>
      </c>
      <c r="S42" s="12">
        <v>300.39</v>
      </c>
      <c r="T42" s="1" t="s">
        <v>58</v>
      </c>
      <c r="U42" s="1" t="s">
        <v>59</v>
      </c>
      <c r="V42" s="6" t="s">
        <v>60</v>
      </c>
      <c r="W42" s="15">
        <v>0.67500000000000004</v>
      </c>
      <c r="X42" s="12">
        <v>0</v>
      </c>
      <c r="Y42" s="12">
        <v>-202.76</v>
      </c>
      <c r="Z42" s="1" t="s">
        <v>54</v>
      </c>
    </row>
    <row r="43" spans="1:26" x14ac:dyDescent="0.2">
      <c r="A43" s="1" t="s">
        <v>76</v>
      </c>
      <c r="B43" s="1">
        <v>1055790</v>
      </c>
      <c r="C43" s="1" t="s">
        <v>95</v>
      </c>
      <c r="D43" s="1">
        <v>606680</v>
      </c>
      <c r="E43" s="1" t="s">
        <v>282</v>
      </c>
      <c r="G43" s="1" t="s">
        <v>204</v>
      </c>
      <c r="H43" s="1" t="s">
        <v>205</v>
      </c>
      <c r="I43" s="1" t="s">
        <v>146</v>
      </c>
      <c r="J43" s="1" t="s">
        <v>70</v>
      </c>
      <c r="K43" s="1" t="s">
        <v>107</v>
      </c>
      <c r="L43" s="1" t="s">
        <v>206</v>
      </c>
      <c r="M43" s="1" t="s">
        <v>207</v>
      </c>
      <c r="N43" s="11">
        <v>64</v>
      </c>
      <c r="O43" s="1" t="s">
        <v>55</v>
      </c>
      <c r="P43" s="1" t="s">
        <v>56</v>
      </c>
      <c r="Q43" s="1" t="s">
        <v>57</v>
      </c>
      <c r="R43" s="1">
        <v>55</v>
      </c>
      <c r="S43" s="12">
        <v>113.57</v>
      </c>
      <c r="T43" s="1" t="s">
        <v>58</v>
      </c>
      <c r="U43" s="1" t="s">
        <v>59</v>
      </c>
      <c r="V43" s="6" t="s">
        <v>60</v>
      </c>
      <c r="W43" s="15">
        <v>1.5</v>
      </c>
      <c r="X43" s="12">
        <v>0</v>
      </c>
      <c r="Y43" s="12">
        <v>-170.36</v>
      </c>
      <c r="Z43" s="1" t="s">
        <v>54</v>
      </c>
    </row>
    <row r="44" spans="1:26" x14ac:dyDescent="0.2">
      <c r="A44" s="1" t="s">
        <v>76</v>
      </c>
      <c r="B44" s="1">
        <v>1055790</v>
      </c>
      <c r="C44" s="1" t="s">
        <v>95</v>
      </c>
      <c r="D44" s="1">
        <v>606680</v>
      </c>
      <c r="E44" s="1" t="s">
        <v>282</v>
      </c>
      <c r="G44" s="1" t="s">
        <v>208</v>
      </c>
      <c r="H44" s="1" t="s">
        <v>209</v>
      </c>
      <c r="I44" s="1" t="s">
        <v>195</v>
      </c>
      <c r="J44" s="1" t="s">
        <v>63</v>
      </c>
      <c r="K44" s="1" t="s">
        <v>107</v>
      </c>
      <c r="L44" s="1" t="s">
        <v>210</v>
      </c>
      <c r="M44" s="1" t="s">
        <v>152</v>
      </c>
      <c r="N44" s="11">
        <v>57</v>
      </c>
      <c r="O44" s="1" t="s">
        <v>55</v>
      </c>
      <c r="P44" s="1" t="s">
        <v>56</v>
      </c>
      <c r="Q44" s="1" t="s">
        <v>57</v>
      </c>
      <c r="R44" s="1">
        <v>160</v>
      </c>
      <c r="S44" s="12">
        <v>180.06</v>
      </c>
      <c r="T44" s="1" t="s">
        <v>58</v>
      </c>
      <c r="U44" s="1" t="s">
        <v>59</v>
      </c>
      <c r="V44" s="6" t="s">
        <v>60</v>
      </c>
      <c r="W44" s="15">
        <v>1.5</v>
      </c>
      <c r="X44" s="12">
        <v>160.72</v>
      </c>
      <c r="Y44" s="12">
        <v>-109.37</v>
      </c>
      <c r="Z44" s="1" t="s">
        <v>54</v>
      </c>
    </row>
    <row r="45" spans="1:26" x14ac:dyDescent="0.2">
      <c r="A45" s="1" t="s">
        <v>76</v>
      </c>
      <c r="B45" s="1">
        <v>1055790</v>
      </c>
      <c r="C45" s="1" t="s">
        <v>95</v>
      </c>
      <c r="D45" s="1">
        <v>606680</v>
      </c>
      <c r="E45" s="1" t="s">
        <v>282</v>
      </c>
      <c r="G45" s="1" t="s">
        <v>211</v>
      </c>
      <c r="H45" s="1" t="s">
        <v>212</v>
      </c>
      <c r="I45" s="1" t="s">
        <v>146</v>
      </c>
      <c r="J45" s="1" t="s">
        <v>70</v>
      </c>
      <c r="K45" s="1" t="s">
        <v>107</v>
      </c>
      <c r="L45" s="1" t="s">
        <v>213</v>
      </c>
      <c r="M45" s="1" t="s">
        <v>134</v>
      </c>
      <c r="N45" s="11">
        <v>61</v>
      </c>
      <c r="O45" s="1" t="s">
        <v>55</v>
      </c>
      <c r="P45" s="1" t="s">
        <v>56</v>
      </c>
      <c r="Q45" s="1" t="s">
        <v>57</v>
      </c>
      <c r="R45" s="1">
        <v>70</v>
      </c>
      <c r="S45" s="12">
        <v>104.52</v>
      </c>
      <c r="T45" s="1" t="s">
        <v>58</v>
      </c>
      <c r="U45" s="1" t="s">
        <v>59</v>
      </c>
      <c r="V45" s="6" t="s">
        <v>60</v>
      </c>
      <c r="W45" s="15">
        <v>1.5</v>
      </c>
      <c r="X45" s="12">
        <v>156.78</v>
      </c>
      <c r="Y45" s="12">
        <v>0</v>
      </c>
      <c r="Z45" s="1" t="s">
        <v>54</v>
      </c>
    </row>
    <row r="46" spans="1:26" x14ac:dyDescent="0.2">
      <c r="A46" s="1" t="s">
        <v>76</v>
      </c>
      <c r="B46" s="1">
        <v>1055790</v>
      </c>
      <c r="C46" s="1" t="s">
        <v>95</v>
      </c>
      <c r="D46" s="1">
        <v>606680</v>
      </c>
      <c r="E46" s="1" t="s">
        <v>282</v>
      </c>
      <c r="G46" s="1" t="s">
        <v>214</v>
      </c>
      <c r="H46" s="1" t="s">
        <v>215</v>
      </c>
      <c r="I46" s="1" t="s">
        <v>216</v>
      </c>
      <c r="J46" s="1" t="s">
        <v>70</v>
      </c>
      <c r="K46" s="1" t="s">
        <v>107</v>
      </c>
      <c r="L46" s="1" t="s">
        <v>213</v>
      </c>
      <c r="M46" s="1" t="s">
        <v>134</v>
      </c>
      <c r="N46" s="11">
        <v>57</v>
      </c>
      <c r="O46" s="1" t="s">
        <v>55</v>
      </c>
      <c r="P46" s="1" t="s">
        <v>56</v>
      </c>
      <c r="Q46" s="1" t="s">
        <v>57</v>
      </c>
      <c r="R46" s="1">
        <v>105</v>
      </c>
      <c r="S46" s="12">
        <v>112.81</v>
      </c>
      <c r="T46" s="1" t="s">
        <v>58</v>
      </c>
      <c r="U46" s="1" t="s">
        <v>59</v>
      </c>
      <c r="V46" s="6" t="s">
        <v>60</v>
      </c>
      <c r="W46" s="15">
        <v>1.5</v>
      </c>
      <c r="X46" s="12">
        <v>169.22</v>
      </c>
      <c r="Y46" s="12">
        <v>0</v>
      </c>
      <c r="Z46" s="1" t="s">
        <v>54</v>
      </c>
    </row>
    <row r="47" spans="1:26" x14ac:dyDescent="0.2">
      <c r="A47" s="1" t="s">
        <v>76</v>
      </c>
      <c r="B47" s="1">
        <v>1055790</v>
      </c>
      <c r="C47" s="1" t="s">
        <v>95</v>
      </c>
      <c r="D47" s="1">
        <v>606680</v>
      </c>
      <c r="E47" s="1" t="s">
        <v>282</v>
      </c>
      <c r="G47" s="1" t="s">
        <v>217</v>
      </c>
      <c r="H47" s="1" t="s">
        <v>218</v>
      </c>
      <c r="I47" s="1" t="s">
        <v>146</v>
      </c>
      <c r="J47" s="1" t="s">
        <v>70</v>
      </c>
      <c r="K47" s="1" t="s">
        <v>107</v>
      </c>
      <c r="L47" s="1" t="s">
        <v>219</v>
      </c>
      <c r="M47" s="1" t="s">
        <v>134</v>
      </c>
      <c r="N47" s="11">
        <v>62</v>
      </c>
      <c r="O47" s="1" t="s">
        <v>55</v>
      </c>
      <c r="P47" s="1" t="s">
        <v>56</v>
      </c>
      <c r="Q47" s="1" t="s">
        <v>57</v>
      </c>
      <c r="R47" s="1">
        <v>150</v>
      </c>
      <c r="S47" s="12">
        <v>245.51</v>
      </c>
      <c r="T47" s="1" t="s">
        <v>58</v>
      </c>
      <c r="U47" s="1" t="s">
        <v>59</v>
      </c>
      <c r="V47" s="6" t="s">
        <v>60</v>
      </c>
      <c r="W47" s="15">
        <v>1.5</v>
      </c>
      <c r="X47" s="12">
        <v>368.27</v>
      </c>
      <c r="Y47" s="12">
        <v>0</v>
      </c>
      <c r="Z47" s="1" t="s">
        <v>54</v>
      </c>
    </row>
    <row r="48" spans="1:26" x14ac:dyDescent="0.2">
      <c r="A48" s="1" t="s">
        <v>76</v>
      </c>
      <c r="B48" s="1">
        <v>1055790</v>
      </c>
      <c r="C48" s="1" t="s">
        <v>95</v>
      </c>
      <c r="D48" s="1">
        <v>257168</v>
      </c>
      <c r="E48" s="1" t="s">
        <v>284</v>
      </c>
      <c r="G48" s="1" t="s">
        <v>220</v>
      </c>
      <c r="H48" s="1" t="s">
        <v>221</v>
      </c>
      <c r="I48" s="1" t="s">
        <v>106</v>
      </c>
      <c r="J48" s="1" t="s">
        <v>63</v>
      </c>
      <c r="K48" s="1" t="s">
        <v>107</v>
      </c>
      <c r="L48" s="1" t="s">
        <v>222</v>
      </c>
      <c r="M48" s="1" t="s">
        <v>223</v>
      </c>
      <c r="N48" s="11">
        <v>37</v>
      </c>
      <c r="O48" s="1" t="s">
        <v>55</v>
      </c>
      <c r="P48" s="1" t="s">
        <v>56</v>
      </c>
      <c r="Q48" s="1" t="s">
        <v>57</v>
      </c>
      <c r="R48" s="1">
        <v>300</v>
      </c>
      <c r="S48" s="12">
        <v>77.430000000000007</v>
      </c>
      <c r="T48" s="1" t="s">
        <v>58</v>
      </c>
      <c r="U48" s="1" t="s">
        <v>187</v>
      </c>
      <c r="V48" s="6" t="s">
        <v>60</v>
      </c>
      <c r="W48" s="15">
        <v>1.5</v>
      </c>
      <c r="X48" s="12">
        <v>0</v>
      </c>
      <c r="Y48" s="12">
        <v>-116.15</v>
      </c>
      <c r="Z48" s="1" t="s">
        <v>54</v>
      </c>
    </row>
    <row r="49" spans="1:26" x14ac:dyDescent="0.2">
      <c r="A49" s="1" t="s">
        <v>76</v>
      </c>
      <c r="B49" s="1">
        <v>1055790</v>
      </c>
      <c r="C49" s="1" t="s">
        <v>95</v>
      </c>
      <c r="D49" s="1">
        <v>257168</v>
      </c>
      <c r="E49" s="1" t="s">
        <v>284</v>
      </c>
      <c r="G49" s="1" t="s">
        <v>224</v>
      </c>
      <c r="H49" s="1" t="s">
        <v>225</v>
      </c>
      <c r="I49" s="1" t="s">
        <v>226</v>
      </c>
      <c r="J49" s="1" t="s">
        <v>67</v>
      </c>
      <c r="K49" s="1" t="s">
        <v>122</v>
      </c>
      <c r="L49" s="1" t="s">
        <v>227</v>
      </c>
      <c r="M49" s="1" t="s">
        <v>186</v>
      </c>
      <c r="N49" s="11">
        <v>37</v>
      </c>
      <c r="O49" s="1" t="s">
        <v>55</v>
      </c>
      <c r="P49" s="1" t="s">
        <v>56</v>
      </c>
      <c r="Q49" s="1" t="s">
        <v>57</v>
      </c>
      <c r="R49" s="1">
        <v>290</v>
      </c>
      <c r="S49" s="12">
        <v>100.04</v>
      </c>
      <c r="T49" s="1" t="s">
        <v>58</v>
      </c>
      <c r="U49" s="1" t="s">
        <v>59</v>
      </c>
      <c r="V49" s="6" t="s">
        <v>60</v>
      </c>
      <c r="W49" s="15">
        <v>1.35</v>
      </c>
      <c r="X49" s="12">
        <v>0</v>
      </c>
      <c r="Y49" s="12">
        <v>-135.05000000000001</v>
      </c>
      <c r="Z49" s="1" t="s">
        <v>54</v>
      </c>
    </row>
    <row r="50" spans="1:26" x14ac:dyDescent="0.2">
      <c r="A50" s="1" t="s">
        <v>76</v>
      </c>
      <c r="B50" s="1">
        <v>1055790</v>
      </c>
      <c r="C50" s="1" t="s">
        <v>95</v>
      </c>
      <c r="D50" s="1">
        <v>257168</v>
      </c>
      <c r="E50" s="1" t="s">
        <v>284</v>
      </c>
      <c r="G50" s="1" t="s">
        <v>228</v>
      </c>
      <c r="H50" s="1" t="s">
        <v>229</v>
      </c>
      <c r="I50" s="1" t="s">
        <v>106</v>
      </c>
      <c r="J50" s="1" t="s">
        <v>63</v>
      </c>
      <c r="K50" s="1" t="s">
        <v>230</v>
      </c>
      <c r="L50" s="1" t="s">
        <v>231</v>
      </c>
      <c r="M50" s="1" t="s">
        <v>177</v>
      </c>
      <c r="N50" s="11">
        <v>6</v>
      </c>
      <c r="O50" s="1" t="s">
        <v>55</v>
      </c>
      <c r="P50" s="1" t="s">
        <v>56</v>
      </c>
      <c r="Q50" s="1" t="s">
        <v>57</v>
      </c>
      <c r="R50" s="1">
        <v>25</v>
      </c>
      <c r="S50" s="12">
        <v>12.08</v>
      </c>
      <c r="T50" s="1" t="s">
        <v>58</v>
      </c>
      <c r="U50" s="1" t="s">
        <v>59</v>
      </c>
      <c r="V50" s="6" t="s">
        <v>60</v>
      </c>
      <c r="W50" s="15">
        <v>1.1499999999999999</v>
      </c>
      <c r="X50" s="12">
        <v>13.89</v>
      </c>
      <c r="Y50" s="12">
        <v>0</v>
      </c>
      <c r="Z50" s="1" t="s">
        <v>54</v>
      </c>
    </row>
    <row r="51" spans="1:26" x14ac:dyDescent="0.2">
      <c r="A51" s="1" t="s">
        <v>76</v>
      </c>
      <c r="B51" s="1">
        <v>1055790</v>
      </c>
      <c r="C51" s="1" t="s">
        <v>95</v>
      </c>
      <c r="D51" s="1">
        <v>257168</v>
      </c>
      <c r="E51" s="1" t="s">
        <v>284</v>
      </c>
      <c r="G51" s="1" t="s">
        <v>232</v>
      </c>
      <c r="H51" s="1" t="s">
        <v>233</v>
      </c>
      <c r="I51" s="1" t="s">
        <v>106</v>
      </c>
      <c r="J51" s="1" t="s">
        <v>63</v>
      </c>
      <c r="K51" s="1" t="s">
        <v>230</v>
      </c>
      <c r="L51" s="1" t="s">
        <v>231</v>
      </c>
      <c r="M51" s="1" t="s">
        <v>177</v>
      </c>
      <c r="N51" s="11">
        <v>0</v>
      </c>
      <c r="O51" s="1" t="s">
        <v>55</v>
      </c>
      <c r="P51" s="1" t="s">
        <v>56</v>
      </c>
      <c r="Q51" s="1" t="s">
        <v>57</v>
      </c>
      <c r="R51" s="1">
        <v>25</v>
      </c>
      <c r="S51" s="12">
        <v>10.02</v>
      </c>
      <c r="T51" s="1" t="s">
        <v>58</v>
      </c>
      <c r="U51" s="1" t="s">
        <v>59</v>
      </c>
      <c r="V51" s="6" t="s">
        <v>60</v>
      </c>
      <c r="W51" s="15">
        <v>1.1499999999999999</v>
      </c>
      <c r="X51" s="12">
        <v>11.52</v>
      </c>
      <c r="Y51" s="12">
        <v>0</v>
      </c>
      <c r="Z51" s="1" t="s">
        <v>54</v>
      </c>
    </row>
    <row r="52" spans="1:26" x14ac:dyDescent="0.2">
      <c r="A52" s="1" t="s">
        <v>76</v>
      </c>
      <c r="B52" s="1">
        <v>1055790</v>
      </c>
      <c r="C52" s="1" t="s">
        <v>95</v>
      </c>
      <c r="D52" s="1">
        <v>257168</v>
      </c>
      <c r="E52" s="1" t="s">
        <v>284</v>
      </c>
      <c r="G52" s="1" t="s">
        <v>234</v>
      </c>
      <c r="H52" s="1" t="s">
        <v>235</v>
      </c>
      <c r="I52" s="1" t="s">
        <v>106</v>
      </c>
      <c r="J52" s="1" t="s">
        <v>63</v>
      </c>
      <c r="K52" s="1" t="s">
        <v>230</v>
      </c>
      <c r="L52" s="1" t="s">
        <v>231</v>
      </c>
      <c r="M52" s="1" t="s">
        <v>177</v>
      </c>
      <c r="N52" s="11">
        <v>10</v>
      </c>
      <c r="O52" s="1" t="s">
        <v>55</v>
      </c>
      <c r="P52" s="1" t="s">
        <v>56</v>
      </c>
      <c r="Q52" s="1" t="s">
        <v>57</v>
      </c>
      <c r="R52" s="1">
        <v>25</v>
      </c>
      <c r="S52" s="12">
        <v>13.87</v>
      </c>
      <c r="T52" s="1" t="s">
        <v>58</v>
      </c>
      <c r="U52" s="1" t="s">
        <v>59</v>
      </c>
      <c r="V52" s="6" t="s">
        <v>60</v>
      </c>
      <c r="W52" s="15">
        <v>1.1499999999999999</v>
      </c>
      <c r="X52" s="12">
        <v>15.95</v>
      </c>
      <c r="Y52" s="12">
        <v>0</v>
      </c>
      <c r="Z52" s="1" t="s">
        <v>54</v>
      </c>
    </row>
    <row r="53" spans="1:26" x14ac:dyDescent="0.2">
      <c r="A53" s="1" t="s">
        <v>76</v>
      </c>
      <c r="B53" s="1">
        <v>1055790</v>
      </c>
      <c r="C53" s="1" t="s">
        <v>95</v>
      </c>
      <c r="D53" s="1">
        <v>257168</v>
      </c>
      <c r="E53" s="1" t="s">
        <v>284</v>
      </c>
      <c r="G53" s="1" t="s">
        <v>236</v>
      </c>
      <c r="H53" s="1" t="s">
        <v>237</v>
      </c>
      <c r="I53" s="1" t="s">
        <v>106</v>
      </c>
      <c r="J53" s="1" t="s">
        <v>63</v>
      </c>
      <c r="K53" s="1" t="s">
        <v>230</v>
      </c>
      <c r="L53" s="1" t="s">
        <v>231</v>
      </c>
      <c r="M53" s="1" t="s">
        <v>177</v>
      </c>
      <c r="N53" s="11">
        <v>5</v>
      </c>
      <c r="O53" s="1" t="s">
        <v>55</v>
      </c>
      <c r="P53" s="1" t="s">
        <v>56</v>
      </c>
      <c r="Q53" s="1" t="s">
        <v>57</v>
      </c>
      <c r="R53" s="1">
        <v>25</v>
      </c>
      <c r="S53" s="12">
        <v>12.08</v>
      </c>
      <c r="T53" s="1" t="s">
        <v>58</v>
      </c>
      <c r="U53" s="1" t="s">
        <v>59</v>
      </c>
      <c r="V53" s="6" t="s">
        <v>60</v>
      </c>
      <c r="W53" s="15">
        <v>1.1499999999999999</v>
      </c>
      <c r="X53" s="12">
        <v>13.89</v>
      </c>
      <c r="Y53" s="12">
        <v>0</v>
      </c>
      <c r="Z53" s="1" t="s">
        <v>54</v>
      </c>
    </row>
    <row r="54" spans="1:26" x14ac:dyDescent="0.2">
      <c r="A54" s="1" t="s">
        <v>76</v>
      </c>
      <c r="B54" s="1">
        <v>1055790</v>
      </c>
      <c r="C54" s="1" t="s">
        <v>95</v>
      </c>
      <c r="D54" s="1">
        <v>819525</v>
      </c>
      <c r="E54" s="1" t="s">
        <v>285</v>
      </c>
      <c r="G54" s="1" t="s">
        <v>238</v>
      </c>
      <c r="H54" s="1" t="s">
        <v>239</v>
      </c>
      <c r="I54" s="1" t="s">
        <v>49</v>
      </c>
      <c r="J54" s="1" t="s">
        <v>63</v>
      </c>
      <c r="K54" s="1" t="s">
        <v>180</v>
      </c>
      <c r="L54" s="1" t="s">
        <v>206</v>
      </c>
      <c r="M54" s="1" t="s">
        <v>240</v>
      </c>
      <c r="N54" s="11">
        <v>69</v>
      </c>
      <c r="O54" s="1" t="s">
        <v>241</v>
      </c>
      <c r="P54" s="1" t="s">
        <v>242</v>
      </c>
      <c r="Q54" s="1" t="s">
        <v>243</v>
      </c>
      <c r="R54" s="1">
        <v>12</v>
      </c>
      <c r="S54" s="12">
        <v>260.49</v>
      </c>
      <c r="T54" s="1" t="s">
        <v>58</v>
      </c>
      <c r="U54" s="1" t="s">
        <v>59</v>
      </c>
      <c r="V54" s="6" t="s">
        <v>60</v>
      </c>
      <c r="W54" s="15">
        <v>1.35</v>
      </c>
      <c r="X54" s="12">
        <v>351.66</v>
      </c>
      <c r="Y54" s="12">
        <v>0</v>
      </c>
      <c r="Z54" s="1" t="s">
        <v>54</v>
      </c>
    </row>
    <row r="55" spans="1:26" x14ac:dyDescent="0.2">
      <c r="A55" s="1" t="s">
        <v>76</v>
      </c>
      <c r="B55" s="1">
        <v>1055790</v>
      </c>
      <c r="C55" s="1" t="s">
        <v>95</v>
      </c>
      <c r="D55" s="1">
        <v>815390</v>
      </c>
      <c r="E55" s="1" t="s">
        <v>286</v>
      </c>
      <c r="G55" s="1" t="s">
        <v>244</v>
      </c>
      <c r="H55" s="1" t="s">
        <v>245</v>
      </c>
      <c r="I55" s="1" t="s">
        <v>79</v>
      </c>
      <c r="J55" s="1" t="s">
        <v>70</v>
      </c>
      <c r="K55" s="1" t="s">
        <v>180</v>
      </c>
      <c r="L55" s="1" t="s">
        <v>246</v>
      </c>
      <c r="M55" s="1" t="s">
        <v>247</v>
      </c>
      <c r="N55" s="11">
        <v>57</v>
      </c>
      <c r="O55" s="1" t="s">
        <v>241</v>
      </c>
      <c r="P55" s="1" t="s">
        <v>242</v>
      </c>
      <c r="Q55" s="1" t="s">
        <v>243</v>
      </c>
      <c r="R55" s="1">
        <v>30</v>
      </c>
      <c r="S55" s="12">
        <v>258.14999999999998</v>
      </c>
      <c r="T55" s="1" t="s">
        <v>58</v>
      </c>
      <c r="U55" s="1" t="s">
        <v>59</v>
      </c>
      <c r="V55" s="6" t="s">
        <v>60</v>
      </c>
      <c r="W55" s="15">
        <v>1.35</v>
      </c>
      <c r="X55" s="12">
        <v>348.5</v>
      </c>
      <c r="Y55" s="12">
        <v>0</v>
      </c>
      <c r="Z55" s="1" t="s">
        <v>54</v>
      </c>
    </row>
    <row r="56" spans="1:26" x14ac:dyDescent="0.2">
      <c r="A56" s="1" t="s">
        <v>76</v>
      </c>
      <c r="B56" s="1">
        <v>1055790</v>
      </c>
      <c r="C56" s="1" t="s">
        <v>95</v>
      </c>
      <c r="D56" s="1">
        <v>606680</v>
      </c>
      <c r="E56" s="1" t="s">
        <v>282</v>
      </c>
      <c r="G56" s="1" t="s">
        <v>248</v>
      </c>
      <c r="H56" s="1" t="s">
        <v>249</v>
      </c>
      <c r="I56" s="1" t="s">
        <v>195</v>
      </c>
      <c r="J56" s="1" t="s">
        <v>70</v>
      </c>
      <c r="K56" s="1" t="s">
        <v>122</v>
      </c>
      <c r="L56" s="1" t="s">
        <v>250</v>
      </c>
      <c r="M56" s="1" t="s">
        <v>207</v>
      </c>
      <c r="N56" s="11">
        <v>42</v>
      </c>
      <c r="O56" s="1" t="s">
        <v>55</v>
      </c>
      <c r="P56" s="1" t="s">
        <v>56</v>
      </c>
      <c r="Q56" s="1" t="s">
        <v>57</v>
      </c>
      <c r="R56" s="1">
        <v>200</v>
      </c>
      <c r="S56" s="12">
        <v>106.71</v>
      </c>
      <c r="T56" s="1" t="s">
        <v>58</v>
      </c>
      <c r="U56" s="1" t="s">
        <v>59</v>
      </c>
      <c r="V56" s="6" t="s">
        <v>60</v>
      </c>
      <c r="W56" s="15">
        <v>1.35</v>
      </c>
      <c r="X56" s="12">
        <v>144.06</v>
      </c>
      <c r="Y56" s="12">
        <v>0</v>
      </c>
      <c r="Z56" s="1" t="s">
        <v>54</v>
      </c>
    </row>
    <row r="57" spans="1:26" x14ac:dyDescent="0.2">
      <c r="A57" s="1" t="s">
        <v>76</v>
      </c>
      <c r="B57" s="1">
        <v>1055790</v>
      </c>
      <c r="C57" s="1" t="s">
        <v>95</v>
      </c>
      <c r="D57" s="1">
        <v>606680</v>
      </c>
      <c r="E57" s="1" t="s">
        <v>282</v>
      </c>
      <c r="G57" s="1" t="s">
        <v>251</v>
      </c>
      <c r="H57" s="1" t="s">
        <v>252</v>
      </c>
      <c r="I57" s="1" t="s">
        <v>195</v>
      </c>
      <c r="J57" s="1" t="s">
        <v>111</v>
      </c>
      <c r="K57" s="1" t="s">
        <v>122</v>
      </c>
      <c r="L57" s="1" t="s">
        <v>53</v>
      </c>
      <c r="M57" s="1" t="s">
        <v>53</v>
      </c>
      <c r="N57" s="11">
        <v>28</v>
      </c>
      <c r="O57" s="1" t="s">
        <v>55</v>
      </c>
      <c r="P57" s="1" t="s">
        <v>56</v>
      </c>
      <c r="Q57" s="1" t="s">
        <v>57</v>
      </c>
      <c r="R57" s="1">
        <v>260</v>
      </c>
      <c r="S57" s="12">
        <v>685.35</v>
      </c>
      <c r="T57" s="1" t="s">
        <v>58</v>
      </c>
      <c r="U57" s="1" t="s">
        <v>129</v>
      </c>
      <c r="V57" s="6" t="s">
        <v>60</v>
      </c>
      <c r="W57" s="15">
        <v>0.67500000000000004</v>
      </c>
      <c r="X57" s="12">
        <v>462.61</v>
      </c>
      <c r="Y57" s="12">
        <v>462.61</v>
      </c>
      <c r="Z57" s="1" t="s">
        <v>54</v>
      </c>
    </row>
    <row r="58" spans="1:26" x14ac:dyDescent="0.2">
      <c r="A58" s="1" t="s">
        <v>253</v>
      </c>
      <c r="B58" s="1">
        <v>1055790</v>
      </c>
      <c r="C58" s="1" t="s">
        <v>46</v>
      </c>
      <c r="D58" s="1">
        <v>513364</v>
      </c>
      <c r="E58" s="1" t="s">
        <v>287</v>
      </c>
      <c r="G58" s="1" t="s">
        <v>254</v>
      </c>
      <c r="H58" s="1" t="s">
        <v>255</v>
      </c>
      <c r="I58" s="1" t="s">
        <v>49</v>
      </c>
      <c r="J58" s="1" t="s">
        <v>50</v>
      </c>
      <c r="K58" s="1" t="s">
        <v>256</v>
      </c>
      <c r="L58" s="1" t="s">
        <v>63</v>
      </c>
      <c r="M58" s="1" t="s">
        <v>152</v>
      </c>
      <c r="N58" s="11" t="s">
        <v>54</v>
      </c>
      <c r="O58" s="1" t="s">
        <v>55</v>
      </c>
      <c r="P58" s="1" t="s">
        <v>56</v>
      </c>
      <c r="Q58" s="1" t="s">
        <v>57</v>
      </c>
      <c r="R58" s="1">
        <v>0</v>
      </c>
      <c r="S58" s="12">
        <v>34.36</v>
      </c>
      <c r="T58" s="1" t="s">
        <v>58</v>
      </c>
      <c r="U58" s="1" t="s">
        <v>72</v>
      </c>
      <c r="V58" s="6" t="s">
        <v>60</v>
      </c>
      <c r="W58" s="15">
        <v>0.52</v>
      </c>
      <c r="X58" s="12">
        <v>160.83000000000001</v>
      </c>
      <c r="Y58" s="12">
        <v>142.96</v>
      </c>
      <c r="Z58" s="1" t="s">
        <v>54</v>
      </c>
    </row>
    <row r="59" spans="1:26" x14ac:dyDescent="0.2">
      <c r="A59" s="1" t="s">
        <v>253</v>
      </c>
      <c r="B59" s="1">
        <v>1055790</v>
      </c>
      <c r="C59" s="1" t="s">
        <v>46</v>
      </c>
      <c r="D59" s="1">
        <v>513364</v>
      </c>
      <c r="E59" s="1" t="s">
        <v>287</v>
      </c>
      <c r="G59" s="1" t="s">
        <v>257</v>
      </c>
      <c r="H59" s="1" t="s">
        <v>258</v>
      </c>
      <c r="I59" s="1" t="s">
        <v>49</v>
      </c>
      <c r="J59" s="1" t="s">
        <v>50</v>
      </c>
      <c r="K59" s="1" t="s">
        <v>256</v>
      </c>
      <c r="L59" s="1" t="s">
        <v>63</v>
      </c>
      <c r="M59" s="1" t="s">
        <v>152</v>
      </c>
      <c r="N59" s="11" t="s">
        <v>54</v>
      </c>
      <c r="O59" s="1" t="s">
        <v>55</v>
      </c>
      <c r="P59" s="1" t="s">
        <v>56</v>
      </c>
      <c r="Q59" s="1" t="s">
        <v>57</v>
      </c>
      <c r="R59" s="1">
        <v>0</v>
      </c>
      <c r="S59" s="12">
        <v>34.36</v>
      </c>
      <c r="T59" s="1" t="s">
        <v>58</v>
      </c>
      <c r="U59" s="1" t="s">
        <v>72</v>
      </c>
      <c r="V59" s="6" t="s">
        <v>60</v>
      </c>
      <c r="W59" s="15">
        <v>0.52</v>
      </c>
      <c r="X59" s="12">
        <v>160.83000000000001</v>
      </c>
      <c r="Y59" s="12">
        <v>142.96</v>
      </c>
      <c r="Z59" s="1" t="s">
        <v>54</v>
      </c>
    </row>
    <row r="60" spans="1:26" x14ac:dyDescent="0.2">
      <c r="A60" s="1" t="s">
        <v>253</v>
      </c>
      <c r="B60" s="1">
        <v>1055790</v>
      </c>
      <c r="C60" s="1" t="s">
        <v>46</v>
      </c>
      <c r="D60" s="1">
        <v>893387</v>
      </c>
      <c r="E60" s="1" t="s">
        <v>281</v>
      </c>
      <c r="G60" s="1" t="s">
        <v>259</v>
      </c>
      <c r="H60" s="1" t="s">
        <v>260</v>
      </c>
      <c r="I60" s="1" t="s">
        <v>106</v>
      </c>
      <c r="J60" s="1" t="s">
        <v>50</v>
      </c>
      <c r="K60" s="1" t="s">
        <v>261</v>
      </c>
      <c r="L60" s="1" t="s">
        <v>75</v>
      </c>
      <c r="M60" s="1" t="s">
        <v>262</v>
      </c>
      <c r="N60" s="11" t="s">
        <v>54</v>
      </c>
      <c r="O60" s="1" t="s">
        <v>55</v>
      </c>
      <c r="P60" s="1" t="s">
        <v>56</v>
      </c>
      <c r="Q60" s="1" t="s">
        <v>57</v>
      </c>
      <c r="R60" s="1">
        <v>0</v>
      </c>
      <c r="S60" s="12">
        <v>121.45</v>
      </c>
      <c r="T60" s="1" t="s">
        <v>58</v>
      </c>
      <c r="U60" s="1" t="s">
        <v>72</v>
      </c>
      <c r="V60" s="6" t="s">
        <v>60</v>
      </c>
      <c r="W60" s="15">
        <v>0.23</v>
      </c>
      <c r="X60" s="12">
        <v>251.37</v>
      </c>
      <c r="Y60" s="12">
        <v>223.44</v>
      </c>
      <c r="Z60" s="1" t="s">
        <v>54</v>
      </c>
    </row>
    <row r="61" spans="1:26" s="20" customFormat="1" x14ac:dyDescent="0.2">
      <c r="A61" s="20" t="s">
        <v>253</v>
      </c>
      <c r="B61" s="20">
        <v>1055790</v>
      </c>
      <c r="C61" s="20" t="s">
        <v>46</v>
      </c>
      <c r="D61" s="20">
        <v>892048</v>
      </c>
      <c r="E61" s="20" t="s">
        <v>288</v>
      </c>
      <c r="G61" s="20" t="s">
        <v>263</v>
      </c>
      <c r="H61" s="20" t="s">
        <v>264</v>
      </c>
      <c r="I61" s="20" t="s">
        <v>146</v>
      </c>
      <c r="J61" s="20" t="s">
        <v>63</v>
      </c>
      <c r="K61" s="20" t="s">
        <v>265</v>
      </c>
      <c r="L61" s="20" t="s">
        <v>196</v>
      </c>
      <c r="M61" s="20" t="s">
        <v>152</v>
      </c>
      <c r="N61" s="21" t="s">
        <v>54</v>
      </c>
      <c r="O61" s="20" t="s">
        <v>55</v>
      </c>
      <c r="P61" s="20" t="s">
        <v>56</v>
      </c>
      <c r="Q61" s="20" t="s">
        <v>57</v>
      </c>
      <c r="R61" s="20">
        <v>0</v>
      </c>
      <c r="S61" s="22">
        <v>67.37</v>
      </c>
      <c r="T61" s="20" t="s">
        <v>58</v>
      </c>
      <c r="U61" s="20" t="s">
        <v>59</v>
      </c>
      <c r="V61" s="23" t="s">
        <v>60</v>
      </c>
      <c r="W61" s="24">
        <v>0.52</v>
      </c>
      <c r="X61" s="22">
        <v>0</v>
      </c>
      <c r="Y61" s="22">
        <v>-35.03</v>
      </c>
      <c r="Z61" s="20" t="s">
        <v>54</v>
      </c>
    </row>
    <row r="62" spans="1:26" x14ac:dyDescent="0.2">
      <c r="A62" s="1" t="s">
        <v>253</v>
      </c>
      <c r="B62" s="1">
        <v>1055790</v>
      </c>
      <c r="C62" s="1" t="s">
        <v>46</v>
      </c>
      <c r="D62" s="1">
        <v>892048</v>
      </c>
      <c r="E62" s="1" t="s">
        <v>288</v>
      </c>
      <c r="G62" s="1" t="s">
        <v>266</v>
      </c>
      <c r="H62" s="1" t="s">
        <v>267</v>
      </c>
      <c r="I62" s="1" t="s">
        <v>49</v>
      </c>
      <c r="J62" s="1" t="s">
        <v>111</v>
      </c>
      <c r="K62" s="1" t="s">
        <v>256</v>
      </c>
      <c r="L62" s="1" t="s">
        <v>268</v>
      </c>
      <c r="M62" s="1" t="s">
        <v>113</v>
      </c>
      <c r="N62" s="11" t="s">
        <v>54</v>
      </c>
      <c r="O62" s="1" t="s">
        <v>55</v>
      </c>
      <c r="P62" s="1" t="s">
        <v>56</v>
      </c>
      <c r="Q62" s="1" t="s">
        <v>57</v>
      </c>
      <c r="R62" s="1">
        <v>0</v>
      </c>
      <c r="S62" s="12">
        <v>34.36</v>
      </c>
      <c r="T62" s="1" t="s">
        <v>58</v>
      </c>
      <c r="U62" s="1" t="s">
        <v>59</v>
      </c>
      <c r="V62" s="6" t="s">
        <v>60</v>
      </c>
      <c r="W62" s="15">
        <v>0.52</v>
      </c>
      <c r="X62" s="12">
        <v>0</v>
      </c>
      <c r="Y62" s="12">
        <v>-17.87</v>
      </c>
      <c r="Z62" s="1" t="s">
        <v>54</v>
      </c>
    </row>
    <row r="63" spans="1:26" x14ac:dyDescent="0.2">
      <c r="A63" s="1" t="s">
        <v>253</v>
      </c>
      <c r="B63" s="1">
        <v>1055790</v>
      </c>
      <c r="C63" s="1" t="s">
        <v>46</v>
      </c>
      <c r="D63" s="1">
        <v>892048</v>
      </c>
      <c r="E63" s="1" t="s">
        <v>288</v>
      </c>
      <c r="G63" s="1" t="s">
        <v>269</v>
      </c>
      <c r="H63" s="1" t="s">
        <v>270</v>
      </c>
      <c r="I63" s="1" t="s">
        <v>49</v>
      </c>
      <c r="J63" s="1" t="s">
        <v>111</v>
      </c>
      <c r="K63" s="1" t="s">
        <v>265</v>
      </c>
      <c r="L63" s="1" t="s">
        <v>268</v>
      </c>
      <c r="M63" s="1" t="s">
        <v>113</v>
      </c>
      <c r="N63" s="11" t="s">
        <v>54</v>
      </c>
      <c r="O63" s="1" t="s">
        <v>55</v>
      </c>
      <c r="P63" s="1" t="s">
        <v>56</v>
      </c>
      <c r="Q63" s="1" t="s">
        <v>57</v>
      </c>
      <c r="R63" s="1">
        <v>0</v>
      </c>
      <c r="S63" s="12">
        <v>71.55</v>
      </c>
      <c r="T63" s="1" t="s">
        <v>58</v>
      </c>
      <c r="U63" s="1" t="s">
        <v>59</v>
      </c>
      <c r="V63" s="6" t="s">
        <v>60</v>
      </c>
      <c r="W63" s="15">
        <v>0.52</v>
      </c>
      <c r="X63" s="12">
        <v>0</v>
      </c>
      <c r="Y63" s="12">
        <v>-37.21</v>
      </c>
      <c r="Z63" s="1" t="s">
        <v>54</v>
      </c>
    </row>
    <row r="64" spans="1:26" x14ac:dyDescent="0.2">
      <c r="A64" s="1" t="s">
        <v>253</v>
      </c>
      <c r="B64" s="1">
        <v>1055790</v>
      </c>
      <c r="C64" s="1" t="s">
        <v>271</v>
      </c>
      <c r="D64" s="1">
        <v>816910</v>
      </c>
      <c r="E64" s="1" t="s">
        <v>289</v>
      </c>
      <c r="G64" s="1" t="s">
        <v>272</v>
      </c>
      <c r="H64" s="1" t="s">
        <v>273</v>
      </c>
      <c r="I64" s="1" t="s">
        <v>116</v>
      </c>
      <c r="J64" s="1" t="s">
        <v>63</v>
      </c>
      <c r="K64" s="1" t="s">
        <v>261</v>
      </c>
      <c r="L64" s="1" t="s">
        <v>274</v>
      </c>
      <c r="M64" s="1" t="s">
        <v>53</v>
      </c>
      <c r="N64" s="11" t="s">
        <v>54</v>
      </c>
      <c r="O64" s="1" t="s">
        <v>55</v>
      </c>
      <c r="P64" s="1" t="s">
        <v>56</v>
      </c>
      <c r="Q64" s="1" t="s">
        <v>57</v>
      </c>
      <c r="R64" s="1">
        <v>0</v>
      </c>
      <c r="S64" s="12">
        <v>124.63</v>
      </c>
      <c r="T64" s="1" t="s">
        <v>82</v>
      </c>
      <c r="U64" s="1" t="s">
        <v>83</v>
      </c>
      <c r="V64" s="6" t="s">
        <v>60</v>
      </c>
      <c r="W64" s="15">
        <v>0.23</v>
      </c>
      <c r="X64" s="12">
        <v>28.66</v>
      </c>
      <c r="Y64" s="12">
        <v>0</v>
      </c>
      <c r="Z64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C084-E48A-4FB7-8E61-4BA5B29D2347}">
  <dimension ref="A1:B63"/>
  <sheetViews>
    <sheetView topLeftCell="A29" workbookViewId="0">
      <selection activeCell="B1" sqref="B1:B63"/>
    </sheetView>
  </sheetViews>
  <sheetFormatPr defaultRowHeight="15" x14ac:dyDescent="0.25"/>
  <cols>
    <col min="1" max="1" width="14.140625" bestFit="1" customWidth="1"/>
    <col min="2" max="2" width="27.42578125" bestFit="1" customWidth="1"/>
  </cols>
  <sheetData>
    <row r="1" spans="1:2" x14ac:dyDescent="0.25">
      <c r="A1" s="1">
        <v>1174646</v>
      </c>
      <c r="B1" t="str" cm="1">
        <f t="array" ref="B1:B63">VLOOKUP(A1:A63,[1]Sheet1!$A$1:$B$39,2,FALSE)</f>
        <v xml:space="preserve">Michael  Dunavant </v>
      </c>
    </row>
    <row r="2" spans="1:2" x14ac:dyDescent="0.25">
      <c r="A2" s="1">
        <v>1174646</v>
      </c>
      <c r="B2" t="str">
        <v xml:space="preserve">Michael  Dunavant </v>
      </c>
    </row>
    <row r="3" spans="1:2" x14ac:dyDescent="0.25">
      <c r="A3" s="1">
        <v>1174646</v>
      </c>
      <c r="B3" t="str">
        <v xml:space="preserve">Michael  Dunavant </v>
      </c>
    </row>
    <row r="4" spans="1:2" x14ac:dyDescent="0.25">
      <c r="A4" s="1">
        <v>1174646</v>
      </c>
      <c r="B4" t="str">
        <v xml:space="preserve">Michael  Dunavant </v>
      </c>
    </row>
    <row r="5" spans="1:2" x14ac:dyDescent="0.25">
      <c r="A5" s="1">
        <v>1174646</v>
      </c>
      <c r="B5" t="str">
        <v xml:space="preserve">Michael  Dunavant </v>
      </c>
    </row>
    <row r="6" spans="1:2" x14ac:dyDescent="0.25">
      <c r="A6" s="1">
        <v>957310</v>
      </c>
      <c r="B6" t="str">
        <v xml:space="preserve">Anne Marie Marie Kozacheck </v>
      </c>
    </row>
    <row r="7" spans="1:2" x14ac:dyDescent="0.25">
      <c r="A7" s="1">
        <v>957310</v>
      </c>
      <c r="B7" t="str">
        <v xml:space="preserve">Anne Marie Marie Kozacheck </v>
      </c>
    </row>
    <row r="8" spans="1:2" x14ac:dyDescent="0.25">
      <c r="A8" s="1">
        <v>957310</v>
      </c>
      <c r="B8" t="str">
        <v xml:space="preserve">Anne Marie Marie Kozacheck </v>
      </c>
    </row>
    <row r="9" spans="1:2" x14ac:dyDescent="0.25">
      <c r="A9" s="1">
        <v>821331</v>
      </c>
      <c r="B9" t="str">
        <v xml:space="preserve">Murray  Sterner </v>
      </c>
    </row>
    <row r="10" spans="1:2" x14ac:dyDescent="0.25">
      <c r="A10" s="1">
        <v>1099222</v>
      </c>
      <c r="B10" t="str">
        <v xml:space="preserve">Matthew  Daugherty </v>
      </c>
    </row>
    <row r="11" spans="1:2" x14ac:dyDescent="0.25">
      <c r="A11" s="1">
        <v>1099222</v>
      </c>
      <c r="B11" t="str">
        <v xml:space="preserve">Matthew  Daugherty </v>
      </c>
    </row>
    <row r="12" spans="1:2" x14ac:dyDescent="0.25">
      <c r="A12" s="1">
        <v>1099222</v>
      </c>
      <c r="B12" t="str">
        <v xml:space="preserve">Matthew  Daugherty </v>
      </c>
    </row>
    <row r="13" spans="1:2" x14ac:dyDescent="0.25">
      <c r="A13" s="1">
        <v>1099222</v>
      </c>
      <c r="B13" t="str">
        <v xml:space="preserve">Matthew  Daugherty </v>
      </c>
    </row>
    <row r="14" spans="1:2" x14ac:dyDescent="0.25">
      <c r="A14" s="1">
        <v>899216</v>
      </c>
      <c r="B14" t="str">
        <v xml:space="preserve">Ronald Joseph Max </v>
      </c>
    </row>
    <row r="15" spans="1:2" x14ac:dyDescent="0.25">
      <c r="A15" s="1">
        <v>899216</v>
      </c>
      <c r="B15" t="str">
        <v xml:space="preserve">Ronald Joseph Max </v>
      </c>
    </row>
    <row r="16" spans="1:2" x14ac:dyDescent="0.25">
      <c r="A16" s="1">
        <v>899216</v>
      </c>
      <c r="B16" t="str">
        <v xml:space="preserve">Ronald Joseph Max </v>
      </c>
    </row>
    <row r="17" spans="1:2" x14ac:dyDescent="0.25">
      <c r="A17" s="1">
        <v>899216</v>
      </c>
      <c r="B17" t="str">
        <v xml:space="preserve">Ronald Joseph Max </v>
      </c>
    </row>
    <row r="18" spans="1:2" x14ac:dyDescent="0.25">
      <c r="A18" s="1">
        <v>893387</v>
      </c>
      <c r="B18" t="str">
        <v xml:space="preserve">Gregory K Teipel </v>
      </c>
    </row>
    <row r="19" spans="1:2" x14ac:dyDescent="0.25">
      <c r="A19" s="1">
        <v>893387</v>
      </c>
      <c r="B19" t="str">
        <v xml:space="preserve">Gregory K Teipel </v>
      </c>
    </row>
    <row r="20" spans="1:2" x14ac:dyDescent="0.25">
      <c r="A20" s="1">
        <v>893387</v>
      </c>
      <c r="B20" t="str">
        <v xml:space="preserve">Gregory K Teipel </v>
      </c>
    </row>
    <row r="21" spans="1:2" x14ac:dyDescent="0.25">
      <c r="A21" s="1">
        <v>893387</v>
      </c>
      <c r="B21" t="str">
        <v xml:space="preserve">Gregory K Teipel </v>
      </c>
    </row>
    <row r="22" spans="1:2" x14ac:dyDescent="0.25">
      <c r="A22" s="1">
        <v>893387</v>
      </c>
      <c r="B22" t="str">
        <v xml:space="preserve">Gregory K Teipel </v>
      </c>
    </row>
    <row r="23" spans="1:2" x14ac:dyDescent="0.25">
      <c r="A23" s="1">
        <v>893387</v>
      </c>
      <c r="B23" t="str">
        <v xml:space="preserve">Gregory K Teipel </v>
      </c>
    </row>
    <row r="24" spans="1:2" x14ac:dyDescent="0.25">
      <c r="A24" s="1">
        <v>893387</v>
      </c>
      <c r="B24" t="str">
        <v xml:space="preserve">Gregory K Teipel </v>
      </c>
    </row>
    <row r="25" spans="1:2" x14ac:dyDescent="0.25">
      <c r="A25" s="1">
        <v>893387</v>
      </c>
      <c r="B25" t="str">
        <v xml:space="preserve">Gregory K Teipel </v>
      </c>
    </row>
    <row r="26" spans="1:2" x14ac:dyDescent="0.25">
      <c r="A26" s="1">
        <v>893387</v>
      </c>
      <c r="B26" t="str">
        <v xml:space="preserve">Gregory K Teipel </v>
      </c>
    </row>
    <row r="27" spans="1:2" x14ac:dyDescent="0.25">
      <c r="A27" s="1">
        <v>893387</v>
      </c>
      <c r="B27" t="str">
        <v xml:space="preserve">Gregory K Teipel </v>
      </c>
    </row>
    <row r="28" spans="1:2" x14ac:dyDescent="0.25">
      <c r="A28" s="1">
        <v>893387</v>
      </c>
      <c r="B28" t="str">
        <v xml:space="preserve">Gregory K Teipel </v>
      </c>
    </row>
    <row r="29" spans="1:2" x14ac:dyDescent="0.25">
      <c r="A29" s="1">
        <v>606680</v>
      </c>
      <c r="B29" t="str">
        <v xml:space="preserve">Ryan J Caltagirone </v>
      </c>
    </row>
    <row r="30" spans="1:2" x14ac:dyDescent="0.25">
      <c r="A30" s="1">
        <v>606680</v>
      </c>
      <c r="B30" t="str">
        <v xml:space="preserve">Ryan J Caltagirone </v>
      </c>
    </row>
    <row r="31" spans="1:2" x14ac:dyDescent="0.25">
      <c r="A31" s="1">
        <v>815797</v>
      </c>
      <c r="B31" t="str">
        <v xml:space="preserve">Deborah Lee Inskipt </v>
      </c>
    </row>
    <row r="32" spans="1:2" x14ac:dyDescent="0.25">
      <c r="A32" s="1">
        <v>893387</v>
      </c>
      <c r="B32" t="str">
        <v xml:space="preserve">Gregory K Teipel </v>
      </c>
    </row>
    <row r="33" spans="1:2" x14ac:dyDescent="0.25">
      <c r="A33" s="1">
        <v>893387</v>
      </c>
      <c r="B33" t="str">
        <v xml:space="preserve">Gregory K Teipel </v>
      </c>
    </row>
    <row r="34" spans="1:2" x14ac:dyDescent="0.25">
      <c r="A34" s="1">
        <v>815797</v>
      </c>
      <c r="B34" t="str">
        <v xml:space="preserve">Deborah Lee Inskipt </v>
      </c>
    </row>
    <row r="35" spans="1:2" x14ac:dyDescent="0.25">
      <c r="A35" s="1">
        <v>606680</v>
      </c>
      <c r="B35" t="str">
        <v xml:space="preserve">Ryan J Caltagirone </v>
      </c>
    </row>
    <row r="36" spans="1:2" x14ac:dyDescent="0.25">
      <c r="A36" s="1">
        <v>606680</v>
      </c>
      <c r="B36" t="str">
        <v xml:space="preserve">Ryan J Caltagirone </v>
      </c>
    </row>
    <row r="37" spans="1:2" x14ac:dyDescent="0.25">
      <c r="A37" s="1">
        <v>606680</v>
      </c>
      <c r="B37" t="str">
        <v xml:space="preserve">Ryan J Caltagirone </v>
      </c>
    </row>
    <row r="38" spans="1:2" x14ac:dyDescent="0.25">
      <c r="A38" s="1">
        <v>606680</v>
      </c>
      <c r="B38" t="str">
        <v xml:space="preserve">Ryan J Caltagirone </v>
      </c>
    </row>
    <row r="39" spans="1:2" x14ac:dyDescent="0.25">
      <c r="A39" s="1">
        <v>606680</v>
      </c>
      <c r="B39" t="str">
        <v xml:space="preserve">Ryan J Caltagirone </v>
      </c>
    </row>
    <row r="40" spans="1:2" x14ac:dyDescent="0.25">
      <c r="A40" s="1">
        <v>606680</v>
      </c>
      <c r="B40" t="str">
        <v xml:space="preserve">Ryan J Caltagirone </v>
      </c>
    </row>
    <row r="41" spans="1:2" x14ac:dyDescent="0.25">
      <c r="A41" s="1">
        <v>606680</v>
      </c>
      <c r="B41" t="str">
        <v xml:space="preserve">Ryan J Caltagirone </v>
      </c>
    </row>
    <row r="42" spans="1:2" x14ac:dyDescent="0.25">
      <c r="A42" s="1">
        <v>606680</v>
      </c>
      <c r="B42" t="str">
        <v xml:space="preserve">Ryan J Caltagirone </v>
      </c>
    </row>
    <row r="43" spans="1:2" x14ac:dyDescent="0.25">
      <c r="A43" s="1">
        <v>606680</v>
      </c>
      <c r="B43" t="str">
        <v xml:space="preserve">Ryan J Caltagirone </v>
      </c>
    </row>
    <row r="44" spans="1:2" x14ac:dyDescent="0.25">
      <c r="A44" s="1">
        <v>606680</v>
      </c>
      <c r="B44" t="str">
        <v xml:space="preserve">Ryan J Caltagirone </v>
      </c>
    </row>
    <row r="45" spans="1:2" x14ac:dyDescent="0.25">
      <c r="A45" s="1">
        <v>606680</v>
      </c>
      <c r="B45" t="str">
        <v xml:space="preserve">Ryan J Caltagirone </v>
      </c>
    </row>
    <row r="46" spans="1:2" x14ac:dyDescent="0.25">
      <c r="A46" s="1">
        <v>606680</v>
      </c>
      <c r="B46" t="str">
        <v xml:space="preserve">Ryan J Caltagirone </v>
      </c>
    </row>
    <row r="47" spans="1:2" x14ac:dyDescent="0.25">
      <c r="A47" s="1">
        <v>257168</v>
      </c>
      <c r="B47" t="str">
        <v xml:space="preserve">Thomas D Pardue </v>
      </c>
    </row>
    <row r="48" spans="1:2" x14ac:dyDescent="0.25">
      <c r="A48" s="1">
        <v>257168</v>
      </c>
      <c r="B48" t="str">
        <v xml:space="preserve">Thomas D Pardue </v>
      </c>
    </row>
    <row r="49" spans="1:2" x14ac:dyDescent="0.25">
      <c r="A49" s="1">
        <v>257168</v>
      </c>
      <c r="B49" t="str">
        <v xml:space="preserve">Thomas D Pardue </v>
      </c>
    </row>
    <row r="50" spans="1:2" x14ac:dyDescent="0.25">
      <c r="A50" s="1">
        <v>257168</v>
      </c>
      <c r="B50" t="str">
        <v xml:space="preserve">Thomas D Pardue </v>
      </c>
    </row>
    <row r="51" spans="1:2" x14ac:dyDescent="0.25">
      <c r="A51" s="1">
        <v>257168</v>
      </c>
      <c r="B51" t="str">
        <v xml:space="preserve">Thomas D Pardue </v>
      </c>
    </row>
    <row r="52" spans="1:2" x14ac:dyDescent="0.25">
      <c r="A52" s="1">
        <v>257168</v>
      </c>
      <c r="B52" t="str">
        <v xml:space="preserve">Thomas D Pardue </v>
      </c>
    </row>
    <row r="53" spans="1:2" x14ac:dyDescent="0.25">
      <c r="A53" s="1">
        <v>819525</v>
      </c>
      <c r="B53" t="str">
        <v xml:space="preserve">Gary  Portugal </v>
      </c>
    </row>
    <row r="54" spans="1:2" x14ac:dyDescent="0.25">
      <c r="A54" s="1">
        <v>815390</v>
      </c>
      <c r="B54" t="str">
        <v xml:space="preserve">Carol  Foley </v>
      </c>
    </row>
    <row r="55" spans="1:2" x14ac:dyDescent="0.25">
      <c r="A55" s="1">
        <v>606680</v>
      </c>
      <c r="B55" t="str">
        <v xml:space="preserve">Ryan J Caltagirone </v>
      </c>
    </row>
    <row r="56" spans="1:2" x14ac:dyDescent="0.25">
      <c r="A56" s="1">
        <v>606680</v>
      </c>
      <c r="B56" t="str">
        <v xml:space="preserve">Ryan J Caltagirone </v>
      </c>
    </row>
    <row r="57" spans="1:2" x14ac:dyDescent="0.25">
      <c r="A57" s="1">
        <v>513364</v>
      </c>
      <c r="B57" t="str">
        <v xml:space="preserve">Dale Jon Walenga </v>
      </c>
    </row>
    <row r="58" spans="1:2" x14ac:dyDescent="0.25">
      <c r="A58" s="1">
        <v>513364</v>
      </c>
      <c r="B58" t="str">
        <v xml:space="preserve">Dale Jon Walenga </v>
      </c>
    </row>
    <row r="59" spans="1:2" x14ac:dyDescent="0.25">
      <c r="A59" s="1">
        <v>893387</v>
      </c>
      <c r="B59" t="str">
        <v xml:space="preserve">Gregory K Teipel </v>
      </c>
    </row>
    <row r="60" spans="1:2" x14ac:dyDescent="0.25">
      <c r="A60" s="1">
        <v>892048</v>
      </c>
      <c r="B60" t="str">
        <v xml:space="preserve">Richard A Yale </v>
      </c>
    </row>
    <row r="61" spans="1:2" x14ac:dyDescent="0.25">
      <c r="A61" s="1">
        <v>892048</v>
      </c>
      <c r="B61" t="str">
        <v xml:space="preserve">Richard A Yale </v>
      </c>
    </row>
    <row r="62" spans="1:2" x14ac:dyDescent="0.25">
      <c r="A62" s="1">
        <v>892048</v>
      </c>
      <c r="B62" t="str">
        <v xml:space="preserve">Richard A Yale </v>
      </c>
    </row>
    <row r="63" spans="1:2" x14ac:dyDescent="0.25">
      <c r="A63" s="1">
        <v>816910</v>
      </c>
      <c r="B63" t="str">
        <v xml:space="preserve">Adam J Richter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2025-04-03T19:05:10Z</dcterms:created>
  <dcterms:modified xsi:type="dcterms:W3CDTF">2025-04-07T17:00:28Z</dcterms:modified>
</cp:coreProperties>
</file>